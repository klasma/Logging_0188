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45348</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45348</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45348</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45348</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45348</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45348</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45348</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45348</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45348</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45348</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45348</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45348</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45348</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45348</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45348</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45348</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45348</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45348</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45348</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45348</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45348</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45348</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45348</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45348</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45348</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45348</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45348</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45348</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45348</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45348</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45348</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45348</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45348</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45348</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45348</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45348</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45348</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45348</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45348</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45348</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45348</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45348</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45348</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45348</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45348</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45348</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45348</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45348</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45348</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45348</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45348</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45348</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45348</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45348</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45348</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45348</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45348</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45348</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45348</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45348</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45348</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45348</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45348</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45348</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45348</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45348</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45348</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45348</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45348</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45348</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45348</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45348</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45348</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10981-2019</t>
        </is>
      </c>
      <c r="B83" s="1" t="n">
        <v>43515</v>
      </c>
      <c r="C83" s="1" t="n">
        <v>45348</v>
      </c>
      <c r="D83" t="inlineStr">
        <is>
          <t>STOCKHOLMS LÄN</t>
        </is>
      </c>
      <c r="E83" t="inlineStr">
        <is>
          <t>NORRTÄLJE</t>
        </is>
      </c>
      <c r="G83" t="n">
        <v>29.6</v>
      </c>
      <c r="H83" t="n">
        <v>2</v>
      </c>
      <c r="I83" t="n">
        <v>0</v>
      </c>
      <c r="J83" t="n">
        <v>1</v>
      </c>
      <c r="K83" t="n">
        <v>0</v>
      </c>
      <c r="L83" t="n">
        <v>0</v>
      </c>
      <c r="M83" t="n">
        <v>0</v>
      </c>
      <c r="N83" t="n">
        <v>0</v>
      </c>
      <c r="O83" t="n">
        <v>1</v>
      </c>
      <c r="P83" t="n">
        <v>0</v>
      </c>
      <c r="Q83" t="n">
        <v>2</v>
      </c>
      <c r="R83" s="2" t="inlineStr">
        <is>
          <t>Talltita
Bivråk</t>
        </is>
      </c>
      <c r="S83">
        <f>HYPERLINK("https://klasma.github.io/Logging_0188/artfynd/A 10981-2019 artfynd.xlsx", "A 10981-2019")</f>
        <v/>
      </c>
      <c r="T83">
        <f>HYPERLINK("https://klasma.github.io/Logging_0188/kartor/A 10981-2019 karta.png", "A 10981-2019")</f>
        <v/>
      </c>
      <c r="V83">
        <f>HYPERLINK("https://klasma.github.io/Logging_0188/klagomål/A 10981-2019 FSC-klagomål.docx", "A 10981-2019")</f>
        <v/>
      </c>
      <c r="W83">
        <f>HYPERLINK("https://klasma.github.io/Logging_0188/klagomålsmail/A 10981-2019 FSC-klagomål mail.docx", "A 10981-2019")</f>
        <v/>
      </c>
      <c r="X83">
        <f>HYPERLINK("https://klasma.github.io/Logging_0188/tillsyn/A 10981-2019 tillsynsbegäran.docx", "A 10981-2019")</f>
        <v/>
      </c>
      <c r="Y83">
        <f>HYPERLINK("https://klasma.github.io/Logging_0188/tillsynsmail/A 10981-2019 tillsynsbegäran mail.docx", "A 10981-2019")</f>
        <v/>
      </c>
      <c r="Z83">
        <f>HYPERLINK("https://klasma.github.io/Logging_0188/fåglar/A 10981-2019 prioriterade fågelarter.docx", "A 10981-2019")</f>
        <v/>
      </c>
    </row>
    <row r="84" ht="15" customHeight="1">
      <c r="A84" t="inlineStr">
        <is>
          <t>A 14148-2019</t>
        </is>
      </c>
      <c r="B84" s="1" t="n">
        <v>43533</v>
      </c>
      <c r="C84" s="1" t="n">
        <v>45348</v>
      </c>
      <c r="D84" t="inlineStr">
        <is>
          <t>STOCKHOLMS LÄN</t>
        </is>
      </c>
      <c r="E84" t="inlineStr">
        <is>
          <t>NORRTÄLJE</t>
        </is>
      </c>
      <c r="G84" t="n">
        <v>6.1</v>
      </c>
      <c r="H84" t="n">
        <v>1</v>
      </c>
      <c r="I84" t="n">
        <v>0</v>
      </c>
      <c r="J84" t="n">
        <v>2</v>
      </c>
      <c r="K84" t="n">
        <v>0</v>
      </c>
      <c r="L84" t="n">
        <v>0</v>
      </c>
      <c r="M84" t="n">
        <v>0</v>
      </c>
      <c r="N84" t="n">
        <v>0</v>
      </c>
      <c r="O84" t="n">
        <v>2</v>
      </c>
      <c r="P84" t="n">
        <v>0</v>
      </c>
      <c r="Q84" t="n">
        <v>2</v>
      </c>
      <c r="R84" s="2" t="inlineStr">
        <is>
          <t>Havsörn
Tallticka</t>
        </is>
      </c>
      <c r="S84">
        <f>HYPERLINK("https://klasma.github.io/Logging_0188/artfynd/A 14148-2019 artfynd.xlsx", "A 14148-2019")</f>
        <v/>
      </c>
      <c r="T84">
        <f>HYPERLINK("https://klasma.github.io/Logging_0188/kartor/A 14148-2019 karta.png", "A 14148-2019")</f>
        <v/>
      </c>
      <c r="V84">
        <f>HYPERLINK("https://klasma.github.io/Logging_0188/klagomål/A 14148-2019 FSC-klagomål.docx", "A 14148-2019")</f>
        <v/>
      </c>
      <c r="W84">
        <f>HYPERLINK("https://klasma.github.io/Logging_0188/klagomålsmail/A 14148-2019 FSC-klagomål mail.docx", "A 14148-2019")</f>
        <v/>
      </c>
      <c r="X84">
        <f>HYPERLINK("https://klasma.github.io/Logging_0188/tillsyn/A 14148-2019 tillsynsbegäran.docx", "A 14148-2019")</f>
        <v/>
      </c>
      <c r="Y84">
        <f>HYPERLINK("https://klasma.github.io/Logging_0188/tillsynsmail/A 14148-2019 tillsynsbegäran mail.docx", "A 14148-2019")</f>
        <v/>
      </c>
      <c r="Z84">
        <f>HYPERLINK("https://klasma.github.io/Logging_0188/fåglar/A 14148-2019 prioriterade fågelarter.docx", "A 14148-2019")</f>
        <v/>
      </c>
    </row>
    <row r="85" ht="15" customHeight="1">
      <c r="A85" t="inlineStr">
        <is>
          <t>A 15109-2019</t>
        </is>
      </c>
      <c r="B85" s="1" t="n">
        <v>43539</v>
      </c>
      <c r="C85" s="1" t="n">
        <v>45348</v>
      </c>
      <c r="D85" t="inlineStr">
        <is>
          <t>STOCKHOLMS LÄN</t>
        </is>
      </c>
      <c r="E85" t="inlineStr">
        <is>
          <t>NORRTÄLJE</t>
        </is>
      </c>
      <c r="F85" t="inlineStr">
        <is>
          <t>Kommuner</t>
        </is>
      </c>
      <c r="G85" t="n">
        <v>1.8</v>
      </c>
      <c r="H85" t="n">
        <v>1</v>
      </c>
      <c r="I85" t="n">
        <v>1</v>
      </c>
      <c r="J85" t="n">
        <v>0</v>
      </c>
      <c r="K85" t="n">
        <v>0</v>
      </c>
      <c r="L85" t="n">
        <v>0</v>
      </c>
      <c r="M85" t="n">
        <v>0</v>
      </c>
      <c r="N85" t="n">
        <v>0</v>
      </c>
      <c r="O85" t="n">
        <v>0</v>
      </c>
      <c r="P85" t="n">
        <v>0</v>
      </c>
      <c r="Q85" t="n">
        <v>2</v>
      </c>
      <c r="R85" s="2" t="inlineStr">
        <is>
          <t>Vårärt
Blåsippa</t>
        </is>
      </c>
      <c r="S85">
        <f>HYPERLINK("https://klasma.github.io/Logging_0188/artfynd/A 15109-2019 artfynd.xlsx", "A 15109-2019")</f>
        <v/>
      </c>
      <c r="T85">
        <f>HYPERLINK("https://klasma.github.io/Logging_0188/kartor/A 15109-2019 karta.png", "A 15109-2019")</f>
        <v/>
      </c>
      <c r="V85">
        <f>HYPERLINK("https://klasma.github.io/Logging_0188/klagomål/A 15109-2019 FSC-klagomål.docx", "A 15109-2019")</f>
        <v/>
      </c>
      <c r="W85">
        <f>HYPERLINK("https://klasma.github.io/Logging_0188/klagomålsmail/A 15109-2019 FSC-klagomål mail.docx", "A 15109-2019")</f>
        <v/>
      </c>
      <c r="X85">
        <f>HYPERLINK("https://klasma.github.io/Logging_0188/tillsyn/A 15109-2019 tillsynsbegäran.docx", "A 15109-2019")</f>
        <v/>
      </c>
      <c r="Y85">
        <f>HYPERLINK("https://klasma.github.io/Logging_0188/tillsynsmail/A 15109-2019 tillsynsbegäran mail.docx", "A 15109-2019")</f>
        <v/>
      </c>
    </row>
    <row r="86" ht="15" customHeight="1">
      <c r="A86" t="inlineStr">
        <is>
          <t>A 14826-2019</t>
        </is>
      </c>
      <c r="B86" s="1" t="n">
        <v>43539</v>
      </c>
      <c r="C86" s="1" t="n">
        <v>45348</v>
      </c>
      <c r="D86" t="inlineStr">
        <is>
          <t>STOCKHOLMS LÄN</t>
        </is>
      </c>
      <c r="E86" t="inlineStr">
        <is>
          <t>NORRTÄLJE</t>
        </is>
      </c>
      <c r="F86" t="inlineStr">
        <is>
          <t>Kommuner</t>
        </is>
      </c>
      <c r="G86" t="n">
        <v>0.6</v>
      </c>
      <c r="H86" t="n">
        <v>0</v>
      </c>
      <c r="I86" t="n">
        <v>2</v>
      </c>
      <c r="J86" t="n">
        <v>0</v>
      </c>
      <c r="K86" t="n">
        <v>0</v>
      </c>
      <c r="L86" t="n">
        <v>0</v>
      </c>
      <c r="M86" t="n">
        <v>0</v>
      </c>
      <c r="N86" t="n">
        <v>0</v>
      </c>
      <c r="O86" t="n">
        <v>0</v>
      </c>
      <c r="P86" t="n">
        <v>0</v>
      </c>
      <c r="Q86" t="n">
        <v>2</v>
      </c>
      <c r="R86" s="2" t="inlineStr">
        <is>
          <t>Stubbspretmossa
Sårläka</t>
        </is>
      </c>
      <c r="S86">
        <f>HYPERLINK("https://klasma.github.io/Logging_0188/artfynd/A 14826-2019 artfynd.xlsx", "A 14826-2019")</f>
        <v/>
      </c>
      <c r="T86">
        <f>HYPERLINK("https://klasma.github.io/Logging_0188/kartor/A 14826-2019 karta.png", "A 14826-2019")</f>
        <v/>
      </c>
      <c r="V86">
        <f>HYPERLINK("https://klasma.github.io/Logging_0188/klagomål/A 14826-2019 FSC-klagomål.docx", "A 14826-2019")</f>
        <v/>
      </c>
      <c r="W86">
        <f>HYPERLINK("https://klasma.github.io/Logging_0188/klagomålsmail/A 14826-2019 FSC-klagomål mail.docx", "A 14826-2019")</f>
        <v/>
      </c>
      <c r="X86">
        <f>HYPERLINK("https://klasma.github.io/Logging_0188/tillsyn/A 14826-2019 tillsynsbegäran.docx", "A 14826-2019")</f>
        <v/>
      </c>
      <c r="Y86">
        <f>HYPERLINK("https://klasma.github.io/Logging_0188/tillsynsmail/A 14826-2019 tillsynsbegäran mail.docx", "A 14826-2019")</f>
        <v/>
      </c>
    </row>
    <row r="87" ht="15" customHeight="1">
      <c r="A87" t="inlineStr">
        <is>
          <t>A 23830-2019</t>
        </is>
      </c>
      <c r="B87" s="1" t="n">
        <v>43595</v>
      </c>
      <c r="C87" s="1" t="n">
        <v>45348</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45348</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6272-2020</t>
        </is>
      </c>
      <c r="B89" s="1" t="n">
        <v>43866</v>
      </c>
      <c r="C89" s="1" t="n">
        <v>45348</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45348</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45348</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45348</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45348</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45348</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45348</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45348</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45348</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Gök</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52124-2022</t>
        </is>
      </c>
      <c r="B98" s="1" t="n">
        <v>44868</v>
      </c>
      <c r="C98" s="1" t="n">
        <v>45348</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51980-2022</t>
        </is>
      </c>
      <c r="B99" s="1" t="n">
        <v>44872</v>
      </c>
      <c r="C99" s="1" t="n">
        <v>45348</v>
      </c>
      <c r="D99" t="inlineStr">
        <is>
          <t>STOCKHOLMS LÄN</t>
        </is>
      </c>
      <c r="E99" t="inlineStr">
        <is>
          <t>NORRTÄLJE</t>
        </is>
      </c>
      <c r="G99" t="n">
        <v>7.9</v>
      </c>
      <c r="H99" t="n">
        <v>1</v>
      </c>
      <c r="I99" t="n">
        <v>2</v>
      </c>
      <c r="J99" t="n">
        <v>0</v>
      </c>
      <c r="K99" t="n">
        <v>0</v>
      </c>
      <c r="L99" t="n">
        <v>0</v>
      </c>
      <c r="M99" t="n">
        <v>0</v>
      </c>
      <c r="N99" t="n">
        <v>0</v>
      </c>
      <c r="O99" t="n">
        <v>0</v>
      </c>
      <c r="P99" t="n">
        <v>0</v>
      </c>
      <c r="Q99" t="n">
        <v>2</v>
      </c>
      <c r="R99" s="2" t="inlineStr">
        <is>
          <t>Rödgul trumpetsvamp
Skogsknipprot</t>
        </is>
      </c>
      <c r="S99">
        <f>HYPERLINK("https://klasma.github.io/Logging_0188/artfynd/A 51980-2022 artfynd.xlsx", "A 51980-2022")</f>
        <v/>
      </c>
      <c r="T99">
        <f>HYPERLINK("https://klasma.github.io/Logging_0188/kartor/A 51980-2022 karta.png", "A 51980-2022")</f>
        <v/>
      </c>
      <c r="V99">
        <f>HYPERLINK("https://klasma.github.io/Logging_0188/klagomål/A 51980-2022 FSC-klagomål.docx", "A 51980-2022")</f>
        <v/>
      </c>
      <c r="W99">
        <f>HYPERLINK("https://klasma.github.io/Logging_0188/klagomålsmail/A 51980-2022 FSC-klagomål mail.docx", "A 51980-2022")</f>
        <v/>
      </c>
      <c r="X99">
        <f>HYPERLINK("https://klasma.github.io/Logging_0188/tillsyn/A 51980-2022 tillsynsbegäran.docx", "A 51980-2022")</f>
        <v/>
      </c>
      <c r="Y99">
        <f>HYPERLINK("https://klasma.github.io/Logging_0188/tillsynsmail/A 51980-2022 tillsynsbegäran mail.docx", "A 51980-2022")</f>
        <v/>
      </c>
    </row>
    <row r="100" ht="15" customHeight="1">
      <c r="A100" t="inlineStr">
        <is>
          <t>A 7341-2023</t>
        </is>
      </c>
      <c r="B100" s="1" t="n">
        <v>44971</v>
      </c>
      <c r="C100" s="1" t="n">
        <v>45348</v>
      </c>
      <c r="D100" t="inlineStr">
        <is>
          <t>STOCKHOLMS LÄN</t>
        </is>
      </c>
      <c r="E100" t="inlineStr">
        <is>
          <t>NORRTÄLJE</t>
        </is>
      </c>
      <c r="F100" t="inlineStr">
        <is>
          <t>Holmen skog AB</t>
        </is>
      </c>
      <c r="G100" t="n">
        <v>10.7</v>
      </c>
      <c r="H100" t="n">
        <v>0</v>
      </c>
      <c r="I100" t="n">
        <v>0</v>
      </c>
      <c r="J100" t="n">
        <v>2</v>
      </c>
      <c r="K100" t="n">
        <v>0</v>
      </c>
      <c r="L100" t="n">
        <v>0</v>
      </c>
      <c r="M100" t="n">
        <v>0</v>
      </c>
      <c r="N100" t="n">
        <v>0</v>
      </c>
      <c r="O100" t="n">
        <v>2</v>
      </c>
      <c r="P100" t="n">
        <v>0</v>
      </c>
      <c r="Q100" t="n">
        <v>2</v>
      </c>
      <c r="R100" s="2" t="inlineStr">
        <is>
          <t>Mindre bastardsvärmare
Smalsprötad bastardsvärmare</t>
        </is>
      </c>
      <c r="S100">
        <f>HYPERLINK("https://klasma.github.io/Logging_0188/artfynd/A 7341-2023 artfynd.xlsx", "A 7341-2023")</f>
        <v/>
      </c>
      <c r="T100">
        <f>HYPERLINK("https://klasma.github.io/Logging_0188/kartor/A 7341-2023 karta.png", "A 7341-2023")</f>
        <v/>
      </c>
      <c r="V100">
        <f>HYPERLINK("https://klasma.github.io/Logging_0188/klagomål/A 7341-2023 FSC-klagomål.docx", "A 7341-2023")</f>
        <v/>
      </c>
      <c r="W100">
        <f>HYPERLINK("https://klasma.github.io/Logging_0188/klagomålsmail/A 7341-2023 FSC-klagomål mail.docx", "A 7341-2023")</f>
        <v/>
      </c>
      <c r="X100">
        <f>HYPERLINK("https://klasma.github.io/Logging_0188/tillsyn/A 7341-2023 tillsynsbegäran.docx", "A 7341-2023")</f>
        <v/>
      </c>
      <c r="Y100">
        <f>HYPERLINK("https://klasma.github.io/Logging_0188/tillsynsmail/A 7341-2023 tillsynsbegäran mail.docx", "A 7341-2023")</f>
        <v/>
      </c>
    </row>
    <row r="101" ht="15" customHeight="1">
      <c r="A101" t="inlineStr">
        <is>
          <t>A 10136-2023</t>
        </is>
      </c>
      <c r="B101" s="1" t="n">
        <v>44986</v>
      </c>
      <c r="C101" s="1" t="n">
        <v>45348</v>
      </c>
      <c r="D101" t="inlineStr">
        <is>
          <t>STOCKHOLMS LÄN</t>
        </is>
      </c>
      <c r="E101" t="inlineStr">
        <is>
          <t>NORRTÄLJE</t>
        </is>
      </c>
      <c r="F101" t="inlineStr">
        <is>
          <t>Övriga statliga verk och myndigheter</t>
        </is>
      </c>
      <c r="G101" t="n">
        <v>3.6</v>
      </c>
      <c r="H101" t="n">
        <v>0</v>
      </c>
      <c r="I101" t="n">
        <v>0</v>
      </c>
      <c r="J101" t="n">
        <v>1</v>
      </c>
      <c r="K101" t="n">
        <v>1</v>
      </c>
      <c r="L101" t="n">
        <v>0</v>
      </c>
      <c r="M101" t="n">
        <v>0</v>
      </c>
      <c r="N101" t="n">
        <v>0</v>
      </c>
      <c r="O101" t="n">
        <v>2</v>
      </c>
      <c r="P101" t="n">
        <v>1</v>
      </c>
      <c r="Q101" t="n">
        <v>2</v>
      </c>
      <c r="R101" s="2" t="inlineStr">
        <is>
          <t>Svartfjällig musseron
Persiljespindling</t>
        </is>
      </c>
      <c r="S101">
        <f>HYPERLINK("https://klasma.github.io/Logging_0188/artfynd/A 10136-2023 artfynd.xlsx", "A 10136-2023")</f>
        <v/>
      </c>
      <c r="T101">
        <f>HYPERLINK("https://klasma.github.io/Logging_0188/kartor/A 10136-2023 karta.png", "A 10136-2023")</f>
        <v/>
      </c>
      <c r="V101">
        <f>HYPERLINK("https://klasma.github.io/Logging_0188/klagomål/A 10136-2023 FSC-klagomål.docx", "A 10136-2023")</f>
        <v/>
      </c>
      <c r="W101">
        <f>HYPERLINK("https://klasma.github.io/Logging_0188/klagomålsmail/A 10136-2023 FSC-klagomål mail.docx", "A 10136-2023")</f>
        <v/>
      </c>
      <c r="X101">
        <f>HYPERLINK("https://klasma.github.io/Logging_0188/tillsyn/A 10136-2023 tillsynsbegäran.docx", "A 10136-2023")</f>
        <v/>
      </c>
      <c r="Y101">
        <f>HYPERLINK("https://klasma.github.io/Logging_0188/tillsynsmail/A 10136-2023 tillsynsbegäran mail.docx", "A 10136-2023")</f>
        <v/>
      </c>
    </row>
    <row r="102" ht="15" customHeight="1">
      <c r="A102" t="inlineStr">
        <is>
          <t>A 21748-2023</t>
        </is>
      </c>
      <c r="B102" s="1" t="n">
        <v>45065</v>
      </c>
      <c r="C102" s="1" t="n">
        <v>45348</v>
      </c>
      <c r="D102" t="inlineStr">
        <is>
          <t>STOCKHOLMS LÄN</t>
        </is>
      </c>
      <c r="E102" t="inlineStr">
        <is>
          <t>NORRTÄLJE</t>
        </is>
      </c>
      <c r="F102" t="inlineStr">
        <is>
          <t>Holmen skog AB</t>
        </is>
      </c>
      <c r="G102" t="n">
        <v>2.4</v>
      </c>
      <c r="H102" t="n">
        <v>0</v>
      </c>
      <c r="I102" t="n">
        <v>2</v>
      </c>
      <c r="J102" t="n">
        <v>0</v>
      </c>
      <c r="K102" t="n">
        <v>0</v>
      </c>
      <c r="L102" t="n">
        <v>0</v>
      </c>
      <c r="M102" t="n">
        <v>0</v>
      </c>
      <c r="N102" t="n">
        <v>0</v>
      </c>
      <c r="O102" t="n">
        <v>0</v>
      </c>
      <c r="P102" t="n">
        <v>0</v>
      </c>
      <c r="Q102" t="n">
        <v>2</v>
      </c>
      <c r="R102" s="2" t="inlineStr">
        <is>
          <t>Aspvedgnagare
Tibast</t>
        </is>
      </c>
      <c r="S102">
        <f>HYPERLINK("https://klasma.github.io/Logging_0188/artfynd/A 21748-2023 artfynd.xlsx", "A 21748-2023")</f>
        <v/>
      </c>
      <c r="T102">
        <f>HYPERLINK("https://klasma.github.io/Logging_0188/kartor/A 21748-2023 karta.png", "A 21748-2023")</f>
        <v/>
      </c>
      <c r="V102">
        <f>HYPERLINK("https://klasma.github.io/Logging_0188/klagomål/A 21748-2023 FSC-klagomål.docx", "A 21748-2023")</f>
        <v/>
      </c>
      <c r="W102">
        <f>HYPERLINK("https://klasma.github.io/Logging_0188/klagomålsmail/A 21748-2023 FSC-klagomål mail.docx", "A 21748-2023")</f>
        <v/>
      </c>
      <c r="X102">
        <f>HYPERLINK("https://klasma.github.io/Logging_0188/tillsyn/A 21748-2023 tillsynsbegäran.docx", "A 21748-2023")</f>
        <v/>
      </c>
      <c r="Y102">
        <f>HYPERLINK("https://klasma.github.io/Logging_0188/tillsynsmail/A 21748-2023 tillsynsbegäran mail.docx", "A 21748-2023")</f>
        <v/>
      </c>
    </row>
    <row r="103" ht="15" customHeight="1">
      <c r="A103" t="inlineStr">
        <is>
          <t>A 23861-2023</t>
        </is>
      </c>
      <c r="B103" s="1" t="n">
        <v>45078</v>
      </c>
      <c r="C103" s="1" t="n">
        <v>45348</v>
      </c>
      <c r="D103" t="inlineStr">
        <is>
          <t>STOCKHOLMS LÄN</t>
        </is>
      </c>
      <c r="E103" t="inlineStr">
        <is>
          <t>NORRTÄLJE</t>
        </is>
      </c>
      <c r="G103" t="n">
        <v>3.3</v>
      </c>
      <c r="H103" t="n">
        <v>1</v>
      </c>
      <c r="I103" t="n">
        <v>1</v>
      </c>
      <c r="J103" t="n">
        <v>0</v>
      </c>
      <c r="K103" t="n">
        <v>0</v>
      </c>
      <c r="L103" t="n">
        <v>0</v>
      </c>
      <c r="M103" t="n">
        <v>0</v>
      </c>
      <c r="N103" t="n">
        <v>0</v>
      </c>
      <c r="O103" t="n">
        <v>0</v>
      </c>
      <c r="P103" t="n">
        <v>0</v>
      </c>
      <c r="Q103" t="n">
        <v>2</v>
      </c>
      <c r="R103" s="2" t="inlineStr">
        <is>
          <t>Tibast
Blåsippa</t>
        </is>
      </c>
      <c r="S103">
        <f>HYPERLINK("https://klasma.github.io/Logging_0188/artfynd/A 23861-2023 artfynd.xlsx", "A 23861-2023")</f>
        <v/>
      </c>
      <c r="T103">
        <f>HYPERLINK("https://klasma.github.io/Logging_0188/kartor/A 23861-2023 karta.png", "A 23861-2023")</f>
        <v/>
      </c>
      <c r="V103">
        <f>HYPERLINK("https://klasma.github.io/Logging_0188/klagomål/A 23861-2023 FSC-klagomål.docx", "A 23861-2023")</f>
        <v/>
      </c>
      <c r="W103">
        <f>HYPERLINK("https://klasma.github.io/Logging_0188/klagomålsmail/A 23861-2023 FSC-klagomål mail.docx", "A 23861-2023")</f>
        <v/>
      </c>
      <c r="X103">
        <f>HYPERLINK("https://klasma.github.io/Logging_0188/tillsyn/A 23861-2023 tillsynsbegäran.docx", "A 23861-2023")</f>
        <v/>
      </c>
      <c r="Y103">
        <f>HYPERLINK("https://klasma.github.io/Logging_0188/tillsynsmail/A 23861-2023 tillsynsbegäran mail.docx", "A 23861-2023")</f>
        <v/>
      </c>
    </row>
    <row r="104" ht="15" customHeight="1">
      <c r="A104" t="inlineStr">
        <is>
          <t>A 33287-2023</t>
        </is>
      </c>
      <c r="B104" s="1" t="n">
        <v>45127</v>
      </c>
      <c r="C104" s="1" t="n">
        <v>45348</v>
      </c>
      <c r="D104" t="inlineStr">
        <is>
          <t>STOCKHOLMS LÄN</t>
        </is>
      </c>
      <c r="E104" t="inlineStr">
        <is>
          <t>NORRTÄLJE</t>
        </is>
      </c>
      <c r="F104" t="inlineStr">
        <is>
          <t>Holmen skog AB</t>
        </is>
      </c>
      <c r="G104" t="n">
        <v>3.3</v>
      </c>
      <c r="H104" t="n">
        <v>0</v>
      </c>
      <c r="I104" t="n">
        <v>0</v>
      </c>
      <c r="J104" t="n">
        <v>2</v>
      </c>
      <c r="K104" t="n">
        <v>0</v>
      </c>
      <c r="L104" t="n">
        <v>0</v>
      </c>
      <c r="M104" t="n">
        <v>0</v>
      </c>
      <c r="N104" t="n">
        <v>0</v>
      </c>
      <c r="O104" t="n">
        <v>2</v>
      </c>
      <c r="P104" t="n">
        <v>0</v>
      </c>
      <c r="Q104" t="n">
        <v>2</v>
      </c>
      <c r="R104" s="2" t="inlineStr">
        <is>
          <t>Smalsprötad bastardsvärmare
Violettkantad guldvinge</t>
        </is>
      </c>
      <c r="S104">
        <f>HYPERLINK("https://klasma.github.io/Logging_0188/artfynd/A 33287-2023 artfynd.xlsx", "A 33287-2023")</f>
        <v/>
      </c>
      <c r="T104">
        <f>HYPERLINK("https://klasma.github.io/Logging_0188/kartor/A 33287-2023 karta.png", "A 33287-2023")</f>
        <v/>
      </c>
      <c r="V104">
        <f>HYPERLINK("https://klasma.github.io/Logging_0188/klagomål/A 33287-2023 FSC-klagomål.docx", "A 33287-2023")</f>
        <v/>
      </c>
      <c r="W104">
        <f>HYPERLINK("https://klasma.github.io/Logging_0188/klagomålsmail/A 33287-2023 FSC-klagomål mail.docx", "A 33287-2023")</f>
        <v/>
      </c>
      <c r="X104">
        <f>HYPERLINK("https://klasma.github.io/Logging_0188/tillsyn/A 33287-2023 tillsynsbegäran.docx", "A 33287-2023")</f>
        <v/>
      </c>
      <c r="Y104">
        <f>HYPERLINK("https://klasma.github.io/Logging_0188/tillsynsmail/A 33287-2023 tillsynsbegäran mail.docx", "A 33287-2023")</f>
        <v/>
      </c>
    </row>
    <row r="105" ht="15" customHeight="1">
      <c r="A105" t="inlineStr">
        <is>
          <t>A 51220-2023</t>
        </is>
      </c>
      <c r="B105" s="1" t="n">
        <v>45219</v>
      </c>
      <c r="C105" s="1" t="n">
        <v>45348</v>
      </c>
      <c r="D105" t="inlineStr">
        <is>
          <t>STOCKHOLMS LÄN</t>
        </is>
      </c>
      <c r="E105" t="inlineStr">
        <is>
          <t>NORRTÄLJE</t>
        </is>
      </c>
      <c r="G105" t="n">
        <v>7.7</v>
      </c>
      <c r="H105" t="n">
        <v>1</v>
      </c>
      <c r="I105" t="n">
        <v>0</v>
      </c>
      <c r="J105" t="n">
        <v>1</v>
      </c>
      <c r="K105" t="n">
        <v>0</v>
      </c>
      <c r="L105" t="n">
        <v>0</v>
      </c>
      <c r="M105" t="n">
        <v>0</v>
      </c>
      <c r="N105" t="n">
        <v>0</v>
      </c>
      <c r="O105" t="n">
        <v>1</v>
      </c>
      <c r="P105" t="n">
        <v>0</v>
      </c>
      <c r="Q105" t="n">
        <v>2</v>
      </c>
      <c r="R105" s="2" t="inlineStr">
        <is>
          <t>Ullticka
Blåsippa</t>
        </is>
      </c>
      <c r="S105">
        <f>HYPERLINK("https://klasma.github.io/Logging_0188/artfynd/A 51220-2023 artfynd.xlsx", "A 51220-2023")</f>
        <v/>
      </c>
      <c r="T105">
        <f>HYPERLINK("https://klasma.github.io/Logging_0188/kartor/A 51220-2023 karta.png", "A 51220-2023")</f>
        <v/>
      </c>
      <c r="V105">
        <f>HYPERLINK("https://klasma.github.io/Logging_0188/klagomål/A 51220-2023 FSC-klagomål.docx", "A 51220-2023")</f>
        <v/>
      </c>
      <c r="W105">
        <f>HYPERLINK("https://klasma.github.io/Logging_0188/klagomålsmail/A 51220-2023 FSC-klagomål mail.docx", "A 51220-2023")</f>
        <v/>
      </c>
      <c r="X105">
        <f>HYPERLINK("https://klasma.github.io/Logging_0188/tillsyn/A 51220-2023 tillsynsbegäran.docx", "A 51220-2023")</f>
        <v/>
      </c>
      <c r="Y105">
        <f>HYPERLINK("https://klasma.github.io/Logging_0188/tillsynsmail/A 51220-2023 tillsynsbegäran mail.docx", "A 51220-2023")</f>
        <v/>
      </c>
    </row>
    <row r="106" ht="15" customHeight="1">
      <c r="A106" t="inlineStr">
        <is>
          <t>A 52011-2023</t>
        </is>
      </c>
      <c r="B106" s="1" t="n">
        <v>45223</v>
      </c>
      <c r="C106" s="1" t="n">
        <v>45348</v>
      </c>
      <c r="D106" t="inlineStr">
        <is>
          <t>STOCKHOLMS LÄN</t>
        </is>
      </c>
      <c r="E106" t="inlineStr">
        <is>
          <t>NORRTÄLJE</t>
        </is>
      </c>
      <c r="F106" t="inlineStr">
        <is>
          <t>Övriga Aktiebolag</t>
        </is>
      </c>
      <c r="G106" t="n">
        <v>16.6</v>
      </c>
      <c r="H106" t="n">
        <v>0</v>
      </c>
      <c r="I106" t="n">
        <v>2</v>
      </c>
      <c r="J106" t="n">
        <v>0</v>
      </c>
      <c r="K106" t="n">
        <v>0</v>
      </c>
      <c r="L106" t="n">
        <v>0</v>
      </c>
      <c r="M106" t="n">
        <v>0</v>
      </c>
      <c r="N106" t="n">
        <v>0</v>
      </c>
      <c r="O106" t="n">
        <v>0</v>
      </c>
      <c r="P106" t="n">
        <v>0</v>
      </c>
      <c r="Q106" t="n">
        <v>2</v>
      </c>
      <c r="R106" s="2" t="inlineStr">
        <is>
          <t>Mörk husmossa
Skogshakmossa</t>
        </is>
      </c>
      <c r="S106">
        <f>HYPERLINK("https://klasma.github.io/Logging_0188/artfynd/A 52011-2023 artfynd.xlsx", "A 52011-2023")</f>
        <v/>
      </c>
      <c r="T106">
        <f>HYPERLINK("https://klasma.github.io/Logging_0188/kartor/A 52011-2023 karta.png", "A 52011-2023")</f>
        <v/>
      </c>
      <c r="V106">
        <f>HYPERLINK("https://klasma.github.io/Logging_0188/klagomål/A 52011-2023 FSC-klagomål.docx", "A 52011-2023")</f>
        <v/>
      </c>
      <c r="W106">
        <f>HYPERLINK("https://klasma.github.io/Logging_0188/klagomålsmail/A 52011-2023 FSC-klagomål mail.docx", "A 52011-2023")</f>
        <v/>
      </c>
      <c r="X106">
        <f>HYPERLINK("https://klasma.github.io/Logging_0188/tillsyn/A 52011-2023 tillsynsbegäran.docx", "A 52011-2023")</f>
        <v/>
      </c>
      <c r="Y106">
        <f>HYPERLINK("https://klasma.github.io/Logging_0188/tillsynsmail/A 52011-2023 tillsynsbegäran mail.docx", "A 52011-2023")</f>
        <v/>
      </c>
    </row>
    <row r="107" ht="15" customHeight="1">
      <c r="A107" t="inlineStr">
        <is>
          <t>A 52825-2023</t>
        </is>
      </c>
      <c r="B107" s="1" t="n">
        <v>45226</v>
      </c>
      <c r="C107" s="1" t="n">
        <v>45348</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45348</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45348</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45348</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45348</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45348</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45348</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45348</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45348</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45348</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45348</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45348</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45348</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45348</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45348</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45348</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45348</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45348</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45348</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45348</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45348</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45348</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45348</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45348</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45348</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45348</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45348</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45348</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45348</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45348</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45348</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45348</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45348</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45348</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45348</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45348</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45348</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45348</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45348</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45348</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45348</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45348</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45348</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45348</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45348</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45348</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45348</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45348</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45348</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45348</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45348</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45348</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45348</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45348</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45348</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45348</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45348</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45348</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45348</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45348</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45348</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45348</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45348</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45348</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45348</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45348</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45348</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45348</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45348</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45348</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45348</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45348</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45348</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45348</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45348</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45348</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45348</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45348</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45348</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45348</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45348</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45348</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45348</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45348</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45348</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45348</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45348</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45348</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45348</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45348</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45348</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45348</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45348</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45348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45348</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45348</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45348</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45348</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45348</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45348</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45348</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45348</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45348</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45348</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45348</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45348</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45348</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45348</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45348</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45348</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45348</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45348</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45348</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45348</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45348</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45348</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45348</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45348</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45348</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45348</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45348</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45348</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45348</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45348</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45348</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45348</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45348</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45348</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45348</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45348</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45348</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45348</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45348</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45348</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45348</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45348</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45348</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45348</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45348</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45348</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45348</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45348</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45348</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45348</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45348</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45348</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45348</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45348</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45348</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45348</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45348</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45348</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45348</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45348</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45348</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45348</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45348</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45348</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45348</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45348</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45348</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45348</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45348</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45348</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45348</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45348</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45348</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45348</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45348</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45348</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45348</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45348</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45348</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45348</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45348</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45348</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45348</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45348</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45348</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45348</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45348</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45348</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45348</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45348</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45348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45348</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45348</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45348</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45348</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45348</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45348</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45348</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45348</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45348</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45348</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45348</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45348</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45348</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45348</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45348</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45348</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45348</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45348</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45348</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45348</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45348</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45348</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45348</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45348</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45348</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45348</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45348</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45348</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45348</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45348</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45348</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45348</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45348</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45348</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45348</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45348</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45348</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45348</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45348</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45348</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45348</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45348</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45348</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45348</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45348</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45348</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45348</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45348</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45348</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45348</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45348</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45348</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45348</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45348</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45348</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45348</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45348</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45348</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45348</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45348</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45348</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45348</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45348</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45348</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45348</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45348</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45348</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45348</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45348</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45348</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45348</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45348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45348</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45348</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45348</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45348</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45348</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45348</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45348</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45348</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45348</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45348</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45348</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45348</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45348</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45348</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45348</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45348</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45348</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45348</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45348</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45348</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45348</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45348</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45348</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45348</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45348</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45348</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45348</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45348</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45348</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45348</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45348</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45348</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45348</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45348</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45348</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45348</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45348</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45348</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45348</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45348</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45348</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45348</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45348</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45348</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45348</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45348</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45348</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45348</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45348</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45348</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45348</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45348</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45348</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45348</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45348</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45348</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45348</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45348</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45348</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45348</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45348</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45348</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45348</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45348</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45348</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45348</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45348</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45348</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45348</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45348</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45348</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45348</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45348</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45348</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45348</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45348</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45348</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45348</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45348</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45348</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45348</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45348</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45348</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45348</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45348</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45348</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45348</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45348</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45348</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45348</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45348</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45348</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45348</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45348</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45348</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45348</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45348</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45348</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45348</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45348</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45348</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45348</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45348</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45348</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45348</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45348</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45348</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45348</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45348</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45348</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45348</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45348</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45348</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45348</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45348</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45348</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45348</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45348</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45348</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45348</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45348</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45348</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45348</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45348</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45348</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45348</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45348</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45348</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45348</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45348</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45348</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45348</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45348</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45348</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45348</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45348</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45348</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45348</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45348</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45348</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45348</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45348</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45348</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45348</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45348</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45348</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45348</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45348</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45348</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45348</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45348</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45348</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45348</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45348</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45348</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45348</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45348</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45348</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45348</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45348</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45348</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45348</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45348</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45348</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45348</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45348</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45348</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45348</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45348</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45348</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45348</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45348</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45348</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45348</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45348</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45348</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45348</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45348</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45348</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45348</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45348</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45348</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45348</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45348</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45348</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45348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45348</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45348</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45348</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45348</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45348</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45348</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45348</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45348</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45348</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45348</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45348</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45348</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45348</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45348</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45348</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45348</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45348</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45348</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45348</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45348</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45348</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45348</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45348</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45348</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45348</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45348</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45348</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45348</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45348</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45348</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45348</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45348</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45348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45348</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45348</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45348</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45348</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45348</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45348</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45348</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45348</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45348</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45348</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45348</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45348</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45348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45348</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45348</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45348</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45348</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45348</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45348</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45348</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45348</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45348</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45348</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45348</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45348</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45348</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45348</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45348</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45348</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45348</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45348</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45348</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45348</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45348</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45348</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45348</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45348</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45348</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45348</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45348</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45348</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45348</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45348</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45348</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45348</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45348</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45348</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45348</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45348</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45348</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45348</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45348</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45348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45348</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45348</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45348</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45348</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45348</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45348</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45348</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45348</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45348</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45348</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45348</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45348</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45348</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45348</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45348</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45348</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45348</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45348</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45348</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45348</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45348</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45348</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45348</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45348</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45348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45348</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45348</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45348</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45348</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45348</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45348</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45348</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45348</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45348</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45348</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45348</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45348</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45348</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45348</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45348</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45348</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45348</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45348</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45348</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45348</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45348</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45348</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45348</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45348</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45348</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45348</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45348</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45348</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45348</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45348</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45348</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45348</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45348</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45348</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45348</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45348</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45348</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45348</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45348</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45348</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45348</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45348</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45348</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45348</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45348</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45348</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45348</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45348</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45348</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45348</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45348</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45348</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45348</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45348</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45348</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45348</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45348</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45348</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45348</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45348</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45348</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45348</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45348</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45348</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45348</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45348</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45348</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45348</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45348</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45348</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45348</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45348</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45348</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45348</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45348</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45348</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45348</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45348</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45348</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45348</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45348</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45348</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45348</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45348</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45348</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45348</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45348</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45348</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45348</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45348</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45348</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45348</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45348</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45348</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45348</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45348</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45348</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45348</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45348</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45348</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45348</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45348</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45348</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45348</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45348</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45348</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45348</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45348</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45348</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45348</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45348</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45348</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45348</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45348</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45348</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45348</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45348</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45348</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45348</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45348</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45348</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45348</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45348</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45348</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45348</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45348</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45348</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45348</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45348</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45348</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45348</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45348</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45348</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45348</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45348</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45348</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45348</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45348</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45348</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45348</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45348</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45348</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45348</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45348</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45348</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45348</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45348</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45348</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45348</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45348</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45348</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45348</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45348</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45348</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45348</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45348</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45348</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45348</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45348</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45348</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45348</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45348</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45348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45348</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45348</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45348</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45348</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45348</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45348</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45348</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45348</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45348</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45348</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45348</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45348</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45348</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45348</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45348</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45348</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45348</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45348</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45348</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45348</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45348</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45348</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45348</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45348</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45348</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45348</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45348</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45348</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45348</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45348</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45348</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45348</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45348</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45348</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45348</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45348</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45348</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45348</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45348</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45348</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45348</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45348</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45348</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45348</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45348</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45348</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45348</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45348</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45348</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45348</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45348</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45348</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45348</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45348</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45348</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45348</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45348</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45348</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45348</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45348</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45348</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45348</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45348</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45348</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45348</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45348</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45348</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45348</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45348</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45348</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45348</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45348</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45348</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45348</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45348</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45348</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45348</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45348</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45348</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45348</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45348</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45348</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45348</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45348</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45348</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45348</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45348</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45348</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45348</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45348</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45348</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45348</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45348</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45348</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45348</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45348</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45348</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45348</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45348</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45348</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45348</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45348</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45348</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45348</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45348</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45348</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45348</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45348</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45348</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45348</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45348</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45348</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45348</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45348</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45348</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45348</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45348</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45348</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45348</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45348</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45348</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45348</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45348</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45348</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45348</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45348</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45348</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45348</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45348</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45348</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45348</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45348</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45348</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45348</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45348</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45348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45348</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45348</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45348</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45348</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45348</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45348</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45348</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45348</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45348</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45348</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45348</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45348</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45348</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45348</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45348</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45348</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45348</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45348</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45348</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45348</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45348</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45348</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45348</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45348</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45348</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45348</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45348</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45348</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45348</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45348</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45348</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45348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45348</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45348</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45348</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45348</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45348</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45348</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45348</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45348</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45348</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45348</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45348</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45348</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45348</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45348</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45348</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45348</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45348</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45348</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45348</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45348</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45348</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45348</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45348</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45348</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45348</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45348</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45348</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45348</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45348</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45348</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45348</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45348</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45348</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45348</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45348</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45348</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45348</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45348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45348</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45348</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45348</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45348</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45348</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45348</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45348</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45348</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45348</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45348</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45348</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45348</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45348</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45348</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45348</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45348</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45348</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45348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45348</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45348</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45348</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45348</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45348</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45348</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45348</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45348</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45348</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45348</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45348</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45348</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45348</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45348</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45348</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45348</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45348</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45348</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45348</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45348</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45348</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45348</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45348</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45348</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45348</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45348</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45348</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45348</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45348</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45348</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45348</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45348</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45348</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45348</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45348</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45348</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45348</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45348</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45348</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45348</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45348</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45348</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45348</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45348</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45348</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45348</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45348</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45348</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45348</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45348</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45348</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45348</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45348</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45348</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45348</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45348</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45348</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45348</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45348</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45348</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45348</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45348</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45348</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45348</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45348</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45348</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45348</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45348</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45348</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45348</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45348</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45348</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45348</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45348</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45348</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45348</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45348</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45348</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45348</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45348</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45348</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45348</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45348</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45348</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45348</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45348</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45348</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45348</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45348</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45348</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45348</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45348</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45348</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45348</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45348</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45348</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45348</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45348</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45348</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45348</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45348</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45348</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45348</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45348</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45348</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45348</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45348</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45348</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45348</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45348</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45348</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45348</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45348</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45348</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45348</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45348</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45348</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45348</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45348</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45348</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45348</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45348</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45348</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45348</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45348</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45348</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45348</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45348</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45348</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45348</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45348</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45348</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45348</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45348</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45348</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45348</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45348</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45348</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45348</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45348</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45348</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45348</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45348</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45348</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45348</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45348</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45348</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45348</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45348</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45348</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45348</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45348</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45348</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45348</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45348</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45348</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45348</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45348</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45348</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45348</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45348</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45348</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45348</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45348</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45348</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45348</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45348</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45348</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45348</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45348</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45348</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45348</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45348</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45348</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45348</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45348</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45348</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45348</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45348</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45348</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45348</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45348</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45348</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45348</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45348</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45348</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45348</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45348</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45348</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45348</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45348</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45348</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45348</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45348</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45348</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45348</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45348</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45348</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45348</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45348</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45348</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45348</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45348</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45348</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45348</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45348</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45348</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45348</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45348</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45348</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45348</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45348</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45348</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45348</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45348</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45348</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45348</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45348</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45348</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45348</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45348</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45348</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45348</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45348</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45348</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45348</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45348</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45348</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45348</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45348</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45348</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45348</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45348</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45348</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45348</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45348</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45348</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45348</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45348</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45348</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45348</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45348</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45348</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45348</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45348</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45348</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45348</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45348</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45348</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45348</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45348</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45348</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45348</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45348</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45348</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45348</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45348</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45348</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45348</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45348</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45348</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45348</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45348</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45348</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45348</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45348</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45348</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45348</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45348</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45348</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45348</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45348</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45348</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45348</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45348</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45348</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45348</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45348</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45348</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45348</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45348</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45348</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45348</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45348</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45348</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45348</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45348</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45348</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45348</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45348</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45348</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45348</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45348</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45348</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45348</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45348</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45348</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45348</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45348</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45348</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45348</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45348</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45348</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45348</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45348</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45348</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45348</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45348</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45348</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45348</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45348</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45348</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45348</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45348</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45348</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45348</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45348</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45348</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45348</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45348</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45348</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45348</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45348</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45348</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45348</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45348</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45348</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45348</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45348</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45348</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45348</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45348</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45348</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45348</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45348</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45348</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45348</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45348</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45348</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45348</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45348</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45348</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45348</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45348</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45348</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45348</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45348</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45348</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45348</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45348</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45348</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45348</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45348</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45348</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45348</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45348</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45348</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45348</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45348</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45348</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45348</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45348</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45348</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45348</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45348</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45348</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45348</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45348</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45348</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45348</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45348</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45348</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45348</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45348</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45348</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45348</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45348</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45348</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45348</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45348</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45348</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45348</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45348</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45348</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45348</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45348</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45348</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45348</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45348</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45348</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45348</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45348</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45348</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45348</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45348</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45348</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45348</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45348</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45348</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45348</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45348</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45348</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45348</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45348</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45348</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45348</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45348</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45348</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45348</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45348</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45348</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45348</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45348</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45348</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45348</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45348</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45348</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45348</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45348</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45348</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45348</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45348</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45348</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45348</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45348</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45348</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45348</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45348</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45348</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45348</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45348</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45348</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45348</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45348</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45348</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45348</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45348</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45348</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45348</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45348</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45348</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45348</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45348</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45348</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45348</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45348</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45348</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45348</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45348</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45348</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45348</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45348</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45348</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45348</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45348</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45348</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45348</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45348</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45348</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45348</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45348</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45348</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45348</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45348</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45348</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45348</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45348</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45348</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45348</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45348</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45348</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45348</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45348</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45348</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45348</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45348</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45348</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45348</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45348</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45348</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45348</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45348</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45348</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45348</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45348</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45348</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45348</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45348</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45348</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45348</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45348</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45348</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45348</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45348</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45348</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45348</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45348</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45348</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45348</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45348</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45348</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45348</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45348</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45348</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45348</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45348</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45348</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45348</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45348</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45348</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45348</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45348</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45348</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45348</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45348</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45348</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45348</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45348</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45348</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45348</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45348</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45348</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45348</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45348</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45348</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45348</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45348</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45348</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45348</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45348</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45348</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45348</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45348</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45348</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45348</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45348</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45348</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45348</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45348</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45348</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45348</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45348</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45348</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45348</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45348</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45348</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45348</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45348</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45348</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45348</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45348</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45348</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45348</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45348</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45348</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45348</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45348</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45348</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45348</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45348</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45348</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45348</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45348</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45348</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45348</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45348</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45348</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45348</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45348</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45348</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45348</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45348</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45348</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45348</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45348</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45348</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45348</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45348</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45348</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45348</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45348</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45348</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45348</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45348</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45348</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45348</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45348</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45348</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45348</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45348</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45348</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45348</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45348</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45348</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45348</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45348</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45348</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45348</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45348</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45348</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45348</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45348</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45348</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45348</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45348</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45348</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45348</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45348</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45348</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45348</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45348</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45348</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45348</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45348</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45348</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45348</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45348</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45348</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45348</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45348</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45348</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45348</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45348</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45348</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45348</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45348</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45348</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45348</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45348</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45348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45348</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45348</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45348</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45348</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45348</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45348</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45348</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45348</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45348</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45348</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45348</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45348</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45348</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45348</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45348</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45348</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45348</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45348</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45348</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45348</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45348</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45348</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45348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45348</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45348</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45348</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45348</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45348</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45348</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45348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45348</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45348</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45348</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45348</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45348</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45348</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45348</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45348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45348</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45348</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45348</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45348</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45348</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45348</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45348</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45348</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45348</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45348</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45348</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45348</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45348</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45348</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45348</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45348</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45348</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45348</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45348</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45348</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45348</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45348</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45348</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45348</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45348</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45348</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45348</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45348</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45348</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45348</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45348</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45348</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45348</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45348</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45348</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45348</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45348</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45348</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45348</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45348</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45348</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45348</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45348</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45348</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45348</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45348</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45348</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45348</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45348</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45348</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45348</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45348</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45348</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45348</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45348</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45348</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45348</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45348</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45348</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45348</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45348</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45348</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45348</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45348</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45348</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45348</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45348</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45348</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45348</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45348</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45348</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45348</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45348</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45348</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45348</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45348</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45348</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45348</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45348</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45348</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45348</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45348</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45348</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45348</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45348</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45348</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45348</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45348</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45348</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45348</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45348</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45348</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45348</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45348</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45348</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45348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45348</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45348</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45348</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45348</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45348</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45348</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45348</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45348</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45348</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45348</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45348</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45348</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45348</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45348</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45348</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45348</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45348</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45348</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45348</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45348</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45348</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45348</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45348</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45348</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45348</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45348</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45348</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45348</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45348</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45348</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45348</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45348</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45348</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45348</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45348</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45348</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45348</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45348</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45348</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45348</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45348</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45348</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45348</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45348</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45348</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45348</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45348</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45348</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45348</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45348</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5683-2024</t>
        </is>
      </c>
      <c r="B1862" s="1" t="n">
        <v>45334</v>
      </c>
      <c r="C1862" s="1" t="n">
        <v>45348</v>
      </c>
      <c r="D1862" t="inlineStr">
        <is>
          <t>STOCKHOLMS LÄN</t>
        </is>
      </c>
      <c r="E1862" t="inlineStr">
        <is>
          <t>NORRTÄLJE</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5664-2024</t>
        </is>
      </c>
      <c r="B1863" s="1" t="n">
        <v>45334</v>
      </c>
      <c r="C1863" s="1" t="n">
        <v>45348</v>
      </c>
      <c r="D1863" t="inlineStr">
        <is>
          <t>STOCKHOLMS LÄN</t>
        </is>
      </c>
      <c r="E1863" t="inlineStr">
        <is>
          <t>NORRTÄLJE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45348</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45348</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45348</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45348</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45348</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45348</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45348</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45348</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45348</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7408-2024</t>
        </is>
      </c>
      <c r="B1873" s="1" t="n">
        <v>45345</v>
      </c>
      <c r="C1873" s="1" t="n">
        <v>45348</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45348</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7425-2024</t>
        </is>
      </c>
      <c r="B1875" s="1" t="n">
        <v>45345</v>
      </c>
      <c r="C1875" s="1" t="n">
        <v>45348</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7385-2024</t>
        </is>
      </c>
      <c r="B1876" s="1" t="n">
        <v>45345</v>
      </c>
      <c r="C1876" s="1" t="n">
        <v>45348</v>
      </c>
      <c r="D1876" t="inlineStr">
        <is>
          <t>STOCKHOLMS LÄN</t>
        </is>
      </c>
      <c r="E1876" t="inlineStr">
        <is>
          <t>NORRTÄLJE</t>
        </is>
      </c>
      <c r="G1876" t="n">
        <v>10</v>
      </c>
      <c r="H1876" t="n">
        <v>0</v>
      </c>
      <c r="I1876" t="n">
        <v>0</v>
      </c>
      <c r="J1876" t="n">
        <v>0</v>
      </c>
      <c r="K1876" t="n">
        <v>0</v>
      </c>
      <c r="L1876" t="n">
        <v>0</v>
      </c>
      <c r="M1876" t="n">
        <v>0</v>
      </c>
      <c r="N1876" t="n">
        <v>0</v>
      </c>
      <c r="O1876" t="n">
        <v>0</v>
      </c>
      <c r="P1876" t="n">
        <v>0</v>
      </c>
      <c r="Q1876" t="n">
        <v>0</v>
      </c>
      <c r="R1876" s="2" t="inlineStr"/>
    </row>
    <row r="1877">
      <c r="A1877" t="inlineStr">
        <is>
          <t>A 7483-2024</t>
        </is>
      </c>
      <c r="B1877" s="1" t="n">
        <v>45346</v>
      </c>
      <c r="C1877" s="1" t="n">
        <v>45348</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2024-02-26T13:00:23Z</dcterms:created>
  <dcterms:modified xmlns:dcterms="http://purl.org/dc/terms/" xmlns:xsi="http://www.w3.org/2001/XMLSchema-instance" xsi:type="dcterms:W3CDTF">2024-02-26T13:00:25Z</dcterms:modified>
</cp:coreProperties>
</file>