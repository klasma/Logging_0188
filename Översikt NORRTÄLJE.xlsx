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46154</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46154</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46154</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46154</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46154</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17645-2026</t>
        </is>
      </c>
      <c r="B18" s="1" t="n">
        <v>46121.51921296296</v>
      </c>
      <c r="C18" s="1" t="n">
        <v>46154</v>
      </c>
      <c r="D18" t="inlineStr">
        <is>
          <t>STOCKHOLMS LÄN</t>
        </is>
      </c>
      <c r="E18" t="inlineStr">
        <is>
          <t>NORRTÄLJE</t>
        </is>
      </c>
      <c r="G18" t="n">
        <v>8.199999999999999</v>
      </c>
      <c r="H18" t="n">
        <v>7</v>
      </c>
      <c r="I18" t="n">
        <v>1</v>
      </c>
      <c r="J18" t="n">
        <v>5</v>
      </c>
      <c r="K18" t="n">
        <v>1</v>
      </c>
      <c r="L18" t="n">
        <v>0</v>
      </c>
      <c r="M18" t="n">
        <v>0</v>
      </c>
      <c r="N18" t="n">
        <v>0</v>
      </c>
      <c r="O18" t="n">
        <v>6</v>
      </c>
      <c r="P18" t="n">
        <v>1</v>
      </c>
      <c r="Q18" t="n">
        <v>12</v>
      </c>
      <c r="R18" s="2" t="inlineStr">
        <is>
          <t>Knärot
Granticka
Spillkråka
Tallticka
Ullticka
Vit vedfingersvamp
Grönpyrola
Grönsiska
Järnsparv
Kungsfågel
Nattviol
Blåsippa</t>
        </is>
      </c>
      <c r="S18">
        <f>HYPERLINK("https://klasma.github.io/Logging_0188/artfynd/A 17645-2026 artfynd.xlsx", "A 17645-2026")</f>
        <v/>
      </c>
      <c r="T18">
        <f>HYPERLINK("https://klasma.github.io/Logging_0188/kartor/A 17645-2026 karta.png", "A 17645-2026")</f>
        <v/>
      </c>
      <c r="U18">
        <f>HYPERLINK("https://klasma.github.io/Logging_0188/knärot/A 17645-2026 karta knärot.png", "A 17645-2026")</f>
        <v/>
      </c>
      <c r="V18">
        <f>HYPERLINK("https://klasma.github.io/Logging_0188/klagomål/A 17645-2026 FSC-klagomål.docx", "A 17645-2026")</f>
        <v/>
      </c>
      <c r="W18">
        <f>HYPERLINK("https://klasma.github.io/Logging_0188/klagomålsmail/A 17645-2026 FSC-klagomål mail.docx", "A 17645-2026")</f>
        <v/>
      </c>
      <c r="X18">
        <f>HYPERLINK("https://klasma.github.io/Logging_0188/tillsyn/A 17645-2026 tillsynsbegäran.docx", "A 17645-2026")</f>
        <v/>
      </c>
      <c r="Y18">
        <f>HYPERLINK("https://klasma.github.io/Logging_0188/tillsynsmail/A 17645-2026 tillsynsbegäran mail.docx", "A 17645-2026")</f>
        <v/>
      </c>
      <c r="Z18">
        <f>HYPERLINK("https://klasma.github.io/Logging_0188/fåglar/A 17645-2026 prioriterade fågelarter.docx", "A 17645-2026")</f>
        <v/>
      </c>
    </row>
    <row r="19" ht="15" customHeight="1">
      <c r="A19" t="inlineStr">
        <is>
          <t>A 56792-2025</t>
        </is>
      </c>
      <c r="B19" s="1" t="n">
        <v>45978</v>
      </c>
      <c r="C19" s="1" t="n">
        <v>46154</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46154</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46154</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46154</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46154</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46154</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46154</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46154</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46154</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46154</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61099-2025</t>
        </is>
      </c>
      <c r="B29" s="1" t="n">
        <v>46000.44185185185</v>
      </c>
      <c r="C29" s="1" t="n">
        <v>46154</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46154</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46154</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46154</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46154</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46154</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46154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46154</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46154</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46154</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46154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46154</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46154</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15925-2026</t>
        </is>
      </c>
      <c r="B42" s="1" t="n">
        <v>46107.66046296297</v>
      </c>
      <c r="C42" s="1" t="n">
        <v>46154</v>
      </c>
      <c r="D42" t="inlineStr">
        <is>
          <t>STOCKHOLMS LÄN</t>
        </is>
      </c>
      <c r="E42" t="inlineStr">
        <is>
          <t>NORRTÄLJE</t>
        </is>
      </c>
      <c r="G42" t="n">
        <v>2.9</v>
      </c>
      <c r="H42" t="n">
        <v>3</v>
      </c>
      <c r="I42" t="n">
        <v>1</v>
      </c>
      <c r="J42" t="n">
        <v>2</v>
      </c>
      <c r="K42" t="n">
        <v>1</v>
      </c>
      <c r="L42" t="n">
        <v>0</v>
      </c>
      <c r="M42" t="n">
        <v>0</v>
      </c>
      <c r="N42" t="n">
        <v>0</v>
      </c>
      <c r="O42" t="n">
        <v>3</v>
      </c>
      <c r="P42" t="n">
        <v>1</v>
      </c>
      <c r="Q42" t="n">
        <v>5</v>
      </c>
      <c r="R42" s="2" t="inlineStr">
        <is>
          <t>Knärot
Spillkråka
Ullticka
Fjällig taggsvamp s.str.
Blåsippa</t>
        </is>
      </c>
      <c r="S42">
        <f>HYPERLINK("https://klasma.github.io/Logging_0188/artfynd/A 15925-2026 artfynd.xlsx", "A 15925-2026")</f>
        <v/>
      </c>
      <c r="T42">
        <f>HYPERLINK("https://klasma.github.io/Logging_0188/kartor/A 15925-2026 karta.png", "A 15925-2026")</f>
        <v/>
      </c>
      <c r="U42">
        <f>HYPERLINK("https://klasma.github.io/Logging_0188/knärot/A 15925-2026 karta knärot.png", "A 15925-2026")</f>
        <v/>
      </c>
      <c r="V42">
        <f>HYPERLINK("https://klasma.github.io/Logging_0188/klagomål/A 15925-2026 FSC-klagomål.docx", "A 15925-2026")</f>
        <v/>
      </c>
      <c r="W42">
        <f>HYPERLINK("https://klasma.github.io/Logging_0188/klagomålsmail/A 15925-2026 FSC-klagomål mail.docx", "A 15925-2026")</f>
        <v/>
      </c>
      <c r="X42">
        <f>HYPERLINK("https://klasma.github.io/Logging_0188/tillsyn/A 15925-2026 tillsynsbegäran.docx", "A 15925-2026")</f>
        <v/>
      </c>
      <c r="Y42">
        <f>HYPERLINK("https://klasma.github.io/Logging_0188/tillsynsmail/A 15925-2026 tillsynsbegäran mail.docx", "A 15925-2026")</f>
        <v/>
      </c>
      <c r="Z42">
        <f>HYPERLINK("https://klasma.github.io/Logging_0188/fåglar/A 15925-2026 prioriterade fågelarter.docx", "A 15925-2026")</f>
        <v/>
      </c>
    </row>
    <row r="43" ht="15" customHeight="1">
      <c r="A43" t="inlineStr">
        <is>
          <t>A 15913-2026</t>
        </is>
      </c>
      <c r="B43" s="1" t="n">
        <v>46107.6456712963</v>
      </c>
      <c r="C43" s="1" t="n">
        <v>46154</v>
      </c>
      <c r="D43" t="inlineStr">
        <is>
          <t>STOCKHOLMS LÄN</t>
        </is>
      </c>
      <c r="E43" t="inlineStr">
        <is>
          <t>NORRTÄLJE</t>
        </is>
      </c>
      <c r="G43" t="n">
        <v>4.2</v>
      </c>
      <c r="H43" t="n">
        <v>4</v>
      </c>
      <c r="I43" t="n">
        <v>2</v>
      </c>
      <c r="J43" t="n">
        <v>1</v>
      </c>
      <c r="K43" t="n">
        <v>0</v>
      </c>
      <c r="L43" t="n">
        <v>0</v>
      </c>
      <c r="M43" t="n">
        <v>0</v>
      </c>
      <c r="N43" t="n">
        <v>0</v>
      </c>
      <c r="O43" t="n">
        <v>1</v>
      </c>
      <c r="P43" t="n">
        <v>0</v>
      </c>
      <c r="Q43" t="n">
        <v>5</v>
      </c>
      <c r="R43" s="2" t="inlineStr">
        <is>
          <t>Talltita
Fjällig taggsvamp s.str.
Nästrot
Nattviol
Blåsippa</t>
        </is>
      </c>
      <c r="S43">
        <f>HYPERLINK("https://klasma.github.io/Logging_0188/artfynd/A 15913-2026 artfynd.xlsx", "A 15913-2026")</f>
        <v/>
      </c>
      <c r="T43">
        <f>HYPERLINK("https://klasma.github.io/Logging_0188/kartor/A 15913-2026 karta.png", "A 15913-2026")</f>
        <v/>
      </c>
      <c r="U43">
        <f>HYPERLINK("https://klasma.github.io/Logging_0188/knärot/A 15913-2026 karta knärot.png", "A 15913-2026")</f>
        <v/>
      </c>
      <c r="V43">
        <f>HYPERLINK("https://klasma.github.io/Logging_0188/klagomål/A 15913-2026 FSC-klagomål.docx", "A 15913-2026")</f>
        <v/>
      </c>
      <c r="W43">
        <f>HYPERLINK("https://klasma.github.io/Logging_0188/klagomålsmail/A 15913-2026 FSC-klagomål mail.docx", "A 15913-2026")</f>
        <v/>
      </c>
      <c r="X43">
        <f>HYPERLINK("https://klasma.github.io/Logging_0188/tillsyn/A 15913-2026 tillsynsbegäran.docx", "A 15913-2026")</f>
        <v/>
      </c>
      <c r="Y43">
        <f>HYPERLINK("https://klasma.github.io/Logging_0188/tillsynsmail/A 15913-2026 tillsynsbegäran mail.docx", "A 15913-2026")</f>
        <v/>
      </c>
      <c r="Z43">
        <f>HYPERLINK("https://klasma.github.io/Logging_0188/fåglar/A 15913-2026 prioriterade fågelarter.docx", "A 15913-2026")</f>
        <v/>
      </c>
    </row>
    <row r="44" ht="15" customHeight="1">
      <c r="A44" t="inlineStr">
        <is>
          <t>A 21922-2023</t>
        </is>
      </c>
      <c r="B44" s="1" t="n">
        <v>45068</v>
      </c>
      <c r="C44" s="1" t="n">
        <v>46154</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3444-2023</t>
        </is>
      </c>
      <c r="B45" s="1" t="n">
        <v>44949</v>
      </c>
      <c r="C45" s="1" t="n">
        <v>46154</v>
      </c>
      <c r="D45" t="inlineStr">
        <is>
          <t>STOCKHOLMS LÄN</t>
        </is>
      </c>
      <c r="E45" t="inlineStr">
        <is>
          <t>NORRTÄLJE</t>
        </is>
      </c>
      <c r="G45" t="n">
        <v>5.1</v>
      </c>
      <c r="H45" t="n">
        <v>5</v>
      </c>
      <c r="I45" t="n">
        <v>0</v>
      </c>
      <c r="J45" t="n">
        <v>1</v>
      </c>
      <c r="K45" t="n">
        <v>0</v>
      </c>
      <c r="L45" t="n">
        <v>0</v>
      </c>
      <c r="M45" t="n">
        <v>0</v>
      </c>
      <c r="N45" t="n">
        <v>0</v>
      </c>
      <c r="O45" t="n">
        <v>1</v>
      </c>
      <c r="P45" t="n">
        <v>0</v>
      </c>
      <c r="Q45" t="n">
        <v>5</v>
      </c>
      <c r="R45" s="2" t="inlineStr">
        <is>
          <t>Nordfladdermus
Dvärgpipistrell
Gråskimlig fladdermus
Större brunfladdermus
Trollpipistrell</t>
        </is>
      </c>
      <c r="S45">
        <f>HYPERLINK("https://klasma.github.io/Logging_0188/artfynd/A 3444-2023 artfynd.xlsx", "A 3444-2023")</f>
        <v/>
      </c>
      <c r="T45">
        <f>HYPERLINK("https://klasma.github.io/Logging_0188/kartor/A 3444-2023 karta.png", "A 3444-2023")</f>
        <v/>
      </c>
      <c r="V45">
        <f>HYPERLINK("https://klasma.github.io/Logging_0188/klagomål/A 3444-2023 FSC-klagomål.docx", "A 3444-2023")</f>
        <v/>
      </c>
      <c r="W45">
        <f>HYPERLINK("https://klasma.github.io/Logging_0188/klagomålsmail/A 3444-2023 FSC-klagomål mail.docx", "A 3444-2023")</f>
        <v/>
      </c>
      <c r="X45">
        <f>HYPERLINK("https://klasma.github.io/Logging_0188/tillsyn/A 3444-2023 tillsynsbegäran.docx", "A 3444-2023")</f>
        <v/>
      </c>
      <c r="Y45">
        <f>HYPERLINK("https://klasma.github.io/Logging_0188/tillsynsmail/A 3444-2023 tillsynsbegäran mail.docx", "A 3444-2023")</f>
        <v/>
      </c>
    </row>
    <row r="46" ht="15" customHeight="1">
      <c r="A46" t="inlineStr">
        <is>
          <t>A 56791-2025</t>
        </is>
      </c>
      <c r="B46" s="1" t="n">
        <v>45978</v>
      </c>
      <c r="C46" s="1" t="n">
        <v>46154</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72111-2021</t>
        </is>
      </c>
      <c r="B47" s="1" t="n">
        <v>44544</v>
      </c>
      <c r="C47" s="1" t="n">
        <v>46154</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46154</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46154</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46154</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46154</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34521-2025</t>
        </is>
      </c>
      <c r="B52" s="1" t="n">
        <v>45847.47052083333</v>
      </c>
      <c r="C52" s="1" t="n">
        <v>46154</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47212-2025</t>
        </is>
      </c>
      <c r="B53" s="1" t="n">
        <v>45930</v>
      </c>
      <c r="C53" s="1" t="n">
        <v>46154</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72305-2021</t>
        </is>
      </c>
      <c r="B54" s="1" t="n">
        <v>44545</v>
      </c>
      <c r="C54" s="1" t="n">
        <v>46154</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46154</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46154</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46154</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46154</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46154</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46154</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54110-2024</t>
        </is>
      </c>
      <c r="B61" s="1" t="n">
        <v>45616.54866898148</v>
      </c>
      <c r="C61" s="1" t="n">
        <v>46154</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46154</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46154</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46154</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46154</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20185-2022</t>
        </is>
      </c>
      <c r="B66" s="1" t="n">
        <v>44698</v>
      </c>
      <c r="C66" s="1" t="n">
        <v>46154</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22190-2024</t>
        </is>
      </c>
      <c r="B67" s="1" t="n">
        <v>45446.35888888889</v>
      </c>
      <c r="C67" s="1" t="n">
        <v>46154</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46154</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53065-2024</t>
        </is>
      </c>
      <c r="B69" s="1" t="n">
        <v>45611.47233796296</v>
      </c>
      <c r="C69" s="1" t="n">
        <v>46154</v>
      </c>
      <c r="D69" t="inlineStr">
        <is>
          <t>STOCKHOLMS LÄN</t>
        </is>
      </c>
      <c r="E69" t="inlineStr">
        <is>
          <t>NORRTÄLJE</t>
        </is>
      </c>
      <c r="G69" t="n">
        <v>12.3</v>
      </c>
      <c r="H69" t="n">
        <v>0</v>
      </c>
      <c r="I69" t="n">
        <v>1</v>
      </c>
      <c r="J69" t="n">
        <v>1</v>
      </c>
      <c r="K69" t="n">
        <v>1</v>
      </c>
      <c r="L69" t="n">
        <v>0</v>
      </c>
      <c r="M69" t="n">
        <v>0</v>
      </c>
      <c r="N69" t="n">
        <v>0</v>
      </c>
      <c r="O69" t="n">
        <v>2</v>
      </c>
      <c r="P69" t="n">
        <v>1</v>
      </c>
      <c r="Q69" t="n">
        <v>3</v>
      </c>
      <c r="R69" s="2" t="inlineStr">
        <is>
          <t>Aspsplintbock
Grön aspvedbock
Gulröd blankbock</t>
        </is>
      </c>
      <c r="S69">
        <f>HYPERLINK("https://klasma.github.io/Logging_0188/artfynd/A 53065-2024 artfynd.xlsx", "A 53065-2024")</f>
        <v/>
      </c>
      <c r="T69">
        <f>HYPERLINK("https://klasma.github.io/Logging_0188/kartor/A 53065-2024 karta.png", "A 53065-2024")</f>
        <v/>
      </c>
      <c r="V69">
        <f>HYPERLINK("https://klasma.github.io/Logging_0188/klagomål/A 53065-2024 FSC-klagomål.docx", "A 53065-2024")</f>
        <v/>
      </c>
      <c r="W69">
        <f>HYPERLINK("https://klasma.github.io/Logging_0188/klagomålsmail/A 53065-2024 FSC-klagomål mail.docx", "A 53065-2024")</f>
        <v/>
      </c>
      <c r="X69">
        <f>HYPERLINK("https://klasma.github.io/Logging_0188/tillsyn/A 53065-2024 tillsynsbegäran.docx", "A 53065-2024")</f>
        <v/>
      </c>
      <c r="Y69">
        <f>HYPERLINK("https://klasma.github.io/Logging_0188/tillsynsmail/A 53065-2024 tillsynsbegäran mail.docx", "A 53065-2024")</f>
        <v/>
      </c>
    </row>
    <row r="70" ht="15" customHeight="1">
      <c r="A70" t="inlineStr">
        <is>
          <t>A 50618-2022</t>
        </is>
      </c>
      <c r="B70" s="1" t="n">
        <v>44866</v>
      </c>
      <c r="C70" s="1" t="n">
        <v>46154</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27870-2022</t>
        </is>
      </c>
      <c r="B71" s="1" t="n">
        <v>44743.64592592593</v>
      </c>
      <c r="C71" s="1" t="n">
        <v>46154</v>
      </c>
      <c r="D71" t="inlineStr">
        <is>
          <t>STOCKHOLMS LÄN</t>
        </is>
      </c>
      <c r="E71" t="inlineStr">
        <is>
          <t>NORRTÄLJE</t>
        </is>
      </c>
      <c r="F71" t="inlineStr">
        <is>
          <t>Holmen skog AB</t>
        </is>
      </c>
      <c r="G71" t="n">
        <v>1.8</v>
      </c>
      <c r="H71" t="n">
        <v>3</v>
      </c>
      <c r="I71" t="n">
        <v>0</v>
      </c>
      <c r="J71" t="n">
        <v>1</v>
      </c>
      <c r="K71" t="n">
        <v>0</v>
      </c>
      <c r="L71" t="n">
        <v>0</v>
      </c>
      <c r="M71" t="n">
        <v>0</v>
      </c>
      <c r="N71" t="n">
        <v>0</v>
      </c>
      <c r="O71" t="n">
        <v>1</v>
      </c>
      <c r="P71" t="n">
        <v>0</v>
      </c>
      <c r="Q71" t="n">
        <v>3</v>
      </c>
      <c r="R71" s="2" t="inlineStr">
        <is>
          <t>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52133-2022</t>
        </is>
      </c>
      <c r="B72" s="1" t="n">
        <v>44868</v>
      </c>
      <c r="C72" s="1" t="n">
        <v>46154</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46154</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46154</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46154</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46154</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46154</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33548-2025</t>
        </is>
      </c>
      <c r="B78" s="1" t="n">
        <v>45841.5721875</v>
      </c>
      <c r="C78" s="1" t="n">
        <v>46154</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16260-2022</t>
        </is>
      </c>
      <c r="B79" s="1" t="n">
        <v>44670</v>
      </c>
      <c r="C79" s="1" t="n">
        <v>46154</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53608-2025</t>
        </is>
      </c>
      <c r="B80" s="1" t="n">
        <v>45960</v>
      </c>
      <c r="C80" s="1" t="n">
        <v>46154</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17952-2022</t>
        </is>
      </c>
      <c r="B81" s="1" t="n">
        <v>44683</v>
      </c>
      <c r="C81" s="1" t="n">
        <v>46154</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21781-2026</t>
        </is>
      </c>
      <c r="B82" s="1" t="n">
        <v>46150.37699074074</v>
      </c>
      <c r="C82" s="1" t="n">
        <v>46154</v>
      </c>
      <c r="D82" t="inlineStr">
        <is>
          <t>STOCKHOLMS LÄN</t>
        </is>
      </c>
      <c r="E82" t="inlineStr">
        <is>
          <t>NORRTÄLJE</t>
        </is>
      </c>
      <c r="G82" t="n">
        <v>6.2</v>
      </c>
      <c r="H82" t="n">
        <v>1</v>
      </c>
      <c r="I82" t="n">
        <v>0</v>
      </c>
      <c r="J82" t="n">
        <v>1</v>
      </c>
      <c r="K82" t="n">
        <v>1</v>
      </c>
      <c r="L82" t="n">
        <v>0</v>
      </c>
      <c r="M82" t="n">
        <v>0</v>
      </c>
      <c r="N82" t="n">
        <v>0</v>
      </c>
      <c r="O82" t="n">
        <v>2</v>
      </c>
      <c r="P82" t="n">
        <v>1</v>
      </c>
      <c r="Q82" t="n">
        <v>2</v>
      </c>
      <c r="R82" s="2" t="inlineStr">
        <is>
          <t>Hällebräcka
Slåtterfibbla</t>
        </is>
      </c>
      <c r="S82">
        <f>HYPERLINK("https://klasma.github.io/Logging_0188/artfynd/A 21781-2026 artfynd.xlsx", "A 21781-2026")</f>
        <v/>
      </c>
      <c r="T82">
        <f>HYPERLINK("https://klasma.github.io/Logging_0188/kartor/A 21781-2026 karta.png", "A 21781-2026")</f>
        <v/>
      </c>
      <c r="V82">
        <f>HYPERLINK("https://klasma.github.io/Logging_0188/klagomål/A 21781-2026 FSC-klagomål.docx", "A 21781-2026")</f>
        <v/>
      </c>
      <c r="W82">
        <f>HYPERLINK("https://klasma.github.io/Logging_0188/klagomålsmail/A 21781-2026 FSC-klagomål mail.docx", "A 21781-2026")</f>
        <v/>
      </c>
      <c r="X82">
        <f>HYPERLINK("https://klasma.github.io/Logging_0188/tillsyn/A 21781-2026 tillsynsbegäran.docx", "A 21781-2026")</f>
        <v/>
      </c>
      <c r="Y82">
        <f>HYPERLINK("https://klasma.github.io/Logging_0188/tillsynsmail/A 21781-2026 tillsynsbegäran mail.docx", "A 21781-2026")</f>
        <v/>
      </c>
    </row>
    <row r="83" ht="15" customHeight="1">
      <c r="A83" t="inlineStr">
        <is>
          <t>A 50697-2025</t>
        </is>
      </c>
      <c r="B83" s="1" t="n">
        <v>45945.90854166666</v>
      </c>
      <c r="C83" s="1" t="n">
        <v>46154</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52360-2024</t>
        </is>
      </c>
      <c r="B84" s="1" t="n">
        <v>45609.37094907407</v>
      </c>
      <c r="C84" s="1" t="n">
        <v>46154</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52825-2023</t>
        </is>
      </c>
      <c r="B85" s="1" t="n">
        <v>45226</v>
      </c>
      <c r="C85" s="1" t="n">
        <v>46154</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46154</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46154</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46154</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46154</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46154</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46154</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46154</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46154</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46154</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46154</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46154</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364-2026</t>
        </is>
      </c>
      <c r="B97" s="1" t="n">
        <v>46027.67134259259</v>
      </c>
      <c r="C97" s="1" t="n">
        <v>46154</v>
      </c>
      <c r="D97" t="inlineStr">
        <is>
          <t>STOCKHOLMS LÄN</t>
        </is>
      </c>
      <c r="E97" t="inlineStr">
        <is>
          <t>NORRTÄLJE</t>
        </is>
      </c>
      <c r="F97" t="inlineStr">
        <is>
          <t>Holmen skog AB</t>
        </is>
      </c>
      <c r="G97" t="n">
        <v>4.3</v>
      </c>
      <c r="H97" t="n">
        <v>1</v>
      </c>
      <c r="I97" t="n">
        <v>0</v>
      </c>
      <c r="J97" t="n">
        <v>0</v>
      </c>
      <c r="K97" t="n">
        <v>0</v>
      </c>
      <c r="L97" t="n">
        <v>1</v>
      </c>
      <c r="M97" t="n">
        <v>0</v>
      </c>
      <c r="N97" t="n">
        <v>0</v>
      </c>
      <c r="O97" t="n">
        <v>1</v>
      </c>
      <c r="P97" t="n">
        <v>1</v>
      </c>
      <c r="Q97" t="n">
        <v>1</v>
      </c>
      <c r="R97" s="2" t="inlineStr">
        <is>
          <t>Asknätfjäril</t>
        </is>
      </c>
      <c r="S97">
        <f>HYPERLINK("https://klasma.github.io/Logging_0188/artfynd/A 364-2026 artfynd.xlsx", "A 364-2026")</f>
        <v/>
      </c>
      <c r="T97">
        <f>HYPERLINK("https://klasma.github.io/Logging_0188/kartor/A 364-2026 karta.png", "A 364-2026")</f>
        <v/>
      </c>
      <c r="V97">
        <f>HYPERLINK("https://klasma.github.io/Logging_0188/klagomål/A 364-2026 FSC-klagomål.docx", "A 364-2026")</f>
        <v/>
      </c>
      <c r="W97">
        <f>HYPERLINK("https://klasma.github.io/Logging_0188/klagomålsmail/A 364-2026 FSC-klagomål mail.docx", "A 364-2026")</f>
        <v/>
      </c>
      <c r="X97">
        <f>HYPERLINK("https://klasma.github.io/Logging_0188/tillsyn/A 364-2026 tillsynsbegäran.docx", "A 364-2026")</f>
        <v/>
      </c>
      <c r="Y97">
        <f>HYPERLINK("https://klasma.github.io/Logging_0188/tillsynsmail/A 364-2026 tillsynsbegäran mail.docx", "A 364-2026")</f>
        <v/>
      </c>
    </row>
    <row r="98" ht="15" customHeight="1">
      <c r="A98" t="inlineStr">
        <is>
          <t>A 40192-2023</t>
        </is>
      </c>
      <c r="B98" s="1" t="n">
        <v>45169</v>
      </c>
      <c r="C98" s="1" t="n">
        <v>46154</v>
      </c>
      <c r="D98" t="inlineStr">
        <is>
          <t>STOCKHOLMS LÄN</t>
        </is>
      </c>
      <c r="E98" t="inlineStr">
        <is>
          <t>NORRTÄLJE</t>
        </is>
      </c>
      <c r="F98" t="inlineStr">
        <is>
          <t>Kyrkan</t>
        </is>
      </c>
      <c r="G98" t="n">
        <v>0.7</v>
      </c>
      <c r="H98" t="n">
        <v>1</v>
      </c>
      <c r="I98" t="n">
        <v>0</v>
      </c>
      <c r="J98" t="n">
        <v>0</v>
      </c>
      <c r="K98" t="n">
        <v>0</v>
      </c>
      <c r="L98" t="n">
        <v>0</v>
      </c>
      <c r="M98" t="n">
        <v>0</v>
      </c>
      <c r="N98" t="n">
        <v>0</v>
      </c>
      <c r="O98" t="n">
        <v>0</v>
      </c>
      <c r="P98" t="n">
        <v>0</v>
      </c>
      <c r="Q98" t="n">
        <v>1</v>
      </c>
      <c r="R98" s="2" t="inlineStr">
        <is>
          <t>Skogsduva</t>
        </is>
      </c>
      <c r="S98">
        <f>HYPERLINK("https://klasma.github.io/Logging_0188/artfynd/A 40192-2023 artfynd.xlsx", "A 40192-2023")</f>
        <v/>
      </c>
      <c r="T98">
        <f>HYPERLINK("https://klasma.github.io/Logging_0188/kartor/A 40192-2023 karta.png", "A 40192-2023")</f>
        <v/>
      </c>
      <c r="V98">
        <f>HYPERLINK("https://klasma.github.io/Logging_0188/klagomål/A 40192-2023 FSC-klagomål.docx", "A 40192-2023")</f>
        <v/>
      </c>
      <c r="W98">
        <f>HYPERLINK("https://klasma.github.io/Logging_0188/klagomålsmail/A 40192-2023 FSC-klagomål mail.docx", "A 40192-2023")</f>
        <v/>
      </c>
      <c r="X98">
        <f>HYPERLINK("https://klasma.github.io/Logging_0188/tillsyn/A 40192-2023 tillsynsbegäran.docx", "A 40192-2023")</f>
        <v/>
      </c>
      <c r="Y98">
        <f>HYPERLINK("https://klasma.github.io/Logging_0188/tillsynsmail/A 40192-2023 tillsynsbegäran mail.docx", "A 40192-2023")</f>
        <v/>
      </c>
      <c r="Z98">
        <f>HYPERLINK("https://klasma.github.io/Logging_0188/fåglar/A 40192-2023 prioriterade fågelarter.docx", "A 40192-2023")</f>
        <v/>
      </c>
    </row>
    <row r="99" ht="15" customHeight="1">
      <c r="A99" t="inlineStr">
        <is>
          <t>A 25709-2025</t>
        </is>
      </c>
      <c r="B99" s="1" t="n">
        <v>45800</v>
      </c>
      <c r="C99" s="1" t="n">
        <v>46154</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25725-2025</t>
        </is>
      </c>
      <c r="B100" s="1" t="n">
        <v>45800</v>
      </c>
      <c r="C100" s="1" t="n">
        <v>46154</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35649-2023</t>
        </is>
      </c>
      <c r="B101" s="1" t="n">
        <v>45146</v>
      </c>
      <c r="C101" s="1" t="n">
        <v>46154</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35764-2024</t>
        </is>
      </c>
      <c r="B102" s="1" t="n">
        <v>45532</v>
      </c>
      <c r="C102" s="1" t="n">
        <v>46154</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25669-2025</t>
        </is>
      </c>
      <c r="B103" s="1" t="n">
        <v>45803.62766203703</v>
      </c>
      <c r="C103" s="1" t="n">
        <v>46154</v>
      </c>
      <c r="D103" t="inlineStr">
        <is>
          <t>STOCKHOLMS LÄN</t>
        </is>
      </c>
      <c r="E103" t="inlineStr">
        <is>
          <t>NORRTÄLJE</t>
        </is>
      </c>
      <c r="F103" t="inlineStr">
        <is>
          <t>Holmen skog AB</t>
        </is>
      </c>
      <c r="G103" t="n">
        <v>3.1</v>
      </c>
      <c r="H103" t="n">
        <v>1</v>
      </c>
      <c r="I103" t="n">
        <v>0</v>
      </c>
      <c r="J103" t="n">
        <v>0</v>
      </c>
      <c r="K103" t="n">
        <v>0</v>
      </c>
      <c r="L103" t="n">
        <v>0</v>
      </c>
      <c r="M103" t="n">
        <v>0</v>
      </c>
      <c r="N103" t="n">
        <v>0</v>
      </c>
      <c r="O103" t="n">
        <v>0</v>
      </c>
      <c r="P103" t="n">
        <v>0</v>
      </c>
      <c r="Q103" t="n">
        <v>1</v>
      </c>
      <c r="R103" s="2" t="inlineStr">
        <is>
          <t>Tjäder</t>
        </is>
      </c>
      <c r="S103">
        <f>HYPERLINK("https://klasma.github.io/Logging_0188/artfynd/A 25669-2025 artfynd.xlsx", "A 25669-2025")</f>
        <v/>
      </c>
      <c r="T103">
        <f>HYPERLINK("https://klasma.github.io/Logging_0188/kartor/A 25669-2025 karta.png", "A 25669-2025")</f>
        <v/>
      </c>
      <c r="V103">
        <f>HYPERLINK("https://klasma.github.io/Logging_0188/klagomål/A 25669-2025 FSC-klagomål.docx", "A 25669-2025")</f>
        <v/>
      </c>
      <c r="W103">
        <f>HYPERLINK("https://klasma.github.io/Logging_0188/klagomålsmail/A 25669-2025 FSC-klagomål mail.docx", "A 25669-2025")</f>
        <v/>
      </c>
      <c r="X103">
        <f>HYPERLINK("https://klasma.github.io/Logging_0188/tillsyn/A 25669-2025 tillsynsbegäran.docx", "A 25669-2025")</f>
        <v/>
      </c>
      <c r="Y103">
        <f>HYPERLINK("https://klasma.github.io/Logging_0188/tillsynsmail/A 25669-2025 tillsynsbegäran mail.docx", "A 25669-2025")</f>
        <v/>
      </c>
      <c r="Z103">
        <f>HYPERLINK("https://klasma.github.io/Logging_0188/fåglar/A 25669-2025 prioriterade fågelarter.docx", "A 25669-2025")</f>
        <v/>
      </c>
    </row>
    <row r="104" ht="15" customHeight="1">
      <c r="A104" t="inlineStr">
        <is>
          <t>A 4860-2022</t>
        </is>
      </c>
      <c r="B104" s="1" t="n">
        <v>44592</v>
      </c>
      <c r="C104" s="1" t="n">
        <v>46154</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40861-2025</t>
        </is>
      </c>
      <c r="B105" s="1" t="n">
        <v>45897.56356481482</v>
      </c>
      <c r="C105" s="1" t="n">
        <v>46154</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13271-2025</t>
        </is>
      </c>
      <c r="B106" s="1" t="n">
        <v>45735.54510416667</v>
      </c>
      <c r="C106" s="1" t="n">
        <v>46154</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6381-2023</t>
        </is>
      </c>
      <c r="B107" s="1" t="n">
        <v>44965</v>
      </c>
      <c r="C107" s="1" t="n">
        <v>46154</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42313-2025</t>
        </is>
      </c>
      <c r="B108" s="1" t="n">
        <v>45904.6575</v>
      </c>
      <c r="C108" s="1" t="n">
        <v>46154</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13291-2025</t>
        </is>
      </c>
      <c r="B109" s="1" t="n">
        <v>45735</v>
      </c>
      <c r="C109" s="1" t="n">
        <v>46154</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29946-2025</t>
        </is>
      </c>
      <c r="B110" s="1" t="n">
        <v>45826.46392361111</v>
      </c>
      <c r="C110" s="1" t="n">
        <v>46154</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7734-2026</t>
        </is>
      </c>
      <c r="B111" s="1" t="n">
        <v>46062.52902777777</v>
      </c>
      <c r="C111" s="1" t="n">
        <v>46154</v>
      </c>
      <c r="D111" t="inlineStr">
        <is>
          <t>STOCKHOLMS LÄN</t>
        </is>
      </c>
      <c r="E111" t="inlineStr">
        <is>
          <t>NORRTÄLJE</t>
        </is>
      </c>
      <c r="G111" t="n">
        <v>6.6</v>
      </c>
      <c r="H111" t="n">
        <v>0</v>
      </c>
      <c r="I111" t="n">
        <v>1</v>
      </c>
      <c r="J111" t="n">
        <v>0</v>
      </c>
      <c r="K111" t="n">
        <v>0</v>
      </c>
      <c r="L111" t="n">
        <v>0</v>
      </c>
      <c r="M111" t="n">
        <v>0</v>
      </c>
      <c r="N111" t="n">
        <v>0</v>
      </c>
      <c r="O111" t="n">
        <v>0</v>
      </c>
      <c r="P111" t="n">
        <v>0</v>
      </c>
      <c r="Q111" t="n">
        <v>1</v>
      </c>
      <c r="R111" s="2" t="inlineStr">
        <is>
          <t>Kastanjefjällskivling</t>
        </is>
      </c>
      <c r="S111">
        <f>HYPERLINK("https://klasma.github.io/Logging_0188/artfynd/A 7734-2026 artfynd.xlsx", "A 7734-2026")</f>
        <v/>
      </c>
      <c r="T111">
        <f>HYPERLINK("https://klasma.github.io/Logging_0188/kartor/A 7734-2026 karta.png", "A 7734-2026")</f>
        <v/>
      </c>
      <c r="V111">
        <f>HYPERLINK("https://klasma.github.io/Logging_0188/klagomål/A 7734-2026 FSC-klagomål.docx", "A 7734-2026")</f>
        <v/>
      </c>
      <c r="W111">
        <f>HYPERLINK("https://klasma.github.io/Logging_0188/klagomålsmail/A 7734-2026 FSC-klagomål mail.docx", "A 7734-2026")</f>
        <v/>
      </c>
      <c r="X111">
        <f>HYPERLINK("https://klasma.github.io/Logging_0188/tillsyn/A 7734-2026 tillsynsbegäran.docx", "A 7734-2026")</f>
        <v/>
      </c>
      <c r="Y111">
        <f>HYPERLINK("https://klasma.github.io/Logging_0188/tillsynsmail/A 7734-2026 tillsynsbegäran mail.docx", "A 7734-2026")</f>
        <v/>
      </c>
    </row>
    <row r="112" ht="15" customHeight="1">
      <c r="A112" t="inlineStr">
        <is>
          <t>A 33546-2025</t>
        </is>
      </c>
      <c r="B112" s="1" t="n">
        <v>45841.56996527778</v>
      </c>
      <c r="C112" s="1" t="n">
        <v>46154</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58888-2021</t>
        </is>
      </c>
      <c r="B113" s="1" t="n">
        <v>44489</v>
      </c>
      <c r="C113" s="1" t="n">
        <v>46154</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8371-2025</t>
        </is>
      </c>
      <c r="B114" s="1" t="n">
        <v>45708</v>
      </c>
      <c r="C114" s="1" t="n">
        <v>46154</v>
      </c>
      <c r="D114" t="inlineStr">
        <is>
          <t>STOCKHOLMS LÄN</t>
        </is>
      </c>
      <c r="E114" t="inlineStr">
        <is>
          <t>NORRTÄLJE</t>
        </is>
      </c>
      <c r="F114" t="inlineStr">
        <is>
          <t>Övriga Aktiebolag</t>
        </is>
      </c>
      <c r="G114" t="n">
        <v>2.9</v>
      </c>
      <c r="H114" t="n">
        <v>1</v>
      </c>
      <c r="I114" t="n">
        <v>0</v>
      </c>
      <c r="J114" t="n">
        <v>1</v>
      </c>
      <c r="K114" t="n">
        <v>0</v>
      </c>
      <c r="L114" t="n">
        <v>0</v>
      </c>
      <c r="M114" t="n">
        <v>0</v>
      </c>
      <c r="N114" t="n">
        <v>0</v>
      </c>
      <c r="O114" t="n">
        <v>1</v>
      </c>
      <c r="P114" t="n">
        <v>0</v>
      </c>
      <c r="Q114" t="n">
        <v>1</v>
      </c>
      <c r="R114" s="2" t="inlineStr">
        <is>
          <t>Spillkråka</t>
        </is>
      </c>
      <c r="S114">
        <f>HYPERLINK("https://klasma.github.io/Logging_0188/artfynd/A 8371-2025 artfynd.xlsx", "A 8371-2025")</f>
        <v/>
      </c>
      <c r="T114">
        <f>HYPERLINK("https://klasma.github.io/Logging_0188/kartor/A 8371-2025 karta.png", "A 8371-2025")</f>
        <v/>
      </c>
      <c r="V114">
        <f>HYPERLINK("https://klasma.github.io/Logging_0188/klagomål/A 8371-2025 FSC-klagomål.docx", "A 8371-2025")</f>
        <v/>
      </c>
      <c r="W114">
        <f>HYPERLINK("https://klasma.github.io/Logging_0188/klagomålsmail/A 8371-2025 FSC-klagomål mail.docx", "A 8371-2025")</f>
        <v/>
      </c>
      <c r="X114">
        <f>HYPERLINK("https://klasma.github.io/Logging_0188/tillsyn/A 8371-2025 tillsynsbegäran.docx", "A 8371-2025")</f>
        <v/>
      </c>
      <c r="Y114">
        <f>HYPERLINK("https://klasma.github.io/Logging_0188/tillsynsmail/A 8371-2025 tillsynsbegäran mail.docx", "A 8371-2025")</f>
        <v/>
      </c>
      <c r="Z114">
        <f>HYPERLINK("https://klasma.github.io/Logging_0188/fåglar/A 8371-2025 prioriterade fågelarter.docx", "A 8371-2025")</f>
        <v/>
      </c>
    </row>
    <row r="115" ht="15" customHeight="1">
      <c r="A115" t="inlineStr">
        <is>
          <t>A 19355-2026</t>
        </is>
      </c>
      <c r="B115" s="1" t="n">
        <v>46133.49074074074</v>
      </c>
      <c r="C115" s="1" t="n">
        <v>46154</v>
      </c>
      <c r="D115" t="inlineStr">
        <is>
          <t>STOCKHOLMS LÄN</t>
        </is>
      </c>
      <c r="E115" t="inlineStr">
        <is>
          <t>NORRTÄLJE</t>
        </is>
      </c>
      <c r="G115" t="n">
        <v>22.5</v>
      </c>
      <c r="H115" t="n">
        <v>0</v>
      </c>
      <c r="I115" t="n">
        <v>1</v>
      </c>
      <c r="J115" t="n">
        <v>0</v>
      </c>
      <c r="K115" t="n">
        <v>0</v>
      </c>
      <c r="L115" t="n">
        <v>0</v>
      </c>
      <c r="M115" t="n">
        <v>0</v>
      </c>
      <c r="N115" t="n">
        <v>0</v>
      </c>
      <c r="O115" t="n">
        <v>0</v>
      </c>
      <c r="P115" t="n">
        <v>0</v>
      </c>
      <c r="Q115" t="n">
        <v>1</v>
      </c>
      <c r="R115" s="2" t="inlineStr">
        <is>
          <t>Mönjevaxing</t>
        </is>
      </c>
      <c r="S115">
        <f>HYPERLINK("https://klasma.github.io/Logging_0188/artfynd/A 19355-2026 artfynd.xlsx", "A 19355-2026")</f>
        <v/>
      </c>
      <c r="T115">
        <f>HYPERLINK("https://klasma.github.io/Logging_0188/kartor/A 19355-2026 karta.png", "A 19355-2026")</f>
        <v/>
      </c>
      <c r="V115">
        <f>HYPERLINK("https://klasma.github.io/Logging_0188/klagomål/A 19355-2026 FSC-klagomål.docx", "A 19355-2026")</f>
        <v/>
      </c>
      <c r="W115">
        <f>HYPERLINK("https://klasma.github.io/Logging_0188/klagomålsmail/A 19355-2026 FSC-klagomål mail.docx", "A 19355-2026")</f>
        <v/>
      </c>
      <c r="X115">
        <f>HYPERLINK("https://klasma.github.io/Logging_0188/tillsyn/A 19355-2026 tillsynsbegäran.docx", "A 19355-2026")</f>
        <v/>
      </c>
      <c r="Y115">
        <f>HYPERLINK("https://klasma.github.io/Logging_0188/tillsynsmail/A 19355-2026 tillsynsbegäran mail.docx", "A 19355-2026")</f>
        <v/>
      </c>
    </row>
    <row r="116" ht="15" customHeight="1">
      <c r="A116" t="inlineStr">
        <is>
          <t>A 21744-2023</t>
        </is>
      </c>
      <c r="B116" s="1" t="n">
        <v>45065</v>
      </c>
      <c r="C116" s="1" t="n">
        <v>46154</v>
      </c>
      <c r="D116" t="inlineStr">
        <is>
          <t>STOCKHOLMS LÄN</t>
        </is>
      </c>
      <c r="E116" t="inlineStr">
        <is>
          <t>NORRTÄLJE</t>
        </is>
      </c>
      <c r="F116" t="inlineStr">
        <is>
          <t>Holmen skog AB</t>
        </is>
      </c>
      <c r="G116" t="n">
        <v>4.2</v>
      </c>
      <c r="H116" t="n">
        <v>0</v>
      </c>
      <c r="I116" t="n">
        <v>1</v>
      </c>
      <c r="J116" t="n">
        <v>0</v>
      </c>
      <c r="K116" t="n">
        <v>0</v>
      </c>
      <c r="L116" t="n">
        <v>0</v>
      </c>
      <c r="M116" t="n">
        <v>0</v>
      </c>
      <c r="N116" t="n">
        <v>0</v>
      </c>
      <c r="O116" t="n">
        <v>0</v>
      </c>
      <c r="P116" t="n">
        <v>0</v>
      </c>
      <c r="Q116" t="n">
        <v>1</v>
      </c>
      <c r="R116" s="2" t="inlineStr">
        <is>
          <t>Korallblylav</t>
        </is>
      </c>
      <c r="S116">
        <f>HYPERLINK("https://klasma.github.io/Logging_0188/artfynd/A 21744-2023 artfynd.xlsx", "A 21744-2023")</f>
        <v/>
      </c>
      <c r="T116">
        <f>HYPERLINK("https://klasma.github.io/Logging_0188/kartor/A 21744-2023 karta.png", "A 21744-2023")</f>
        <v/>
      </c>
      <c r="V116">
        <f>HYPERLINK("https://klasma.github.io/Logging_0188/klagomål/A 21744-2023 FSC-klagomål.docx", "A 21744-2023")</f>
        <v/>
      </c>
      <c r="W116">
        <f>HYPERLINK("https://klasma.github.io/Logging_0188/klagomålsmail/A 21744-2023 FSC-klagomål mail.docx", "A 21744-2023")</f>
        <v/>
      </c>
      <c r="X116">
        <f>HYPERLINK("https://klasma.github.io/Logging_0188/tillsyn/A 21744-2023 tillsynsbegäran.docx", "A 21744-2023")</f>
        <v/>
      </c>
      <c r="Y116">
        <f>HYPERLINK("https://klasma.github.io/Logging_0188/tillsynsmail/A 21744-2023 tillsynsbegäran mail.docx", "A 21744-2023")</f>
        <v/>
      </c>
    </row>
    <row r="117" ht="15" customHeight="1">
      <c r="A117" t="inlineStr">
        <is>
          <t>A 23146-2024</t>
        </is>
      </c>
      <c r="B117" s="1" t="n">
        <v>45450.63958333333</v>
      </c>
      <c r="C117" s="1" t="n">
        <v>46154</v>
      </c>
      <c r="D117" t="inlineStr">
        <is>
          <t>STOCKHOLMS LÄN</t>
        </is>
      </c>
      <c r="E117" t="inlineStr">
        <is>
          <t>NORRTÄLJE</t>
        </is>
      </c>
      <c r="F117" t="inlineStr">
        <is>
          <t>Kommuner</t>
        </is>
      </c>
      <c r="G117" t="n">
        <v>6</v>
      </c>
      <c r="H117" t="n">
        <v>0</v>
      </c>
      <c r="I117" t="n">
        <v>0</v>
      </c>
      <c r="J117" t="n">
        <v>1</v>
      </c>
      <c r="K117" t="n">
        <v>0</v>
      </c>
      <c r="L117" t="n">
        <v>0</v>
      </c>
      <c r="M117" t="n">
        <v>0</v>
      </c>
      <c r="N117" t="n">
        <v>0</v>
      </c>
      <c r="O117" t="n">
        <v>1</v>
      </c>
      <c r="P117" t="n">
        <v>0</v>
      </c>
      <c r="Q117" t="n">
        <v>1</v>
      </c>
      <c r="R117" s="2" t="inlineStr">
        <is>
          <t>Motaggsvamp</t>
        </is>
      </c>
      <c r="S117">
        <f>HYPERLINK("https://klasma.github.io/Logging_0188/artfynd/A 23146-2024 artfynd.xlsx", "A 23146-2024")</f>
        <v/>
      </c>
      <c r="T117">
        <f>HYPERLINK("https://klasma.github.io/Logging_0188/kartor/A 23146-2024 karta.png", "A 23146-2024")</f>
        <v/>
      </c>
      <c r="V117">
        <f>HYPERLINK("https://klasma.github.io/Logging_0188/klagomål/A 23146-2024 FSC-klagomål.docx", "A 23146-2024")</f>
        <v/>
      </c>
      <c r="W117">
        <f>HYPERLINK("https://klasma.github.io/Logging_0188/klagomålsmail/A 23146-2024 FSC-klagomål mail.docx", "A 23146-2024")</f>
        <v/>
      </c>
      <c r="X117">
        <f>HYPERLINK("https://klasma.github.io/Logging_0188/tillsyn/A 23146-2024 tillsynsbegäran.docx", "A 23146-2024")</f>
        <v/>
      </c>
      <c r="Y117">
        <f>HYPERLINK("https://klasma.github.io/Logging_0188/tillsynsmail/A 23146-2024 tillsynsbegäran mail.docx", "A 23146-2024")</f>
        <v/>
      </c>
    </row>
    <row r="118" ht="15" customHeight="1">
      <c r="A118" t="inlineStr">
        <is>
          <t>A 39158-2025</t>
        </is>
      </c>
      <c r="B118" s="1" t="n">
        <v>45888</v>
      </c>
      <c r="C118" s="1" t="n">
        <v>46154</v>
      </c>
      <c r="D118" t="inlineStr">
        <is>
          <t>STOCKHOLMS LÄN</t>
        </is>
      </c>
      <c r="E118" t="inlineStr">
        <is>
          <t>NORRTÄLJE</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HYPERLINK("https://klasma.github.io/Logging_0188/artfynd/A 39158-2025 artfynd.xlsx", "A 39158-2025")</f>
        <v/>
      </c>
      <c r="T118">
        <f>HYPERLINK("https://klasma.github.io/Logging_0188/kartor/A 39158-2025 karta.png", "A 39158-2025")</f>
        <v/>
      </c>
      <c r="V118">
        <f>HYPERLINK("https://klasma.github.io/Logging_0188/klagomål/A 39158-2025 FSC-klagomål.docx", "A 39158-2025")</f>
        <v/>
      </c>
      <c r="W118">
        <f>HYPERLINK("https://klasma.github.io/Logging_0188/klagomålsmail/A 39158-2025 FSC-klagomål mail.docx", "A 39158-2025")</f>
        <v/>
      </c>
      <c r="X118">
        <f>HYPERLINK("https://klasma.github.io/Logging_0188/tillsyn/A 39158-2025 tillsynsbegäran.docx", "A 39158-2025")</f>
        <v/>
      </c>
      <c r="Y118">
        <f>HYPERLINK("https://klasma.github.io/Logging_0188/tillsynsmail/A 39158-2025 tillsynsbegäran mail.docx", "A 39158-2025")</f>
        <v/>
      </c>
    </row>
    <row r="119" ht="15" customHeight="1">
      <c r="A119" t="inlineStr">
        <is>
          <t>A 27538-2024</t>
        </is>
      </c>
      <c r="B119" s="1" t="n">
        <v>45474</v>
      </c>
      <c r="C119" s="1" t="n">
        <v>46154</v>
      </c>
      <c r="D119" t="inlineStr">
        <is>
          <t>STOCKHOLMS LÄN</t>
        </is>
      </c>
      <c r="E119" t="inlineStr">
        <is>
          <t>NORRTÄLJE</t>
        </is>
      </c>
      <c r="G119" t="n">
        <v>1.5</v>
      </c>
      <c r="H119" t="n">
        <v>1</v>
      </c>
      <c r="I119" t="n">
        <v>1</v>
      </c>
      <c r="J119" t="n">
        <v>0</v>
      </c>
      <c r="K119" t="n">
        <v>0</v>
      </c>
      <c r="L119" t="n">
        <v>0</v>
      </c>
      <c r="M119" t="n">
        <v>0</v>
      </c>
      <c r="N119" t="n">
        <v>0</v>
      </c>
      <c r="O119" t="n">
        <v>0</v>
      </c>
      <c r="P119" t="n">
        <v>0</v>
      </c>
      <c r="Q119" t="n">
        <v>1</v>
      </c>
      <c r="R119" s="2" t="inlineStr">
        <is>
          <t>Skogsknipprot</t>
        </is>
      </c>
      <c r="S119">
        <f>HYPERLINK("https://klasma.github.io/Logging_0188/artfynd/A 27538-2024 artfynd.xlsx", "A 27538-2024")</f>
        <v/>
      </c>
      <c r="T119">
        <f>HYPERLINK("https://klasma.github.io/Logging_0188/kartor/A 27538-2024 karta.png", "A 27538-2024")</f>
        <v/>
      </c>
      <c r="V119">
        <f>HYPERLINK("https://klasma.github.io/Logging_0188/klagomål/A 27538-2024 FSC-klagomål.docx", "A 27538-2024")</f>
        <v/>
      </c>
      <c r="W119">
        <f>HYPERLINK("https://klasma.github.io/Logging_0188/klagomålsmail/A 27538-2024 FSC-klagomål mail.docx", "A 27538-2024")</f>
        <v/>
      </c>
      <c r="X119">
        <f>HYPERLINK("https://klasma.github.io/Logging_0188/tillsyn/A 27538-2024 tillsynsbegäran.docx", "A 27538-2024")</f>
        <v/>
      </c>
      <c r="Y119">
        <f>HYPERLINK("https://klasma.github.io/Logging_0188/tillsynsmail/A 27538-2024 tillsynsbegäran mail.docx", "A 27538-2024")</f>
        <v/>
      </c>
    </row>
    <row r="120" ht="15" customHeight="1">
      <c r="A120" t="inlineStr">
        <is>
          <t>A 15886-2026</t>
        </is>
      </c>
      <c r="B120" s="1" t="n">
        <v>46107</v>
      </c>
      <c r="C120" s="1" t="n">
        <v>46154</v>
      </c>
      <c r="D120" t="inlineStr">
        <is>
          <t>STOCKHOLMS LÄN</t>
        </is>
      </c>
      <c r="E120" t="inlineStr">
        <is>
          <t>NORRTÄLJE</t>
        </is>
      </c>
      <c r="G120" t="n">
        <v>1.3</v>
      </c>
      <c r="H120" t="n">
        <v>1</v>
      </c>
      <c r="I120" t="n">
        <v>0</v>
      </c>
      <c r="J120" t="n">
        <v>0</v>
      </c>
      <c r="K120" t="n">
        <v>0</v>
      </c>
      <c r="L120" t="n">
        <v>1</v>
      </c>
      <c r="M120" t="n">
        <v>0</v>
      </c>
      <c r="N120" t="n">
        <v>0</v>
      </c>
      <c r="O120" t="n">
        <v>1</v>
      </c>
      <c r="P120" t="n">
        <v>1</v>
      </c>
      <c r="Q120" t="n">
        <v>1</v>
      </c>
      <c r="R120" s="2" t="inlineStr">
        <is>
          <t>Grönfink</t>
        </is>
      </c>
      <c r="S120">
        <f>HYPERLINK("https://klasma.github.io/Logging_0188/artfynd/A 15886-2026 artfynd.xlsx", "A 15886-2026")</f>
        <v/>
      </c>
      <c r="T120">
        <f>HYPERLINK("https://klasma.github.io/Logging_0188/kartor/A 15886-2026 karta.png", "A 15886-2026")</f>
        <v/>
      </c>
      <c r="V120">
        <f>HYPERLINK("https://klasma.github.io/Logging_0188/klagomål/A 15886-2026 FSC-klagomål.docx", "A 15886-2026")</f>
        <v/>
      </c>
      <c r="W120">
        <f>HYPERLINK("https://klasma.github.io/Logging_0188/klagomålsmail/A 15886-2026 FSC-klagomål mail.docx", "A 15886-2026")</f>
        <v/>
      </c>
      <c r="X120">
        <f>HYPERLINK("https://klasma.github.io/Logging_0188/tillsyn/A 15886-2026 tillsynsbegäran.docx", "A 15886-2026")</f>
        <v/>
      </c>
      <c r="Y120">
        <f>HYPERLINK("https://klasma.github.io/Logging_0188/tillsynsmail/A 15886-2026 tillsynsbegäran mail.docx", "A 15886-2026")</f>
        <v/>
      </c>
      <c r="Z120">
        <f>HYPERLINK("https://klasma.github.io/Logging_0188/fåglar/A 15886-2026 prioriterade fågelarter.docx", "A 15886-2026")</f>
        <v/>
      </c>
    </row>
    <row r="121" ht="15" customHeight="1">
      <c r="A121" t="inlineStr">
        <is>
          <t>A 4385-2023</t>
        </is>
      </c>
      <c r="B121" s="1" t="n">
        <v>44955.71322916666</v>
      </c>
      <c r="C121" s="1" t="n">
        <v>46154</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21821-2026</t>
        </is>
      </c>
      <c r="B122" s="1" t="n">
        <v>46150.48150462963</v>
      </c>
      <c r="C122" s="1" t="n">
        <v>46154</v>
      </c>
      <c r="D122" t="inlineStr">
        <is>
          <t>STOCKHOLMS LÄN</t>
        </is>
      </c>
      <c r="E122" t="inlineStr">
        <is>
          <t>NORRTÄLJE</t>
        </is>
      </c>
      <c r="G122" t="n">
        <v>2.6</v>
      </c>
      <c r="H122" t="n">
        <v>1</v>
      </c>
      <c r="I122" t="n">
        <v>0</v>
      </c>
      <c r="J122" t="n">
        <v>0</v>
      </c>
      <c r="K122" t="n">
        <v>0</v>
      </c>
      <c r="L122" t="n">
        <v>1</v>
      </c>
      <c r="M122" t="n">
        <v>0</v>
      </c>
      <c r="N122" t="n">
        <v>0</v>
      </c>
      <c r="O122" t="n">
        <v>1</v>
      </c>
      <c r="P122" t="n">
        <v>1</v>
      </c>
      <c r="Q122" t="n">
        <v>1</v>
      </c>
      <c r="R122" s="2" t="inlineStr">
        <is>
          <t>Bredgentiana</t>
        </is>
      </c>
      <c r="S122">
        <f>HYPERLINK("https://klasma.github.io/Logging_0188/artfynd/A 21821-2026 artfynd.xlsx", "A 21821-2026")</f>
        <v/>
      </c>
      <c r="T122">
        <f>HYPERLINK("https://klasma.github.io/Logging_0188/kartor/A 21821-2026 karta.png", "A 21821-2026")</f>
        <v/>
      </c>
      <c r="V122">
        <f>HYPERLINK("https://klasma.github.io/Logging_0188/klagomål/A 21821-2026 FSC-klagomål.docx", "A 21821-2026")</f>
        <v/>
      </c>
      <c r="W122">
        <f>HYPERLINK("https://klasma.github.io/Logging_0188/klagomålsmail/A 21821-2026 FSC-klagomål mail.docx", "A 21821-2026")</f>
        <v/>
      </c>
      <c r="X122">
        <f>HYPERLINK("https://klasma.github.io/Logging_0188/tillsyn/A 21821-2026 tillsynsbegäran.docx", "A 21821-2026")</f>
        <v/>
      </c>
      <c r="Y122">
        <f>HYPERLINK("https://klasma.github.io/Logging_0188/tillsynsmail/A 21821-2026 tillsynsbegäran mail.docx", "A 21821-2026")</f>
        <v/>
      </c>
    </row>
    <row r="123" ht="15" customHeight="1">
      <c r="A123" t="inlineStr">
        <is>
          <t>A 24330-2023</t>
        </is>
      </c>
      <c r="B123" s="1" t="n">
        <v>45081</v>
      </c>
      <c r="C123" s="1" t="n">
        <v>46154</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46154</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26635-2023</t>
        </is>
      </c>
      <c r="B125" s="1" t="n">
        <v>45092</v>
      </c>
      <c r="C125" s="1" t="n">
        <v>46154</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28816-2023</t>
        </is>
      </c>
      <c r="B126" s="1" t="n">
        <v>45104</v>
      </c>
      <c r="C126" s="1" t="n">
        <v>46154</v>
      </c>
      <c r="D126" t="inlineStr">
        <is>
          <t>STOCKHOLMS LÄN</t>
        </is>
      </c>
      <c r="E126" t="inlineStr">
        <is>
          <t>NORRTÄLJE</t>
        </is>
      </c>
      <c r="F126" t="inlineStr">
        <is>
          <t>Kommuner</t>
        </is>
      </c>
      <c r="G126" t="n">
        <v>0.5</v>
      </c>
      <c r="H126" t="n">
        <v>1</v>
      </c>
      <c r="I126" t="n">
        <v>0</v>
      </c>
      <c r="J126" t="n">
        <v>0</v>
      </c>
      <c r="K126" t="n">
        <v>0</v>
      </c>
      <c r="L126" t="n">
        <v>0</v>
      </c>
      <c r="M126" t="n">
        <v>0</v>
      </c>
      <c r="N126" t="n">
        <v>0</v>
      </c>
      <c r="O126" t="n">
        <v>0</v>
      </c>
      <c r="P126" t="n">
        <v>0</v>
      </c>
      <c r="Q126" t="n">
        <v>1</v>
      </c>
      <c r="R126" s="2" t="inlineStr">
        <is>
          <t>Kungsfågel</t>
        </is>
      </c>
      <c r="S126">
        <f>HYPERLINK("https://klasma.github.io/Logging_0188/artfynd/A 28816-2023 artfynd.xlsx", "A 28816-2023")</f>
        <v/>
      </c>
      <c r="T126">
        <f>HYPERLINK("https://klasma.github.io/Logging_0188/kartor/A 28816-2023 karta.png", "A 28816-2023")</f>
        <v/>
      </c>
      <c r="V126">
        <f>HYPERLINK("https://klasma.github.io/Logging_0188/klagomål/A 28816-2023 FSC-klagomål.docx", "A 28816-2023")</f>
        <v/>
      </c>
      <c r="W126">
        <f>HYPERLINK("https://klasma.github.io/Logging_0188/klagomålsmail/A 28816-2023 FSC-klagomål mail.docx", "A 28816-2023")</f>
        <v/>
      </c>
      <c r="X126">
        <f>HYPERLINK("https://klasma.github.io/Logging_0188/tillsyn/A 28816-2023 tillsynsbegäran.docx", "A 28816-2023")</f>
        <v/>
      </c>
      <c r="Y126">
        <f>HYPERLINK("https://klasma.github.io/Logging_0188/tillsynsmail/A 28816-2023 tillsynsbegäran mail.docx", "A 28816-2023")</f>
        <v/>
      </c>
      <c r="Z126">
        <f>HYPERLINK("https://klasma.github.io/Logging_0188/fåglar/A 28816-2023 prioriterade fågelarter.docx", "A 28816-2023")</f>
        <v/>
      </c>
    </row>
    <row r="127" ht="15" customHeight="1">
      <c r="A127" t="inlineStr">
        <is>
          <t>A 19829-2022</t>
        </is>
      </c>
      <c r="B127" s="1" t="n">
        <v>44695.43527777777</v>
      </c>
      <c r="C127" s="1" t="n">
        <v>46154</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35691-2023</t>
        </is>
      </c>
      <c r="B128" s="1" t="n">
        <v>45147.65222222222</v>
      </c>
      <c r="C128" s="1" t="n">
        <v>46154</v>
      </c>
      <c r="D128" t="inlineStr">
        <is>
          <t>STOCKHOLMS LÄN</t>
        </is>
      </c>
      <c r="E128" t="inlineStr">
        <is>
          <t>NORRTÄLJE</t>
        </is>
      </c>
      <c r="G128" t="n">
        <v>2.3</v>
      </c>
      <c r="H128" t="n">
        <v>1</v>
      </c>
      <c r="I128" t="n">
        <v>0</v>
      </c>
      <c r="J128" t="n">
        <v>0</v>
      </c>
      <c r="K128" t="n">
        <v>0</v>
      </c>
      <c r="L128" t="n">
        <v>0</v>
      </c>
      <c r="M128" t="n">
        <v>0</v>
      </c>
      <c r="N128" t="n">
        <v>0</v>
      </c>
      <c r="O128" t="n">
        <v>0</v>
      </c>
      <c r="P128" t="n">
        <v>0</v>
      </c>
      <c r="Q128" t="n">
        <v>1</v>
      </c>
      <c r="R128" s="2" t="inlineStr">
        <is>
          <t>Kungsfågel</t>
        </is>
      </c>
      <c r="S128">
        <f>HYPERLINK("https://klasma.github.io/Logging_0188/artfynd/A 35691-2023 artfynd.xlsx", "A 35691-2023")</f>
        <v/>
      </c>
      <c r="T128">
        <f>HYPERLINK("https://klasma.github.io/Logging_0188/kartor/A 35691-2023 karta.png", "A 35691-2023")</f>
        <v/>
      </c>
      <c r="V128">
        <f>HYPERLINK("https://klasma.github.io/Logging_0188/klagomål/A 35691-2023 FSC-klagomål.docx", "A 35691-2023")</f>
        <v/>
      </c>
      <c r="W128">
        <f>HYPERLINK("https://klasma.github.io/Logging_0188/klagomålsmail/A 35691-2023 FSC-klagomål mail.docx", "A 35691-2023")</f>
        <v/>
      </c>
      <c r="X128">
        <f>HYPERLINK("https://klasma.github.io/Logging_0188/tillsyn/A 35691-2023 tillsynsbegäran.docx", "A 35691-2023")</f>
        <v/>
      </c>
      <c r="Y128">
        <f>HYPERLINK("https://klasma.github.io/Logging_0188/tillsynsmail/A 35691-2023 tillsynsbegäran mail.docx", "A 35691-2023")</f>
        <v/>
      </c>
      <c r="Z128">
        <f>HYPERLINK("https://klasma.github.io/Logging_0188/fåglar/A 35691-2023 prioriterade fågelarter.docx", "A 35691-2023")</f>
        <v/>
      </c>
    </row>
    <row r="129" ht="15" customHeight="1">
      <c r="A129" t="inlineStr">
        <is>
          <t>A 35693-2023</t>
        </is>
      </c>
      <c r="B129" s="1" t="n">
        <v>45147.65311342593</v>
      </c>
      <c r="C129" s="1" t="n">
        <v>46154</v>
      </c>
      <c r="D129" t="inlineStr">
        <is>
          <t>STOCKHOLMS LÄN</t>
        </is>
      </c>
      <c r="E129" t="inlineStr">
        <is>
          <t>NORRTÄLJE</t>
        </is>
      </c>
      <c r="G129" t="n">
        <v>2.2</v>
      </c>
      <c r="H129" t="n">
        <v>0</v>
      </c>
      <c r="I129" t="n">
        <v>0</v>
      </c>
      <c r="J129" t="n">
        <v>1</v>
      </c>
      <c r="K129" t="n">
        <v>0</v>
      </c>
      <c r="L129" t="n">
        <v>0</v>
      </c>
      <c r="M129" t="n">
        <v>0</v>
      </c>
      <c r="N129" t="n">
        <v>0</v>
      </c>
      <c r="O129" t="n">
        <v>1</v>
      </c>
      <c r="P129" t="n">
        <v>0</v>
      </c>
      <c r="Q129" t="n">
        <v>1</v>
      </c>
      <c r="R129" s="2" t="inlineStr">
        <is>
          <t>Motaggsvamp</t>
        </is>
      </c>
      <c r="S129">
        <f>HYPERLINK("https://klasma.github.io/Logging_0188/artfynd/A 35693-2023 artfynd.xlsx", "A 35693-2023")</f>
        <v/>
      </c>
      <c r="T129">
        <f>HYPERLINK("https://klasma.github.io/Logging_0188/kartor/A 35693-2023 karta.png", "A 35693-2023")</f>
        <v/>
      </c>
      <c r="V129">
        <f>HYPERLINK("https://klasma.github.io/Logging_0188/klagomål/A 35693-2023 FSC-klagomål.docx", "A 35693-2023")</f>
        <v/>
      </c>
      <c r="W129">
        <f>HYPERLINK("https://klasma.github.io/Logging_0188/klagomålsmail/A 35693-2023 FSC-klagomål mail.docx", "A 35693-2023")</f>
        <v/>
      </c>
      <c r="X129">
        <f>HYPERLINK("https://klasma.github.io/Logging_0188/tillsyn/A 35693-2023 tillsynsbegäran.docx", "A 35693-2023")</f>
        <v/>
      </c>
      <c r="Y129">
        <f>HYPERLINK("https://klasma.github.io/Logging_0188/tillsynsmail/A 35693-2023 tillsynsbegäran mail.docx", "A 35693-2023")</f>
        <v/>
      </c>
    </row>
    <row r="130" ht="15" customHeight="1">
      <c r="A130" t="inlineStr">
        <is>
          <t>A 52775-2025</t>
        </is>
      </c>
      <c r="B130" s="1" t="n">
        <v>45957.41608796296</v>
      </c>
      <c r="C130" s="1" t="n">
        <v>46154</v>
      </c>
      <c r="D130" t="inlineStr">
        <is>
          <t>STOCKHOLMS LÄN</t>
        </is>
      </c>
      <c r="E130" t="inlineStr">
        <is>
          <t>NORRTÄLJE</t>
        </is>
      </c>
      <c r="F130" t="inlineStr">
        <is>
          <t>Sveaskog</t>
        </is>
      </c>
      <c r="G130" t="n">
        <v>5.6</v>
      </c>
      <c r="H130" t="n">
        <v>0</v>
      </c>
      <c r="I130" t="n">
        <v>0</v>
      </c>
      <c r="J130" t="n">
        <v>1</v>
      </c>
      <c r="K130" t="n">
        <v>0</v>
      </c>
      <c r="L130" t="n">
        <v>0</v>
      </c>
      <c r="M130" t="n">
        <v>0</v>
      </c>
      <c r="N130" t="n">
        <v>0</v>
      </c>
      <c r="O130" t="n">
        <v>1</v>
      </c>
      <c r="P130" t="n">
        <v>0</v>
      </c>
      <c r="Q130" t="n">
        <v>1</v>
      </c>
      <c r="R130" s="2" t="inlineStr">
        <is>
          <t>Vedtrappmossa</t>
        </is>
      </c>
      <c r="S130">
        <f>HYPERLINK("https://klasma.github.io/Logging_0188/artfynd/A 52775-2025 artfynd.xlsx", "A 52775-2025")</f>
        <v/>
      </c>
      <c r="T130">
        <f>HYPERLINK("https://klasma.github.io/Logging_0188/kartor/A 52775-2025 karta.png", "A 52775-2025")</f>
        <v/>
      </c>
      <c r="V130">
        <f>HYPERLINK("https://klasma.github.io/Logging_0188/klagomål/A 52775-2025 FSC-klagomål.docx", "A 52775-2025")</f>
        <v/>
      </c>
      <c r="W130">
        <f>HYPERLINK("https://klasma.github.io/Logging_0188/klagomålsmail/A 52775-2025 FSC-klagomål mail.docx", "A 52775-2025")</f>
        <v/>
      </c>
      <c r="X130">
        <f>HYPERLINK("https://klasma.github.io/Logging_0188/tillsyn/A 52775-2025 tillsynsbegäran.docx", "A 52775-2025")</f>
        <v/>
      </c>
      <c r="Y130">
        <f>HYPERLINK("https://klasma.github.io/Logging_0188/tillsynsmail/A 52775-2025 tillsynsbegäran mail.docx", "A 52775-2025")</f>
        <v/>
      </c>
    </row>
    <row r="131" ht="15" customHeight="1">
      <c r="A131" t="inlineStr">
        <is>
          <t>A 53716-2025</t>
        </is>
      </c>
      <c r="B131" s="1" t="n">
        <v>45960.61782407408</v>
      </c>
      <c r="C131" s="1" t="n">
        <v>46154</v>
      </c>
      <c r="D131" t="inlineStr">
        <is>
          <t>STOCKHOLMS LÄN</t>
        </is>
      </c>
      <c r="E131" t="inlineStr">
        <is>
          <t>NORRTÄLJE</t>
        </is>
      </c>
      <c r="G131" t="n">
        <v>3.4</v>
      </c>
      <c r="H131" t="n">
        <v>0</v>
      </c>
      <c r="I131" t="n">
        <v>0</v>
      </c>
      <c r="J131" t="n">
        <v>0</v>
      </c>
      <c r="K131" t="n">
        <v>0</v>
      </c>
      <c r="L131" t="n">
        <v>1</v>
      </c>
      <c r="M131" t="n">
        <v>0</v>
      </c>
      <c r="N131" t="n">
        <v>0</v>
      </c>
      <c r="O131" t="n">
        <v>1</v>
      </c>
      <c r="P131" t="n">
        <v>1</v>
      </c>
      <c r="Q131" t="n">
        <v>1</v>
      </c>
      <c r="R131" s="2" t="inlineStr">
        <is>
          <t>Fältgentiana</t>
        </is>
      </c>
      <c r="S131">
        <f>HYPERLINK("https://klasma.github.io/Logging_0188/artfynd/A 53716-2025 artfynd.xlsx", "A 53716-2025")</f>
        <v/>
      </c>
      <c r="T131">
        <f>HYPERLINK("https://klasma.github.io/Logging_0188/kartor/A 53716-2025 karta.png", "A 53716-2025")</f>
        <v/>
      </c>
      <c r="V131">
        <f>HYPERLINK("https://klasma.github.io/Logging_0188/klagomål/A 53716-2025 FSC-klagomål.docx", "A 53716-2025")</f>
        <v/>
      </c>
      <c r="W131">
        <f>HYPERLINK("https://klasma.github.io/Logging_0188/klagomålsmail/A 53716-2025 FSC-klagomål mail.docx", "A 53716-2025")</f>
        <v/>
      </c>
      <c r="X131">
        <f>HYPERLINK("https://klasma.github.io/Logging_0188/tillsyn/A 53716-2025 tillsynsbegäran.docx", "A 53716-2025")</f>
        <v/>
      </c>
      <c r="Y131">
        <f>HYPERLINK("https://klasma.github.io/Logging_0188/tillsynsmail/A 53716-2025 tillsynsbegäran mail.docx", "A 53716-2025")</f>
        <v/>
      </c>
    </row>
    <row r="132" ht="15" customHeight="1">
      <c r="A132" t="inlineStr">
        <is>
          <t>A 16870-2025</t>
        </is>
      </c>
      <c r="B132" s="1" t="n">
        <v>45754</v>
      </c>
      <c r="C132" s="1" t="n">
        <v>46154</v>
      </c>
      <c r="D132" t="inlineStr">
        <is>
          <t>STOCKHOLMS LÄN</t>
        </is>
      </c>
      <c r="E132" t="inlineStr">
        <is>
          <t>NORRTÄLJE</t>
        </is>
      </c>
      <c r="G132" t="n">
        <v>24.6</v>
      </c>
      <c r="H132" t="n">
        <v>1</v>
      </c>
      <c r="I132" t="n">
        <v>0</v>
      </c>
      <c r="J132" t="n">
        <v>0</v>
      </c>
      <c r="K132" t="n">
        <v>0</v>
      </c>
      <c r="L132" t="n">
        <v>0</v>
      </c>
      <c r="M132" t="n">
        <v>0</v>
      </c>
      <c r="N132" t="n">
        <v>0</v>
      </c>
      <c r="O132" t="n">
        <v>0</v>
      </c>
      <c r="P132" t="n">
        <v>0</v>
      </c>
      <c r="Q132" t="n">
        <v>1</v>
      </c>
      <c r="R132" s="2" t="inlineStr">
        <is>
          <t>Vanlig groda</t>
        </is>
      </c>
      <c r="S132">
        <f>HYPERLINK("https://klasma.github.io/Logging_0188/artfynd/A 16870-2025 artfynd.xlsx", "A 16870-2025")</f>
        <v/>
      </c>
      <c r="T132">
        <f>HYPERLINK("https://klasma.github.io/Logging_0188/kartor/A 16870-2025 karta.png", "A 16870-2025")</f>
        <v/>
      </c>
      <c r="V132">
        <f>HYPERLINK("https://klasma.github.io/Logging_0188/klagomål/A 16870-2025 FSC-klagomål.docx", "A 16870-2025")</f>
        <v/>
      </c>
      <c r="W132">
        <f>HYPERLINK("https://klasma.github.io/Logging_0188/klagomålsmail/A 16870-2025 FSC-klagomål mail.docx", "A 16870-2025")</f>
        <v/>
      </c>
      <c r="X132">
        <f>HYPERLINK("https://klasma.github.io/Logging_0188/tillsyn/A 16870-2025 tillsynsbegäran.docx", "A 16870-2025")</f>
        <v/>
      </c>
      <c r="Y132">
        <f>HYPERLINK("https://klasma.github.io/Logging_0188/tillsynsmail/A 16870-2025 tillsynsbegäran mail.docx", "A 16870-2025")</f>
        <v/>
      </c>
    </row>
    <row r="133" ht="15" customHeight="1">
      <c r="A133" t="inlineStr">
        <is>
          <t>A 59682-2025</t>
        </is>
      </c>
      <c r="B133" s="1" t="n">
        <v>45992.47116898148</v>
      </c>
      <c r="C133" s="1" t="n">
        <v>46154</v>
      </c>
      <c r="D133" t="inlineStr">
        <is>
          <t>STOCKHOLMS LÄN</t>
        </is>
      </c>
      <c r="E133" t="inlineStr">
        <is>
          <t>NORRTÄLJE</t>
        </is>
      </c>
      <c r="G133" t="n">
        <v>1.6</v>
      </c>
      <c r="H133" t="n">
        <v>0</v>
      </c>
      <c r="I133" t="n">
        <v>1</v>
      </c>
      <c r="J133" t="n">
        <v>0</v>
      </c>
      <c r="K133" t="n">
        <v>0</v>
      </c>
      <c r="L133" t="n">
        <v>0</v>
      </c>
      <c r="M133" t="n">
        <v>0</v>
      </c>
      <c r="N133" t="n">
        <v>0</v>
      </c>
      <c r="O133" t="n">
        <v>0</v>
      </c>
      <c r="P133" t="n">
        <v>0</v>
      </c>
      <c r="Q133" t="n">
        <v>1</v>
      </c>
      <c r="R133" s="2" t="inlineStr">
        <is>
          <t>Grönpyrola</t>
        </is>
      </c>
      <c r="S133">
        <f>HYPERLINK("https://klasma.github.io/Logging_0188/artfynd/A 59682-2025 artfynd.xlsx", "A 59682-2025")</f>
        <v/>
      </c>
      <c r="T133">
        <f>HYPERLINK("https://klasma.github.io/Logging_0188/kartor/A 59682-2025 karta.png", "A 59682-2025")</f>
        <v/>
      </c>
      <c r="V133">
        <f>HYPERLINK("https://klasma.github.io/Logging_0188/klagomål/A 59682-2025 FSC-klagomål.docx", "A 59682-2025")</f>
        <v/>
      </c>
      <c r="W133">
        <f>HYPERLINK("https://klasma.github.io/Logging_0188/klagomålsmail/A 59682-2025 FSC-klagomål mail.docx", "A 59682-2025")</f>
        <v/>
      </c>
      <c r="X133">
        <f>HYPERLINK("https://klasma.github.io/Logging_0188/tillsyn/A 59682-2025 tillsynsbegäran.docx", "A 59682-2025")</f>
        <v/>
      </c>
      <c r="Y133">
        <f>HYPERLINK("https://klasma.github.io/Logging_0188/tillsynsmail/A 59682-2025 tillsynsbegäran mail.docx", "A 59682-2025")</f>
        <v/>
      </c>
    </row>
    <row r="134" ht="15" customHeight="1">
      <c r="A134" t="inlineStr">
        <is>
          <t>A 4532-2025</t>
        </is>
      </c>
      <c r="B134" s="1" t="n">
        <v>45687.34177083334</v>
      </c>
      <c r="C134" s="1" t="n">
        <v>46154</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62715-2025</t>
        </is>
      </c>
      <c r="B135" s="1" t="n">
        <v>46008.52034722222</v>
      </c>
      <c r="C135" s="1" t="n">
        <v>46154</v>
      </c>
      <c r="D135" t="inlineStr">
        <is>
          <t>STOCKHOLMS LÄN</t>
        </is>
      </c>
      <c r="E135" t="inlineStr">
        <is>
          <t>NORRTÄLJE</t>
        </is>
      </c>
      <c r="G135" t="n">
        <v>0.8</v>
      </c>
      <c r="H135" t="n">
        <v>0</v>
      </c>
      <c r="I135" t="n">
        <v>1</v>
      </c>
      <c r="J135" t="n">
        <v>0</v>
      </c>
      <c r="K135" t="n">
        <v>0</v>
      </c>
      <c r="L135" t="n">
        <v>0</v>
      </c>
      <c r="M135" t="n">
        <v>0</v>
      </c>
      <c r="N135" t="n">
        <v>0</v>
      </c>
      <c r="O135" t="n">
        <v>0</v>
      </c>
      <c r="P135" t="n">
        <v>0</v>
      </c>
      <c r="Q135" t="n">
        <v>1</v>
      </c>
      <c r="R135" s="2" t="inlineStr">
        <is>
          <t>Granbarkgnagare</t>
        </is>
      </c>
      <c r="S135">
        <f>HYPERLINK("https://klasma.github.io/Logging_0188/artfynd/A 62715-2025 artfynd.xlsx", "A 62715-2025")</f>
        <v/>
      </c>
      <c r="T135">
        <f>HYPERLINK("https://klasma.github.io/Logging_0188/kartor/A 62715-2025 karta.png", "A 62715-2025")</f>
        <v/>
      </c>
      <c r="V135">
        <f>HYPERLINK("https://klasma.github.io/Logging_0188/klagomål/A 62715-2025 FSC-klagomål.docx", "A 62715-2025")</f>
        <v/>
      </c>
      <c r="W135">
        <f>HYPERLINK("https://klasma.github.io/Logging_0188/klagomålsmail/A 62715-2025 FSC-klagomål mail.docx", "A 62715-2025")</f>
        <v/>
      </c>
      <c r="X135">
        <f>HYPERLINK("https://klasma.github.io/Logging_0188/tillsyn/A 62715-2025 tillsynsbegäran.docx", "A 62715-2025")</f>
        <v/>
      </c>
      <c r="Y135">
        <f>HYPERLINK("https://klasma.github.io/Logging_0188/tillsynsmail/A 62715-2025 tillsynsbegäran mail.docx", "A 62715-2025")</f>
        <v/>
      </c>
    </row>
    <row r="136" ht="15" customHeight="1">
      <c r="A136" t="inlineStr">
        <is>
          <t>A 63292-2025</t>
        </is>
      </c>
      <c r="B136" s="1" t="n">
        <v>46010.59232638889</v>
      </c>
      <c r="C136" s="1" t="n">
        <v>46154</v>
      </c>
      <c r="D136" t="inlineStr">
        <is>
          <t>STOCKHOLMS LÄN</t>
        </is>
      </c>
      <c r="E136" t="inlineStr">
        <is>
          <t>NORRTÄLJE</t>
        </is>
      </c>
      <c r="G136" t="n">
        <v>11.1</v>
      </c>
      <c r="H136" t="n">
        <v>1</v>
      </c>
      <c r="I136" t="n">
        <v>1</v>
      </c>
      <c r="J136" t="n">
        <v>0</v>
      </c>
      <c r="K136" t="n">
        <v>0</v>
      </c>
      <c r="L136" t="n">
        <v>0</v>
      </c>
      <c r="M136" t="n">
        <v>0</v>
      </c>
      <c r="N136" t="n">
        <v>0</v>
      </c>
      <c r="O136" t="n">
        <v>0</v>
      </c>
      <c r="P136" t="n">
        <v>0</v>
      </c>
      <c r="Q136" t="n">
        <v>1</v>
      </c>
      <c r="R136" s="2" t="inlineStr">
        <is>
          <t>Nästrot</t>
        </is>
      </c>
      <c r="S136">
        <f>HYPERLINK("https://klasma.github.io/Logging_0188/artfynd/A 63292-2025 artfynd.xlsx", "A 63292-2025")</f>
        <v/>
      </c>
      <c r="T136">
        <f>HYPERLINK("https://klasma.github.io/Logging_0188/kartor/A 63292-2025 karta.png", "A 63292-2025")</f>
        <v/>
      </c>
      <c r="V136">
        <f>HYPERLINK("https://klasma.github.io/Logging_0188/klagomål/A 63292-2025 FSC-klagomål.docx", "A 63292-2025")</f>
        <v/>
      </c>
      <c r="W136">
        <f>HYPERLINK("https://klasma.github.io/Logging_0188/klagomålsmail/A 63292-2025 FSC-klagomål mail.docx", "A 63292-2025")</f>
        <v/>
      </c>
      <c r="X136">
        <f>HYPERLINK("https://klasma.github.io/Logging_0188/tillsyn/A 63292-2025 tillsynsbegäran.docx", "A 63292-2025")</f>
        <v/>
      </c>
      <c r="Y136">
        <f>HYPERLINK("https://klasma.github.io/Logging_0188/tillsynsmail/A 63292-2025 tillsynsbegäran mail.docx", "A 63292-2025")</f>
        <v/>
      </c>
    </row>
    <row r="137" ht="15" customHeight="1">
      <c r="A137" t="inlineStr">
        <is>
          <t>A 14365-2025</t>
        </is>
      </c>
      <c r="B137" s="1" t="n">
        <v>45741.38688657407</v>
      </c>
      <c r="C137" s="1" t="n">
        <v>46154</v>
      </c>
      <c r="D137" t="inlineStr">
        <is>
          <t>STOCKHOLMS LÄN</t>
        </is>
      </c>
      <c r="E137" t="inlineStr">
        <is>
          <t>NORRTÄLJE</t>
        </is>
      </c>
      <c r="G137" t="n">
        <v>2.4</v>
      </c>
      <c r="H137" t="n">
        <v>0</v>
      </c>
      <c r="I137" t="n">
        <v>0</v>
      </c>
      <c r="J137" t="n">
        <v>1</v>
      </c>
      <c r="K137" t="n">
        <v>0</v>
      </c>
      <c r="L137" t="n">
        <v>0</v>
      </c>
      <c r="M137" t="n">
        <v>0</v>
      </c>
      <c r="N137" t="n">
        <v>0</v>
      </c>
      <c r="O137" t="n">
        <v>1</v>
      </c>
      <c r="P137" t="n">
        <v>0</v>
      </c>
      <c r="Q137" t="n">
        <v>1</v>
      </c>
      <c r="R137" s="2" t="inlineStr">
        <is>
          <t>Granticka</t>
        </is>
      </c>
      <c r="S137">
        <f>HYPERLINK("https://klasma.github.io/Logging_0188/artfynd/A 14365-2025 artfynd.xlsx", "A 14365-2025")</f>
        <v/>
      </c>
      <c r="T137">
        <f>HYPERLINK("https://klasma.github.io/Logging_0188/kartor/A 14365-2025 karta.png", "A 14365-2025")</f>
        <v/>
      </c>
      <c r="V137">
        <f>HYPERLINK("https://klasma.github.io/Logging_0188/klagomål/A 14365-2025 FSC-klagomål.docx", "A 14365-2025")</f>
        <v/>
      </c>
      <c r="W137">
        <f>HYPERLINK("https://klasma.github.io/Logging_0188/klagomålsmail/A 14365-2025 FSC-klagomål mail.docx", "A 14365-2025")</f>
        <v/>
      </c>
      <c r="X137">
        <f>HYPERLINK("https://klasma.github.io/Logging_0188/tillsyn/A 14365-2025 tillsynsbegäran.docx", "A 14365-2025")</f>
        <v/>
      </c>
      <c r="Y137">
        <f>HYPERLINK("https://klasma.github.io/Logging_0188/tillsynsmail/A 14365-2025 tillsynsbegäran mail.docx", "A 14365-2025")</f>
        <v/>
      </c>
    </row>
    <row r="138" ht="15" customHeight="1">
      <c r="A138" t="inlineStr">
        <is>
          <t>A 21150-2022</t>
        </is>
      </c>
      <c r="B138" s="1" t="n">
        <v>44704</v>
      </c>
      <c r="C138" s="1" t="n">
        <v>46154</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26120-2024</t>
        </is>
      </c>
      <c r="B139" s="1" t="n">
        <v>45468.45995370371</v>
      </c>
      <c r="C139" s="1" t="n">
        <v>46154</v>
      </c>
      <c r="D139" t="inlineStr">
        <is>
          <t>STOCKHOLMS LÄN</t>
        </is>
      </c>
      <c r="E139" t="inlineStr">
        <is>
          <t>NORRTÄLJE</t>
        </is>
      </c>
      <c r="G139" t="n">
        <v>1.8</v>
      </c>
      <c r="H139" t="n">
        <v>0</v>
      </c>
      <c r="I139" t="n">
        <v>0</v>
      </c>
      <c r="J139" t="n">
        <v>1</v>
      </c>
      <c r="K139" t="n">
        <v>0</v>
      </c>
      <c r="L139" t="n">
        <v>0</v>
      </c>
      <c r="M139" t="n">
        <v>0</v>
      </c>
      <c r="N139" t="n">
        <v>0</v>
      </c>
      <c r="O139" t="n">
        <v>1</v>
      </c>
      <c r="P139" t="n">
        <v>0</v>
      </c>
      <c r="Q139" t="n">
        <v>1</v>
      </c>
      <c r="R139" s="2" t="inlineStr">
        <is>
          <t>Majviva</t>
        </is>
      </c>
      <c r="S139">
        <f>HYPERLINK("https://klasma.github.io/Logging_0188/artfynd/A 26120-2024 artfynd.xlsx", "A 26120-2024")</f>
        <v/>
      </c>
      <c r="T139">
        <f>HYPERLINK("https://klasma.github.io/Logging_0188/kartor/A 26120-2024 karta.png", "A 26120-2024")</f>
        <v/>
      </c>
      <c r="V139">
        <f>HYPERLINK("https://klasma.github.io/Logging_0188/klagomål/A 26120-2024 FSC-klagomål.docx", "A 26120-2024")</f>
        <v/>
      </c>
      <c r="W139">
        <f>HYPERLINK("https://klasma.github.io/Logging_0188/klagomålsmail/A 26120-2024 FSC-klagomål mail.docx", "A 26120-2024")</f>
        <v/>
      </c>
      <c r="X139">
        <f>HYPERLINK("https://klasma.github.io/Logging_0188/tillsyn/A 26120-2024 tillsynsbegäran.docx", "A 26120-2024")</f>
        <v/>
      </c>
      <c r="Y139">
        <f>HYPERLINK("https://klasma.github.io/Logging_0188/tillsynsmail/A 26120-2024 tillsynsbegäran mail.docx", "A 26120-2024")</f>
        <v/>
      </c>
    </row>
    <row r="140" ht="15" customHeight="1">
      <c r="A140" t="inlineStr">
        <is>
          <t>A 11429-2023</t>
        </is>
      </c>
      <c r="B140" s="1" t="n">
        <v>44993</v>
      </c>
      <c r="C140" s="1" t="n">
        <v>46154</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50854-2022</t>
        </is>
      </c>
      <c r="B141" s="1" t="n">
        <v>44863</v>
      </c>
      <c r="C141" s="1" t="n">
        <v>46154</v>
      </c>
      <c r="D141" t="inlineStr">
        <is>
          <t>STOCKHOLMS LÄN</t>
        </is>
      </c>
      <c r="E141" t="inlineStr">
        <is>
          <t>NORRTÄLJE</t>
        </is>
      </c>
      <c r="G141" t="n">
        <v>2.9</v>
      </c>
      <c r="H141" t="n">
        <v>0</v>
      </c>
      <c r="I141" t="n">
        <v>1</v>
      </c>
      <c r="J141" t="n">
        <v>0</v>
      </c>
      <c r="K141" t="n">
        <v>0</v>
      </c>
      <c r="L141" t="n">
        <v>0</v>
      </c>
      <c r="M141" t="n">
        <v>0</v>
      </c>
      <c r="N141" t="n">
        <v>0</v>
      </c>
      <c r="O141" t="n">
        <v>0</v>
      </c>
      <c r="P141" t="n">
        <v>0</v>
      </c>
      <c r="Q141" t="n">
        <v>1</v>
      </c>
      <c r="R141" s="2" t="inlineStr">
        <is>
          <t>Tibast</t>
        </is>
      </c>
      <c r="S141">
        <f>HYPERLINK("https://klasma.github.io/Logging_0188/artfynd/A 50854-2022 artfynd.xlsx", "A 50854-2022")</f>
        <v/>
      </c>
      <c r="T141">
        <f>HYPERLINK("https://klasma.github.io/Logging_0188/kartor/A 50854-2022 karta.png", "A 50854-2022")</f>
        <v/>
      </c>
      <c r="V141">
        <f>HYPERLINK("https://klasma.github.io/Logging_0188/klagomål/A 50854-2022 FSC-klagomål.docx", "A 50854-2022")</f>
        <v/>
      </c>
      <c r="W141">
        <f>HYPERLINK("https://klasma.github.io/Logging_0188/klagomålsmail/A 50854-2022 FSC-klagomål mail.docx", "A 50854-2022")</f>
        <v/>
      </c>
      <c r="X141">
        <f>HYPERLINK("https://klasma.github.io/Logging_0188/tillsyn/A 50854-2022 tillsynsbegäran.docx", "A 50854-2022")</f>
        <v/>
      </c>
      <c r="Y141">
        <f>HYPERLINK("https://klasma.github.io/Logging_0188/tillsynsmail/A 50854-2022 tillsynsbegäran mail.docx", "A 50854-2022")</f>
        <v/>
      </c>
    </row>
    <row r="142" ht="15" customHeight="1">
      <c r="A142" t="inlineStr">
        <is>
          <t>A 64456-2023</t>
        </is>
      </c>
      <c r="B142" s="1" t="n">
        <v>45280</v>
      </c>
      <c r="C142" s="1" t="n">
        <v>46154</v>
      </c>
      <c r="D142" t="inlineStr">
        <is>
          <t>STOCKHOLMS LÄN</t>
        </is>
      </c>
      <c r="E142" t="inlineStr">
        <is>
          <t>NORRTÄLJE</t>
        </is>
      </c>
      <c r="G142" t="n">
        <v>2.5</v>
      </c>
      <c r="H142" t="n">
        <v>0</v>
      </c>
      <c r="I142" t="n">
        <v>1</v>
      </c>
      <c r="J142" t="n">
        <v>0</v>
      </c>
      <c r="K142" t="n">
        <v>0</v>
      </c>
      <c r="L142" t="n">
        <v>0</v>
      </c>
      <c r="M142" t="n">
        <v>0</v>
      </c>
      <c r="N142" t="n">
        <v>0</v>
      </c>
      <c r="O142" t="n">
        <v>0</v>
      </c>
      <c r="P142" t="n">
        <v>0</v>
      </c>
      <c r="Q142" t="n">
        <v>1</v>
      </c>
      <c r="R142" s="2" t="inlineStr">
        <is>
          <t>Rödgul trumpetsvamp</t>
        </is>
      </c>
      <c r="S142">
        <f>HYPERLINK("https://klasma.github.io/Logging_0188/artfynd/A 64456-2023 artfynd.xlsx", "A 64456-2023")</f>
        <v/>
      </c>
      <c r="T142">
        <f>HYPERLINK("https://klasma.github.io/Logging_0188/kartor/A 64456-2023 karta.png", "A 64456-2023")</f>
        <v/>
      </c>
      <c r="V142">
        <f>HYPERLINK("https://klasma.github.io/Logging_0188/klagomål/A 64456-2023 FSC-klagomål.docx", "A 64456-2023")</f>
        <v/>
      </c>
      <c r="W142">
        <f>HYPERLINK("https://klasma.github.io/Logging_0188/klagomålsmail/A 64456-2023 FSC-klagomål mail.docx", "A 64456-2023")</f>
        <v/>
      </c>
      <c r="X142">
        <f>HYPERLINK("https://klasma.github.io/Logging_0188/tillsyn/A 64456-2023 tillsynsbegäran.docx", "A 64456-2023")</f>
        <v/>
      </c>
      <c r="Y142">
        <f>HYPERLINK("https://klasma.github.io/Logging_0188/tillsynsmail/A 64456-2023 tillsynsbegäran mail.docx", "A 64456-2023")</f>
        <v/>
      </c>
    </row>
    <row r="143" ht="15" customHeight="1">
      <c r="A143" t="inlineStr">
        <is>
          <t>A 31281-2022</t>
        </is>
      </c>
      <c r="B143" s="1" t="n">
        <v>44771</v>
      </c>
      <c r="C143" s="1" t="n">
        <v>46154</v>
      </c>
      <c r="D143" t="inlineStr">
        <is>
          <t>STOCKHOLMS LÄN</t>
        </is>
      </c>
      <c r="E143" t="inlineStr">
        <is>
          <t>NORRTÄLJE</t>
        </is>
      </c>
      <c r="F143" t="inlineStr">
        <is>
          <t>Holmen skog AB</t>
        </is>
      </c>
      <c r="G143" t="n">
        <v>5.2</v>
      </c>
      <c r="H143" t="n">
        <v>1</v>
      </c>
      <c r="I143" t="n">
        <v>0</v>
      </c>
      <c r="J143" t="n">
        <v>1</v>
      </c>
      <c r="K143" t="n">
        <v>0</v>
      </c>
      <c r="L143" t="n">
        <v>0</v>
      </c>
      <c r="M143" t="n">
        <v>0</v>
      </c>
      <c r="N143" t="n">
        <v>0</v>
      </c>
      <c r="O143" t="n">
        <v>1</v>
      </c>
      <c r="P143" t="n">
        <v>0</v>
      </c>
      <c r="Q143" t="n">
        <v>1</v>
      </c>
      <c r="R143" s="2" t="inlineStr">
        <is>
          <t>Kråka</t>
        </is>
      </c>
      <c r="S143">
        <f>HYPERLINK("https://klasma.github.io/Logging_0188/artfynd/A 31281-2022 artfynd.xlsx", "A 31281-2022")</f>
        <v/>
      </c>
      <c r="T143">
        <f>HYPERLINK("https://klasma.github.io/Logging_0188/kartor/A 31281-2022 karta.png", "A 31281-2022")</f>
        <v/>
      </c>
      <c r="V143">
        <f>HYPERLINK("https://klasma.github.io/Logging_0188/klagomål/A 31281-2022 FSC-klagomål.docx", "A 31281-2022")</f>
        <v/>
      </c>
      <c r="W143">
        <f>HYPERLINK("https://klasma.github.io/Logging_0188/klagomålsmail/A 31281-2022 FSC-klagomål mail.docx", "A 31281-2022")</f>
        <v/>
      </c>
      <c r="X143">
        <f>HYPERLINK("https://klasma.github.io/Logging_0188/tillsyn/A 31281-2022 tillsynsbegäran.docx", "A 31281-2022")</f>
        <v/>
      </c>
      <c r="Y143">
        <f>HYPERLINK("https://klasma.github.io/Logging_0188/tillsynsmail/A 31281-2022 tillsynsbegäran mail.docx", "A 31281-2022")</f>
        <v/>
      </c>
      <c r="Z143">
        <f>HYPERLINK("https://klasma.github.io/Logging_0188/fåglar/A 31281-2022 prioriterade fågelarter.docx", "A 31281-2022")</f>
        <v/>
      </c>
    </row>
    <row r="144" ht="15" customHeight="1">
      <c r="A144" t="inlineStr">
        <is>
          <t>A 52611-2024</t>
        </is>
      </c>
      <c r="B144" s="1" t="n">
        <v>45609.83747685186</v>
      </c>
      <c r="C144" s="1" t="n">
        <v>46154</v>
      </c>
      <c r="D144" t="inlineStr">
        <is>
          <t>STOCKHOLMS LÄN</t>
        </is>
      </c>
      <c r="E144" t="inlineStr">
        <is>
          <t>NORRTÄLJE</t>
        </is>
      </c>
      <c r="G144" t="n">
        <v>10.6</v>
      </c>
      <c r="H144" t="n">
        <v>1</v>
      </c>
      <c r="I144" t="n">
        <v>0</v>
      </c>
      <c r="J144" t="n">
        <v>0</v>
      </c>
      <c r="K144" t="n">
        <v>0</v>
      </c>
      <c r="L144" t="n">
        <v>0</v>
      </c>
      <c r="M144" t="n">
        <v>0</v>
      </c>
      <c r="N144" t="n">
        <v>0</v>
      </c>
      <c r="O144" t="n">
        <v>0</v>
      </c>
      <c r="P144" t="n">
        <v>0</v>
      </c>
      <c r="Q144" t="n">
        <v>1</v>
      </c>
      <c r="R144" s="2" t="inlineStr">
        <is>
          <t>Blåsippa</t>
        </is>
      </c>
      <c r="S144">
        <f>HYPERLINK("https://klasma.github.io/Logging_0188/artfynd/A 52611-2024 artfynd.xlsx", "A 52611-2024")</f>
        <v/>
      </c>
      <c r="T144">
        <f>HYPERLINK("https://klasma.github.io/Logging_0188/kartor/A 52611-2024 karta.png", "A 52611-2024")</f>
        <v/>
      </c>
      <c r="V144">
        <f>HYPERLINK("https://klasma.github.io/Logging_0188/klagomål/A 52611-2024 FSC-klagomål.docx", "A 52611-2024")</f>
        <v/>
      </c>
      <c r="W144">
        <f>HYPERLINK("https://klasma.github.io/Logging_0188/klagomålsmail/A 52611-2024 FSC-klagomål mail.docx", "A 52611-2024")</f>
        <v/>
      </c>
      <c r="X144">
        <f>HYPERLINK("https://klasma.github.io/Logging_0188/tillsyn/A 52611-2024 tillsynsbegäran.docx", "A 52611-2024")</f>
        <v/>
      </c>
      <c r="Y144">
        <f>HYPERLINK("https://klasma.github.io/Logging_0188/tillsynsmail/A 52611-2024 tillsynsbegäran mail.docx", "A 52611-2024")</f>
        <v/>
      </c>
    </row>
    <row r="145" ht="15" customHeight="1">
      <c r="A145" t="inlineStr">
        <is>
          <t>A 52508-2023</t>
        </is>
      </c>
      <c r="B145" s="1" t="n">
        <v>45225</v>
      </c>
      <c r="C145" s="1" t="n">
        <v>46154</v>
      </c>
      <c r="D145" t="inlineStr">
        <is>
          <t>STOCKHOLMS LÄN</t>
        </is>
      </c>
      <c r="E145" t="inlineStr">
        <is>
          <t>NORRTÄLJE</t>
        </is>
      </c>
      <c r="G145" t="n">
        <v>19.7</v>
      </c>
      <c r="H145" t="n">
        <v>1</v>
      </c>
      <c r="I145" t="n">
        <v>0</v>
      </c>
      <c r="J145" t="n">
        <v>0</v>
      </c>
      <c r="K145" t="n">
        <v>1</v>
      </c>
      <c r="L145" t="n">
        <v>0</v>
      </c>
      <c r="M145" t="n">
        <v>0</v>
      </c>
      <c r="N145" t="n">
        <v>0</v>
      </c>
      <c r="O145" t="n">
        <v>1</v>
      </c>
      <c r="P145" t="n">
        <v>1</v>
      </c>
      <c r="Q145" t="n">
        <v>1</v>
      </c>
      <c r="R145" s="2" t="inlineStr">
        <is>
          <t>Svärta</t>
        </is>
      </c>
      <c r="S145">
        <f>HYPERLINK("https://klasma.github.io/Logging_0188/artfynd/A 52508-2023 artfynd.xlsx", "A 52508-2023")</f>
        <v/>
      </c>
      <c r="T145">
        <f>HYPERLINK("https://klasma.github.io/Logging_0188/kartor/A 52508-2023 karta.png", "A 52508-2023")</f>
        <v/>
      </c>
      <c r="V145">
        <f>HYPERLINK("https://klasma.github.io/Logging_0188/klagomål/A 52508-2023 FSC-klagomål.docx", "A 52508-2023")</f>
        <v/>
      </c>
      <c r="W145">
        <f>HYPERLINK("https://klasma.github.io/Logging_0188/klagomålsmail/A 52508-2023 FSC-klagomål mail.docx", "A 52508-2023")</f>
        <v/>
      </c>
      <c r="X145">
        <f>HYPERLINK("https://klasma.github.io/Logging_0188/tillsyn/A 52508-2023 tillsynsbegäran.docx", "A 52508-2023")</f>
        <v/>
      </c>
      <c r="Y145">
        <f>HYPERLINK("https://klasma.github.io/Logging_0188/tillsynsmail/A 52508-2023 tillsynsbegäran mail.docx", "A 52508-2023")</f>
        <v/>
      </c>
    </row>
    <row r="146" ht="15" customHeight="1">
      <c r="A146" t="inlineStr">
        <is>
          <t>A 48131-2023</t>
        </is>
      </c>
      <c r="B146" s="1" t="n">
        <v>45205</v>
      </c>
      <c r="C146" s="1" t="n">
        <v>46154</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27827-2022</t>
        </is>
      </c>
      <c r="B147" s="1" t="n">
        <v>44743.59504629629</v>
      </c>
      <c r="C147" s="1" t="n">
        <v>46154</v>
      </c>
      <c r="D147" t="inlineStr">
        <is>
          <t>STOCKHOLMS LÄN</t>
        </is>
      </c>
      <c r="E147" t="inlineStr">
        <is>
          <t>NORRTÄLJE</t>
        </is>
      </c>
      <c r="F147" t="inlineStr">
        <is>
          <t>Holmen skog AB</t>
        </is>
      </c>
      <c r="G147" t="n">
        <v>4.7</v>
      </c>
      <c r="H147" t="n">
        <v>1</v>
      </c>
      <c r="I147" t="n">
        <v>0</v>
      </c>
      <c r="J147" t="n">
        <v>1</v>
      </c>
      <c r="K147" t="n">
        <v>0</v>
      </c>
      <c r="L147" t="n">
        <v>0</v>
      </c>
      <c r="M147" t="n">
        <v>0</v>
      </c>
      <c r="N147" t="n">
        <v>0</v>
      </c>
      <c r="O147" t="n">
        <v>1</v>
      </c>
      <c r="P147" t="n">
        <v>0</v>
      </c>
      <c r="Q147" t="n">
        <v>1</v>
      </c>
      <c r="R147" s="2" t="inlineStr">
        <is>
          <t>Nordfladdermus</t>
        </is>
      </c>
      <c r="S147">
        <f>HYPERLINK("https://klasma.github.io/Logging_0188/artfynd/A 27827-2022 artfynd.xlsx", "A 27827-2022")</f>
        <v/>
      </c>
      <c r="T147">
        <f>HYPERLINK("https://klasma.github.io/Logging_0188/kartor/A 27827-2022 karta.png", "A 27827-2022")</f>
        <v/>
      </c>
      <c r="V147">
        <f>HYPERLINK("https://klasma.github.io/Logging_0188/klagomål/A 27827-2022 FSC-klagomål.docx", "A 27827-2022")</f>
        <v/>
      </c>
      <c r="W147">
        <f>HYPERLINK("https://klasma.github.io/Logging_0188/klagomålsmail/A 27827-2022 FSC-klagomål mail.docx", "A 27827-2022")</f>
        <v/>
      </c>
      <c r="X147">
        <f>HYPERLINK("https://klasma.github.io/Logging_0188/tillsyn/A 27827-2022 tillsynsbegäran.docx", "A 27827-2022")</f>
        <v/>
      </c>
      <c r="Y147">
        <f>HYPERLINK("https://klasma.github.io/Logging_0188/tillsynsmail/A 27827-2022 tillsynsbegäran mail.docx", "A 27827-2022")</f>
        <v/>
      </c>
    </row>
    <row r="148" ht="15" customHeight="1">
      <c r="A148" t="inlineStr">
        <is>
          <t>A 9955-2022</t>
        </is>
      </c>
      <c r="B148" s="1" t="n">
        <v>44620</v>
      </c>
      <c r="C148" s="1" t="n">
        <v>46154</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46154</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46154</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46154</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46154</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46154</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46154</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46154</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46154</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46154</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24977-2022</t>
        </is>
      </c>
      <c r="B158" s="1" t="n">
        <v>44728.73465277778</v>
      </c>
      <c r="C158" s="1" t="n">
        <v>46154</v>
      </c>
      <c r="D158" t="inlineStr">
        <is>
          <t>STOCKHOLMS LÄN</t>
        </is>
      </c>
      <c r="E158" t="inlineStr">
        <is>
          <t>NORRTÄLJE</t>
        </is>
      </c>
      <c r="F158" t="inlineStr">
        <is>
          <t>Kyrkan</t>
        </is>
      </c>
      <c r="G158" t="n">
        <v>1</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46154</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46154</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46154</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46154</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46154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54272-2021</t>
        </is>
      </c>
      <c r="B164" s="1" t="n">
        <v>44470.72148148148</v>
      </c>
      <c r="C164" s="1" t="n">
        <v>46154</v>
      </c>
      <c r="D164" t="inlineStr">
        <is>
          <t>STOCKHOLMS LÄN</t>
        </is>
      </c>
      <c r="E164" t="inlineStr">
        <is>
          <t>NORRTÄLJE</t>
        </is>
      </c>
      <c r="G164" t="n">
        <v>5.8</v>
      </c>
      <c r="H164" t="n">
        <v>0</v>
      </c>
      <c r="I164" t="n">
        <v>0</v>
      </c>
      <c r="J164" t="n">
        <v>0</v>
      </c>
      <c r="K164" t="n">
        <v>0</v>
      </c>
      <c r="L164" t="n">
        <v>0</v>
      </c>
      <c r="M164" t="n">
        <v>0</v>
      </c>
      <c r="N164" t="n">
        <v>0</v>
      </c>
      <c r="O164" t="n">
        <v>0</v>
      </c>
      <c r="P164" t="n">
        <v>0</v>
      </c>
      <c r="Q164" t="n">
        <v>0</v>
      </c>
      <c r="R164" s="2" t="inlineStr"/>
    </row>
    <row r="165" ht="15" customHeight="1">
      <c r="A165" t="inlineStr">
        <is>
          <t>A 31283-2022</t>
        </is>
      </c>
      <c r="B165" s="1" t="n">
        <v>44771</v>
      </c>
      <c r="C165" s="1" t="n">
        <v>46154</v>
      </c>
      <c r="D165" t="inlineStr">
        <is>
          <t>STOCKHOLMS LÄN</t>
        </is>
      </c>
      <c r="E165" t="inlineStr">
        <is>
          <t>NORRTÄLJE</t>
        </is>
      </c>
      <c r="G165" t="n">
        <v>0.5</v>
      </c>
      <c r="H165" t="n">
        <v>0</v>
      </c>
      <c r="I165" t="n">
        <v>0</v>
      </c>
      <c r="J165" t="n">
        <v>0</v>
      </c>
      <c r="K165" t="n">
        <v>0</v>
      </c>
      <c r="L165" t="n">
        <v>0</v>
      </c>
      <c r="M165" t="n">
        <v>0</v>
      </c>
      <c r="N165" t="n">
        <v>0</v>
      </c>
      <c r="O165" t="n">
        <v>0</v>
      </c>
      <c r="P165" t="n">
        <v>0</v>
      </c>
      <c r="Q165" t="n">
        <v>0</v>
      </c>
      <c r="R165" s="2" t="inlineStr"/>
    </row>
    <row r="166" ht="15" customHeight="1">
      <c r="A166" t="inlineStr">
        <is>
          <t>A 56225-2021</t>
        </is>
      </c>
      <c r="B166" s="1" t="n">
        <v>44477.94327546296</v>
      </c>
      <c r="C166" s="1" t="n">
        <v>46154</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46154</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46154</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46154</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46154</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46154</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46154</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46154</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46154</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46154</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46154</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46154</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17777-2022</t>
        </is>
      </c>
      <c r="B178" s="1" t="n">
        <v>44682.79203703703</v>
      </c>
      <c r="C178" s="1" t="n">
        <v>46154</v>
      </c>
      <c r="D178" t="inlineStr">
        <is>
          <t>STOCKHOLMS LÄN</t>
        </is>
      </c>
      <c r="E178" t="inlineStr">
        <is>
          <t>NORRTÄLJE</t>
        </is>
      </c>
      <c r="G178" t="n">
        <v>3.7</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46154</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46154</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46154</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46154</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46154</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46154</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46154</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46154</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46154</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46154</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46154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46154</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24534-2022</t>
        </is>
      </c>
      <c r="B191" s="1" t="n">
        <v>44727</v>
      </c>
      <c r="C191" s="1" t="n">
        <v>46154</v>
      </c>
      <c r="D191" t="inlineStr">
        <is>
          <t>STOCKHOLMS LÄN</t>
        </is>
      </c>
      <c r="E191" t="inlineStr">
        <is>
          <t>NORRTÄLJE</t>
        </is>
      </c>
      <c r="G191" t="n">
        <v>2.8</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46154</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46154</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46154</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46154</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46154</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46154</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46154</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46154</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46154</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46154</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46154</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46154</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46154</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46154</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46154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46154</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46154</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46154</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46154</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46154</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46154</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46154</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30129-2021</t>
        </is>
      </c>
      <c r="B214" s="1" t="n">
        <v>44363.5784375</v>
      </c>
      <c r="C214" s="1" t="n">
        <v>46154</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46154</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46154</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46154</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46154</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46154</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46154</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46154</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46154</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46154</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46154</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46154</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46154</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46154</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46154</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46154</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46154</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46154</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46154</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46154</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46154</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46154</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46154</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46154</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46154</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46154</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46154</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46154</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46154</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46154</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46154</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46154</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45541-2022</t>
        </is>
      </c>
      <c r="B246" s="1" t="n">
        <v>44845.47672453704</v>
      </c>
      <c r="C246" s="1" t="n">
        <v>46154</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68273-2021</t>
        </is>
      </c>
      <c r="B247" s="1" t="n">
        <v>44526</v>
      </c>
      <c r="C247" s="1" t="n">
        <v>46154</v>
      </c>
      <c r="D247" t="inlineStr">
        <is>
          <t>STOCKHOLMS LÄN</t>
        </is>
      </c>
      <c r="E247" t="inlineStr">
        <is>
          <t>NORRTÄLJE</t>
        </is>
      </c>
      <c r="G247" t="n">
        <v>5.3</v>
      </c>
      <c r="H247" t="n">
        <v>0</v>
      </c>
      <c r="I247" t="n">
        <v>0</v>
      </c>
      <c r="J247" t="n">
        <v>0</v>
      </c>
      <c r="K247" t="n">
        <v>0</v>
      </c>
      <c r="L247" t="n">
        <v>0</v>
      </c>
      <c r="M247" t="n">
        <v>0</v>
      </c>
      <c r="N247" t="n">
        <v>0</v>
      </c>
      <c r="O247" t="n">
        <v>0</v>
      </c>
      <c r="P247" t="n">
        <v>0</v>
      </c>
      <c r="Q247" t="n">
        <v>0</v>
      </c>
      <c r="R247" s="2" t="inlineStr"/>
    </row>
    <row r="248" ht="15" customHeight="1">
      <c r="A248" t="inlineStr">
        <is>
          <t>A 52139-2022</t>
        </is>
      </c>
      <c r="B248" s="1" t="n">
        <v>44868</v>
      </c>
      <c r="C248" s="1" t="n">
        <v>46154</v>
      </c>
      <c r="D248" t="inlineStr">
        <is>
          <t>STOCKHOLMS LÄN</t>
        </is>
      </c>
      <c r="E248" t="inlineStr">
        <is>
          <t>NORRTÄLJE</t>
        </is>
      </c>
      <c r="G248" t="n">
        <v>3.2</v>
      </c>
      <c r="H248" t="n">
        <v>0</v>
      </c>
      <c r="I248" t="n">
        <v>0</v>
      </c>
      <c r="J248" t="n">
        <v>0</v>
      </c>
      <c r="K248" t="n">
        <v>0</v>
      </c>
      <c r="L248" t="n">
        <v>0</v>
      </c>
      <c r="M248" t="n">
        <v>0</v>
      </c>
      <c r="N248" t="n">
        <v>0</v>
      </c>
      <c r="O248" t="n">
        <v>0</v>
      </c>
      <c r="P248" t="n">
        <v>0</v>
      </c>
      <c r="Q248" t="n">
        <v>0</v>
      </c>
      <c r="R248" s="2" t="inlineStr"/>
      <c r="U248">
        <f>HYPERLINK("https://klasma.github.io/Logging_0188/knärot/A 52139-2022 karta knärot.png", "A 52139-2022")</f>
        <v/>
      </c>
      <c r="V248">
        <f>HYPERLINK("https://klasma.github.io/Logging_0188/klagomål/A 52139-2022 FSC-klagomål.docx", "A 52139-2022")</f>
        <v/>
      </c>
      <c r="W248">
        <f>HYPERLINK("https://klasma.github.io/Logging_0188/klagomålsmail/A 52139-2022 FSC-klagomål mail.docx", "A 52139-2022")</f>
        <v/>
      </c>
      <c r="X248">
        <f>HYPERLINK("https://klasma.github.io/Logging_0188/tillsyn/A 52139-2022 tillsynsbegäran.docx", "A 52139-2022")</f>
        <v/>
      </c>
      <c r="Y248">
        <f>HYPERLINK("https://klasma.github.io/Logging_0188/tillsynsmail/A 52139-2022 tillsynsbegäran mail.docx", "A 52139-2022")</f>
        <v/>
      </c>
    </row>
    <row r="249" ht="15" customHeight="1">
      <c r="A249" t="inlineStr">
        <is>
          <t>A 27217-2021</t>
        </is>
      </c>
      <c r="B249" s="1" t="n">
        <v>44350</v>
      </c>
      <c r="C249" s="1" t="n">
        <v>46154</v>
      </c>
      <c r="D249" t="inlineStr">
        <is>
          <t>STOCKHOLMS LÄN</t>
        </is>
      </c>
      <c r="E249" t="inlineStr">
        <is>
          <t>NORRTÄLJE</t>
        </is>
      </c>
      <c r="G249" t="n">
        <v>5.5</v>
      </c>
      <c r="H249" t="n">
        <v>0</v>
      </c>
      <c r="I249" t="n">
        <v>0</v>
      </c>
      <c r="J249" t="n">
        <v>0</v>
      </c>
      <c r="K249" t="n">
        <v>0</v>
      </c>
      <c r="L249" t="n">
        <v>0</v>
      </c>
      <c r="M249" t="n">
        <v>0</v>
      </c>
      <c r="N249" t="n">
        <v>0</v>
      </c>
      <c r="O249" t="n">
        <v>0</v>
      </c>
      <c r="P249" t="n">
        <v>0</v>
      </c>
      <c r="Q249" t="n">
        <v>0</v>
      </c>
      <c r="R249" s="2" t="inlineStr"/>
    </row>
    <row r="250" ht="15" customHeight="1">
      <c r="A250" t="inlineStr">
        <is>
          <t>A 62030-2021</t>
        </is>
      </c>
      <c r="B250" s="1" t="n">
        <v>44502</v>
      </c>
      <c r="C250" s="1" t="n">
        <v>46154</v>
      </c>
      <c r="D250" t="inlineStr">
        <is>
          <t>STOCKHOLMS LÄN</t>
        </is>
      </c>
      <c r="E250" t="inlineStr">
        <is>
          <t>NORRTÄLJE</t>
        </is>
      </c>
      <c r="G250" t="n">
        <v>4.7</v>
      </c>
      <c r="H250" t="n">
        <v>0</v>
      </c>
      <c r="I250" t="n">
        <v>0</v>
      </c>
      <c r="J250" t="n">
        <v>0</v>
      </c>
      <c r="K250" t="n">
        <v>0</v>
      </c>
      <c r="L250" t="n">
        <v>0</v>
      </c>
      <c r="M250" t="n">
        <v>0</v>
      </c>
      <c r="N250" t="n">
        <v>0</v>
      </c>
      <c r="O250" t="n">
        <v>0</v>
      </c>
      <c r="P250" t="n">
        <v>0</v>
      </c>
      <c r="Q250" t="n">
        <v>0</v>
      </c>
      <c r="R250" s="2" t="inlineStr"/>
    </row>
    <row r="251" ht="15" customHeight="1">
      <c r="A251" t="inlineStr">
        <is>
          <t>A 12875-2022</t>
        </is>
      </c>
      <c r="B251" s="1" t="n">
        <v>44642.55565972222</v>
      </c>
      <c r="C251" s="1" t="n">
        <v>46154</v>
      </c>
      <c r="D251" t="inlineStr">
        <is>
          <t>STOCKHOLMS LÄN</t>
        </is>
      </c>
      <c r="E251" t="inlineStr">
        <is>
          <t>NORRTÄLJE</t>
        </is>
      </c>
      <c r="G251" t="n">
        <v>1.6</v>
      </c>
      <c r="H251" t="n">
        <v>0</v>
      </c>
      <c r="I251" t="n">
        <v>0</v>
      </c>
      <c r="J251" t="n">
        <v>0</v>
      </c>
      <c r="K251" t="n">
        <v>0</v>
      </c>
      <c r="L251" t="n">
        <v>0</v>
      </c>
      <c r="M251" t="n">
        <v>0</v>
      </c>
      <c r="N251" t="n">
        <v>0</v>
      </c>
      <c r="O251" t="n">
        <v>0</v>
      </c>
      <c r="P251" t="n">
        <v>0</v>
      </c>
      <c r="Q251" t="n">
        <v>0</v>
      </c>
      <c r="R251" s="2" t="inlineStr"/>
    </row>
    <row r="252" ht="15" customHeight="1">
      <c r="A252" t="inlineStr">
        <is>
          <t>A 23453-2021</t>
        </is>
      </c>
      <c r="B252" s="1" t="n">
        <v>44333</v>
      </c>
      <c r="C252" s="1" t="n">
        <v>46154</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12355-2022</t>
        </is>
      </c>
      <c r="B253" s="1" t="n">
        <v>44637</v>
      </c>
      <c r="C253" s="1" t="n">
        <v>46154</v>
      </c>
      <c r="D253" t="inlineStr">
        <is>
          <t>STOCKHOLMS LÄN</t>
        </is>
      </c>
      <c r="E253" t="inlineStr">
        <is>
          <t>NORRTÄLJE</t>
        </is>
      </c>
      <c r="G253" t="n">
        <v>10.4</v>
      </c>
      <c r="H253" t="n">
        <v>0</v>
      </c>
      <c r="I253" t="n">
        <v>0</v>
      </c>
      <c r="J253" t="n">
        <v>0</v>
      </c>
      <c r="K253" t="n">
        <v>0</v>
      </c>
      <c r="L253" t="n">
        <v>0</v>
      </c>
      <c r="M253" t="n">
        <v>0</v>
      </c>
      <c r="N253" t="n">
        <v>0</v>
      </c>
      <c r="O253" t="n">
        <v>0</v>
      </c>
      <c r="P253" t="n">
        <v>0</v>
      </c>
      <c r="Q253" t="n">
        <v>0</v>
      </c>
      <c r="R253" s="2" t="inlineStr"/>
    </row>
    <row r="254" ht="15" customHeight="1">
      <c r="A254" t="inlineStr">
        <is>
          <t>A 27214-2021</t>
        </is>
      </c>
      <c r="B254" s="1" t="n">
        <v>44350</v>
      </c>
      <c r="C254" s="1" t="n">
        <v>46154</v>
      </c>
      <c r="D254" t="inlineStr">
        <is>
          <t>STOCKHOLMS LÄN</t>
        </is>
      </c>
      <c r="E254" t="inlineStr">
        <is>
          <t>NORRTÄLJE</t>
        </is>
      </c>
      <c r="G254" t="n">
        <v>1</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46154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46154</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7565-2022</t>
        </is>
      </c>
      <c r="B257" s="1" t="n">
        <v>44607</v>
      </c>
      <c r="C257" s="1" t="n">
        <v>46154</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20295-2022</t>
        </is>
      </c>
      <c r="B258" s="1" t="n">
        <v>44698</v>
      </c>
      <c r="C258" s="1" t="n">
        <v>46154</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37415-2021</t>
        </is>
      </c>
      <c r="B259" s="1" t="n">
        <v>44397</v>
      </c>
      <c r="C259" s="1" t="n">
        <v>46154</v>
      </c>
      <c r="D259" t="inlineStr">
        <is>
          <t>STOCKHOLMS LÄN</t>
        </is>
      </c>
      <c r="E259" t="inlineStr">
        <is>
          <t>NORRTÄLJE</t>
        </is>
      </c>
      <c r="F259" t="inlineStr">
        <is>
          <t>Övriga Aktiebolag</t>
        </is>
      </c>
      <c r="G259" t="n">
        <v>3</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46154</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30286-2022</t>
        </is>
      </c>
      <c r="B261" s="1" t="n">
        <v>44760</v>
      </c>
      <c r="C261" s="1" t="n">
        <v>46154</v>
      </c>
      <c r="D261" t="inlineStr">
        <is>
          <t>STOCKHOLMS LÄN</t>
        </is>
      </c>
      <c r="E261" t="inlineStr">
        <is>
          <t>NORRTÄLJE</t>
        </is>
      </c>
      <c r="G261" t="n">
        <v>0.3</v>
      </c>
      <c r="H261" t="n">
        <v>0</v>
      </c>
      <c r="I261" t="n">
        <v>0</v>
      </c>
      <c r="J261" t="n">
        <v>0</v>
      </c>
      <c r="K261" t="n">
        <v>0</v>
      </c>
      <c r="L261" t="n">
        <v>0</v>
      </c>
      <c r="M261" t="n">
        <v>0</v>
      </c>
      <c r="N261" t="n">
        <v>0</v>
      </c>
      <c r="O261" t="n">
        <v>0</v>
      </c>
      <c r="P261" t="n">
        <v>0</v>
      </c>
      <c r="Q261" t="n">
        <v>0</v>
      </c>
      <c r="R261" s="2" t="inlineStr"/>
    </row>
    <row r="262" ht="15" customHeight="1">
      <c r="A262" t="inlineStr">
        <is>
          <t>A 39319-2022</t>
        </is>
      </c>
      <c r="B262" s="1" t="n">
        <v>44817.70516203704</v>
      </c>
      <c r="C262" s="1" t="n">
        <v>46154</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56219-2021</t>
        </is>
      </c>
      <c r="B263" s="1" t="n">
        <v>44477</v>
      </c>
      <c r="C263" s="1" t="n">
        <v>46154</v>
      </c>
      <c r="D263" t="inlineStr">
        <is>
          <t>STOCKHOLMS LÄN</t>
        </is>
      </c>
      <c r="E263" t="inlineStr">
        <is>
          <t>NORRTÄLJE</t>
        </is>
      </c>
      <c r="F263" t="inlineStr">
        <is>
          <t>Kommuner</t>
        </is>
      </c>
      <c r="G263" t="n">
        <v>2.3</v>
      </c>
      <c r="H263" t="n">
        <v>0</v>
      </c>
      <c r="I263" t="n">
        <v>0</v>
      </c>
      <c r="J263" t="n">
        <v>0</v>
      </c>
      <c r="K263" t="n">
        <v>0</v>
      </c>
      <c r="L263" t="n">
        <v>0</v>
      </c>
      <c r="M263" t="n">
        <v>0</v>
      </c>
      <c r="N263" t="n">
        <v>0</v>
      </c>
      <c r="O263" t="n">
        <v>0</v>
      </c>
      <c r="P263" t="n">
        <v>0</v>
      </c>
      <c r="Q263" t="n">
        <v>0</v>
      </c>
      <c r="R263" s="2" t="inlineStr"/>
    </row>
    <row r="264" ht="15" customHeight="1">
      <c r="A264" t="inlineStr">
        <is>
          <t>A 15226-2022</t>
        </is>
      </c>
      <c r="B264" s="1" t="n">
        <v>44658</v>
      </c>
      <c r="C264" s="1" t="n">
        <v>46154</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3300-2022</t>
        </is>
      </c>
      <c r="B265" s="1" t="n">
        <v>44584.91538194445</v>
      </c>
      <c r="C265" s="1" t="n">
        <v>46154</v>
      </c>
      <c r="D265" t="inlineStr">
        <is>
          <t>STOCKHOLMS LÄN</t>
        </is>
      </c>
      <c r="E265" t="inlineStr">
        <is>
          <t>NORRTÄLJE</t>
        </is>
      </c>
      <c r="G265" t="n">
        <v>0.4</v>
      </c>
      <c r="H265" t="n">
        <v>0</v>
      </c>
      <c r="I265" t="n">
        <v>0</v>
      </c>
      <c r="J265" t="n">
        <v>0</v>
      </c>
      <c r="K265" t="n">
        <v>0</v>
      </c>
      <c r="L265" t="n">
        <v>0</v>
      </c>
      <c r="M265" t="n">
        <v>0</v>
      </c>
      <c r="N265" t="n">
        <v>0</v>
      </c>
      <c r="O265" t="n">
        <v>0</v>
      </c>
      <c r="P265" t="n">
        <v>0</v>
      </c>
      <c r="Q265" t="n">
        <v>0</v>
      </c>
      <c r="R265" s="2" t="inlineStr"/>
    </row>
    <row r="266" ht="15" customHeight="1">
      <c r="A266" t="inlineStr">
        <is>
          <t>A 17388-2022</t>
        </is>
      </c>
      <c r="B266" s="1" t="n">
        <v>44678</v>
      </c>
      <c r="C266" s="1" t="n">
        <v>46154</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46154</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17771-2022</t>
        </is>
      </c>
      <c r="B268" s="1" t="n">
        <v>44682.75924768519</v>
      </c>
      <c r="C268" s="1" t="n">
        <v>46154</v>
      </c>
      <c r="D268" t="inlineStr">
        <is>
          <t>STOCKHOLMS LÄN</t>
        </is>
      </c>
      <c r="E268" t="inlineStr">
        <is>
          <t>NORRTÄLJE</t>
        </is>
      </c>
      <c r="G268" t="n">
        <v>13.3</v>
      </c>
      <c r="H268" t="n">
        <v>0</v>
      </c>
      <c r="I268" t="n">
        <v>0</v>
      </c>
      <c r="J268" t="n">
        <v>0</v>
      </c>
      <c r="K268" t="n">
        <v>0</v>
      </c>
      <c r="L268" t="n">
        <v>0</v>
      </c>
      <c r="M268" t="n">
        <v>0</v>
      </c>
      <c r="N268" t="n">
        <v>0</v>
      </c>
      <c r="O268" t="n">
        <v>0</v>
      </c>
      <c r="P268" t="n">
        <v>0</v>
      </c>
      <c r="Q268" t="n">
        <v>0</v>
      </c>
      <c r="R268" s="2" t="inlineStr"/>
    </row>
    <row r="269" ht="15" customHeight="1">
      <c r="A269" t="inlineStr">
        <is>
          <t>A 17773-2022</t>
        </is>
      </c>
      <c r="B269" s="1" t="n">
        <v>44682.77616898148</v>
      </c>
      <c r="C269" s="1" t="n">
        <v>46154</v>
      </c>
      <c r="D269" t="inlineStr">
        <is>
          <t>STOCKHOLMS LÄN</t>
        </is>
      </c>
      <c r="E269" t="inlineStr">
        <is>
          <t>NORRTÄLJE</t>
        </is>
      </c>
      <c r="G269" t="n">
        <v>10.8</v>
      </c>
      <c r="H269" t="n">
        <v>0</v>
      </c>
      <c r="I269" t="n">
        <v>0</v>
      </c>
      <c r="J269" t="n">
        <v>0</v>
      </c>
      <c r="K269" t="n">
        <v>0</v>
      </c>
      <c r="L269" t="n">
        <v>0</v>
      </c>
      <c r="M269" t="n">
        <v>0</v>
      </c>
      <c r="N269" t="n">
        <v>0</v>
      </c>
      <c r="O269" t="n">
        <v>0</v>
      </c>
      <c r="P269" t="n">
        <v>0</v>
      </c>
      <c r="Q269" t="n">
        <v>0</v>
      </c>
      <c r="R269" s="2" t="inlineStr"/>
    </row>
    <row r="270" ht="15" customHeight="1">
      <c r="A270" t="inlineStr">
        <is>
          <t>A 16117-2022</t>
        </is>
      </c>
      <c r="B270" s="1" t="n">
        <v>44665.65474537037</v>
      </c>
      <c r="C270" s="1" t="n">
        <v>46154</v>
      </c>
      <c r="D270" t="inlineStr">
        <is>
          <t>STOCKHOLMS LÄN</t>
        </is>
      </c>
      <c r="E270" t="inlineStr">
        <is>
          <t>NORRTÄLJE</t>
        </is>
      </c>
      <c r="G270" t="n">
        <v>8.1</v>
      </c>
      <c r="H270" t="n">
        <v>0</v>
      </c>
      <c r="I270" t="n">
        <v>0</v>
      </c>
      <c r="J270" t="n">
        <v>0</v>
      </c>
      <c r="K270" t="n">
        <v>0</v>
      </c>
      <c r="L270" t="n">
        <v>0</v>
      </c>
      <c r="M270" t="n">
        <v>0</v>
      </c>
      <c r="N270" t="n">
        <v>0</v>
      </c>
      <c r="O270" t="n">
        <v>0</v>
      </c>
      <c r="P270" t="n">
        <v>0</v>
      </c>
      <c r="Q270" t="n">
        <v>0</v>
      </c>
      <c r="R270" s="2" t="inlineStr"/>
    </row>
    <row r="271" ht="15" customHeight="1">
      <c r="A271" t="inlineStr">
        <is>
          <t>A 16132-2022</t>
        </is>
      </c>
      <c r="B271" s="1" t="n">
        <v>44665.78351851852</v>
      </c>
      <c r="C271" s="1" t="n">
        <v>46154</v>
      </c>
      <c r="D271" t="inlineStr">
        <is>
          <t>STOCKHOLMS LÄN</t>
        </is>
      </c>
      <c r="E271" t="inlineStr">
        <is>
          <t>NORRTÄLJE</t>
        </is>
      </c>
      <c r="G271" t="n">
        <v>4.4</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46154</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46154</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25463-2021</t>
        </is>
      </c>
      <c r="B274" s="1" t="n">
        <v>44342</v>
      </c>
      <c r="C274" s="1" t="n">
        <v>46154</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46154</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24101-2022</t>
        </is>
      </c>
      <c r="B276" s="1" t="n">
        <v>44725</v>
      </c>
      <c r="C276" s="1" t="n">
        <v>46154</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67285-2021</t>
        </is>
      </c>
      <c r="B277" s="1" t="n">
        <v>44523.61635416667</v>
      </c>
      <c r="C277" s="1" t="n">
        <v>46154</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5611-2022</t>
        </is>
      </c>
      <c r="B278" s="1" t="n">
        <v>44595</v>
      </c>
      <c r="C278" s="1" t="n">
        <v>46154</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32055-2021</t>
        </is>
      </c>
      <c r="B279" s="1" t="n">
        <v>44370.72197916666</v>
      </c>
      <c r="C279" s="1" t="n">
        <v>46154</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38721-2022</t>
        </is>
      </c>
      <c r="B280" s="1" t="n">
        <v>44815</v>
      </c>
      <c r="C280" s="1" t="n">
        <v>46154</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46154</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60184-2021</t>
        </is>
      </c>
      <c r="B282" s="1" t="n">
        <v>44495</v>
      </c>
      <c r="C282" s="1" t="n">
        <v>46154</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12348-2025</t>
        </is>
      </c>
      <c r="B283" s="1" t="n">
        <v>45730.35026620371</v>
      </c>
      <c r="C283" s="1" t="n">
        <v>46154</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46154</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23271-2023</t>
        </is>
      </c>
      <c r="B285" s="1" t="n">
        <v>45075.91362268518</v>
      </c>
      <c r="C285" s="1" t="n">
        <v>46154</v>
      </c>
      <c r="D285" t="inlineStr">
        <is>
          <t>STOCKHOLMS LÄN</t>
        </is>
      </c>
      <c r="E285" t="inlineStr">
        <is>
          <t>NORRTÄLJE</t>
        </is>
      </c>
      <c r="G285" t="n">
        <v>5.1</v>
      </c>
      <c r="H285" t="n">
        <v>0</v>
      </c>
      <c r="I285" t="n">
        <v>0</v>
      </c>
      <c r="J285" t="n">
        <v>0</v>
      </c>
      <c r="K285" t="n">
        <v>0</v>
      </c>
      <c r="L285" t="n">
        <v>0</v>
      </c>
      <c r="M285" t="n">
        <v>0</v>
      </c>
      <c r="N285" t="n">
        <v>0</v>
      </c>
      <c r="O285" t="n">
        <v>0</v>
      </c>
      <c r="P285" t="n">
        <v>0</v>
      </c>
      <c r="Q285" t="n">
        <v>0</v>
      </c>
      <c r="R285" s="2" t="inlineStr"/>
    </row>
    <row r="286" ht="15" customHeight="1">
      <c r="A286" t="inlineStr">
        <is>
          <t>A 23273-2023</t>
        </is>
      </c>
      <c r="B286" s="1" t="n">
        <v>45075.91971064815</v>
      </c>
      <c r="C286" s="1" t="n">
        <v>46154</v>
      </c>
      <c r="D286" t="inlineStr">
        <is>
          <t>STOCKHOLMS LÄN</t>
        </is>
      </c>
      <c r="E286" t="inlineStr">
        <is>
          <t>NORRTÄLJE</t>
        </is>
      </c>
      <c r="G286" t="n">
        <v>7.5</v>
      </c>
      <c r="H286" t="n">
        <v>0</v>
      </c>
      <c r="I286" t="n">
        <v>0</v>
      </c>
      <c r="J286" t="n">
        <v>0</v>
      </c>
      <c r="K286" t="n">
        <v>0</v>
      </c>
      <c r="L286" t="n">
        <v>0</v>
      </c>
      <c r="M286" t="n">
        <v>0</v>
      </c>
      <c r="N286" t="n">
        <v>0</v>
      </c>
      <c r="O286" t="n">
        <v>0</v>
      </c>
      <c r="P286" t="n">
        <v>0</v>
      </c>
      <c r="Q286" t="n">
        <v>0</v>
      </c>
      <c r="R286" s="2" t="inlineStr"/>
    </row>
    <row r="287" ht="15" customHeight="1">
      <c r="A287" t="inlineStr">
        <is>
          <t>A 30802-2022</t>
        </is>
      </c>
      <c r="B287" s="1" t="n">
        <v>44764</v>
      </c>
      <c r="C287" s="1" t="n">
        <v>46154</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19706-2023</t>
        </is>
      </c>
      <c r="B288" s="1" t="n">
        <v>45051.455</v>
      </c>
      <c r="C288" s="1" t="n">
        <v>46154</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20013-2025</t>
        </is>
      </c>
      <c r="B289" s="1" t="n">
        <v>45772.30436342592</v>
      </c>
      <c r="C289" s="1" t="n">
        <v>46154</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16008-2025</t>
        </is>
      </c>
      <c r="B290" s="1" t="n">
        <v>45749</v>
      </c>
      <c r="C290" s="1" t="n">
        <v>46154</v>
      </c>
      <c r="D290" t="inlineStr">
        <is>
          <t>STOCKHOLMS LÄN</t>
        </is>
      </c>
      <c r="E290" t="inlineStr">
        <is>
          <t>NORRTÄLJE</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9765-2024</t>
        </is>
      </c>
      <c r="B291" s="1" t="n">
        <v>45362.62811342593</v>
      </c>
      <c r="C291" s="1" t="n">
        <v>46154</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63161-2023</t>
        </is>
      </c>
      <c r="B292" s="1" t="n">
        <v>45273</v>
      </c>
      <c r="C292" s="1" t="n">
        <v>46154</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27715-2022</t>
        </is>
      </c>
      <c r="B293" s="1" t="n">
        <v>44743.47407407407</v>
      </c>
      <c r="C293" s="1" t="n">
        <v>46154</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40425-2021</t>
        </is>
      </c>
      <c r="B294" s="1" t="n">
        <v>44419</v>
      </c>
      <c r="C294" s="1" t="n">
        <v>46154</v>
      </c>
      <c r="D294" t="inlineStr">
        <is>
          <t>STOCKHOLMS LÄN</t>
        </is>
      </c>
      <c r="E294" t="inlineStr">
        <is>
          <t>NORRTÄLJE</t>
        </is>
      </c>
      <c r="G294" t="n">
        <v>5</v>
      </c>
      <c r="H294" t="n">
        <v>0</v>
      </c>
      <c r="I294" t="n">
        <v>0</v>
      </c>
      <c r="J294" t="n">
        <v>0</v>
      </c>
      <c r="K294" t="n">
        <v>0</v>
      </c>
      <c r="L294" t="n">
        <v>0</v>
      </c>
      <c r="M294" t="n">
        <v>0</v>
      </c>
      <c r="N294" t="n">
        <v>0</v>
      </c>
      <c r="O294" t="n">
        <v>0</v>
      </c>
      <c r="P294" t="n">
        <v>0</v>
      </c>
      <c r="Q294" t="n">
        <v>0</v>
      </c>
      <c r="R294" s="2" t="inlineStr"/>
    </row>
    <row r="295" ht="15" customHeight="1">
      <c r="A295" t="inlineStr">
        <is>
          <t>A 20014-2025</t>
        </is>
      </c>
      <c r="B295" s="1" t="n">
        <v>45772.3078125</v>
      </c>
      <c r="C295" s="1" t="n">
        <v>46154</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55012-2024</t>
        </is>
      </c>
      <c r="B296" s="1" t="n">
        <v>45621.34813657407</v>
      </c>
      <c r="C296" s="1" t="n">
        <v>46154</v>
      </c>
      <c r="D296" t="inlineStr">
        <is>
          <t>STOCKHOLMS LÄN</t>
        </is>
      </c>
      <c r="E296" t="inlineStr">
        <is>
          <t>NORRTÄLJE</t>
        </is>
      </c>
      <c r="F296" t="inlineStr">
        <is>
          <t>Sveaskog</t>
        </is>
      </c>
      <c r="G296" t="n">
        <v>5.2</v>
      </c>
      <c r="H296" t="n">
        <v>0</v>
      </c>
      <c r="I296" t="n">
        <v>0</v>
      </c>
      <c r="J296" t="n">
        <v>0</v>
      </c>
      <c r="K296" t="n">
        <v>0</v>
      </c>
      <c r="L296" t="n">
        <v>0</v>
      </c>
      <c r="M296" t="n">
        <v>0</v>
      </c>
      <c r="N296" t="n">
        <v>0</v>
      </c>
      <c r="O296" t="n">
        <v>0</v>
      </c>
      <c r="P296" t="n">
        <v>0</v>
      </c>
      <c r="Q296" t="n">
        <v>0</v>
      </c>
      <c r="R296" s="2" t="inlineStr"/>
    </row>
    <row r="297" ht="15" customHeight="1">
      <c r="A297" t="inlineStr">
        <is>
          <t>A 47694-2023</t>
        </is>
      </c>
      <c r="B297" s="1" t="n">
        <v>45203.63303240741</v>
      </c>
      <c r="C297" s="1" t="n">
        <v>46154</v>
      </c>
      <c r="D297" t="inlineStr">
        <is>
          <t>STOCKHOLMS LÄN</t>
        </is>
      </c>
      <c r="E297" t="inlineStr">
        <is>
          <t>NORRTÄLJE</t>
        </is>
      </c>
      <c r="G297" t="n">
        <v>5.2</v>
      </c>
      <c r="H297" t="n">
        <v>0</v>
      </c>
      <c r="I297" t="n">
        <v>0</v>
      </c>
      <c r="J297" t="n">
        <v>0</v>
      </c>
      <c r="K297" t="n">
        <v>0</v>
      </c>
      <c r="L297" t="n">
        <v>0</v>
      </c>
      <c r="M297" t="n">
        <v>0</v>
      </c>
      <c r="N297" t="n">
        <v>0</v>
      </c>
      <c r="O297" t="n">
        <v>0</v>
      </c>
      <c r="P297" t="n">
        <v>0</v>
      </c>
      <c r="Q297" t="n">
        <v>0</v>
      </c>
      <c r="R297" s="2" t="inlineStr"/>
    </row>
    <row r="298" ht="15" customHeight="1">
      <c r="A298" t="inlineStr">
        <is>
          <t>A 40656-2022</t>
        </is>
      </c>
      <c r="B298" s="1" t="n">
        <v>44824.36069444445</v>
      </c>
      <c r="C298" s="1" t="n">
        <v>46154</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56631-2024</t>
        </is>
      </c>
      <c r="B299" s="1" t="n">
        <v>45625</v>
      </c>
      <c r="C299" s="1" t="n">
        <v>46154</v>
      </c>
      <c r="D299" t="inlineStr">
        <is>
          <t>STOCKHOLMS LÄN</t>
        </is>
      </c>
      <c r="E299" t="inlineStr">
        <is>
          <t>NORRTÄLJE</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48587-2023</t>
        </is>
      </c>
      <c r="B300" s="1" t="n">
        <v>45208</v>
      </c>
      <c r="C300" s="1" t="n">
        <v>46154</v>
      </c>
      <c r="D300" t="inlineStr">
        <is>
          <t>STOCKHOLMS LÄN</t>
        </is>
      </c>
      <c r="E300" t="inlineStr">
        <is>
          <t>NORRTÄLJE</t>
        </is>
      </c>
      <c r="G300" t="n">
        <v>7</v>
      </c>
      <c r="H300" t="n">
        <v>0</v>
      </c>
      <c r="I300" t="n">
        <v>0</v>
      </c>
      <c r="J300" t="n">
        <v>0</v>
      </c>
      <c r="K300" t="n">
        <v>0</v>
      </c>
      <c r="L300" t="n">
        <v>0</v>
      </c>
      <c r="M300" t="n">
        <v>0</v>
      </c>
      <c r="N300" t="n">
        <v>0</v>
      </c>
      <c r="O300" t="n">
        <v>0</v>
      </c>
      <c r="P300" t="n">
        <v>0</v>
      </c>
      <c r="Q300" t="n">
        <v>0</v>
      </c>
      <c r="R300" s="2" t="inlineStr"/>
    </row>
    <row r="301" ht="15" customHeight="1">
      <c r="A301" t="inlineStr">
        <is>
          <t>A 42955-2022</t>
        </is>
      </c>
      <c r="B301" s="1" t="n">
        <v>44833.40876157407</v>
      </c>
      <c r="C301" s="1" t="n">
        <v>46154</v>
      </c>
      <c r="D301" t="inlineStr">
        <is>
          <t>STOCKHOLMS LÄN</t>
        </is>
      </c>
      <c r="E301" t="inlineStr">
        <is>
          <t>NORRTÄLJE</t>
        </is>
      </c>
      <c r="G301" t="n">
        <v>13.1</v>
      </c>
      <c r="H301" t="n">
        <v>0</v>
      </c>
      <c r="I301" t="n">
        <v>0</v>
      </c>
      <c r="J301" t="n">
        <v>0</v>
      </c>
      <c r="K301" t="n">
        <v>0</v>
      </c>
      <c r="L301" t="n">
        <v>0</v>
      </c>
      <c r="M301" t="n">
        <v>0</v>
      </c>
      <c r="N301" t="n">
        <v>0</v>
      </c>
      <c r="O301" t="n">
        <v>0</v>
      </c>
      <c r="P301" t="n">
        <v>0</v>
      </c>
      <c r="Q301" t="n">
        <v>0</v>
      </c>
      <c r="R301" s="2" t="inlineStr"/>
    </row>
    <row r="302" ht="15" customHeight="1">
      <c r="A302" t="inlineStr">
        <is>
          <t>A 53600-2022</t>
        </is>
      </c>
      <c r="B302" s="1" t="n">
        <v>44879.70518518519</v>
      </c>
      <c r="C302" s="1" t="n">
        <v>46154</v>
      </c>
      <c r="D302" t="inlineStr">
        <is>
          <t>STOCKHOLMS LÄN</t>
        </is>
      </c>
      <c r="E302" t="inlineStr">
        <is>
          <t>NORRTÄLJE</t>
        </is>
      </c>
      <c r="G302" t="n">
        <v>4.3</v>
      </c>
      <c r="H302" t="n">
        <v>0</v>
      </c>
      <c r="I302" t="n">
        <v>0</v>
      </c>
      <c r="J302" t="n">
        <v>0</v>
      </c>
      <c r="K302" t="n">
        <v>0</v>
      </c>
      <c r="L302" t="n">
        <v>0</v>
      </c>
      <c r="M302" t="n">
        <v>0</v>
      </c>
      <c r="N302" t="n">
        <v>0</v>
      </c>
      <c r="O302" t="n">
        <v>0</v>
      </c>
      <c r="P302" t="n">
        <v>0</v>
      </c>
      <c r="Q302" t="n">
        <v>0</v>
      </c>
      <c r="R302" s="2" t="inlineStr"/>
    </row>
    <row r="303" ht="15" customHeight="1">
      <c r="A303" t="inlineStr">
        <is>
          <t>A 20136-2025</t>
        </is>
      </c>
      <c r="B303" s="1" t="n">
        <v>45772.51127314815</v>
      </c>
      <c r="C303" s="1" t="n">
        <v>46154</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15978-2024</t>
        </is>
      </c>
      <c r="B304" s="1" t="n">
        <v>45405.57927083333</v>
      </c>
      <c r="C304" s="1" t="n">
        <v>46154</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7603-2025</t>
        </is>
      </c>
      <c r="B305" s="1" t="n">
        <v>45705.66126157407</v>
      </c>
      <c r="C305" s="1" t="n">
        <v>46154</v>
      </c>
      <c r="D305" t="inlineStr">
        <is>
          <t>STOCKHOLMS LÄN</t>
        </is>
      </c>
      <c r="E305" t="inlineStr">
        <is>
          <t>NORRTÄLJE</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5158-2024</t>
        </is>
      </c>
      <c r="B306" s="1" t="n">
        <v>45330.50098379629</v>
      </c>
      <c r="C306" s="1" t="n">
        <v>46154</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46154</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8736-2024</t>
        </is>
      </c>
      <c r="B308" s="1" t="n">
        <v>45356.4722800926</v>
      </c>
      <c r="C308" s="1" t="n">
        <v>46154</v>
      </c>
      <c r="D308" t="inlineStr">
        <is>
          <t>STOCKHOLMS LÄN</t>
        </is>
      </c>
      <c r="E308" t="inlineStr">
        <is>
          <t>NORRTÄLJE</t>
        </is>
      </c>
      <c r="G308" t="n">
        <v>8.9</v>
      </c>
      <c r="H308" t="n">
        <v>0</v>
      </c>
      <c r="I308" t="n">
        <v>0</v>
      </c>
      <c r="J308" t="n">
        <v>0</v>
      </c>
      <c r="K308" t="n">
        <v>0</v>
      </c>
      <c r="L308" t="n">
        <v>0</v>
      </c>
      <c r="M308" t="n">
        <v>0</v>
      </c>
      <c r="N308" t="n">
        <v>0</v>
      </c>
      <c r="O308" t="n">
        <v>0</v>
      </c>
      <c r="P308" t="n">
        <v>0</v>
      </c>
      <c r="Q308" t="n">
        <v>0</v>
      </c>
      <c r="R308" s="2" t="inlineStr"/>
    </row>
    <row r="309" ht="15" customHeight="1">
      <c r="A309" t="inlineStr">
        <is>
          <t>A 14762-2024</t>
        </is>
      </c>
      <c r="B309" s="1" t="n">
        <v>45397</v>
      </c>
      <c r="C309" s="1" t="n">
        <v>46154</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45255-2022</t>
        </is>
      </c>
      <c r="B310" s="1" t="n">
        <v>44840</v>
      </c>
      <c r="C310" s="1" t="n">
        <v>46154</v>
      </c>
      <c r="D310" t="inlineStr">
        <is>
          <t>STOCKHOLMS LÄN</t>
        </is>
      </c>
      <c r="E310" t="inlineStr">
        <is>
          <t>NORRTÄLJE</t>
        </is>
      </c>
      <c r="G310" t="n">
        <v>4.1</v>
      </c>
      <c r="H310" t="n">
        <v>0</v>
      </c>
      <c r="I310" t="n">
        <v>0</v>
      </c>
      <c r="J310" t="n">
        <v>0</v>
      </c>
      <c r="K310" t="n">
        <v>0</v>
      </c>
      <c r="L310" t="n">
        <v>0</v>
      </c>
      <c r="M310" t="n">
        <v>0</v>
      </c>
      <c r="N310" t="n">
        <v>0</v>
      </c>
      <c r="O310" t="n">
        <v>0</v>
      </c>
      <c r="P310" t="n">
        <v>0</v>
      </c>
      <c r="Q310" t="n">
        <v>0</v>
      </c>
      <c r="R310" s="2" t="inlineStr"/>
    </row>
    <row r="311" ht="15" customHeight="1">
      <c r="A311" t="inlineStr">
        <is>
          <t>A 19915-2024</t>
        </is>
      </c>
      <c r="B311" s="1" t="n">
        <v>45433.58431712963</v>
      </c>
      <c r="C311" s="1" t="n">
        <v>46154</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12629-2024</t>
        </is>
      </c>
      <c r="B312" s="1" t="n">
        <v>45383</v>
      </c>
      <c r="C312" s="1" t="n">
        <v>46154</v>
      </c>
      <c r="D312" t="inlineStr">
        <is>
          <t>STOCKHOLMS LÄN</t>
        </is>
      </c>
      <c r="E312" t="inlineStr">
        <is>
          <t>NORRTÄLJE</t>
        </is>
      </c>
      <c r="G312" t="n">
        <v>2.6</v>
      </c>
      <c r="H312" t="n">
        <v>0</v>
      </c>
      <c r="I312" t="n">
        <v>0</v>
      </c>
      <c r="J312" t="n">
        <v>0</v>
      </c>
      <c r="K312" t="n">
        <v>0</v>
      </c>
      <c r="L312" t="n">
        <v>0</v>
      </c>
      <c r="M312" t="n">
        <v>0</v>
      </c>
      <c r="N312" t="n">
        <v>0</v>
      </c>
      <c r="O312" t="n">
        <v>0</v>
      </c>
      <c r="P312" t="n">
        <v>0</v>
      </c>
      <c r="Q312" t="n">
        <v>0</v>
      </c>
      <c r="R312" s="2" t="inlineStr"/>
    </row>
    <row r="313" ht="15" customHeight="1">
      <c r="A313" t="inlineStr">
        <is>
          <t>A 20428-2024</t>
        </is>
      </c>
      <c r="B313" s="1" t="n">
        <v>45435</v>
      </c>
      <c r="C313" s="1" t="n">
        <v>46154</v>
      </c>
      <c r="D313" t="inlineStr">
        <is>
          <t>STOCKHOLMS LÄN</t>
        </is>
      </c>
      <c r="E313" t="inlineStr">
        <is>
          <t>NORRTÄLJE</t>
        </is>
      </c>
      <c r="G313" t="n">
        <v>3.7</v>
      </c>
      <c r="H313" t="n">
        <v>0</v>
      </c>
      <c r="I313" t="n">
        <v>0</v>
      </c>
      <c r="J313" t="n">
        <v>0</v>
      </c>
      <c r="K313" t="n">
        <v>0</v>
      </c>
      <c r="L313" t="n">
        <v>0</v>
      </c>
      <c r="M313" t="n">
        <v>0</v>
      </c>
      <c r="N313" t="n">
        <v>0</v>
      </c>
      <c r="O313" t="n">
        <v>0</v>
      </c>
      <c r="P313" t="n">
        <v>0</v>
      </c>
      <c r="Q313" t="n">
        <v>0</v>
      </c>
      <c r="R313" s="2" t="inlineStr"/>
    </row>
    <row r="314" ht="15" customHeight="1">
      <c r="A314" t="inlineStr">
        <is>
          <t>A 57037-2022</t>
        </is>
      </c>
      <c r="B314" s="1" t="n">
        <v>44895</v>
      </c>
      <c r="C314" s="1" t="n">
        <v>46154</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55755-2023</t>
        </is>
      </c>
      <c r="B315" s="1" t="n">
        <v>45239</v>
      </c>
      <c r="C315" s="1" t="n">
        <v>46154</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23149-2024</t>
        </is>
      </c>
      <c r="B316" s="1" t="n">
        <v>45450.64208333333</v>
      </c>
      <c r="C316" s="1" t="n">
        <v>46154</v>
      </c>
      <c r="D316" t="inlineStr">
        <is>
          <t>STOCKHOLMS LÄN</t>
        </is>
      </c>
      <c r="E316" t="inlineStr">
        <is>
          <t>NORRTÄLJE</t>
        </is>
      </c>
      <c r="F316" t="inlineStr">
        <is>
          <t>Kommuner</t>
        </is>
      </c>
      <c r="G316" t="n">
        <v>1.3</v>
      </c>
      <c r="H316" t="n">
        <v>0</v>
      </c>
      <c r="I316" t="n">
        <v>0</v>
      </c>
      <c r="J316" t="n">
        <v>0</v>
      </c>
      <c r="K316" t="n">
        <v>0</v>
      </c>
      <c r="L316" t="n">
        <v>0</v>
      </c>
      <c r="M316" t="n">
        <v>0</v>
      </c>
      <c r="N316" t="n">
        <v>0</v>
      </c>
      <c r="O316" t="n">
        <v>0</v>
      </c>
      <c r="P316" t="n">
        <v>0</v>
      </c>
      <c r="Q316" t="n">
        <v>0</v>
      </c>
      <c r="R316" s="2" t="inlineStr"/>
    </row>
    <row r="317" ht="15" customHeight="1">
      <c r="A317" t="inlineStr">
        <is>
          <t>A 23151-2024</t>
        </is>
      </c>
      <c r="B317" s="1" t="n">
        <v>45450</v>
      </c>
      <c r="C317" s="1" t="n">
        <v>46154</v>
      </c>
      <c r="D317" t="inlineStr">
        <is>
          <t>STOCKHOLMS LÄN</t>
        </is>
      </c>
      <c r="E317" t="inlineStr">
        <is>
          <t>NORRTÄLJE</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40761-2024</t>
        </is>
      </c>
      <c r="B318" s="1" t="n">
        <v>45558.46283564815</v>
      </c>
      <c r="C318" s="1" t="n">
        <v>46154</v>
      </c>
      <c r="D318" t="inlineStr">
        <is>
          <t>STOCKHOLMS LÄN</t>
        </is>
      </c>
      <c r="E318" t="inlineStr">
        <is>
          <t>NORRTÄLJE</t>
        </is>
      </c>
      <c r="G318" t="n">
        <v>1.2</v>
      </c>
      <c r="H318" t="n">
        <v>0</v>
      </c>
      <c r="I318" t="n">
        <v>0</v>
      </c>
      <c r="J318" t="n">
        <v>0</v>
      </c>
      <c r="K318" t="n">
        <v>0</v>
      </c>
      <c r="L318" t="n">
        <v>0</v>
      </c>
      <c r="M318" t="n">
        <v>0</v>
      </c>
      <c r="N318" t="n">
        <v>0</v>
      </c>
      <c r="O318" t="n">
        <v>0</v>
      </c>
      <c r="P318" t="n">
        <v>0</v>
      </c>
      <c r="Q318" t="n">
        <v>0</v>
      </c>
      <c r="R318" s="2" t="inlineStr"/>
    </row>
    <row r="319" ht="15" customHeight="1">
      <c r="A319" t="inlineStr">
        <is>
          <t>A 45549-2022</t>
        </is>
      </c>
      <c r="B319" s="1" t="n">
        <v>44845.48064814815</v>
      </c>
      <c r="C319" s="1" t="n">
        <v>46154</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16913-2025</t>
        </is>
      </c>
      <c r="B320" s="1" t="n">
        <v>45755.36583333334</v>
      </c>
      <c r="C320" s="1" t="n">
        <v>46154</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23692-2024</t>
        </is>
      </c>
      <c r="B321" s="1" t="n">
        <v>45454.65774305556</v>
      </c>
      <c r="C321" s="1" t="n">
        <v>46154</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51978-2023</t>
        </is>
      </c>
      <c r="B322" s="1" t="n">
        <v>45223</v>
      </c>
      <c r="C322" s="1" t="n">
        <v>46154</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47431-2023</t>
        </is>
      </c>
      <c r="B323" s="1" t="n">
        <v>45202</v>
      </c>
      <c r="C323" s="1" t="n">
        <v>46154</v>
      </c>
      <c r="D323" t="inlineStr">
        <is>
          <t>STOCKHOLMS LÄN</t>
        </is>
      </c>
      <c r="E323" t="inlineStr">
        <is>
          <t>NORRTÄLJE</t>
        </is>
      </c>
      <c r="F323" t="inlineStr">
        <is>
          <t>Naturvårdsverket</t>
        </is>
      </c>
      <c r="G323" t="n">
        <v>1.2</v>
      </c>
      <c r="H323" t="n">
        <v>0</v>
      </c>
      <c r="I323" t="n">
        <v>0</v>
      </c>
      <c r="J323" t="n">
        <v>0</v>
      </c>
      <c r="K323" t="n">
        <v>0</v>
      </c>
      <c r="L323" t="n">
        <v>0</v>
      </c>
      <c r="M323" t="n">
        <v>0</v>
      </c>
      <c r="N323" t="n">
        <v>0</v>
      </c>
      <c r="O323" t="n">
        <v>0</v>
      </c>
      <c r="P323" t="n">
        <v>0</v>
      </c>
      <c r="Q323" t="n">
        <v>0</v>
      </c>
      <c r="R323" s="2" t="inlineStr"/>
    </row>
    <row r="324" ht="15" customHeight="1">
      <c r="A324" t="inlineStr">
        <is>
          <t>A 23262-2023</t>
        </is>
      </c>
      <c r="B324" s="1" t="n">
        <v>45075.90270833333</v>
      </c>
      <c r="C324" s="1" t="n">
        <v>46154</v>
      </c>
      <c r="D324" t="inlineStr">
        <is>
          <t>STOCKHOLMS LÄN</t>
        </is>
      </c>
      <c r="E324" t="inlineStr">
        <is>
          <t>NORRTÄLJE</t>
        </is>
      </c>
      <c r="F324" t="inlineStr">
        <is>
          <t>Kommuner</t>
        </is>
      </c>
      <c r="G324" t="n">
        <v>1.9</v>
      </c>
      <c r="H324" t="n">
        <v>0</v>
      </c>
      <c r="I324" t="n">
        <v>0</v>
      </c>
      <c r="J324" t="n">
        <v>0</v>
      </c>
      <c r="K324" t="n">
        <v>0</v>
      </c>
      <c r="L324" t="n">
        <v>0</v>
      </c>
      <c r="M324" t="n">
        <v>0</v>
      </c>
      <c r="N324" t="n">
        <v>0</v>
      </c>
      <c r="O324" t="n">
        <v>0</v>
      </c>
      <c r="P324" t="n">
        <v>0</v>
      </c>
      <c r="Q324" t="n">
        <v>0</v>
      </c>
      <c r="R324" s="2" t="inlineStr"/>
    </row>
    <row r="325" ht="15" customHeight="1">
      <c r="A325" t="inlineStr">
        <is>
          <t>A 23268-2023</t>
        </is>
      </c>
      <c r="B325" s="1" t="n">
        <v>45075.91042824074</v>
      </c>
      <c r="C325" s="1" t="n">
        <v>46154</v>
      </c>
      <c r="D325" t="inlineStr">
        <is>
          <t>STOCKHOLMS LÄN</t>
        </is>
      </c>
      <c r="E325" t="inlineStr">
        <is>
          <t>NORRTÄLJE</t>
        </is>
      </c>
      <c r="G325" t="n">
        <v>3.3</v>
      </c>
      <c r="H325" t="n">
        <v>0</v>
      </c>
      <c r="I325" t="n">
        <v>0</v>
      </c>
      <c r="J325" t="n">
        <v>0</v>
      </c>
      <c r="K325" t="n">
        <v>0</v>
      </c>
      <c r="L325" t="n">
        <v>0</v>
      </c>
      <c r="M325" t="n">
        <v>0</v>
      </c>
      <c r="N325" t="n">
        <v>0</v>
      </c>
      <c r="O325" t="n">
        <v>0</v>
      </c>
      <c r="P325" t="n">
        <v>0</v>
      </c>
      <c r="Q325" t="n">
        <v>0</v>
      </c>
      <c r="R325" s="2" t="inlineStr"/>
    </row>
    <row r="326" ht="15" customHeight="1">
      <c r="A326" t="inlineStr">
        <is>
          <t>A 23270-2023</t>
        </is>
      </c>
      <c r="B326" s="1" t="n">
        <v>45075.91265046296</v>
      </c>
      <c r="C326" s="1" t="n">
        <v>46154</v>
      </c>
      <c r="D326" t="inlineStr">
        <is>
          <t>STOCKHOLMS LÄN</t>
        </is>
      </c>
      <c r="E326" t="inlineStr">
        <is>
          <t>NORRTÄLJE</t>
        </is>
      </c>
      <c r="G326" t="n">
        <v>12.3</v>
      </c>
      <c r="H326" t="n">
        <v>0</v>
      </c>
      <c r="I326" t="n">
        <v>0</v>
      </c>
      <c r="J326" t="n">
        <v>0</v>
      </c>
      <c r="K326" t="n">
        <v>0</v>
      </c>
      <c r="L326" t="n">
        <v>0</v>
      </c>
      <c r="M326" t="n">
        <v>0</v>
      </c>
      <c r="N326" t="n">
        <v>0</v>
      </c>
      <c r="O326" t="n">
        <v>0</v>
      </c>
      <c r="P326" t="n">
        <v>0</v>
      </c>
      <c r="Q326" t="n">
        <v>0</v>
      </c>
      <c r="R326" s="2" t="inlineStr"/>
    </row>
    <row r="327" ht="15" customHeight="1">
      <c r="A327" t="inlineStr">
        <is>
          <t>A 23274-2023</t>
        </is>
      </c>
      <c r="B327" s="1" t="n">
        <v>45075.92153935185</v>
      </c>
      <c r="C327" s="1" t="n">
        <v>46154</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50569-2022</t>
        </is>
      </c>
      <c r="B328" s="1" t="n">
        <v>44866.63775462963</v>
      </c>
      <c r="C328" s="1" t="n">
        <v>46154</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5732-2023</t>
        </is>
      </c>
      <c r="B329" s="1" t="n">
        <v>44962</v>
      </c>
      <c r="C329" s="1" t="n">
        <v>46154</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37550-2022</t>
        </is>
      </c>
      <c r="B330" s="1" t="n">
        <v>44809</v>
      </c>
      <c r="C330" s="1" t="n">
        <v>46154</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25609-2023</t>
        </is>
      </c>
      <c r="B331" s="1" t="n">
        <v>45089</v>
      </c>
      <c r="C331" s="1" t="n">
        <v>46154</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33569-2023</t>
        </is>
      </c>
      <c r="B332" s="1" t="n">
        <v>45131.666875</v>
      </c>
      <c r="C332" s="1" t="n">
        <v>46154</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60224-2023</t>
        </is>
      </c>
      <c r="B333" s="1" t="n">
        <v>45257</v>
      </c>
      <c r="C333" s="1" t="n">
        <v>46154</v>
      </c>
      <c r="D333" t="inlineStr">
        <is>
          <t>STOCKHOLMS LÄN</t>
        </is>
      </c>
      <c r="E333" t="inlineStr">
        <is>
          <t>NORRTÄLJE</t>
        </is>
      </c>
      <c r="G333" t="n">
        <v>8.1</v>
      </c>
      <c r="H333" t="n">
        <v>0</v>
      </c>
      <c r="I333" t="n">
        <v>0</v>
      </c>
      <c r="J333" t="n">
        <v>0</v>
      </c>
      <c r="K333" t="n">
        <v>0</v>
      </c>
      <c r="L333" t="n">
        <v>0</v>
      </c>
      <c r="M333" t="n">
        <v>0</v>
      </c>
      <c r="N333" t="n">
        <v>0</v>
      </c>
      <c r="O333" t="n">
        <v>0</v>
      </c>
      <c r="P333" t="n">
        <v>0</v>
      </c>
      <c r="Q333" t="n">
        <v>0</v>
      </c>
      <c r="R333" s="2" t="inlineStr"/>
    </row>
    <row r="334" ht="15" customHeight="1">
      <c r="A334" t="inlineStr">
        <is>
          <t>A 29684-2021</t>
        </is>
      </c>
      <c r="B334" s="1" t="n">
        <v>44362.37172453704</v>
      </c>
      <c r="C334" s="1" t="n">
        <v>46154</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17785-2024</t>
        </is>
      </c>
      <c r="B335" s="1" t="n">
        <v>45418.6968287037</v>
      </c>
      <c r="C335" s="1" t="n">
        <v>46154</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21386-2023</t>
        </is>
      </c>
      <c r="B336" s="1" t="n">
        <v>45063.35880787037</v>
      </c>
      <c r="C336" s="1" t="n">
        <v>46154</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22833-2024</t>
        </is>
      </c>
      <c r="B337" s="1" t="n">
        <v>45448.56746527777</v>
      </c>
      <c r="C337" s="1" t="n">
        <v>46154</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4593-2023</t>
        </is>
      </c>
      <c r="B338" s="1" t="n">
        <v>44956</v>
      </c>
      <c r="C338" s="1" t="n">
        <v>46154</v>
      </c>
      <c r="D338" t="inlineStr">
        <is>
          <t>STOCKHOLMS LÄN</t>
        </is>
      </c>
      <c r="E338" t="inlineStr">
        <is>
          <t>NORRTÄLJE</t>
        </is>
      </c>
      <c r="G338" t="n">
        <v>0.4</v>
      </c>
      <c r="H338" t="n">
        <v>0</v>
      </c>
      <c r="I338" t="n">
        <v>0</v>
      </c>
      <c r="J338" t="n">
        <v>0</v>
      </c>
      <c r="K338" t="n">
        <v>0</v>
      </c>
      <c r="L338" t="n">
        <v>0</v>
      </c>
      <c r="M338" t="n">
        <v>0</v>
      </c>
      <c r="N338" t="n">
        <v>0</v>
      </c>
      <c r="O338" t="n">
        <v>0</v>
      </c>
      <c r="P338" t="n">
        <v>0</v>
      </c>
      <c r="Q338" t="n">
        <v>0</v>
      </c>
      <c r="R338" s="2" t="inlineStr"/>
    </row>
    <row r="339" ht="15" customHeight="1">
      <c r="A339" t="inlineStr">
        <is>
          <t>A 32071-2023</t>
        </is>
      </c>
      <c r="B339" s="1" t="n">
        <v>45119.57728009259</v>
      </c>
      <c r="C339" s="1" t="n">
        <v>46154</v>
      </c>
      <c r="D339" t="inlineStr">
        <is>
          <t>STOCKHOLMS LÄN</t>
        </is>
      </c>
      <c r="E339" t="inlineStr">
        <is>
          <t>NORRTÄLJE</t>
        </is>
      </c>
      <c r="G339" t="n">
        <v>6.5</v>
      </c>
      <c r="H339" t="n">
        <v>0</v>
      </c>
      <c r="I339" t="n">
        <v>0</v>
      </c>
      <c r="J339" t="n">
        <v>0</v>
      </c>
      <c r="K339" t="n">
        <v>0</v>
      </c>
      <c r="L339" t="n">
        <v>0</v>
      </c>
      <c r="M339" t="n">
        <v>0</v>
      </c>
      <c r="N339" t="n">
        <v>0</v>
      </c>
      <c r="O339" t="n">
        <v>0</v>
      </c>
      <c r="P339" t="n">
        <v>0</v>
      </c>
      <c r="Q339" t="n">
        <v>0</v>
      </c>
      <c r="R339" s="2" t="inlineStr"/>
    </row>
    <row r="340" ht="15" customHeight="1">
      <c r="A340" t="inlineStr">
        <is>
          <t>A 54396-2021</t>
        </is>
      </c>
      <c r="B340" s="1" t="n">
        <v>44472</v>
      </c>
      <c r="C340" s="1" t="n">
        <v>46154</v>
      </c>
      <c r="D340" t="inlineStr">
        <is>
          <t>STOCKHOLMS LÄN</t>
        </is>
      </c>
      <c r="E340" t="inlineStr">
        <is>
          <t>NORRTÄLJE</t>
        </is>
      </c>
      <c r="G340" t="n">
        <v>2.6</v>
      </c>
      <c r="H340" t="n">
        <v>0</v>
      </c>
      <c r="I340" t="n">
        <v>0</v>
      </c>
      <c r="J340" t="n">
        <v>0</v>
      </c>
      <c r="K340" t="n">
        <v>0</v>
      </c>
      <c r="L340" t="n">
        <v>0</v>
      </c>
      <c r="M340" t="n">
        <v>0</v>
      </c>
      <c r="N340" t="n">
        <v>0</v>
      </c>
      <c r="O340" t="n">
        <v>0</v>
      </c>
      <c r="P340" t="n">
        <v>0</v>
      </c>
      <c r="Q340" t="n">
        <v>0</v>
      </c>
      <c r="R340" s="2" t="inlineStr"/>
    </row>
    <row r="341" ht="15" customHeight="1">
      <c r="A341" t="inlineStr">
        <is>
          <t>A 62998-2023</t>
        </is>
      </c>
      <c r="B341" s="1" t="n">
        <v>45272.64479166667</v>
      </c>
      <c r="C341" s="1" t="n">
        <v>46154</v>
      </c>
      <c r="D341" t="inlineStr">
        <is>
          <t>STOCKHOLMS LÄN</t>
        </is>
      </c>
      <c r="E341" t="inlineStr">
        <is>
          <t>NORRTÄLJE</t>
        </is>
      </c>
      <c r="G341" t="n">
        <v>16.3</v>
      </c>
      <c r="H341" t="n">
        <v>0</v>
      </c>
      <c r="I341" t="n">
        <v>0</v>
      </c>
      <c r="J341" t="n">
        <v>0</v>
      </c>
      <c r="K341" t="n">
        <v>0</v>
      </c>
      <c r="L341" t="n">
        <v>0</v>
      </c>
      <c r="M341" t="n">
        <v>0</v>
      </c>
      <c r="N341" t="n">
        <v>0</v>
      </c>
      <c r="O341" t="n">
        <v>0</v>
      </c>
      <c r="P341" t="n">
        <v>0</v>
      </c>
      <c r="Q341" t="n">
        <v>0</v>
      </c>
      <c r="R341" s="2" t="inlineStr"/>
    </row>
    <row r="342" ht="15" customHeight="1">
      <c r="A342" t="inlineStr">
        <is>
          <t>A 63015-2023</t>
        </is>
      </c>
      <c r="B342" s="1" t="n">
        <v>45272</v>
      </c>
      <c r="C342" s="1" t="n">
        <v>46154</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25681-2024</t>
        </is>
      </c>
      <c r="B343" s="1" t="n">
        <v>45463.80486111111</v>
      </c>
      <c r="C343" s="1" t="n">
        <v>46154</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12901-2024</t>
        </is>
      </c>
      <c r="B344" s="1" t="n">
        <v>45385.37922453704</v>
      </c>
      <c r="C344" s="1" t="n">
        <v>46154</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12301-2025</t>
        </is>
      </c>
      <c r="B345" s="1" t="n">
        <v>45729.7271875</v>
      </c>
      <c r="C345" s="1" t="n">
        <v>46154</v>
      </c>
      <c r="D345" t="inlineStr">
        <is>
          <t>STOCKHOLMS LÄN</t>
        </is>
      </c>
      <c r="E345" t="inlineStr">
        <is>
          <t>NORRTÄLJE</t>
        </is>
      </c>
      <c r="G345" t="n">
        <v>3.2</v>
      </c>
      <c r="H345" t="n">
        <v>0</v>
      </c>
      <c r="I345" t="n">
        <v>0</v>
      </c>
      <c r="J345" t="n">
        <v>0</v>
      </c>
      <c r="K345" t="n">
        <v>0</v>
      </c>
      <c r="L345" t="n">
        <v>0</v>
      </c>
      <c r="M345" t="n">
        <v>0</v>
      </c>
      <c r="N345" t="n">
        <v>0</v>
      </c>
      <c r="O345" t="n">
        <v>0</v>
      </c>
      <c r="P345" t="n">
        <v>0</v>
      </c>
      <c r="Q345" t="n">
        <v>0</v>
      </c>
      <c r="R345" s="2" t="inlineStr"/>
    </row>
    <row r="346" ht="15" customHeight="1">
      <c r="A346" t="inlineStr">
        <is>
          <t>A 24245-2024</t>
        </is>
      </c>
      <c r="B346" s="1" t="n">
        <v>45457</v>
      </c>
      <c r="C346" s="1" t="n">
        <v>46154</v>
      </c>
      <c r="D346" t="inlineStr">
        <is>
          <t>STOCKHOLMS LÄN</t>
        </is>
      </c>
      <c r="E346" t="inlineStr">
        <is>
          <t>NORRTÄLJE</t>
        </is>
      </c>
      <c r="F346" t="inlineStr">
        <is>
          <t>Holmen skog AB</t>
        </is>
      </c>
      <c r="G346" t="n">
        <v>3.4</v>
      </c>
      <c r="H346" t="n">
        <v>0</v>
      </c>
      <c r="I346" t="n">
        <v>0</v>
      </c>
      <c r="J346" t="n">
        <v>0</v>
      </c>
      <c r="K346" t="n">
        <v>0</v>
      </c>
      <c r="L346" t="n">
        <v>0</v>
      </c>
      <c r="M346" t="n">
        <v>0</v>
      </c>
      <c r="N346" t="n">
        <v>0</v>
      </c>
      <c r="O346" t="n">
        <v>0</v>
      </c>
      <c r="P346" t="n">
        <v>0</v>
      </c>
      <c r="Q346" t="n">
        <v>0</v>
      </c>
      <c r="R346" s="2" t="inlineStr"/>
    </row>
    <row r="347" ht="15" customHeight="1">
      <c r="A347" t="inlineStr">
        <is>
          <t>A 8950-2025</t>
        </is>
      </c>
      <c r="B347" s="1" t="n">
        <v>45713</v>
      </c>
      <c r="C347" s="1" t="n">
        <v>46154</v>
      </c>
      <c r="D347" t="inlineStr">
        <is>
          <t>STOCKHOLMS LÄN</t>
        </is>
      </c>
      <c r="E347" t="inlineStr">
        <is>
          <t>NORRTÄLJE</t>
        </is>
      </c>
      <c r="F347" t="inlineStr">
        <is>
          <t>Övriga Aktiebolag</t>
        </is>
      </c>
      <c r="G347" t="n">
        <v>3.6</v>
      </c>
      <c r="H347" t="n">
        <v>0</v>
      </c>
      <c r="I347" t="n">
        <v>0</v>
      </c>
      <c r="J347" t="n">
        <v>0</v>
      </c>
      <c r="K347" t="n">
        <v>0</v>
      </c>
      <c r="L347" t="n">
        <v>0</v>
      </c>
      <c r="M347" t="n">
        <v>0</v>
      </c>
      <c r="N347" t="n">
        <v>0</v>
      </c>
      <c r="O347" t="n">
        <v>0</v>
      </c>
      <c r="P347" t="n">
        <v>0</v>
      </c>
      <c r="Q347" t="n">
        <v>0</v>
      </c>
      <c r="R347" s="2" t="inlineStr"/>
    </row>
    <row r="348" ht="15" customHeight="1">
      <c r="A348" t="inlineStr">
        <is>
          <t>A 20730-2024</t>
        </is>
      </c>
      <c r="B348" s="1" t="n">
        <v>45436</v>
      </c>
      <c r="C348" s="1" t="n">
        <v>46154</v>
      </c>
      <c r="D348" t="inlineStr">
        <is>
          <t>STOCKHOLMS LÄN</t>
        </is>
      </c>
      <c r="E348" t="inlineStr">
        <is>
          <t>NORRTÄLJE</t>
        </is>
      </c>
      <c r="G348" t="n">
        <v>7.3</v>
      </c>
      <c r="H348" t="n">
        <v>0</v>
      </c>
      <c r="I348" t="n">
        <v>0</v>
      </c>
      <c r="J348" t="n">
        <v>0</v>
      </c>
      <c r="K348" t="n">
        <v>0</v>
      </c>
      <c r="L348" t="n">
        <v>0</v>
      </c>
      <c r="M348" t="n">
        <v>0</v>
      </c>
      <c r="N348" t="n">
        <v>0</v>
      </c>
      <c r="O348" t="n">
        <v>0</v>
      </c>
      <c r="P348" t="n">
        <v>0</v>
      </c>
      <c r="Q348" t="n">
        <v>0</v>
      </c>
      <c r="R348" s="2" t="inlineStr"/>
    </row>
    <row r="349" ht="15" customHeight="1">
      <c r="A349" t="inlineStr">
        <is>
          <t>A 33175-2024</t>
        </is>
      </c>
      <c r="B349" s="1" t="n">
        <v>45518</v>
      </c>
      <c r="C349" s="1" t="n">
        <v>46154</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13283-2025</t>
        </is>
      </c>
      <c r="B350" s="1" t="n">
        <v>45735</v>
      </c>
      <c r="C350" s="1" t="n">
        <v>46154</v>
      </c>
      <c r="D350" t="inlineStr">
        <is>
          <t>STOCKHOLMS LÄN</t>
        </is>
      </c>
      <c r="E350" t="inlineStr">
        <is>
          <t>NORRTÄLJE</t>
        </is>
      </c>
      <c r="G350" t="n">
        <v>4.9</v>
      </c>
      <c r="H350" t="n">
        <v>0</v>
      </c>
      <c r="I350" t="n">
        <v>0</v>
      </c>
      <c r="J350" t="n">
        <v>0</v>
      </c>
      <c r="K350" t="n">
        <v>0</v>
      </c>
      <c r="L350" t="n">
        <v>0</v>
      </c>
      <c r="M350" t="n">
        <v>0</v>
      </c>
      <c r="N350" t="n">
        <v>0</v>
      </c>
      <c r="O350" t="n">
        <v>0</v>
      </c>
      <c r="P350" t="n">
        <v>0</v>
      </c>
      <c r="Q350" t="n">
        <v>0</v>
      </c>
      <c r="R350" s="2" t="inlineStr"/>
    </row>
    <row r="351" ht="15" customHeight="1">
      <c r="A351" t="inlineStr">
        <is>
          <t>A 26115-2024</t>
        </is>
      </c>
      <c r="B351" s="1" t="n">
        <v>45468.45628472222</v>
      </c>
      <c r="C351" s="1" t="n">
        <v>46154</v>
      </c>
      <c r="D351" t="inlineStr">
        <is>
          <t>STOCKHOLMS LÄN</t>
        </is>
      </c>
      <c r="E351" t="inlineStr">
        <is>
          <t>NORRTÄLJE</t>
        </is>
      </c>
      <c r="G351" t="n">
        <v>0.3</v>
      </c>
      <c r="H351" t="n">
        <v>0</v>
      </c>
      <c r="I351" t="n">
        <v>0</v>
      </c>
      <c r="J351" t="n">
        <v>0</v>
      </c>
      <c r="K351" t="n">
        <v>0</v>
      </c>
      <c r="L351" t="n">
        <v>0</v>
      </c>
      <c r="M351" t="n">
        <v>0</v>
      </c>
      <c r="N351" t="n">
        <v>0</v>
      </c>
      <c r="O351" t="n">
        <v>0</v>
      </c>
      <c r="P351" t="n">
        <v>0</v>
      </c>
      <c r="Q351" t="n">
        <v>0</v>
      </c>
      <c r="R351" s="2" t="inlineStr"/>
    </row>
    <row r="352" ht="15" customHeight="1">
      <c r="A352" t="inlineStr">
        <is>
          <t>A 27831-2024</t>
        </is>
      </c>
      <c r="B352" s="1" t="n">
        <v>45475.61896990741</v>
      </c>
      <c r="C352" s="1" t="n">
        <v>46154</v>
      </c>
      <c r="D352" t="inlineStr">
        <is>
          <t>STOCKHOLMS LÄN</t>
        </is>
      </c>
      <c r="E352" t="inlineStr">
        <is>
          <t>NORRTÄLJE</t>
        </is>
      </c>
      <c r="G352" t="n">
        <v>3.8</v>
      </c>
      <c r="H352" t="n">
        <v>0</v>
      </c>
      <c r="I352" t="n">
        <v>0</v>
      </c>
      <c r="J352" t="n">
        <v>0</v>
      </c>
      <c r="K352" t="n">
        <v>0</v>
      </c>
      <c r="L352" t="n">
        <v>0</v>
      </c>
      <c r="M352" t="n">
        <v>0</v>
      </c>
      <c r="N352" t="n">
        <v>0</v>
      </c>
      <c r="O352" t="n">
        <v>0</v>
      </c>
      <c r="P352" t="n">
        <v>0</v>
      </c>
      <c r="Q352" t="n">
        <v>0</v>
      </c>
      <c r="R352" s="2" t="inlineStr"/>
    </row>
    <row r="353" ht="15" customHeight="1">
      <c r="A353" t="inlineStr">
        <is>
          <t>A 65499-2021</t>
        </is>
      </c>
      <c r="B353" s="1" t="n">
        <v>44516</v>
      </c>
      <c r="C353" s="1" t="n">
        <v>46154</v>
      </c>
      <c r="D353" t="inlineStr">
        <is>
          <t>STOCKHOLMS LÄN</t>
        </is>
      </c>
      <c r="E353" t="inlineStr">
        <is>
          <t>NORRTÄLJE</t>
        </is>
      </c>
      <c r="F353" t="inlineStr">
        <is>
          <t>Kommuner</t>
        </is>
      </c>
      <c r="G353" t="n">
        <v>5.2</v>
      </c>
      <c r="H353" t="n">
        <v>0</v>
      </c>
      <c r="I353" t="n">
        <v>0</v>
      </c>
      <c r="J353" t="n">
        <v>0</v>
      </c>
      <c r="K353" t="n">
        <v>0</v>
      </c>
      <c r="L353" t="n">
        <v>0</v>
      </c>
      <c r="M353" t="n">
        <v>0</v>
      </c>
      <c r="N353" t="n">
        <v>0</v>
      </c>
      <c r="O353" t="n">
        <v>0</v>
      </c>
      <c r="P353" t="n">
        <v>0</v>
      </c>
      <c r="Q353" t="n">
        <v>0</v>
      </c>
      <c r="R353" s="2" t="inlineStr"/>
    </row>
    <row r="354" ht="15" customHeight="1">
      <c r="A354" t="inlineStr">
        <is>
          <t>A 54273-2021</t>
        </is>
      </c>
      <c r="B354" s="1" t="n">
        <v>44470.72987268519</v>
      </c>
      <c r="C354" s="1" t="n">
        <v>46154</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43212-2022</t>
        </is>
      </c>
      <c r="B355" s="1" t="n">
        <v>44834.38636574074</v>
      </c>
      <c r="C355" s="1" t="n">
        <v>46154</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39149-2025</t>
        </is>
      </c>
      <c r="B356" s="1" t="n">
        <v>45888.60714120371</v>
      </c>
      <c r="C356" s="1" t="n">
        <v>46154</v>
      </c>
      <c r="D356" t="inlineStr">
        <is>
          <t>STOCKHOLMS LÄN</t>
        </is>
      </c>
      <c r="E356" t="inlineStr">
        <is>
          <t>NORRTÄLJE</t>
        </is>
      </c>
      <c r="G356" t="n">
        <v>3.5</v>
      </c>
      <c r="H356" t="n">
        <v>0</v>
      </c>
      <c r="I356" t="n">
        <v>0</v>
      </c>
      <c r="J356" t="n">
        <v>0</v>
      </c>
      <c r="K356" t="n">
        <v>0</v>
      </c>
      <c r="L356" t="n">
        <v>0</v>
      </c>
      <c r="M356" t="n">
        <v>0</v>
      </c>
      <c r="N356" t="n">
        <v>0</v>
      </c>
      <c r="O356" t="n">
        <v>0</v>
      </c>
      <c r="P356" t="n">
        <v>0</v>
      </c>
      <c r="Q356" t="n">
        <v>0</v>
      </c>
      <c r="R356" s="2" t="inlineStr"/>
    </row>
    <row r="357" ht="15" customHeight="1">
      <c r="A357" t="inlineStr">
        <is>
          <t>A 38720-2025</t>
        </is>
      </c>
      <c r="B357" s="1" t="n">
        <v>45886</v>
      </c>
      <c r="C357" s="1" t="n">
        <v>46154</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21803-2022</t>
        </is>
      </c>
      <c r="B358" s="1" t="n">
        <v>44708.67822916667</v>
      </c>
      <c r="C358" s="1" t="n">
        <v>46154</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39152-2025</t>
        </is>
      </c>
      <c r="B359" s="1" t="n">
        <v>45888</v>
      </c>
      <c r="C359" s="1" t="n">
        <v>46154</v>
      </c>
      <c r="D359" t="inlineStr">
        <is>
          <t>STOCKHOLMS LÄN</t>
        </is>
      </c>
      <c r="E359" t="inlineStr">
        <is>
          <t>NORRTÄLJE</t>
        </is>
      </c>
      <c r="G359" t="n">
        <v>4.6</v>
      </c>
      <c r="H359" t="n">
        <v>0</v>
      </c>
      <c r="I359" t="n">
        <v>0</v>
      </c>
      <c r="J359" t="n">
        <v>0</v>
      </c>
      <c r="K359" t="n">
        <v>0</v>
      </c>
      <c r="L359" t="n">
        <v>0</v>
      </c>
      <c r="M359" t="n">
        <v>0</v>
      </c>
      <c r="N359" t="n">
        <v>0</v>
      </c>
      <c r="O359" t="n">
        <v>0</v>
      </c>
      <c r="P359" t="n">
        <v>0</v>
      </c>
      <c r="Q359" t="n">
        <v>0</v>
      </c>
      <c r="R359" s="2" t="inlineStr"/>
    </row>
    <row r="360" ht="15" customHeight="1">
      <c r="A360" t="inlineStr">
        <is>
          <t>A 24687-2025</t>
        </is>
      </c>
      <c r="B360" s="1" t="n">
        <v>45798.66767361111</v>
      </c>
      <c r="C360" s="1" t="n">
        <v>46154</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34295-2024</t>
        </is>
      </c>
      <c r="B361" s="1" t="n">
        <v>45524</v>
      </c>
      <c r="C361" s="1" t="n">
        <v>46154</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39692-2025</t>
        </is>
      </c>
      <c r="B362" s="1" t="n">
        <v>45890.68083333333</v>
      </c>
      <c r="C362" s="1" t="n">
        <v>46154</v>
      </c>
      <c r="D362" t="inlineStr">
        <is>
          <t>STOCKHOLMS LÄN</t>
        </is>
      </c>
      <c r="E362" t="inlineStr">
        <is>
          <t>NORRTÄLJE</t>
        </is>
      </c>
      <c r="G362" t="n">
        <v>10.5</v>
      </c>
      <c r="H362" t="n">
        <v>0</v>
      </c>
      <c r="I362" t="n">
        <v>0</v>
      </c>
      <c r="J362" t="n">
        <v>0</v>
      </c>
      <c r="K362" t="n">
        <v>0</v>
      </c>
      <c r="L362" t="n">
        <v>0</v>
      </c>
      <c r="M362" t="n">
        <v>0</v>
      </c>
      <c r="N362" t="n">
        <v>0</v>
      </c>
      <c r="O362" t="n">
        <v>0</v>
      </c>
      <c r="P362" t="n">
        <v>0</v>
      </c>
      <c r="Q362" t="n">
        <v>0</v>
      </c>
      <c r="R362" s="2" t="inlineStr"/>
    </row>
    <row r="363" ht="15" customHeight="1">
      <c r="A363" t="inlineStr">
        <is>
          <t>A 27677-2025</t>
        </is>
      </c>
      <c r="B363" s="1" t="n">
        <v>45813.63650462963</v>
      </c>
      <c r="C363" s="1" t="n">
        <v>46154</v>
      </c>
      <c r="D363" t="inlineStr">
        <is>
          <t>STOCKHOLMS LÄN</t>
        </is>
      </c>
      <c r="E363" t="inlineStr">
        <is>
          <t>NORRTÄLJE</t>
        </is>
      </c>
      <c r="G363" t="n">
        <v>2</v>
      </c>
      <c r="H363" t="n">
        <v>0</v>
      </c>
      <c r="I363" t="n">
        <v>0</v>
      </c>
      <c r="J363" t="n">
        <v>0</v>
      </c>
      <c r="K363" t="n">
        <v>0</v>
      </c>
      <c r="L363" t="n">
        <v>0</v>
      </c>
      <c r="M363" t="n">
        <v>0</v>
      </c>
      <c r="N363" t="n">
        <v>0</v>
      </c>
      <c r="O363" t="n">
        <v>0</v>
      </c>
      <c r="P363" t="n">
        <v>0</v>
      </c>
      <c r="Q363" t="n">
        <v>0</v>
      </c>
      <c r="R363" s="2" t="inlineStr"/>
    </row>
    <row r="364" ht="15" customHeight="1">
      <c r="A364" t="inlineStr">
        <is>
          <t>A 124-2026</t>
        </is>
      </c>
      <c r="B364" s="1" t="n">
        <v>46024.58378472222</v>
      </c>
      <c r="C364" s="1" t="n">
        <v>46154</v>
      </c>
      <c r="D364" t="inlineStr">
        <is>
          <t>STOCKHOLMS LÄN</t>
        </is>
      </c>
      <c r="E364" t="inlineStr">
        <is>
          <t>NORRTÄLJE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6537-2024</t>
        </is>
      </c>
      <c r="B365" s="1" t="n">
        <v>45341.39853009259</v>
      </c>
      <c r="C365" s="1" t="n">
        <v>46154</v>
      </c>
      <c r="D365" t="inlineStr">
        <is>
          <t>STOCKHOLMS LÄN</t>
        </is>
      </c>
      <c r="E365" t="inlineStr">
        <is>
          <t>NORRTÄLJE</t>
        </is>
      </c>
      <c r="G365" t="n">
        <v>1.2</v>
      </c>
      <c r="H365" t="n">
        <v>0</v>
      </c>
      <c r="I365" t="n">
        <v>0</v>
      </c>
      <c r="J365" t="n">
        <v>0</v>
      </c>
      <c r="K365" t="n">
        <v>0</v>
      </c>
      <c r="L365" t="n">
        <v>0</v>
      </c>
      <c r="M365" t="n">
        <v>0</v>
      </c>
      <c r="N365" t="n">
        <v>0</v>
      </c>
      <c r="O365" t="n">
        <v>0</v>
      </c>
      <c r="P365" t="n">
        <v>0</v>
      </c>
      <c r="Q365" t="n">
        <v>0</v>
      </c>
      <c r="R365" s="2" t="inlineStr"/>
    </row>
    <row r="366" ht="15" customHeight="1">
      <c r="A366" t="inlineStr">
        <is>
          <t>A 24690-2025</t>
        </is>
      </c>
      <c r="B366" s="1" t="n">
        <v>45798.67082175926</v>
      </c>
      <c r="C366" s="1" t="n">
        <v>46154</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24638-2025</t>
        </is>
      </c>
      <c r="B367" s="1" t="n">
        <v>45798</v>
      </c>
      <c r="C367" s="1" t="n">
        <v>46154</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24351-2025</t>
        </is>
      </c>
      <c r="B368" s="1" t="n">
        <v>45797.58399305555</v>
      </c>
      <c r="C368" s="1" t="n">
        <v>46154</v>
      </c>
      <c r="D368" t="inlineStr">
        <is>
          <t>STOCKHOLMS LÄN</t>
        </is>
      </c>
      <c r="E368" t="inlineStr">
        <is>
          <t>NORRTÄLJE</t>
        </is>
      </c>
      <c r="G368" t="n">
        <v>1.5</v>
      </c>
      <c r="H368" t="n">
        <v>0</v>
      </c>
      <c r="I368" t="n">
        <v>0</v>
      </c>
      <c r="J368" t="n">
        <v>0</v>
      </c>
      <c r="K368" t="n">
        <v>0</v>
      </c>
      <c r="L368" t="n">
        <v>0</v>
      </c>
      <c r="M368" t="n">
        <v>0</v>
      </c>
      <c r="N368" t="n">
        <v>0</v>
      </c>
      <c r="O368" t="n">
        <v>0</v>
      </c>
      <c r="P368" t="n">
        <v>0</v>
      </c>
      <c r="Q368" t="n">
        <v>0</v>
      </c>
      <c r="R368" s="2" t="inlineStr"/>
    </row>
    <row r="369" ht="15" customHeight="1">
      <c r="A369" t="inlineStr">
        <is>
          <t>A 197-2026</t>
        </is>
      </c>
      <c r="B369" s="1" t="n">
        <v>46026</v>
      </c>
      <c r="C369" s="1" t="n">
        <v>46154</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52260-2022</t>
        </is>
      </c>
      <c r="B370" s="1" t="n">
        <v>44869</v>
      </c>
      <c r="C370" s="1" t="n">
        <v>46154</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718-2026</t>
        </is>
      </c>
      <c r="B371" s="1" t="n">
        <v>46029.63174768518</v>
      </c>
      <c r="C371" s="1" t="n">
        <v>46154</v>
      </c>
      <c r="D371" t="inlineStr">
        <is>
          <t>STOCKHOLMS LÄN</t>
        </is>
      </c>
      <c r="E371" t="inlineStr">
        <is>
          <t>NORRTÄLJE</t>
        </is>
      </c>
      <c r="G371" t="n">
        <v>2.4</v>
      </c>
      <c r="H371" t="n">
        <v>0</v>
      </c>
      <c r="I371" t="n">
        <v>0</v>
      </c>
      <c r="J371" t="n">
        <v>0</v>
      </c>
      <c r="K371" t="n">
        <v>0</v>
      </c>
      <c r="L371" t="n">
        <v>0</v>
      </c>
      <c r="M371" t="n">
        <v>0</v>
      </c>
      <c r="N371" t="n">
        <v>0</v>
      </c>
      <c r="O371" t="n">
        <v>0</v>
      </c>
      <c r="P371" t="n">
        <v>0</v>
      </c>
      <c r="Q371" t="n">
        <v>0</v>
      </c>
      <c r="R371" s="2" t="inlineStr"/>
    </row>
    <row r="372" ht="15" customHeight="1">
      <c r="A372" t="inlineStr">
        <is>
          <t>A 55058-2021</t>
        </is>
      </c>
      <c r="B372" s="1" t="n">
        <v>44474.62141203704</v>
      </c>
      <c r="C372" s="1" t="n">
        <v>46154</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694-2026</t>
        </is>
      </c>
      <c r="B373" s="1" t="n">
        <v>46029.61375</v>
      </c>
      <c r="C373" s="1" t="n">
        <v>46154</v>
      </c>
      <c r="D373" t="inlineStr">
        <is>
          <t>STOCKHOLMS LÄN</t>
        </is>
      </c>
      <c r="E373" t="inlineStr">
        <is>
          <t>NORRTÄLJE</t>
        </is>
      </c>
      <c r="G373" t="n">
        <v>9.6</v>
      </c>
      <c r="H373" t="n">
        <v>0</v>
      </c>
      <c r="I373" t="n">
        <v>0</v>
      </c>
      <c r="J373" t="n">
        <v>0</v>
      </c>
      <c r="K373" t="n">
        <v>0</v>
      </c>
      <c r="L373" t="n">
        <v>0</v>
      </c>
      <c r="M373" t="n">
        <v>0</v>
      </c>
      <c r="N373" t="n">
        <v>0</v>
      </c>
      <c r="O373" t="n">
        <v>0</v>
      </c>
      <c r="P373" t="n">
        <v>0</v>
      </c>
      <c r="Q373" t="n">
        <v>0</v>
      </c>
      <c r="R373" s="2" t="inlineStr"/>
    </row>
    <row r="374" ht="15" customHeight="1">
      <c r="A374" t="inlineStr">
        <is>
          <t>A 4035-2023</t>
        </is>
      </c>
      <c r="B374" s="1" t="n">
        <v>44952.57989583333</v>
      </c>
      <c r="C374" s="1" t="n">
        <v>46154</v>
      </c>
      <c r="D374" t="inlineStr">
        <is>
          <t>STOCKHOLMS LÄN</t>
        </is>
      </c>
      <c r="E374" t="inlineStr">
        <is>
          <t>NORRTÄLJE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28603-2024</t>
        </is>
      </c>
      <c r="B375" s="1" t="n">
        <v>45478.42887731481</v>
      </c>
      <c r="C375" s="1" t="n">
        <v>46154</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693-2026</t>
        </is>
      </c>
      <c r="B376" s="1" t="n">
        <v>46029.6133449074</v>
      </c>
      <c r="C376" s="1" t="n">
        <v>46154</v>
      </c>
      <c r="D376" t="inlineStr">
        <is>
          <t>STOCKHOLMS LÄN</t>
        </is>
      </c>
      <c r="E376" t="inlineStr">
        <is>
          <t>NORRTÄLJE</t>
        </is>
      </c>
      <c r="G376" t="n">
        <v>9.6</v>
      </c>
      <c r="H376" t="n">
        <v>0</v>
      </c>
      <c r="I376" t="n">
        <v>0</v>
      </c>
      <c r="J376" t="n">
        <v>0</v>
      </c>
      <c r="K376" t="n">
        <v>0</v>
      </c>
      <c r="L376" t="n">
        <v>0</v>
      </c>
      <c r="M376" t="n">
        <v>0</v>
      </c>
      <c r="N376" t="n">
        <v>0</v>
      </c>
      <c r="O376" t="n">
        <v>0</v>
      </c>
      <c r="P376" t="n">
        <v>0</v>
      </c>
      <c r="Q376" t="n">
        <v>0</v>
      </c>
      <c r="R376" s="2" t="inlineStr"/>
    </row>
    <row r="377" ht="15" customHeight="1">
      <c r="A377" t="inlineStr">
        <is>
          <t>A 26644-2024</t>
        </is>
      </c>
      <c r="B377" s="1" t="n">
        <v>45469</v>
      </c>
      <c r="C377" s="1" t="n">
        <v>46154</v>
      </c>
      <c r="D377" t="inlineStr">
        <is>
          <t>STOCKHOLMS LÄN</t>
        </is>
      </c>
      <c r="E377" t="inlineStr">
        <is>
          <t>NORRTÄLJE</t>
        </is>
      </c>
      <c r="G377" t="n">
        <v>4.3</v>
      </c>
      <c r="H377" t="n">
        <v>0</v>
      </c>
      <c r="I377" t="n">
        <v>0</v>
      </c>
      <c r="J377" t="n">
        <v>0</v>
      </c>
      <c r="K377" t="n">
        <v>0</v>
      </c>
      <c r="L377" t="n">
        <v>0</v>
      </c>
      <c r="M377" t="n">
        <v>0</v>
      </c>
      <c r="N377" t="n">
        <v>0</v>
      </c>
      <c r="O377" t="n">
        <v>0</v>
      </c>
      <c r="P377" t="n">
        <v>0</v>
      </c>
      <c r="Q377" t="n">
        <v>0</v>
      </c>
      <c r="R377" s="2" t="inlineStr"/>
    </row>
    <row r="378" ht="15" customHeight="1">
      <c r="A378" t="inlineStr">
        <is>
          <t>A 26668-2024</t>
        </is>
      </c>
      <c r="B378" s="1" t="n">
        <v>45469</v>
      </c>
      <c r="C378" s="1" t="n">
        <v>46154</v>
      </c>
      <c r="D378" t="inlineStr">
        <is>
          <t>STOCKHOLMS LÄN</t>
        </is>
      </c>
      <c r="E378" t="inlineStr">
        <is>
          <t>NORRTÄLJE</t>
        </is>
      </c>
      <c r="G378" t="n">
        <v>4.8</v>
      </c>
      <c r="H378" t="n">
        <v>0</v>
      </c>
      <c r="I378" t="n">
        <v>0</v>
      </c>
      <c r="J378" t="n">
        <v>0</v>
      </c>
      <c r="K378" t="n">
        <v>0</v>
      </c>
      <c r="L378" t="n">
        <v>0</v>
      </c>
      <c r="M378" t="n">
        <v>0</v>
      </c>
      <c r="N378" t="n">
        <v>0</v>
      </c>
      <c r="O378" t="n">
        <v>0</v>
      </c>
      <c r="P378" t="n">
        <v>0</v>
      </c>
      <c r="Q378" t="n">
        <v>0</v>
      </c>
      <c r="R378" s="2" t="inlineStr"/>
    </row>
    <row r="379" ht="15" customHeight="1">
      <c r="A379" t="inlineStr">
        <is>
          <t>A 40230-2025</t>
        </is>
      </c>
      <c r="B379" s="1" t="n">
        <v>45894.71101851852</v>
      </c>
      <c r="C379" s="1" t="n">
        <v>46154</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25702-2025</t>
        </is>
      </c>
      <c r="B380" s="1" t="n">
        <v>45800</v>
      </c>
      <c r="C380" s="1" t="n">
        <v>46154</v>
      </c>
      <c r="D380" t="inlineStr">
        <is>
          <t>STOCKHOLMS LÄN</t>
        </is>
      </c>
      <c r="E380" t="inlineStr">
        <is>
          <t>NORRTÄLJE</t>
        </is>
      </c>
      <c r="G380" t="n">
        <v>5.3</v>
      </c>
      <c r="H380" t="n">
        <v>0</v>
      </c>
      <c r="I380" t="n">
        <v>0</v>
      </c>
      <c r="J380" t="n">
        <v>0</v>
      </c>
      <c r="K380" t="n">
        <v>0</v>
      </c>
      <c r="L380" t="n">
        <v>0</v>
      </c>
      <c r="M380" t="n">
        <v>0</v>
      </c>
      <c r="N380" t="n">
        <v>0</v>
      </c>
      <c r="O380" t="n">
        <v>0</v>
      </c>
      <c r="P380" t="n">
        <v>0</v>
      </c>
      <c r="Q380" t="n">
        <v>0</v>
      </c>
      <c r="R380" s="2" t="inlineStr"/>
    </row>
    <row r="381" ht="15" customHeight="1">
      <c r="A381" t="inlineStr">
        <is>
          <t>A 812-2026</t>
        </is>
      </c>
      <c r="B381" s="1" t="n">
        <v>46030.33358796296</v>
      </c>
      <c r="C381" s="1" t="n">
        <v>46154</v>
      </c>
      <c r="D381" t="inlineStr">
        <is>
          <t>STOCKHOLMS LÄN</t>
        </is>
      </c>
      <c r="E381" t="inlineStr">
        <is>
          <t>NORRTÄLJE</t>
        </is>
      </c>
      <c r="G381" t="n">
        <v>2.4</v>
      </c>
      <c r="H381" t="n">
        <v>0</v>
      </c>
      <c r="I381" t="n">
        <v>0</v>
      </c>
      <c r="J381" t="n">
        <v>0</v>
      </c>
      <c r="K381" t="n">
        <v>0</v>
      </c>
      <c r="L381" t="n">
        <v>0</v>
      </c>
      <c r="M381" t="n">
        <v>0</v>
      </c>
      <c r="N381" t="n">
        <v>0</v>
      </c>
      <c r="O381" t="n">
        <v>0</v>
      </c>
      <c r="P381" t="n">
        <v>0</v>
      </c>
      <c r="Q381" t="n">
        <v>0</v>
      </c>
      <c r="R381" s="2" t="inlineStr"/>
    </row>
    <row r="382" ht="15" customHeight="1">
      <c r="A382" t="inlineStr">
        <is>
          <t>A 25721-2025</t>
        </is>
      </c>
      <c r="B382" s="1" t="n">
        <v>45800</v>
      </c>
      <c r="C382" s="1" t="n">
        <v>46154</v>
      </c>
      <c r="D382" t="inlineStr">
        <is>
          <t>STOCKHOLMS LÄN</t>
        </is>
      </c>
      <c r="E382" t="inlineStr">
        <is>
          <t>NORRTÄLJE</t>
        </is>
      </c>
      <c r="G382" t="n">
        <v>6</v>
      </c>
      <c r="H382" t="n">
        <v>0</v>
      </c>
      <c r="I382" t="n">
        <v>0</v>
      </c>
      <c r="J382" t="n">
        <v>0</v>
      </c>
      <c r="K382" t="n">
        <v>0</v>
      </c>
      <c r="L382" t="n">
        <v>0</v>
      </c>
      <c r="M382" t="n">
        <v>0</v>
      </c>
      <c r="N382" t="n">
        <v>0</v>
      </c>
      <c r="O382" t="n">
        <v>0</v>
      </c>
      <c r="P382" t="n">
        <v>0</v>
      </c>
      <c r="Q382" t="n">
        <v>0</v>
      </c>
      <c r="R382" s="2" t="inlineStr"/>
    </row>
    <row r="383" ht="15" customHeight="1">
      <c r="A383" t="inlineStr">
        <is>
          <t>A 717-2026</t>
        </is>
      </c>
      <c r="B383" s="1" t="n">
        <v>46029.63028935185</v>
      </c>
      <c r="C383" s="1" t="n">
        <v>46154</v>
      </c>
      <c r="D383" t="inlineStr">
        <is>
          <t>STOCKHOLMS LÄN</t>
        </is>
      </c>
      <c r="E383" t="inlineStr">
        <is>
          <t>NORRTÄLJE</t>
        </is>
      </c>
      <c r="G383" t="n">
        <v>2.4</v>
      </c>
      <c r="H383" t="n">
        <v>0</v>
      </c>
      <c r="I383" t="n">
        <v>0</v>
      </c>
      <c r="J383" t="n">
        <v>0</v>
      </c>
      <c r="K383" t="n">
        <v>0</v>
      </c>
      <c r="L383" t="n">
        <v>0</v>
      </c>
      <c r="M383" t="n">
        <v>0</v>
      </c>
      <c r="N383" t="n">
        <v>0</v>
      </c>
      <c r="O383" t="n">
        <v>0</v>
      </c>
      <c r="P383" t="n">
        <v>0</v>
      </c>
      <c r="Q383" t="n">
        <v>0</v>
      </c>
      <c r="R383" s="2" t="inlineStr"/>
    </row>
    <row r="384" ht="15" customHeight="1">
      <c r="A384" t="inlineStr">
        <is>
          <t>A 475-2026</t>
        </is>
      </c>
      <c r="B384" s="1" t="n">
        <v>46029.39351851852</v>
      </c>
      <c r="C384" s="1" t="n">
        <v>46154</v>
      </c>
      <c r="D384" t="inlineStr">
        <is>
          <t>STOCKHOLMS LÄN</t>
        </is>
      </c>
      <c r="E384" t="inlineStr">
        <is>
          <t>NORRTÄLJE</t>
        </is>
      </c>
      <c r="G384" t="n">
        <v>4.6</v>
      </c>
      <c r="H384" t="n">
        <v>0</v>
      </c>
      <c r="I384" t="n">
        <v>0</v>
      </c>
      <c r="J384" t="n">
        <v>0</v>
      </c>
      <c r="K384" t="n">
        <v>0</v>
      </c>
      <c r="L384" t="n">
        <v>0</v>
      </c>
      <c r="M384" t="n">
        <v>0</v>
      </c>
      <c r="N384" t="n">
        <v>0</v>
      </c>
      <c r="O384" t="n">
        <v>0</v>
      </c>
      <c r="P384" t="n">
        <v>0</v>
      </c>
      <c r="Q384" t="n">
        <v>0</v>
      </c>
      <c r="R384" s="2" t="inlineStr"/>
    </row>
    <row r="385" ht="15" customHeight="1">
      <c r="A385" t="inlineStr">
        <is>
          <t>A 40228-2025</t>
        </is>
      </c>
      <c r="B385" s="1" t="n">
        <v>45894.70854166667</v>
      </c>
      <c r="C385" s="1" t="n">
        <v>46154</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35636-2025</t>
        </is>
      </c>
      <c r="B386" s="1" t="n">
        <v>45859</v>
      </c>
      <c r="C386" s="1" t="n">
        <v>46154</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25733-2025</t>
        </is>
      </c>
      <c r="B387" s="1" t="n">
        <v>45800</v>
      </c>
      <c r="C387" s="1" t="n">
        <v>46154</v>
      </c>
      <c r="D387" t="inlineStr">
        <is>
          <t>STOCKHOLMS LÄN</t>
        </is>
      </c>
      <c r="E387" t="inlineStr">
        <is>
          <t>NORRTÄLJE</t>
        </is>
      </c>
      <c r="G387" t="n">
        <v>2.2</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46154</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25571-2025</t>
        </is>
      </c>
      <c r="B389" s="1" t="n">
        <v>45803.4675</v>
      </c>
      <c r="C389" s="1" t="n">
        <v>46154</v>
      </c>
      <c r="D389" t="inlineStr">
        <is>
          <t>STOCKHOLMS LÄN</t>
        </is>
      </c>
      <c r="E389" t="inlineStr">
        <is>
          <t>NORRTÄLJE</t>
        </is>
      </c>
      <c r="G389" t="n">
        <v>5.4</v>
      </c>
      <c r="H389" t="n">
        <v>0</v>
      </c>
      <c r="I389" t="n">
        <v>0</v>
      </c>
      <c r="J389" t="n">
        <v>0</v>
      </c>
      <c r="K389" t="n">
        <v>0</v>
      </c>
      <c r="L389" t="n">
        <v>0</v>
      </c>
      <c r="M389" t="n">
        <v>0</v>
      </c>
      <c r="N389" t="n">
        <v>0</v>
      </c>
      <c r="O389" t="n">
        <v>0</v>
      </c>
      <c r="P389" t="n">
        <v>0</v>
      </c>
      <c r="Q389" t="n">
        <v>0</v>
      </c>
      <c r="R389" s="2" t="inlineStr"/>
    </row>
    <row r="390" ht="15" customHeight="1">
      <c r="A390" t="inlineStr">
        <is>
          <t>A 40033-2025</t>
        </is>
      </c>
      <c r="B390" s="1" t="n">
        <v>45893</v>
      </c>
      <c r="C390" s="1" t="n">
        <v>46154</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1789-2026</t>
        </is>
      </c>
      <c r="B391" s="1" t="n">
        <v>46034</v>
      </c>
      <c r="C391" s="1" t="n">
        <v>46154</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53561-2023</t>
        </is>
      </c>
      <c r="B392" s="1" t="n">
        <v>45224</v>
      </c>
      <c r="C392" s="1" t="n">
        <v>46154</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40217-2025</t>
        </is>
      </c>
      <c r="B393" s="1" t="n">
        <v>45894.68864583333</v>
      </c>
      <c r="C393" s="1" t="n">
        <v>46154</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35639-2025</t>
        </is>
      </c>
      <c r="B394" s="1" t="n">
        <v>45859</v>
      </c>
      <c r="C394" s="1" t="n">
        <v>46154</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25712-2025</t>
        </is>
      </c>
      <c r="B395" s="1" t="n">
        <v>45803.69228009259</v>
      </c>
      <c r="C395" s="1" t="n">
        <v>46154</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41218-2024</t>
        </is>
      </c>
      <c r="B396" s="1" t="n">
        <v>45559.54706018518</v>
      </c>
      <c r="C396" s="1" t="n">
        <v>46154</v>
      </c>
      <c r="D396" t="inlineStr">
        <is>
          <t>STOCKHOLMS LÄN</t>
        </is>
      </c>
      <c r="E396" t="inlineStr">
        <is>
          <t>NORRTÄLJE</t>
        </is>
      </c>
      <c r="G396" t="n">
        <v>6</v>
      </c>
      <c r="H396" t="n">
        <v>0</v>
      </c>
      <c r="I396" t="n">
        <v>0</v>
      </c>
      <c r="J396" t="n">
        <v>0</v>
      </c>
      <c r="K396" t="n">
        <v>0</v>
      </c>
      <c r="L396" t="n">
        <v>0</v>
      </c>
      <c r="M396" t="n">
        <v>0</v>
      </c>
      <c r="N396" t="n">
        <v>0</v>
      </c>
      <c r="O396" t="n">
        <v>0</v>
      </c>
      <c r="P396" t="n">
        <v>0</v>
      </c>
      <c r="Q396" t="n">
        <v>0</v>
      </c>
      <c r="R396" s="2" t="inlineStr"/>
    </row>
    <row r="397" ht="15" customHeight="1">
      <c r="A397" t="inlineStr">
        <is>
          <t>A 26051-2025</t>
        </is>
      </c>
      <c r="B397" s="1" t="n">
        <v>45804.74479166666</v>
      </c>
      <c r="C397" s="1" t="n">
        <v>46154</v>
      </c>
      <c r="D397" t="inlineStr">
        <is>
          <t>STOCKHOLMS LÄN</t>
        </is>
      </c>
      <c r="E397" t="inlineStr">
        <is>
          <t>NORRTÄLJE</t>
        </is>
      </c>
      <c r="G397" t="n">
        <v>3.2</v>
      </c>
      <c r="H397" t="n">
        <v>0</v>
      </c>
      <c r="I397" t="n">
        <v>0</v>
      </c>
      <c r="J397" t="n">
        <v>0</v>
      </c>
      <c r="K397" t="n">
        <v>0</v>
      </c>
      <c r="L397" t="n">
        <v>0</v>
      </c>
      <c r="M397" t="n">
        <v>0</v>
      </c>
      <c r="N397" t="n">
        <v>0</v>
      </c>
      <c r="O397" t="n">
        <v>0</v>
      </c>
      <c r="P397" t="n">
        <v>0</v>
      </c>
      <c r="Q397" t="n">
        <v>0</v>
      </c>
      <c r="R397" s="2" t="inlineStr"/>
    </row>
    <row r="398" ht="15" customHeight="1">
      <c r="A398" t="inlineStr">
        <is>
          <t>A 40032-2025</t>
        </is>
      </c>
      <c r="B398" s="1" t="n">
        <v>45893</v>
      </c>
      <c r="C398" s="1" t="n">
        <v>46154</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1755-2026</t>
        </is>
      </c>
      <c r="B399" s="1" t="n">
        <v>46034.66230324074</v>
      </c>
      <c r="C399" s="1" t="n">
        <v>46154</v>
      </c>
      <c r="D399" t="inlineStr">
        <is>
          <t>STOCKHOLMS LÄN</t>
        </is>
      </c>
      <c r="E399" t="inlineStr">
        <is>
          <t>NORRTÄLJE</t>
        </is>
      </c>
      <c r="F399" t="inlineStr">
        <is>
          <t>Holmen skog AB</t>
        </is>
      </c>
      <c r="G399" t="n">
        <v>3.5</v>
      </c>
      <c r="H399" t="n">
        <v>0</v>
      </c>
      <c r="I399" t="n">
        <v>0</v>
      </c>
      <c r="J399" t="n">
        <v>0</v>
      </c>
      <c r="K399" t="n">
        <v>0</v>
      </c>
      <c r="L399" t="n">
        <v>0</v>
      </c>
      <c r="M399" t="n">
        <v>0</v>
      </c>
      <c r="N399" t="n">
        <v>0</v>
      </c>
      <c r="O399" t="n">
        <v>0</v>
      </c>
      <c r="P399" t="n">
        <v>0</v>
      </c>
      <c r="Q399" t="n">
        <v>0</v>
      </c>
      <c r="R399" s="2" t="inlineStr"/>
    </row>
    <row r="400" ht="15" customHeight="1">
      <c r="A400" t="inlineStr">
        <is>
          <t>A 40097-2025</t>
        </is>
      </c>
      <c r="B400" s="1" t="n">
        <v>45894.48322916667</v>
      </c>
      <c r="C400" s="1" t="n">
        <v>46154</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37085-2021</t>
        </is>
      </c>
      <c r="B401" s="1" t="n">
        <v>44395</v>
      </c>
      <c r="C401" s="1" t="n">
        <v>46154</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39238-2024</t>
        </is>
      </c>
      <c r="B402" s="1" t="n">
        <v>45549</v>
      </c>
      <c r="C402" s="1" t="n">
        <v>46154</v>
      </c>
      <c r="D402" t="inlineStr">
        <is>
          <t>STOCKHOLMS LÄN</t>
        </is>
      </c>
      <c r="E402" t="inlineStr">
        <is>
          <t>NORRTÄLJE</t>
        </is>
      </c>
      <c r="G402" t="n">
        <v>3.6</v>
      </c>
      <c r="H402" t="n">
        <v>0</v>
      </c>
      <c r="I402" t="n">
        <v>0</v>
      </c>
      <c r="J402" t="n">
        <v>0</v>
      </c>
      <c r="K402" t="n">
        <v>0</v>
      </c>
      <c r="L402" t="n">
        <v>0</v>
      </c>
      <c r="M402" t="n">
        <v>0</v>
      </c>
      <c r="N402" t="n">
        <v>0</v>
      </c>
      <c r="O402" t="n">
        <v>0</v>
      </c>
      <c r="P402" t="n">
        <v>0</v>
      </c>
      <c r="Q402" t="n">
        <v>0</v>
      </c>
      <c r="R402" s="2" t="inlineStr"/>
    </row>
    <row r="403" ht="15" customHeight="1">
      <c r="A403" t="inlineStr">
        <is>
          <t>A 38449-2022</t>
        </is>
      </c>
      <c r="B403" s="1" t="n">
        <v>44813</v>
      </c>
      <c r="C403" s="1" t="n">
        <v>46154</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25697-2025</t>
        </is>
      </c>
      <c r="B404" s="1" t="n">
        <v>45803.66587962963</v>
      </c>
      <c r="C404" s="1" t="n">
        <v>46154</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2088-2026</t>
        </is>
      </c>
      <c r="B405" s="1" t="n">
        <v>46036.35909722222</v>
      </c>
      <c r="C405" s="1" t="n">
        <v>46154</v>
      </c>
      <c r="D405" t="inlineStr">
        <is>
          <t>STOCKHOLMS LÄN</t>
        </is>
      </c>
      <c r="E405" t="inlineStr">
        <is>
          <t>NORRTÄLJE</t>
        </is>
      </c>
      <c r="G405" t="n">
        <v>7</v>
      </c>
      <c r="H405" t="n">
        <v>0</v>
      </c>
      <c r="I405" t="n">
        <v>0</v>
      </c>
      <c r="J405" t="n">
        <v>0</v>
      </c>
      <c r="K405" t="n">
        <v>0</v>
      </c>
      <c r="L405" t="n">
        <v>0</v>
      </c>
      <c r="M405" t="n">
        <v>0</v>
      </c>
      <c r="N405" t="n">
        <v>0</v>
      </c>
      <c r="O405" t="n">
        <v>0</v>
      </c>
      <c r="P405" t="n">
        <v>0</v>
      </c>
      <c r="Q405" t="n">
        <v>0</v>
      </c>
      <c r="R405" s="2" t="inlineStr"/>
    </row>
    <row r="406" ht="15" customHeight="1">
      <c r="A406" t="inlineStr">
        <is>
          <t>A 2116-2026</t>
        </is>
      </c>
      <c r="B406" s="1" t="n">
        <v>46036.38108796296</v>
      </c>
      <c r="C406" s="1" t="n">
        <v>46154</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47259-2024</t>
        </is>
      </c>
      <c r="B407" s="1" t="n">
        <v>45586</v>
      </c>
      <c r="C407" s="1" t="n">
        <v>46154</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46988-2024</t>
        </is>
      </c>
      <c r="B408" s="1" t="n">
        <v>45586</v>
      </c>
      <c r="C408" s="1" t="n">
        <v>46154</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40529-2025</t>
        </is>
      </c>
      <c r="B409" s="1" t="n">
        <v>45896.38466435186</v>
      </c>
      <c r="C409" s="1" t="n">
        <v>46154</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71552-2021</t>
        </is>
      </c>
      <c r="B410" s="1" t="n">
        <v>44540</v>
      </c>
      <c r="C410" s="1" t="n">
        <v>46154</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40292-2025</t>
        </is>
      </c>
      <c r="B411" s="1" t="n">
        <v>45895.3867824074</v>
      </c>
      <c r="C411" s="1" t="n">
        <v>46154</v>
      </c>
      <c r="D411" t="inlineStr">
        <is>
          <t>STOCKHOLMS LÄN</t>
        </is>
      </c>
      <c r="E411" t="inlineStr">
        <is>
          <t>NORRTÄLJE</t>
        </is>
      </c>
      <c r="G411" t="n">
        <v>3.5</v>
      </c>
      <c r="H411" t="n">
        <v>0</v>
      </c>
      <c r="I411" t="n">
        <v>0</v>
      </c>
      <c r="J411" t="n">
        <v>0</v>
      </c>
      <c r="K411" t="n">
        <v>0</v>
      </c>
      <c r="L411" t="n">
        <v>0</v>
      </c>
      <c r="M411" t="n">
        <v>0</v>
      </c>
      <c r="N411" t="n">
        <v>0</v>
      </c>
      <c r="O411" t="n">
        <v>0</v>
      </c>
      <c r="P411" t="n">
        <v>0</v>
      </c>
      <c r="Q411" t="n">
        <v>0</v>
      </c>
      <c r="R411" s="2" t="inlineStr"/>
    </row>
    <row r="412" ht="15" customHeight="1">
      <c r="A412" t="inlineStr">
        <is>
          <t>A 40294-2025</t>
        </is>
      </c>
      <c r="B412" s="1" t="n">
        <v>45895.38778935185</v>
      </c>
      <c r="C412" s="1" t="n">
        <v>46154</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17382-2024</t>
        </is>
      </c>
      <c r="B413" s="1" t="n">
        <v>45414.65855324074</v>
      </c>
      <c r="C413" s="1" t="n">
        <v>46154</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25557-2023</t>
        </is>
      </c>
      <c r="B414" s="1" t="n">
        <v>45089</v>
      </c>
      <c r="C414" s="1" t="n">
        <v>46154</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41275-2025</t>
        </is>
      </c>
      <c r="B415" s="1" t="n">
        <v>45898.62625</v>
      </c>
      <c r="C415" s="1" t="n">
        <v>46154</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26675-2025</t>
        </is>
      </c>
      <c r="B416" s="1" t="n">
        <v>45810.42393518519</v>
      </c>
      <c r="C416" s="1" t="n">
        <v>46154</v>
      </c>
      <c r="D416" t="inlineStr">
        <is>
          <t>STOCKHOLMS LÄN</t>
        </is>
      </c>
      <c r="E416" t="inlineStr">
        <is>
          <t>NORRTÄLJE</t>
        </is>
      </c>
      <c r="G416" t="n">
        <v>2.7</v>
      </c>
      <c r="H416" t="n">
        <v>0</v>
      </c>
      <c r="I416" t="n">
        <v>0</v>
      </c>
      <c r="J416" t="n">
        <v>0</v>
      </c>
      <c r="K416" t="n">
        <v>0</v>
      </c>
      <c r="L416" t="n">
        <v>0</v>
      </c>
      <c r="M416" t="n">
        <v>0</v>
      </c>
      <c r="N416" t="n">
        <v>0</v>
      </c>
      <c r="O416" t="n">
        <v>0</v>
      </c>
      <c r="P416" t="n">
        <v>0</v>
      </c>
      <c r="Q416" t="n">
        <v>0</v>
      </c>
      <c r="R416" s="2" t="inlineStr"/>
    </row>
    <row r="417" ht="15" customHeight="1">
      <c r="A417" t="inlineStr">
        <is>
          <t>A 40837-2025</t>
        </is>
      </c>
      <c r="B417" s="1" t="n">
        <v>45897.51328703704</v>
      </c>
      <c r="C417" s="1" t="n">
        <v>46154</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41030-2025</t>
        </is>
      </c>
      <c r="B418" s="1" t="n">
        <v>45898.37636574074</v>
      </c>
      <c r="C418" s="1" t="n">
        <v>46154</v>
      </c>
      <c r="D418" t="inlineStr">
        <is>
          <t>STOCKHOLMS LÄN</t>
        </is>
      </c>
      <c r="E418" t="inlineStr">
        <is>
          <t>NORRTÄLJE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9914-2023</t>
        </is>
      </c>
      <c r="B419" s="1" t="n">
        <v>44985</v>
      </c>
      <c r="C419" s="1" t="n">
        <v>46154</v>
      </c>
      <c r="D419" t="inlineStr">
        <is>
          <t>STOCKHOLMS LÄN</t>
        </is>
      </c>
      <c r="E419" t="inlineStr">
        <is>
          <t>NORRTÄLJE</t>
        </is>
      </c>
      <c r="G419" t="n">
        <v>4.2</v>
      </c>
      <c r="H419" t="n">
        <v>0</v>
      </c>
      <c r="I419" t="n">
        <v>0</v>
      </c>
      <c r="J419" t="n">
        <v>0</v>
      </c>
      <c r="K419" t="n">
        <v>0</v>
      </c>
      <c r="L419" t="n">
        <v>0</v>
      </c>
      <c r="M419" t="n">
        <v>0</v>
      </c>
      <c r="N419" t="n">
        <v>0</v>
      </c>
      <c r="O419" t="n">
        <v>0</v>
      </c>
      <c r="P419" t="n">
        <v>0</v>
      </c>
      <c r="Q419" t="n">
        <v>0</v>
      </c>
      <c r="R419" s="2" t="inlineStr"/>
    </row>
    <row r="420" ht="15" customHeight="1">
      <c r="A420" t="inlineStr">
        <is>
          <t>A 41158-2025</t>
        </is>
      </c>
      <c r="B420" s="1" t="n">
        <v>45898.5315625</v>
      </c>
      <c r="C420" s="1" t="n">
        <v>46154</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60525-2022</t>
        </is>
      </c>
      <c r="B421" s="1" t="n">
        <v>44904</v>
      </c>
      <c r="C421" s="1" t="n">
        <v>46154</v>
      </c>
      <c r="D421" t="inlineStr">
        <is>
          <t>STOCKHOLMS LÄN</t>
        </is>
      </c>
      <c r="E421" t="inlineStr">
        <is>
          <t>NORRTÄLJE</t>
        </is>
      </c>
      <c r="G421" t="n">
        <v>13.4</v>
      </c>
      <c r="H421" t="n">
        <v>0</v>
      </c>
      <c r="I421" t="n">
        <v>0</v>
      </c>
      <c r="J421" t="n">
        <v>0</v>
      </c>
      <c r="K421" t="n">
        <v>0</v>
      </c>
      <c r="L421" t="n">
        <v>0</v>
      </c>
      <c r="M421" t="n">
        <v>0</v>
      </c>
      <c r="N421" t="n">
        <v>0</v>
      </c>
      <c r="O421" t="n">
        <v>0</v>
      </c>
      <c r="P421" t="n">
        <v>0</v>
      </c>
      <c r="Q421" t="n">
        <v>0</v>
      </c>
      <c r="R421" s="2" t="inlineStr"/>
    </row>
    <row r="422" ht="15" customHeight="1">
      <c r="A422" t="inlineStr">
        <is>
          <t>A 41301-2025</t>
        </is>
      </c>
      <c r="B422" s="1" t="n">
        <v>45898.68826388889</v>
      </c>
      <c r="C422" s="1" t="n">
        <v>46154</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41106-2025</t>
        </is>
      </c>
      <c r="B423" s="1" t="n">
        <v>45898.45636574074</v>
      </c>
      <c r="C423" s="1" t="n">
        <v>46154</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23061-2025</t>
        </is>
      </c>
      <c r="B424" s="1" t="n">
        <v>45790.81410879629</v>
      </c>
      <c r="C424" s="1" t="n">
        <v>46154</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26747-2025</t>
        </is>
      </c>
      <c r="B425" s="1" t="n">
        <v>45810.5333912037</v>
      </c>
      <c r="C425" s="1" t="n">
        <v>46154</v>
      </c>
      <c r="D425" t="inlineStr">
        <is>
          <t>STOCKHOLMS LÄN</t>
        </is>
      </c>
      <c r="E425" t="inlineStr">
        <is>
          <t>NORRTÄLJE</t>
        </is>
      </c>
      <c r="G425" t="n">
        <v>1.9</v>
      </c>
      <c r="H425" t="n">
        <v>0</v>
      </c>
      <c r="I425" t="n">
        <v>0</v>
      </c>
      <c r="J425" t="n">
        <v>0</v>
      </c>
      <c r="K425" t="n">
        <v>0</v>
      </c>
      <c r="L425" t="n">
        <v>0</v>
      </c>
      <c r="M425" t="n">
        <v>0</v>
      </c>
      <c r="N425" t="n">
        <v>0</v>
      </c>
      <c r="O425" t="n">
        <v>0</v>
      </c>
      <c r="P425" t="n">
        <v>0</v>
      </c>
      <c r="Q425" t="n">
        <v>0</v>
      </c>
      <c r="R425" s="2" t="inlineStr"/>
    </row>
    <row r="426" ht="15" customHeight="1">
      <c r="A426" t="inlineStr">
        <is>
          <t>A 58302-2022</t>
        </is>
      </c>
      <c r="B426" s="1" t="n">
        <v>44901</v>
      </c>
      <c r="C426" s="1" t="n">
        <v>46154</v>
      </c>
      <c r="D426" t="inlineStr">
        <is>
          <t>STOCKHOLMS LÄN</t>
        </is>
      </c>
      <c r="E426" t="inlineStr">
        <is>
          <t>NORRTÄLJE</t>
        </is>
      </c>
      <c r="G426" t="n">
        <v>3.9</v>
      </c>
      <c r="H426" t="n">
        <v>0</v>
      </c>
      <c r="I426" t="n">
        <v>0</v>
      </c>
      <c r="J426" t="n">
        <v>0</v>
      </c>
      <c r="K426" t="n">
        <v>0</v>
      </c>
      <c r="L426" t="n">
        <v>0</v>
      </c>
      <c r="M426" t="n">
        <v>0</v>
      </c>
      <c r="N426" t="n">
        <v>0</v>
      </c>
      <c r="O426" t="n">
        <v>0</v>
      </c>
      <c r="P426" t="n">
        <v>0</v>
      </c>
      <c r="Q426" t="n">
        <v>0</v>
      </c>
      <c r="R426" s="2" t="inlineStr"/>
    </row>
    <row r="427" ht="15" customHeight="1">
      <c r="A427" t="inlineStr">
        <is>
          <t>A 41174-2025</t>
        </is>
      </c>
      <c r="B427" s="1" t="n">
        <v>45898.54921296296</v>
      </c>
      <c r="C427" s="1" t="n">
        <v>46154</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3549-2026</t>
        </is>
      </c>
      <c r="B428" s="1" t="n">
        <v>46042</v>
      </c>
      <c r="C428" s="1" t="n">
        <v>46154</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26702-2025</t>
        </is>
      </c>
      <c r="B429" s="1" t="n">
        <v>45810.45236111111</v>
      </c>
      <c r="C429" s="1" t="n">
        <v>46154</v>
      </c>
      <c r="D429" t="inlineStr">
        <is>
          <t>STOCKHOLMS LÄN</t>
        </is>
      </c>
      <c r="E429" t="inlineStr">
        <is>
          <t>NORRTÄLJE</t>
        </is>
      </c>
      <c r="G429" t="n">
        <v>7.3</v>
      </c>
      <c r="H429" t="n">
        <v>0</v>
      </c>
      <c r="I429" t="n">
        <v>0</v>
      </c>
      <c r="J429" t="n">
        <v>0</v>
      </c>
      <c r="K429" t="n">
        <v>0</v>
      </c>
      <c r="L429" t="n">
        <v>0</v>
      </c>
      <c r="M429" t="n">
        <v>0</v>
      </c>
      <c r="N429" t="n">
        <v>0</v>
      </c>
      <c r="O429" t="n">
        <v>0</v>
      </c>
      <c r="P429" t="n">
        <v>0</v>
      </c>
      <c r="Q429" t="n">
        <v>0</v>
      </c>
      <c r="R429" s="2" t="inlineStr"/>
    </row>
    <row r="430" ht="15" customHeight="1">
      <c r="A430" t="inlineStr">
        <is>
          <t>A 41110-2025</t>
        </is>
      </c>
      <c r="B430" s="1" t="n">
        <v>45898.45976851852</v>
      </c>
      <c r="C430" s="1" t="n">
        <v>46154</v>
      </c>
      <c r="D430" t="inlineStr">
        <is>
          <t>STOCKHOLMS LÄN</t>
        </is>
      </c>
      <c r="E430" t="inlineStr">
        <is>
          <t>NORRTÄLJE</t>
        </is>
      </c>
      <c r="F430" t="inlineStr">
        <is>
          <t>Holmen skog AB</t>
        </is>
      </c>
      <c r="G430" t="n">
        <v>6.7</v>
      </c>
      <c r="H430" t="n">
        <v>0</v>
      </c>
      <c r="I430" t="n">
        <v>0</v>
      </c>
      <c r="J430" t="n">
        <v>0</v>
      </c>
      <c r="K430" t="n">
        <v>0</v>
      </c>
      <c r="L430" t="n">
        <v>0</v>
      </c>
      <c r="M430" t="n">
        <v>0</v>
      </c>
      <c r="N430" t="n">
        <v>0</v>
      </c>
      <c r="O430" t="n">
        <v>0</v>
      </c>
      <c r="P430" t="n">
        <v>0</v>
      </c>
      <c r="Q430" t="n">
        <v>0</v>
      </c>
      <c r="R430" s="2" t="inlineStr"/>
    </row>
    <row r="431" ht="15" customHeight="1">
      <c r="A431" t="inlineStr">
        <is>
          <t>A 41259-2025</t>
        </is>
      </c>
      <c r="B431" s="1" t="n">
        <v>45898.61054398148</v>
      </c>
      <c r="C431" s="1" t="n">
        <v>46154</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41053-2025</t>
        </is>
      </c>
      <c r="B432" s="1" t="n">
        <v>45898.40480324074</v>
      </c>
      <c r="C432" s="1" t="n">
        <v>46154</v>
      </c>
      <c r="D432" t="inlineStr">
        <is>
          <t>STOCKHOLMS LÄN</t>
        </is>
      </c>
      <c r="E432" t="inlineStr">
        <is>
          <t>NORRTÄLJE</t>
        </is>
      </c>
      <c r="F432" t="inlineStr">
        <is>
          <t>Holmen skog AB</t>
        </is>
      </c>
      <c r="G432" t="n">
        <v>2.5</v>
      </c>
      <c r="H432" t="n">
        <v>0</v>
      </c>
      <c r="I432" t="n">
        <v>0</v>
      </c>
      <c r="J432" t="n">
        <v>0</v>
      </c>
      <c r="K432" t="n">
        <v>0</v>
      </c>
      <c r="L432" t="n">
        <v>0</v>
      </c>
      <c r="M432" t="n">
        <v>0</v>
      </c>
      <c r="N432" t="n">
        <v>0</v>
      </c>
      <c r="O432" t="n">
        <v>0</v>
      </c>
      <c r="P432" t="n">
        <v>0</v>
      </c>
      <c r="Q432" t="n">
        <v>0</v>
      </c>
      <c r="R432" s="2" t="inlineStr"/>
    </row>
    <row r="433" ht="15" customHeight="1">
      <c r="A433" t="inlineStr">
        <is>
          <t>A 23269-2023</t>
        </is>
      </c>
      <c r="B433" s="1" t="n">
        <v>45075.91148148148</v>
      </c>
      <c r="C433" s="1" t="n">
        <v>46154</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26708-2025</t>
        </is>
      </c>
      <c r="B434" s="1" t="n">
        <v>45810.45633101852</v>
      </c>
      <c r="C434" s="1" t="n">
        <v>46154</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40829-2025</t>
        </is>
      </c>
      <c r="B435" s="1" t="n">
        <v>45897.50802083333</v>
      </c>
      <c r="C435" s="1" t="n">
        <v>46154</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40831-2025</t>
        </is>
      </c>
      <c r="B436" s="1" t="n">
        <v>45897.51077546296</v>
      </c>
      <c r="C436" s="1" t="n">
        <v>46154</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27040-2025</t>
        </is>
      </c>
      <c r="B437" s="1" t="n">
        <v>45811.60451388889</v>
      </c>
      <c r="C437" s="1" t="n">
        <v>46154</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23060-2023</t>
        </is>
      </c>
      <c r="B438" s="1" t="n">
        <v>45075</v>
      </c>
      <c r="C438" s="1" t="n">
        <v>46154</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4231-2026</t>
        </is>
      </c>
      <c r="B439" s="1" t="n">
        <v>46044</v>
      </c>
      <c r="C439" s="1" t="n">
        <v>46154</v>
      </c>
      <c r="D439" t="inlineStr">
        <is>
          <t>STOCKHOLMS LÄN</t>
        </is>
      </c>
      <c r="E439" t="inlineStr">
        <is>
          <t>NORRTÄLJE</t>
        </is>
      </c>
      <c r="G439" t="n">
        <v>2.9</v>
      </c>
      <c r="H439" t="n">
        <v>0</v>
      </c>
      <c r="I439" t="n">
        <v>0</v>
      </c>
      <c r="J439" t="n">
        <v>0</v>
      </c>
      <c r="K439" t="n">
        <v>0</v>
      </c>
      <c r="L439" t="n">
        <v>0</v>
      </c>
      <c r="M439" t="n">
        <v>0</v>
      </c>
      <c r="N439" t="n">
        <v>0</v>
      </c>
      <c r="O439" t="n">
        <v>0</v>
      </c>
      <c r="P439" t="n">
        <v>0</v>
      </c>
      <c r="Q439" t="n">
        <v>0</v>
      </c>
      <c r="R439" s="2" t="inlineStr"/>
    </row>
    <row r="440" ht="15" customHeight="1">
      <c r="A440" t="inlineStr">
        <is>
          <t>A 4235-2026</t>
        </is>
      </c>
      <c r="B440" s="1" t="n">
        <v>46044</v>
      </c>
      <c r="C440" s="1" t="n">
        <v>46154</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52743-2024</t>
        </is>
      </c>
      <c r="B441" s="1" t="n">
        <v>45610.47414351852</v>
      </c>
      <c r="C441" s="1" t="n">
        <v>46154</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41272-2025</t>
        </is>
      </c>
      <c r="B442" s="1" t="n">
        <v>45898.62373842593</v>
      </c>
      <c r="C442" s="1" t="n">
        <v>46154</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4227-2026</t>
        </is>
      </c>
      <c r="B443" s="1" t="n">
        <v>46044</v>
      </c>
      <c r="C443" s="1" t="n">
        <v>46154</v>
      </c>
      <c r="D443" t="inlineStr">
        <is>
          <t>STOCKHOLMS LÄN</t>
        </is>
      </c>
      <c r="E443" t="inlineStr">
        <is>
          <t>NORRTÄLJE</t>
        </is>
      </c>
      <c r="G443" t="n">
        <v>3.6</v>
      </c>
      <c r="H443" t="n">
        <v>0</v>
      </c>
      <c r="I443" t="n">
        <v>0</v>
      </c>
      <c r="J443" t="n">
        <v>0</v>
      </c>
      <c r="K443" t="n">
        <v>0</v>
      </c>
      <c r="L443" t="n">
        <v>0</v>
      </c>
      <c r="M443" t="n">
        <v>0</v>
      </c>
      <c r="N443" t="n">
        <v>0</v>
      </c>
      <c r="O443" t="n">
        <v>0</v>
      </c>
      <c r="P443" t="n">
        <v>0</v>
      </c>
      <c r="Q443" t="n">
        <v>0</v>
      </c>
      <c r="R443" s="2" t="inlineStr"/>
    </row>
    <row r="444" ht="15" customHeight="1">
      <c r="A444" t="inlineStr">
        <is>
          <t>A 11499-2023</t>
        </is>
      </c>
      <c r="B444" s="1" t="n">
        <v>44993.66707175926</v>
      </c>
      <c r="C444" s="1" t="n">
        <v>46154</v>
      </c>
      <c r="D444" t="inlineStr">
        <is>
          <t>STOCKHOLMS LÄN</t>
        </is>
      </c>
      <c r="E444" t="inlineStr">
        <is>
          <t>NORRTÄLJE</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3933-2026</t>
        </is>
      </c>
      <c r="B445" s="1" t="n">
        <v>46043.79916666666</v>
      </c>
      <c r="C445" s="1" t="n">
        <v>46154</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27697-2025</t>
        </is>
      </c>
      <c r="B446" s="1" t="n">
        <v>45813.66961805556</v>
      </c>
      <c r="C446" s="1" t="n">
        <v>46154</v>
      </c>
      <c r="D446" t="inlineStr">
        <is>
          <t>STOCKHOLMS LÄN</t>
        </is>
      </c>
      <c r="E446" t="inlineStr">
        <is>
          <t>NORRTÄLJE</t>
        </is>
      </c>
      <c r="G446" t="n">
        <v>6.2</v>
      </c>
      <c r="H446" t="n">
        <v>0</v>
      </c>
      <c r="I446" t="n">
        <v>0</v>
      </c>
      <c r="J446" t="n">
        <v>0</v>
      </c>
      <c r="K446" t="n">
        <v>0</v>
      </c>
      <c r="L446" t="n">
        <v>0</v>
      </c>
      <c r="M446" t="n">
        <v>0</v>
      </c>
      <c r="N446" t="n">
        <v>0</v>
      </c>
      <c r="O446" t="n">
        <v>0</v>
      </c>
      <c r="P446" t="n">
        <v>0</v>
      </c>
      <c r="Q446" t="n">
        <v>0</v>
      </c>
      <c r="R446" s="2" t="inlineStr"/>
    </row>
    <row r="447" ht="15" customHeight="1">
      <c r="A447" t="inlineStr">
        <is>
          <t>A 27700-2025</t>
        </is>
      </c>
      <c r="B447" s="1" t="n">
        <v>45813.6799537037</v>
      </c>
      <c r="C447" s="1" t="n">
        <v>46154</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41036-2025</t>
        </is>
      </c>
      <c r="B448" s="1" t="n">
        <v>45898.38552083333</v>
      </c>
      <c r="C448" s="1" t="n">
        <v>46154</v>
      </c>
      <c r="D448" t="inlineStr">
        <is>
          <t>STOCKHOLMS LÄN</t>
        </is>
      </c>
      <c r="E448" t="inlineStr">
        <is>
          <t>NORRTÄLJE</t>
        </is>
      </c>
      <c r="F448" t="inlineStr">
        <is>
          <t>Holmen skog AB</t>
        </is>
      </c>
      <c r="G448" t="n">
        <v>2.7</v>
      </c>
      <c r="H448" t="n">
        <v>0</v>
      </c>
      <c r="I448" t="n">
        <v>0</v>
      </c>
      <c r="J448" t="n">
        <v>0</v>
      </c>
      <c r="K448" t="n">
        <v>0</v>
      </c>
      <c r="L448" t="n">
        <v>0</v>
      </c>
      <c r="M448" t="n">
        <v>0</v>
      </c>
      <c r="N448" t="n">
        <v>0</v>
      </c>
      <c r="O448" t="n">
        <v>0</v>
      </c>
      <c r="P448" t="n">
        <v>0</v>
      </c>
      <c r="Q448" t="n">
        <v>0</v>
      </c>
      <c r="R448" s="2" t="inlineStr"/>
    </row>
    <row r="449" ht="15" customHeight="1">
      <c r="A449" t="inlineStr">
        <is>
          <t>A 64600-2021</t>
        </is>
      </c>
      <c r="B449" s="1" t="n">
        <v>44511.70518518519</v>
      </c>
      <c r="C449" s="1" t="n">
        <v>46154</v>
      </c>
      <c r="D449" t="inlineStr">
        <is>
          <t>STOCKHOLMS LÄN</t>
        </is>
      </c>
      <c r="E449" t="inlineStr">
        <is>
          <t>NORRTÄLJE</t>
        </is>
      </c>
      <c r="G449" t="n">
        <v>6.2</v>
      </c>
      <c r="H449" t="n">
        <v>0</v>
      </c>
      <c r="I449" t="n">
        <v>0</v>
      </c>
      <c r="J449" t="n">
        <v>0</v>
      </c>
      <c r="K449" t="n">
        <v>0</v>
      </c>
      <c r="L449" t="n">
        <v>0</v>
      </c>
      <c r="M449" t="n">
        <v>0</v>
      </c>
      <c r="N449" t="n">
        <v>0</v>
      </c>
      <c r="O449" t="n">
        <v>0</v>
      </c>
      <c r="P449" t="n">
        <v>0</v>
      </c>
      <c r="Q449" t="n">
        <v>0</v>
      </c>
      <c r="R449" s="2" t="inlineStr"/>
    </row>
    <row r="450" ht="15" customHeight="1">
      <c r="A450" t="inlineStr">
        <is>
          <t>A 35640-2024</t>
        </is>
      </c>
      <c r="B450" s="1" t="n">
        <v>45531</v>
      </c>
      <c r="C450" s="1" t="n">
        <v>46154</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27554-2025</t>
        </is>
      </c>
      <c r="B451" s="1" t="n">
        <v>45813.4709375</v>
      </c>
      <c r="C451" s="1" t="n">
        <v>46154</v>
      </c>
      <c r="D451" t="inlineStr">
        <is>
          <t>STOCKHOLMS LÄN</t>
        </is>
      </c>
      <c r="E451" t="inlineStr">
        <is>
          <t>NORRTÄLJE</t>
        </is>
      </c>
      <c r="F451" t="inlineStr">
        <is>
          <t>Övriga Aktiebolag</t>
        </is>
      </c>
      <c r="G451" t="n">
        <v>2.5</v>
      </c>
      <c r="H451" t="n">
        <v>0</v>
      </c>
      <c r="I451" t="n">
        <v>0</v>
      </c>
      <c r="J451" t="n">
        <v>0</v>
      </c>
      <c r="K451" t="n">
        <v>0</v>
      </c>
      <c r="L451" t="n">
        <v>0</v>
      </c>
      <c r="M451" t="n">
        <v>0</v>
      </c>
      <c r="N451" t="n">
        <v>0</v>
      </c>
      <c r="O451" t="n">
        <v>0</v>
      </c>
      <c r="P451" t="n">
        <v>0</v>
      </c>
      <c r="Q451" t="n">
        <v>0</v>
      </c>
      <c r="R451" s="2" t="inlineStr"/>
    </row>
    <row r="452" ht="15" customHeight="1">
      <c r="A452" t="inlineStr">
        <is>
          <t>A 19058-2024</t>
        </is>
      </c>
      <c r="B452" s="1" t="n">
        <v>45427.89121527778</v>
      </c>
      <c r="C452" s="1" t="n">
        <v>46154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8586-2023</t>
        </is>
      </c>
      <c r="B453" s="1" t="n">
        <v>44977</v>
      </c>
      <c r="C453" s="1" t="n">
        <v>46154</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11901-2024</t>
        </is>
      </c>
      <c r="B454" s="1" t="n">
        <v>45376.55638888889</v>
      </c>
      <c r="C454" s="1" t="n">
        <v>46154</v>
      </c>
      <c r="D454" t="inlineStr">
        <is>
          <t>STOCKHOLMS LÄN</t>
        </is>
      </c>
      <c r="E454" t="inlineStr">
        <is>
          <t>NORRTÄLJE</t>
        </is>
      </c>
      <c r="F454" t="inlineStr">
        <is>
          <t>Holmen skog AB</t>
        </is>
      </c>
      <c r="G454" t="n">
        <v>3.5</v>
      </c>
      <c r="H454" t="n">
        <v>0</v>
      </c>
      <c r="I454" t="n">
        <v>0</v>
      </c>
      <c r="J454" t="n">
        <v>0</v>
      </c>
      <c r="K454" t="n">
        <v>0</v>
      </c>
      <c r="L454" t="n">
        <v>0</v>
      </c>
      <c r="M454" t="n">
        <v>0</v>
      </c>
      <c r="N454" t="n">
        <v>0</v>
      </c>
      <c r="O454" t="n">
        <v>0</v>
      </c>
      <c r="P454" t="n">
        <v>0</v>
      </c>
      <c r="Q454" t="n">
        <v>0</v>
      </c>
      <c r="R454" s="2" t="inlineStr"/>
    </row>
    <row r="455" ht="15" customHeight="1">
      <c r="A455" t="inlineStr">
        <is>
          <t>A 67990-2021</t>
        </is>
      </c>
      <c r="B455" s="1" t="n">
        <v>44525</v>
      </c>
      <c r="C455" s="1" t="n">
        <v>46154</v>
      </c>
      <c r="D455" t="inlineStr">
        <is>
          <t>STOCKHOLMS LÄN</t>
        </is>
      </c>
      <c r="E455" t="inlineStr">
        <is>
          <t>NORRTÄLJE</t>
        </is>
      </c>
      <c r="F455" t="inlineStr">
        <is>
          <t>Sveaskog</t>
        </is>
      </c>
      <c r="G455" t="n">
        <v>7.8</v>
      </c>
      <c r="H455" t="n">
        <v>0</v>
      </c>
      <c r="I455" t="n">
        <v>0</v>
      </c>
      <c r="J455" t="n">
        <v>0</v>
      </c>
      <c r="K455" t="n">
        <v>0</v>
      </c>
      <c r="L455" t="n">
        <v>0</v>
      </c>
      <c r="M455" t="n">
        <v>0</v>
      </c>
      <c r="N455" t="n">
        <v>0</v>
      </c>
      <c r="O455" t="n">
        <v>0</v>
      </c>
      <c r="P455" t="n">
        <v>0</v>
      </c>
      <c r="Q455" t="n">
        <v>0</v>
      </c>
      <c r="R455" s="2" t="inlineStr"/>
    </row>
    <row r="456" ht="15" customHeight="1">
      <c r="A456" t="inlineStr">
        <is>
          <t>A 4549-2026</t>
        </is>
      </c>
      <c r="B456" s="1" t="n">
        <v>46047</v>
      </c>
      <c r="C456" s="1" t="n">
        <v>46154</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19057-2024</t>
        </is>
      </c>
      <c r="B457" s="1" t="n">
        <v>45427.88731481481</v>
      </c>
      <c r="C457" s="1" t="n">
        <v>46154</v>
      </c>
      <c r="D457" t="inlineStr">
        <is>
          <t>STOCKHOLMS LÄN</t>
        </is>
      </c>
      <c r="E457" t="inlineStr">
        <is>
          <t>NORRTÄLJE</t>
        </is>
      </c>
      <c r="G457" t="n">
        <v>3</v>
      </c>
      <c r="H457" t="n">
        <v>0</v>
      </c>
      <c r="I457" t="n">
        <v>0</v>
      </c>
      <c r="J457" t="n">
        <v>0</v>
      </c>
      <c r="K457" t="n">
        <v>0</v>
      </c>
      <c r="L457" t="n">
        <v>0</v>
      </c>
      <c r="M457" t="n">
        <v>0</v>
      </c>
      <c r="N457" t="n">
        <v>0</v>
      </c>
      <c r="O457" t="n">
        <v>0</v>
      </c>
      <c r="P457" t="n">
        <v>0</v>
      </c>
      <c r="Q457" t="n">
        <v>0</v>
      </c>
      <c r="R457" s="2" t="inlineStr"/>
    </row>
    <row r="458" ht="15" customHeight="1">
      <c r="A458" t="inlineStr">
        <is>
          <t>A 15733-2025</t>
        </is>
      </c>
      <c r="B458" s="1" t="n">
        <v>45748</v>
      </c>
      <c r="C458" s="1" t="n">
        <v>46154</v>
      </c>
      <c r="D458" t="inlineStr">
        <is>
          <t>STOCKHOLMS LÄN</t>
        </is>
      </c>
      <c r="E458" t="inlineStr">
        <is>
          <t>NORRTÄLJE</t>
        </is>
      </c>
      <c r="G458" t="n">
        <v>13.3</v>
      </c>
      <c r="H458" t="n">
        <v>0</v>
      </c>
      <c r="I458" t="n">
        <v>0</v>
      </c>
      <c r="J458" t="n">
        <v>0</v>
      </c>
      <c r="K458" t="n">
        <v>0</v>
      </c>
      <c r="L458" t="n">
        <v>0</v>
      </c>
      <c r="M458" t="n">
        <v>0</v>
      </c>
      <c r="N458" t="n">
        <v>0</v>
      </c>
      <c r="O458" t="n">
        <v>0</v>
      </c>
      <c r="P458" t="n">
        <v>0</v>
      </c>
      <c r="Q458" t="n">
        <v>0</v>
      </c>
      <c r="R458" s="2" t="inlineStr"/>
    </row>
    <row r="459" ht="15" customHeight="1">
      <c r="A459" t="inlineStr">
        <is>
          <t>A 27802-2025</t>
        </is>
      </c>
      <c r="B459" s="1" t="n">
        <v>45817.2565625</v>
      </c>
      <c r="C459" s="1" t="n">
        <v>46154</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27806-2025</t>
        </is>
      </c>
      <c r="B460" s="1" t="n">
        <v>45817.30329861111</v>
      </c>
      <c r="C460" s="1" t="n">
        <v>46154</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27808-2025</t>
        </is>
      </c>
      <c r="B461" s="1" t="n">
        <v>45817.31085648148</v>
      </c>
      <c r="C461" s="1" t="n">
        <v>46154</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27810-2025</t>
        </is>
      </c>
      <c r="B462" s="1" t="n">
        <v>45817.31708333334</v>
      </c>
      <c r="C462" s="1" t="n">
        <v>46154</v>
      </c>
      <c r="D462" t="inlineStr">
        <is>
          <t>STOCKHOLMS LÄN</t>
        </is>
      </c>
      <c r="E462" t="inlineStr">
        <is>
          <t>NORRTÄLJE</t>
        </is>
      </c>
      <c r="G462" t="n">
        <v>3.9</v>
      </c>
      <c r="H462" t="n">
        <v>0</v>
      </c>
      <c r="I462" t="n">
        <v>0</v>
      </c>
      <c r="J462" t="n">
        <v>0</v>
      </c>
      <c r="K462" t="n">
        <v>0</v>
      </c>
      <c r="L462" t="n">
        <v>0</v>
      </c>
      <c r="M462" t="n">
        <v>0</v>
      </c>
      <c r="N462" t="n">
        <v>0</v>
      </c>
      <c r="O462" t="n">
        <v>0</v>
      </c>
      <c r="P462" t="n">
        <v>0</v>
      </c>
      <c r="Q462" t="n">
        <v>0</v>
      </c>
      <c r="R462" s="2" t="inlineStr"/>
    </row>
    <row r="463" ht="15" customHeight="1">
      <c r="A463" t="inlineStr">
        <is>
          <t>A 27811-2025</t>
        </is>
      </c>
      <c r="B463" s="1" t="n">
        <v>45817.31986111111</v>
      </c>
      <c r="C463" s="1" t="n">
        <v>46154</v>
      </c>
      <c r="D463" t="inlineStr">
        <is>
          <t>STOCKHOLMS LÄN</t>
        </is>
      </c>
      <c r="E463" t="inlineStr">
        <is>
          <t>NORRTÄLJE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27818-2025</t>
        </is>
      </c>
      <c r="B464" s="1" t="n">
        <v>45817.33503472222</v>
      </c>
      <c r="C464" s="1" t="n">
        <v>46154</v>
      </c>
      <c r="D464" t="inlineStr">
        <is>
          <t>STOCKHOLMS LÄN</t>
        </is>
      </c>
      <c r="E464" t="inlineStr">
        <is>
          <t>NORRTÄLJE</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4886-2026</t>
        </is>
      </c>
      <c r="B465" s="1" t="n">
        <v>46048.66328703704</v>
      </c>
      <c r="C465" s="1" t="n">
        <v>46154</v>
      </c>
      <c r="D465" t="inlineStr">
        <is>
          <t>STOCKHOLMS LÄN</t>
        </is>
      </c>
      <c r="E465" t="inlineStr">
        <is>
          <t>NORRTÄLJE</t>
        </is>
      </c>
      <c r="G465" t="n">
        <v>2</v>
      </c>
      <c r="H465" t="n">
        <v>0</v>
      </c>
      <c r="I465" t="n">
        <v>0</v>
      </c>
      <c r="J465" t="n">
        <v>0</v>
      </c>
      <c r="K465" t="n">
        <v>0</v>
      </c>
      <c r="L465" t="n">
        <v>0</v>
      </c>
      <c r="M465" t="n">
        <v>0</v>
      </c>
      <c r="N465" t="n">
        <v>0</v>
      </c>
      <c r="O465" t="n">
        <v>0</v>
      </c>
      <c r="P465" t="n">
        <v>0</v>
      </c>
      <c r="Q465" t="n">
        <v>0</v>
      </c>
      <c r="R465" s="2" t="inlineStr"/>
    </row>
    <row r="466" ht="15" customHeight="1">
      <c r="A466" t="inlineStr">
        <is>
          <t>A 4230-2026</t>
        </is>
      </c>
      <c r="B466" s="1" t="n">
        <v>46044.89366898148</v>
      </c>
      <c r="C466" s="1" t="n">
        <v>46154</v>
      </c>
      <c r="D466" t="inlineStr">
        <is>
          <t>STOCKHOLMS LÄN</t>
        </is>
      </c>
      <c r="E466" t="inlineStr">
        <is>
          <t>NORRTÄLJE</t>
        </is>
      </c>
      <c r="G466" t="n">
        <v>10.8</v>
      </c>
      <c r="H466" t="n">
        <v>0</v>
      </c>
      <c r="I466" t="n">
        <v>0</v>
      </c>
      <c r="J466" t="n">
        <v>0</v>
      </c>
      <c r="K466" t="n">
        <v>0</v>
      </c>
      <c r="L466" t="n">
        <v>0</v>
      </c>
      <c r="M466" t="n">
        <v>0</v>
      </c>
      <c r="N466" t="n">
        <v>0</v>
      </c>
      <c r="O466" t="n">
        <v>0</v>
      </c>
      <c r="P466" t="n">
        <v>0</v>
      </c>
      <c r="Q466" t="n">
        <v>0</v>
      </c>
      <c r="R466" s="2" t="inlineStr"/>
    </row>
    <row r="467" ht="15" customHeight="1">
      <c r="A467" t="inlineStr">
        <is>
          <t>A 4232-2026</t>
        </is>
      </c>
      <c r="B467" s="1" t="n">
        <v>46044.89594907407</v>
      </c>
      <c r="C467" s="1" t="n">
        <v>46154</v>
      </c>
      <c r="D467" t="inlineStr">
        <is>
          <t>STOCKHOLMS LÄN</t>
        </is>
      </c>
      <c r="E467" t="inlineStr">
        <is>
          <t>NORRTÄLJE</t>
        </is>
      </c>
      <c r="G467" t="n">
        <v>3.8</v>
      </c>
      <c r="H467" t="n">
        <v>0</v>
      </c>
      <c r="I467" t="n">
        <v>0</v>
      </c>
      <c r="J467" t="n">
        <v>0</v>
      </c>
      <c r="K467" t="n">
        <v>0</v>
      </c>
      <c r="L467" t="n">
        <v>0</v>
      </c>
      <c r="M467" t="n">
        <v>0</v>
      </c>
      <c r="N467" t="n">
        <v>0</v>
      </c>
      <c r="O467" t="n">
        <v>0</v>
      </c>
      <c r="P467" t="n">
        <v>0</v>
      </c>
      <c r="Q467" t="n">
        <v>0</v>
      </c>
      <c r="R467" s="2" t="inlineStr"/>
    </row>
    <row r="468" ht="15" customHeight="1">
      <c r="A468" t="inlineStr">
        <is>
          <t>A 10511-2025</t>
        </is>
      </c>
      <c r="B468" s="1" t="n">
        <v>45721.40780092592</v>
      </c>
      <c r="C468" s="1" t="n">
        <v>46154</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15528-2025</t>
        </is>
      </c>
      <c r="B469" s="1" t="n">
        <v>45747.63471064815</v>
      </c>
      <c r="C469" s="1" t="n">
        <v>46154</v>
      </c>
      <c r="D469" t="inlineStr">
        <is>
          <t>STOCKHOLMS LÄN</t>
        </is>
      </c>
      <c r="E469" t="inlineStr">
        <is>
          <t>NORRTÄLJE</t>
        </is>
      </c>
      <c r="G469" t="n">
        <v>10</v>
      </c>
      <c r="H469" t="n">
        <v>0</v>
      </c>
      <c r="I469" t="n">
        <v>0</v>
      </c>
      <c r="J469" t="n">
        <v>0</v>
      </c>
      <c r="K469" t="n">
        <v>0</v>
      </c>
      <c r="L469" t="n">
        <v>0</v>
      </c>
      <c r="M469" t="n">
        <v>0</v>
      </c>
      <c r="N469" t="n">
        <v>0</v>
      </c>
      <c r="O469" t="n">
        <v>0</v>
      </c>
      <c r="P469" t="n">
        <v>0</v>
      </c>
      <c r="Q469" t="n">
        <v>0</v>
      </c>
      <c r="R469" s="2" t="inlineStr"/>
    </row>
    <row r="470" ht="15" customHeight="1">
      <c r="A470" t="inlineStr">
        <is>
          <t>A 27803-2025</t>
        </is>
      </c>
      <c r="B470" s="1" t="n">
        <v>45817.291875</v>
      </c>
      <c r="C470" s="1" t="n">
        <v>46154</v>
      </c>
      <c r="D470" t="inlineStr">
        <is>
          <t>STOCKHOLMS LÄN</t>
        </is>
      </c>
      <c r="E470" t="inlineStr">
        <is>
          <t>NORRTÄLJE</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21696-2024</t>
        </is>
      </c>
      <c r="B471" s="1" t="n">
        <v>45442.45686342593</v>
      </c>
      <c r="C471" s="1" t="n">
        <v>46154</v>
      </c>
      <c r="D471" t="inlineStr">
        <is>
          <t>STOCKHOLMS LÄN</t>
        </is>
      </c>
      <c r="E471" t="inlineStr">
        <is>
          <t>NORRTÄLJE</t>
        </is>
      </c>
      <c r="G471" t="n">
        <v>2.9</v>
      </c>
      <c r="H471" t="n">
        <v>0</v>
      </c>
      <c r="I471" t="n">
        <v>0</v>
      </c>
      <c r="J471" t="n">
        <v>0</v>
      </c>
      <c r="K471" t="n">
        <v>0</v>
      </c>
      <c r="L471" t="n">
        <v>0</v>
      </c>
      <c r="M471" t="n">
        <v>0</v>
      </c>
      <c r="N471" t="n">
        <v>0</v>
      </c>
      <c r="O471" t="n">
        <v>0</v>
      </c>
      <c r="P471" t="n">
        <v>0</v>
      </c>
      <c r="Q471" t="n">
        <v>0</v>
      </c>
      <c r="R471" s="2" t="inlineStr"/>
    </row>
    <row r="472" ht="15" customHeight="1">
      <c r="A472" t="inlineStr">
        <is>
          <t>A 27813-2025</t>
        </is>
      </c>
      <c r="B472" s="1" t="n">
        <v>45817.32538194444</v>
      </c>
      <c r="C472" s="1" t="n">
        <v>46154</v>
      </c>
      <c r="D472" t="inlineStr">
        <is>
          <t>STOCKHOLMS LÄN</t>
        </is>
      </c>
      <c r="E472" t="inlineStr">
        <is>
          <t>NORRTÄLJE</t>
        </is>
      </c>
      <c r="G472" t="n">
        <v>1.6</v>
      </c>
      <c r="H472" t="n">
        <v>0</v>
      </c>
      <c r="I472" t="n">
        <v>0</v>
      </c>
      <c r="J472" t="n">
        <v>0</v>
      </c>
      <c r="K472" t="n">
        <v>0</v>
      </c>
      <c r="L472" t="n">
        <v>0</v>
      </c>
      <c r="M472" t="n">
        <v>0</v>
      </c>
      <c r="N472" t="n">
        <v>0</v>
      </c>
      <c r="O472" t="n">
        <v>0</v>
      </c>
      <c r="P472" t="n">
        <v>0</v>
      </c>
      <c r="Q472" t="n">
        <v>0</v>
      </c>
      <c r="R472" s="2" t="inlineStr"/>
    </row>
    <row r="473" ht="15" customHeight="1">
      <c r="A473" t="inlineStr">
        <is>
          <t>A 37136-2023</t>
        </is>
      </c>
      <c r="B473" s="1" t="n">
        <v>45155</v>
      </c>
      <c r="C473" s="1" t="n">
        <v>46154</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27801-2025</t>
        </is>
      </c>
      <c r="B474" s="1" t="n">
        <v>45817.25471064815</v>
      </c>
      <c r="C474" s="1" t="n">
        <v>46154</v>
      </c>
      <c r="D474" t="inlineStr">
        <is>
          <t>STOCKHOLMS LÄN</t>
        </is>
      </c>
      <c r="E474" t="inlineStr">
        <is>
          <t>NORRTÄLJE</t>
        </is>
      </c>
      <c r="G474" t="n">
        <v>2</v>
      </c>
      <c r="H474" t="n">
        <v>0</v>
      </c>
      <c r="I474" t="n">
        <v>0</v>
      </c>
      <c r="J474" t="n">
        <v>0</v>
      </c>
      <c r="K474" t="n">
        <v>0</v>
      </c>
      <c r="L474" t="n">
        <v>0</v>
      </c>
      <c r="M474" t="n">
        <v>0</v>
      </c>
      <c r="N474" t="n">
        <v>0</v>
      </c>
      <c r="O474" t="n">
        <v>0</v>
      </c>
      <c r="P474" t="n">
        <v>0</v>
      </c>
      <c r="Q474" t="n">
        <v>0</v>
      </c>
      <c r="R474" s="2" t="inlineStr"/>
    </row>
    <row r="475" ht="15" customHeight="1">
      <c r="A475" t="inlineStr">
        <is>
          <t>A 42038-2025</t>
        </is>
      </c>
      <c r="B475" s="1" t="n">
        <v>45903.61431712963</v>
      </c>
      <c r="C475" s="1" t="n">
        <v>46154</v>
      </c>
      <c r="D475" t="inlineStr">
        <is>
          <t>STOCKHOLMS LÄN</t>
        </is>
      </c>
      <c r="E475" t="inlineStr">
        <is>
          <t>NORRTÄLJE</t>
        </is>
      </c>
      <c r="F475" t="inlineStr">
        <is>
          <t>Sveaskog</t>
        </is>
      </c>
      <c r="G475" t="n">
        <v>6.4</v>
      </c>
      <c r="H475" t="n">
        <v>0</v>
      </c>
      <c r="I475" t="n">
        <v>0</v>
      </c>
      <c r="J475" t="n">
        <v>0</v>
      </c>
      <c r="K475" t="n">
        <v>0</v>
      </c>
      <c r="L475" t="n">
        <v>0</v>
      </c>
      <c r="M475" t="n">
        <v>0</v>
      </c>
      <c r="N475" t="n">
        <v>0</v>
      </c>
      <c r="O475" t="n">
        <v>0</v>
      </c>
      <c r="P475" t="n">
        <v>0</v>
      </c>
      <c r="Q475" t="n">
        <v>0</v>
      </c>
      <c r="R475" s="2" t="inlineStr"/>
    </row>
    <row r="476" ht="15" customHeight="1">
      <c r="A476" t="inlineStr">
        <is>
          <t>A 27821-2025</t>
        </is>
      </c>
      <c r="B476" s="1" t="n">
        <v>45817.34083333334</v>
      </c>
      <c r="C476" s="1" t="n">
        <v>46154</v>
      </c>
      <c r="D476" t="inlineStr">
        <is>
          <t>STOCKHOLMS LÄN</t>
        </is>
      </c>
      <c r="E476" t="inlineStr">
        <is>
          <t>NORRTÄLJE</t>
        </is>
      </c>
      <c r="G476" t="n">
        <v>3.2</v>
      </c>
      <c r="H476" t="n">
        <v>0</v>
      </c>
      <c r="I476" t="n">
        <v>0</v>
      </c>
      <c r="J476" t="n">
        <v>0</v>
      </c>
      <c r="K476" t="n">
        <v>0</v>
      </c>
      <c r="L476" t="n">
        <v>0</v>
      </c>
      <c r="M476" t="n">
        <v>0</v>
      </c>
      <c r="N476" t="n">
        <v>0</v>
      </c>
      <c r="O476" t="n">
        <v>0</v>
      </c>
      <c r="P476" t="n">
        <v>0</v>
      </c>
      <c r="Q476" t="n">
        <v>0</v>
      </c>
      <c r="R476" s="2" t="inlineStr"/>
    </row>
    <row r="477" ht="15" customHeight="1">
      <c r="A477" t="inlineStr">
        <is>
          <t>A 5241-2026</t>
        </is>
      </c>
      <c r="B477" s="1" t="n">
        <v>46049.86471064815</v>
      </c>
      <c r="C477" s="1" t="n">
        <v>46154</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5224-2026</t>
        </is>
      </c>
      <c r="B478" s="1" t="n">
        <v>46049.79521990741</v>
      </c>
      <c r="C478" s="1" t="n">
        <v>46154</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5227-2026</t>
        </is>
      </c>
      <c r="B479" s="1" t="n">
        <v>46049.80460648148</v>
      </c>
      <c r="C479" s="1" t="n">
        <v>46154</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5226-2026</t>
        </is>
      </c>
      <c r="B480" s="1" t="n">
        <v>46049.79961805556</v>
      </c>
      <c r="C480" s="1" t="n">
        <v>46154</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1740-2023</t>
        </is>
      </c>
      <c r="B481" s="1" t="n">
        <v>44938</v>
      </c>
      <c r="C481" s="1" t="n">
        <v>46154</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41964-2025</t>
        </is>
      </c>
      <c r="B482" s="1" t="n">
        <v>45903.47270833333</v>
      </c>
      <c r="C482" s="1" t="n">
        <v>46154</v>
      </c>
      <c r="D482" t="inlineStr">
        <is>
          <t>STOCKHOLMS LÄN</t>
        </is>
      </c>
      <c r="E482" t="inlineStr">
        <is>
          <t>NORRTÄLJE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41966-2025</t>
        </is>
      </c>
      <c r="B483" s="1" t="n">
        <v>45903.47456018518</v>
      </c>
      <c r="C483" s="1" t="n">
        <v>46154</v>
      </c>
      <c r="D483" t="inlineStr">
        <is>
          <t>STOCKHOLMS LÄN</t>
        </is>
      </c>
      <c r="E483" t="inlineStr">
        <is>
          <t>NORRTÄLJE</t>
        </is>
      </c>
      <c r="F483" t="inlineStr">
        <is>
          <t>Sveaskog</t>
        </is>
      </c>
      <c r="G483" t="n">
        <v>3.7</v>
      </c>
      <c r="H483" t="n">
        <v>0</v>
      </c>
      <c r="I483" t="n">
        <v>0</v>
      </c>
      <c r="J483" t="n">
        <v>0</v>
      </c>
      <c r="K483" t="n">
        <v>0</v>
      </c>
      <c r="L483" t="n">
        <v>0</v>
      </c>
      <c r="M483" t="n">
        <v>0</v>
      </c>
      <c r="N483" t="n">
        <v>0</v>
      </c>
      <c r="O483" t="n">
        <v>0</v>
      </c>
      <c r="P483" t="n">
        <v>0</v>
      </c>
      <c r="Q483" t="n">
        <v>0</v>
      </c>
      <c r="R483" s="2" t="inlineStr"/>
    </row>
    <row r="484" ht="15" customHeight="1">
      <c r="A484" t="inlineStr">
        <is>
          <t>A 44075-2023</t>
        </is>
      </c>
      <c r="B484" s="1" t="n">
        <v>45188.41637731482</v>
      </c>
      <c r="C484" s="1" t="n">
        <v>46154</v>
      </c>
      <c r="D484" t="inlineStr">
        <is>
          <t>STOCKHOLMS LÄN</t>
        </is>
      </c>
      <c r="E484" t="inlineStr">
        <is>
          <t>NORRTÄLJE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5934-2026</t>
        </is>
      </c>
      <c r="B485" s="1" t="n">
        <v>46052.47082175926</v>
      </c>
      <c r="C485" s="1" t="n">
        <v>46154</v>
      </c>
      <c r="D485" t="inlineStr">
        <is>
          <t>STOCKHOLMS LÄN</t>
        </is>
      </c>
      <c r="E485" t="inlineStr">
        <is>
          <t>NORRTÄLJE</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29250-2025</t>
        </is>
      </c>
      <c r="B486" s="1" t="n">
        <v>45824.37275462963</v>
      </c>
      <c r="C486" s="1" t="n">
        <v>46154</v>
      </c>
      <c r="D486" t="inlineStr">
        <is>
          <t>STOCKHOLMS LÄN</t>
        </is>
      </c>
      <c r="E486" t="inlineStr">
        <is>
          <t>NORRTÄLJE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30699-2025</t>
        </is>
      </c>
      <c r="B487" s="1" t="n">
        <v>45831.54618055555</v>
      </c>
      <c r="C487" s="1" t="n">
        <v>46154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5423-2023</t>
        </is>
      </c>
      <c r="B488" s="1" t="n">
        <v>44959.74533564815</v>
      </c>
      <c r="C488" s="1" t="n">
        <v>46154</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58492-2022</t>
        </is>
      </c>
      <c r="B489" s="1" t="n">
        <v>44902</v>
      </c>
      <c r="C489" s="1" t="n">
        <v>46154</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39610-2025</t>
        </is>
      </c>
      <c r="B490" s="1" t="n">
        <v>45890</v>
      </c>
      <c r="C490" s="1" t="n">
        <v>46154</v>
      </c>
      <c r="D490" t="inlineStr">
        <is>
          <t>STOCKHOLMS LÄN</t>
        </is>
      </c>
      <c r="E490" t="inlineStr">
        <is>
          <t>NORRTÄLJE</t>
        </is>
      </c>
      <c r="G490" t="n">
        <v>28.6</v>
      </c>
      <c r="H490" t="n">
        <v>0</v>
      </c>
      <c r="I490" t="n">
        <v>0</v>
      </c>
      <c r="J490" t="n">
        <v>0</v>
      </c>
      <c r="K490" t="n">
        <v>0</v>
      </c>
      <c r="L490" t="n">
        <v>0</v>
      </c>
      <c r="M490" t="n">
        <v>0</v>
      </c>
      <c r="N490" t="n">
        <v>0</v>
      </c>
      <c r="O490" t="n">
        <v>0</v>
      </c>
      <c r="P490" t="n">
        <v>0</v>
      </c>
      <c r="Q490" t="n">
        <v>0</v>
      </c>
      <c r="R490" s="2" t="inlineStr"/>
    </row>
    <row r="491" ht="15" customHeight="1">
      <c r="A491" t="inlineStr">
        <is>
          <t>A 6701-2026</t>
        </is>
      </c>
      <c r="B491" s="1" t="n">
        <v>46056</v>
      </c>
      <c r="C491" s="1" t="n">
        <v>46154</v>
      </c>
      <c r="D491" t="inlineStr">
        <is>
          <t>STOCKHOLMS LÄN</t>
        </is>
      </c>
      <c r="E491" t="inlineStr">
        <is>
          <t>NORRTÄLJE</t>
        </is>
      </c>
      <c r="G491" t="n">
        <v>0.8</v>
      </c>
      <c r="H491" t="n">
        <v>0</v>
      </c>
      <c r="I491" t="n">
        <v>0</v>
      </c>
      <c r="J491" t="n">
        <v>0</v>
      </c>
      <c r="K491" t="n">
        <v>0</v>
      </c>
      <c r="L491" t="n">
        <v>0</v>
      </c>
      <c r="M491" t="n">
        <v>0</v>
      </c>
      <c r="N491" t="n">
        <v>0</v>
      </c>
      <c r="O491" t="n">
        <v>0</v>
      </c>
      <c r="P491" t="n">
        <v>0</v>
      </c>
      <c r="Q491" t="n">
        <v>0</v>
      </c>
      <c r="R491" s="2" t="inlineStr"/>
    </row>
    <row r="492" ht="15" customHeight="1">
      <c r="A492" t="inlineStr">
        <is>
          <t>A 4581-2025</t>
        </is>
      </c>
      <c r="B492" s="1" t="n">
        <v>45687</v>
      </c>
      <c r="C492" s="1" t="n">
        <v>46154</v>
      </c>
      <c r="D492" t="inlineStr">
        <is>
          <t>STOCKHOLMS LÄN</t>
        </is>
      </c>
      <c r="E492" t="inlineStr">
        <is>
          <t>NORRTÄLJE</t>
        </is>
      </c>
      <c r="F492" t="inlineStr">
        <is>
          <t>Holmen skog AB</t>
        </is>
      </c>
      <c r="G492" t="n">
        <v>2.8</v>
      </c>
      <c r="H492" t="n">
        <v>0</v>
      </c>
      <c r="I492" t="n">
        <v>0</v>
      </c>
      <c r="J492" t="n">
        <v>0</v>
      </c>
      <c r="K492" t="n">
        <v>0</v>
      </c>
      <c r="L492" t="n">
        <v>0</v>
      </c>
      <c r="M492" t="n">
        <v>0</v>
      </c>
      <c r="N492" t="n">
        <v>0</v>
      </c>
      <c r="O492" t="n">
        <v>0</v>
      </c>
      <c r="P492" t="n">
        <v>0</v>
      </c>
      <c r="Q492" t="n">
        <v>0</v>
      </c>
      <c r="R492" s="2" t="inlineStr"/>
    </row>
    <row r="493" ht="15" customHeight="1">
      <c r="A493" t="inlineStr">
        <is>
          <t>A 6724-2026</t>
        </is>
      </c>
      <c r="B493" s="1" t="n">
        <v>46056.67717592593</v>
      </c>
      <c r="C493" s="1" t="n">
        <v>46154</v>
      </c>
      <c r="D493" t="inlineStr">
        <is>
          <t>STOCKHOLMS LÄN</t>
        </is>
      </c>
      <c r="E493" t="inlineStr">
        <is>
          <t>NORRTÄLJE</t>
        </is>
      </c>
      <c r="F493" t="inlineStr">
        <is>
          <t>Holmen skog AB</t>
        </is>
      </c>
      <c r="G493" t="n">
        <v>16.2</v>
      </c>
      <c r="H493" t="n">
        <v>0</v>
      </c>
      <c r="I493" t="n">
        <v>0</v>
      </c>
      <c r="J493" t="n">
        <v>0</v>
      </c>
      <c r="K493" t="n">
        <v>0</v>
      </c>
      <c r="L493" t="n">
        <v>0</v>
      </c>
      <c r="M493" t="n">
        <v>0</v>
      </c>
      <c r="N493" t="n">
        <v>0</v>
      </c>
      <c r="O493" t="n">
        <v>0</v>
      </c>
      <c r="P493" t="n">
        <v>0</v>
      </c>
      <c r="Q493" t="n">
        <v>0</v>
      </c>
      <c r="R493" s="2" t="inlineStr"/>
    </row>
    <row r="494" ht="15" customHeight="1">
      <c r="A494" t="inlineStr">
        <is>
          <t>A 36157-2024</t>
        </is>
      </c>
      <c r="B494" s="1" t="n">
        <v>45534.38240740741</v>
      </c>
      <c r="C494" s="1" t="n">
        <v>46154</v>
      </c>
      <c r="D494" t="inlineStr">
        <is>
          <t>STOCKHOLMS LÄN</t>
        </is>
      </c>
      <c r="E494" t="inlineStr">
        <is>
          <t>NORRTÄLJE</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62398-2022</t>
        </is>
      </c>
      <c r="B495" s="1" t="n">
        <v>44923.90159722222</v>
      </c>
      <c r="C495" s="1" t="n">
        <v>46154</v>
      </c>
      <c r="D495" t="inlineStr">
        <is>
          <t>STOCKHOLMS LÄN</t>
        </is>
      </c>
      <c r="E495" t="inlineStr">
        <is>
          <t>NORRTÄLJE</t>
        </is>
      </c>
      <c r="G495" t="n">
        <v>4</v>
      </c>
      <c r="H495" t="n">
        <v>0</v>
      </c>
      <c r="I495" t="n">
        <v>0</v>
      </c>
      <c r="J495" t="n">
        <v>0</v>
      </c>
      <c r="K495" t="n">
        <v>0</v>
      </c>
      <c r="L495" t="n">
        <v>0</v>
      </c>
      <c r="M495" t="n">
        <v>0</v>
      </c>
      <c r="N495" t="n">
        <v>0</v>
      </c>
      <c r="O495" t="n">
        <v>0</v>
      </c>
      <c r="P495" t="n">
        <v>0</v>
      </c>
      <c r="Q495" t="n">
        <v>0</v>
      </c>
      <c r="R495" s="2" t="inlineStr"/>
    </row>
    <row r="496" ht="15" customHeight="1">
      <c r="A496" t="inlineStr">
        <is>
          <t>A 6532-2026</t>
        </is>
      </c>
      <c r="B496" s="1" t="n">
        <v>46056.41300925926</v>
      </c>
      <c r="C496" s="1" t="n">
        <v>46154</v>
      </c>
      <c r="D496" t="inlineStr">
        <is>
          <t>STOCKHOLMS LÄN</t>
        </is>
      </c>
      <c r="E496" t="inlineStr">
        <is>
          <t>NORRTÄLJE</t>
        </is>
      </c>
      <c r="G496" t="n">
        <v>2.2</v>
      </c>
      <c r="H496" t="n">
        <v>0</v>
      </c>
      <c r="I496" t="n">
        <v>0</v>
      </c>
      <c r="J496" t="n">
        <v>0</v>
      </c>
      <c r="K496" t="n">
        <v>0</v>
      </c>
      <c r="L496" t="n">
        <v>0</v>
      </c>
      <c r="M496" t="n">
        <v>0</v>
      </c>
      <c r="N496" t="n">
        <v>0</v>
      </c>
      <c r="O496" t="n">
        <v>0</v>
      </c>
      <c r="P496" t="n">
        <v>0</v>
      </c>
      <c r="Q496" t="n">
        <v>0</v>
      </c>
      <c r="R496" s="2" t="inlineStr"/>
    </row>
    <row r="497" ht="15" customHeight="1">
      <c r="A497" t="inlineStr">
        <is>
          <t>A 17039-2024</t>
        </is>
      </c>
      <c r="B497" s="1" t="n">
        <v>45412.4104050926</v>
      </c>
      <c r="C497" s="1" t="n">
        <v>46154</v>
      </c>
      <c r="D497" t="inlineStr">
        <is>
          <t>STOCKHOLMS LÄN</t>
        </is>
      </c>
      <c r="E497" t="inlineStr">
        <is>
          <t>NORRTÄLJE</t>
        </is>
      </c>
      <c r="G497" t="n">
        <v>5.9</v>
      </c>
      <c r="H497" t="n">
        <v>0</v>
      </c>
      <c r="I497" t="n">
        <v>0</v>
      </c>
      <c r="J497" t="n">
        <v>0</v>
      </c>
      <c r="K497" t="n">
        <v>0</v>
      </c>
      <c r="L497" t="n">
        <v>0</v>
      </c>
      <c r="M497" t="n">
        <v>0</v>
      </c>
      <c r="N497" t="n">
        <v>0</v>
      </c>
      <c r="O497" t="n">
        <v>0</v>
      </c>
      <c r="P497" t="n">
        <v>0</v>
      </c>
      <c r="Q497" t="n">
        <v>0</v>
      </c>
      <c r="R497" s="2" t="inlineStr"/>
    </row>
    <row r="498" ht="15" customHeight="1">
      <c r="A498" t="inlineStr">
        <is>
          <t>A 3509-2022</t>
        </is>
      </c>
      <c r="B498" s="1" t="n">
        <v>44585</v>
      </c>
      <c r="C498" s="1" t="n">
        <v>46154</v>
      </c>
      <c r="D498" t="inlineStr">
        <is>
          <t>STOCKHOLMS LÄN</t>
        </is>
      </c>
      <c r="E498" t="inlineStr">
        <is>
          <t>NORRTÄLJE</t>
        </is>
      </c>
      <c r="F498" t="inlineStr">
        <is>
          <t>Kommuner</t>
        </is>
      </c>
      <c r="G498" t="n">
        <v>0.8</v>
      </c>
      <c r="H498" t="n">
        <v>0</v>
      </c>
      <c r="I498" t="n">
        <v>0</v>
      </c>
      <c r="J498" t="n">
        <v>0</v>
      </c>
      <c r="K498" t="n">
        <v>0</v>
      </c>
      <c r="L498" t="n">
        <v>0</v>
      </c>
      <c r="M498" t="n">
        <v>0</v>
      </c>
      <c r="N498" t="n">
        <v>0</v>
      </c>
      <c r="O498" t="n">
        <v>0</v>
      </c>
      <c r="P498" t="n">
        <v>0</v>
      </c>
      <c r="Q498" t="n">
        <v>0</v>
      </c>
      <c r="R498" s="2" t="inlineStr"/>
    </row>
    <row r="499" ht="15" customHeight="1">
      <c r="A499" t="inlineStr">
        <is>
          <t>A 7308-2026</t>
        </is>
      </c>
      <c r="B499" s="1" t="n">
        <v>46058.66025462963</v>
      </c>
      <c r="C499" s="1" t="n">
        <v>46154</v>
      </c>
      <c r="D499" t="inlineStr">
        <is>
          <t>STOCKHOLMS LÄN</t>
        </is>
      </c>
      <c r="E499" t="inlineStr">
        <is>
          <t>NORRTÄLJE</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42856-2025</t>
        </is>
      </c>
      <c r="B500" s="1" t="n">
        <v>45908</v>
      </c>
      <c r="C500" s="1" t="n">
        <v>46154</v>
      </c>
      <c r="D500" t="inlineStr">
        <is>
          <t>STOCKHOLMS LÄN</t>
        </is>
      </c>
      <c r="E500" t="inlineStr">
        <is>
          <t>NORRTÄLJE</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6838-2026</t>
        </is>
      </c>
      <c r="B501" s="1" t="n">
        <v>46057.41151620371</v>
      </c>
      <c r="C501" s="1" t="n">
        <v>46154</v>
      </c>
      <c r="D501" t="inlineStr">
        <is>
          <t>STOCKHOLMS LÄN</t>
        </is>
      </c>
      <c r="E501" t="inlineStr">
        <is>
          <t>NORRTÄLJE</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7697-2025</t>
        </is>
      </c>
      <c r="B502" s="1" t="n">
        <v>45706.40086805556</v>
      </c>
      <c r="C502" s="1" t="n">
        <v>46154</v>
      </c>
      <c r="D502" t="inlineStr">
        <is>
          <t>STOCKHOLMS LÄN</t>
        </is>
      </c>
      <c r="E502" t="inlineStr">
        <is>
          <t>NORRTÄLJE</t>
        </is>
      </c>
      <c r="F502" t="inlineStr">
        <is>
          <t>Holmen skog AB</t>
        </is>
      </c>
      <c r="G502" t="n">
        <v>1.8</v>
      </c>
      <c r="H502" t="n">
        <v>0</v>
      </c>
      <c r="I502" t="n">
        <v>0</v>
      </c>
      <c r="J502" t="n">
        <v>0</v>
      </c>
      <c r="K502" t="n">
        <v>0</v>
      </c>
      <c r="L502" t="n">
        <v>0</v>
      </c>
      <c r="M502" t="n">
        <v>0</v>
      </c>
      <c r="N502" t="n">
        <v>0</v>
      </c>
      <c r="O502" t="n">
        <v>0</v>
      </c>
      <c r="P502" t="n">
        <v>0</v>
      </c>
      <c r="Q502" t="n">
        <v>0</v>
      </c>
      <c r="R502" s="2" t="inlineStr"/>
    </row>
    <row r="503" ht="15" customHeight="1">
      <c r="A503" t="inlineStr">
        <is>
          <t>A 30668-2025</t>
        </is>
      </c>
      <c r="B503" s="1" t="n">
        <v>45831.51659722222</v>
      </c>
      <c r="C503" s="1" t="n">
        <v>46154</v>
      </c>
      <c r="D503" t="inlineStr">
        <is>
          <t>STOCKHOLMS LÄN</t>
        </is>
      </c>
      <c r="E503" t="inlineStr">
        <is>
          <t>NORRTÄLJE</t>
        </is>
      </c>
      <c r="G503" t="n">
        <v>4.9</v>
      </c>
      <c r="H503" t="n">
        <v>0</v>
      </c>
      <c r="I503" t="n">
        <v>0</v>
      </c>
      <c r="J503" t="n">
        <v>0</v>
      </c>
      <c r="K503" t="n">
        <v>0</v>
      </c>
      <c r="L503" t="n">
        <v>0</v>
      </c>
      <c r="M503" t="n">
        <v>0</v>
      </c>
      <c r="N503" t="n">
        <v>0</v>
      </c>
      <c r="O503" t="n">
        <v>0</v>
      </c>
      <c r="P503" t="n">
        <v>0</v>
      </c>
      <c r="Q503" t="n">
        <v>0</v>
      </c>
      <c r="R503" s="2" t="inlineStr"/>
    </row>
    <row r="504" ht="15" customHeight="1">
      <c r="A504" t="inlineStr">
        <is>
          <t>A 39669-2024</t>
        </is>
      </c>
      <c r="B504" s="1" t="n">
        <v>45552.52827546297</v>
      </c>
      <c r="C504" s="1" t="n">
        <v>46154</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6874-2026</t>
        </is>
      </c>
      <c r="B505" s="1" t="n">
        <v>46057.45295138889</v>
      </c>
      <c r="C505" s="1" t="n">
        <v>46154</v>
      </c>
      <c r="D505" t="inlineStr">
        <is>
          <t>STOCKHOLMS LÄN</t>
        </is>
      </c>
      <c r="E505" t="inlineStr">
        <is>
          <t>NORRTÄLJE</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20011-2025</t>
        </is>
      </c>
      <c r="B506" s="1" t="n">
        <v>45772.29622685185</v>
      </c>
      <c r="C506" s="1" t="n">
        <v>46154</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2982-2023</t>
        </is>
      </c>
      <c r="B507" s="1" t="n">
        <v>44945.67409722223</v>
      </c>
      <c r="C507" s="1" t="n">
        <v>46154</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1448-2023</t>
        </is>
      </c>
      <c r="B508" s="1" t="n">
        <v>44937</v>
      </c>
      <c r="C508" s="1" t="n">
        <v>46154</v>
      </c>
      <c r="D508" t="inlineStr">
        <is>
          <t>STOCKHOLMS LÄN</t>
        </is>
      </c>
      <c r="E508" t="inlineStr">
        <is>
          <t>NORRTÄLJE</t>
        </is>
      </c>
      <c r="G508" t="n">
        <v>1.9</v>
      </c>
      <c r="H508" t="n">
        <v>0</v>
      </c>
      <c r="I508" t="n">
        <v>0</v>
      </c>
      <c r="J508" t="n">
        <v>0</v>
      </c>
      <c r="K508" t="n">
        <v>0</v>
      </c>
      <c r="L508" t="n">
        <v>0</v>
      </c>
      <c r="M508" t="n">
        <v>0</v>
      </c>
      <c r="N508" t="n">
        <v>0</v>
      </c>
      <c r="O508" t="n">
        <v>0</v>
      </c>
      <c r="P508" t="n">
        <v>0</v>
      </c>
      <c r="Q508" t="n">
        <v>0</v>
      </c>
      <c r="R508" s="2" t="inlineStr"/>
    </row>
    <row r="509" ht="15" customHeight="1">
      <c r="A509" t="inlineStr">
        <is>
          <t>A 6828-2026</t>
        </is>
      </c>
      <c r="B509" s="1" t="n">
        <v>46057</v>
      </c>
      <c r="C509" s="1" t="n">
        <v>46154</v>
      </c>
      <c r="D509" t="inlineStr">
        <is>
          <t>STOCKHOLMS LÄN</t>
        </is>
      </c>
      <c r="E509" t="inlineStr">
        <is>
          <t>NORRTÄLJE</t>
        </is>
      </c>
      <c r="F509" t="inlineStr">
        <is>
          <t>Holmen skog AB</t>
        </is>
      </c>
      <c r="G509" t="n">
        <v>2.8</v>
      </c>
      <c r="H509" t="n">
        <v>0</v>
      </c>
      <c r="I509" t="n">
        <v>0</v>
      </c>
      <c r="J509" t="n">
        <v>0</v>
      </c>
      <c r="K509" t="n">
        <v>0</v>
      </c>
      <c r="L509" t="n">
        <v>0</v>
      </c>
      <c r="M509" t="n">
        <v>0</v>
      </c>
      <c r="N509" t="n">
        <v>0</v>
      </c>
      <c r="O509" t="n">
        <v>0</v>
      </c>
      <c r="P509" t="n">
        <v>0</v>
      </c>
      <c r="Q509" t="n">
        <v>0</v>
      </c>
      <c r="R509" s="2" t="inlineStr"/>
    </row>
    <row r="510" ht="15" customHeight="1">
      <c r="A510" t="inlineStr">
        <is>
          <t>A 35127-2023</t>
        </is>
      </c>
      <c r="B510" s="1" t="n">
        <v>45145.51</v>
      </c>
      <c r="C510" s="1" t="n">
        <v>46154</v>
      </c>
      <c r="D510" t="inlineStr">
        <is>
          <t>STOCKHOLMS LÄN</t>
        </is>
      </c>
      <c r="E510" t="inlineStr">
        <is>
          <t>NORRTÄLJE</t>
        </is>
      </c>
      <c r="G510" t="n">
        <v>4.7</v>
      </c>
      <c r="H510" t="n">
        <v>0</v>
      </c>
      <c r="I510" t="n">
        <v>0</v>
      </c>
      <c r="J510" t="n">
        <v>0</v>
      </c>
      <c r="K510" t="n">
        <v>0</v>
      </c>
      <c r="L510" t="n">
        <v>0</v>
      </c>
      <c r="M510" t="n">
        <v>0</v>
      </c>
      <c r="N510" t="n">
        <v>0</v>
      </c>
      <c r="O510" t="n">
        <v>0</v>
      </c>
      <c r="P510" t="n">
        <v>0</v>
      </c>
      <c r="Q510" t="n">
        <v>0</v>
      </c>
      <c r="R510" s="2" t="inlineStr"/>
    </row>
    <row r="511" ht="15" customHeight="1">
      <c r="A511" t="inlineStr">
        <is>
          <t>A 50136-2023</t>
        </is>
      </c>
      <c r="B511" s="1" t="n">
        <v>45215</v>
      </c>
      <c r="C511" s="1" t="n">
        <v>46154</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7532-2026</t>
        </is>
      </c>
      <c r="B512" s="1" t="n">
        <v>46059</v>
      </c>
      <c r="C512" s="1" t="n">
        <v>46154</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30639-2025</t>
        </is>
      </c>
      <c r="B513" s="1" t="n">
        <v>45831.4844212963</v>
      </c>
      <c r="C513" s="1" t="n">
        <v>46154</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31170-2025</t>
        </is>
      </c>
      <c r="B514" s="1" t="n">
        <v>45832.66385416667</v>
      </c>
      <c r="C514" s="1" t="n">
        <v>46154</v>
      </c>
      <c r="D514" t="inlineStr">
        <is>
          <t>STOCKHOLMS LÄN</t>
        </is>
      </c>
      <c r="E514" t="inlineStr">
        <is>
          <t>NORRTÄLJE</t>
        </is>
      </c>
      <c r="G514" t="n">
        <v>2.7</v>
      </c>
      <c r="H514" t="n">
        <v>0</v>
      </c>
      <c r="I514" t="n">
        <v>0</v>
      </c>
      <c r="J514" t="n">
        <v>0</v>
      </c>
      <c r="K514" t="n">
        <v>0</v>
      </c>
      <c r="L514" t="n">
        <v>0</v>
      </c>
      <c r="M514" t="n">
        <v>0</v>
      </c>
      <c r="N514" t="n">
        <v>0</v>
      </c>
      <c r="O514" t="n">
        <v>0</v>
      </c>
      <c r="P514" t="n">
        <v>0</v>
      </c>
      <c r="Q514" t="n">
        <v>0</v>
      </c>
      <c r="R514" s="2" t="inlineStr"/>
    </row>
    <row r="515" ht="15" customHeight="1">
      <c r="A515" t="inlineStr">
        <is>
          <t>A 11229-2022</t>
        </is>
      </c>
      <c r="B515" s="1" t="n">
        <v>44629</v>
      </c>
      <c r="C515" s="1" t="n">
        <v>46154</v>
      </c>
      <c r="D515" t="inlineStr">
        <is>
          <t>STOCKHOLMS LÄN</t>
        </is>
      </c>
      <c r="E515" t="inlineStr">
        <is>
          <t>NORRTÄLJE</t>
        </is>
      </c>
      <c r="F515" t="inlineStr">
        <is>
          <t>Övriga Aktiebolag</t>
        </is>
      </c>
      <c r="G515" t="n">
        <v>4.1</v>
      </c>
      <c r="H515" t="n">
        <v>0</v>
      </c>
      <c r="I515" t="n">
        <v>0</v>
      </c>
      <c r="J515" t="n">
        <v>0</v>
      </c>
      <c r="K515" t="n">
        <v>0</v>
      </c>
      <c r="L515" t="n">
        <v>0</v>
      </c>
      <c r="M515" t="n">
        <v>0</v>
      </c>
      <c r="N515" t="n">
        <v>0</v>
      </c>
      <c r="O515" t="n">
        <v>0</v>
      </c>
      <c r="P515" t="n">
        <v>0</v>
      </c>
      <c r="Q515" t="n">
        <v>0</v>
      </c>
      <c r="R515" s="2" t="inlineStr"/>
    </row>
    <row r="516" ht="15" customHeight="1">
      <c r="A516" t="inlineStr">
        <is>
          <t>A 9654-2022</t>
        </is>
      </c>
      <c r="B516" s="1" t="n">
        <v>44617</v>
      </c>
      <c r="C516" s="1" t="n">
        <v>46154</v>
      </c>
      <c r="D516" t="inlineStr">
        <is>
          <t>STOCKHOLMS LÄN</t>
        </is>
      </c>
      <c r="E516" t="inlineStr">
        <is>
          <t>NORRTÄLJE</t>
        </is>
      </c>
      <c r="G516" t="n">
        <v>6.4</v>
      </c>
      <c r="H516" t="n">
        <v>0</v>
      </c>
      <c r="I516" t="n">
        <v>0</v>
      </c>
      <c r="J516" t="n">
        <v>0</v>
      </c>
      <c r="K516" t="n">
        <v>0</v>
      </c>
      <c r="L516" t="n">
        <v>0</v>
      </c>
      <c r="M516" t="n">
        <v>0</v>
      </c>
      <c r="N516" t="n">
        <v>0</v>
      </c>
      <c r="O516" t="n">
        <v>0</v>
      </c>
      <c r="P516" t="n">
        <v>0</v>
      </c>
      <c r="Q516" t="n">
        <v>0</v>
      </c>
      <c r="R516" s="2" t="inlineStr"/>
    </row>
    <row r="517" ht="15" customHeight="1">
      <c r="A517" t="inlineStr">
        <is>
          <t>A 7723-2026</t>
        </is>
      </c>
      <c r="B517" s="1" t="n">
        <v>46062.49905092592</v>
      </c>
      <c r="C517" s="1" t="n">
        <v>46154</v>
      </c>
      <c r="D517" t="inlineStr">
        <is>
          <t>STOCKHOLMS LÄN</t>
        </is>
      </c>
      <c r="E517" t="inlineStr">
        <is>
          <t>NORRTÄLJE</t>
        </is>
      </c>
      <c r="G517" t="n">
        <v>0.8</v>
      </c>
      <c r="H517" t="n">
        <v>0</v>
      </c>
      <c r="I517" t="n">
        <v>0</v>
      </c>
      <c r="J517" t="n">
        <v>0</v>
      </c>
      <c r="K517" t="n">
        <v>0</v>
      </c>
      <c r="L517" t="n">
        <v>0</v>
      </c>
      <c r="M517" t="n">
        <v>0</v>
      </c>
      <c r="N517" t="n">
        <v>0</v>
      </c>
      <c r="O517" t="n">
        <v>0</v>
      </c>
      <c r="P517" t="n">
        <v>0</v>
      </c>
      <c r="Q517" t="n">
        <v>0</v>
      </c>
      <c r="R517" s="2" t="inlineStr"/>
    </row>
    <row r="518" ht="15" customHeight="1">
      <c r="A518" t="inlineStr">
        <is>
          <t>A 5389-2025</t>
        </is>
      </c>
      <c r="B518" s="1" t="n">
        <v>45692</v>
      </c>
      <c r="C518" s="1" t="n">
        <v>46154</v>
      </c>
      <c r="D518" t="inlineStr">
        <is>
          <t>STOCKHOLMS LÄN</t>
        </is>
      </c>
      <c r="E518" t="inlineStr">
        <is>
          <t>NORRTÄLJE</t>
        </is>
      </c>
      <c r="G518" t="n">
        <v>0.8</v>
      </c>
      <c r="H518" t="n">
        <v>0</v>
      </c>
      <c r="I518" t="n">
        <v>0</v>
      </c>
      <c r="J518" t="n">
        <v>0</v>
      </c>
      <c r="K518" t="n">
        <v>0</v>
      </c>
      <c r="L518" t="n">
        <v>0</v>
      </c>
      <c r="M518" t="n">
        <v>0</v>
      </c>
      <c r="N518" t="n">
        <v>0</v>
      </c>
      <c r="O518" t="n">
        <v>0</v>
      </c>
      <c r="P518" t="n">
        <v>0</v>
      </c>
      <c r="Q518" t="n">
        <v>0</v>
      </c>
      <c r="R518" s="2" t="inlineStr"/>
    </row>
    <row r="519" ht="15" customHeight="1">
      <c r="A519" t="inlineStr">
        <is>
          <t>A 7729-2026</t>
        </is>
      </c>
      <c r="B519" s="1" t="n">
        <v>46062.51100694444</v>
      </c>
      <c r="C519" s="1" t="n">
        <v>46154</v>
      </c>
      <c r="D519" t="inlineStr">
        <is>
          <t>STOCKHOLMS LÄN</t>
        </is>
      </c>
      <c r="E519" t="inlineStr">
        <is>
          <t>NORRTÄLJE</t>
        </is>
      </c>
      <c r="G519" t="n">
        <v>6.6</v>
      </c>
      <c r="H519" t="n">
        <v>0</v>
      </c>
      <c r="I519" t="n">
        <v>0</v>
      </c>
      <c r="J519" t="n">
        <v>0</v>
      </c>
      <c r="K519" t="n">
        <v>0</v>
      </c>
      <c r="L519" t="n">
        <v>0</v>
      </c>
      <c r="M519" t="n">
        <v>0</v>
      </c>
      <c r="N519" t="n">
        <v>0</v>
      </c>
      <c r="O519" t="n">
        <v>0</v>
      </c>
      <c r="P519" t="n">
        <v>0</v>
      </c>
      <c r="Q519" t="n">
        <v>0</v>
      </c>
      <c r="R519" s="2" t="inlineStr"/>
    </row>
    <row r="520" ht="15" customHeight="1">
      <c r="A520" t="inlineStr">
        <is>
          <t>A 7582-2026</t>
        </is>
      </c>
      <c r="B520" s="1" t="n">
        <v>46061</v>
      </c>
      <c r="C520" s="1" t="n">
        <v>46154</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37147-2023</t>
        </is>
      </c>
      <c r="B521" s="1" t="n">
        <v>45155</v>
      </c>
      <c r="C521" s="1" t="n">
        <v>46154</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7793-2026</t>
        </is>
      </c>
      <c r="B522" s="1" t="n">
        <v>46062.59496527778</v>
      </c>
      <c r="C522" s="1" t="n">
        <v>46154</v>
      </c>
      <c r="D522" t="inlineStr">
        <is>
          <t>STOCKHOLMS LÄN</t>
        </is>
      </c>
      <c r="E522" t="inlineStr">
        <is>
          <t>NORRTÄLJE</t>
        </is>
      </c>
      <c r="F522" t="inlineStr">
        <is>
          <t>Holmen skog AB</t>
        </is>
      </c>
      <c r="G522" t="n">
        <v>3.8</v>
      </c>
      <c r="H522" t="n">
        <v>0</v>
      </c>
      <c r="I522" t="n">
        <v>0</v>
      </c>
      <c r="J522" t="n">
        <v>0</v>
      </c>
      <c r="K522" t="n">
        <v>0</v>
      </c>
      <c r="L522" t="n">
        <v>0</v>
      </c>
      <c r="M522" t="n">
        <v>0</v>
      </c>
      <c r="N522" t="n">
        <v>0</v>
      </c>
      <c r="O522" t="n">
        <v>0</v>
      </c>
      <c r="P522" t="n">
        <v>0</v>
      </c>
      <c r="Q522" t="n">
        <v>0</v>
      </c>
      <c r="R522" s="2" t="inlineStr"/>
    </row>
    <row r="523" ht="15" customHeight="1">
      <c r="A523" t="inlineStr">
        <is>
          <t>A 59499-2023</t>
        </is>
      </c>
      <c r="B523" s="1" t="n">
        <v>45254</v>
      </c>
      <c r="C523" s="1" t="n">
        <v>46154</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60654-2023</t>
        </is>
      </c>
      <c r="B524" s="1" t="n">
        <v>45260.43225694444</v>
      </c>
      <c r="C524" s="1" t="n">
        <v>46154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60656-2023</t>
        </is>
      </c>
      <c r="B525" s="1" t="n">
        <v>45260.4333449074</v>
      </c>
      <c r="C525" s="1" t="n">
        <v>46154</v>
      </c>
      <c r="D525" t="inlineStr">
        <is>
          <t>STOCKHOLMS LÄN</t>
        </is>
      </c>
      <c r="E525" t="inlineStr">
        <is>
          <t>NORRTÄLJE</t>
        </is>
      </c>
      <c r="G525" t="n">
        <v>4.8</v>
      </c>
      <c r="H525" t="n">
        <v>0</v>
      </c>
      <c r="I525" t="n">
        <v>0</v>
      </c>
      <c r="J525" t="n">
        <v>0</v>
      </c>
      <c r="K525" t="n">
        <v>0</v>
      </c>
      <c r="L525" t="n">
        <v>0</v>
      </c>
      <c r="M525" t="n">
        <v>0</v>
      </c>
      <c r="N525" t="n">
        <v>0</v>
      </c>
      <c r="O525" t="n">
        <v>0</v>
      </c>
      <c r="P525" t="n">
        <v>0</v>
      </c>
      <c r="Q525" t="n">
        <v>0</v>
      </c>
      <c r="R525" s="2" t="inlineStr"/>
    </row>
    <row r="526" ht="15" customHeight="1">
      <c r="A526" t="inlineStr">
        <is>
          <t>A 22697-2022</t>
        </is>
      </c>
      <c r="B526" s="1" t="n">
        <v>44714.56040509259</v>
      </c>
      <c r="C526" s="1" t="n">
        <v>46154</v>
      </c>
      <c r="D526" t="inlineStr">
        <is>
          <t>STOCKHOLMS LÄN</t>
        </is>
      </c>
      <c r="E526" t="inlineStr">
        <is>
          <t>NORRTÄLJE</t>
        </is>
      </c>
      <c r="G526" t="n">
        <v>5.6</v>
      </c>
      <c r="H526" t="n">
        <v>0</v>
      </c>
      <c r="I526" t="n">
        <v>0</v>
      </c>
      <c r="J526" t="n">
        <v>0</v>
      </c>
      <c r="K526" t="n">
        <v>0</v>
      </c>
      <c r="L526" t="n">
        <v>0</v>
      </c>
      <c r="M526" t="n">
        <v>0</v>
      </c>
      <c r="N526" t="n">
        <v>0</v>
      </c>
      <c r="O526" t="n">
        <v>0</v>
      </c>
      <c r="P526" t="n">
        <v>0</v>
      </c>
      <c r="Q526" t="n">
        <v>0</v>
      </c>
      <c r="R526" s="2" t="inlineStr"/>
    </row>
    <row r="527" ht="15" customHeight="1">
      <c r="A527" t="inlineStr">
        <is>
          <t>A 31874-2025</t>
        </is>
      </c>
      <c r="B527" s="1" t="n">
        <v>45834</v>
      </c>
      <c r="C527" s="1" t="n">
        <v>46154</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31868-2025</t>
        </is>
      </c>
      <c r="B528" s="1" t="n">
        <v>45834.6447337963</v>
      </c>
      <c r="C528" s="1" t="n">
        <v>46154</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6413-2025</t>
        </is>
      </c>
      <c r="B529" s="1" t="n">
        <v>45699.46283564815</v>
      </c>
      <c r="C529" s="1" t="n">
        <v>46154</v>
      </c>
      <c r="D529" t="inlineStr">
        <is>
          <t>STOCKHOLMS LÄN</t>
        </is>
      </c>
      <c r="E529" t="inlineStr">
        <is>
          <t>NORRTÄLJE</t>
        </is>
      </c>
      <c r="G529" t="n">
        <v>3.6</v>
      </c>
      <c r="H529" t="n">
        <v>0</v>
      </c>
      <c r="I529" t="n">
        <v>0</v>
      </c>
      <c r="J529" t="n">
        <v>0</v>
      </c>
      <c r="K529" t="n">
        <v>0</v>
      </c>
      <c r="L529" t="n">
        <v>0</v>
      </c>
      <c r="M529" t="n">
        <v>0</v>
      </c>
      <c r="N529" t="n">
        <v>0</v>
      </c>
      <c r="O529" t="n">
        <v>0</v>
      </c>
      <c r="P529" t="n">
        <v>0</v>
      </c>
      <c r="Q529" t="n">
        <v>0</v>
      </c>
      <c r="R529" s="2" t="inlineStr"/>
    </row>
    <row r="530" ht="15" customHeight="1">
      <c r="A530" t="inlineStr">
        <is>
          <t>A 8091-2026</t>
        </is>
      </c>
      <c r="B530" s="1" t="n">
        <v>46063.70944444444</v>
      </c>
      <c r="C530" s="1" t="n">
        <v>46154</v>
      </c>
      <c r="D530" t="inlineStr">
        <is>
          <t>STOCKHOLMS LÄN</t>
        </is>
      </c>
      <c r="E530" t="inlineStr">
        <is>
          <t>NORRTÄLJE</t>
        </is>
      </c>
      <c r="G530" t="n">
        <v>4.7</v>
      </c>
      <c r="H530" t="n">
        <v>0</v>
      </c>
      <c r="I530" t="n">
        <v>0</v>
      </c>
      <c r="J530" t="n">
        <v>0</v>
      </c>
      <c r="K530" t="n">
        <v>0</v>
      </c>
      <c r="L530" t="n">
        <v>0</v>
      </c>
      <c r="M530" t="n">
        <v>0</v>
      </c>
      <c r="N530" t="n">
        <v>0</v>
      </c>
      <c r="O530" t="n">
        <v>0</v>
      </c>
      <c r="P530" t="n">
        <v>0</v>
      </c>
      <c r="Q530" t="n">
        <v>0</v>
      </c>
      <c r="R530" s="2" t="inlineStr"/>
    </row>
    <row r="531" ht="15" customHeight="1">
      <c r="A531" t="inlineStr">
        <is>
          <t>A 8096-2026</t>
        </is>
      </c>
      <c r="B531" s="1" t="n">
        <v>46063.714375</v>
      </c>
      <c r="C531" s="1" t="n">
        <v>46154</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31880-2025</t>
        </is>
      </c>
      <c r="B532" s="1" t="n">
        <v>45834.65538194445</v>
      </c>
      <c r="C532" s="1" t="n">
        <v>46154</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8055-2026</t>
        </is>
      </c>
      <c r="B533" s="1" t="n">
        <v>46063.62002314815</v>
      </c>
      <c r="C533" s="1" t="n">
        <v>46154</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32283-2025</t>
        </is>
      </c>
      <c r="B534" s="1" t="n">
        <v>45835.68076388889</v>
      </c>
      <c r="C534" s="1" t="n">
        <v>46154</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48180-2023</t>
        </is>
      </c>
      <c r="B535" s="1" t="n">
        <v>45205</v>
      </c>
      <c r="C535" s="1" t="n">
        <v>46154</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32122-2025</t>
        </is>
      </c>
      <c r="B536" s="1" t="n">
        <v>45835.4928125</v>
      </c>
      <c r="C536" s="1" t="n">
        <v>46154</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57353-2024</t>
        </is>
      </c>
      <c r="B537" s="1" t="n">
        <v>45629.65143518519</v>
      </c>
      <c r="C537" s="1" t="n">
        <v>46154</v>
      </c>
      <c r="D537" t="inlineStr">
        <is>
          <t>STOCKHOLMS LÄN</t>
        </is>
      </c>
      <c r="E537" t="inlineStr">
        <is>
          <t>NORRTÄLJE</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15836-2026</t>
        </is>
      </c>
      <c r="B538" s="1" t="n">
        <v>46107.56134259259</v>
      </c>
      <c r="C538" s="1" t="n">
        <v>46154</v>
      </c>
      <c r="D538" t="inlineStr">
        <is>
          <t>STOCKHOLMS LÄN</t>
        </is>
      </c>
      <c r="E538" t="inlineStr">
        <is>
          <t>NORRTÄLJE</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8454-2026</t>
        </is>
      </c>
      <c r="B539" s="1" t="n">
        <v>46065.42506944444</v>
      </c>
      <c r="C539" s="1" t="n">
        <v>46154</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55696-2022</t>
        </is>
      </c>
      <c r="B540" s="1" t="n">
        <v>44888</v>
      </c>
      <c r="C540" s="1" t="n">
        <v>46154</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50907-2022</t>
        </is>
      </c>
      <c r="B541" s="1" t="n">
        <v>44867.62090277778</v>
      </c>
      <c r="C541" s="1" t="n">
        <v>46154</v>
      </c>
      <c r="D541" t="inlineStr">
        <is>
          <t>STOCKHOLMS LÄN</t>
        </is>
      </c>
      <c r="E541" t="inlineStr">
        <is>
          <t>NORRTÄLJE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6919-2025</t>
        </is>
      </c>
      <c r="B542" s="1" t="n">
        <v>45701.44372685185</v>
      </c>
      <c r="C542" s="1" t="n">
        <v>46154</v>
      </c>
      <c r="D542" t="inlineStr">
        <is>
          <t>STOCKHOLMS LÄN</t>
        </is>
      </c>
      <c r="E542" t="inlineStr">
        <is>
          <t>NORRTÄLJE</t>
        </is>
      </c>
      <c r="G542" t="n">
        <v>3.5</v>
      </c>
      <c r="H542" t="n">
        <v>0</v>
      </c>
      <c r="I542" t="n">
        <v>0</v>
      </c>
      <c r="J542" t="n">
        <v>0</v>
      </c>
      <c r="K542" t="n">
        <v>0</v>
      </c>
      <c r="L542" t="n">
        <v>0</v>
      </c>
      <c r="M542" t="n">
        <v>0</v>
      </c>
      <c r="N542" t="n">
        <v>0</v>
      </c>
      <c r="O542" t="n">
        <v>0</v>
      </c>
      <c r="P542" t="n">
        <v>0</v>
      </c>
      <c r="Q542" t="n">
        <v>0</v>
      </c>
      <c r="R542" s="2" t="inlineStr"/>
    </row>
    <row r="543" ht="15" customHeight="1">
      <c r="A543" t="inlineStr">
        <is>
          <t>A 32094-2025</t>
        </is>
      </c>
      <c r="B543" s="1" t="n">
        <v>45835.46034722222</v>
      </c>
      <c r="C543" s="1" t="n">
        <v>46154</v>
      </c>
      <c r="D543" t="inlineStr">
        <is>
          <t>STOCKHOLMS LÄN</t>
        </is>
      </c>
      <c r="E543" t="inlineStr">
        <is>
          <t>NORRTÄLJE</t>
        </is>
      </c>
      <c r="F543" t="inlineStr">
        <is>
          <t>Holmen skog AB</t>
        </is>
      </c>
      <c r="G543" t="n">
        <v>2.9</v>
      </c>
      <c r="H543" t="n">
        <v>0</v>
      </c>
      <c r="I543" t="n">
        <v>0</v>
      </c>
      <c r="J543" t="n">
        <v>0</v>
      </c>
      <c r="K543" t="n">
        <v>0</v>
      </c>
      <c r="L543" t="n">
        <v>0</v>
      </c>
      <c r="M543" t="n">
        <v>0</v>
      </c>
      <c r="N543" t="n">
        <v>0</v>
      </c>
      <c r="O543" t="n">
        <v>0</v>
      </c>
      <c r="P543" t="n">
        <v>0</v>
      </c>
      <c r="Q543" t="n">
        <v>0</v>
      </c>
      <c r="R543" s="2" t="inlineStr"/>
    </row>
    <row r="544" ht="15" customHeight="1">
      <c r="A544" t="inlineStr">
        <is>
          <t>A 53362-2023</t>
        </is>
      </c>
      <c r="B544" s="1" t="n">
        <v>45223</v>
      </c>
      <c r="C544" s="1" t="n">
        <v>46154</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8465-2026</t>
        </is>
      </c>
      <c r="B545" s="1" t="n">
        <v>46065.44141203703</v>
      </c>
      <c r="C545" s="1" t="n">
        <v>46154</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32016-2025</t>
        </is>
      </c>
      <c r="B546" s="1" t="n">
        <v>45835</v>
      </c>
      <c r="C546" s="1" t="n">
        <v>46154</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8410-2026</t>
        </is>
      </c>
      <c r="B547" s="1" t="n">
        <v>46065.34261574074</v>
      </c>
      <c r="C547" s="1" t="n">
        <v>46154</v>
      </c>
      <c r="D547" t="inlineStr">
        <is>
          <t>STOCKHOLMS LÄN</t>
        </is>
      </c>
      <c r="E547" t="inlineStr">
        <is>
          <t>NORRTÄLJE</t>
        </is>
      </c>
      <c r="G547" t="n">
        <v>3.9</v>
      </c>
      <c r="H547" t="n">
        <v>0</v>
      </c>
      <c r="I547" t="n">
        <v>0</v>
      </c>
      <c r="J547" t="n">
        <v>0</v>
      </c>
      <c r="K547" t="n">
        <v>0</v>
      </c>
      <c r="L547" t="n">
        <v>0</v>
      </c>
      <c r="M547" t="n">
        <v>0</v>
      </c>
      <c r="N547" t="n">
        <v>0</v>
      </c>
      <c r="O547" t="n">
        <v>0</v>
      </c>
      <c r="P547" t="n">
        <v>0</v>
      </c>
      <c r="Q547" t="n">
        <v>0</v>
      </c>
      <c r="R547" s="2" t="inlineStr"/>
    </row>
    <row r="548" ht="15" customHeight="1">
      <c r="A548" t="inlineStr">
        <is>
          <t>A 32396-2025</t>
        </is>
      </c>
      <c r="B548" s="1" t="n">
        <v>45837</v>
      </c>
      <c r="C548" s="1" t="n">
        <v>46154</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32397-2025</t>
        </is>
      </c>
      <c r="B549" s="1" t="n">
        <v>45837.94081018519</v>
      </c>
      <c r="C549" s="1" t="n">
        <v>46154</v>
      </c>
      <c r="D549" t="inlineStr">
        <is>
          <t>STOCKHOLMS LÄN</t>
        </is>
      </c>
      <c r="E549" t="inlineStr">
        <is>
          <t>NORRTÄLJE</t>
        </is>
      </c>
      <c r="G549" t="n">
        <v>5.9</v>
      </c>
      <c r="H549" t="n">
        <v>0</v>
      </c>
      <c r="I549" t="n">
        <v>0</v>
      </c>
      <c r="J549" t="n">
        <v>0</v>
      </c>
      <c r="K549" t="n">
        <v>0</v>
      </c>
      <c r="L549" t="n">
        <v>0</v>
      </c>
      <c r="M549" t="n">
        <v>0</v>
      </c>
      <c r="N549" t="n">
        <v>0</v>
      </c>
      <c r="O549" t="n">
        <v>0</v>
      </c>
      <c r="P549" t="n">
        <v>0</v>
      </c>
      <c r="Q549" t="n">
        <v>0</v>
      </c>
      <c r="R549" s="2" t="inlineStr"/>
    </row>
    <row r="550" ht="15" customHeight="1">
      <c r="A550" t="inlineStr">
        <is>
          <t>A 8489-2026</t>
        </is>
      </c>
      <c r="B550" s="1" t="n">
        <v>46065.48268518518</v>
      </c>
      <c r="C550" s="1" t="n">
        <v>46154</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32480-2025</t>
        </is>
      </c>
      <c r="B551" s="1" t="n">
        <v>45838.43261574074</v>
      </c>
      <c r="C551" s="1" t="n">
        <v>46154</v>
      </c>
      <c r="D551" t="inlineStr">
        <is>
          <t>STOCKHOLMS LÄN</t>
        </is>
      </c>
      <c r="E551" t="inlineStr">
        <is>
          <t>NORRTÄLJE</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8985-2026</t>
        </is>
      </c>
      <c r="B552" s="1" t="n">
        <v>46069.45234953704</v>
      </c>
      <c r="C552" s="1" t="n">
        <v>46154</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32395-2025</t>
        </is>
      </c>
      <c r="B553" s="1" t="n">
        <v>45837.93730324074</v>
      </c>
      <c r="C553" s="1" t="n">
        <v>46154</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9103-2026</t>
        </is>
      </c>
      <c r="B554" s="1" t="n">
        <v>46069.65039351852</v>
      </c>
      <c r="C554" s="1" t="n">
        <v>46154</v>
      </c>
      <c r="D554" t="inlineStr">
        <is>
          <t>STOCKHOLMS LÄN</t>
        </is>
      </c>
      <c r="E554" t="inlineStr">
        <is>
          <t>NORRTÄLJE</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8433-2022</t>
        </is>
      </c>
      <c r="B555" s="1" t="n">
        <v>44611</v>
      </c>
      <c r="C555" s="1" t="n">
        <v>46154</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33211-2025</t>
        </is>
      </c>
      <c r="B556" s="1" t="n">
        <v>45840.62755787037</v>
      </c>
      <c r="C556" s="1" t="n">
        <v>46154</v>
      </c>
      <c r="D556" t="inlineStr">
        <is>
          <t>STOCKHOLMS LÄN</t>
        </is>
      </c>
      <c r="E556" t="inlineStr">
        <is>
          <t>NORRTÄLJE</t>
        </is>
      </c>
      <c r="G556" t="n">
        <v>5.1</v>
      </c>
      <c r="H556" t="n">
        <v>0</v>
      </c>
      <c r="I556" t="n">
        <v>0</v>
      </c>
      <c r="J556" t="n">
        <v>0</v>
      </c>
      <c r="K556" t="n">
        <v>0</v>
      </c>
      <c r="L556" t="n">
        <v>0</v>
      </c>
      <c r="M556" t="n">
        <v>0</v>
      </c>
      <c r="N556" t="n">
        <v>0</v>
      </c>
      <c r="O556" t="n">
        <v>0</v>
      </c>
      <c r="P556" t="n">
        <v>0</v>
      </c>
      <c r="Q556" t="n">
        <v>0</v>
      </c>
      <c r="R556" s="2" t="inlineStr"/>
    </row>
    <row r="557" ht="15" customHeight="1">
      <c r="A557" t="inlineStr">
        <is>
          <t>A 8989-2026</t>
        </is>
      </c>
      <c r="B557" s="1" t="n">
        <v>46069.45789351852</v>
      </c>
      <c r="C557" s="1" t="n">
        <v>46154</v>
      </c>
      <c r="D557" t="inlineStr">
        <is>
          <t>STOCKHOLMS LÄN</t>
        </is>
      </c>
      <c r="E557" t="inlineStr">
        <is>
          <t>NORRTÄLJE</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32903-2025</t>
        </is>
      </c>
      <c r="B558" s="1" t="n">
        <v>45839.62398148148</v>
      </c>
      <c r="C558" s="1" t="n">
        <v>46154</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10215-2023</t>
        </is>
      </c>
      <c r="B559" s="1" t="n">
        <v>44986.5887962963</v>
      </c>
      <c r="C559" s="1" t="n">
        <v>46154</v>
      </c>
      <c r="D559" t="inlineStr">
        <is>
          <t>STOCKHOLMS LÄN</t>
        </is>
      </c>
      <c r="E559" t="inlineStr">
        <is>
          <t>NORRTÄLJE</t>
        </is>
      </c>
      <c r="G559" t="n">
        <v>6.5</v>
      </c>
      <c r="H559" t="n">
        <v>0</v>
      </c>
      <c r="I559" t="n">
        <v>0</v>
      </c>
      <c r="J559" t="n">
        <v>0</v>
      </c>
      <c r="K559" t="n">
        <v>0</v>
      </c>
      <c r="L559" t="n">
        <v>0</v>
      </c>
      <c r="M559" t="n">
        <v>0</v>
      </c>
      <c r="N559" t="n">
        <v>0</v>
      </c>
      <c r="O559" t="n">
        <v>0</v>
      </c>
      <c r="P559" t="n">
        <v>0</v>
      </c>
      <c r="Q559" t="n">
        <v>0</v>
      </c>
      <c r="R559" s="2" t="inlineStr"/>
    </row>
    <row r="560" ht="15" customHeight="1">
      <c r="A560" t="inlineStr">
        <is>
          <t>A 33265-2025</t>
        </is>
      </c>
      <c r="B560" s="1" t="n">
        <v>45840.67829861111</v>
      </c>
      <c r="C560" s="1" t="n">
        <v>46154</v>
      </c>
      <c r="D560" t="inlineStr">
        <is>
          <t>STOCKHOLMS LÄN</t>
        </is>
      </c>
      <c r="E560" t="inlineStr">
        <is>
          <t>NORRTÄLJE</t>
        </is>
      </c>
      <c r="G560" t="n">
        <v>5.5</v>
      </c>
      <c r="H560" t="n">
        <v>0</v>
      </c>
      <c r="I560" t="n">
        <v>0</v>
      </c>
      <c r="J560" t="n">
        <v>0</v>
      </c>
      <c r="K560" t="n">
        <v>0</v>
      </c>
      <c r="L560" t="n">
        <v>0</v>
      </c>
      <c r="M560" t="n">
        <v>0</v>
      </c>
      <c r="N560" t="n">
        <v>0</v>
      </c>
      <c r="O560" t="n">
        <v>0</v>
      </c>
      <c r="P560" t="n">
        <v>0</v>
      </c>
      <c r="Q560" t="n">
        <v>0</v>
      </c>
      <c r="R560" s="2" t="inlineStr"/>
    </row>
    <row r="561" ht="15" customHeight="1">
      <c r="A561" t="inlineStr">
        <is>
          <t>A 32872-2025</t>
        </is>
      </c>
      <c r="B561" s="1" t="n">
        <v>45839</v>
      </c>
      <c r="C561" s="1" t="n">
        <v>46154</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33702-2025</t>
        </is>
      </c>
      <c r="B562" s="1" t="n">
        <v>45841.74596064815</v>
      </c>
      <c r="C562" s="1" t="n">
        <v>46154</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33336-2025</t>
        </is>
      </c>
      <c r="B563" s="1" t="n">
        <v>45841.35611111111</v>
      </c>
      <c r="C563" s="1" t="n">
        <v>46154</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8962-2026</t>
        </is>
      </c>
      <c r="B564" s="1" t="n">
        <v>46069.41644675926</v>
      </c>
      <c r="C564" s="1" t="n">
        <v>46154</v>
      </c>
      <c r="D564" t="inlineStr">
        <is>
          <t>STOCKHOLMS LÄN</t>
        </is>
      </c>
      <c r="E564" t="inlineStr">
        <is>
          <t>NORRTÄLJE</t>
        </is>
      </c>
      <c r="F564" t="inlineStr">
        <is>
          <t>Holmen skog AB</t>
        </is>
      </c>
      <c r="G564" t="n">
        <v>4.1</v>
      </c>
      <c r="H564" t="n">
        <v>0</v>
      </c>
      <c r="I564" t="n">
        <v>0</v>
      </c>
      <c r="J564" t="n">
        <v>0</v>
      </c>
      <c r="K564" t="n">
        <v>0</v>
      </c>
      <c r="L564" t="n">
        <v>0</v>
      </c>
      <c r="M564" t="n">
        <v>0</v>
      </c>
      <c r="N564" t="n">
        <v>0</v>
      </c>
      <c r="O564" t="n">
        <v>0</v>
      </c>
      <c r="P564" t="n">
        <v>0</v>
      </c>
      <c r="Q564" t="n">
        <v>0</v>
      </c>
      <c r="R564" s="2" t="inlineStr"/>
    </row>
    <row r="565" ht="15" customHeight="1">
      <c r="A565" t="inlineStr">
        <is>
          <t>A 14127-2025</t>
        </is>
      </c>
      <c r="B565" s="1" t="n">
        <v>45740.47055555556</v>
      </c>
      <c r="C565" s="1" t="n">
        <v>46154</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33552-2025</t>
        </is>
      </c>
      <c r="B566" s="1" t="n">
        <v>45841.5737962963</v>
      </c>
      <c r="C566" s="1" t="n">
        <v>46154</v>
      </c>
      <c r="D566" t="inlineStr">
        <is>
          <t>STOCKHOLMS LÄN</t>
        </is>
      </c>
      <c r="E566" t="inlineStr">
        <is>
          <t>NORRTÄLJE</t>
        </is>
      </c>
      <c r="G566" t="n">
        <v>8.9</v>
      </c>
      <c r="H566" t="n">
        <v>0</v>
      </c>
      <c r="I566" t="n">
        <v>0</v>
      </c>
      <c r="J566" t="n">
        <v>0</v>
      </c>
      <c r="K566" t="n">
        <v>0</v>
      </c>
      <c r="L566" t="n">
        <v>0</v>
      </c>
      <c r="M566" t="n">
        <v>0</v>
      </c>
      <c r="N566" t="n">
        <v>0</v>
      </c>
      <c r="O566" t="n">
        <v>0</v>
      </c>
      <c r="P566" t="n">
        <v>0</v>
      </c>
      <c r="Q566" t="n">
        <v>0</v>
      </c>
      <c r="R566" s="2" t="inlineStr"/>
    </row>
    <row r="567" ht="15" customHeight="1">
      <c r="A567" t="inlineStr">
        <is>
          <t>A 31559-2022</t>
        </is>
      </c>
      <c r="B567" s="1" t="n">
        <v>44775</v>
      </c>
      <c r="C567" s="1" t="n">
        <v>46154</v>
      </c>
      <c r="D567" t="inlineStr">
        <is>
          <t>STOCKHOLMS LÄN</t>
        </is>
      </c>
      <c r="E567" t="inlineStr">
        <is>
          <t>NORRTÄLJE</t>
        </is>
      </c>
      <c r="G567" t="n">
        <v>5.6</v>
      </c>
      <c r="H567" t="n">
        <v>0</v>
      </c>
      <c r="I567" t="n">
        <v>0</v>
      </c>
      <c r="J567" t="n">
        <v>0</v>
      </c>
      <c r="K567" t="n">
        <v>0</v>
      </c>
      <c r="L567" t="n">
        <v>0</v>
      </c>
      <c r="M567" t="n">
        <v>0</v>
      </c>
      <c r="N567" t="n">
        <v>0</v>
      </c>
      <c r="O567" t="n">
        <v>0</v>
      </c>
      <c r="P567" t="n">
        <v>0</v>
      </c>
      <c r="Q567" t="n">
        <v>0</v>
      </c>
      <c r="R567" s="2" t="inlineStr"/>
    </row>
    <row r="568" ht="15" customHeight="1">
      <c r="A568" t="inlineStr">
        <is>
          <t>A 33824-2025</t>
        </is>
      </c>
      <c r="B568" s="1" t="n">
        <v>45842.46885416667</v>
      </c>
      <c r="C568" s="1" t="n">
        <v>46154</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52001-2023</t>
        </is>
      </c>
      <c r="B569" s="1" t="n">
        <v>45223</v>
      </c>
      <c r="C569" s="1" t="n">
        <v>46154</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46073-2024</t>
        </is>
      </c>
      <c r="B570" s="1" t="n">
        <v>45581</v>
      </c>
      <c r="C570" s="1" t="n">
        <v>46154</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36689-2023</t>
        </is>
      </c>
      <c r="B571" s="1" t="n">
        <v>45152</v>
      </c>
      <c r="C571" s="1" t="n">
        <v>46154</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17025-2026</t>
        </is>
      </c>
      <c r="B572" s="1" t="n">
        <v>46113</v>
      </c>
      <c r="C572" s="1" t="n">
        <v>46154</v>
      </c>
      <c r="D572" t="inlineStr">
        <is>
          <t>STOCKHOLMS LÄN</t>
        </is>
      </c>
      <c r="E572" t="inlineStr">
        <is>
          <t>NORRTÄLJE</t>
        </is>
      </c>
      <c r="G572" t="n">
        <v>5.4</v>
      </c>
      <c r="H572" t="n">
        <v>0</v>
      </c>
      <c r="I572" t="n">
        <v>0</v>
      </c>
      <c r="J572" t="n">
        <v>0</v>
      </c>
      <c r="K572" t="n">
        <v>0</v>
      </c>
      <c r="L572" t="n">
        <v>0</v>
      </c>
      <c r="M572" t="n">
        <v>0</v>
      </c>
      <c r="N572" t="n">
        <v>0</v>
      </c>
      <c r="O572" t="n">
        <v>0</v>
      </c>
      <c r="P572" t="n">
        <v>0</v>
      </c>
      <c r="Q572" t="n">
        <v>0</v>
      </c>
      <c r="R572" s="2" t="inlineStr"/>
    </row>
    <row r="573" ht="15" customHeight="1">
      <c r="A573" t="inlineStr">
        <is>
          <t>A 34139-2025</t>
        </is>
      </c>
      <c r="B573" s="1" t="n">
        <v>45845</v>
      </c>
      <c r="C573" s="1" t="n">
        <v>46154</v>
      </c>
      <c r="D573" t="inlineStr">
        <is>
          <t>STOCKHOLMS LÄN</t>
        </is>
      </c>
      <c r="E573" t="inlineStr">
        <is>
          <t>NORRTÄLJE</t>
        </is>
      </c>
      <c r="G573" t="n">
        <v>5.5</v>
      </c>
      <c r="H573" t="n">
        <v>0</v>
      </c>
      <c r="I573" t="n">
        <v>0</v>
      </c>
      <c r="J573" t="n">
        <v>0</v>
      </c>
      <c r="K573" t="n">
        <v>0</v>
      </c>
      <c r="L573" t="n">
        <v>0</v>
      </c>
      <c r="M573" t="n">
        <v>0</v>
      </c>
      <c r="N573" t="n">
        <v>0</v>
      </c>
      <c r="O573" t="n">
        <v>0</v>
      </c>
      <c r="P573" t="n">
        <v>0</v>
      </c>
      <c r="Q573" t="n">
        <v>0</v>
      </c>
      <c r="R573" s="2" t="inlineStr"/>
    </row>
    <row r="574" ht="15" customHeight="1">
      <c r="A574" t="inlineStr">
        <is>
          <t>A 34006-2025</t>
        </is>
      </c>
      <c r="B574" s="1" t="n">
        <v>45844.62609953704</v>
      </c>
      <c r="C574" s="1" t="n">
        <v>46154</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22456-2023</t>
        </is>
      </c>
      <c r="B575" s="1" t="n">
        <v>45070</v>
      </c>
      <c r="C575" s="1" t="n">
        <v>46154</v>
      </c>
      <c r="D575" t="inlineStr">
        <is>
          <t>STOCKHOLMS LÄN</t>
        </is>
      </c>
      <c r="E575" t="inlineStr">
        <is>
          <t>NORRTÄLJE</t>
        </is>
      </c>
      <c r="G575" t="n">
        <v>3.1</v>
      </c>
      <c r="H575" t="n">
        <v>0</v>
      </c>
      <c r="I575" t="n">
        <v>0</v>
      </c>
      <c r="J575" t="n">
        <v>0</v>
      </c>
      <c r="K575" t="n">
        <v>0</v>
      </c>
      <c r="L575" t="n">
        <v>0</v>
      </c>
      <c r="M575" t="n">
        <v>0</v>
      </c>
      <c r="N575" t="n">
        <v>0</v>
      </c>
      <c r="O575" t="n">
        <v>0</v>
      </c>
      <c r="P575" t="n">
        <v>0</v>
      </c>
      <c r="Q575" t="n">
        <v>0</v>
      </c>
      <c r="R575" s="2" t="inlineStr"/>
    </row>
    <row r="576" ht="15" customHeight="1">
      <c r="A576" t="inlineStr">
        <is>
          <t>A 9720-2026</t>
        </is>
      </c>
      <c r="B576" s="1" t="n">
        <v>46072.45061342593</v>
      </c>
      <c r="C576" s="1" t="n">
        <v>46154</v>
      </c>
      <c r="D576" t="inlineStr">
        <is>
          <t>STOCKHOLMS LÄN</t>
        </is>
      </c>
      <c r="E576" t="inlineStr">
        <is>
          <t>NORRTÄLJE</t>
        </is>
      </c>
      <c r="G576" t="n">
        <v>3.6</v>
      </c>
      <c r="H576" t="n">
        <v>0</v>
      </c>
      <c r="I576" t="n">
        <v>0</v>
      </c>
      <c r="J576" t="n">
        <v>0</v>
      </c>
      <c r="K576" t="n">
        <v>0</v>
      </c>
      <c r="L576" t="n">
        <v>0</v>
      </c>
      <c r="M576" t="n">
        <v>0</v>
      </c>
      <c r="N576" t="n">
        <v>0</v>
      </c>
      <c r="O576" t="n">
        <v>0</v>
      </c>
      <c r="P576" t="n">
        <v>0</v>
      </c>
      <c r="Q576" t="n">
        <v>0</v>
      </c>
      <c r="R576" s="2" t="inlineStr"/>
    </row>
    <row r="577" ht="15" customHeight="1">
      <c r="A577" t="inlineStr">
        <is>
          <t>A 34010-2025</t>
        </is>
      </c>
      <c r="B577" s="1" t="n">
        <v>45844.91234953704</v>
      </c>
      <c r="C577" s="1" t="n">
        <v>46154</v>
      </c>
      <c r="D577" t="inlineStr">
        <is>
          <t>STOCKHOLMS LÄN</t>
        </is>
      </c>
      <c r="E577" t="inlineStr">
        <is>
          <t>NORRTÄLJE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10399-2026</t>
        </is>
      </c>
      <c r="B578" s="1" t="n">
        <v>46077</v>
      </c>
      <c r="C578" s="1" t="n">
        <v>46154</v>
      </c>
      <c r="D578" t="inlineStr">
        <is>
          <t>STOCKHOLMS LÄN</t>
        </is>
      </c>
      <c r="E578" t="inlineStr">
        <is>
          <t>NORRTÄLJE</t>
        </is>
      </c>
      <c r="F578" t="inlineStr">
        <is>
          <t>Övriga Aktiebolag</t>
        </is>
      </c>
      <c r="G578" t="n">
        <v>0.2</v>
      </c>
      <c r="H578" t="n">
        <v>0</v>
      </c>
      <c r="I578" t="n">
        <v>0</v>
      </c>
      <c r="J578" t="n">
        <v>0</v>
      </c>
      <c r="K578" t="n">
        <v>0</v>
      </c>
      <c r="L578" t="n">
        <v>0</v>
      </c>
      <c r="M578" t="n">
        <v>0</v>
      </c>
      <c r="N578" t="n">
        <v>0</v>
      </c>
      <c r="O578" t="n">
        <v>0</v>
      </c>
      <c r="P578" t="n">
        <v>0</v>
      </c>
      <c r="Q578" t="n">
        <v>0</v>
      </c>
      <c r="R578" s="2" t="inlineStr"/>
    </row>
    <row r="579" ht="15" customHeight="1">
      <c r="A579" t="inlineStr">
        <is>
          <t>A 17215-2026</t>
        </is>
      </c>
      <c r="B579" s="1" t="n">
        <v>46119.36524305555</v>
      </c>
      <c r="C579" s="1" t="n">
        <v>46154</v>
      </c>
      <c r="D579" t="inlineStr">
        <is>
          <t>STOCKHOLMS LÄN</t>
        </is>
      </c>
      <c r="E579" t="inlineStr">
        <is>
          <t>NORRTÄLJE</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17220-2026</t>
        </is>
      </c>
      <c r="B580" s="1" t="n">
        <v>46119.37436342592</v>
      </c>
      <c r="C580" s="1" t="n">
        <v>46154</v>
      </c>
      <c r="D580" t="inlineStr">
        <is>
          <t>STOCKHOLMS LÄN</t>
        </is>
      </c>
      <c r="E580" t="inlineStr">
        <is>
          <t>NORRTÄLJE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10429-2026</t>
        </is>
      </c>
      <c r="B581" s="1" t="n">
        <v>46077.3822337963</v>
      </c>
      <c r="C581" s="1" t="n">
        <v>46154</v>
      </c>
      <c r="D581" t="inlineStr">
        <is>
          <t>STOCKHOLMS LÄN</t>
        </is>
      </c>
      <c r="E581" t="inlineStr">
        <is>
          <t>NORRTÄLJE</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19580-2022</t>
        </is>
      </c>
      <c r="B582" s="1" t="n">
        <v>44693</v>
      </c>
      <c r="C582" s="1" t="n">
        <v>46154</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17207-2026</t>
        </is>
      </c>
      <c r="B583" s="1" t="n">
        <v>46119.31914351852</v>
      </c>
      <c r="C583" s="1" t="n">
        <v>46154</v>
      </c>
      <c r="D583" t="inlineStr">
        <is>
          <t>STOCKHOLMS LÄN</t>
        </is>
      </c>
      <c r="E583" t="inlineStr">
        <is>
          <t>NORRTÄLJE</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10586-2026</t>
        </is>
      </c>
      <c r="B584" s="1" t="n">
        <v>46077.68192129629</v>
      </c>
      <c r="C584" s="1" t="n">
        <v>46154</v>
      </c>
      <c r="D584" t="inlineStr">
        <is>
          <t>STOCKHOLMS LÄN</t>
        </is>
      </c>
      <c r="E584" t="inlineStr">
        <is>
          <t>NORRTÄLJE</t>
        </is>
      </c>
      <c r="F584" t="inlineStr">
        <is>
          <t>Holmen skog AB</t>
        </is>
      </c>
      <c r="G584" t="n">
        <v>3.3</v>
      </c>
      <c r="H584" t="n">
        <v>0</v>
      </c>
      <c r="I584" t="n">
        <v>0</v>
      </c>
      <c r="J584" t="n">
        <v>0</v>
      </c>
      <c r="K584" t="n">
        <v>0</v>
      </c>
      <c r="L584" t="n">
        <v>0</v>
      </c>
      <c r="M584" t="n">
        <v>0</v>
      </c>
      <c r="N584" t="n">
        <v>0</v>
      </c>
      <c r="O584" t="n">
        <v>0</v>
      </c>
      <c r="P584" t="n">
        <v>0</v>
      </c>
      <c r="Q584" t="n">
        <v>0</v>
      </c>
      <c r="R584" s="2" t="inlineStr"/>
    </row>
    <row r="585" ht="15" customHeight="1">
      <c r="A585" t="inlineStr">
        <is>
          <t>A 10444-2026</t>
        </is>
      </c>
      <c r="B585" s="1" t="n">
        <v>46077.42230324074</v>
      </c>
      <c r="C585" s="1" t="n">
        <v>46154</v>
      </c>
      <c r="D585" t="inlineStr">
        <is>
          <t>STOCKHOLMS LÄN</t>
        </is>
      </c>
      <c r="E585" t="inlineStr">
        <is>
          <t>NORRTÄLJE</t>
        </is>
      </c>
      <c r="F585" t="inlineStr">
        <is>
          <t>Holmen skog AB</t>
        </is>
      </c>
      <c r="G585" t="n">
        <v>4.9</v>
      </c>
      <c r="H585" t="n">
        <v>0</v>
      </c>
      <c r="I585" t="n">
        <v>0</v>
      </c>
      <c r="J585" t="n">
        <v>0</v>
      </c>
      <c r="K585" t="n">
        <v>0</v>
      </c>
      <c r="L585" t="n">
        <v>0</v>
      </c>
      <c r="M585" t="n">
        <v>0</v>
      </c>
      <c r="N585" t="n">
        <v>0</v>
      </c>
      <c r="O585" t="n">
        <v>0</v>
      </c>
      <c r="P585" t="n">
        <v>0</v>
      </c>
      <c r="Q585" t="n">
        <v>0</v>
      </c>
      <c r="R585" s="2" t="inlineStr"/>
    </row>
    <row r="586" ht="15" customHeight="1">
      <c r="A586" t="inlineStr">
        <is>
          <t>A 5823-2023</t>
        </is>
      </c>
      <c r="B586" s="1" t="n">
        <v>44963</v>
      </c>
      <c r="C586" s="1" t="n">
        <v>46154</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30731-2023</t>
        </is>
      </c>
      <c r="B587" s="1" t="n">
        <v>45112</v>
      </c>
      <c r="C587" s="1" t="n">
        <v>46154</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10553-2026</t>
        </is>
      </c>
      <c r="B588" s="1" t="n">
        <v>46077.62944444444</v>
      </c>
      <c r="C588" s="1" t="n">
        <v>46154</v>
      </c>
      <c r="D588" t="inlineStr">
        <is>
          <t>STOCKHOLMS LÄN</t>
        </is>
      </c>
      <c r="E588" t="inlineStr">
        <is>
          <t>NORRTÄLJE</t>
        </is>
      </c>
      <c r="G588" t="n">
        <v>4.9</v>
      </c>
      <c r="H588" t="n">
        <v>0</v>
      </c>
      <c r="I588" t="n">
        <v>0</v>
      </c>
      <c r="J588" t="n">
        <v>0</v>
      </c>
      <c r="K588" t="n">
        <v>0</v>
      </c>
      <c r="L588" t="n">
        <v>0</v>
      </c>
      <c r="M588" t="n">
        <v>0</v>
      </c>
      <c r="N588" t="n">
        <v>0</v>
      </c>
      <c r="O588" t="n">
        <v>0</v>
      </c>
      <c r="P588" t="n">
        <v>0</v>
      </c>
      <c r="Q588" t="n">
        <v>0</v>
      </c>
      <c r="R588" s="2" t="inlineStr"/>
    </row>
    <row r="589" ht="15" customHeight="1">
      <c r="A589" t="inlineStr">
        <is>
          <t>A 51653-2022</t>
        </is>
      </c>
      <c r="B589" s="1" t="n">
        <v>44867</v>
      </c>
      <c r="C589" s="1" t="n">
        <v>46154</v>
      </c>
      <c r="D589" t="inlineStr">
        <is>
          <t>STOCKHOLMS LÄN</t>
        </is>
      </c>
      <c r="E589" t="inlineStr">
        <is>
          <t>NORRTÄLJE</t>
        </is>
      </c>
      <c r="G589" t="n">
        <v>6.6</v>
      </c>
      <c r="H589" t="n">
        <v>0</v>
      </c>
      <c r="I589" t="n">
        <v>0</v>
      </c>
      <c r="J589" t="n">
        <v>0</v>
      </c>
      <c r="K589" t="n">
        <v>0</v>
      </c>
      <c r="L589" t="n">
        <v>0</v>
      </c>
      <c r="M589" t="n">
        <v>0</v>
      </c>
      <c r="N589" t="n">
        <v>0</v>
      </c>
      <c r="O589" t="n">
        <v>0</v>
      </c>
      <c r="P589" t="n">
        <v>0</v>
      </c>
      <c r="Q589" t="n">
        <v>0</v>
      </c>
      <c r="R589" s="2" t="inlineStr"/>
    </row>
    <row r="590" ht="15" customHeight="1">
      <c r="A590" t="inlineStr">
        <is>
          <t>A 24835-2025</t>
        </is>
      </c>
      <c r="B590" s="1" t="n">
        <v>45799</v>
      </c>
      <c r="C590" s="1" t="n">
        <v>46154</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35110-2025</t>
        </is>
      </c>
      <c r="B591" s="1" t="n">
        <v>45852.58030092593</v>
      </c>
      <c r="C591" s="1" t="n">
        <v>46154</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17209-2026</t>
        </is>
      </c>
      <c r="B592" s="1" t="n">
        <v>46119.33341435185</v>
      </c>
      <c r="C592" s="1" t="n">
        <v>46154</v>
      </c>
      <c r="D592" t="inlineStr">
        <is>
          <t>STOCKHOLMS LÄN</t>
        </is>
      </c>
      <c r="E592" t="inlineStr">
        <is>
          <t>NORRTÄLJE</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32103-2022</t>
        </is>
      </c>
      <c r="B593" s="1" t="n">
        <v>44778</v>
      </c>
      <c r="C593" s="1" t="n">
        <v>46154</v>
      </c>
      <c r="D593" t="inlineStr">
        <is>
          <t>STOCKHOLMS LÄN</t>
        </is>
      </c>
      <c r="E593" t="inlineStr">
        <is>
          <t>NORRTÄLJE</t>
        </is>
      </c>
      <c r="G593" t="n">
        <v>3.4</v>
      </c>
      <c r="H593" t="n">
        <v>0</v>
      </c>
      <c r="I593" t="n">
        <v>0</v>
      </c>
      <c r="J593" t="n">
        <v>0</v>
      </c>
      <c r="K593" t="n">
        <v>0</v>
      </c>
      <c r="L593" t="n">
        <v>0</v>
      </c>
      <c r="M593" t="n">
        <v>0</v>
      </c>
      <c r="N593" t="n">
        <v>0</v>
      </c>
      <c r="O593" t="n">
        <v>0</v>
      </c>
      <c r="P593" t="n">
        <v>0</v>
      </c>
      <c r="Q593" t="n">
        <v>0</v>
      </c>
      <c r="R593" s="2" t="inlineStr"/>
    </row>
    <row r="594" ht="15" customHeight="1">
      <c r="A594" t="inlineStr">
        <is>
          <t>A 55952-2024</t>
        </is>
      </c>
      <c r="B594" s="1" t="n">
        <v>45623.62563657408</v>
      </c>
      <c r="C594" s="1" t="n">
        <v>46154</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23070-2023</t>
        </is>
      </c>
      <c r="B595" s="1" t="n">
        <v>45075</v>
      </c>
      <c r="C595" s="1" t="n">
        <v>46154</v>
      </c>
      <c r="D595" t="inlineStr">
        <is>
          <t>STOCKHOLMS LÄN</t>
        </is>
      </c>
      <c r="E595" t="inlineStr">
        <is>
          <t>NORRTÄLJE</t>
        </is>
      </c>
      <c r="G595" t="n">
        <v>1.5</v>
      </c>
      <c r="H595" t="n">
        <v>0</v>
      </c>
      <c r="I595" t="n">
        <v>0</v>
      </c>
      <c r="J595" t="n">
        <v>0</v>
      </c>
      <c r="K595" t="n">
        <v>0</v>
      </c>
      <c r="L595" t="n">
        <v>0</v>
      </c>
      <c r="M595" t="n">
        <v>0</v>
      </c>
      <c r="N595" t="n">
        <v>0</v>
      </c>
      <c r="O595" t="n">
        <v>0</v>
      </c>
      <c r="P595" t="n">
        <v>0</v>
      </c>
      <c r="Q595" t="n">
        <v>0</v>
      </c>
      <c r="R595" s="2" t="inlineStr"/>
    </row>
    <row r="596" ht="15" customHeight="1">
      <c r="A596" t="inlineStr">
        <is>
          <t>A 43169-2025</t>
        </is>
      </c>
      <c r="B596" s="1" t="n">
        <v>45910</v>
      </c>
      <c r="C596" s="1" t="n">
        <v>46154</v>
      </c>
      <c r="D596" t="inlineStr">
        <is>
          <t>STOCKHOLMS LÄN</t>
        </is>
      </c>
      <c r="E596" t="inlineStr">
        <is>
          <t>NORRTÄLJE</t>
        </is>
      </c>
      <c r="G596" t="n">
        <v>6.9</v>
      </c>
      <c r="H596" t="n">
        <v>0</v>
      </c>
      <c r="I596" t="n">
        <v>0</v>
      </c>
      <c r="J596" t="n">
        <v>0</v>
      </c>
      <c r="K596" t="n">
        <v>0</v>
      </c>
      <c r="L596" t="n">
        <v>0</v>
      </c>
      <c r="M596" t="n">
        <v>0</v>
      </c>
      <c r="N596" t="n">
        <v>0</v>
      </c>
      <c r="O596" t="n">
        <v>0</v>
      </c>
      <c r="P596" t="n">
        <v>0</v>
      </c>
      <c r="Q596" t="n">
        <v>0</v>
      </c>
      <c r="R596" s="2" t="inlineStr"/>
    </row>
    <row r="597" ht="15" customHeight="1">
      <c r="A597" t="inlineStr">
        <is>
          <t>A 43269-2025</t>
        </is>
      </c>
      <c r="B597" s="1" t="n">
        <v>45910.5819212963</v>
      </c>
      <c r="C597" s="1" t="n">
        <v>46154</v>
      </c>
      <c r="D597" t="inlineStr">
        <is>
          <t>STOCKHOLMS LÄN</t>
        </is>
      </c>
      <c r="E597" t="inlineStr">
        <is>
          <t>NORRTÄLJE</t>
        </is>
      </c>
      <c r="G597" t="n">
        <v>3.7</v>
      </c>
      <c r="H597" t="n">
        <v>0</v>
      </c>
      <c r="I597" t="n">
        <v>0</v>
      </c>
      <c r="J597" t="n">
        <v>0</v>
      </c>
      <c r="K597" t="n">
        <v>0</v>
      </c>
      <c r="L597" t="n">
        <v>0</v>
      </c>
      <c r="M597" t="n">
        <v>0</v>
      </c>
      <c r="N597" t="n">
        <v>0</v>
      </c>
      <c r="O597" t="n">
        <v>0</v>
      </c>
      <c r="P597" t="n">
        <v>0</v>
      </c>
      <c r="Q597" t="n">
        <v>0</v>
      </c>
      <c r="R597" s="2" t="inlineStr"/>
    </row>
    <row r="598" ht="15" customHeight="1">
      <c r="A598" t="inlineStr">
        <is>
          <t>A 35254-2025</t>
        </is>
      </c>
      <c r="B598" s="1" t="n">
        <v>45853</v>
      </c>
      <c r="C598" s="1" t="n">
        <v>46154</v>
      </c>
      <c r="D598" t="inlineStr">
        <is>
          <t>STOCKHOLMS LÄN</t>
        </is>
      </c>
      <c r="E598" t="inlineStr">
        <is>
          <t>NORRTÄLJE</t>
        </is>
      </c>
      <c r="G598" t="n">
        <v>6.5</v>
      </c>
      <c r="H598" t="n">
        <v>0</v>
      </c>
      <c r="I598" t="n">
        <v>0</v>
      </c>
      <c r="J598" t="n">
        <v>0</v>
      </c>
      <c r="K598" t="n">
        <v>0</v>
      </c>
      <c r="L598" t="n">
        <v>0</v>
      </c>
      <c r="M598" t="n">
        <v>0</v>
      </c>
      <c r="N598" t="n">
        <v>0</v>
      </c>
      <c r="O598" t="n">
        <v>0</v>
      </c>
      <c r="P598" t="n">
        <v>0</v>
      </c>
      <c r="Q598" t="n">
        <v>0</v>
      </c>
      <c r="R598" s="2" t="inlineStr"/>
    </row>
    <row r="599" ht="15" customHeight="1">
      <c r="A599" t="inlineStr">
        <is>
          <t>A 8792-2025</t>
        </is>
      </c>
      <c r="B599" s="1" t="n">
        <v>45712</v>
      </c>
      <c r="C599" s="1" t="n">
        <v>46154</v>
      </c>
      <c r="D599" t="inlineStr">
        <is>
          <t>STOCKHOLMS LÄN</t>
        </is>
      </c>
      <c r="E599" t="inlineStr">
        <is>
          <t>NORRTÄLJE</t>
        </is>
      </c>
      <c r="F599" t="inlineStr">
        <is>
          <t>Övriga Aktiebolag</t>
        </is>
      </c>
      <c r="G599" t="n">
        <v>6.6</v>
      </c>
      <c r="H599" t="n">
        <v>0</v>
      </c>
      <c r="I599" t="n">
        <v>0</v>
      </c>
      <c r="J599" t="n">
        <v>0</v>
      </c>
      <c r="K599" t="n">
        <v>0</v>
      </c>
      <c r="L599" t="n">
        <v>0</v>
      </c>
      <c r="M599" t="n">
        <v>0</v>
      </c>
      <c r="N599" t="n">
        <v>0</v>
      </c>
      <c r="O599" t="n">
        <v>0</v>
      </c>
      <c r="P599" t="n">
        <v>0</v>
      </c>
      <c r="Q599" t="n">
        <v>0</v>
      </c>
      <c r="R599" s="2" t="inlineStr"/>
    </row>
    <row r="600" ht="15" customHeight="1">
      <c r="A600" t="inlineStr">
        <is>
          <t>A 35479-2025</t>
        </is>
      </c>
      <c r="B600" s="1" t="n">
        <v>45855.69387731481</v>
      </c>
      <c r="C600" s="1" t="n">
        <v>46154</v>
      </c>
      <c r="D600" t="inlineStr">
        <is>
          <t>STOCKHOLMS LÄN</t>
        </is>
      </c>
      <c r="E600" t="inlineStr">
        <is>
          <t>NORRTÄLJE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7571-2024</t>
        </is>
      </c>
      <c r="B601" s="1" t="n">
        <v>45348.46300925926</v>
      </c>
      <c r="C601" s="1" t="n">
        <v>46154</v>
      </c>
      <c r="D601" t="inlineStr">
        <is>
          <t>STOCKHOLMS LÄN</t>
        </is>
      </c>
      <c r="E601" t="inlineStr">
        <is>
          <t>NORRTÄLJE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35451-2025</t>
        </is>
      </c>
      <c r="B602" s="1" t="n">
        <v>45855.57033564815</v>
      </c>
      <c r="C602" s="1" t="n">
        <v>46154</v>
      </c>
      <c r="D602" t="inlineStr">
        <is>
          <t>STOCKHOLMS LÄN</t>
        </is>
      </c>
      <c r="E602" t="inlineStr">
        <is>
          <t>NORRTÄLJE</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35478-2025</t>
        </is>
      </c>
      <c r="B603" s="1" t="n">
        <v>45855.68413194444</v>
      </c>
      <c r="C603" s="1" t="n">
        <v>46154</v>
      </c>
      <c r="D603" t="inlineStr">
        <is>
          <t>STOCKHOLMS LÄN</t>
        </is>
      </c>
      <c r="E603" t="inlineStr">
        <is>
          <t>NORRTÄLJE</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17651-2026</t>
        </is>
      </c>
      <c r="B604" s="1" t="n">
        <v>46121.55334490741</v>
      </c>
      <c r="C604" s="1" t="n">
        <v>46154</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36269-2022</t>
        </is>
      </c>
      <c r="B605" s="1" t="n">
        <v>44803</v>
      </c>
      <c r="C605" s="1" t="n">
        <v>46154</v>
      </c>
      <c r="D605" t="inlineStr">
        <is>
          <t>STOCKHOLMS LÄN</t>
        </is>
      </c>
      <c r="E605" t="inlineStr">
        <is>
          <t>NORRTÄLJE</t>
        </is>
      </c>
      <c r="G605" t="n">
        <v>2.3</v>
      </c>
      <c r="H605" t="n">
        <v>0</v>
      </c>
      <c r="I605" t="n">
        <v>0</v>
      </c>
      <c r="J605" t="n">
        <v>0</v>
      </c>
      <c r="K605" t="n">
        <v>0</v>
      </c>
      <c r="L605" t="n">
        <v>0</v>
      </c>
      <c r="M605" t="n">
        <v>0</v>
      </c>
      <c r="N605" t="n">
        <v>0</v>
      </c>
      <c r="O605" t="n">
        <v>0</v>
      </c>
      <c r="P605" t="n">
        <v>0</v>
      </c>
      <c r="Q605" t="n">
        <v>0</v>
      </c>
      <c r="R605" s="2" t="inlineStr"/>
    </row>
    <row r="606" ht="15" customHeight="1">
      <c r="A606" t="inlineStr">
        <is>
          <t>A 5665-2025</t>
        </is>
      </c>
      <c r="B606" s="1" t="n">
        <v>45693</v>
      </c>
      <c r="C606" s="1" t="n">
        <v>46154</v>
      </c>
      <c r="D606" t="inlineStr">
        <is>
          <t>STOCKHOLMS LÄN</t>
        </is>
      </c>
      <c r="E606" t="inlineStr">
        <is>
          <t>NORRTÄLJE</t>
        </is>
      </c>
      <c r="G606" t="n">
        <v>4</v>
      </c>
      <c r="H606" t="n">
        <v>0</v>
      </c>
      <c r="I606" t="n">
        <v>0</v>
      </c>
      <c r="J606" t="n">
        <v>0</v>
      </c>
      <c r="K606" t="n">
        <v>0</v>
      </c>
      <c r="L606" t="n">
        <v>0</v>
      </c>
      <c r="M606" t="n">
        <v>0</v>
      </c>
      <c r="N606" t="n">
        <v>0</v>
      </c>
      <c r="O606" t="n">
        <v>0</v>
      </c>
      <c r="P606" t="n">
        <v>0</v>
      </c>
      <c r="Q606" t="n">
        <v>0</v>
      </c>
      <c r="R606" s="2" t="inlineStr"/>
    </row>
    <row r="607" ht="15" customHeight="1">
      <c r="A607" t="inlineStr">
        <is>
          <t>A 12407-2025</t>
        </is>
      </c>
      <c r="B607" s="1" t="n">
        <v>45730.42851851852</v>
      </c>
      <c r="C607" s="1" t="n">
        <v>46154</v>
      </c>
      <c r="D607" t="inlineStr">
        <is>
          <t>STOCKHOLMS LÄN</t>
        </is>
      </c>
      <c r="E607" t="inlineStr">
        <is>
          <t>NORRTÄLJE</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10646-2026</t>
        </is>
      </c>
      <c r="B608" s="1" t="n">
        <v>46078.34157407407</v>
      </c>
      <c r="C608" s="1" t="n">
        <v>46154</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26636-2023</t>
        </is>
      </c>
      <c r="B609" s="1" t="n">
        <v>45092</v>
      </c>
      <c r="C609" s="1" t="n">
        <v>46154</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26637-2023</t>
        </is>
      </c>
      <c r="B610" s="1" t="n">
        <v>45092</v>
      </c>
      <c r="C610" s="1" t="n">
        <v>46154</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23266-2023</t>
        </is>
      </c>
      <c r="B611" s="1" t="n">
        <v>45075.90817129629</v>
      </c>
      <c r="C611" s="1" t="n">
        <v>46154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35161-2022</t>
        </is>
      </c>
      <c r="B612" s="1" t="n">
        <v>44797</v>
      </c>
      <c r="C612" s="1" t="n">
        <v>46154</v>
      </c>
      <c r="D612" t="inlineStr">
        <is>
          <t>STOCKHOLMS LÄN</t>
        </is>
      </c>
      <c r="E612" t="inlineStr">
        <is>
          <t>NORRTÄLJE</t>
        </is>
      </c>
      <c r="G612" t="n">
        <v>6</v>
      </c>
      <c r="H612" t="n">
        <v>0</v>
      </c>
      <c r="I612" t="n">
        <v>0</v>
      </c>
      <c r="J612" t="n">
        <v>0</v>
      </c>
      <c r="K612" t="n">
        <v>0</v>
      </c>
      <c r="L612" t="n">
        <v>0</v>
      </c>
      <c r="M612" t="n">
        <v>0</v>
      </c>
      <c r="N612" t="n">
        <v>0</v>
      </c>
      <c r="O612" t="n">
        <v>0</v>
      </c>
      <c r="P612" t="n">
        <v>0</v>
      </c>
      <c r="Q612" t="n">
        <v>0</v>
      </c>
      <c r="R612" s="2" t="inlineStr"/>
    </row>
    <row r="613" ht="15" customHeight="1">
      <c r="A613" t="inlineStr">
        <is>
          <t>A 20698-2025</t>
        </is>
      </c>
      <c r="B613" s="1" t="n">
        <v>45776.47122685185</v>
      </c>
      <c r="C613" s="1" t="n">
        <v>46154</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30719-2025</t>
        </is>
      </c>
      <c r="B614" s="1" t="n">
        <v>45831</v>
      </c>
      <c r="C614" s="1" t="n">
        <v>46154</v>
      </c>
      <c r="D614" t="inlineStr">
        <is>
          <t>STOCKHOLMS LÄN</t>
        </is>
      </c>
      <c r="E614" t="inlineStr">
        <is>
          <t>NORRTÄLJE</t>
        </is>
      </c>
      <c r="G614" t="n">
        <v>0.5</v>
      </c>
      <c r="H614" t="n">
        <v>0</v>
      </c>
      <c r="I614" t="n">
        <v>0</v>
      </c>
      <c r="J614" t="n">
        <v>0</v>
      </c>
      <c r="K614" t="n">
        <v>0</v>
      </c>
      <c r="L614" t="n">
        <v>0</v>
      </c>
      <c r="M614" t="n">
        <v>0</v>
      </c>
      <c r="N614" t="n">
        <v>0</v>
      </c>
      <c r="O614" t="n">
        <v>0</v>
      </c>
      <c r="P614" t="n">
        <v>0</v>
      </c>
      <c r="Q614" t="n">
        <v>0</v>
      </c>
      <c r="R614" s="2" t="inlineStr"/>
    </row>
    <row r="615" ht="15" customHeight="1">
      <c r="A615" t="inlineStr">
        <is>
          <t>A 36396-2025</t>
        </is>
      </c>
      <c r="B615" s="1" t="n">
        <v>45868.62267361111</v>
      </c>
      <c r="C615" s="1" t="n">
        <v>46154</v>
      </c>
      <c r="D615" t="inlineStr">
        <is>
          <t>STOCKHOLMS LÄN</t>
        </is>
      </c>
      <c r="E615" t="inlineStr">
        <is>
          <t>NORRTÄLJE</t>
        </is>
      </c>
      <c r="G615" t="n">
        <v>4.1</v>
      </c>
      <c r="H615" t="n">
        <v>0</v>
      </c>
      <c r="I615" t="n">
        <v>0</v>
      </c>
      <c r="J615" t="n">
        <v>0</v>
      </c>
      <c r="K615" t="n">
        <v>0</v>
      </c>
      <c r="L615" t="n">
        <v>0</v>
      </c>
      <c r="M615" t="n">
        <v>0</v>
      </c>
      <c r="N615" t="n">
        <v>0</v>
      </c>
      <c r="O615" t="n">
        <v>0</v>
      </c>
      <c r="P615" t="n">
        <v>0</v>
      </c>
      <c r="Q615" t="n">
        <v>0</v>
      </c>
      <c r="R615" s="2" t="inlineStr"/>
    </row>
    <row r="616" ht="15" customHeight="1">
      <c r="A616" t="inlineStr">
        <is>
          <t>A 22232-2024</t>
        </is>
      </c>
      <c r="B616" s="1" t="n">
        <v>45446.4287962963</v>
      </c>
      <c r="C616" s="1" t="n">
        <v>46154</v>
      </c>
      <c r="D616" t="inlineStr">
        <is>
          <t>STOCKHOLMS LÄN</t>
        </is>
      </c>
      <c r="E616" t="inlineStr">
        <is>
          <t>NORRTÄLJE</t>
        </is>
      </c>
      <c r="G616" t="n">
        <v>12.8</v>
      </c>
      <c r="H616" t="n">
        <v>0</v>
      </c>
      <c r="I616" t="n">
        <v>0</v>
      </c>
      <c r="J616" t="n">
        <v>0</v>
      </c>
      <c r="K616" t="n">
        <v>0</v>
      </c>
      <c r="L616" t="n">
        <v>0</v>
      </c>
      <c r="M616" t="n">
        <v>0</v>
      </c>
      <c r="N616" t="n">
        <v>0</v>
      </c>
      <c r="O616" t="n">
        <v>0</v>
      </c>
      <c r="P616" t="n">
        <v>0</v>
      </c>
      <c r="Q616" t="n">
        <v>0</v>
      </c>
      <c r="R616" s="2" t="inlineStr"/>
    </row>
    <row r="617" ht="15" customHeight="1">
      <c r="A617" t="inlineStr">
        <is>
          <t>A 34444-2024</t>
        </is>
      </c>
      <c r="B617" s="1" t="n">
        <v>45525</v>
      </c>
      <c r="C617" s="1" t="n">
        <v>46154</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58863-2024</t>
        </is>
      </c>
      <c r="B618" s="1" t="n">
        <v>45636.41572916666</v>
      </c>
      <c r="C618" s="1" t="n">
        <v>46154</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15447-2023</t>
        </is>
      </c>
      <c r="B619" s="1" t="n">
        <v>45020</v>
      </c>
      <c r="C619" s="1" t="n">
        <v>46154</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34391-2023</t>
        </is>
      </c>
      <c r="B620" s="1" t="n">
        <v>45139.51457175926</v>
      </c>
      <c r="C620" s="1" t="n">
        <v>46154</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44343-2025</t>
        </is>
      </c>
      <c r="B621" s="1" t="n">
        <v>45916.43378472222</v>
      </c>
      <c r="C621" s="1" t="n">
        <v>46154</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53312-2024</t>
        </is>
      </c>
      <c r="B622" s="1" t="n">
        <v>45614.39627314815</v>
      </c>
      <c r="C622" s="1" t="n">
        <v>46154</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21158-2022</t>
        </is>
      </c>
      <c r="B623" s="1" t="n">
        <v>44704</v>
      </c>
      <c r="C623" s="1" t="n">
        <v>46154</v>
      </c>
      <c r="D623" t="inlineStr">
        <is>
          <t>STOCKHOLMS LÄN</t>
        </is>
      </c>
      <c r="E623" t="inlineStr">
        <is>
          <t>NORRTÄLJE</t>
        </is>
      </c>
      <c r="G623" t="n">
        <v>17.8</v>
      </c>
      <c r="H623" t="n">
        <v>0</v>
      </c>
      <c r="I623" t="n">
        <v>0</v>
      </c>
      <c r="J623" t="n">
        <v>0</v>
      </c>
      <c r="K623" t="n">
        <v>0</v>
      </c>
      <c r="L623" t="n">
        <v>0</v>
      </c>
      <c r="M623" t="n">
        <v>0</v>
      </c>
      <c r="N623" t="n">
        <v>0</v>
      </c>
      <c r="O623" t="n">
        <v>0</v>
      </c>
      <c r="P623" t="n">
        <v>0</v>
      </c>
      <c r="Q623" t="n">
        <v>0</v>
      </c>
      <c r="R623" s="2" t="inlineStr"/>
    </row>
    <row r="624" ht="15" customHeight="1">
      <c r="A624" t="inlineStr">
        <is>
          <t>A 43916-2025</t>
        </is>
      </c>
      <c r="B624" s="1" t="n">
        <v>45914.78884259259</v>
      </c>
      <c r="C624" s="1" t="n">
        <v>46154</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15915-2023</t>
        </is>
      </c>
      <c r="B625" s="1" t="n">
        <v>45022</v>
      </c>
      <c r="C625" s="1" t="n">
        <v>46154</v>
      </c>
      <c r="D625" t="inlineStr">
        <is>
          <t>STOCKHOLMS LÄN</t>
        </is>
      </c>
      <c r="E625" t="inlineStr">
        <is>
          <t>NORRTÄLJE</t>
        </is>
      </c>
      <c r="G625" t="n">
        <v>2.9</v>
      </c>
      <c r="H625" t="n">
        <v>0</v>
      </c>
      <c r="I625" t="n">
        <v>0</v>
      </c>
      <c r="J625" t="n">
        <v>0</v>
      </c>
      <c r="K625" t="n">
        <v>0</v>
      </c>
      <c r="L625" t="n">
        <v>0</v>
      </c>
      <c r="M625" t="n">
        <v>0</v>
      </c>
      <c r="N625" t="n">
        <v>0</v>
      </c>
      <c r="O625" t="n">
        <v>0</v>
      </c>
      <c r="P625" t="n">
        <v>0</v>
      </c>
      <c r="Q625" t="n">
        <v>0</v>
      </c>
      <c r="R625" s="2" t="inlineStr"/>
    </row>
    <row r="626" ht="15" customHeight="1">
      <c r="A626" t="inlineStr">
        <is>
          <t>A 11648-2026</t>
        </is>
      </c>
      <c r="B626" s="1" t="n">
        <v>46084.51575231482</v>
      </c>
      <c r="C626" s="1" t="n">
        <v>46154</v>
      </c>
      <c r="D626" t="inlineStr">
        <is>
          <t>STOCKHOLMS LÄN</t>
        </is>
      </c>
      <c r="E626" t="inlineStr">
        <is>
          <t>NORRTÄLJE</t>
        </is>
      </c>
      <c r="G626" t="n">
        <v>4.1</v>
      </c>
      <c r="H626" t="n">
        <v>0</v>
      </c>
      <c r="I626" t="n">
        <v>0</v>
      </c>
      <c r="J626" t="n">
        <v>0</v>
      </c>
      <c r="K626" t="n">
        <v>0</v>
      </c>
      <c r="L626" t="n">
        <v>0</v>
      </c>
      <c r="M626" t="n">
        <v>0</v>
      </c>
      <c r="N626" t="n">
        <v>0</v>
      </c>
      <c r="O626" t="n">
        <v>0</v>
      </c>
      <c r="P626" t="n">
        <v>0</v>
      </c>
      <c r="Q626" t="n">
        <v>0</v>
      </c>
      <c r="R626" s="2" t="inlineStr"/>
    </row>
    <row r="627" ht="15" customHeight="1">
      <c r="A627" t="inlineStr">
        <is>
          <t>A 58993-2022</t>
        </is>
      </c>
      <c r="B627" s="1" t="n">
        <v>44903</v>
      </c>
      <c r="C627" s="1" t="n">
        <v>46154</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44311-2025</t>
        </is>
      </c>
      <c r="B628" s="1" t="n">
        <v>45916.38394675926</v>
      </c>
      <c r="C628" s="1" t="n">
        <v>46154</v>
      </c>
      <c r="D628" t="inlineStr">
        <is>
          <t>STOCKHOLMS LÄN</t>
        </is>
      </c>
      <c r="E628" t="inlineStr">
        <is>
          <t>NORRTÄLJE</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44349-2025</t>
        </is>
      </c>
      <c r="B629" s="1" t="n">
        <v>45916.43929398148</v>
      </c>
      <c r="C629" s="1" t="n">
        <v>46154</v>
      </c>
      <c r="D629" t="inlineStr">
        <is>
          <t>STOCKHOLMS LÄN</t>
        </is>
      </c>
      <c r="E629" t="inlineStr">
        <is>
          <t>NORRTÄLJE</t>
        </is>
      </c>
      <c r="G629" t="n">
        <v>3.5</v>
      </c>
      <c r="H629" t="n">
        <v>0</v>
      </c>
      <c r="I629" t="n">
        <v>0</v>
      </c>
      <c r="J629" t="n">
        <v>0</v>
      </c>
      <c r="K629" t="n">
        <v>0</v>
      </c>
      <c r="L629" t="n">
        <v>0</v>
      </c>
      <c r="M629" t="n">
        <v>0</v>
      </c>
      <c r="N629" t="n">
        <v>0</v>
      </c>
      <c r="O629" t="n">
        <v>0</v>
      </c>
      <c r="P629" t="n">
        <v>0</v>
      </c>
      <c r="Q629" t="n">
        <v>0</v>
      </c>
      <c r="R629" s="2" t="inlineStr"/>
    </row>
    <row r="630" ht="15" customHeight="1">
      <c r="A630" t="inlineStr">
        <is>
          <t>A 39905-2023</t>
        </is>
      </c>
      <c r="B630" s="1" t="n">
        <v>45168.44489583333</v>
      </c>
      <c r="C630" s="1" t="n">
        <v>46154</v>
      </c>
      <c r="D630" t="inlineStr">
        <is>
          <t>STOCKHOLMS LÄN</t>
        </is>
      </c>
      <c r="E630" t="inlineStr">
        <is>
          <t>NORRTÄLJE</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33793-2022</t>
        </is>
      </c>
      <c r="B631" s="1" t="n">
        <v>44790</v>
      </c>
      <c r="C631" s="1" t="n">
        <v>46154</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44354-2025</t>
        </is>
      </c>
      <c r="B632" s="1" t="n">
        <v>45916.44655092592</v>
      </c>
      <c r="C632" s="1" t="n">
        <v>46154</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17304-2024</t>
        </is>
      </c>
      <c r="B633" s="1" t="n">
        <v>45414</v>
      </c>
      <c r="C633" s="1" t="n">
        <v>46154</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16852-2024</t>
        </is>
      </c>
      <c r="B634" s="1" t="n">
        <v>45411.54768518519</v>
      </c>
      <c r="C634" s="1" t="n">
        <v>46154</v>
      </c>
      <c r="D634" t="inlineStr">
        <is>
          <t>STOCKHOLMS LÄN</t>
        </is>
      </c>
      <c r="E634" t="inlineStr">
        <is>
          <t>NORRTÄLJE</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4326-2023</t>
        </is>
      </c>
      <c r="B635" s="1" t="n">
        <v>44953.70481481482</v>
      </c>
      <c r="C635" s="1" t="n">
        <v>46154</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33385-2024</t>
        </is>
      </c>
      <c r="B636" s="1" t="n">
        <v>45519</v>
      </c>
      <c r="C636" s="1" t="n">
        <v>46154</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29714-2023</t>
        </is>
      </c>
      <c r="B637" s="1" t="n">
        <v>45107.42538194444</v>
      </c>
      <c r="C637" s="1" t="n">
        <v>46154</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12234-2026</t>
        </is>
      </c>
      <c r="B638" s="1" t="n">
        <v>46087.4091087963</v>
      </c>
      <c r="C638" s="1" t="n">
        <v>46154</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30508-2023</t>
        </is>
      </c>
      <c r="B639" s="1" t="n">
        <v>45111</v>
      </c>
      <c r="C639" s="1" t="n">
        <v>46154</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37261-2025</t>
        </is>
      </c>
      <c r="B640" s="1" t="n">
        <v>45876.45253472222</v>
      </c>
      <c r="C640" s="1" t="n">
        <v>46154</v>
      </c>
      <c r="D640" t="inlineStr">
        <is>
          <t>STOCKHOLMS LÄN</t>
        </is>
      </c>
      <c r="E640" t="inlineStr">
        <is>
          <t>NORRTÄLJE</t>
        </is>
      </c>
      <c r="F640" t="inlineStr">
        <is>
          <t>Kommuner</t>
        </is>
      </c>
      <c r="G640" t="n">
        <v>2.2</v>
      </c>
      <c r="H640" t="n">
        <v>0</v>
      </c>
      <c r="I640" t="n">
        <v>0</v>
      </c>
      <c r="J640" t="n">
        <v>0</v>
      </c>
      <c r="K640" t="n">
        <v>0</v>
      </c>
      <c r="L640" t="n">
        <v>0</v>
      </c>
      <c r="M640" t="n">
        <v>0</v>
      </c>
      <c r="N640" t="n">
        <v>0</v>
      </c>
      <c r="O640" t="n">
        <v>0</v>
      </c>
      <c r="P640" t="n">
        <v>0</v>
      </c>
      <c r="Q640" t="n">
        <v>0</v>
      </c>
      <c r="R640" s="2" t="inlineStr"/>
    </row>
    <row r="641" ht="15" customHeight="1">
      <c r="A641" t="inlineStr">
        <is>
          <t>A 44333-2025</t>
        </is>
      </c>
      <c r="B641" s="1" t="n">
        <v>45916.42293981482</v>
      </c>
      <c r="C641" s="1" t="n">
        <v>46154</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20692-2025</t>
        </is>
      </c>
      <c r="B642" s="1" t="n">
        <v>45776.46369212963</v>
      </c>
      <c r="C642" s="1" t="n">
        <v>46154</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19170-2026</t>
        </is>
      </c>
      <c r="B643" s="1" t="n">
        <v>46132.5859837963</v>
      </c>
      <c r="C643" s="1" t="n">
        <v>46154</v>
      </c>
      <c r="D643" t="inlineStr">
        <is>
          <t>STOCKHOLMS LÄN</t>
        </is>
      </c>
      <c r="E643" t="inlineStr">
        <is>
          <t>NORRTÄLJE</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46071-2024</t>
        </is>
      </c>
      <c r="B644" s="1" t="n">
        <v>45581</v>
      </c>
      <c r="C644" s="1" t="n">
        <v>46154</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44306-2025</t>
        </is>
      </c>
      <c r="B645" s="1" t="n">
        <v>45916.37736111111</v>
      </c>
      <c r="C645" s="1" t="n">
        <v>46154</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29369-2024</t>
        </is>
      </c>
      <c r="B646" s="1" t="n">
        <v>45483.57244212963</v>
      </c>
      <c r="C646" s="1" t="n">
        <v>46154</v>
      </c>
      <c r="D646" t="inlineStr">
        <is>
          <t>STOCKHOLMS LÄN</t>
        </is>
      </c>
      <c r="E646" t="inlineStr">
        <is>
          <t>NORRTÄLJE</t>
        </is>
      </c>
      <c r="G646" t="n">
        <v>15.9</v>
      </c>
      <c r="H646" t="n">
        <v>0</v>
      </c>
      <c r="I646" t="n">
        <v>0</v>
      </c>
      <c r="J646" t="n">
        <v>0</v>
      </c>
      <c r="K646" t="n">
        <v>0</v>
      </c>
      <c r="L646" t="n">
        <v>0</v>
      </c>
      <c r="M646" t="n">
        <v>0</v>
      </c>
      <c r="N646" t="n">
        <v>0</v>
      </c>
      <c r="O646" t="n">
        <v>0</v>
      </c>
      <c r="P646" t="n">
        <v>0</v>
      </c>
      <c r="Q646" t="n">
        <v>0</v>
      </c>
      <c r="R646" s="2" t="inlineStr"/>
    </row>
    <row r="647" ht="15" customHeight="1">
      <c r="A647" t="inlineStr">
        <is>
          <t>A 37630-2025</t>
        </is>
      </c>
      <c r="B647" s="1" t="n">
        <v>45880.46372685185</v>
      </c>
      <c r="C647" s="1" t="n">
        <v>46154</v>
      </c>
      <c r="D647" t="inlineStr">
        <is>
          <t>STOCKHOLMS LÄN</t>
        </is>
      </c>
      <c r="E647" t="inlineStr">
        <is>
          <t>NORRTÄLJE</t>
        </is>
      </c>
      <c r="F647" t="inlineStr">
        <is>
          <t>Sveaskog</t>
        </is>
      </c>
      <c r="G647" t="n">
        <v>12.9</v>
      </c>
      <c r="H647" t="n">
        <v>0</v>
      </c>
      <c r="I647" t="n">
        <v>0</v>
      </c>
      <c r="J647" t="n">
        <v>0</v>
      </c>
      <c r="K647" t="n">
        <v>0</v>
      </c>
      <c r="L647" t="n">
        <v>0</v>
      </c>
      <c r="M647" t="n">
        <v>0</v>
      </c>
      <c r="N647" t="n">
        <v>0</v>
      </c>
      <c r="O647" t="n">
        <v>0</v>
      </c>
      <c r="P647" t="n">
        <v>0</v>
      </c>
      <c r="Q647" t="n">
        <v>0</v>
      </c>
      <c r="R647" s="2" t="inlineStr"/>
    </row>
    <row r="648" ht="15" customHeight="1">
      <c r="A648" t="inlineStr">
        <is>
          <t>A 19129-2026</t>
        </is>
      </c>
      <c r="B648" s="1" t="n">
        <v>46132.48601851852</v>
      </c>
      <c r="C648" s="1" t="n">
        <v>46154</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12718-2026</t>
        </is>
      </c>
      <c r="B649" s="1" t="n">
        <v>46091.60412037037</v>
      </c>
      <c r="C649" s="1" t="n">
        <v>46154</v>
      </c>
      <c r="D649" t="inlineStr">
        <is>
          <t>STOCKHOLMS LÄN</t>
        </is>
      </c>
      <c r="E649" t="inlineStr">
        <is>
          <t>NORRTÄLJE</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37632-2025</t>
        </is>
      </c>
      <c r="B650" s="1" t="n">
        <v>45880.46524305556</v>
      </c>
      <c r="C650" s="1" t="n">
        <v>46154</v>
      </c>
      <c r="D650" t="inlineStr">
        <is>
          <t>STOCKHOLMS LÄN</t>
        </is>
      </c>
      <c r="E650" t="inlineStr">
        <is>
          <t>NORRTÄLJE</t>
        </is>
      </c>
      <c r="F650" t="inlineStr">
        <is>
          <t>Sveaskog</t>
        </is>
      </c>
      <c r="G650" t="n">
        <v>6.4</v>
      </c>
      <c r="H650" t="n">
        <v>0</v>
      </c>
      <c r="I650" t="n">
        <v>0</v>
      </c>
      <c r="J650" t="n">
        <v>0</v>
      </c>
      <c r="K650" t="n">
        <v>0</v>
      </c>
      <c r="L650" t="n">
        <v>0</v>
      </c>
      <c r="M650" t="n">
        <v>0</v>
      </c>
      <c r="N650" t="n">
        <v>0</v>
      </c>
      <c r="O650" t="n">
        <v>0</v>
      </c>
      <c r="P650" t="n">
        <v>0</v>
      </c>
      <c r="Q650" t="n">
        <v>0</v>
      </c>
      <c r="R650" s="2" t="inlineStr"/>
    </row>
    <row r="651" ht="15" customHeight="1">
      <c r="A651" t="inlineStr">
        <is>
          <t>A 29841-2024</t>
        </is>
      </c>
      <c r="B651" s="1" t="n">
        <v>45485.60261574074</v>
      </c>
      <c r="C651" s="1" t="n">
        <v>46154</v>
      </c>
      <c r="D651" t="inlineStr">
        <is>
          <t>STOCKHOLMS LÄN</t>
        </is>
      </c>
      <c r="E651" t="inlineStr">
        <is>
          <t>NORRTÄLJE</t>
        </is>
      </c>
      <c r="G651" t="n">
        <v>15.9</v>
      </c>
      <c r="H651" t="n">
        <v>0</v>
      </c>
      <c r="I651" t="n">
        <v>0</v>
      </c>
      <c r="J651" t="n">
        <v>0</v>
      </c>
      <c r="K651" t="n">
        <v>0</v>
      </c>
      <c r="L651" t="n">
        <v>0</v>
      </c>
      <c r="M651" t="n">
        <v>0</v>
      </c>
      <c r="N651" t="n">
        <v>0</v>
      </c>
      <c r="O651" t="n">
        <v>0</v>
      </c>
      <c r="P651" t="n">
        <v>0</v>
      </c>
      <c r="Q651" t="n">
        <v>0</v>
      </c>
      <c r="R651" s="2" t="inlineStr"/>
    </row>
    <row r="652" ht="15" customHeight="1">
      <c r="A652" t="inlineStr">
        <is>
          <t>A 8296-2023</t>
        </is>
      </c>
      <c r="B652" s="1" t="n">
        <v>44974</v>
      </c>
      <c r="C652" s="1" t="n">
        <v>46154</v>
      </c>
      <c r="D652" t="inlineStr">
        <is>
          <t>STOCKHOLMS LÄN</t>
        </is>
      </c>
      <c r="E652" t="inlineStr">
        <is>
          <t>NORRTÄLJE</t>
        </is>
      </c>
      <c r="G652" t="n">
        <v>3.8</v>
      </c>
      <c r="H652" t="n">
        <v>0</v>
      </c>
      <c r="I652" t="n">
        <v>0</v>
      </c>
      <c r="J652" t="n">
        <v>0</v>
      </c>
      <c r="K652" t="n">
        <v>0</v>
      </c>
      <c r="L652" t="n">
        <v>0</v>
      </c>
      <c r="M652" t="n">
        <v>0</v>
      </c>
      <c r="N652" t="n">
        <v>0</v>
      </c>
      <c r="O652" t="n">
        <v>0</v>
      </c>
      <c r="P652" t="n">
        <v>0</v>
      </c>
      <c r="Q652" t="n">
        <v>0</v>
      </c>
      <c r="R652" s="2" t="inlineStr"/>
    </row>
    <row r="653" ht="15" customHeight="1">
      <c r="A653" t="inlineStr">
        <is>
          <t>A 37628-2025</t>
        </is>
      </c>
      <c r="B653" s="1" t="n">
        <v>45880.46189814815</v>
      </c>
      <c r="C653" s="1" t="n">
        <v>46154</v>
      </c>
      <c r="D653" t="inlineStr">
        <is>
          <t>STOCKHOLMS LÄN</t>
        </is>
      </c>
      <c r="E653" t="inlineStr">
        <is>
          <t>NORRTÄLJE</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31236-2022</t>
        </is>
      </c>
      <c r="B654" s="1" t="n">
        <v>44771</v>
      </c>
      <c r="C654" s="1" t="n">
        <v>46154</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19352-2026</t>
        </is>
      </c>
      <c r="B655" s="1" t="n">
        <v>46133.47344907407</v>
      </c>
      <c r="C655" s="1" t="n">
        <v>46154</v>
      </c>
      <c r="D655" t="inlineStr">
        <is>
          <t>STOCKHOLMS LÄN</t>
        </is>
      </c>
      <c r="E655" t="inlineStr">
        <is>
          <t>NORRTÄLJE</t>
        </is>
      </c>
      <c r="G655" t="n">
        <v>5.5</v>
      </c>
      <c r="H655" t="n">
        <v>0</v>
      </c>
      <c r="I655" t="n">
        <v>0</v>
      </c>
      <c r="J655" t="n">
        <v>0</v>
      </c>
      <c r="K655" t="n">
        <v>0</v>
      </c>
      <c r="L655" t="n">
        <v>0</v>
      </c>
      <c r="M655" t="n">
        <v>0</v>
      </c>
      <c r="N655" t="n">
        <v>0</v>
      </c>
      <c r="O655" t="n">
        <v>0</v>
      </c>
      <c r="P655" t="n">
        <v>0</v>
      </c>
      <c r="Q655" t="n">
        <v>0</v>
      </c>
      <c r="R655" s="2" t="inlineStr"/>
    </row>
    <row r="656" ht="15" customHeight="1">
      <c r="A656" t="inlineStr">
        <is>
          <t>A 24350-2025</t>
        </is>
      </c>
      <c r="B656" s="1" t="n">
        <v>45797.58350694444</v>
      </c>
      <c r="C656" s="1" t="n">
        <v>46154</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12703-2026</t>
        </is>
      </c>
      <c r="B657" s="1" t="n">
        <v>46091.58175925926</v>
      </c>
      <c r="C657" s="1" t="n">
        <v>46154</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19358-2026</t>
        </is>
      </c>
      <c r="B658" s="1" t="n">
        <v>46133.4978125</v>
      </c>
      <c r="C658" s="1" t="n">
        <v>46154</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26703-2025</t>
        </is>
      </c>
      <c r="B659" s="1" t="n">
        <v>45810.45263888889</v>
      </c>
      <c r="C659" s="1" t="n">
        <v>46154</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52593-2024</t>
        </is>
      </c>
      <c r="B660" s="1" t="n">
        <v>45609.70778935185</v>
      </c>
      <c r="C660" s="1" t="n">
        <v>46154</v>
      </c>
      <c r="D660" t="inlineStr">
        <is>
          <t>STOCKHOLMS LÄN</t>
        </is>
      </c>
      <c r="E660" t="inlineStr">
        <is>
          <t>NORRTÄLJE</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52617-2024</t>
        </is>
      </c>
      <c r="B661" s="1" t="n">
        <v>45609.85146990741</v>
      </c>
      <c r="C661" s="1" t="n">
        <v>46154</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27824-2022</t>
        </is>
      </c>
      <c r="B662" s="1" t="n">
        <v>44743.59331018518</v>
      </c>
      <c r="C662" s="1" t="n">
        <v>46154</v>
      </c>
      <c r="D662" t="inlineStr">
        <is>
          <t>STOCKHOLMS LÄN</t>
        </is>
      </c>
      <c r="E662" t="inlineStr">
        <is>
          <t>NORRTÄLJE</t>
        </is>
      </c>
      <c r="F662" t="inlineStr">
        <is>
          <t>Kommuner</t>
        </is>
      </c>
      <c r="G662" t="n">
        <v>3.1</v>
      </c>
      <c r="H662" t="n">
        <v>0</v>
      </c>
      <c r="I662" t="n">
        <v>0</v>
      </c>
      <c r="J662" t="n">
        <v>0</v>
      </c>
      <c r="K662" t="n">
        <v>0</v>
      </c>
      <c r="L662" t="n">
        <v>0</v>
      </c>
      <c r="M662" t="n">
        <v>0</v>
      </c>
      <c r="N662" t="n">
        <v>0</v>
      </c>
      <c r="O662" t="n">
        <v>0</v>
      </c>
      <c r="P662" t="n">
        <v>0</v>
      </c>
      <c r="Q662" t="n">
        <v>0</v>
      </c>
      <c r="R662" s="2" t="inlineStr"/>
    </row>
    <row r="663" ht="15" customHeight="1">
      <c r="A663" t="inlineStr">
        <is>
          <t>A 13137-2024</t>
        </is>
      </c>
      <c r="B663" s="1" t="n">
        <v>45386.34175925926</v>
      </c>
      <c r="C663" s="1" t="n">
        <v>46154</v>
      </c>
      <c r="D663" t="inlineStr">
        <is>
          <t>STOCKHOLMS LÄN</t>
        </is>
      </c>
      <c r="E663" t="inlineStr">
        <is>
          <t>NORRTÄLJE</t>
        </is>
      </c>
      <c r="G663" t="n">
        <v>5</v>
      </c>
      <c r="H663" t="n">
        <v>0</v>
      </c>
      <c r="I663" t="n">
        <v>0</v>
      </c>
      <c r="J663" t="n">
        <v>0</v>
      </c>
      <c r="K663" t="n">
        <v>0</v>
      </c>
      <c r="L663" t="n">
        <v>0</v>
      </c>
      <c r="M663" t="n">
        <v>0</v>
      </c>
      <c r="N663" t="n">
        <v>0</v>
      </c>
      <c r="O663" t="n">
        <v>0</v>
      </c>
      <c r="P663" t="n">
        <v>0</v>
      </c>
      <c r="Q663" t="n">
        <v>0</v>
      </c>
      <c r="R663" s="2" t="inlineStr"/>
    </row>
    <row r="664" ht="15" customHeight="1">
      <c r="A664" t="inlineStr">
        <is>
          <t>A 38153-2025</t>
        </is>
      </c>
      <c r="B664" s="1" t="n">
        <v>45882.59722222222</v>
      </c>
      <c r="C664" s="1" t="n">
        <v>46154</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44937-2025</t>
        </is>
      </c>
      <c r="B665" s="1" t="n">
        <v>45918</v>
      </c>
      <c r="C665" s="1" t="n">
        <v>46154</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47521-2024</t>
        </is>
      </c>
      <c r="B666" s="1" t="n">
        <v>45587.62565972222</v>
      </c>
      <c r="C666" s="1" t="n">
        <v>46154</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13122-2026</t>
        </is>
      </c>
      <c r="B667" s="1" t="n">
        <v>46093.45657407407</v>
      </c>
      <c r="C667" s="1" t="n">
        <v>46154</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38593-2025</t>
        </is>
      </c>
      <c r="B668" s="1" t="n">
        <v>45884.48696759259</v>
      </c>
      <c r="C668" s="1" t="n">
        <v>46154</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50534-2024</t>
        </is>
      </c>
      <c r="B669" s="1" t="n">
        <v>45601.56726851852</v>
      </c>
      <c r="C669" s="1" t="n">
        <v>46154</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22359-2025</t>
        </is>
      </c>
      <c r="B670" s="1" t="n">
        <v>45786</v>
      </c>
      <c r="C670" s="1" t="n">
        <v>46154</v>
      </c>
      <c r="D670" t="inlineStr">
        <is>
          <t>STOCKHOLMS LÄN</t>
        </is>
      </c>
      <c r="E670" t="inlineStr">
        <is>
          <t>NORRTÄLJE</t>
        </is>
      </c>
      <c r="G670" t="n">
        <v>5</v>
      </c>
      <c r="H670" t="n">
        <v>0</v>
      </c>
      <c r="I670" t="n">
        <v>0</v>
      </c>
      <c r="J670" t="n">
        <v>0</v>
      </c>
      <c r="K670" t="n">
        <v>0</v>
      </c>
      <c r="L670" t="n">
        <v>0</v>
      </c>
      <c r="M670" t="n">
        <v>0</v>
      </c>
      <c r="N670" t="n">
        <v>0</v>
      </c>
      <c r="O670" t="n">
        <v>0</v>
      </c>
      <c r="P670" t="n">
        <v>0</v>
      </c>
      <c r="Q670" t="n">
        <v>0</v>
      </c>
      <c r="R670" s="2" t="inlineStr"/>
    </row>
    <row r="671" ht="15" customHeight="1">
      <c r="A671" t="inlineStr">
        <is>
          <t>A 42094-2023</t>
        </is>
      </c>
      <c r="B671" s="1" t="n">
        <v>45177.61498842593</v>
      </c>
      <c r="C671" s="1" t="n">
        <v>46154</v>
      </c>
      <c r="D671" t="inlineStr">
        <is>
          <t>STOCKHOLMS LÄN</t>
        </is>
      </c>
      <c r="E671" t="inlineStr">
        <is>
          <t>NORRTÄLJE</t>
        </is>
      </c>
      <c r="G671" t="n">
        <v>0.3</v>
      </c>
      <c r="H671" t="n">
        <v>0</v>
      </c>
      <c r="I671" t="n">
        <v>0</v>
      </c>
      <c r="J671" t="n">
        <v>0</v>
      </c>
      <c r="K671" t="n">
        <v>0</v>
      </c>
      <c r="L671" t="n">
        <v>0</v>
      </c>
      <c r="M671" t="n">
        <v>0</v>
      </c>
      <c r="N671" t="n">
        <v>0</v>
      </c>
      <c r="O671" t="n">
        <v>0</v>
      </c>
      <c r="P671" t="n">
        <v>0</v>
      </c>
      <c r="Q671" t="n">
        <v>0</v>
      </c>
      <c r="R671" s="2" t="inlineStr"/>
    </row>
    <row r="672" ht="15" customHeight="1">
      <c r="A672" t="inlineStr">
        <is>
          <t>A 58530-2024</t>
        </is>
      </c>
      <c r="B672" s="1" t="n">
        <v>45635.44788194444</v>
      </c>
      <c r="C672" s="1" t="n">
        <v>46154</v>
      </c>
      <c r="D672" t="inlineStr">
        <is>
          <t>STOCKHOLMS LÄN</t>
        </is>
      </c>
      <c r="E672" t="inlineStr">
        <is>
          <t>NORRTÄLJE</t>
        </is>
      </c>
      <c r="G672" t="n">
        <v>4.5</v>
      </c>
      <c r="H672" t="n">
        <v>0</v>
      </c>
      <c r="I672" t="n">
        <v>0</v>
      </c>
      <c r="J672" t="n">
        <v>0</v>
      </c>
      <c r="K672" t="n">
        <v>0</v>
      </c>
      <c r="L672" t="n">
        <v>0</v>
      </c>
      <c r="M672" t="n">
        <v>0</v>
      </c>
      <c r="N672" t="n">
        <v>0</v>
      </c>
      <c r="O672" t="n">
        <v>0</v>
      </c>
      <c r="P672" t="n">
        <v>0</v>
      </c>
      <c r="Q672" t="n">
        <v>0</v>
      </c>
      <c r="R672" s="2" t="inlineStr"/>
    </row>
    <row r="673" ht="15" customHeight="1">
      <c r="A673" t="inlineStr">
        <is>
          <t>A 13109-2026</t>
        </is>
      </c>
      <c r="B673" s="1" t="n">
        <v>46093.42730324074</v>
      </c>
      <c r="C673" s="1" t="n">
        <v>46154</v>
      </c>
      <c r="D673" t="inlineStr">
        <is>
          <t>STOCKHOLMS LÄN</t>
        </is>
      </c>
      <c r="E673" t="inlineStr">
        <is>
          <t>NORRTÄLJE</t>
        </is>
      </c>
      <c r="G673" t="n">
        <v>4</v>
      </c>
      <c r="H673" t="n">
        <v>0</v>
      </c>
      <c r="I673" t="n">
        <v>0</v>
      </c>
      <c r="J673" t="n">
        <v>0</v>
      </c>
      <c r="K673" t="n">
        <v>0</v>
      </c>
      <c r="L673" t="n">
        <v>0</v>
      </c>
      <c r="M673" t="n">
        <v>0</v>
      </c>
      <c r="N673" t="n">
        <v>0</v>
      </c>
      <c r="O673" t="n">
        <v>0</v>
      </c>
      <c r="P673" t="n">
        <v>0</v>
      </c>
      <c r="Q673" t="n">
        <v>0</v>
      </c>
      <c r="R673" s="2" t="inlineStr"/>
    </row>
    <row r="674" ht="15" customHeight="1">
      <c r="A674" t="inlineStr">
        <is>
          <t>A 30620-2022</t>
        </is>
      </c>
      <c r="B674" s="1" t="n">
        <v>44763.40914351852</v>
      </c>
      <c r="C674" s="1" t="n">
        <v>46154</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57602-2024</t>
        </is>
      </c>
      <c r="B675" s="1" t="n">
        <v>45630.52866898148</v>
      </c>
      <c r="C675" s="1" t="n">
        <v>46154</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67921-2021</t>
        </is>
      </c>
      <c r="B676" s="1" t="n">
        <v>44525</v>
      </c>
      <c r="C676" s="1" t="n">
        <v>46154</v>
      </c>
      <c r="D676" t="inlineStr">
        <is>
          <t>STOCKHOLMS LÄN</t>
        </is>
      </c>
      <c r="E676" t="inlineStr">
        <is>
          <t>NORRTÄLJE</t>
        </is>
      </c>
      <c r="G676" t="n">
        <v>6.3</v>
      </c>
      <c r="H676" t="n">
        <v>0</v>
      </c>
      <c r="I676" t="n">
        <v>0</v>
      </c>
      <c r="J676" t="n">
        <v>0</v>
      </c>
      <c r="K676" t="n">
        <v>0</v>
      </c>
      <c r="L676" t="n">
        <v>0</v>
      </c>
      <c r="M676" t="n">
        <v>0</v>
      </c>
      <c r="N676" t="n">
        <v>0</v>
      </c>
      <c r="O676" t="n">
        <v>0</v>
      </c>
      <c r="P676" t="n">
        <v>0</v>
      </c>
      <c r="Q676" t="n">
        <v>0</v>
      </c>
      <c r="R676" s="2" t="inlineStr"/>
    </row>
    <row r="677" ht="15" customHeight="1">
      <c r="A677" t="inlineStr">
        <is>
          <t>A 19688-2026</t>
        </is>
      </c>
      <c r="B677" s="1" t="n">
        <v>46134.67685185185</v>
      </c>
      <c r="C677" s="1" t="n">
        <v>46154</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13204-2026</t>
        </is>
      </c>
      <c r="B678" s="1" t="n">
        <v>46093.60788194444</v>
      </c>
      <c r="C678" s="1" t="n">
        <v>46154</v>
      </c>
      <c r="D678" t="inlineStr">
        <is>
          <t>STOCKHOLMS LÄN</t>
        </is>
      </c>
      <c r="E678" t="inlineStr">
        <is>
          <t>NORRTÄLJE</t>
        </is>
      </c>
      <c r="G678" t="n">
        <v>3.5</v>
      </c>
      <c r="H678" t="n">
        <v>0</v>
      </c>
      <c r="I678" t="n">
        <v>0</v>
      </c>
      <c r="J678" t="n">
        <v>0</v>
      </c>
      <c r="K678" t="n">
        <v>0</v>
      </c>
      <c r="L678" t="n">
        <v>0</v>
      </c>
      <c r="M678" t="n">
        <v>0</v>
      </c>
      <c r="N678" t="n">
        <v>0</v>
      </c>
      <c r="O678" t="n">
        <v>0</v>
      </c>
      <c r="P678" t="n">
        <v>0</v>
      </c>
      <c r="Q678" t="n">
        <v>0</v>
      </c>
      <c r="R678" s="2" t="inlineStr"/>
    </row>
    <row r="679" ht="15" customHeight="1">
      <c r="A679" t="inlineStr">
        <is>
          <t>A 11854-2025</t>
        </is>
      </c>
      <c r="B679" s="1" t="n">
        <v>45728.38924768518</v>
      </c>
      <c r="C679" s="1" t="n">
        <v>46154</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1283-2025</t>
        </is>
      </c>
      <c r="B680" s="1" t="n">
        <v>45667.49878472222</v>
      </c>
      <c r="C680" s="1" t="n">
        <v>46154</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60217-2021</t>
        </is>
      </c>
      <c r="B681" s="1" t="n">
        <v>44495.5893287037</v>
      </c>
      <c r="C681" s="1" t="n">
        <v>46154</v>
      </c>
      <c r="D681" t="inlineStr">
        <is>
          <t>STOCKHOLMS LÄN</t>
        </is>
      </c>
      <c r="E681" t="inlineStr">
        <is>
          <t>NORRTÄLJE</t>
        </is>
      </c>
      <c r="G681" t="n">
        <v>4.3</v>
      </c>
      <c r="H681" t="n">
        <v>0</v>
      </c>
      <c r="I681" t="n">
        <v>0</v>
      </c>
      <c r="J681" t="n">
        <v>0</v>
      </c>
      <c r="K681" t="n">
        <v>0</v>
      </c>
      <c r="L681" t="n">
        <v>0</v>
      </c>
      <c r="M681" t="n">
        <v>0</v>
      </c>
      <c r="N681" t="n">
        <v>0</v>
      </c>
      <c r="O681" t="n">
        <v>0</v>
      </c>
      <c r="P681" t="n">
        <v>0</v>
      </c>
      <c r="Q681" t="n">
        <v>0</v>
      </c>
      <c r="R681" s="2" t="inlineStr"/>
    </row>
    <row r="682" ht="15" customHeight="1">
      <c r="A682" t="inlineStr">
        <is>
          <t>A 19759-2026</t>
        </is>
      </c>
      <c r="B682" s="1" t="n">
        <v>46135.41234953704</v>
      </c>
      <c r="C682" s="1" t="n">
        <v>46154</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13544-2026</t>
        </is>
      </c>
      <c r="B683" s="1" t="n">
        <v>46094.68538194444</v>
      </c>
      <c r="C683" s="1" t="n">
        <v>46154</v>
      </c>
      <c r="D683" t="inlineStr">
        <is>
          <t>STOCKHOLMS LÄN</t>
        </is>
      </c>
      <c r="E683" t="inlineStr">
        <is>
          <t>NORRTÄLJE</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13545-2026</t>
        </is>
      </c>
      <c r="B684" s="1" t="n">
        <v>46094.6911574074</v>
      </c>
      <c r="C684" s="1" t="n">
        <v>46154</v>
      </c>
      <c r="D684" t="inlineStr">
        <is>
          <t>STOCKHOLMS LÄN</t>
        </is>
      </c>
      <c r="E684" t="inlineStr">
        <is>
          <t>NORRTÄLJE</t>
        </is>
      </c>
      <c r="F684" t="inlineStr">
        <is>
          <t>Holmen skog AB</t>
        </is>
      </c>
      <c r="G684" t="n">
        <v>0.8</v>
      </c>
      <c r="H684" t="n">
        <v>0</v>
      </c>
      <c r="I684" t="n">
        <v>0</v>
      </c>
      <c r="J684" t="n">
        <v>0</v>
      </c>
      <c r="K684" t="n">
        <v>0</v>
      </c>
      <c r="L684" t="n">
        <v>0</v>
      </c>
      <c r="M684" t="n">
        <v>0</v>
      </c>
      <c r="N684" t="n">
        <v>0</v>
      </c>
      <c r="O684" t="n">
        <v>0</v>
      </c>
      <c r="P684" t="n">
        <v>0</v>
      </c>
      <c r="Q684" t="n">
        <v>0</v>
      </c>
      <c r="R684" s="2" t="inlineStr"/>
    </row>
    <row r="685" ht="15" customHeight="1">
      <c r="A685" t="inlineStr">
        <is>
          <t>A 28900-2022</t>
        </is>
      </c>
      <c r="B685" s="1" t="n">
        <v>44749.55258101852</v>
      </c>
      <c r="C685" s="1" t="n">
        <v>46154</v>
      </c>
      <c r="D685" t="inlineStr">
        <is>
          <t>STOCKHOLMS LÄN</t>
        </is>
      </c>
      <c r="E685" t="inlineStr">
        <is>
          <t>NORRTÄLJE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32514-2022</t>
        </is>
      </c>
      <c r="B686" s="1" t="n">
        <v>44782</v>
      </c>
      <c r="C686" s="1" t="n">
        <v>46154</v>
      </c>
      <c r="D686" t="inlineStr">
        <is>
          <t>STOCKHOLMS LÄN</t>
        </is>
      </c>
      <c r="E686" t="inlineStr">
        <is>
          <t>NORRTÄLJE</t>
        </is>
      </c>
      <c r="G686" t="n">
        <v>5.1</v>
      </c>
      <c r="H686" t="n">
        <v>0</v>
      </c>
      <c r="I686" t="n">
        <v>0</v>
      </c>
      <c r="J686" t="n">
        <v>0</v>
      </c>
      <c r="K686" t="n">
        <v>0</v>
      </c>
      <c r="L686" t="n">
        <v>0</v>
      </c>
      <c r="M686" t="n">
        <v>0</v>
      </c>
      <c r="N686" t="n">
        <v>0</v>
      </c>
      <c r="O686" t="n">
        <v>0</v>
      </c>
      <c r="P686" t="n">
        <v>0</v>
      </c>
      <c r="Q686" t="n">
        <v>0</v>
      </c>
      <c r="R686" s="2" t="inlineStr"/>
    </row>
    <row r="687" ht="15" customHeight="1">
      <c r="A687" t="inlineStr">
        <is>
          <t>A 23125-2022</t>
        </is>
      </c>
      <c r="B687" s="1" t="n">
        <v>44719</v>
      </c>
      <c r="C687" s="1" t="n">
        <v>46154</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45697-2025</t>
        </is>
      </c>
      <c r="B688" s="1" t="n">
        <v>45923.39877314815</v>
      </c>
      <c r="C688" s="1" t="n">
        <v>46154</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13546-2026</t>
        </is>
      </c>
      <c r="B689" s="1" t="n">
        <v>46094.69196759259</v>
      </c>
      <c r="C689" s="1" t="n">
        <v>46154</v>
      </c>
      <c r="D689" t="inlineStr">
        <is>
          <t>STOCKHOLMS LÄN</t>
        </is>
      </c>
      <c r="E689" t="inlineStr">
        <is>
          <t>NORRTÄLJE</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59477-2025</t>
        </is>
      </c>
      <c r="B690" s="1" t="n">
        <v>45989.58679398148</v>
      </c>
      <c r="C690" s="1" t="n">
        <v>46154</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9329-2023</t>
        </is>
      </c>
      <c r="B691" s="1" t="n">
        <v>44980</v>
      </c>
      <c r="C691" s="1" t="n">
        <v>46154</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6855-2025</t>
        </is>
      </c>
      <c r="B692" s="1" t="n">
        <v>45700</v>
      </c>
      <c r="C692" s="1" t="n">
        <v>46154</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35256-2025</t>
        </is>
      </c>
      <c r="B693" s="1" t="n">
        <v>45853</v>
      </c>
      <c r="C693" s="1" t="n">
        <v>46154</v>
      </c>
      <c r="D693" t="inlineStr">
        <is>
          <t>STOCKHOLMS LÄN</t>
        </is>
      </c>
      <c r="E693" t="inlineStr">
        <is>
          <t>NORRTÄLJE</t>
        </is>
      </c>
      <c r="G693" t="n">
        <v>6.4</v>
      </c>
      <c r="H693" t="n">
        <v>0</v>
      </c>
      <c r="I693" t="n">
        <v>0</v>
      </c>
      <c r="J693" t="n">
        <v>0</v>
      </c>
      <c r="K693" t="n">
        <v>0</v>
      </c>
      <c r="L693" t="n">
        <v>0</v>
      </c>
      <c r="M693" t="n">
        <v>0</v>
      </c>
      <c r="N693" t="n">
        <v>0</v>
      </c>
      <c r="O693" t="n">
        <v>0</v>
      </c>
      <c r="P693" t="n">
        <v>0</v>
      </c>
      <c r="Q693" t="n">
        <v>0</v>
      </c>
      <c r="R693" s="2" t="inlineStr"/>
    </row>
    <row r="694" ht="15" customHeight="1">
      <c r="A694" t="inlineStr">
        <is>
          <t>A 14873-2025</t>
        </is>
      </c>
      <c r="B694" s="1" t="n">
        <v>45743.44953703704</v>
      </c>
      <c r="C694" s="1" t="n">
        <v>46154</v>
      </c>
      <c r="D694" t="inlineStr">
        <is>
          <t>STOCKHOLMS LÄN</t>
        </is>
      </c>
      <c r="E694" t="inlineStr">
        <is>
          <t>NORRTÄLJE</t>
        </is>
      </c>
      <c r="G694" t="n">
        <v>10.2</v>
      </c>
      <c r="H694" t="n">
        <v>0</v>
      </c>
      <c r="I694" t="n">
        <v>0</v>
      </c>
      <c r="J694" t="n">
        <v>0</v>
      </c>
      <c r="K694" t="n">
        <v>0</v>
      </c>
      <c r="L694" t="n">
        <v>0</v>
      </c>
      <c r="M694" t="n">
        <v>0</v>
      </c>
      <c r="N694" t="n">
        <v>0</v>
      </c>
      <c r="O694" t="n">
        <v>0</v>
      </c>
      <c r="P694" t="n">
        <v>0</v>
      </c>
      <c r="Q694" t="n">
        <v>0</v>
      </c>
      <c r="R694" s="2" t="inlineStr"/>
    </row>
    <row r="695" ht="15" customHeight="1">
      <c r="A695" t="inlineStr">
        <is>
          <t>A 8135-2025</t>
        </is>
      </c>
      <c r="B695" s="1" t="n">
        <v>45707.84997685185</v>
      </c>
      <c r="C695" s="1" t="n">
        <v>46154</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31936-2022</t>
        </is>
      </c>
      <c r="B696" s="1" t="n">
        <v>44777</v>
      </c>
      <c r="C696" s="1" t="n">
        <v>46154</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24887-2023</t>
        </is>
      </c>
      <c r="B697" s="1" t="n">
        <v>45085</v>
      </c>
      <c r="C697" s="1" t="n">
        <v>46154</v>
      </c>
      <c r="D697" t="inlineStr">
        <is>
          <t>STOCKHOLMS LÄN</t>
        </is>
      </c>
      <c r="E697" t="inlineStr">
        <is>
          <t>NORRTÄLJE</t>
        </is>
      </c>
      <c r="G697" t="n">
        <v>13.9</v>
      </c>
      <c r="H697" t="n">
        <v>0</v>
      </c>
      <c r="I697" t="n">
        <v>0</v>
      </c>
      <c r="J697" t="n">
        <v>0</v>
      </c>
      <c r="K697" t="n">
        <v>0</v>
      </c>
      <c r="L697" t="n">
        <v>0</v>
      </c>
      <c r="M697" t="n">
        <v>0</v>
      </c>
      <c r="N697" t="n">
        <v>0</v>
      </c>
      <c r="O697" t="n">
        <v>0</v>
      </c>
      <c r="P697" t="n">
        <v>0</v>
      </c>
      <c r="Q697" t="n">
        <v>0</v>
      </c>
      <c r="R697" s="2" t="inlineStr"/>
    </row>
    <row r="698" ht="15" customHeight="1">
      <c r="A698" t="inlineStr">
        <is>
          <t>A 56428-2023</t>
        </is>
      </c>
      <c r="B698" s="1" t="n">
        <v>45243.45289351852</v>
      </c>
      <c r="C698" s="1" t="n">
        <v>46154</v>
      </c>
      <c r="D698" t="inlineStr">
        <is>
          <t>STOCKHOLMS LÄN</t>
        </is>
      </c>
      <c r="E698" t="inlineStr">
        <is>
          <t>NORRTÄLJE</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30338-2022</t>
        </is>
      </c>
      <c r="B699" s="1" t="n">
        <v>44760</v>
      </c>
      <c r="C699" s="1" t="n">
        <v>46154</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46415-2025</t>
        </is>
      </c>
      <c r="B700" s="1" t="n">
        <v>45925.58636574074</v>
      </c>
      <c r="C700" s="1" t="n">
        <v>46154</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18541-2023</t>
        </is>
      </c>
      <c r="B701" s="1" t="n">
        <v>45042.74291666667</v>
      </c>
      <c r="C701" s="1" t="n">
        <v>46154</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32857-2021</t>
        </is>
      </c>
      <c r="B702" s="1" t="n">
        <v>44375</v>
      </c>
      <c r="C702" s="1" t="n">
        <v>46154</v>
      </c>
      <c r="D702" t="inlineStr">
        <is>
          <t>STOCKHOLMS LÄN</t>
        </is>
      </c>
      <c r="E702" t="inlineStr">
        <is>
          <t>NORRTÄLJE</t>
        </is>
      </c>
      <c r="G702" t="n">
        <v>2.9</v>
      </c>
      <c r="H702" t="n">
        <v>0</v>
      </c>
      <c r="I702" t="n">
        <v>0</v>
      </c>
      <c r="J702" t="n">
        <v>0</v>
      </c>
      <c r="K702" t="n">
        <v>0</v>
      </c>
      <c r="L702" t="n">
        <v>0</v>
      </c>
      <c r="M702" t="n">
        <v>0</v>
      </c>
      <c r="N702" t="n">
        <v>0</v>
      </c>
      <c r="O702" t="n">
        <v>0</v>
      </c>
      <c r="P702" t="n">
        <v>0</v>
      </c>
      <c r="Q702" t="n">
        <v>0</v>
      </c>
      <c r="R702" s="2" t="inlineStr"/>
    </row>
    <row r="703" ht="15" customHeight="1">
      <c r="A703" t="inlineStr">
        <is>
          <t>A 51325-2023</t>
        </is>
      </c>
      <c r="B703" s="1" t="n">
        <v>45219</v>
      </c>
      <c r="C703" s="1" t="n">
        <v>46154</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21729-2024</t>
        </is>
      </c>
      <c r="B704" s="1" t="n">
        <v>45442</v>
      </c>
      <c r="C704" s="1" t="n">
        <v>46154</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21894-2023</t>
        </is>
      </c>
      <c r="B705" s="1" t="n">
        <v>45068.51783564815</v>
      </c>
      <c r="C705" s="1" t="n">
        <v>46154</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14348-2026</t>
        </is>
      </c>
      <c r="B706" s="1" t="n">
        <v>46100.34112268518</v>
      </c>
      <c r="C706" s="1" t="n">
        <v>46154</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14475-2026</t>
        </is>
      </c>
      <c r="B707" s="1" t="n">
        <v>46100.57251157407</v>
      </c>
      <c r="C707" s="1" t="n">
        <v>46154</v>
      </c>
      <c r="D707" t="inlineStr">
        <is>
          <t>STOCKHOLMS LÄN</t>
        </is>
      </c>
      <c r="E707" t="inlineStr">
        <is>
          <t>NORRTÄLJE</t>
        </is>
      </c>
      <c r="G707" t="n">
        <v>12.3</v>
      </c>
      <c r="H707" t="n">
        <v>0</v>
      </c>
      <c r="I707" t="n">
        <v>0</v>
      </c>
      <c r="J707" t="n">
        <v>0</v>
      </c>
      <c r="K707" t="n">
        <v>0</v>
      </c>
      <c r="L707" t="n">
        <v>0</v>
      </c>
      <c r="M707" t="n">
        <v>0</v>
      </c>
      <c r="N707" t="n">
        <v>0</v>
      </c>
      <c r="O707" t="n">
        <v>0</v>
      </c>
      <c r="P707" t="n">
        <v>0</v>
      </c>
      <c r="Q707" t="n">
        <v>0</v>
      </c>
      <c r="R707" s="2" t="inlineStr"/>
    </row>
    <row r="708" ht="15" customHeight="1">
      <c r="A708" t="inlineStr">
        <is>
          <t>A 21732-2023</t>
        </is>
      </c>
      <c r="B708" s="1" t="n">
        <v>45063</v>
      </c>
      <c r="C708" s="1" t="n">
        <v>46154</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47460-2025</t>
        </is>
      </c>
      <c r="B709" s="1" t="n">
        <v>45930.66012731481</v>
      </c>
      <c r="C709" s="1" t="n">
        <v>46154</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7806-2025</t>
        </is>
      </c>
      <c r="B710" s="1" t="n">
        <v>45706.61178240741</v>
      </c>
      <c r="C710" s="1" t="n">
        <v>46154</v>
      </c>
      <c r="D710" t="inlineStr">
        <is>
          <t>STOCKHOLMS LÄN</t>
        </is>
      </c>
      <c r="E710" t="inlineStr">
        <is>
          <t>NORRTÄLJE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46900-2025</t>
        </is>
      </c>
      <c r="B711" s="1" t="n">
        <v>45929.38712962963</v>
      </c>
      <c r="C711" s="1" t="n">
        <v>46154</v>
      </c>
      <c r="D711" t="inlineStr">
        <is>
          <t>STOCKHOLMS LÄN</t>
        </is>
      </c>
      <c r="E711" t="inlineStr">
        <is>
          <t>NORRTÄLJE</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37444-2021</t>
        </is>
      </c>
      <c r="B712" s="1" t="n">
        <v>44398</v>
      </c>
      <c r="C712" s="1" t="n">
        <v>46154</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45173-2023</t>
        </is>
      </c>
      <c r="B713" s="1" t="n">
        <v>45191</v>
      </c>
      <c r="C713" s="1" t="n">
        <v>46154</v>
      </c>
      <c r="D713" t="inlineStr">
        <is>
          <t>STOCKHOLMS LÄN</t>
        </is>
      </c>
      <c r="E713" t="inlineStr">
        <is>
          <t>NORRTÄLJE</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47498-2025</t>
        </is>
      </c>
      <c r="B714" s="1" t="n">
        <v>45930.8134375</v>
      </c>
      <c r="C714" s="1" t="n">
        <v>46154</v>
      </c>
      <c r="D714" t="inlineStr">
        <is>
          <t>STOCKHOLMS LÄN</t>
        </is>
      </c>
      <c r="E714" t="inlineStr">
        <is>
          <t>NORRTÄLJE</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47496-2025</t>
        </is>
      </c>
      <c r="B715" s="1" t="n">
        <v>45930.79252314815</v>
      </c>
      <c r="C715" s="1" t="n">
        <v>46154</v>
      </c>
      <c r="D715" t="inlineStr">
        <is>
          <t>STOCKHOLMS LÄN</t>
        </is>
      </c>
      <c r="E715" t="inlineStr">
        <is>
          <t>NORRTÄLJE</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47497-2025</t>
        </is>
      </c>
      <c r="B716" s="1" t="n">
        <v>45930.80217592593</v>
      </c>
      <c r="C716" s="1" t="n">
        <v>46154</v>
      </c>
      <c r="D716" t="inlineStr">
        <is>
          <t>STOCKHOLMS LÄN</t>
        </is>
      </c>
      <c r="E716" t="inlineStr">
        <is>
          <t>NORRTÄLJE</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64137-2021</t>
        </is>
      </c>
      <c r="B717" s="1" t="n">
        <v>44510.51422453704</v>
      </c>
      <c r="C717" s="1" t="n">
        <v>46154</v>
      </c>
      <c r="D717" t="inlineStr">
        <is>
          <t>STOCKHOLMS LÄN</t>
        </is>
      </c>
      <c r="E717" t="inlineStr">
        <is>
          <t>NORRTÄLJE</t>
        </is>
      </c>
      <c r="F717" t="inlineStr">
        <is>
          <t>Holmen skog AB</t>
        </is>
      </c>
      <c r="G717" t="n">
        <v>1.5</v>
      </c>
      <c r="H717" t="n">
        <v>0</v>
      </c>
      <c r="I717" t="n">
        <v>0</v>
      </c>
      <c r="J717" t="n">
        <v>0</v>
      </c>
      <c r="K717" t="n">
        <v>0</v>
      </c>
      <c r="L717" t="n">
        <v>0</v>
      </c>
      <c r="M717" t="n">
        <v>0</v>
      </c>
      <c r="N717" t="n">
        <v>0</v>
      </c>
      <c r="O717" t="n">
        <v>0</v>
      </c>
      <c r="P717" t="n">
        <v>0</v>
      </c>
      <c r="Q717" t="n">
        <v>0</v>
      </c>
      <c r="R717" s="2" t="inlineStr"/>
    </row>
    <row r="718" ht="15" customHeight="1">
      <c r="A718" t="inlineStr">
        <is>
          <t>A 38720-2022</t>
        </is>
      </c>
      <c r="B718" s="1" t="n">
        <v>44815.74539351852</v>
      </c>
      <c r="C718" s="1" t="n">
        <v>46154</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34432-2021</t>
        </is>
      </c>
      <c r="B719" s="1" t="n">
        <v>44380.77346064815</v>
      </c>
      <c r="C719" s="1" t="n">
        <v>46154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19911-2025</t>
        </is>
      </c>
      <c r="B720" s="1" t="n">
        <v>45771</v>
      </c>
      <c r="C720" s="1" t="n">
        <v>46154</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14130-2025</t>
        </is>
      </c>
      <c r="B721" s="1" t="n">
        <v>45740.47288194444</v>
      </c>
      <c r="C721" s="1" t="n">
        <v>46154</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21753-2026</t>
        </is>
      </c>
      <c r="B722" s="1" t="n">
        <v>46149.68605324074</v>
      </c>
      <c r="C722" s="1" t="n">
        <v>46154</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17347-2026</t>
        </is>
      </c>
      <c r="B723" s="1" t="n">
        <v>46119</v>
      </c>
      <c r="C723" s="1" t="n">
        <v>46154</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12532-2025</t>
        </is>
      </c>
      <c r="B724" s="1" t="n">
        <v>45730.69143518519</v>
      </c>
      <c r="C724" s="1" t="n">
        <v>46154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40175-2024</t>
        </is>
      </c>
      <c r="B725" s="1" t="n">
        <v>45554.55707175926</v>
      </c>
      <c r="C725" s="1" t="n">
        <v>46154</v>
      </c>
      <c r="D725" t="inlineStr">
        <is>
          <t>STOCKHOLMS LÄN</t>
        </is>
      </c>
      <c r="E725" t="inlineStr">
        <is>
          <t>NORRTÄLJE</t>
        </is>
      </c>
      <c r="G725" t="n">
        <v>7.7</v>
      </c>
      <c r="H725" t="n">
        <v>0</v>
      </c>
      <c r="I725" t="n">
        <v>0</v>
      </c>
      <c r="J725" t="n">
        <v>0</v>
      </c>
      <c r="K725" t="n">
        <v>0</v>
      </c>
      <c r="L725" t="n">
        <v>0</v>
      </c>
      <c r="M725" t="n">
        <v>0</v>
      </c>
      <c r="N725" t="n">
        <v>0</v>
      </c>
      <c r="O725" t="n">
        <v>0</v>
      </c>
      <c r="P725" t="n">
        <v>0</v>
      </c>
      <c r="Q725" t="n">
        <v>0</v>
      </c>
      <c r="R725" s="2" t="inlineStr"/>
    </row>
    <row r="726" ht="15" customHeight="1">
      <c r="A726" t="inlineStr">
        <is>
          <t>A 16229-2022</t>
        </is>
      </c>
      <c r="B726" s="1" t="n">
        <v>44670.4190162037</v>
      </c>
      <c r="C726" s="1" t="n">
        <v>46154</v>
      </c>
      <c r="D726" t="inlineStr">
        <is>
          <t>STOCKHOLMS LÄN</t>
        </is>
      </c>
      <c r="E726" t="inlineStr">
        <is>
          <t>NORRTÄLJE</t>
        </is>
      </c>
      <c r="G726" t="n">
        <v>7.4</v>
      </c>
      <c r="H726" t="n">
        <v>0</v>
      </c>
      <c r="I726" t="n">
        <v>0</v>
      </c>
      <c r="J726" t="n">
        <v>0</v>
      </c>
      <c r="K726" t="n">
        <v>0</v>
      </c>
      <c r="L726" t="n">
        <v>0</v>
      </c>
      <c r="M726" t="n">
        <v>0</v>
      </c>
      <c r="N726" t="n">
        <v>0</v>
      </c>
      <c r="O726" t="n">
        <v>0</v>
      </c>
      <c r="P726" t="n">
        <v>0</v>
      </c>
      <c r="Q726" t="n">
        <v>0</v>
      </c>
      <c r="R726" s="2" t="inlineStr"/>
    </row>
    <row r="727" ht="15" customHeight="1">
      <c r="A727" t="inlineStr">
        <is>
          <t>A 46914-2022</t>
        </is>
      </c>
      <c r="B727" s="1" t="n">
        <v>44851</v>
      </c>
      <c r="C727" s="1" t="n">
        <v>46154</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48718-2025</t>
        </is>
      </c>
      <c r="B728" s="1" t="n">
        <v>45936</v>
      </c>
      <c r="C728" s="1" t="n">
        <v>46154</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20244-2025</t>
        </is>
      </c>
      <c r="B729" s="1" t="n">
        <v>45772.71221064815</v>
      </c>
      <c r="C729" s="1" t="n">
        <v>46154</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50143-2023</t>
        </is>
      </c>
      <c r="B730" s="1" t="n">
        <v>45215</v>
      </c>
      <c r="C730" s="1" t="n">
        <v>46154</v>
      </c>
      <c r="D730" t="inlineStr">
        <is>
          <t>STOCKHOLMS LÄN</t>
        </is>
      </c>
      <c r="E730" t="inlineStr">
        <is>
          <t>NORRTÄLJE</t>
        </is>
      </c>
      <c r="G730" t="n">
        <v>10.3</v>
      </c>
      <c r="H730" t="n">
        <v>0</v>
      </c>
      <c r="I730" t="n">
        <v>0</v>
      </c>
      <c r="J730" t="n">
        <v>0</v>
      </c>
      <c r="K730" t="n">
        <v>0</v>
      </c>
      <c r="L730" t="n">
        <v>0</v>
      </c>
      <c r="M730" t="n">
        <v>0</v>
      </c>
      <c r="N730" t="n">
        <v>0</v>
      </c>
      <c r="O730" t="n">
        <v>0</v>
      </c>
      <c r="P730" t="n">
        <v>0</v>
      </c>
      <c r="Q730" t="n">
        <v>0</v>
      </c>
      <c r="R730" s="2" t="inlineStr"/>
    </row>
    <row r="731" ht="15" customHeight="1">
      <c r="A731" t="inlineStr">
        <is>
          <t>A 48360-2025</t>
        </is>
      </c>
      <c r="B731" s="1" t="n">
        <v>45933.66253472222</v>
      </c>
      <c r="C731" s="1" t="n">
        <v>46154</v>
      </c>
      <c r="D731" t="inlineStr">
        <is>
          <t>STOCKHOLMS LÄN</t>
        </is>
      </c>
      <c r="E731" t="inlineStr">
        <is>
          <t>NORRTÄLJE</t>
        </is>
      </c>
      <c r="G731" t="n">
        <v>4.1</v>
      </c>
      <c r="H731" t="n">
        <v>0</v>
      </c>
      <c r="I731" t="n">
        <v>0</v>
      </c>
      <c r="J731" t="n">
        <v>0</v>
      </c>
      <c r="K731" t="n">
        <v>0</v>
      </c>
      <c r="L731" t="n">
        <v>0</v>
      </c>
      <c r="M731" t="n">
        <v>0</v>
      </c>
      <c r="N731" t="n">
        <v>0</v>
      </c>
      <c r="O731" t="n">
        <v>0</v>
      </c>
      <c r="P731" t="n">
        <v>0</v>
      </c>
      <c r="Q731" t="n">
        <v>0</v>
      </c>
      <c r="R731" s="2" t="inlineStr"/>
    </row>
    <row r="732" ht="15" customHeight="1">
      <c r="A732" t="inlineStr">
        <is>
          <t>A 48370-2025</t>
        </is>
      </c>
      <c r="B732" s="1" t="n">
        <v>45933.67854166667</v>
      </c>
      <c r="C732" s="1" t="n">
        <v>46154</v>
      </c>
      <c r="D732" t="inlineStr">
        <is>
          <t>STOCKHOLMS LÄN</t>
        </is>
      </c>
      <c r="E732" t="inlineStr">
        <is>
          <t>NORRTÄLJE</t>
        </is>
      </c>
      <c r="G732" t="n">
        <v>4.5</v>
      </c>
      <c r="H732" t="n">
        <v>0</v>
      </c>
      <c r="I732" t="n">
        <v>0</v>
      </c>
      <c r="J732" t="n">
        <v>0</v>
      </c>
      <c r="K732" t="n">
        <v>0</v>
      </c>
      <c r="L732" t="n">
        <v>0</v>
      </c>
      <c r="M732" t="n">
        <v>0</v>
      </c>
      <c r="N732" t="n">
        <v>0</v>
      </c>
      <c r="O732" t="n">
        <v>0</v>
      </c>
      <c r="P732" t="n">
        <v>0</v>
      </c>
      <c r="Q732" t="n">
        <v>0</v>
      </c>
      <c r="R732" s="2" t="inlineStr"/>
    </row>
    <row r="733" ht="15" customHeight="1">
      <c r="A733" t="inlineStr">
        <is>
          <t>A 20015-2023</t>
        </is>
      </c>
      <c r="B733" s="1" t="n">
        <v>45054</v>
      </c>
      <c r="C733" s="1" t="n">
        <v>46154</v>
      </c>
      <c r="D733" t="inlineStr">
        <is>
          <t>STOCKHOLMS LÄN</t>
        </is>
      </c>
      <c r="E733" t="inlineStr">
        <is>
          <t>NORRTÄLJE</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14937-2026</t>
        </is>
      </c>
      <c r="B734" s="1" t="n">
        <v>46104</v>
      </c>
      <c r="C734" s="1" t="n">
        <v>46154</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5027-2025</t>
        </is>
      </c>
      <c r="B735" s="1" t="n">
        <v>45691.41101851852</v>
      </c>
      <c r="C735" s="1" t="n">
        <v>46154</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17345-2026</t>
        </is>
      </c>
      <c r="B736" s="1" t="n">
        <v>46119</v>
      </c>
      <c r="C736" s="1" t="n">
        <v>46154</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8315-2025</t>
        </is>
      </c>
      <c r="B737" s="1" t="n">
        <v>45708.61761574074</v>
      </c>
      <c r="C737" s="1" t="n">
        <v>46154</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48443-2025</t>
        </is>
      </c>
      <c r="B738" s="1" t="n">
        <v>45935.55326388889</v>
      </c>
      <c r="C738" s="1" t="n">
        <v>46154</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48127-2025</t>
        </is>
      </c>
      <c r="B739" s="1" t="n">
        <v>45933.36621527778</v>
      </c>
      <c r="C739" s="1" t="n">
        <v>46154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48364-2025</t>
        </is>
      </c>
      <c r="B740" s="1" t="n">
        <v>45933.66796296297</v>
      </c>
      <c r="C740" s="1" t="n">
        <v>46154</v>
      </c>
      <c r="D740" t="inlineStr">
        <is>
          <t>STOCKHOLMS LÄN</t>
        </is>
      </c>
      <c r="E740" t="inlineStr">
        <is>
          <t>NORRTÄLJE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21818-2026</t>
        </is>
      </c>
      <c r="B741" s="1" t="n">
        <v>46150.47383101852</v>
      </c>
      <c r="C741" s="1" t="n">
        <v>46154</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21786-2026</t>
        </is>
      </c>
      <c r="B742" s="1" t="n">
        <v>46150.3862037037</v>
      </c>
      <c r="C742" s="1" t="n">
        <v>46154</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21820-2026</t>
        </is>
      </c>
      <c r="B743" s="1" t="n">
        <v>46150.4799537037</v>
      </c>
      <c r="C743" s="1" t="n">
        <v>46154</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12251-2025</t>
        </is>
      </c>
      <c r="B744" s="1" t="n">
        <v>45729.60859953704</v>
      </c>
      <c r="C744" s="1" t="n">
        <v>46154</v>
      </c>
      <c r="D744" t="inlineStr">
        <is>
          <t>STOCKHOLMS LÄN</t>
        </is>
      </c>
      <c r="E744" t="inlineStr">
        <is>
          <t>NORRTÄLJE</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48179-2025</t>
        </is>
      </c>
      <c r="B745" s="1" t="n">
        <v>45933.44907407407</v>
      </c>
      <c r="C745" s="1" t="n">
        <v>46154</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54776-2023</t>
        </is>
      </c>
      <c r="B746" s="1" t="n">
        <v>45236.46369212963</v>
      </c>
      <c r="C746" s="1" t="n">
        <v>46154</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20144-2023</t>
        </is>
      </c>
      <c r="B747" s="1" t="n">
        <v>45055.43509259259</v>
      </c>
      <c r="C747" s="1" t="n">
        <v>46154</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13314-2025</t>
        </is>
      </c>
      <c r="B748" s="1" t="n">
        <v>45735.59287037037</v>
      </c>
      <c r="C748" s="1" t="n">
        <v>46154</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23056-2023</t>
        </is>
      </c>
      <c r="B749" s="1" t="n">
        <v>45075</v>
      </c>
      <c r="C749" s="1" t="n">
        <v>46154</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48174-2025</t>
        </is>
      </c>
      <c r="B750" s="1" t="n">
        <v>45933.44230324074</v>
      </c>
      <c r="C750" s="1" t="n">
        <v>46154</v>
      </c>
      <c r="D750" t="inlineStr">
        <is>
          <t>STOCKHOLMS LÄN</t>
        </is>
      </c>
      <c r="E750" t="inlineStr">
        <is>
          <t>NORRTÄLJE</t>
        </is>
      </c>
      <c r="G750" t="n">
        <v>2.6</v>
      </c>
      <c r="H750" t="n">
        <v>0</v>
      </c>
      <c r="I750" t="n">
        <v>0</v>
      </c>
      <c r="J750" t="n">
        <v>0</v>
      </c>
      <c r="K750" t="n">
        <v>0</v>
      </c>
      <c r="L750" t="n">
        <v>0</v>
      </c>
      <c r="M750" t="n">
        <v>0</v>
      </c>
      <c r="N750" t="n">
        <v>0</v>
      </c>
      <c r="O750" t="n">
        <v>0</v>
      </c>
      <c r="P750" t="n">
        <v>0</v>
      </c>
      <c r="Q750" t="n">
        <v>0</v>
      </c>
      <c r="R750" s="2" t="inlineStr"/>
    </row>
    <row r="751" ht="15" customHeight="1">
      <c r="A751" t="inlineStr">
        <is>
          <t>A 13172-2025</t>
        </is>
      </c>
      <c r="B751" s="1" t="n">
        <v>45735.36873842592</v>
      </c>
      <c r="C751" s="1" t="n">
        <v>46154</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16243-2026</t>
        </is>
      </c>
      <c r="B752" s="1" t="n">
        <v>46111.45902777778</v>
      </c>
      <c r="C752" s="1" t="n">
        <v>46154</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48593-2025</t>
        </is>
      </c>
      <c r="B753" s="1" t="n">
        <v>45936.4627662037</v>
      </c>
      <c r="C753" s="1" t="n">
        <v>46154</v>
      </c>
      <c r="D753" t="inlineStr">
        <is>
          <t>STOCKHOLMS LÄN</t>
        </is>
      </c>
      <c r="E753" t="inlineStr">
        <is>
          <t>NORRTÄLJE</t>
        </is>
      </c>
      <c r="G753" t="n">
        <v>4.2</v>
      </c>
      <c r="H753" t="n">
        <v>0</v>
      </c>
      <c r="I753" t="n">
        <v>0</v>
      </c>
      <c r="J753" t="n">
        <v>0</v>
      </c>
      <c r="K753" t="n">
        <v>0</v>
      </c>
      <c r="L753" t="n">
        <v>0</v>
      </c>
      <c r="M753" t="n">
        <v>0</v>
      </c>
      <c r="N753" t="n">
        <v>0</v>
      </c>
      <c r="O753" t="n">
        <v>0</v>
      </c>
      <c r="P753" t="n">
        <v>0</v>
      </c>
      <c r="Q753" t="n">
        <v>0</v>
      </c>
      <c r="R753" s="2" t="inlineStr"/>
    </row>
    <row r="754" ht="15" customHeight="1">
      <c r="A754" t="inlineStr">
        <is>
          <t>A 19025-2025</t>
        </is>
      </c>
      <c r="B754" s="1" t="n">
        <v>45764.6359837963</v>
      </c>
      <c r="C754" s="1" t="n">
        <v>46154</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5867-2022</t>
        </is>
      </c>
      <c r="B755" s="1" t="n">
        <v>44596.66335648148</v>
      </c>
      <c r="C755" s="1" t="n">
        <v>46154</v>
      </c>
      <c r="D755" t="inlineStr">
        <is>
          <t>STOCKHOLMS LÄN</t>
        </is>
      </c>
      <c r="E755" t="inlineStr">
        <is>
          <t>NORRTÄLJE</t>
        </is>
      </c>
      <c r="F755" t="inlineStr">
        <is>
          <t>Naturvårdsverket</t>
        </is>
      </c>
      <c r="G755" t="n">
        <v>1.6</v>
      </c>
      <c r="H755" t="n">
        <v>0</v>
      </c>
      <c r="I755" t="n">
        <v>0</v>
      </c>
      <c r="J755" t="n">
        <v>0</v>
      </c>
      <c r="K755" t="n">
        <v>0</v>
      </c>
      <c r="L755" t="n">
        <v>0</v>
      </c>
      <c r="M755" t="n">
        <v>0</v>
      </c>
      <c r="N755" t="n">
        <v>0</v>
      </c>
      <c r="O755" t="n">
        <v>0</v>
      </c>
      <c r="P755" t="n">
        <v>0</v>
      </c>
      <c r="Q755" t="n">
        <v>0</v>
      </c>
      <c r="R755" s="2" t="inlineStr"/>
    </row>
    <row r="756" ht="15" customHeight="1">
      <c r="A756" t="inlineStr">
        <is>
          <t>A 49129-2025</t>
        </is>
      </c>
      <c r="B756" s="1" t="n">
        <v>45937.89517361111</v>
      </c>
      <c r="C756" s="1" t="n">
        <v>46154</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16229-2026</t>
        </is>
      </c>
      <c r="B757" s="1" t="n">
        <v>46111.45084490741</v>
      </c>
      <c r="C757" s="1" t="n">
        <v>46154</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73307-2021</t>
        </is>
      </c>
      <c r="B758" s="1" t="n">
        <v>44549</v>
      </c>
      <c r="C758" s="1" t="n">
        <v>46154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21780-2026</t>
        </is>
      </c>
      <c r="B759" s="1" t="n">
        <v>46150.37418981481</v>
      </c>
      <c r="C759" s="1" t="n">
        <v>46154</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21731-2023</t>
        </is>
      </c>
      <c r="B760" s="1" t="n">
        <v>45063</v>
      </c>
      <c r="C760" s="1" t="n">
        <v>46154</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21745-2023</t>
        </is>
      </c>
      <c r="B761" s="1" t="n">
        <v>45065.55917824074</v>
      </c>
      <c r="C761" s="1" t="n">
        <v>46154</v>
      </c>
      <c r="D761" t="inlineStr">
        <is>
          <t>STOCKHOLMS LÄN</t>
        </is>
      </c>
      <c r="E761" t="inlineStr">
        <is>
          <t>NORRTÄLJE</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21815-2026</t>
        </is>
      </c>
      <c r="B762" s="1" t="n">
        <v>46150.47024305556</v>
      </c>
      <c r="C762" s="1" t="n">
        <v>46154</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48780-2025</t>
        </is>
      </c>
      <c r="B763" s="1" t="n">
        <v>45937.30377314815</v>
      </c>
      <c r="C763" s="1" t="n">
        <v>46154</v>
      </c>
      <c r="D763" t="inlineStr">
        <is>
          <t>STOCKHOLMS LÄN</t>
        </is>
      </c>
      <c r="E763" t="inlineStr">
        <is>
          <t>NORRTÄLJE</t>
        </is>
      </c>
      <c r="G763" t="n">
        <v>7.7</v>
      </c>
      <c r="H763" t="n">
        <v>0</v>
      </c>
      <c r="I763" t="n">
        <v>0</v>
      </c>
      <c r="J763" t="n">
        <v>0</v>
      </c>
      <c r="K763" t="n">
        <v>0</v>
      </c>
      <c r="L763" t="n">
        <v>0</v>
      </c>
      <c r="M763" t="n">
        <v>0</v>
      </c>
      <c r="N763" t="n">
        <v>0</v>
      </c>
      <c r="O763" t="n">
        <v>0</v>
      </c>
      <c r="P763" t="n">
        <v>0</v>
      </c>
      <c r="Q763" t="n">
        <v>0</v>
      </c>
      <c r="R763" s="2" t="inlineStr"/>
    </row>
    <row r="764" ht="15" customHeight="1">
      <c r="A764" t="inlineStr">
        <is>
          <t>A 30221-2024</t>
        </is>
      </c>
      <c r="B764" s="1" t="n">
        <v>45490.45342592592</v>
      </c>
      <c r="C764" s="1" t="n">
        <v>46154</v>
      </c>
      <c r="D764" t="inlineStr">
        <is>
          <t>STOCKHOLMS LÄN</t>
        </is>
      </c>
      <c r="E764" t="inlineStr">
        <is>
          <t>NORRTÄLJE</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26365-2024</t>
        </is>
      </c>
      <c r="B765" s="1" t="n">
        <v>45469</v>
      </c>
      <c r="C765" s="1" t="n">
        <v>46154</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50602-2021</t>
        </is>
      </c>
      <c r="B766" s="1" t="n">
        <v>44459</v>
      </c>
      <c r="C766" s="1" t="n">
        <v>46154</v>
      </c>
      <c r="D766" t="inlineStr">
        <is>
          <t>STOCKHOLMS LÄN</t>
        </is>
      </c>
      <c r="E766" t="inlineStr">
        <is>
          <t>NORRTÄLJE</t>
        </is>
      </c>
      <c r="F766" t="inlineStr">
        <is>
          <t>Holmen skog AB</t>
        </is>
      </c>
      <c r="G766" t="n">
        <v>2</v>
      </c>
      <c r="H766" t="n">
        <v>0</v>
      </c>
      <c r="I766" t="n">
        <v>0</v>
      </c>
      <c r="J766" t="n">
        <v>0</v>
      </c>
      <c r="K766" t="n">
        <v>0</v>
      </c>
      <c r="L766" t="n">
        <v>0</v>
      </c>
      <c r="M766" t="n">
        <v>0</v>
      </c>
      <c r="N766" t="n">
        <v>0</v>
      </c>
      <c r="O766" t="n">
        <v>0</v>
      </c>
      <c r="P766" t="n">
        <v>0</v>
      </c>
      <c r="Q766" t="n">
        <v>0</v>
      </c>
      <c r="R766" s="2" t="inlineStr"/>
    </row>
    <row r="767" ht="15" customHeight="1">
      <c r="A767" t="inlineStr">
        <is>
          <t>A 48798-2021</t>
        </is>
      </c>
      <c r="B767" s="1" t="n">
        <v>44452</v>
      </c>
      <c r="C767" s="1" t="n">
        <v>46154</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49836-2025</t>
        </is>
      </c>
      <c r="B768" s="1" t="n">
        <v>45940.46862268518</v>
      </c>
      <c r="C768" s="1" t="n">
        <v>46154</v>
      </c>
      <c r="D768" t="inlineStr">
        <is>
          <t>STOCKHOLMS LÄN</t>
        </is>
      </c>
      <c r="E768" t="inlineStr">
        <is>
          <t>NORRTÄLJE</t>
        </is>
      </c>
      <c r="G768" t="n">
        <v>3.5</v>
      </c>
      <c r="H768" t="n">
        <v>0</v>
      </c>
      <c r="I768" t="n">
        <v>0</v>
      </c>
      <c r="J768" t="n">
        <v>0</v>
      </c>
      <c r="K768" t="n">
        <v>0</v>
      </c>
      <c r="L768" t="n">
        <v>0</v>
      </c>
      <c r="M768" t="n">
        <v>0</v>
      </c>
      <c r="N768" t="n">
        <v>0</v>
      </c>
      <c r="O768" t="n">
        <v>0</v>
      </c>
      <c r="P768" t="n">
        <v>0</v>
      </c>
      <c r="Q768" t="n">
        <v>0</v>
      </c>
      <c r="R768" s="2" t="inlineStr"/>
    </row>
    <row r="769" ht="15" customHeight="1">
      <c r="A769" t="inlineStr">
        <is>
          <t>A 30283-2022</t>
        </is>
      </c>
      <c r="B769" s="1" t="n">
        <v>44760</v>
      </c>
      <c r="C769" s="1" t="n">
        <v>46154</v>
      </c>
      <c r="D769" t="inlineStr">
        <is>
          <t>STOCKHOLMS LÄN</t>
        </is>
      </c>
      <c r="E769" t="inlineStr">
        <is>
          <t>NORRTÄLJE</t>
        </is>
      </c>
      <c r="G769" t="n">
        <v>6.2</v>
      </c>
      <c r="H769" t="n">
        <v>0</v>
      </c>
      <c r="I769" t="n">
        <v>0</v>
      </c>
      <c r="J769" t="n">
        <v>0</v>
      </c>
      <c r="K769" t="n">
        <v>0</v>
      </c>
      <c r="L769" t="n">
        <v>0</v>
      </c>
      <c r="M769" t="n">
        <v>0</v>
      </c>
      <c r="N769" t="n">
        <v>0</v>
      </c>
      <c r="O769" t="n">
        <v>0</v>
      </c>
      <c r="P769" t="n">
        <v>0</v>
      </c>
      <c r="Q769" t="n">
        <v>0</v>
      </c>
      <c r="R769" s="2" t="inlineStr"/>
    </row>
    <row r="770" ht="15" customHeight="1">
      <c r="A770" t="inlineStr">
        <is>
          <t>A 30290-2022</t>
        </is>
      </c>
      <c r="B770" s="1" t="n">
        <v>44760</v>
      </c>
      <c r="C770" s="1" t="n">
        <v>46154</v>
      </c>
      <c r="D770" t="inlineStr">
        <is>
          <t>STOCKHOLMS LÄN</t>
        </is>
      </c>
      <c r="E770" t="inlineStr">
        <is>
          <t>NORRTÄLJE</t>
        </is>
      </c>
      <c r="G770" t="n">
        <v>4.8</v>
      </c>
      <c r="H770" t="n">
        <v>0</v>
      </c>
      <c r="I770" t="n">
        <v>0</v>
      </c>
      <c r="J770" t="n">
        <v>0</v>
      </c>
      <c r="K770" t="n">
        <v>0</v>
      </c>
      <c r="L770" t="n">
        <v>0</v>
      </c>
      <c r="M770" t="n">
        <v>0</v>
      </c>
      <c r="N770" t="n">
        <v>0</v>
      </c>
      <c r="O770" t="n">
        <v>0</v>
      </c>
      <c r="P770" t="n">
        <v>0</v>
      </c>
      <c r="Q770" t="n">
        <v>0</v>
      </c>
      <c r="R770" s="2" t="inlineStr"/>
    </row>
    <row r="771" ht="15" customHeight="1">
      <c r="A771" t="inlineStr">
        <is>
          <t>A 38985-2022</t>
        </is>
      </c>
      <c r="B771" s="1" t="n">
        <v>44816</v>
      </c>
      <c r="C771" s="1" t="n">
        <v>46154</v>
      </c>
      <c r="D771" t="inlineStr">
        <is>
          <t>STOCKHOLMS LÄN</t>
        </is>
      </c>
      <c r="E771" t="inlineStr">
        <is>
          <t>NORRTÄLJE</t>
        </is>
      </c>
      <c r="G771" t="n">
        <v>10.1</v>
      </c>
      <c r="H771" t="n">
        <v>0</v>
      </c>
      <c r="I771" t="n">
        <v>0</v>
      </c>
      <c r="J771" t="n">
        <v>0</v>
      </c>
      <c r="K771" t="n">
        <v>0</v>
      </c>
      <c r="L771" t="n">
        <v>0</v>
      </c>
      <c r="M771" t="n">
        <v>0</v>
      </c>
      <c r="N771" t="n">
        <v>0</v>
      </c>
      <c r="O771" t="n">
        <v>0</v>
      </c>
      <c r="P771" t="n">
        <v>0</v>
      </c>
      <c r="Q771" t="n">
        <v>0</v>
      </c>
      <c r="R771" s="2" t="inlineStr"/>
    </row>
    <row r="772" ht="15" customHeight="1">
      <c r="A772" t="inlineStr">
        <is>
          <t>A 25625-2023</t>
        </is>
      </c>
      <c r="B772" s="1" t="n">
        <v>45089</v>
      </c>
      <c r="C772" s="1" t="n">
        <v>46154</v>
      </c>
      <c r="D772" t="inlineStr">
        <is>
          <t>STOCKHOLMS LÄN</t>
        </is>
      </c>
      <c r="E772" t="inlineStr">
        <is>
          <t>NORRTÄLJE</t>
        </is>
      </c>
      <c r="G772" t="n">
        <v>5.5</v>
      </c>
      <c r="H772" t="n">
        <v>0</v>
      </c>
      <c r="I772" t="n">
        <v>0</v>
      </c>
      <c r="J772" t="n">
        <v>0</v>
      </c>
      <c r="K772" t="n">
        <v>0</v>
      </c>
      <c r="L772" t="n">
        <v>0</v>
      </c>
      <c r="M772" t="n">
        <v>0</v>
      </c>
      <c r="N772" t="n">
        <v>0</v>
      </c>
      <c r="O772" t="n">
        <v>0</v>
      </c>
      <c r="P772" t="n">
        <v>0</v>
      </c>
      <c r="Q772" t="n">
        <v>0</v>
      </c>
      <c r="R772" s="2" t="inlineStr"/>
    </row>
    <row r="773" ht="15" customHeight="1">
      <c r="A773" t="inlineStr">
        <is>
          <t>A 50097-2025</t>
        </is>
      </c>
      <c r="B773" s="1" t="n">
        <v>45943.50207175926</v>
      </c>
      <c r="C773" s="1" t="n">
        <v>46154</v>
      </c>
      <c r="D773" t="inlineStr">
        <is>
          <t>STOCKHOLMS LÄN</t>
        </is>
      </c>
      <c r="E773" t="inlineStr">
        <is>
          <t>NORRTÄLJE</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14132-2025</t>
        </is>
      </c>
      <c r="B774" s="1" t="n">
        <v>45740.47550925926</v>
      </c>
      <c r="C774" s="1" t="n">
        <v>46154</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14133-2025</t>
        </is>
      </c>
      <c r="B775" s="1" t="n">
        <v>45740.47724537037</v>
      </c>
      <c r="C775" s="1" t="n">
        <v>46154</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7186-2024</t>
        </is>
      </c>
      <c r="B776" s="1" t="n">
        <v>45344</v>
      </c>
      <c r="C776" s="1" t="n">
        <v>46154</v>
      </c>
      <c r="D776" t="inlineStr">
        <is>
          <t>STOCKHOLMS LÄN</t>
        </is>
      </c>
      <c r="E776" t="inlineStr">
        <is>
          <t>NORRTÄLJE</t>
        </is>
      </c>
      <c r="G776" t="n">
        <v>4.9</v>
      </c>
      <c r="H776" t="n">
        <v>0</v>
      </c>
      <c r="I776" t="n">
        <v>0</v>
      </c>
      <c r="J776" t="n">
        <v>0</v>
      </c>
      <c r="K776" t="n">
        <v>0</v>
      </c>
      <c r="L776" t="n">
        <v>0</v>
      </c>
      <c r="M776" t="n">
        <v>0</v>
      </c>
      <c r="N776" t="n">
        <v>0</v>
      </c>
      <c r="O776" t="n">
        <v>0</v>
      </c>
      <c r="P776" t="n">
        <v>0</v>
      </c>
      <c r="Q776" t="n">
        <v>0</v>
      </c>
      <c r="R776" s="2" t="inlineStr"/>
    </row>
    <row r="777" ht="15" customHeight="1">
      <c r="A777" t="inlineStr">
        <is>
          <t>A 50333-2025</t>
        </is>
      </c>
      <c r="B777" s="1" t="n">
        <v>45944.47178240741</v>
      </c>
      <c r="C777" s="1" t="n">
        <v>46154</v>
      </c>
      <c r="D777" t="inlineStr">
        <is>
          <t>STOCKHOLMS LÄN</t>
        </is>
      </c>
      <c r="E777" t="inlineStr">
        <is>
          <t>NORRTÄLJE</t>
        </is>
      </c>
      <c r="G777" t="n">
        <v>4.2</v>
      </c>
      <c r="H777" t="n">
        <v>0</v>
      </c>
      <c r="I777" t="n">
        <v>0</v>
      </c>
      <c r="J777" t="n">
        <v>0</v>
      </c>
      <c r="K777" t="n">
        <v>0</v>
      </c>
      <c r="L777" t="n">
        <v>0</v>
      </c>
      <c r="M777" t="n">
        <v>0</v>
      </c>
      <c r="N777" t="n">
        <v>0</v>
      </c>
      <c r="O777" t="n">
        <v>0</v>
      </c>
      <c r="P777" t="n">
        <v>0</v>
      </c>
      <c r="Q777" t="n">
        <v>0</v>
      </c>
      <c r="R777" s="2" t="inlineStr"/>
    </row>
    <row r="778" ht="15" customHeight="1">
      <c r="A778" t="inlineStr">
        <is>
          <t>A 50563-2025</t>
        </is>
      </c>
      <c r="B778" s="1" t="n">
        <v>45944</v>
      </c>
      <c r="C778" s="1" t="n">
        <v>46154</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50327-2025</t>
        </is>
      </c>
      <c r="B779" s="1" t="n">
        <v>45944.46387731482</v>
      </c>
      <c r="C779" s="1" t="n">
        <v>46154</v>
      </c>
      <c r="D779" t="inlineStr">
        <is>
          <t>STOCKHOLMS LÄN</t>
        </is>
      </c>
      <c r="E779" t="inlineStr">
        <is>
          <t>NORRTÄLJE</t>
        </is>
      </c>
      <c r="G779" t="n">
        <v>0.3</v>
      </c>
      <c r="H779" t="n">
        <v>0</v>
      </c>
      <c r="I779" t="n">
        <v>0</v>
      </c>
      <c r="J779" t="n">
        <v>0</v>
      </c>
      <c r="K779" t="n">
        <v>0</v>
      </c>
      <c r="L779" t="n">
        <v>0</v>
      </c>
      <c r="M779" t="n">
        <v>0</v>
      </c>
      <c r="N779" t="n">
        <v>0</v>
      </c>
      <c r="O779" t="n">
        <v>0</v>
      </c>
      <c r="P779" t="n">
        <v>0</v>
      </c>
      <c r="Q779" t="n">
        <v>0</v>
      </c>
      <c r="R779" s="2" t="inlineStr"/>
    </row>
    <row r="780" ht="15" customHeight="1">
      <c r="A780" t="inlineStr">
        <is>
          <t>A 39202-2024</t>
        </is>
      </c>
      <c r="B780" s="1" t="n">
        <v>45548.72306712963</v>
      </c>
      <c r="C780" s="1" t="n">
        <v>46154</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53792-2023</t>
        </is>
      </c>
      <c r="B781" s="1" t="n">
        <v>45231.34144675926</v>
      </c>
      <c r="C781" s="1" t="n">
        <v>46154</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11280-2023</t>
        </is>
      </c>
      <c r="B782" s="1" t="n">
        <v>44992</v>
      </c>
      <c r="C782" s="1" t="n">
        <v>46154</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57442-2021</t>
        </is>
      </c>
      <c r="B783" s="1" t="n">
        <v>44483</v>
      </c>
      <c r="C783" s="1" t="n">
        <v>46154</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19952-2023</t>
        </is>
      </c>
      <c r="B784" s="1" t="n">
        <v>45054.54091435186</v>
      </c>
      <c r="C784" s="1" t="n">
        <v>46154</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19994-2023</t>
        </is>
      </c>
      <c r="B785" s="1" t="n">
        <v>45054</v>
      </c>
      <c r="C785" s="1" t="n">
        <v>46154</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29003-2023</t>
        </is>
      </c>
      <c r="B786" s="1" t="n">
        <v>45104</v>
      </c>
      <c r="C786" s="1" t="n">
        <v>46154</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51240-2025</t>
        </is>
      </c>
      <c r="B787" s="1" t="n">
        <v>45947.70420138889</v>
      </c>
      <c r="C787" s="1" t="n">
        <v>46154</v>
      </c>
      <c r="D787" t="inlineStr">
        <is>
          <t>STOCKHOLMS LÄN</t>
        </is>
      </c>
      <c r="E787" t="inlineStr">
        <is>
          <t>NORRTÄLJE</t>
        </is>
      </c>
      <c r="F787" t="inlineStr">
        <is>
          <t>Naturvårdsverket</t>
        </is>
      </c>
      <c r="G787" t="n">
        <v>3</v>
      </c>
      <c r="H787" t="n">
        <v>0</v>
      </c>
      <c r="I787" t="n">
        <v>0</v>
      </c>
      <c r="J787" t="n">
        <v>0</v>
      </c>
      <c r="K787" t="n">
        <v>0</v>
      </c>
      <c r="L787" t="n">
        <v>0</v>
      </c>
      <c r="M787" t="n">
        <v>0</v>
      </c>
      <c r="N787" t="n">
        <v>0</v>
      </c>
      <c r="O787" t="n">
        <v>0</v>
      </c>
      <c r="P787" t="n">
        <v>0</v>
      </c>
      <c r="Q787" t="n">
        <v>0</v>
      </c>
      <c r="R787" s="2" t="inlineStr"/>
    </row>
    <row r="788" ht="15" customHeight="1">
      <c r="A788" t="inlineStr">
        <is>
          <t>A 15956-2023</t>
        </is>
      </c>
      <c r="B788" s="1" t="n">
        <v>45022.61003472222</v>
      </c>
      <c r="C788" s="1" t="n">
        <v>46154</v>
      </c>
      <c r="D788" t="inlineStr">
        <is>
          <t>STOCKHOLMS LÄN</t>
        </is>
      </c>
      <c r="E788" t="inlineStr">
        <is>
          <t>NORRTÄLJE</t>
        </is>
      </c>
      <c r="G788" t="n">
        <v>2.3</v>
      </c>
      <c r="H788" t="n">
        <v>0</v>
      </c>
      <c r="I788" t="n">
        <v>0</v>
      </c>
      <c r="J788" t="n">
        <v>0</v>
      </c>
      <c r="K788" t="n">
        <v>0</v>
      </c>
      <c r="L788" t="n">
        <v>0</v>
      </c>
      <c r="M788" t="n">
        <v>0</v>
      </c>
      <c r="N788" t="n">
        <v>0</v>
      </c>
      <c r="O788" t="n">
        <v>0</v>
      </c>
      <c r="P788" t="n">
        <v>0</v>
      </c>
      <c r="Q788" t="n">
        <v>0</v>
      </c>
      <c r="R788" s="2" t="inlineStr"/>
    </row>
    <row r="789" ht="15" customHeight="1">
      <c r="A789" t="inlineStr">
        <is>
          <t>A 51121-2025</t>
        </is>
      </c>
      <c r="B789" s="1" t="n">
        <v>45947.53293981482</v>
      </c>
      <c r="C789" s="1" t="n">
        <v>46154</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51532-2025</t>
        </is>
      </c>
      <c r="B790" s="1" t="n">
        <v>45950.68297453703</v>
      </c>
      <c r="C790" s="1" t="n">
        <v>46154</v>
      </c>
      <c r="D790" t="inlineStr">
        <is>
          <t>STOCKHOLMS LÄN</t>
        </is>
      </c>
      <c r="E790" t="inlineStr">
        <is>
          <t>NORRTÄLJE</t>
        </is>
      </c>
      <c r="F790" t="inlineStr">
        <is>
          <t>Naturvårdsverket</t>
        </is>
      </c>
      <c r="G790" t="n">
        <v>17.3</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46154</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51233-2025</t>
        </is>
      </c>
      <c r="B792" s="1" t="n">
        <v>45947.68232638889</v>
      </c>
      <c r="C792" s="1" t="n">
        <v>46154</v>
      </c>
      <c r="D792" t="inlineStr">
        <is>
          <t>STOCKHOLMS LÄN</t>
        </is>
      </c>
      <c r="E792" t="inlineStr">
        <is>
          <t>NORRTÄLJE</t>
        </is>
      </c>
      <c r="F792" t="inlineStr">
        <is>
          <t>Naturvårdsverket</t>
        </is>
      </c>
      <c r="G792" t="n">
        <v>8.1</v>
      </c>
      <c r="H792" t="n">
        <v>0</v>
      </c>
      <c r="I792" t="n">
        <v>0</v>
      </c>
      <c r="J792" t="n">
        <v>0</v>
      </c>
      <c r="K792" t="n">
        <v>0</v>
      </c>
      <c r="L792" t="n">
        <v>0</v>
      </c>
      <c r="M792" t="n">
        <v>0</v>
      </c>
      <c r="N792" t="n">
        <v>0</v>
      </c>
      <c r="O792" t="n">
        <v>0</v>
      </c>
      <c r="P792" t="n">
        <v>0</v>
      </c>
      <c r="Q792" t="n">
        <v>0</v>
      </c>
      <c r="R792" s="2" t="inlineStr"/>
    </row>
    <row r="793" ht="15" customHeight="1">
      <c r="A793" t="inlineStr">
        <is>
          <t>A 51236-2025</t>
        </is>
      </c>
      <c r="B793" s="1" t="n">
        <v>45947.69078703703</v>
      </c>
      <c r="C793" s="1" t="n">
        <v>46154</v>
      </c>
      <c r="D793" t="inlineStr">
        <is>
          <t>STOCKHOLMS LÄN</t>
        </is>
      </c>
      <c r="E793" t="inlineStr">
        <is>
          <t>NORRTÄLJE</t>
        </is>
      </c>
      <c r="F793" t="inlineStr">
        <is>
          <t>Naturvårdsverket</t>
        </is>
      </c>
      <c r="G793" t="n">
        <v>6.3</v>
      </c>
      <c r="H793" t="n">
        <v>0</v>
      </c>
      <c r="I793" t="n">
        <v>0</v>
      </c>
      <c r="J793" t="n">
        <v>0</v>
      </c>
      <c r="K793" t="n">
        <v>0</v>
      </c>
      <c r="L793" t="n">
        <v>0</v>
      </c>
      <c r="M793" t="n">
        <v>0</v>
      </c>
      <c r="N793" t="n">
        <v>0</v>
      </c>
      <c r="O793" t="n">
        <v>0</v>
      </c>
      <c r="P793" t="n">
        <v>0</v>
      </c>
      <c r="Q793" t="n">
        <v>0</v>
      </c>
      <c r="R793" s="2" t="inlineStr"/>
    </row>
    <row r="794" ht="15" customHeight="1">
      <c r="A794" t="inlineStr">
        <is>
          <t>A 51241-2025</t>
        </is>
      </c>
      <c r="B794" s="1" t="n">
        <v>45947.71726851852</v>
      </c>
      <c r="C794" s="1" t="n">
        <v>46154</v>
      </c>
      <c r="D794" t="inlineStr">
        <is>
          <t>STOCKHOLMS LÄN</t>
        </is>
      </c>
      <c r="E794" t="inlineStr">
        <is>
          <t>NORRTÄLJE</t>
        </is>
      </c>
      <c r="F794" t="inlineStr">
        <is>
          <t>Naturvårdsverket</t>
        </is>
      </c>
      <c r="G794" t="n">
        <v>6.4</v>
      </c>
      <c r="H794" t="n">
        <v>0</v>
      </c>
      <c r="I794" t="n">
        <v>0</v>
      </c>
      <c r="J794" t="n">
        <v>0</v>
      </c>
      <c r="K794" t="n">
        <v>0</v>
      </c>
      <c r="L794" t="n">
        <v>0</v>
      </c>
      <c r="M794" t="n">
        <v>0</v>
      </c>
      <c r="N794" t="n">
        <v>0</v>
      </c>
      <c r="O794" t="n">
        <v>0</v>
      </c>
      <c r="P794" t="n">
        <v>0</v>
      </c>
      <c r="Q794" t="n">
        <v>0</v>
      </c>
      <c r="R794" s="2" t="inlineStr"/>
    </row>
    <row r="795" ht="15" customHeight="1">
      <c r="A795" t="inlineStr">
        <is>
          <t>A 3383-2023</t>
        </is>
      </c>
      <c r="B795" s="1" t="n">
        <v>44949</v>
      </c>
      <c r="C795" s="1" t="n">
        <v>46154</v>
      </c>
      <c r="D795" t="inlineStr">
        <is>
          <t>STOCKHOLMS LÄN</t>
        </is>
      </c>
      <c r="E795" t="inlineStr">
        <is>
          <t>NORRTÄLJE</t>
        </is>
      </c>
      <c r="G795" t="n">
        <v>14.6</v>
      </c>
      <c r="H795" t="n">
        <v>0</v>
      </c>
      <c r="I795" t="n">
        <v>0</v>
      </c>
      <c r="J795" t="n">
        <v>0</v>
      </c>
      <c r="K795" t="n">
        <v>0</v>
      </c>
      <c r="L795" t="n">
        <v>0</v>
      </c>
      <c r="M795" t="n">
        <v>0</v>
      </c>
      <c r="N795" t="n">
        <v>0</v>
      </c>
      <c r="O795" t="n">
        <v>0</v>
      </c>
      <c r="P795" t="n">
        <v>0</v>
      </c>
      <c r="Q795" t="n">
        <v>0</v>
      </c>
      <c r="R795" s="2" t="inlineStr"/>
    </row>
    <row r="796" ht="15" customHeight="1">
      <c r="A796" t="inlineStr">
        <is>
          <t>A 51122-2025</t>
        </is>
      </c>
      <c r="B796" s="1" t="n">
        <v>45947.53693287037</v>
      </c>
      <c r="C796" s="1" t="n">
        <v>46154</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4316-2023</t>
        </is>
      </c>
      <c r="B797" s="1" t="n">
        <v>44953.67443287037</v>
      </c>
      <c r="C797" s="1" t="n">
        <v>46154</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5839-2023</t>
        </is>
      </c>
      <c r="B798" s="1" t="n">
        <v>44963</v>
      </c>
      <c r="C798" s="1" t="n">
        <v>46154</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5804-2025</t>
        </is>
      </c>
      <c r="B799" s="1" t="n">
        <v>45694.68207175926</v>
      </c>
      <c r="C799" s="1" t="n">
        <v>46154</v>
      </c>
      <c r="D799" t="inlineStr">
        <is>
          <t>STOCKHOLMS LÄN</t>
        </is>
      </c>
      <c r="E799" t="inlineStr">
        <is>
          <t>NORRTÄLJE</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51945-2025</t>
        </is>
      </c>
      <c r="B800" s="1" t="n">
        <v>45952.52679398148</v>
      </c>
      <c r="C800" s="1" t="n">
        <v>46154</v>
      </c>
      <c r="D800" t="inlineStr">
        <is>
          <t>STOCKHOLMS LÄN</t>
        </is>
      </c>
      <c r="E800" t="inlineStr">
        <is>
          <t>NORRTÄLJE</t>
        </is>
      </c>
      <c r="G800" t="n">
        <v>7</v>
      </c>
      <c r="H800" t="n">
        <v>0</v>
      </c>
      <c r="I800" t="n">
        <v>0</v>
      </c>
      <c r="J800" t="n">
        <v>0</v>
      </c>
      <c r="K800" t="n">
        <v>0</v>
      </c>
      <c r="L800" t="n">
        <v>0</v>
      </c>
      <c r="M800" t="n">
        <v>0</v>
      </c>
      <c r="N800" t="n">
        <v>0</v>
      </c>
      <c r="O800" t="n">
        <v>0</v>
      </c>
      <c r="P800" t="n">
        <v>0</v>
      </c>
      <c r="Q800" t="n">
        <v>0</v>
      </c>
      <c r="R800" s="2" t="inlineStr"/>
    </row>
    <row r="801" ht="15" customHeight="1">
      <c r="A801" t="inlineStr">
        <is>
          <t>A 24705-2023</t>
        </is>
      </c>
      <c r="B801" s="1" t="n">
        <v>45084.54459490741</v>
      </c>
      <c r="C801" s="1" t="n">
        <v>46154</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51941-2025</t>
        </is>
      </c>
      <c r="B802" s="1" t="n">
        <v>45952.52261574074</v>
      </c>
      <c r="C802" s="1" t="n">
        <v>46154</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52061-2025</t>
        </is>
      </c>
      <c r="B803" s="1" t="n">
        <v>45952.63679398148</v>
      </c>
      <c r="C803" s="1" t="n">
        <v>46154</v>
      </c>
      <c r="D803" t="inlineStr">
        <is>
          <t>STOCKHOLMS LÄN</t>
        </is>
      </c>
      <c r="E803" t="inlineStr">
        <is>
          <t>NORRTÄLJE</t>
        </is>
      </c>
      <c r="G803" t="n">
        <v>9.5</v>
      </c>
      <c r="H803" t="n">
        <v>0</v>
      </c>
      <c r="I803" t="n">
        <v>0</v>
      </c>
      <c r="J803" t="n">
        <v>0</v>
      </c>
      <c r="K803" t="n">
        <v>0</v>
      </c>
      <c r="L803" t="n">
        <v>0</v>
      </c>
      <c r="M803" t="n">
        <v>0</v>
      </c>
      <c r="N803" t="n">
        <v>0</v>
      </c>
      <c r="O803" t="n">
        <v>0</v>
      </c>
      <c r="P803" t="n">
        <v>0</v>
      </c>
      <c r="Q803" t="n">
        <v>0</v>
      </c>
      <c r="R803" s="2" t="inlineStr"/>
    </row>
    <row r="804" ht="15" customHeight="1">
      <c r="A804" t="inlineStr">
        <is>
          <t>A 51960-2025</t>
        </is>
      </c>
      <c r="B804" s="1" t="n">
        <v>45952.54755787037</v>
      </c>
      <c r="C804" s="1" t="n">
        <v>46154</v>
      </c>
      <c r="D804" t="inlineStr">
        <is>
          <t>STOCKHOLMS LÄN</t>
        </is>
      </c>
      <c r="E804" t="inlineStr">
        <is>
          <t>NORRTÄLJE</t>
        </is>
      </c>
      <c r="G804" t="n">
        <v>2</v>
      </c>
      <c r="H804" t="n">
        <v>0</v>
      </c>
      <c r="I804" t="n">
        <v>0</v>
      </c>
      <c r="J804" t="n">
        <v>0</v>
      </c>
      <c r="K804" t="n">
        <v>0</v>
      </c>
      <c r="L804" t="n">
        <v>0</v>
      </c>
      <c r="M804" t="n">
        <v>0</v>
      </c>
      <c r="N804" t="n">
        <v>0</v>
      </c>
      <c r="O804" t="n">
        <v>0</v>
      </c>
      <c r="P804" t="n">
        <v>0</v>
      </c>
      <c r="Q804" t="n">
        <v>0</v>
      </c>
      <c r="R804" s="2" t="inlineStr"/>
    </row>
    <row r="805" ht="15" customHeight="1">
      <c r="A805" t="inlineStr">
        <is>
          <t>A 51789-2025</t>
        </is>
      </c>
      <c r="B805" s="1" t="n">
        <v>45951.68046296296</v>
      </c>
      <c r="C805" s="1" t="n">
        <v>46154</v>
      </c>
      <c r="D805" t="inlineStr">
        <is>
          <t>STOCKHOLMS LÄN</t>
        </is>
      </c>
      <c r="E805" t="inlineStr">
        <is>
          <t>NORRTÄLJE</t>
        </is>
      </c>
      <c r="F805" t="inlineStr">
        <is>
          <t>Naturvårdsverket</t>
        </is>
      </c>
      <c r="G805" t="n">
        <v>8.9</v>
      </c>
      <c r="H805" t="n">
        <v>0</v>
      </c>
      <c r="I805" t="n">
        <v>0</v>
      </c>
      <c r="J805" t="n">
        <v>0</v>
      </c>
      <c r="K805" t="n">
        <v>0</v>
      </c>
      <c r="L805" t="n">
        <v>0</v>
      </c>
      <c r="M805" t="n">
        <v>0</v>
      </c>
      <c r="N805" t="n">
        <v>0</v>
      </c>
      <c r="O805" t="n">
        <v>0</v>
      </c>
      <c r="P805" t="n">
        <v>0</v>
      </c>
      <c r="Q805" t="n">
        <v>0</v>
      </c>
      <c r="R805" s="2" t="inlineStr"/>
    </row>
    <row r="806" ht="15" customHeight="1">
      <c r="A806" t="inlineStr">
        <is>
          <t>A 54358-2022</t>
        </is>
      </c>
      <c r="B806" s="1" t="n">
        <v>44882</v>
      </c>
      <c r="C806" s="1" t="n">
        <v>46154</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23749-2024</t>
        </is>
      </c>
      <c r="B807" s="1" t="n">
        <v>45455.33037037037</v>
      </c>
      <c r="C807" s="1" t="n">
        <v>46154</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52529-2025</t>
        </is>
      </c>
      <c r="B808" s="1" t="n">
        <v>45954.53229166667</v>
      </c>
      <c r="C808" s="1" t="n">
        <v>46154</v>
      </c>
      <c r="D808" t="inlineStr">
        <is>
          <t>STOCKHOLMS LÄN</t>
        </is>
      </c>
      <c r="E808" t="inlineStr">
        <is>
          <t>NORRTÄLJE</t>
        </is>
      </c>
      <c r="F808" t="inlineStr">
        <is>
          <t>Sveaskog</t>
        </is>
      </c>
      <c r="G808" t="n">
        <v>7.8</v>
      </c>
      <c r="H808" t="n">
        <v>0</v>
      </c>
      <c r="I808" t="n">
        <v>0</v>
      </c>
      <c r="J808" t="n">
        <v>0</v>
      </c>
      <c r="K808" t="n">
        <v>0</v>
      </c>
      <c r="L808" t="n">
        <v>0</v>
      </c>
      <c r="M808" t="n">
        <v>0</v>
      </c>
      <c r="N808" t="n">
        <v>0</v>
      </c>
      <c r="O808" t="n">
        <v>0</v>
      </c>
      <c r="P808" t="n">
        <v>0</v>
      </c>
      <c r="Q808" t="n">
        <v>0</v>
      </c>
      <c r="R808" s="2" t="inlineStr"/>
    </row>
    <row r="809" ht="15" customHeight="1">
      <c r="A809" t="inlineStr">
        <is>
          <t>A 35698-2023</t>
        </is>
      </c>
      <c r="B809" s="1" t="n">
        <v>45147</v>
      </c>
      <c r="C809" s="1" t="n">
        <v>46154</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52251-2025</t>
        </is>
      </c>
      <c r="B810" s="1" t="n">
        <v>45953.49185185185</v>
      </c>
      <c r="C810" s="1" t="n">
        <v>46154</v>
      </c>
      <c r="D810" t="inlineStr">
        <is>
          <t>STOCKHOLMS LÄN</t>
        </is>
      </c>
      <c r="E810" t="inlineStr">
        <is>
          <t>NORRTÄLJE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52254-2025</t>
        </is>
      </c>
      <c r="B811" s="1" t="n">
        <v>45953.49519675926</v>
      </c>
      <c r="C811" s="1" t="n">
        <v>46154</v>
      </c>
      <c r="D811" t="inlineStr">
        <is>
          <t>STOCKHOLMS LÄN</t>
        </is>
      </c>
      <c r="E811" t="inlineStr">
        <is>
          <t>NORRTÄLJE</t>
        </is>
      </c>
      <c r="G811" t="n">
        <v>2.2</v>
      </c>
      <c r="H811" t="n">
        <v>0</v>
      </c>
      <c r="I811" t="n">
        <v>0</v>
      </c>
      <c r="J811" t="n">
        <v>0</v>
      </c>
      <c r="K811" t="n">
        <v>0</v>
      </c>
      <c r="L811" t="n">
        <v>0</v>
      </c>
      <c r="M811" t="n">
        <v>0</v>
      </c>
      <c r="N811" t="n">
        <v>0</v>
      </c>
      <c r="O811" t="n">
        <v>0</v>
      </c>
      <c r="P811" t="n">
        <v>0</v>
      </c>
      <c r="Q811" t="n">
        <v>0</v>
      </c>
      <c r="R811" s="2" t="inlineStr"/>
    </row>
    <row r="812" ht="15" customHeight="1">
      <c r="A812" t="inlineStr">
        <is>
          <t>A 52526-2025</t>
        </is>
      </c>
      <c r="B812" s="1" t="n">
        <v>45954.53061342592</v>
      </c>
      <c r="C812" s="1" t="n">
        <v>46154</v>
      </c>
      <c r="D812" t="inlineStr">
        <is>
          <t>STOCKHOLMS LÄN</t>
        </is>
      </c>
      <c r="E812" t="inlineStr">
        <is>
          <t>NORRTÄLJE</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73992-2021</t>
        </is>
      </c>
      <c r="B813" s="1" t="n">
        <v>44556</v>
      </c>
      <c r="C813" s="1" t="n">
        <v>46154</v>
      </c>
      <c r="D813" t="inlineStr">
        <is>
          <t>STOCKHOLMS LÄN</t>
        </is>
      </c>
      <c r="E813" t="inlineStr">
        <is>
          <t>NORRTÄLJE</t>
        </is>
      </c>
      <c r="G813" t="n">
        <v>12.5</v>
      </c>
      <c r="H813" t="n">
        <v>0</v>
      </c>
      <c r="I813" t="n">
        <v>0</v>
      </c>
      <c r="J813" t="n">
        <v>0</v>
      </c>
      <c r="K813" t="n">
        <v>0</v>
      </c>
      <c r="L813" t="n">
        <v>0</v>
      </c>
      <c r="M813" t="n">
        <v>0</v>
      </c>
      <c r="N813" t="n">
        <v>0</v>
      </c>
      <c r="O813" t="n">
        <v>0</v>
      </c>
      <c r="P813" t="n">
        <v>0</v>
      </c>
      <c r="Q813" t="n">
        <v>0</v>
      </c>
      <c r="R813" s="2" t="inlineStr"/>
    </row>
    <row r="814" ht="15" customHeight="1">
      <c r="A814" t="inlineStr">
        <is>
          <t>A 21329-2022</t>
        </is>
      </c>
      <c r="B814" s="1" t="n">
        <v>44705.60626157407</v>
      </c>
      <c r="C814" s="1" t="n">
        <v>46154</v>
      </c>
      <c r="D814" t="inlineStr">
        <is>
          <t>STOCKHOLMS LÄN</t>
        </is>
      </c>
      <c r="E814" t="inlineStr">
        <is>
          <t>NORRTÄLJE</t>
        </is>
      </c>
      <c r="G814" t="n">
        <v>4.1</v>
      </c>
      <c r="H814" t="n">
        <v>0</v>
      </c>
      <c r="I814" t="n">
        <v>0</v>
      </c>
      <c r="J814" t="n">
        <v>0</v>
      </c>
      <c r="K814" t="n">
        <v>0</v>
      </c>
      <c r="L814" t="n">
        <v>0</v>
      </c>
      <c r="M814" t="n">
        <v>0</v>
      </c>
      <c r="N814" t="n">
        <v>0</v>
      </c>
      <c r="O814" t="n">
        <v>0</v>
      </c>
      <c r="P814" t="n">
        <v>0</v>
      </c>
      <c r="Q814" t="n">
        <v>0</v>
      </c>
      <c r="R814" s="2" t="inlineStr"/>
    </row>
    <row r="815" ht="15" customHeight="1">
      <c r="A815" t="inlineStr">
        <is>
          <t>A 54276-2021</t>
        </is>
      </c>
      <c r="B815" s="1" t="n">
        <v>44470</v>
      </c>
      <c r="C815" s="1" t="n">
        <v>46154</v>
      </c>
      <c r="D815" t="inlineStr">
        <is>
          <t>STOCKHOLMS LÄN</t>
        </is>
      </c>
      <c r="E815" t="inlineStr">
        <is>
          <t>NORRTÄLJE</t>
        </is>
      </c>
      <c r="G815" t="n">
        <v>7.3</v>
      </c>
      <c r="H815" t="n">
        <v>0</v>
      </c>
      <c r="I815" t="n">
        <v>0</v>
      </c>
      <c r="J815" t="n">
        <v>0</v>
      </c>
      <c r="K815" t="n">
        <v>0</v>
      </c>
      <c r="L815" t="n">
        <v>0</v>
      </c>
      <c r="M815" t="n">
        <v>0</v>
      </c>
      <c r="N815" t="n">
        <v>0</v>
      </c>
      <c r="O815" t="n">
        <v>0</v>
      </c>
      <c r="P815" t="n">
        <v>0</v>
      </c>
      <c r="Q815" t="n">
        <v>0</v>
      </c>
      <c r="R815" s="2" t="inlineStr"/>
    </row>
    <row r="816" ht="15" customHeight="1">
      <c r="A816" t="inlineStr">
        <is>
          <t>A 10090-2022</t>
        </is>
      </c>
      <c r="B816" s="1" t="n">
        <v>44621</v>
      </c>
      <c r="C816" s="1" t="n">
        <v>46154</v>
      </c>
      <c r="D816" t="inlineStr">
        <is>
          <t>STOCKHOLMS LÄN</t>
        </is>
      </c>
      <c r="E816" t="inlineStr">
        <is>
          <t>NORRTÄLJE</t>
        </is>
      </c>
      <c r="G816" t="n">
        <v>5.2</v>
      </c>
      <c r="H816" t="n">
        <v>0</v>
      </c>
      <c r="I816" t="n">
        <v>0</v>
      </c>
      <c r="J816" t="n">
        <v>0</v>
      </c>
      <c r="K816" t="n">
        <v>0</v>
      </c>
      <c r="L816" t="n">
        <v>0</v>
      </c>
      <c r="M816" t="n">
        <v>0</v>
      </c>
      <c r="N816" t="n">
        <v>0</v>
      </c>
      <c r="O816" t="n">
        <v>0</v>
      </c>
      <c r="P816" t="n">
        <v>0</v>
      </c>
      <c r="Q816" t="n">
        <v>0</v>
      </c>
      <c r="R816" s="2" t="inlineStr"/>
    </row>
    <row r="817" ht="15" customHeight="1">
      <c r="A817" t="inlineStr">
        <is>
          <t>A 13785-2024</t>
        </is>
      </c>
      <c r="B817" s="1" t="n">
        <v>45391.3395949074</v>
      </c>
      <c r="C817" s="1" t="n">
        <v>46154</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51116-2022</t>
        </is>
      </c>
      <c r="B818" s="1" t="n">
        <v>44868.45741898148</v>
      </c>
      <c r="C818" s="1" t="n">
        <v>46154</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52729-2025</t>
        </is>
      </c>
      <c r="B819" s="1" t="n">
        <v>45957.3636574074</v>
      </c>
      <c r="C819" s="1" t="n">
        <v>46154</v>
      </c>
      <c r="D819" t="inlineStr">
        <is>
          <t>STOCKHOLMS LÄN</t>
        </is>
      </c>
      <c r="E819" t="inlineStr">
        <is>
          <t>NORRTÄLJE</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52777-2025</t>
        </is>
      </c>
      <c r="B820" s="1" t="n">
        <v>45957.41832175926</v>
      </c>
      <c r="C820" s="1" t="n">
        <v>46154</v>
      </c>
      <c r="D820" t="inlineStr">
        <is>
          <t>STOCKHOLMS LÄN</t>
        </is>
      </c>
      <c r="E820" t="inlineStr">
        <is>
          <t>NORRTÄLJE</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52553-2025</t>
        </is>
      </c>
      <c r="B821" s="1" t="n">
        <v>45954.5624537037</v>
      </c>
      <c r="C821" s="1" t="n">
        <v>46154</v>
      </c>
      <c r="D821" t="inlineStr">
        <is>
          <t>STOCKHOLMS LÄN</t>
        </is>
      </c>
      <c r="E821" t="inlineStr">
        <is>
          <t>NORRTÄLJE</t>
        </is>
      </c>
      <c r="G821" t="n">
        <v>4.4</v>
      </c>
      <c r="H821" t="n">
        <v>0</v>
      </c>
      <c r="I821" t="n">
        <v>0</v>
      </c>
      <c r="J821" t="n">
        <v>0</v>
      </c>
      <c r="K821" t="n">
        <v>0</v>
      </c>
      <c r="L821" t="n">
        <v>0</v>
      </c>
      <c r="M821" t="n">
        <v>0</v>
      </c>
      <c r="N821" t="n">
        <v>0</v>
      </c>
      <c r="O821" t="n">
        <v>0</v>
      </c>
      <c r="P821" t="n">
        <v>0</v>
      </c>
      <c r="Q821" t="n">
        <v>0</v>
      </c>
      <c r="R821" s="2" t="inlineStr"/>
    </row>
    <row r="822" ht="15" customHeight="1">
      <c r="A822" t="inlineStr">
        <is>
          <t>A 53087-2025</t>
        </is>
      </c>
      <c r="B822" s="1" t="n">
        <v>45958.41065972222</v>
      </c>
      <c r="C822" s="1" t="n">
        <v>46154</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29972-2024</t>
        </is>
      </c>
      <c r="B823" s="1" t="n">
        <v>45485</v>
      </c>
      <c r="C823" s="1" t="n">
        <v>46154</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52704-2025</t>
        </is>
      </c>
      <c r="B824" s="1" t="n">
        <v>45956.89097222222</v>
      </c>
      <c r="C824" s="1" t="n">
        <v>46154</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52734-2025</t>
        </is>
      </c>
      <c r="B825" s="1" t="n">
        <v>45957.3710300926</v>
      </c>
      <c r="C825" s="1" t="n">
        <v>46154</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28809-2023</t>
        </is>
      </c>
      <c r="B826" s="1" t="n">
        <v>45104</v>
      </c>
      <c r="C826" s="1" t="n">
        <v>46154</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28813-2023</t>
        </is>
      </c>
      <c r="B827" s="1" t="n">
        <v>45104</v>
      </c>
      <c r="C827" s="1" t="n">
        <v>46154</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52773-2025</t>
        </is>
      </c>
      <c r="B828" s="1" t="n">
        <v>45957.41457175926</v>
      </c>
      <c r="C828" s="1" t="n">
        <v>46154</v>
      </c>
      <c r="D828" t="inlineStr">
        <is>
          <t>STOCKHOLMS LÄN</t>
        </is>
      </c>
      <c r="E828" t="inlineStr">
        <is>
          <t>NORRTÄLJE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52776-2025</t>
        </is>
      </c>
      <c r="B829" s="1" t="n">
        <v>45957.41724537037</v>
      </c>
      <c r="C829" s="1" t="n">
        <v>46154</v>
      </c>
      <c r="D829" t="inlineStr">
        <is>
          <t>STOCKHOLMS LÄN</t>
        </is>
      </c>
      <c r="E829" t="inlineStr">
        <is>
          <t>NORRTÄLJE</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19131-2025</t>
        </is>
      </c>
      <c r="B830" s="1" t="n">
        <v>45769</v>
      </c>
      <c r="C830" s="1" t="n">
        <v>46154</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52703-2025</t>
        </is>
      </c>
      <c r="B831" s="1" t="n">
        <v>45956.88643518519</v>
      </c>
      <c r="C831" s="1" t="n">
        <v>46154</v>
      </c>
      <c r="D831" t="inlineStr">
        <is>
          <t>STOCKHOLMS LÄN</t>
        </is>
      </c>
      <c r="E831" t="inlineStr">
        <is>
          <t>NORRTÄLJE</t>
        </is>
      </c>
      <c r="G831" t="n">
        <v>4.7</v>
      </c>
      <c r="H831" t="n">
        <v>0</v>
      </c>
      <c r="I831" t="n">
        <v>0</v>
      </c>
      <c r="J831" t="n">
        <v>0</v>
      </c>
      <c r="K831" t="n">
        <v>0</v>
      </c>
      <c r="L831" t="n">
        <v>0</v>
      </c>
      <c r="M831" t="n">
        <v>0</v>
      </c>
      <c r="N831" t="n">
        <v>0</v>
      </c>
      <c r="O831" t="n">
        <v>0</v>
      </c>
      <c r="P831" t="n">
        <v>0</v>
      </c>
      <c r="Q831" t="n">
        <v>0</v>
      </c>
      <c r="R831" s="2" t="inlineStr"/>
    </row>
    <row r="832" ht="15" customHeight="1">
      <c r="A832" t="inlineStr">
        <is>
          <t>A 11929-2024</t>
        </is>
      </c>
      <c r="B832" s="1" t="n">
        <v>45376.64532407407</v>
      </c>
      <c r="C832" s="1" t="n">
        <v>46154</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64145-2021</t>
        </is>
      </c>
      <c r="B833" s="1" t="n">
        <v>44510</v>
      </c>
      <c r="C833" s="1" t="n">
        <v>46154</v>
      </c>
      <c r="D833" t="inlineStr">
        <is>
          <t>STOCKHOLMS LÄN</t>
        </is>
      </c>
      <c r="E833" t="inlineStr">
        <is>
          <t>NORRTÄLJE</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45451-2024</t>
        </is>
      </c>
      <c r="B834" s="1" t="n">
        <v>45576</v>
      </c>
      <c r="C834" s="1" t="n">
        <v>46154</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53000-2025</t>
        </is>
      </c>
      <c r="B835" s="1" t="n">
        <v>45957.74357638889</v>
      </c>
      <c r="C835" s="1" t="n">
        <v>46154</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53115-2025</t>
        </is>
      </c>
      <c r="B836" s="1" t="n">
        <v>45958.44614583333</v>
      </c>
      <c r="C836" s="1" t="n">
        <v>46154</v>
      </c>
      <c r="D836" t="inlineStr">
        <is>
          <t>STOCKHOLMS LÄN</t>
        </is>
      </c>
      <c r="E836" t="inlineStr">
        <is>
          <t>NORRTÄLJE</t>
        </is>
      </c>
      <c r="F836" t="inlineStr">
        <is>
          <t>Kyrkan</t>
        </is>
      </c>
      <c r="G836" t="n">
        <v>2.5</v>
      </c>
      <c r="H836" t="n">
        <v>0</v>
      </c>
      <c r="I836" t="n">
        <v>0</v>
      </c>
      <c r="J836" t="n">
        <v>0</v>
      </c>
      <c r="K836" t="n">
        <v>0</v>
      </c>
      <c r="L836" t="n">
        <v>0</v>
      </c>
      <c r="M836" t="n">
        <v>0</v>
      </c>
      <c r="N836" t="n">
        <v>0</v>
      </c>
      <c r="O836" t="n">
        <v>0</v>
      </c>
      <c r="P836" t="n">
        <v>0</v>
      </c>
      <c r="Q836" t="n">
        <v>0</v>
      </c>
      <c r="R836" s="2" t="inlineStr"/>
    </row>
    <row r="837" ht="15" customHeight="1">
      <c r="A837" t="inlineStr">
        <is>
          <t>A 53629-2025</t>
        </is>
      </c>
      <c r="B837" s="1" t="n">
        <v>45960.49570601852</v>
      </c>
      <c r="C837" s="1" t="n">
        <v>46154</v>
      </c>
      <c r="D837" t="inlineStr">
        <is>
          <t>STOCKHOLMS LÄN</t>
        </is>
      </c>
      <c r="E837" t="inlineStr">
        <is>
          <t>NORRTÄLJE</t>
        </is>
      </c>
      <c r="F837" t="inlineStr">
        <is>
          <t>Naturvårdsverket</t>
        </is>
      </c>
      <c r="G837" t="n">
        <v>7.9</v>
      </c>
      <c r="H837" t="n">
        <v>0</v>
      </c>
      <c r="I837" t="n">
        <v>0</v>
      </c>
      <c r="J837" t="n">
        <v>0</v>
      </c>
      <c r="K837" t="n">
        <v>0</v>
      </c>
      <c r="L837" t="n">
        <v>0</v>
      </c>
      <c r="M837" t="n">
        <v>0</v>
      </c>
      <c r="N837" t="n">
        <v>0</v>
      </c>
      <c r="O837" t="n">
        <v>0</v>
      </c>
      <c r="P837" t="n">
        <v>0</v>
      </c>
      <c r="Q837" t="n">
        <v>0</v>
      </c>
      <c r="R837" s="2" t="inlineStr"/>
    </row>
    <row r="838" ht="15" customHeight="1">
      <c r="A838" t="inlineStr">
        <is>
          <t>A 53747-2025</t>
        </is>
      </c>
      <c r="B838" s="1" t="n">
        <v>45960.65415509259</v>
      </c>
      <c r="C838" s="1" t="n">
        <v>46154</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53299-2025</t>
        </is>
      </c>
      <c r="B839" s="1" t="n">
        <v>45959.31901620371</v>
      </c>
      <c r="C839" s="1" t="n">
        <v>46154</v>
      </c>
      <c r="D839" t="inlineStr">
        <is>
          <t>STOCKHOLMS LÄN</t>
        </is>
      </c>
      <c r="E839" t="inlineStr">
        <is>
          <t>NORRTÄLJE</t>
        </is>
      </c>
      <c r="G839" t="n">
        <v>4.8</v>
      </c>
      <c r="H839" t="n">
        <v>0</v>
      </c>
      <c r="I839" t="n">
        <v>0</v>
      </c>
      <c r="J839" t="n">
        <v>0</v>
      </c>
      <c r="K839" t="n">
        <v>0</v>
      </c>
      <c r="L839" t="n">
        <v>0</v>
      </c>
      <c r="M839" t="n">
        <v>0</v>
      </c>
      <c r="N839" t="n">
        <v>0</v>
      </c>
      <c r="O839" t="n">
        <v>0</v>
      </c>
      <c r="P839" t="n">
        <v>0</v>
      </c>
      <c r="Q839" t="n">
        <v>0</v>
      </c>
      <c r="R839" s="2" t="inlineStr"/>
    </row>
    <row r="840" ht="15" customHeight="1">
      <c r="A840" t="inlineStr">
        <is>
          <t>A 17843-2024</t>
        </is>
      </c>
      <c r="B840" s="1" t="n">
        <v>45418</v>
      </c>
      <c r="C840" s="1" t="n">
        <v>46154</v>
      </c>
      <c r="D840" t="inlineStr">
        <is>
          <t>STOCKHOLMS LÄN</t>
        </is>
      </c>
      <c r="E840" t="inlineStr">
        <is>
          <t>NORRTÄLJE</t>
        </is>
      </c>
      <c r="G840" t="n">
        <v>5.4</v>
      </c>
      <c r="H840" t="n">
        <v>0</v>
      </c>
      <c r="I840" t="n">
        <v>0</v>
      </c>
      <c r="J840" t="n">
        <v>0</v>
      </c>
      <c r="K840" t="n">
        <v>0</v>
      </c>
      <c r="L840" t="n">
        <v>0</v>
      </c>
      <c r="M840" t="n">
        <v>0</v>
      </c>
      <c r="N840" t="n">
        <v>0</v>
      </c>
      <c r="O840" t="n">
        <v>0</v>
      </c>
      <c r="P840" t="n">
        <v>0</v>
      </c>
      <c r="Q840" t="n">
        <v>0</v>
      </c>
      <c r="R840" s="2" t="inlineStr"/>
    </row>
    <row r="841" ht="15" customHeight="1">
      <c r="A841" t="inlineStr">
        <is>
          <t>A 12890-2024</t>
        </is>
      </c>
      <c r="B841" s="1" t="n">
        <v>45385.36243055556</v>
      </c>
      <c r="C841" s="1" t="n">
        <v>46154</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36430-2024</t>
        </is>
      </c>
      <c r="B842" s="1" t="n">
        <v>45536</v>
      </c>
      <c r="C842" s="1" t="n">
        <v>46154</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41172-2023</t>
        </is>
      </c>
      <c r="B843" s="1" t="n">
        <v>45170</v>
      </c>
      <c r="C843" s="1" t="n">
        <v>46154</v>
      </c>
      <c r="D843" t="inlineStr">
        <is>
          <t>STOCKHOLMS LÄN</t>
        </is>
      </c>
      <c r="E843" t="inlineStr">
        <is>
          <t>NORRTÄLJE</t>
        </is>
      </c>
      <c r="G843" t="n">
        <v>1.6</v>
      </c>
      <c r="H843" t="n">
        <v>0</v>
      </c>
      <c r="I843" t="n">
        <v>0</v>
      </c>
      <c r="J843" t="n">
        <v>0</v>
      </c>
      <c r="K843" t="n">
        <v>0</v>
      </c>
      <c r="L843" t="n">
        <v>0</v>
      </c>
      <c r="M843" t="n">
        <v>0</v>
      </c>
      <c r="N843" t="n">
        <v>0</v>
      </c>
      <c r="O843" t="n">
        <v>0</v>
      </c>
      <c r="P843" t="n">
        <v>0</v>
      </c>
      <c r="Q843" t="n">
        <v>0</v>
      </c>
      <c r="R843" s="2" t="inlineStr"/>
    </row>
    <row r="844" ht="15" customHeight="1">
      <c r="A844" t="inlineStr">
        <is>
          <t>A 67921-2021</t>
        </is>
      </c>
      <c r="B844" s="1" t="n">
        <v>44525</v>
      </c>
      <c r="C844" s="1" t="n">
        <v>46154</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72704-2021</t>
        </is>
      </c>
      <c r="B845" s="1" t="n">
        <v>44546</v>
      </c>
      <c r="C845" s="1" t="n">
        <v>46154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65499-2021</t>
        </is>
      </c>
      <c r="B846" s="1" t="n">
        <v>44516</v>
      </c>
      <c r="C846" s="1" t="n">
        <v>46154</v>
      </c>
      <c r="D846" t="inlineStr">
        <is>
          <t>STOCKHOLMS LÄN</t>
        </is>
      </c>
      <c r="E846" t="inlineStr">
        <is>
          <t>NORRTÄLJE</t>
        </is>
      </c>
      <c r="F846" t="inlineStr">
        <is>
          <t>Kommuner</t>
        </is>
      </c>
      <c r="G846" t="n">
        <v>5.2</v>
      </c>
      <c r="H846" t="n">
        <v>0</v>
      </c>
      <c r="I846" t="n">
        <v>0</v>
      </c>
      <c r="J846" t="n">
        <v>0</v>
      </c>
      <c r="K846" t="n">
        <v>0</v>
      </c>
      <c r="L846" t="n">
        <v>0</v>
      </c>
      <c r="M846" t="n">
        <v>0</v>
      </c>
      <c r="N846" t="n">
        <v>0</v>
      </c>
      <c r="O846" t="n">
        <v>0</v>
      </c>
      <c r="P846" t="n">
        <v>0</v>
      </c>
      <c r="Q846" t="n">
        <v>0</v>
      </c>
      <c r="R846" s="2" t="inlineStr"/>
    </row>
    <row r="847" ht="15" customHeight="1">
      <c r="A847" t="inlineStr">
        <is>
          <t>A 65511-2021</t>
        </is>
      </c>
      <c r="B847" s="1" t="n">
        <v>44516.40674768519</v>
      </c>
      <c r="C847" s="1" t="n">
        <v>46154</v>
      </c>
      <c r="D847" t="inlineStr">
        <is>
          <t>STOCKHOLMS LÄN</t>
        </is>
      </c>
      <c r="E847" t="inlineStr">
        <is>
          <t>NORRTÄLJE</t>
        </is>
      </c>
      <c r="F847" t="inlineStr">
        <is>
          <t>Kommuner</t>
        </is>
      </c>
      <c r="G847" t="n">
        <v>2.8</v>
      </c>
      <c r="H847" t="n">
        <v>0</v>
      </c>
      <c r="I847" t="n">
        <v>0</v>
      </c>
      <c r="J847" t="n">
        <v>0</v>
      </c>
      <c r="K847" t="n">
        <v>0</v>
      </c>
      <c r="L847" t="n">
        <v>0</v>
      </c>
      <c r="M847" t="n">
        <v>0</v>
      </c>
      <c r="N847" t="n">
        <v>0</v>
      </c>
      <c r="O847" t="n">
        <v>0</v>
      </c>
      <c r="P847" t="n">
        <v>0</v>
      </c>
      <c r="Q847" t="n">
        <v>0</v>
      </c>
      <c r="R847" s="2" t="inlineStr"/>
    </row>
    <row r="848" ht="15" customHeight="1">
      <c r="A848" t="inlineStr">
        <is>
          <t>A 26113-2024</t>
        </is>
      </c>
      <c r="B848" s="1" t="n">
        <v>45468.45541666666</v>
      </c>
      <c r="C848" s="1" t="n">
        <v>46154</v>
      </c>
      <c r="D848" t="inlineStr">
        <is>
          <t>STOCKHOLMS LÄN</t>
        </is>
      </c>
      <c r="E848" t="inlineStr">
        <is>
          <t>NORRTÄLJE</t>
        </is>
      </c>
      <c r="G848" t="n">
        <v>0.4</v>
      </c>
      <c r="H848" t="n">
        <v>0</v>
      </c>
      <c r="I848" t="n">
        <v>0</v>
      </c>
      <c r="J848" t="n">
        <v>0</v>
      </c>
      <c r="K848" t="n">
        <v>0</v>
      </c>
      <c r="L848" t="n">
        <v>0</v>
      </c>
      <c r="M848" t="n">
        <v>0</v>
      </c>
      <c r="N848" t="n">
        <v>0</v>
      </c>
      <c r="O848" t="n">
        <v>0</v>
      </c>
      <c r="P848" t="n">
        <v>0</v>
      </c>
      <c r="Q848" t="n">
        <v>0</v>
      </c>
      <c r="R848" s="2" t="inlineStr"/>
    </row>
    <row r="849" ht="15" customHeight="1">
      <c r="A849" t="inlineStr">
        <is>
          <t>A 26116-2024</t>
        </is>
      </c>
      <c r="B849" s="1" t="n">
        <v>45468.45747685185</v>
      </c>
      <c r="C849" s="1" t="n">
        <v>46154</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52686-2024</t>
        </is>
      </c>
      <c r="B850" s="1" t="n">
        <v>45610.39271990741</v>
      </c>
      <c r="C850" s="1" t="n">
        <v>46154</v>
      </c>
      <c r="D850" t="inlineStr">
        <is>
          <t>STOCKHOLMS LÄN</t>
        </is>
      </c>
      <c r="E850" t="inlineStr">
        <is>
          <t>NORRTÄLJE</t>
        </is>
      </c>
      <c r="G850" t="n">
        <v>5.7</v>
      </c>
      <c r="H850" t="n">
        <v>0</v>
      </c>
      <c r="I850" t="n">
        <v>0</v>
      </c>
      <c r="J850" t="n">
        <v>0</v>
      </c>
      <c r="K850" t="n">
        <v>0</v>
      </c>
      <c r="L850" t="n">
        <v>0</v>
      </c>
      <c r="M850" t="n">
        <v>0</v>
      </c>
      <c r="N850" t="n">
        <v>0</v>
      </c>
      <c r="O850" t="n">
        <v>0</v>
      </c>
      <c r="P850" t="n">
        <v>0</v>
      </c>
      <c r="Q850" t="n">
        <v>0</v>
      </c>
      <c r="R850" s="2" t="inlineStr"/>
    </row>
    <row r="851" ht="15" customHeight="1">
      <c r="A851" t="inlineStr">
        <is>
          <t>A 31105-2022</t>
        </is>
      </c>
      <c r="B851" s="1" t="n">
        <v>44769.66039351852</v>
      </c>
      <c r="C851" s="1" t="n">
        <v>46154</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54907-2025</t>
        </is>
      </c>
      <c r="B852" s="1" t="n">
        <v>45967.37137731481</v>
      </c>
      <c r="C852" s="1" t="n">
        <v>46154</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62644-2023</t>
        </is>
      </c>
      <c r="B853" s="1" t="n">
        <v>45271</v>
      </c>
      <c r="C853" s="1" t="n">
        <v>46154</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60185-2024</t>
        </is>
      </c>
      <c r="B854" s="1" t="n">
        <v>45642.64634259259</v>
      </c>
      <c r="C854" s="1" t="n">
        <v>46154</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60765-2023</t>
        </is>
      </c>
      <c r="B855" s="1" t="n">
        <v>45260</v>
      </c>
      <c r="C855" s="1" t="n">
        <v>46154</v>
      </c>
      <c r="D855" t="inlineStr">
        <is>
          <t>STOCKHOLMS LÄN</t>
        </is>
      </c>
      <c r="E855" t="inlineStr">
        <is>
          <t>NORRTÄLJE</t>
        </is>
      </c>
      <c r="G855" t="n">
        <v>3.7</v>
      </c>
      <c r="H855" t="n">
        <v>0</v>
      </c>
      <c r="I855" t="n">
        <v>0</v>
      </c>
      <c r="J855" t="n">
        <v>0</v>
      </c>
      <c r="K855" t="n">
        <v>0</v>
      </c>
      <c r="L855" t="n">
        <v>0</v>
      </c>
      <c r="M855" t="n">
        <v>0</v>
      </c>
      <c r="N855" t="n">
        <v>0</v>
      </c>
      <c r="O855" t="n">
        <v>0</v>
      </c>
      <c r="P855" t="n">
        <v>0</v>
      </c>
      <c r="Q855" t="n">
        <v>0</v>
      </c>
      <c r="R855" s="2" t="inlineStr"/>
    </row>
    <row r="856" ht="15" customHeight="1">
      <c r="A856" t="inlineStr">
        <is>
          <t>A 12268-2022</t>
        </is>
      </c>
      <c r="B856" s="1" t="n">
        <v>44637</v>
      </c>
      <c r="C856" s="1" t="n">
        <v>46154</v>
      </c>
      <c r="D856" t="inlineStr">
        <is>
          <t>STOCKHOLMS LÄN</t>
        </is>
      </c>
      <c r="E856" t="inlineStr">
        <is>
          <t>NORRTÄLJE</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55503-2025</t>
        </is>
      </c>
      <c r="B857" s="1" t="n">
        <v>45971</v>
      </c>
      <c r="C857" s="1" t="n">
        <v>46154</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51315-2021</t>
        </is>
      </c>
      <c r="B858" s="1" t="n">
        <v>44461</v>
      </c>
      <c r="C858" s="1" t="n">
        <v>46154</v>
      </c>
      <c r="D858" t="inlineStr">
        <is>
          <t>STOCKHOLMS LÄN</t>
        </is>
      </c>
      <c r="E858" t="inlineStr">
        <is>
          <t>NORRTÄLJE</t>
        </is>
      </c>
      <c r="F858" t="inlineStr">
        <is>
          <t>Holmen skog AB</t>
        </is>
      </c>
      <c r="G858" t="n">
        <v>2.2</v>
      </c>
      <c r="H858" t="n">
        <v>0</v>
      </c>
      <c r="I858" t="n">
        <v>0</v>
      </c>
      <c r="J858" t="n">
        <v>0</v>
      </c>
      <c r="K858" t="n">
        <v>0</v>
      </c>
      <c r="L858" t="n">
        <v>0</v>
      </c>
      <c r="M858" t="n">
        <v>0</v>
      </c>
      <c r="N858" t="n">
        <v>0</v>
      </c>
      <c r="O858" t="n">
        <v>0</v>
      </c>
      <c r="P858" t="n">
        <v>0</v>
      </c>
      <c r="Q858" t="n">
        <v>0</v>
      </c>
      <c r="R858" s="2" t="inlineStr"/>
    </row>
    <row r="859" ht="15" customHeight="1">
      <c r="A859" t="inlineStr">
        <is>
          <t>A 22008-2024</t>
        </is>
      </c>
      <c r="B859" s="1" t="n">
        <v>45443</v>
      </c>
      <c r="C859" s="1" t="n">
        <v>46154</v>
      </c>
      <c r="D859" t="inlineStr">
        <is>
          <t>STOCKHOLMS LÄN</t>
        </is>
      </c>
      <c r="E859" t="inlineStr">
        <is>
          <t>NORRTÄLJE</t>
        </is>
      </c>
      <c r="G859" t="n">
        <v>2</v>
      </c>
      <c r="H859" t="n">
        <v>0</v>
      </c>
      <c r="I859" t="n">
        <v>0</v>
      </c>
      <c r="J859" t="n">
        <v>0</v>
      </c>
      <c r="K859" t="n">
        <v>0</v>
      </c>
      <c r="L859" t="n">
        <v>0</v>
      </c>
      <c r="M859" t="n">
        <v>0</v>
      </c>
      <c r="N859" t="n">
        <v>0</v>
      </c>
      <c r="O859" t="n">
        <v>0</v>
      </c>
      <c r="P859" t="n">
        <v>0</v>
      </c>
      <c r="Q859" t="n">
        <v>0</v>
      </c>
      <c r="R859" s="2" t="inlineStr"/>
    </row>
    <row r="860" ht="15" customHeight="1">
      <c r="A860" t="inlineStr">
        <is>
          <t>A 55599-2025</t>
        </is>
      </c>
      <c r="B860" s="1" t="n">
        <v>45971.76810185185</v>
      </c>
      <c r="C860" s="1" t="n">
        <v>46154</v>
      </c>
      <c r="D860" t="inlineStr">
        <is>
          <t>STOCKHOLMS LÄN</t>
        </is>
      </c>
      <c r="E860" t="inlineStr">
        <is>
          <t>NORRTÄLJE</t>
        </is>
      </c>
      <c r="F860" t="inlineStr">
        <is>
          <t>Holmen skog AB</t>
        </is>
      </c>
      <c r="G860" t="n">
        <v>6.4</v>
      </c>
      <c r="H860" t="n">
        <v>0</v>
      </c>
      <c r="I860" t="n">
        <v>0</v>
      </c>
      <c r="J860" t="n">
        <v>0</v>
      </c>
      <c r="K860" t="n">
        <v>0</v>
      </c>
      <c r="L860" t="n">
        <v>0</v>
      </c>
      <c r="M860" t="n">
        <v>0</v>
      </c>
      <c r="N860" t="n">
        <v>0</v>
      </c>
      <c r="O860" t="n">
        <v>0</v>
      </c>
      <c r="P860" t="n">
        <v>0</v>
      </c>
      <c r="Q860" t="n">
        <v>0</v>
      </c>
      <c r="R860" s="2" t="inlineStr"/>
    </row>
    <row r="861" ht="15" customHeight="1">
      <c r="A861" t="inlineStr">
        <is>
          <t>A 58277-2023</t>
        </is>
      </c>
      <c r="B861" s="1" t="n">
        <v>45245</v>
      </c>
      <c r="C861" s="1" t="n">
        <v>46154</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9480-2025</t>
        </is>
      </c>
      <c r="B862" s="1" t="n">
        <v>45715</v>
      </c>
      <c r="C862" s="1" t="n">
        <v>46154</v>
      </c>
      <c r="D862" t="inlineStr">
        <is>
          <t>STOCKHOLMS LÄN</t>
        </is>
      </c>
      <c r="E862" t="inlineStr">
        <is>
          <t>NORRTÄLJE</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56207-2025</t>
        </is>
      </c>
      <c r="B863" s="1" t="n">
        <v>45974.47329861111</v>
      </c>
      <c r="C863" s="1" t="n">
        <v>46154</v>
      </c>
      <c r="D863" t="inlineStr">
        <is>
          <t>STOCKHOLMS LÄN</t>
        </is>
      </c>
      <c r="E863" t="inlineStr">
        <is>
          <t>NORRTÄLJE</t>
        </is>
      </c>
      <c r="G863" t="n">
        <v>3.2</v>
      </c>
      <c r="H863" t="n">
        <v>0</v>
      </c>
      <c r="I863" t="n">
        <v>0</v>
      </c>
      <c r="J863" t="n">
        <v>0</v>
      </c>
      <c r="K863" t="n">
        <v>0</v>
      </c>
      <c r="L863" t="n">
        <v>0</v>
      </c>
      <c r="M863" t="n">
        <v>0</v>
      </c>
      <c r="N863" t="n">
        <v>0</v>
      </c>
      <c r="O863" t="n">
        <v>0</v>
      </c>
      <c r="P863" t="n">
        <v>0</v>
      </c>
      <c r="Q863" t="n">
        <v>0</v>
      </c>
      <c r="R863" s="2" t="inlineStr"/>
    </row>
    <row r="864" ht="15" customHeight="1">
      <c r="A864" t="inlineStr">
        <is>
          <t>A 4322-2023</t>
        </is>
      </c>
      <c r="B864" s="1" t="n">
        <v>44953.69298611111</v>
      </c>
      <c r="C864" s="1" t="n">
        <v>46154</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56114-2025</t>
        </is>
      </c>
      <c r="B865" s="1" t="n">
        <v>45973.74474537037</v>
      </c>
      <c r="C865" s="1" t="n">
        <v>46154</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35916-2024</t>
        </is>
      </c>
      <c r="B866" s="1" t="n">
        <v>45533</v>
      </c>
      <c r="C866" s="1" t="n">
        <v>46154</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38889-2024</t>
        </is>
      </c>
      <c r="B867" s="1" t="n">
        <v>45547</v>
      </c>
      <c r="C867" s="1" t="n">
        <v>46154</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3299-2022</t>
        </is>
      </c>
      <c r="B868" s="1" t="n">
        <v>44584.91001157407</v>
      </c>
      <c r="C868" s="1" t="n">
        <v>46154</v>
      </c>
      <c r="D868" t="inlineStr">
        <is>
          <t>STOCKHOLMS LÄN</t>
        </is>
      </c>
      <c r="E868" t="inlineStr">
        <is>
          <t>NORRTÄLJE</t>
        </is>
      </c>
      <c r="G868" t="n">
        <v>2.7</v>
      </c>
      <c r="H868" t="n">
        <v>0</v>
      </c>
      <c r="I868" t="n">
        <v>0</v>
      </c>
      <c r="J868" t="n">
        <v>0</v>
      </c>
      <c r="K868" t="n">
        <v>0</v>
      </c>
      <c r="L868" t="n">
        <v>0</v>
      </c>
      <c r="M868" t="n">
        <v>0</v>
      </c>
      <c r="N868" t="n">
        <v>0</v>
      </c>
      <c r="O868" t="n">
        <v>0</v>
      </c>
      <c r="P868" t="n">
        <v>0</v>
      </c>
      <c r="Q868" t="n">
        <v>0</v>
      </c>
      <c r="R868" s="2" t="inlineStr"/>
    </row>
    <row r="869" ht="15" customHeight="1">
      <c r="A869" t="inlineStr">
        <is>
          <t>A 42075-2023</t>
        </is>
      </c>
      <c r="B869" s="1" t="n">
        <v>45177</v>
      </c>
      <c r="C869" s="1" t="n">
        <v>46154</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10676-2025</t>
        </is>
      </c>
      <c r="B870" s="1" t="n">
        <v>45721.88684027778</v>
      </c>
      <c r="C870" s="1" t="n">
        <v>46154</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50154-2024</t>
        </is>
      </c>
      <c r="B871" s="1" t="n">
        <v>45600.4558912037</v>
      </c>
      <c r="C871" s="1" t="n">
        <v>46154</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37273-2024</t>
        </is>
      </c>
      <c r="B872" s="1" t="n">
        <v>45540</v>
      </c>
      <c r="C872" s="1" t="n">
        <v>46154</v>
      </c>
      <c r="D872" t="inlineStr">
        <is>
          <t>STOCKHOLMS LÄN</t>
        </is>
      </c>
      <c r="E872" t="inlineStr">
        <is>
          <t>NORRTÄLJE</t>
        </is>
      </c>
      <c r="F872" t="inlineStr">
        <is>
          <t>Sveaskog</t>
        </is>
      </c>
      <c r="G872" t="n">
        <v>12.5</v>
      </c>
      <c r="H872" t="n">
        <v>0</v>
      </c>
      <c r="I872" t="n">
        <v>0</v>
      </c>
      <c r="J872" t="n">
        <v>0</v>
      </c>
      <c r="K872" t="n">
        <v>0</v>
      </c>
      <c r="L872" t="n">
        <v>0</v>
      </c>
      <c r="M872" t="n">
        <v>0</v>
      </c>
      <c r="N872" t="n">
        <v>0</v>
      </c>
      <c r="O872" t="n">
        <v>0</v>
      </c>
      <c r="P872" t="n">
        <v>0</v>
      </c>
      <c r="Q872" t="n">
        <v>0</v>
      </c>
      <c r="R872" s="2" t="inlineStr"/>
    </row>
    <row r="873" ht="15" customHeight="1">
      <c r="A873" t="inlineStr">
        <is>
          <t>A 34773-2022</t>
        </is>
      </c>
      <c r="B873" s="1" t="n">
        <v>44795</v>
      </c>
      <c r="C873" s="1" t="n">
        <v>46154</v>
      </c>
      <c r="D873" t="inlineStr">
        <is>
          <t>STOCKHOLMS LÄN</t>
        </is>
      </c>
      <c r="E873" t="inlineStr">
        <is>
          <t>NORRTÄLJE</t>
        </is>
      </c>
      <c r="G873" t="n">
        <v>3.9</v>
      </c>
      <c r="H873" t="n">
        <v>0</v>
      </c>
      <c r="I873" t="n">
        <v>0</v>
      </c>
      <c r="J873" t="n">
        <v>0</v>
      </c>
      <c r="K873" t="n">
        <v>0</v>
      </c>
      <c r="L873" t="n">
        <v>0</v>
      </c>
      <c r="M873" t="n">
        <v>0</v>
      </c>
      <c r="N873" t="n">
        <v>0</v>
      </c>
      <c r="O873" t="n">
        <v>0</v>
      </c>
      <c r="P873" t="n">
        <v>0</v>
      </c>
      <c r="Q873" t="n">
        <v>0</v>
      </c>
      <c r="R873" s="2" t="inlineStr"/>
    </row>
    <row r="874" ht="15" customHeight="1">
      <c r="A874" t="inlineStr">
        <is>
          <t>A 23263-2023</t>
        </is>
      </c>
      <c r="B874" s="1" t="n">
        <v>45075</v>
      </c>
      <c r="C874" s="1" t="n">
        <v>46154</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23264-2023</t>
        </is>
      </c>
      <c r="B875" s="1" t="n">
        <v>45075</v>
      </c>
      <c r="C875" s="1" t="n">
        <v>46154</v>
      </c>
      <c r="D875" t="inlineStr">
        <is>
          <t>STOCKHOLMS LÄN</t>
        </is>
      </c>
      <c r="E875" t="inlineStr">
        <is>
          <t>NORRTÄLJE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23267-2023</t>
        </is>
      </c>
      <c r="B876" s="1" t="n">
        <v>45075.90934027778</v>
      </c>
      <c r="C876" s="1" t="n">
        <v>46154</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25654-2023</t>
        </is>
      </c>
      <c r="B877" s="1" t="n">
        <v>45089</v>
      </c>
      <c r="C877" s="1" t="n">
        <v>46154</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47758-2023</t>
        </is>
      </c>
      <c r="B878" s="1" t="n">
        <v>45203.83891203703</v>
      </c>
      <c r="C878" s="1" t="n">
        <v>46154</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48151-2024</t>
        </is>
      </c>
      <c r="B879" s="1" t="n">
        <v>45589.68289351852</v>
      </c>
      <c r="C879" s="1" t="n">
        <v>46154</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58142-2025</t>
        </is>
      </c>
      <c r="B880" s="1" t="n">
        <v>45982.63791666667</v>
      </c>
      <c r="C880" s="1" t="n">
        <v>46154</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5831-2022</t>
        </is>
      </c>
      <c r="B881" s="1" t="n">
        <v>44596</v>
      </c>
      <c r="C881" s="1" t="n">
        <v>46154</v>
      </c>
      <c r="D881" t="inlineStr">
        <is>
          <t>STOCKHOLMS LÄN</t>
        </is>
      </c>
      <c r="E881" t="inlineStr">
        <is>
          <t>NORRTÄLJE</t>
        </is>
      </c>
      <c r="G881" t="n">
        <v>4.8</v>
      </c>
      <c r="H881" t="n">
        <v>0</v>
      </c>
      <c r="I881" t="n">
        <v>0</v>
      </c>
      <c r="J881" t="n">
        <v>0</v>
      </c>
      <c r="K881" t="n">
        <v>0</v>
      </c>
      <c r="L881" t="n">
        <v>0</v>
      </c>
      <c r="M881" t="n">
        <v>0</v>
      </c>
      <c r="N881" t="n">
        <v>0</v>
      </c>
      <c r="O881" t="n">
        <v>0</v>
      </c>
      <c r="P881" t="n">
        <v>0</v>
      </c>
      <c r="Q881" t="n">
        <v>0</v>
      </c>
      <c r="R881" s="2" t="inlineStr"/>
    </row>
    <row r="882" ht="15" customHeight="1">
      <c r="A882" t="inlineStr">
        <is>
          <t>A 57953-2025</t>
        </is>
      </c>
      <c r="B882" s="1" t="n">
        <v>45982.35016203704</v>
      </c>
      <c r="C882" s="1" t="n">
        <v>46154</v>
      </c>
      <c r="D882" t="inlineStr">
        <is>
          <t>STOCKHOLMS LÄN</t>
        </is>
      </c>
      <c r="E882" t="inlineStr">
        <is>
          <t>NORRTÄLJE</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58853-2024</t>
        </is>
      </c>
      <c r="B883" s="1" t="n">
        <v>45636.38974537037</v>
      </c>
      <c r="C883" s="1" t="n">
        <v>46154</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59712-2024</t>
        </is>
      </c>
      <c r="B884" s="1" t="n">
        <v>45639.45166666667</v>
      </c>
      <c r="C884" s="1" t="n">
        <v>46154</v>
      </c>
      <c r="D884" t="inlineStr">
        <is>
          <t>STOCKHOLMS LÄN</t>
        </is>
      </c>
      <c r="E884" t="inlineStr">
        <is>
          <t>NORRTÄLJE</t>
        </is>
      </c>
      <c r="G884" t="n">
        <v>4.4</v>
      </c>
      <c r="H884" t="n">
        <v>0</v>
      </c>
      <c r="I884" t="n">
        <v>0</v>
      </c>
      <c r="J884" t="n">
        <v>0</v>
      </c>
      <c r="K884" t="n">
        <v>0</v>
      </c>
      <c r="L884" t="n">
        <v>0</v>
      </c>
      <c r="M884" t="n">
        <v>0</v>
      </c>
      <c r="N884" t="n">
        <v>0</v>
      </c>
      <c r="O884" t="n">
        <v>0</v>
      </c>
      <c r="P884" t="n">
        <v>0</v>
      </c>
      <c r="Q884" t="n">
        <v>0</v>
      </c>
      <c r="R884" s="2" t="inlineStr"/>
    </row>
    <row r="885" ht="15" customHeight="1">
      <c r="A885" t="inlineStr">
        <is>
          <t>A 59721-2024</t>
        </is>
      </c>
      <c r="B885" s="1" t="n">
        <v>45639.47385416667</v>
      </c>
      <c r="C885" s="1" t="n">
        <v>46154</v>
      </c>
      <c r="D885" t="inlineStr">
        <is>
          <t>STOCKHOLMS LÄN</t>
        </is>
      </c>
      <c r="E885" t="inlineStr">
        <is>
          <t>NORRTÄLJE</t>
        </is>
      </c>
      <c r="G885" t="n">
        <v>4.6</v>
      </c>
      <c r="H885" t="n">
        <v>0</v>
      </c>
      <c r="I885" t="n">
        <v>0</v>
      </c>
      <c r="J885" t="n">
        <v>0</v>
      </c>
      <c r="K885" t="n">
        <v>0</v>
      </c>
      <c r="L885" t="n">
        <v>0</v>
      </c>
      <c r="M885" t="n">
        <v>0</v>
      </c>
      <c r="N885" t="n">
        <v>0</v>
      </c>
      <c r="O885" t="n">
        <v>0</v>
      </c>
      <c r="P885" t="n">
        <v>0</v>
      </c>
      <c r="Q885" t="n">
        <v>0</v>
      </c>
      <c r="R885" s="2" t="inlineStr"/>
    </row>
    <row r="886" ht="15" customHeight="1">
      <c r="A886" t="inlineStr">
        <is>
          <t>A 60884-2024</t>
        </is>
      </c>
      <c r="B886" s="1" t="n">
        <v>45644.90815972222</v>
      </c>
      <c r="C886" s="1" t="n">
        <v>46154</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23150-2024</t>
        </is>
      </c>
      <c r="B887" s="1" t="n">
        <v>45450.64643518518</v>
      </c>
      <c r="C887" s="1" t="n">
        <v>46154</v>
      </c>
      <c r="D887" t="inlineStr">
        <is>
          <t>STOCKHOLMS LÄN</t>
        </is>
      </c>
      <c r="E887" t="inlineStr">
        <is>
          <t>NORRTÄLJE</t>
        </is>
      </c>
      <c r="F887" t="inlineStr">
        <is>
          <t>Kommuner</t>
        </is>
      </c>
      <c r="G887" t="n">
        <v>2.7</v>
      </c>
      <c r="H887" t="n">
        <v>0</v>
      </c>
      <c r="I887" t="n">
        <v>0</v>
      </c>
      <c r="J887" t="n">
        <v>0</v>
      </c>
      <c r="K887" t="n">
        <v>0</v>
      </c>
      <c r="L887" t="n">
        <v>0</v>
      </c>
      <c r="M887" t="n">
        <v>0</v>
      </c>
      <c r="N887" t="n">
        <v>0</v>
      </c>
      <c r="O887" t="n">
        <v>0</v>
      </c>
      <c r="P887" t="n">
        <v>0</v>
      </c>
      <c r="Q887" t="n">
        <v>0</v>
      </c>
      <c r="R887" s="2" t="inlineStr"/>
    </row>
    <row r="888" ht="15" customHeight="1">
      <c r="A888" t="inlineStr">
        <is>
          <t>A 59878-2024</t>
        </is>
      </c>
      <c r="B888" s="1" t="n">
        <v>45640.60240740741</v>
      </c>
      <c r="C888" s="1" t="n">
        <v>46154</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58403-2025</t>
        </is>
      </c>
      <c r="B889" s="1" t="n">
        <v>45985.56777777777</v>
      </c>
      <c r="C889" s="1" t="n">
        <v>46154</v>
      </c>
      <c r="D889" t="inlineStr">
        <is>
          <t>STOCKHOLMS LÄN</t>
        </is>
      </c>
      <c r="E889" t="inlineStr">
        <is>
          <t>NORRTÄLJE</t>
        </is>
      </c>
      <c r="F889" t="inlineStr">
        <is>
          <t>Naturvårdsverket</t>
        </is>
      </c>
      <c r="G889" t="n">
        <v>13.5</v>
      </c>
      <c r="H889" t="n">
        <v>0</v>
      </c>
      <c r="I889" t="n">
        <v>0</v>
      </c>
      <c r="J889" t="n">
        <v>0</v>
      </c>
      <c r="K889" t="n">
        <v>0</v>
      </c>
      <c r="L889" t="n">
        <v>0</v>
      </c>
      <c r="M889" t="n">
        <v>0</v>
      </c>
      <c r="N889" t="n">
        <v>0</v>
      </c>
      <c r="O889" t="n">
        <v>0</v>
      </c>
      <c r="P889" t="n">
        <v>0</v>
      </c>
      <c r="Q889" t="n">
        <v>0</v>
      </c>
      <c r="R889" s="2" t="inlineStr"/>
    </row>
    <row r="890" ht="15" customHeight="1">
      <c r="A890" t="inlineStr">
        <is>
          <t>A 50182-2024</t>
        </is>
      </c>
      <c r="B890" s="1" t="n">
        <v>45600.47275462963</v>
      </c>
      <c r="C890" s="1" t="n">
        <v>46154</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2549-2022</t>
        </is>
      </c>
      <c r="B891" s="1" t="n">
        <v>44580</v>
      </c>
      <c r="C891" s="1" t="n">
        <v>46154</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31140-2023</t>
        </is>
      </c>
      <c r="B892" s="1" t="n">
        <v>45113</v>
      </c>
      <c r="C892" s="1" t="n">
        <v>46154</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31149-2023</t>
        </is>
      </c>
      <c r="B893" s="1" t="n">
        <v>45113</v>
      </c>
      <c r="C893" s="1" t="n">
        <v>46154</v>
      </c>
      <c r="D893" t="inlineStr">
        <is>
          <t>STOCKHOLMS LÄN</t>
        </is>
      </c>
      <c r="E893" t="inlineStr">
        <is>
          <t>NORRTÄLJE</t>
        </is>
      </c>
      <c r="G893" t="n">
        <v>7.1</v>
      </c>
      <c r="H893" t="n">
        <v>0</v>
      </c>
      <c r="I893" t="n">
        <v>0</v>
      </c>
      <c r="J893" t="n">
        <v>0</v>
      </c>
      <c r="K893" t="n">
        <v>0</v>
      </c>
      <c r="L893" t="n">
        <v>0</v>
      </c>
      <c r="M893" t="n">
        <v>0</v>
      </c>
      <c r="N893" t="n">
        <v>0</v>
      </c>
      <c r="O893" t="n">
        <v>0</v>
      </c>
      <c r="P893" t="n">
        <v>0</v>
      </c>
      <c r="Q893" t="n">
        <v>0</v>
      </c>
      <c r="R893" s="2" t="inlineStr"/>
    </row>
    <row r="894" ht="15" customHeight="1">
      <c r="A894" t="inlineStr">
        <is>
          <t>A 16835-2022</t>
        </is>
      </c>
      <c r="B894" s="1" t="n">
        <v>44673</v>
      </c>
      <c r="C894" s="1" t="n">
        <v>46154</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13701-2022</t>
        </is>
      </c>
      <c r="B895" s="1" t="n">
        <v>44648</v>
      </c>
      <c r="C895" s="1" t="n">
        <v>46154</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13089-2022</t>
        </is>
      </c>
      <c r="B896" s="1" t="n">
        <v>44643</v>
      </c>
      <c r="C896" s="1" t="n">
        <v>46154</v>
      </c>
      <c r="D896" t="inlineStr">
        <is>
          <t>STOCKHOLMS LÄN</t>
        </is>
      </c>
      <c r="E896" t="inlineStr">
        <is>
          <t>NORRTÄLJE</t>
        </is>
      </c>
      <c r="G896" t="n">
        <v>4.5</v>
      </c>
      <c r="H896" t="n">
        <v>0</v>
      </c>
      <c r="I896" t="n">
        <v>0</v>
      </c>
      <c r="J896" t="n">
        <v>0</v>
      </c>
      <c r="K896" t="n">
        <v>0</v>
      </c>
      <c r="L896" t="n">
        <v>0</v>
      </c>
      <c r="M896" t="n">
        <v>0</v>
      </c>
      <c r="N896" t="n">
        <v>0</v>
      </c>
      <c r="O896" t="n">
        <v>0</v>
      </c>
      <c r="P896" t="n">
        <v>0</v>
      </c>
      <c r="Q896" t="n">
        <v>0</v>
      </c>
      <c r="R896" s="2" t="inlineStr"/>
    </row>
    <row r="897" ht="15" customHeight="1">
      <c r="A897" t="inlineStr">
        <is>
          <t>A 58939-2025</t>
        </is>
      </c>
      <c r="B897" s="1" t="n">
        <v>45987.5681712963</v>
      </c>
      <c r="C897" s="1" t="n">
        <v>46154</v>
      </c>
      <c r="D897" t="inlineStr">
        <is>
          <t>STOCKHOLMS LÄN</t>
        </is>
      </c>
      <c r="E897" t="inlineStr">
        <is>
          <t>NORRTÄLJE</t>
        </is>
      </c>
      <c r="G897" t="n">
        <v>2</v>
      </c>
      <c r="H897" t="n">
        <v>0</v>
      </c>
      <c r="I897" t="n">
        <v>0</v>
      </c>
      <c r="J897" t="n">
        <v>0</v>
      </c>
      <c r="K897" t="n">
        <v>0</v>
      </c>
      <c r="L897" t="n">
        <v>0</v>
      </c>
      <c r="M897" t="n">
        <v>0</v>
      </c>
      <c r="N897" t="n">
        <v>0</v>
      </c>
      <c r="O897" t="n">
        <v>0</v>
      </c>
      <c r="P897" t="n">
        <v>0</v>
      </c>
      <c r="Q897" t="n">
        <v>0</v>
      </c>
      <c r="R897" s="2" t="inlineStr"/>
    </row>
    <row r="898" ht="15" customHeight="1">
      <c r="A898" t="inlineStr">
        <is>
          <t>A 38759-2022</t>
        </is>
      </c>
      <c r="B898" s="1" t="n">
        <v>44816</v>
      </c>
      <c r="C898" s="1" t="n">
        <v>46154</v>
      </c>
      <c r="D898" t="inlineStr">
        <is>
          <t>STOCKHOLMS LÄN</t>
        </is>
      </c>
      <c r="E898" t="inlineStr">
        <is>
          <t>NORRTÄLJE</t>
        </is>
      </c>
      <c r="G898" t="n">
        <v>2.8</v>
      </c>
      <c r="H898" t="n">
        <v>0</v>
      </c>
      <c r="I898" t="n">
        <v>0</v>
      </c>
      <c r="J898" t="n">
        <v>0</v>
      </c>
      <c r="K898" t="n">
        <v>0</v>
      </c>
      <c r="L898" t="n">
        <v>0</v>
      </c>
      <c r="M898" t="n">
        <v>0</v>
      </c>
      <c r="N898" t="n">
        <v>0</v>
      </c>
      <c r="O898" t="n">
        <v>0</v>
      </c>
      <c r="P898" t="n">
        <v>0</v>
      </c>
      <c r="Q898" t="n">
        <v>0</v>
      </c>
      <c r="R898" s="2" t="inlineStr"/>
    </row>
    <row r="899" ht="15" customHeight="1">
      <c r="A899" t="inlineStr">
        <is>
          <t>A 23998-2024</t>
        </is>
      </c>
      <c r="B899" s="1" t="n">
        <v>45456</v>
      </c>
      <c r="C899" s="1" t="n">
        <v>46154</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54504-2024</t>
        </is>
      </c>
      <c r="B900" s="1" t="n">
        <v>45617.58453703704</v>
      </c>
      <c r="C900" s="1" t="n">
        <v>46154</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57788-2025</t>
        </is>
      </c>
      <c r="B901" s="1" t="n">
        <v>45981.5778125</v>
      </c>
      <c r="C901" s="1" t="n">
        <v>46154</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32595-2023</t>
        </is>
      </c>
      <c r="B902" s="1" t="n">
        <v>45121</v>
      </c>
      <c r="C902" s="1" t="n">
        <v>46154</v>
      </c>
      <c r="D902" t="inlineStr">
        <is>
          <t>STOCKHOLMS LÄN</t>
        </is>
      </c>
      <c r="E902" t="inlineStr">
        <is>
          <t>NORRTÄLJE</t>
        </is>
      </c>
      <c r="G902" t="n">
        <v>2.4</v>
      </c>
      <c r="H902" t="n">
        <v>0</v>
      </c>
      <c r="I902" t="n">
        <v>0</v>
      </c>
      <c r="J902" t="n">
        <v>0</v>
      </c>
      <c r="K902" t="n">
        <v>0</v>
      </c>
      <c r="L902" t="n">
        <v>0</v>
      </c>
      <c r="M902" t="n">
        <v>0</v>
      </c>
      <c r="N902" t="n">
        <v>0</v>
      </c>
      <c r="O902" t="n">
        <v>0</v>
      </c>
      <c r="P902" t="n">
        <v>0</v>
      </c>
      <c r="Q902" t="n">
        <v>0</v>
      </c>
      <c r="R902" s="2" t="inlineStr"/>
    </row>
    <row r="903" ht="15" customHeight="1">
      <c r="A903" t="inlineStr">
        <is>
          <t>A 11332-2025</t>
        </is>
      </c>
      <c r="B903" s="1" t="n">
        <v>45726.48152777777</v>
      </c>
      <c r="C903" s="1" t="n">
        <v>46154</v>
      </c>
      <c r="D903" t="inlineStr">
        <is>
          <t>STOCKHOLMS LÄN</t>
        </is>
      </c>
      <c r="E903" t="inlineStr">
        <is>
          <t>NORRTÄLJE</t>
        </is>
      </c>
      <c r="G903" t="n">
        <v>4.6</v>
      </c>
      <c r="H903" t="n">
        <v>0</v>
      </c>
      <c r="I903" t="n">
        <v>0</v>
      </c>
      <c r="J903" t="n">
        <v>0</v>
      </c>
      <c r="K903" t="n">
        <v>0</v>
      </c>
      <c r="L903" t="n">
        <v>0</v>
      </c>
      <c r="M903" t="n">
        <v>0</v>
      </c>
      <c r="N903" t="n">
        <v>0</v>
      </c>
      <c r="O903" t="n">
        <v>0</v>
      </c>
      <c r="P903" t="n">
        <v>0</v>
      </c>
      <c r="Q903" t="n">
        <v>0</v>
      </c>
      <c r="R903" s="2" t="inlineStr"/>
    </row>
    <row r="904" ht="15" customHeight="1">
      <c r="A904" t="inlineStr">
        <is>
          <t>A 59672-2025</t>
        </is>
      </c>
      <c r="B904" s="1" t="n">
        <v>45992.45884259259</v>
      </c>
      <c r="C904" s="1" t="n">
        <v>46154</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60223-2025</t>
        </is>
      </c>
      <c r="B905" s="1" t="n">
        <v>45994.54497685185</v>
      </c>
      <c r="C905" s="1" t="n">
        <v>46154</v>
      </c>
      <c r="D905" t="inlineStr">
        <is>
          <t>STOCKHOLMS LÄN</t>
        </is>
      </c>
      <c r="E905" t="inlineStr">
        <is>
          <t>NORRTÄLJE</t>
        </is>
      </c>
      <c r="G905" t="n">
        <v>2.4</v>
      </c>
      <c r="H905" t="n">
        <v>0</v>
      </c>
      <c r="I905" t="n">
        <v>0</v>
      </c>
      <c r="J905" t="n">
        <v>0</v>
      </c>
      <c r="K905" t="n">
        <v>0</v>
      </c>
      <c r="L905" t="n">
        <v>0</v>
      </c>
      <c r="M905" t="n">
        <v>0</v>
      </c>
      <c r="N905" t="n">
        <v>0</v>
      </c>
      <c r="O905" t="n">
        <v>0</v>
      </c>
      <c r="P905" t="n">
        <v>0</v>
      </c>
      <c r="Q905" t="n">
        <v>0</v>
      </c>
      <c r="R905" s="2" t="inlineStr"/>
    </row>
    <row r="906" ht="15" customHeight="1">
      <c r="A906" t="inlineStr">
        <is>
          <t>A 59914-2025</t>
        </is>
      </c>
      <c r="B906" s="1" t="n">
        <v>45993.37056712963</v>
      </c>
      <c r="C906" s="1" t="n">
        <v>46154</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13718-2022</t>
        </is>
      </c>
      <c r="B907" s="1" t="n">
        <v>44649</v>
      </c>
      <c r="C907" s="1" t="n">
        <v>46154</v>
      </c>
      <c r="D907" t="inlineStr">
        <is>
          <t>STOCKHOLMS LÄN</t>
        </is>
      </c>
      <c r="E907" t="inlineStr">
        <is>
          <t>NORRTÄLJE</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59041-2025</t>
        </is>
      </c>
      <c r="B908" s="1" t="n">
        <v>45988</v>
      </c>
      <c r="C908" s="1" t="n">
        <v>46154</v>
      </c>
      <c r="D908" t="inlineStr">
        <is>
          <t>STOCKHOLMS LÄN</t>
        </is>
      </c>
      <c r="E908" t="inlineStr">
        <is>
          <t>NORRTÄLJE</t>
        </is>
      </c>
      <c r="G908" t="n">
        <v>6.6</v>
      </c>
      <c r="H908" t="n">
        <v>0</v>
      </c>
      <c r="I908" t="n">
        <v>0</v>
      </c>
      <c r="J908" t="n">
        <v>0</v>
      </c>
      <c r="K908" t="n">
        <v>0</v>
      </c>
      <c r="L908" t="n">
        <v>0</v>
      </c>
      <c r="M908" t="n">
        <v>0</v>
      </c>
      <c r="N908" t="n">
        <v>0</v>
      </c>
      <c r="O908" t="n">
        <v>0</v>
      </c>
      <c r="P908" t="n">
        <v>0</v>
      </c>
      <c r="Q908" t="n">
        <v>0</v>
      </c>
      <c r="R908" s="2" t="inlineStr"/>
    </row>
    <row r="909" ht="15" customHeight="1">
      <c r="A909" t="inlineStr">
        <is>
          <t>A 60214-2025</t>
        </is>
      </c>
      <c r="B909" s="1" t="n">
        <v>45994.53761574074</v>
      </c>
      <c r="C909" s="1" t="n">
        <v>46154</v>
      </c>
      <c r="D909" t="inlineStr">
        <is>
          <t>STOCKHOLMS LÄN</t>
        </is>
      </c>
      <c r="E909" t="inlineStr">
        <is>
          <t>NORRTÄLJE</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60253-2025</t>
        </is>
      </c>
      <c r="B910" s="1" t="n">
        <v>45994.59827546297</v>
      </c>
      <c r="C910" s="1" t="n">
        <v>46154</v>
      </c>
      <c r="D910" t="inlineStr">
        <is>
          <t>STOCKHOLMS LÄN</t>
        </is>
      </c>
      <c r="E910" t="inlineStr">
        <is>
          <t>NORRTÄLJE</t>
        </is>
      </c>
      <c r="F910" t="inlineStr">
        <is>
          <t>Holmen skog AB</t>
        </is>
      </c>
      <c r="G910" t="n">
        <v>3.6</v>
      </c>
      <c r="H910" t="n">
        <v>0</v>
      </c>
      <c r="I910" t="n">
        <v>0</v>
      </c>
      <c r="J910" t="n">
        <v>0</v>
      </c>
      <c r="K910" t="n">
        <v>0</v>
      </c>
      <c r="L910" t="n">
        <v>0</v>
      </c>
      <c r="M910" t="n">
        <v>0</v>
      </c>
      <c r="N910" t="n">
        <v>0</v>
      </c>
      <c r="O910" t="n">
        <v>0</v>
      </c>
      <c r="P910" t="n">
        <v>0</v>
      </c>
      <c r="Q910" t="n">
        <v>0</v>
      </c>
      <c r="R910" s="2" t="inlineStr"/>
    </row>
    <row r="911" ht="15" customHeight="1">
      <c r="A911" t="inlineStr">
        <is>
          <t>A 59907-2025</t>
        </is>
      </c>
      <c r="B911" s="1" t="n">
        <v>45993.35350694445</v>
      </c>
      <c r="C911" s="1" t="n">
        <v>46154</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54259-2023</t>
        </is>
      </c>
      <c r="B912" s="1" t="n">
        <v>45232</v>
      </c>
      <c r="C912" s="1" t="n">
        <v>46154</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59924-2025</t>
        </is>
      </c>
      <c r="B913" s="1" t="n">
        <v>45993.38928240741</v>
      </c>
      <c r="C913" s="1" t="n">
        <v>46154</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13171-2025</t>
        </is>
      </c>
      <c r="B914" s="1" t="n">
        <v>45735.36594907408</v>
      </c>
      <c r="C914" s="1" t="n">
        <v>46154</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12299-2025</t>
        </is>
      </c>
      <c r="B915" s="1" t="n">
        <v>45729.71065972222</v>
      </c>
      <c r="C915" s="1" t="n">
        <v>46154</v>
      </c>
      <c r="D915" t="inlineStr">
        <is>
          <t>STOCKHOLMS LÄN</t>
        </is>
      </c>
      <c r="E915" t="inlineStr">
        <is>
          <t>NORRTÄLJE</t>
        </is>
      </c>
      <c r="F915" t="inlineStr">
        <is>
          <t>Holmen skog AB</t>
        </is>
      </c>
      <c r="G915" t="n">
        <v>6.9</v>
      </c>
      <c r="H915" t="n">
        <v>0</v>
      </c>
      <c r="I915" t="n">
        <v>0</v>
      </c>
      <c r="J915" t="n">
        <v>0</v>
      </c>
      <c r="K915" t="n">
        <v>0</v>
      </c>
      <c r="L915" t="n">
        <v>0</v>
      </c>
      <c r="M915" t="n">
        <v>0</v>
      </c>
      <c r="N915" t="n">
        <v>0</v>
      </c>
      <c r="O915" t="n">
        <v>0</v>
      </c>
      <c r="P915" t="n">
        <v>0</v>
      </c>
      <c r="Q915" t="n">
        <v>0</v>
      </c>
      <c r="R915" s="2" t="inlineStr"/>
    </row>
    <row r="916" ht="15" customHeight="1">
      <c r="A916" t="inlineStr">
        <is>
          <t>A 11900-2024</t>
        </is>
      </c>
      <c r="B916" s="1" t="n">
        <v>45376.55484953704</v>
      </c>
      <c r="C916" s="1" t="n">
        <v>46154</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43300-2023</t>
        </is>
      </c>
      <c r="B917" s="1" t="n">
        <v>45183</v>
      </c>
      <c r="C917" s="1" t="n">
        <v>46154</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13276-2022</t>
        </is>
      </c>
      <c r="B918" s="1" t="n">
        <v>44644</v>
      </c>
      <c r="C918" s="1" t="n">
        <v>46154</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60649-2025</t>
        </is>
      </c>
      <c r="B919" s="1" t="n">
        <v>45996.4560300926</v>
      </c>
      <c r="C919" s="1" t="n">
        <v>46154</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11900-2022</t>
        </is>
      </c>
      <c r="B920" s="1" t="n">
        <v>44635</v>
      </c>
      <c r="C920" s="1" t="n">
        <v>46154</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14724-2022</t>
        </is>
      </c>
      <c r="B921" s="1" t="n">
        <v>44656</v>
      </c>
      <c r="C921" s="1" t="n">
        <v>46154</v>
      </c>
      <c r="D921" t="inlineStr">
        <is>
          <t>STOCKHOLMS LÄN</t>
        </is>
      </c>
      <c r="E921" t="inlineStr">
        <is>
          <t>NORRTÄLJE</t>
        </is>
      </c>
      <c r="F921" t="inlineStr">
        <is>
          <t>Sveaskog</t>
        </is>
      </c>
      <c r="G921" t="n">
        <v>9</v>
      </c>
      <c r="H921" t="n">
        <v>0</v>
      </c>
      <c r="I921" t="n">
        <v>0</v>
      </c>
      <c r="J921" t="n">
        <v>0</v>
      </c>
      <c r="K921" t="n">
        <v>0</v>
      </c>
      <c r="L921" t="n">
        <v>0</v>
      </c>
      <c r="M921" t="n">
        <v>0</v>
      </c>
      <c r="N921" t="n">
        <v>0</v>
      </c>
      <c r="O921" t="n">
        <v>0</v>
      </c>
      <c r="P921" t="n">
        <v>0</v>
      </c>
      <c r="Q921" t="n">
        <v>0</v>
      </c>
      <c r="R921" s="2" t="inlineStr"/>
    </row>
    <row r="922" ht="15" customHeight="1">
      <c r="A922" t="inlineStr">
        <is>
          <t>A 4580-2025</t>
        </is>
      </c>
      <c r="B922" s="1" t="n">
        <v>45687.5038425926</v>
      </c>
      <c r="C922" s="1" t="n">
        <v>46154</v>
      </c>
      <c r="D922" t="inlineStr">
        <is>
          <t>STOCKHOLMS LÄN</t>
        </is>
      </c>
      <c r="E922" t="inlineStr">
        <is>
          <t>NORRTÄLJE</t>
        </is>
      </c>
      <c r="F922" t="inlineStr">
        <is>
          <t>Holmen skog AB</t>
        </is>
      </c>
      <c r="G922" t="n">
        <v>4.8</v>
      </c>
      <c r="H922" t="n">
        <v>0</v>
      </c>
      <c r="I922" t="n">
        <v>0</v>
      </c>
      <c r="J922" t="n">
        <v>0</v>
      </c>
      <c r="K922" t="n">
        <v>0</v>
      </c>
      <c r="L922" t="n">
        <v>0</v>
      </c>
      <c r="M922" t="n">
        <v>0</v>
      </c>
      <c r="N922" t="n">
        <v>0</v>
      </c>
      <c r="O922" t="n">
        <v>0</v>
      </c>
      <c r="P922" t="n">
        <v>0</v>
      </c>
      <c r="Q922" t="n">
        <v>0</v>
      </c>
      <c r="R922" s="2" t="inlineStr"/>
    </row>
    <row r="923" ht="15" customHeight="1">
      <c r="A923" t="inlineStr">
        <is>
          <t>A 16202-2022</t>
        </is>
      </c>
      <c r="B923" s="1" t="n">
        <v>44670</v>
      </c>
      <c r="C923" s="1" t="n">
        <v>46154</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6003-2025</t>
        </is>
      </c>
      <c r="B924" s="1" t="n">
        <v>45695.57881944445</v>
      </c>
      <c r="C924" s="1" t="n">
        <v>46154</v>
      </c>
      <c r="D924" t="inlineStr">
        <is>
          <t>STOCKHOLMS LÄN</t>
        </is>
      </c>
      <c r="E924" t="inlineStr">
        <is>
          <t>NORRTÄLJE</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52321-2024</t>
        </is>
      </c>
      <c r="B925" s="1" t="n">
        <v>45608</v>
      </c>
      <c r="C925" s="1" t="n">
        <v>46154</v>
      </c>
      <c r="D925" t="inlineStr">
        <is>
          <t>STOCKHOLMS LÄN</t>
        </is>
      </c>
      <c r="E925" t="inlineStr">
        <is>
          <t>NORRTÄLJE</t>
        </is>
      </c>
      <c r="G925" t="n">
        <v>18.1</v>
      </c>
      <c r="H925" t="n">
        <v>0</v>
      </c>
      <c r="I925" t="n">
        <v>0</v>
      </c>
      <c r="J925" t="n">
        <v>0</v>
      </c>
      <c r="K925" t="n">
        <v>0</v>
      </c>
      <c r="L925" t="n">
        <v>0</v>
      </c>
      <c r="M925" t="n">
        <v>0</v>
      </c>
      <c r="N925" t="n">
        <v>0</v>
      </c>
      <c r="O925" t="n">
        <v>0</v>
      </c>
      <c r="P925" t="n">
        <v>0</v>
      </c>
      <c r="Q925" t="n">
        <v>0</v>
      </c>
      <c r="R925" s="2" t="inlineStr"/>
    </row>
    <row r="926" ht="15" customHeight="1">
      <c r="A926" t="inlineStr">
        <is>
          <t>A 60745-2025</t>
        </is>
      </c>
      <c r="B926" s="1" t="n">
        <v>45999.37753472223</v>
      </c>
      <c r="C926" s="1" t="n">
        <v>46154</v>
      </c>
      <c r="D926" t="inlineStr">
        <is>
          <t>STOCKHOLMS LÄN</t>
        </is>
      </c>
      <c r="E926" t="inlineStr">
        <is>
          <t>NORRTÄLJE</t>
        </is>
      </c>
      <c r="G926" t="n">
        <v>2</v>
      </c>
      <c r="H926" t="n">
        <v>0</v>
      </c>
      <c r="I926" t="n">
        <v>0</v>
      </c>
      <c r="J926" t="n">
        <v>0</v>
      </c>
      <c r="K926" t="n">
        <v>0</v>
      </c>
      <c r="L926" t="n">
        <v>0</v>
      </c>
      <c r="M926" t="n">
        <v>0</v>
      </c>
      <c r="N926" t="n">
        <v>0</v>
      </c>
      <c r="O926" t="n">
        <v>0</v>
      </c>
      <c r="P926" t="n">
        <v>0</v>
      </c>
      <c r="Q926" t="n">
        <v>0</v>
      </c>
      <c r="R926" s="2" t="inlineStr"/>
    </row>
    <row r="927" ht="15" customHeight="1">
      <c r="A927" t="inlineStr">
        <is>
          <t>A 54558-2024</t>
        </is>
      </c>
      <c r="B927" s="1" t="n">
        <v>45617.62358796296</v>
      </c>
      <c r="C927" s="1" t="n">
        <v>46154</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22157-2023</t>
        </is>
      </c>
      <c r="B928" s="1" t="n">
        <v>45069</v>
      </c>
      <c r="C928" s="1" t="n">
        <v>46154</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c r="U928">
        <f>HYPERLINK("https://klasma.github.io/Logging_0188/knärot/A 22157-2023 karta knärot.png", "A 22157-2023")</f>
        <v/>
      </c>
      <c r="V928">
        <f>HYPERLINK("https://klasma.github.io/Logging_0188/klagomål/A 22157-2023 FSC-klagomål.docx", "A 22157-2023")</f>
        <v/>
      </c>
      <c r="W928">
        <f>HYPERLINK("https://klasma.github.io/Logging_0188/klagomålsmail/A 22157-2023 FSC-klagomål mail.docx", "A 22157-2023")</f>
        <v/>
      </c>
      <c r="X928">
        <f>HYPERLINK("https://klasma.github.io/Logging_0188/tillsyn/A 22157-2023 tillsynsbegäran.docx", "A 22157-2023")</f>
        <v/>
      </c>
      <c r="Y928">
        <f>HYPERLINK("https://klasma.github.io/Logging_0188/tillsynsmail/A 22157-2023 tillsynsbegäran mail.docx", "A 22157-2023")</f>
        <v/>
      </c>
    </row>
    <row r="929" ht="15" customHeight="1">
      <c r="A929" t="inlineStr">
        <is>
          <t>A 60928-2025</t>
        </is>
      </c>
      <c r="B929" s="1" t="n">
        <v>45999.633125</v>
      </c>
      <c r="C929" s="1" t="n">
        <v>46154</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60948-2025</t>
        </is>
      </c>
      <c r="B930" s="1" t="n">
        <v>45999.650625</v>
      </c>
      <c r="C930" s="1" t="n">
        <v>46154</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48633-2023</t>
        </is>
      </c>
      <c r="B931" s="1" t="n">
        <v>45208.58004629629</v>
      </c>
      <c r="C931" s="1" t="n">
        <v>46154</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61160-2025</t>
        </is>
      </c>
      <c r="B932" s="1" t="n">
        <v>46000.55262731481</v>
      </c>
      <c r="C932" s="1" t="n">
        <v>46154</v>
      </c>
      <c r="D932" t="inlineStr">
        <is>
          <t>STOCKHOLMS LÄN</t>
        </is>
      </c>
      <c r="E932" t="inlineStr">
        <is>
          <t>NORRTÄLJE</t>
        </is>
      </c>
      <c r="G932" t="n">
        <v>5.3</v>
      </c>
      <c r="H932" t="n">
        <v>0</v>
      </c>
      <c r="I932" t="n">
        <v>0</v>
      </c>
      <c r="J932" t="n">
        <v>0</v>
      </c>
      <c r="K932" t="n">
        <v>0</v>
      </c>
      <c r="L932" t="n">
        <v>0</v>
      </c>
      <c r="M932" t="n">
        <v>0</v>
      </c>
      <c r="N932" t="n">
        <v>0</v>
      </c>
      <c r="O932" t="n">
        <v>0</v>
      </c>
      <c r="P932" t="n">
        <v>0</v>
      </c>
      <c r="Q932" t="n">
        <v>0</v>
      </c>
      <c r="R932" s="2" t="inlineStr"/>
    </row>
    <row r="933" ht="15" customHeight="1">
      <c r="A933" t="inlineStr">
        <is>
          <t>A 47419-2023</t>
        </is>
      </c>
      <c r="B933" s="1" t="n">
        <v>45202.65660879629</v>
      </c>
      <c r="C933" s="1" t="n">
        <v>46154</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652-2025</t>
        </is>
      </c>
      <c r="B934" s="1" t="n">
        <v>45664</v>
      </c>
      <c r="C934" s="1" t="n">
        <v>46154</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10653-2022</t>
        </is>
      </c>
      <c r="B935" s="1" t="n">
        <v>44624.59434027778</v>
      </c>
      <c r="C935" s="1" t="n">
        <v>46154</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61769-2025</t>
        </is>
      </c>
      <c r="B936" s="1" t="n">
        <v>46002.64556712963</v>
      </c>
      <c r="C936" s="1" t="n">
        <v>46154</v>
      </c>
      <c r="D936" t="inlineStr">
        <is>
          <t>STOCKHOLMS LÄN</t>
        </is>
      </c>
      <c r="E936" t="inlineStr">
        <is>
          <t>NORRTÄLJE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35695-2023</t>
        </is>
      </c>
      <c r="B937" s="1" t="n">
        <v>45147.65407407407</v>
      </c>
      <c r="C937" s="1" t="n">
        <v>46154</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18665-2022</t>
        </is>
      </c>
      <c r="B938" s="1" t="n">
        <v>44687</v>
      </c>
      <c r="C938" s="1" t="n">
        <v>46154</v>
      </c>
      <c r="D938" t="inlineStr">
        <is>
          <t>STOCKHOLMS LÄN</t>
        </is>
      </c>
      <c r="E938" t="inlineStr">
        <is>
          <t>NORRTÄLJE</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17574-2025</t>
        </is>
      </c>
      <c r="B939" s="1" t="n">
        <v>45757.65178240741</v>
      </c>
      <c r="C939" s="1" t="n">
        <v>46154</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20370-2025</t>
        </is>
      </c>
      <c r="B940" s="1" t="n">
        <v>45775.41451388889</v>
      </c>
      <c r="C940" s="1" t="n">
        <v>46154</v>
      </c>
      <c r="D940" t="inlineStr">
        <is>
          <t>STOCKHOLMS LÄN</t>
        </is>
      </c>
      <c r="E940" t="inlineStr">
        <is>
          <t>NORRTÄLJE</t>
        </is>
      </c>
      <c r="G940" t="n">
        <v>2.9</v>
      </c>
      <c r="H940" t="n">
        <v>0</v>
      </c>
      <c r="I940" t="n">
        <v>0</v>
      </c>
      <c r="J940" t="n">
        <v>0</v>
      </c>
      <c r="K940" t="n">
        <v>0</v>
      </c>
      <c r="L940" t="n">
        <v>0</v>
      </c>
      <c r="M940" t="n">
        <v>0</v>
      </c>
      <c r="N940" t="n">
        <v>0</v>
      </c>
      <c r="O940" t="n">
        <v>0</v>
      </c>
      <c r="P940" t="n">
        <v>0</v>
      </c>
      <c r="Q940" t="n">
        <v>0</v>
      </c>
      <c r="R940" s="2" t="inlineStr"/>
    </row>
    <row r="941" ht="15" customHeight="1">
      <c r="A941" t="inlineStr">
        <is>
          <t>A 61764-2025</t>
        </is>
      </c>
      <c r="B941" s="1" t="n">
        <v>46002.62763888889</v>
      </c>
      <c r="C941" s="1" t="n">
        <v>46154</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19982-2022</t>
        </is>
      </c>
      <c r="B942" s="1" t="n">
        <v>44697</v>
      </c>
      <c r="C942" s="1" t="n">
        <v>46154</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61289-2025</t>
        </is>
      </c>
      <c r="B943" s="1" t="n">
        <v>46000.73659722223</v>
      </c>
      <c r="C943" s="1" t="n">
        <v>46154</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61419-2025</t>
        </is>
      </c>
      <c r="B944" s="1" t="n">
        <v>46001.54137731482</v>
      </c>
      <c r="C944" s="1" t="n">
        <v>46154</v>
      </c>
      <c r="D944" t="inlineStr">
        <is>
          <t>STOCKHOLMS LÄN</t>
        </is>
      </c>
      <c r="E944" t="inlineStr">
        <is>
          <t>NORRTÄLJE</t>
        </is>
      </c>
      <c r="G944" t="n">
        <v>5.2</v>
      </c>
      <c r="H944" t="n">
        <v>0</v>
      </c>
      <c r="I944" t="n">
        <v>0</v>
      </c>
      <c r="J944" t="n">
        <v>0</v>
      </c>
      <c r="K944" t="n">
        <v>0</v>
      </c>
      <c r="L944" t="n">
        <v>0</v>
      </c>
      <c r="M944" t="n">
        <v>0</v>
      </c>
      <c r="N944" t="n">
        <v>0</v>
      </c>
      <c r="O944" t="n">
        <v>0</v>
      </c>
      <c r="P944" t="n">
        <v>0</v>
      </c>
      <c r="Q944" t="n">
        <v>0</v>
      </c>
      <c r="R944" s="2" t="inlineStr"/>
    </row>
    <row r="945" ht="15" customHeight="1">
      <c r="A945" t="inlineStr">
        <is>
          <t>A 61430-2025</t>
        </is>
      </c>
      <c r="B945" s="1" t="n">
        <v>46001.55583333333</v>
      </c>
      <c r="C945" s="1" t="n">
        <v>46154</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61452-2025</t>
        </is>
      </c>
      <c r="B946" s="1" t="n">
        <v>46001.58043981482</v>
      </c>
      <c r="C946" s="1" t="n">
        <v>46154</v>
      </c>
      <c r="D946" t="inlineStr">
        <is>
          <t>STOCKHOLMS LÄN</t>
        </is>
      </c>
      <c r="E946" t="inlineStr">
        <is>
          <t>NORRTÄLJE</t>
        </is>
      </c>
      <c r="F946" t="inlineStr">
        <is>
          <t>Holmen skog AB</t>
        </is>
      </c>
      <c r="G946" t="n">
        <v>3.7</v>
      </c>
      <c r="H946" t="n">
        <v>0</v>
      </c>
      <c r="I946" t="n">
        <v>0</v>
      </c>
      <c r="J946" t="n">
        <v>0</v>
      </c>
      <c r="K946" t="n">
        <v>0</v>
      </c>
      <c r="L946" t="n">
        <v>0</v>
      </c>
      <c r="M946" t="n">
        <v>0</v>
      </c>
      <c r="N946" t="n">
        <v>0</v>
      </c>
      <c r="O946" t="n">
        <v>0</v>
      </c>
      <c r="P946" t="n">
        <v>0</v>
      </c>
      <c r="Q946" t="n">
        <v>0</v>
      </c>
      <c r="R946" s="2" t="inlineStr"/>
    </row>
    <row r="947" ht="15" customHeight="1">
      <c r="A947" t="inlineStr">
        <is>
          <t>A 35438-2023</t>
        </is>
      </c>
      <c r="B947" s="1" t="n">
        <v>45146</v>
      </c>
      <c r="C947" s="1" t="n">
        <v>46154</v>
      </c>
      <c r="D947" t="inlineStr">
        <is>
          <t>STOCKHOLMS LÄN</t>
        </is>
      </c>
      <c r="E947" t="inlineStr">
        <is>
          <t>NORRTÄLJE</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33878-2024</t>
        </is>
      </c>
      <c r="B948" s="1" t="n">
        <v>45522.44414351852</v>
      </c>
      <c r="C948" s="1" t="n">
        <v>46154</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4183-2025</t>
        </is>
      </c>
      <c r="B949" s="1" t="n">
        <v>45685.44592592592</v>
      </c>
      <c r="C949" s="1" t="n">
        <v>46154</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17556-2025</t>
        </is>
      </c>
      <c r="B950" s="1" t="n">
        <v>45757.62482638889</v>
      </c>
      <c r="C950" s="1" t="n">
        <v>46154</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41335-2023</t>
        </is>
      </c>
      <c r="B951" s="1" t="n">
        <v>45174.68702546296</v>
      </c>
      <c r="C951" s="1" t="n">
        <v>46154</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53499-2025</t>
        </is>
      </c>
      <c r="B952" s="1" t="n">
        <v>45960</v>
      </c>
      <c r="C952" s="1" t="n">
        <v>46154</v>
      </c>
      <c r="D952" t="inlineStr">
        <is>
          <t>STOCKHOLMS LÄN</t>
        </is>
      </c>
      <c r="E952" t="inlineStr">
        <is>
          <t>NORRTÄLJE</t>
        </is>
      </c>
      <c r="G952" t="n">
        <v>23.8</v>
      </c>
      <c r="H952" t="n">
        <v>0</v>
      </c>
      <c r="I952" t="n">
        <v>0</v>
      </c>
      <c r="J952" t="n">
        <v>0</v>
      </c>
      <c r="K952" t="n">
        <v>0</v>
      </c>
      <c r="L952" t="n">
        <v>0</v>
      </c>
      <c r="M952" t="n">
        <v>0</v>
      </c>
      <c r="N952" t="n">
        <v>0</v>
      </c>
      <c r="O952" t="n">
        <v>0</v>
      </c>
      <c r="P952" t="n">
        <v>0</v>
      </c>
      <c r="Q952" t="n">
        <v>0</v>
      </c>
      <c r="R952" s="2" t="inlineStr"/>
    </row>
    <row r="953" ht="15" customHeight="1">
      <c r="A953" t="inlineStr">
        <is>
          <t>A 4484-2025</t>
        </is>
      </c>
      <c r="B953" s="1" t="n">
        <v>45686.65545138889</v>
      </c>
      <c r="C953" s="1" t="n">
        <v>46154</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8419-2025</t>
        </is>
      </c>
      <c r="B954" s="1" t="n">
        <v>45709.40231481481</v>
      </c>
      <c r="C954" s="1" t="n">
        <v>46154</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21480-2022</t>
        </is>
      </c>
      <c r="B955" s="1" t="n">
        <v>44704</v>
      </c>
      <c r="C955" s="1" t="n">
        <v>46154</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62708-2025</t>
        </is>
      </c>
      <c r="B956" s="1" t="n">
        <v>46008.50986111111</v>
      </c>
      <c r="C956" s="1" t="n">
        <v>46154</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62689-2025</t>
        </is>
      </c>
      <c r="B957" s="1" t="n">
        <v>46008.47171296296</v>
      </c>
      <c r="C957" s="1" t="n">
        <v>46154</v>
      </c>
      <c r="D957" t="inlineStr">
        <is>
          <t>STOCKHOLMS LÄN</t>
        </is>
      </c>
      <c r="E957" t="inlineStr">
        <is>
          <t>NORRTÄLJE</t>
        </is>
      </c>
      <c r="F957" t="inlineStr">
        <is>
          <t>Kyrkan</t>
        </is>
      </c>
      <c r="G957" t="n">
        <v>0.7</v>
      </c>
      <c r="H957" t="n">
        <v>0</v>
      </c>
      <c r="I957" t="n">
        <v>0</v>
      </c>
      <c r="J957" t="n">
        <v>0</v>
      </c>
      <c r="K957" t="n">
        <v>0</v>
      </c>
      <c r="L957" t="n">
        <v>0</v>
      </c>
      <c r="M957" t="n">
        <v>0</v>
      </c>
      <c r="N957" t="n">
        <v>0</v>
      </c>
      <c r="O957" t="n">
        <v>0</v>
      </c>
      <c r="P957" t="n">
        <v>0</v>
      </c>
      <c r="Q957" t="n">
        <v>0</v>
      </c>
      <c r="R957" s="2" t="inlineStr"/>
    </row>
    <row r="958" ht="15" customHeight="1">
      <c r="A958" t="inlineStr">
        <is>
          <t>A 1654-2025</t>
        </is>
      </c>
      <c r="B958" s="1" t="n">
        <v>45670.65921296296</v>
      </c>
      <c r="C958" s="1" t="n">
        <v>46154</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33279-2025</t>
        </is>
      </c>
      <c r="B959" s="1" t="n">
        <v>45840</v>
      </c>
      <c r="C959" s="1" t="n">
        <v>46154</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48686-2023</t>
        </is>
      </c>
      <c r="B960" s="1" t="n">
        <v>45208</v>
      </c>
      <c r="C960" s="1" t="n">
        <v>46154</v>
      </c>
      <c r="D960" t="inlineStr">
        <is>
          <t>STOCKHOLMS LÄN</t>
        </is>
      </c>
      <c r="E960" t="inlineStr">
        <is>
          <t>NORRTÄLJE</t>
        </is>
      </c>
      <c r="G960" t="n">
        <v>6</v>
      </c>
      <c r="H960" t="n">
        <v>0</v>
      </c>
      <c r="I960" t="n">
        <v>0</v>
      </c>
      <c r="J960" t="n">
        <v>0</v>
      </c>
      <c r="K960" t="n">
        <v>0</v>
      </c>
      <c r="L960" t="n">
        <v>0</v>
      </c>
      <c r="M960" t="n">
        <v>0</v>
      </c>
      <c r="N960" t="n">
        <v>0</v>
      </c>
      <c r="O960" t="n">
        <v>0</v>
      </c>
      <c r="P960" t="n">
        <v>0</v>
      </c>
      <c r="Q960" t="n">
        <v>0</v>
      </c>
      <c r="R960" s="2" t="inlineStr"/>
    </row>
    <row r="961" ht="15" customHeight="1">
      <c r="A961" t="inlineStr">
        <is>
          <t>A 48691-2023</t>
        </is>
      </c>
      <c r="B961" s="1" t="n">
        <v>45208</v>
      </c>
      <c r="C961" s="1" t="n">
        <v>46154</v>
      </c>
      <c r="D961" t="inlineStr">
        <is>
          <t>STOCKHOLMS LÄN</t>
        </is>
      </c>
      <c r="E961" t="inlineStr">
        <is>
          <t>NORRTÄLJE</t>
        </is>
      </c>
      <c r="G961" t="n">
        <v>5.8</v>
      </c>
      <c r="H961" t="n">
        <v>0</v>
      </c>
      <c r="I961" t="n">
        <v>0</v>
      </c>
      <c r="J961" t="n">
        <v>0</v>
      </c>
      <c r="K961" t="n">
        <v>0</v>
      </c>
      <c r="L961" t="n">
        <v>0</v>
      </c>
      <c r="M961" t="n">
        <v>0</v>
      </c>
      <c r="N961" t="n">
        <v>0</v>
      </c>
      <c r="O961" t="n">
        <v>0</v>
      </c>
      <c r="P961" t="n">
        <v>0</v>
      </c>
      <c r="Q961" t="n">
        <v>0</v>
      </c>
      <c r="R961" s="2" t="inlineStr"/>
    </row>
    <row r="962" ht="15" customHeight="1">
      <c r="A962" t="inlineStr">
        <is>
          <t>A 55243-2023</t>
        </is>
      </c>
      <c r="B962" s="1" t="n">
        <v>45237</v>
      </c>
      <c r="C962" s="1" t="n">
        <v>46154</v>
      </c>
      <c r="D962" t="inlineStr">
        <is>
          <t>STOCKHOLMS LÄN</t>
        </is>
      </c>
      <c r="E962" t="inlineStr">
        <is>
          <t>NORRTÄLJE</t>
        </is>
      </c>
      <c r="G962" t="n">
        <v>6.5</v>
      </c>
      <c r="H962" t="n">
        <v>0</v>
      </c>
      <c r="I962" t="n">
        <v>0</v>
      </c>
      <c r="J962" t="n">
        <v>0</v>
      </c>
      <c r="K962" t="n">
        <v>0</v>
      </c>
      <c r="L962" t="n">
        <v>0</v>
      </c>
      <c r="M962" t="n">
        <v>0</v>
      </c>
      <c r="N962" t="n">
        <v>0</v>
      </c>
      <c r="O962" t="n">
        <v>0</v>
      </c>
      <c r="P962" t="n">
        <v>0</v>
      </c>
      <c r="Q962" t="n">
        <v>0</v>
      </c>
      <c r="R962" s="2" t="inlineStr"/>
    </row>
    <row r="963" ht="15" customHeight="1">
      <c r="A963" t="inlineStr">
        <is>
          <t>A 35210-2023</t>
        </is>
      </c>
      <c r="B963" s="1" t="n">
        <v>45145.63584490741</v>
      </c>
      <c r="C963" s="1" t="n">
        <v>46154</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62681-2025</t>
        </is>
      </c>
      <c r="B964" s="1" t="n">
        <v>46008.45534722223</v>
      </c>
      <c r="C964" s="1" t="n">
        <v>46154</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6678-2025</t>
        </is>
      </c>
      <c r="B965" s="1" t="n">
        <v>45700</v>
      </c>
      <c r="C965" s="1" t="n">
        <v>46154</v>
      </c>
      <c r="D965" t="inlineStr">
        <is>
          <t>STOCKHOLMS LÄN</t>
        </is>
      </c>
      <c r="E965" t="inlineStr">
        <is>
          <t>NORRTÄLJE</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34478-2025</t>
        </is>
      </c>
      <c r="B966" s="1" t="n">
        <v>45847</v>
      </c>
      <c r="C966" s="1" t="n">
        <v>46154</v>
      </c>
      <c r="D966" t="inlineStr">
        <is>
          <t>STOCKHOLMS LÄN</t>
        </is>
      </c>
      <c r="E966" t="inlineStr">
        <is>
          <t>NORRTÄLJE</t>
        </is>
      </c>
      <c r="F966" t="inlineStr">
        <is>
          <t>Övriga Aktiebolag</t>
        </is>
      </c>
      <c r="G966" t="n">
        <v>10.8</v>
      </c>
      <c r="H966" t="n">
        <v>0</v>
      </c>
      <c r="I966" t="n">
        <v>0</v>
      </c>
      <c r="J966" t="n">
        <v>0</v>
      </c>
      <c r="K966" t="n">
        <v>0</v>
      </c>
      <c r="L966" t="n">
        <v>0</v>
      </c>
      <c r="M966" t="n">
        <v>0</v>
      </c>
      <c r="N966" t="n">
        <v>0</v>
      </c>
      <c r="O966" t="n">
        <v>0</v>
      </c>
      <c r="P966" t="n">
        <v>0</v>
      </c>
      <c r="Q966" t="n">
        <v>0</v>
      </c>
      <c r="R966" s="2" t="inlineStr"/>
    </row>
    <row r="967" ht="15" customHeight="1">
      <c r="A967" t="inlineStr">
        <is>
          <t>A 17612-2022</t>
        </is>
      </c>
      <c r="B967" s="1" t="n">
        <v>44680</v>
      </c>
      <c r="C967" s="1" t="n">
        <v>46154</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58297-2023</t>
        </is>
      </c>
      <c r="B968" s="1" t="n">
        <v>45245</v>
      </c>
      <c r="C968" s="1" t="n">
        <v>46154</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62922-2025</t>
        </is>
      </c>
      <c r="B969" s="1" t="n">
        <v>46009.38064814815</v>
      </c>
      <c r="C969" s="1" t="n">
        <v>46154</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21726-2022</t>
        </is>
      </c>
      <c r="B970" s="1" t="n">
        <v>44708</v>
      </c>
      <c r="C970" s="1" t="n">
        <v>46154</v>
      </c>
      <c r="D970" t="inlineStr">
        <is>
          <t>STOCKHOLMS LÄN</t>
        </is>
      </c>
      <c r="E970" t="inlineStr">
        <is>
          <t>NORRTÄLJE</t>
        </is>
      </c>
      <c r="G970" t="n">
        <v>0.2</v>
      </c>
      <c r="H970" t="n">
        <v>0</v>
      </c>
      <c r="I970" t="n">
        <v>0</v>
      </c>
      <c r="J970" t="n">
        <v>0</v>
      </c>
      <c r="K970" t="n">
        <v>0</v>
      </c>
      <c r="L970" t="n">
        <v>0</v>
      </c>
      <c r="M970" t="n">
        <v>0</v>
      </c>
      <c r="N970" t="n">
        <v>0</v>
      </c>
      <c r="O970" t="n">
        <v>0</v>
      </c>
      <c r="P970" t="n">
        <v>0</v>
      </c>
      <c r="Q970" t="n">
        <v>0</v>
      </c>
      <c r="R970" s="2" t="inlineStr"/>
    </row>
    <row r="971" ht="15" customHeight="1">
      <c r="A971" t="inlineStr">
        <is>
          <t>A 21739-2022</t>
        </is>
      </c>
      <c r="B971" s="1" t="n">
        <v>44708.36708333333</v>
      </c>
      <c r="C971" s="1" t="n">
        <v>46154</v>
      </c>
      <c r="D971" t="inlineStr">
        <is>
          <t>STOCKHOLMS LÄN</t>
        </is>
      </c>
      <c r="E971" t="inlineStr">
        <is>
          <t>NORRTÄLJE</t>
        </is>
      </c>
      <c r="F971" t="inlineStr">
        <is>
          <t>Holmen skog AB</t>
        </is>
      </c>
      <c r="G971" t="n">
        <v>1.1</v>
      </c>
      <c r="H971" t="n">
        <v>0</v>
      </c>
      <c r="I971" t="n">
        <v>0</v>
      </c>
      <c r="J971" t="n">
        <v>0</v>
      </c>
      <c r="K971" t="n">
        <v>0</v>
      </c>
      <c r="L971" t="n">
        <v>0</v>
      </c>
      <c r="M971" t="n">
        <v>0</v>
      </c>
      <c r="N971" t="n">
        <v>0</v>
      </c>
      <c r="O971" t="n">
        <v>0</v>
      </c>
      <c r="P971" t="n">
        <v>0</v>
      </c>
      <c r="Q971" t="n">
        <v>0</v>
      </c>
      <c r="R971" s="2" t="inlineStr"/>
    </row>
    <row r="972" ht="15" customHeight="1">
      <c r="A972" t="inlineStr">
        <is>
          <t>A 28182-2022</t>
        </is>
      </c>
      <c r="B972" s="1" t="n">
        <v>44746.58530092592</v>
      </c>
      <c r="C972" s="1" t="n">
        <v>46154</v>
      </c>
      <c r="D972" t="inlineStr">
        <is>
          <t>STOCKHOLMS LÄN</t>
        </is>
      </c>
      <c r="E972" t="inlineStr">
        <is>
          <t>NORRTÄLJE</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3283-2025</t>
        </is>
      </c>
      <c r="B973" s="1" t="n">
        <v>45679</v>
      </c>
      <c r="C973" s="1" t="n">
        <v>46154</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18092-2022</t>
        </is>
      </c>
      <c r="B974" s="1" t="n">
        <v>44684</v>
      </c>
      <c r="C974" s="1" t="n">
        <v>46154</v>
      </c>
      <c r="D974" t="inlineStr">
        <is>
          <t>STOCKHOLMS LÄN</t>
        </is>
      </c>
      <c r="E974" t="inlineStr">
        <is>
          <t>NORRTÄLJE</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33295-2023</t>
        </is>
      </c>
      <c r="B975" s="1" t="n">
        <v>45127.69371527778</v>
      </c>
      <c r="C975" s="1" t="n">
        <v>46154</v>
      </c>
      <c r="D975" t="inlineStr">
        <is>
          <t>STOCKHOLMS LÄN</t>
        </is>
      </c>
      <c r="E975" t="inlineStr">
        <is>
          <t>NORRTÄLJE</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58404-2023</t>
        </is>
      </c>
      <c r="B976" s="1" t="n">
        <v>45245</v>
      </c>
      <c r="C976" s="1" t="n">
        <v>46154</v>
      </c>
      <c r="D976" t="inlineStr">
        <is>
          <t>STOCKHOLMS LÄN</t>
        </is>
      </c>
      <c r="E976" t="inlineStr">
        <is>
          <t>NORRTÄLJE</t>
        </is>
      </c>
      <c r="G976" t="n">
        <v>53.5</v>
      </c>
      <c r="H976" t="n">
        <v>0</v>
      </c>
      <c r="I976" t="n">
        <v>0</v>
      </c>
      <c r="J976" t="n">
        <v>0</v>
      </c>
      <c r="K976" t="n">
        <v>0</v>
      </c>
      <c r="L976" t="n">
        <v>0</v>
      </c>
      <c r="M976" t="n">
        <v>0</v>
      </c>
      <c r="N976" t="n">
        <v>0</v>
      </c>
      <c r="O976" t="n">
        <v>0</v>
      </c>
      <c r="P976" t="n">
        <v>0</v>
      </c>
      <c r="Q976" t="n">
        <v>0</v>
      </c>
      <c r="R976" s="2" t="inlineStr"/>
    </row>
    <row r="977" ht="15" customHeight="1">
      <c r="A977" t="inlineStr">
        <is>
          <t>A 27885-2022</t>
        </is>
      </c>
      <c r="B977" s="1" t="n">
        <v>44743.67418981482</v>
      </c>
      <c r="C977" s="1" t="n">
        <v>46154</v>
      </c>
      <c r="D977" t="inlineStr">
        <is>
          <t>STOCKHOLMS LÄN</t>
        </is>
      </c>
      <c r="E977" t="inlineStr">
        <is>
          <t>NORRTÄLJE</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25525-2022</t>
        </is>
      </c>
      <c r="B978" s="1" t="n">
        <v>44732</v>
      </c>
      <c r="C978" s="1" t="n">
        <v>46154</v>
      </c>
      <c r="D978" t="inlineStr">
        <is>
          <t>STOCKHOLMS LÄN</t>
        </is>
      </c>
      <c r="E978" t="inlineStr">
        <is>
          <t>NORRTÄLJE</t>
        </is>
      </c>
      <c r="G978" t="n">
        <v>2.2</v>
      </c>
      <c r="H978" t="n">
        <v>0</v>
      </c>
      <c r="I978" t="n">
        <v>0</v>
      </c>
      <c r="J978" t="n">
        <v>0</v>
      </c>
      <c r="K978" t="n">
        <v>0</v>
      </c>
      <c r="L978" t="n">
        <v>0</v>
      </c>
      <c r="M978" t="n">
        <v>0</v>
      </c>
      <c r="N978" t="n">
        <v>0</v>
      </c>
      <c r="O978" t="n">
        <v>0</v>
      </c>
      <c r="P978" t="n">
        <v>0</v>
      </c>
      <c r="Q978" t="n">
        <v>0</v>
      </c>
      <c r="R978" s="2" t="inlineStr"/>
    </row>
    <row r="979" ht="15" customHeight="1">
      <c r="A979" t="inlineStr">
        <is>
          <t>A 48722-2023</t>
        </is>
      </c>
      <c r="B979" s="1" t="n">
        <v>45208.70996527778</v>
      </c>
      <c r="C979" s="1" t="n">
        <v>46154</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23801-2022</t>
        </is>
      </c>
      <c r="B980" s="1" t="n">
        <v>44722</v>
      </c>
      <c r="C980" s="1" t="n">
        <v>46154</v>
      </c>
      <c r="D980" t="inlineStr">
        <is>
          <t>STOCKHOLMS LÄN</t>
        </is>
      </c>
      <c r="E980" t="inlineStr">
        <is>
          <t>NORRTÄLJE</t>
        </is>
      </c>
      <c r="G980" t="n">
        <v>6.8</v>
      </c>
      <c r="H980" t="n">
        <v>0</v>
      </c>
      <c r="I980" t="n">
        <v>0</v>
      </c>
      <c r="J980" t="n">
        <v>0</v>
      </c>
      <c r="K980" t="n">
        <v>0</v>
      </c>
      <c r="L980" t="n">
        <v>0</v>
      </c>
      <c r="M980" t="n">
        <v>0</v>
      </c>
      <c r="N980" t="n">
        <v>0</v>
      </c>
      <c r="O980" t="n">
        <v>0</v>
      </c>
      <c r="P980" t="n">
        <v>0</v>
      </c>
      <c r="Q980" t="n">
        <v>0</v>
      </c>
      <c r="R980" s="2" t="inlineStr"/>
    </row>
    <row r="981" ht="15" customHeight="1">
      <c r="A981" t="inlineStr">
        <is>
          <t>A 33353-2023</t>
        </is>
      </c>
      <c r="B981" s="1" t="n">
        <v>45128</v>
      </c>
      <c r="C981" s="1" t="n">
        <v>46154</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35708-2022</t>
        </is>
      </c>
      <c r="B982" s="1" t="n">
        <v>44799.65013888889</v>
      </c>
      <c r="C982" s="1" t="n">
        <v>46154</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3426-2025</t>
        </is>
      </c>
      <c r="B983" s="1" t="n">
        <v>45680.42665509259</v>
      </c>
      <c r="C983" s="1" t="n">
        <v>46154</v>
      </c>
      <c r="D983" t="inlineStr">
        <is>
          <t>STOCKHOLMS LÄN</t>
        </is>
      </c>
      <c r="E983" t="inlineStr">
        <is>
          <t>NORRTÄLJE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9-2024</t>
        </is>
      </c>
      <c r="B984" s="1" t="n">
        <v>45293</v>
      </c>
      <c r="C984" s="1" t="n">
        <v>46154</v>
      </c>
      <c r="D984" t="inlineStr">
        <is>
          <t>STOCKHOLMS LÄN</t>
        </is>
      </c>
      <c r="E984" t="inlineStr">
        <is>
          <t>NORRTÄLJE</t>
        </is>
      </c>
      <c r="F984" t="inlineStr">
        <is>
          <t>Sveaskog</t>
        </is>
      </c>
      <c r="G984" t="n">
        <v>1.3</v>
      </c>
      <c r="H984" t="n">
        <v>0</v>
      </c>
      <c r="I984" t="n">
        <v>0</v>
      </c>
      <c r="J984" t="n">
        <v>0</v>
      </c>
      <c r="K984" t="n">
        <v>0</v>
      </c>
      <c r="L984" t="n">
        <v>0</v>
      </c>
      <c r="M984" t="n">
        <v>0</v>
      </c>
      <c r="N984" t="n">
        <v>0</v>
      </c>
      <c r="O984" t="n">
        <v>0</v>
      </c>
      <c r="P984" t="n">
        <v>0</v>
      </c>
      <c r="Q984" t="n">
        <v>0</v>
      </c>
      <c r="R984" s="2" t="inlineStr"/>
    </row>
    <row r="985" ht="15" customHeight="1">
      <c r="A985" t="inlineStr">
        <is>
          <t>A 51312-2023</t>
        </is>
      </c>
      <c r="B985" s="1" t="n">
        <v>45219.56697916667</v>
      </c>
      <c r="C985" s="1" t="n">
        <v>46154</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11849-2025</t>
        </is>
      </c>
      <c r="B986" s="1" t="n">
        <v>45728.38409722222</v>
      </c>
      <c r="C986" s="1" t="n">
        <v>46154</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38610-2022</t>
        </is>
      </c>
      <c r="B987" s="1" t="n">
        <v>44813.59915509259</v>
      </c>
      <c r="C987" s="1" t="n">
        <v>46154</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59468-2023</t>
        </is>
      </c>
      <c r="B988" s="1" t="n">
        <v>45254.41509259259</v>
      </c>
      <c r="C988" s="1" t="n">
        <v>46154</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18846-2022</t>
        </is>
      </c>
      <c r="B989" s="1" t="n">
        <v>44690</v>
      </c>
      <c r="C989" s="1" t="n">
        <v>46154</v>
      </c>
      <c r="D989" t="inlineStr">
        <is>
          <t>STOCKHOLMS LÄN</t>
        </is>
      </c>
      <c r="E989" t="inlineStr">
        <is>
          <t>NORRTÄLJE</t>
        </is>
      </c>
      <c r="G989" t="n">
        <v>7</v>
      </c>
      <c r="H989" t="n">
        <v>0</v>
      </c>
      <c r="I989" t="n">
        <v>0</v>
      </c>
      <c r="J989" t="n">
        <v>0</v>
      </c>
      <c r="K989" t="n">
        <v>0</v>
      </c>
      <c r="L989" t="n">
        <v>0</v>
      </c>
      <c r="M989" t="n">
        <v>0</v>
      </c>
      <c r="N989" t="n">
        <v>0</v>
      </c>
      <c r="O989" t="n">
        <v>0</v>
      </c>
      <c r="P989" t="n">
        <v>0</v>
      </c>
      <c r="Q989" t="n">
        <v>0</v>
      </c>
      <c r="R989" s="2" t="inlineStr"/>
    </row>
    <row r="990" ht="15" customHeight="1">
      <c r="A990" t="inlineStr">
        <is>
          <t>A 12535-2025</t>
        </is>
      </c>
      <c r="B990" s="1" t="n">
        <v>45730.69502314815</v>
      </c>
      <c r="C990" s="1" t="n">
        <v>46154</v>
      </c>
      <c r="D990" t="inlineStr">
        <is>
          <t>STOCKHOLMS LÄN</t>
        </is>
      </c>
      <c r="E990" t="inlineStr">
        <is>
          <t>NORRTÄLJE</t>
        </is>
      </c>
      <c r="G990" t="n">
        <v>7.1</v>
      </c>
      <c r="H990" t="n">
        <v>0</v>
      </c>
      <c r="I990" t="n">
        <v>0</v>
      </c>
      <c r="J990" t="n">
        <v>0</v>
      </c>
      <c r="K990" t="n">
        <v>0</v>
      </c>
      <c r="L990" t="n">
        <v>0</v>
      </c>
      <c r="M990" t="n">
        <v>0</v>
      </c>
      <c r="N990" t="n">
        <v>0</v>
      </c>
      <c r="O990" t="n">
        <v>0</v>
      </c>
      <c r="P990" t="n">
        <v>0</v>
      </c>
      <c r="Q990" t="n">
        <v>0</v>
      </c>
      <c r="R990" s="2" t="inlineStr"/>
    </row>
    <row r="991" ht="15" customHeight="1">
      <c r="A991" t="inlineStr">
        <is>
          <t>A 574-2023</t>
        </is>
      </c>
      <c r="B991" s="1" t="n">
        <v>44925</v>
      </c>
      <c r="C991" s="1" t="n">
        <v>46154</v>
      </c>
      <c r="D991" t="inlineStr">
        <is>
          <t>STOCKHOLMS LÄN</t>
        </is>
      </c>
      <c r="E991" t="inlineStr">
        <is>
          <t>NORRTÄLJE</t>
        </is>
      </c>
      <c r="G991" t="n">
        <v>5</v>
      </c>
      <c r="H991" t="n">
        <v>0</v>
      </c>
      <c r="I991" t="n">
        <v>0</v>
      </c>
      <c r="J991" t="n">
        <v>0</v>
      </c>
      <c r="K991" t="n">
        <v>0</v>
      </c>
      <c r="L991" t="n">
        <v>0</v>
      </c>
      <c r="M991" t="n">
        <v>0</v>
      </c>
      <c r="N991" t="n">
        <v>0</v>
      </c>
      <c r="O991" t="n">
        <v>0</v>
      </c>
      <c r="P991" t="n">
        <v>0</v>
      </c>
      <c r="Q991" t="n">
        <v>0</v>
      </c>
      <c r="R991" s="2" t="inlineStr"/>
    </row>
    <row r="992" ht="15" customHeight="1">
      <c r="A992" t="inlineStr">
        <is>
          <t>A 37010-2022</t>
        </is>
      </c>
      <c r="B992" s="1" t="n">
        <v>44806.41576388889</v>
      </c>
      <c r="C992" s="1" t="n">
        <v>46154</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32705-2022</t>
        </is>
      </c>
      <c r="B993" s="1" t="n">
        <v>44783</v>
      </c>
      <c r="C993" s="1" t="n">
        <v>46154</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33149-2022</t>
        </is>
      </c>
      <c r="B994" s="1" t="n">
        <v>44785</v>
      </c>
      <c r="C994" s="1" t="n">
        <v>46154</v>
      </c>
      <c r="D994" t="inlineStr">
        <is>
          <t>STOCKHOLMS LÄN</t>
        </is>
      </c>
      <c r="E994" t="inlineStr">
        <is>
          <t>NORRTÄLJE</t>
        </is>
      </c>
      <c r="F994" t="inlineStr">
        <is>
          <t>Holmen skog AB</t>
        </is>
      </c>
      <c r="G994" t="n">
        <v>4.4</v>
      </c>
      <c r="H994" t="n">
        <v>0</v>
      </c>
      <c r="I994" t="n">
        <v>0</v>
      </c>
      <c r="J994" t="n">
        <v>0</v>
      </c>
      <c r="K994" t="n">
        <v>0</v>
      </c>
      <c r="L994" t="n">
        <v>0</v>
      </c>
      <c r="M994" t="n">
        <v>0</v>
      </c>
      <c r="N994" t="n">
        <v>0</v>
      </c>
      <c r="O994" t="n">
        <v>0</v>
      </c>
      <c r="P994" t="n">
        <v>0</v>
      </c>
      <c r="Q994" t="n">
        <v>0</v>
      </c>
      <c r="R994" s="2" t="inlineStr"/>
    </row>
    <row r="995" ht="15" customHeight="1">
      <c r="A995" t="inlineStr">
        <is>
          <t>A 14559-2024</t>
        </is>
      </c>
      <c r="B995" s="1" t="n">
        <v>45394.72869212963</v>
      </c>
      <c r="C995" s="1" t="n">
        <v>46154</v>
      </c>
      <c r="D995" t="inlineStr">
        <is>
          <t>STOCKHOLMS LÄN</t>
        </is>
      </c>
      <c r="E995" t="inlineStr">
        <is>
          <t>NORRTÄLJE</t>
        </is>
      </c>
      <c r="G995" t="n">
        <v>4.2</v>
      </c>
      <c r="H995" t="n">
        <v>0</v>
      </c>
      <c r="I995" t="n">
        <v>0</v>
      </c>
      <c r="J995" t="n">
        <v>0</v>
      </c>
      <c r="K995" t="n">
        <v>0</v>
      </c>
      <c r="L995" t="n">
        <v>0</v>
      </c>
      <c r="M995" t="n">
        <v>0</v>
      </c>
      <c r="N995" t="n">
        <v>0</v>
      </c>
      <c r="O995" t="n">
        <v>0</v>
      </c>
      <c r="P995" t="n">
        <v>0</v>
      </c>
      <c r="Q995" t="n">
        <v>0</v>
      </c>
      <c r="R995" s="2" t="inlineStr"/>
    </row>
    <row r="996" ht="15" customHeight="1">
      <c r="A996" t="inlineStr">
        <is>
          <t>A 11-2024</t>
        </is>
      </c>
      <c r="B996" s="1" t="n">
        <v>45293</v>
      </c>
      <c r="C996" s="1" t="n">
        <v>46154</v>
      </c>
      <c r="D996" t="inlineStr">
        <is>
          <t>STOCKHOLMS LÄN</t>
        </is>
      </c>
      <c r="E996" t="inlineStr">
        <is>
          <t>NORRTÄLJE</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15256-2023</t>
        </is>
      </c>
      <c r="B997" s="1" t="n">
        <v>45019.3959837963</v>
      </c>
      <c r="C997" s="1" t="n">
        <v>46154</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7413-2024</t>
        </is>
      </c>
      <c r="B998" s="1" t="n">
        <v>45345.6059837963</v>
      </c>
      <c r="C998" s="1" t="n">
        <v>46154</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58040-2024</t>
        </is>
      </c>
      <c r="B999" s="1" t="n">
        <v>45631.73952546297</v>
      </c>
      <c r="C999" s="1" t="n">
        <v>46154</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58041-2024</t>
        </is>
      </c>
      <c r="B1000" s="1" t="n">
        <v>45631.74673611111</v>
      </c>
      <c r="C1000" s="1" t="n">
        <v>46154</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31057-2022</t>
        </is>
      </c>
      <c r="B1001" s="1" t="n">
        <v>44769</v>
      </c>
      <c r="C1001" s="1" t="n">
        <v>46154</v>
      </c>
      <c r="D1001" t="inlineStr">
        <is>
          <t>STOCKHOLMS LÄN</t>
        </is>
      </c>
      <c r="E1001" t="inlineStr">
        <is>
          <t>NORRTÄLJE</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25619-2022</t>
        </is>
      </c>
      <c r="B1002" s="1" t="n">
        <v>44732</v>
      </c>
      <c r="C1002" s="1" t="n">
        <v>46154</v>
      </c>
      <c r="D1002" t="inlineStr">
        <is>
          <t>STOCKHOLMS LÄN</t>
        </is>
      </c>
      <c r="E1002" t="inlineStr">
        <is>
          <t>NORRTÄLJE</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15422-2024</t>
        </is>
      </c>
      <c r="B1003" s="1" t="n">
        <v>45401.3653125</v>
      </c>
      <c r="C1003" s="1" t="n">
        <v>46154</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48716-2023</t>
        </is>
      </c>
      <c r="B1004" s="1" t="n">
        <v>45208.69671296296</v>
      </c>
      <c r="C1004" s="1" t="n">
        <v>46154</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55369-2023</t>
        </is>
      </c>
      <c r="B1005" s="1" t="n">
        <v>45238</v>
      </c>
      <c r="C1005" s="1" t="n">
        <v>46154</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20121-2022</t>
        </is>
      </c>
      <c r="B1006" s="1" t="n">
        <v>44698</v>
      </c>
      <c r="C1006" s="1" t="n">
        <v>46154</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26407-2024</t>
        </is>
      </c>
      <c r="B1007" s="1" t="n">
        <v>45469</v>
      </c>
      <c r="C1007" s="1" t="n">
        <v>46154</v>
      </c>
      <c r="D1007" t="inlineStr">
        <is>
          <t>STOCKHOLMS LÄN</t>
        </is>
      </c>
      <c r="E1007" t="inlineStr">
        <is>
          <t>NORRTÄLJE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10098-2022</t>
        </is>
      </c>
      <c r="B1008" s="1" t="n">
        <v>44621</v>
      </c>
      <c r="C1008" s="1" t="n">
        <v>46154</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49700-2023</t>
        </is>
      </c>
      <c r="B1009" s="1" t="n">
        <v>45212</v>
      </c>
      <c r="C1009" s="1" t="n">
        <v>46154</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59875-2024</t>
        </is>
      </c>
      <c r="B1010" s="1" t="n">
        <v>45640.58716435185</v>
      </c>
      <c r="C1010" s="1" t="n">
        <v>46154</v>
      </c>
      <c r="D1010" t="inlineStr">
        <is>
          <t>STOCKHOLMS LÄN</t>
        </is>
      </c>
      <c r="E1010" t="inlineStr">
        <is>
          <t>NORRTÄLJE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45220-2024</t>
        </is>
      </c>
      <c r="B1011" s="1" t="n">
        <v>45575</v>
      </c>
      <c r="C1011" s="1" t="n">
        <v>46154</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4658-2024</t>
        </is>
      </c>
      <c r="B1012" s="1" t="n">
        <v>45328.46336805556</v>
      </c>
      <c r="C1012" s="1" t="n">
        <v>46154</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48145-2024</t>
        </is>
      </c>
      <c r="B1013" s="1" t="n">
        <v>45589.6756712963</v>
      </c>
      <c r="C1013" s="1" t="n">
        <v>46154</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10642-2025</t>
        </is>
      </c>
      <c r="B1014" s="1" t="n">
        <v>45721.65858796296</v>
      </c>
      <c r="C1014" s="1" t="n">
        <v>46154</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24024-2024</t>
        </is>
      </c>
      <c r="B1015" s="1" t="n">
        <v>45456</v>
      </c>
      <c r="C1015" s="1" t="n">
        <v>46154</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35532-2024</t>
        </is>
      </c>
      <c r="B1016" s="1" t="n">
        <v>45531</v>
      </c>
      <c r="C1016" s="1" t="n">
        <v>46154</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19118-2022</t>
        </is>
      </c>
      <c r="B1017" s="1" t="n">
        <v>44691.5652662037</v>
      </c>
      <c r="C1017" s="1" t="n">
        <v>46154</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44908.77368055555</v>
      </c>
      <c r="C1018" s="1" t="n">
        <v>46154</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33226-2024</t>
        </is>
      </c>
      <c r="B1019" s="1" t="n">
        <v>45518</v>
      </c>
      <c r="C1019" s="1" t="n">
        <v>46154</v>
      </c>
      <c r="D1019" t="inlineStr">
        <is>
          <t>STOCKHOLMS LÄN</t>
        </is>
      </c>
      <c r="E1019" t="inlineStr">
        <is>
          <t>NORRTÄLJE</t>
        </is>
      </c>
      <c r="G1019" t="n">
        <v>13.8</v>
      </c>
      <c r="H1019" t="n">
        <v>0</v>
      </c>
      <c r="I1019" t="n">
        <v>0</v>
      </c>
      <c r="J1019" t="n">
        <v>0</v>
      </c>
      <c r="K1019" t="n">
        <v>0</v>
      </c>
      <c r="L1019" t="n">
        <v>0</v>
      </c>
      <c r="M1019" t="n">
        <v>0</v>
      </c>
      <c r="N1019" t="n">
        <v>0</v>
      </c>
      <c r="O1019" t="n">
        <v>0</v>
      </c>
      <c r="P1019" t="n">
        <v>0</v>
      </c>
      <c r="Q1019" t="n">
        <v>0</v>
      </c>
      <c r="R1019" s="2" t="inlineStr"/>
    </row>
    <row r="1020" ht="15" customHeight="1">
      <c r="A1020" t="inlineStr">
        <is>
          <t>A 16980-2023</t>
        </is>
      </c>
      <c r="B1020" s="1" t="n">
        <v>45033</v>
      </c>
      <c r="C1020" s="1" t="n">
        <v>46154</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31107-2022</t>
        </is>
      </c>
      <c r="B1021" s="1" t="n">
        <v>44769.66864583334</v>
      </c>
      <c r="C1021" s="1" t="n">
        <v>46154</v>
      </c>
      <c r="D1021" t="inlineStr">
        <is>
          <t>STOCKHOLMS LÄN</t>
        </is>
      </c>
      <c r="E1021" t="inlineStr">
        <is>
          <t>NORRTÄLJE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43170-2023</t>
        </is>
      </c>
      <c r="B1022" s="1" t="n">
        <v>45183</v>
      </c>
      <c r="C1022" s="1" t="n">
        <v>46154</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47626-2022</t>
        </is>
      </c>
      <c r="B1023" s="1" t="n">
        <v>44854</v>
      </c>
      <c r="C1023" s="1" t="n">
        <v>46154</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32101-2022</t>
        </is>
      </c>
      <c r="B1024" s="1" t="n">
        <v>44778.69210648148</v>
      </c>
      <c r="C1024" s="1" t="n">
        <v>46154</v>
      </c>
      <c r="D1024" t="inlineStr">
        <is>
          <t>STOCKHOLMS LÄN</t>
        </is>
      </c>
      <c r="E1024" t="inlineStr">
        <is>
          <t>NORRTÄLJE</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28365-2022</t>
        </is>
      </c>
      <c r="B1025" s="1" t="n">
        <v>44747</v>
      </c>
      <c r="C1025" s="1" t="n">
        <v>46154</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42867-2022</t>
        </is>
      </c>
      <c r="B1026" s="1" t="n">
        <v>44832</v>
      </c>
      <c r="C1026" s="1" t="n">
        <v>46154</v>
      </c>
      <c r="D1026" t="inlineStr">
        <is>
          <t>STOCKHOLMS LÄN</t>
        </is>
      </c>
      <c r="E1026" t="inlineStr">
        <is>
          <t>NORRTÄLJE</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5645-2023</t>
        </is>
      </c>
      <c r="B1027" s="1" t="n">
        <v>44960.60469907407</v>
      </c>
      <c r="C1027" s="1" t="n">
        <v>46154</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17775-2022</t>
        </is>
      </c>
      <c r="B1028" s="1" t="n">
        <v>44682.78430555556</v>
      </c>
      <c r="C1028" s="1" t="n">
        <v>46154</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47481-2024</t>
        </is>
      </c>
      <c r="B1029" s="1" t="n">
        <v>45587</v>
      </c>
      <c r="C1029" s="1" t="n">
        <v>46154</v>
      </c>
      <c r="D1029" t="inlineStr">
        <is>
          <t>STOCKHOLMS LÄN</t>
        </is>
      </c>
      <c r="E1029" t="inlineStr">
        <is>
          <t>NORRTÄLJE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24933-2023</t>
        </is>
      </c>
      <c r="B1030" s="1" t="n">
        <v>45085.5309375</v>
      </c>
      <c r="C1030" s="1" t="n">
        <v>46154</v>
      </c>
      <c r="D1030" t="inlineStr">
        <is>
          <t>STOCKHOLMS LÄN</t>
        </is>
      </c>
      <c r="E1030" t="inlineStr">
        <is>
          <t>NORRTÄLJE</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11062-2024</t>
        </is>
      </c>
      <c r="B1031" s="1" t="n">
        <v>45370</v>
      </c>
      <c r="C1031" s="1" t="n">
        <v>46154</v>
      </c>
      <c r="D1031" t="inlineStr">
        <is>
          <t>STOCKHOLMS LÄN</t>
        </is>
      </c>
      <c r="E1031" t="inlineStr">
        <is>
          <t>NORRTÄLJE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576-2023</t>
        </is>
      </c>
      <c r="B1032" s="1" t="n">
        <v>44925</v>
      </c>
      <c r="C1032" s="1" t="n">
        <v>46154</v>
      </c>
      <c r="D1032" t="inlineStr">
        <is>
          <t>STOCKHOLMS LÄN</t>
        </is>
      </c>
      <c r="E1032" t="inlineStr">
        <is>
          <t>NORRTÄLJE</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12908-2025</t>
        </is>
      </c>
      <c r="B1033" s="1" t="n">
        <v>45733.82105324074</v>
      </c>
      <c r="C1033" s="1" t="n">
        <v>46154</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68361-2021</t>
        </is>
      </c>
      <c r="B1034" s="1" t="n">
        <v>44528.91494212963</v>
      </c>
      <c r="C1034" s="1" t="n">
        <v>46154</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50469-2022</t>
        </is>
      </c>
      <c r="B1035" s="1" t="n">
        <v>44866.49827546296</v>
      </c>
      <c r="C1035" s="1" t="n">
        <v>46154</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41976-2024</t>
        </is>
      </c>
      <c r="B1036" s="1" t="n">
        <v>45561.62141203704</v>
      </c>
      <c r="C1036" s="1" t="n">
        <v>46154</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62206-2022</t>
        </is>
      </c>
      <c r="B1037" s="1" t="n">
        <v>44922</v>
      </c>
      <c r="C1037" s="1" t="n">
        <v>46154</v>
      </c>
      <c r="D1037" t="inlineStr">
        <is>
          <t>STOCKHOLMS LÄN</t>
        </is>
      </c>
      <c r="E1037" t="inlineStr">
        <is>
          <t>NORRTÄLJE</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30886-2022</t>
        </is>
      </c>
      <c r="B1038" s="1" t="n">
        <v>44767.60601851852</v>
      </c>
      <c r="C1038" s="1" t="n">
        <v>46154</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58989-2021</t>
        </is>
      </c>
      <c r="B1039" s="1" t="n">
        <v>44490.02482638889</v>
      </c>
      <c r="C1039" s="1" t="n">
        <v>46154</v>
      </c>
      <c r="D1039" t="inlineStr">
        <is>
          <t>STOCKHOLMS LÄN</t>
        </is>
      </c>
      <c r="E1039" t="inlineStr">
        <is>
          <t>NORRTÄLJE</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58990-2021</t>
        </is>
      </c>
      <c r="B1040" s="1" t="n">
        <v>44490.03621527777</v>
      </c>
      <c r="C1040" s="1" t="n">
        <v>46154</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11940-2023</t>
        </is>
      </c>
      <c r="B1041" s="1" t="n">
        <v>44995</v>
      </c>
      <c r="C1041" s="1" t="n">
        <v>46154</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29266-2022</t>
        </is>
      </c>
      <c r="B1042" s="1" t="n">
        <v>44750.66068287037</v>
      </c>
      <c r="C1042" s="1" t="n">
        <v>46154</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29278-2022</t>
        </is>
      </c>
      <c r="B1043" s="1" t="n">
        <v>44750</v>
      </c>
      <c r="C1043" s="1" t="n">
        <v>46154</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6401-2024</t>
        </is>
      </c>
      <c r="B1044" s="1" t="n">
        <v>45338</v>
      </c>
      <c r="C1044" s="1" t="n">
        <v>46154</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24501-2023</t>
        </is>
      </c>
      <c r="B1045" s="1" t="n">
        <v>45082</v>
      </c>
      <c r="C1045" s="1" t="n">
        <v>46154</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24520-2023</t>
        </is>
      </c>
      <c r="B1046" s="1" t="n">
        <v>45082.68922453704</v>
      </c>
      <c r="C1046" s="1" t="n">
        <v>46154</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38612-2022</t>
        </is>
      </c>
      <c r="B1047" s="1" t="n">
        <v>44813</v>
      </c>
      <c r="C1047" s="1" t="n">
        <v>46154</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33040-2021</t>
        </is>
      </c>
      <c r="B1048" s="1" t="n">
        <v>44376.50728009259</v>
      </c>
      <c r="C1048" s="1" t="n">
        <v>46154</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26117-2024</t>
        </is>
      </c>
      <c r="B1049" s="1" t="n">
        <v>45468.45877314815</v>
      </c>
      <c r="C1049" s="1" t="n">
        <v>46154</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61113-2023</t>
        </is>
      </c>
      <c r="B1050" s="1" t="n">
        <v>45261</v>
      </c>
      <c r="C1050" s="1" t="n">
        <v>46154</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60822-2023</t>
        </is>
      </c>
      <c r="B1051" s="1" t="n">
        <v>45259</v>
      </c>
      <c r="C1051" s="1" t="n">
        <v>46154</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59310-2023</t>
        </is>
      </c>
      <c r="B1052" s="1" t="n">
        <v>45253.61146990741</v>
      </c>
      <c r="C1052" s="1" t="n">
        <v>46154</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20343-2024</t>
        </is>
      </c>
      <c r="B1053" s="1" t="n">
        <v>45435.43466435185</v>
      </c>
      <c r="C1053" s="1" t="n">
        <v>46154</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20345-2024</t>
        </is>
      </c>
      <c r="B1054" s="1" t="n">
        <v>45435.43820601852</v>
      </c>
      <c r="C1054" s="1" t="n">
        <v>46154</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55010-2024</t>
        </is>
      </c>
      <c r="B1055" s="1" t="n">
        <v>45621.34425925926</v>
      </c>
      <c r="C1055" s="1" t="n">
        <v>46154</v>
      </c>
      <c r="D1055" t="inlineStr">
        <is>
          <t>STOCKHOLMS LÄN</t>
        </is>
      </c>
      <c r="E1055" t="inlineStr">
        <is>
          <t>NORRTÄLJE</t>
        </is>
      </c>
      <c r="F1055" t="inlineStr">
        <is>
          <t>Sveaskog</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55018-2024</t>
        </is>
      </c>
      <c r="B1056" s="1" t="n">
        <v>45621.35712962963</v>
      </c>
      <c r="C1056" s="1" t="n">
        <v>46154</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50113-2024</t>
        </is>
      </c>
      <c r="B1057" s="1" t="n">
        <v>45600.411875</v>
      </c>
      <c r="C1057" s="1" t="n">
        <v>46154</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20336-2024</t>
        </is>
      </c>
      <c r="B1058" s="1" t="n">
        <v>45435.43123842592</v>
      </c>
      <c r="C1058" s="1" t="n">
        <v>46154</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64899-2023</t>
        </is>
      </c>
      <c r="B1059" s="1" t="n">
        <v>45282</v>
      </c>
      <c r="C1059" s="1" t="n">
        <v>46154</v>
      </c>
      <c r="D1059" t="inlineStr">
        <is>
          <t>STOCKHOLMS LÄN</t>
        </is>
      </c>
      <c r="E1059" t="inlineStr">
        <is>
          <t>NORRTÄLJE</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1847-2023</t>
        </is>
      </c>
      <c r="B1060" s="1" t="n">
        <v>44938</v>
      </c>
      <c r="C1060" s="1" t="n">
        <v>46154</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29362-2022</t>
        </is>
      </c>
      <c r="B1061" s="1" t="n">
        <v>44753</v>
      </c>
      <c r="C1061" s="1" t="n">
        <v>46154</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20291-2022</t>
        </is>
      </c>
      <c r="B1062" s="1" t="n">
        <v>44698</v>
      </c>
      <c r="C1062" s="1" t="n">
        <v>46154</v>
      </c>
      <c r="D1062" t="inlineStr">
        <is>
          <t>STOCKHOLMS LÄN</t>
        </is>
      </c>
      <c r="E1062" t="inlineStr">
        <is>
          <t>NORRTÄLJE</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12302-2025</t>
        </is>
      </c>
      <c r="B1063" s="1" t="n">
        <v>45729.72851851852</v>
      </c>
      <c r="C1063" s="1" t="n">
        <v>46154</v>
      </c>
      <c r="D1063" t="inlineStr">
        <is>
          <t>STOCKHOLMS LÄN</t>
        </is>
      </c>
      <c r="E1063" t="inlineStr">
        <is>
          <t>NORRTÄLJE</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31926-2022</t>
        </is>
      </c>
      <c r="B1064" s="1" t="n">
        <v>44777</v>
      </c>
      <c r="C1064" s="1" t="n">
        <v>46154</v>
      </c>
      <c r="D1064" t="inlineStr">
        <is>
          <t>STOCKHOLMS LÄN</t>
        </is>
      </c>
      <c r="E1064" t="inlineStr">
        <is>
          <t>NORRTÄLJE</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1425-2025</t>
        </is>
      </c>
      <c r="B1065" s="1" t="n">
        <v>45668.67446759259</v>
      </c>
      <c r="C1065" s="1" t="n">
        <v>46154</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1453-2025</t>
        </is>
      </c>
      <c r="B1066" s="1" t="n">
        <v>45670.3079050926</v>
      </c>
      <c r="C1066" s="1" t="n">
        <v>46154</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13860-2023</t>
        </is>
      </c>
      <c r="B1067" s="1" t="n">
        <v>45007</v>
      </c>
      <c r="C1067" s="1" t="n">
        <v>46154</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6070-2022</t>
        </is>
      </c>
      <c r="B1068" s="1" t="n">
        <v>44599.58428240741</v>
      </c>
      <c r="C1068" s="1" t="n">
        <v>46154</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9130-2025</t>
        </is>
      </c>
      <c r="B1069" s="1" t="n">
        <v>45713.92623842593</v>
      </c>
      <c r="C1069" s="1" t="n">
        <v>46154</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27828-2022</t>
        </is>
      </c>
      <c r="B1070" s="1" t="n">
        <v>44743.59765046297</v>
      </c>
      <c r="C1070" s="1" t="n">
        <v>46154</v>
      </c>
      <c r="D1070" t="inlineStr">
        <is>
          <t>STOCKHOLMS LÄN</t>
        </is>
      </c>
      <c r="E1070" t="inlineStr">
        <is>
          <t>NORRTÄLJE</t>
        </is>
      </c>
      <c r="F1070" t="inlineStr">
        <is>
          <t>Kommuner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59873-2024</t>
        </is>
      </c>
      <c r="B1071" s="1" t="n">
        <v>45640.57305555556</v>
      </c>
      <c r="C1071" s="1" t="n">
        <v>46154</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48161-2022</t>
        </is>
      </c>
      <c r="B1072" s="1" t="n">
        <v>44858</v>
      </c>
      <c r="C1072" s="1" t="n">
        <v>46154</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43150-2023</t>
        </is>
      </c>
      <c r="B1073" s="1" t="n">
        <v>45183</v>
      </c>
      <c r="C1073" s="1" t="n">
        <v>46154</v>
      </c>
      <c r="D1073" t="inlineStr">
        <is>
          <t>STOCKHOLMS LÄN</t>
        </is>
      </c>
      <c r="E1073" t="inlineStr">
        <is>
          <t>NORRTÄLJE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59534-2024</t>
        </is>
      </c>
      <c r="B1074" s="1" t="n">
        <v>45638.5987037037</v>
      </c>
      <c r="C1074" s="1" t="n">
        <v>46154</v>
      </c>
      <c r="D1074" t="inlineStr">
        <is>
          <t>STOCKHOLMS LÄN</t>
        </is>
      </c>
      <c r="E1074" t="inlineStr">
        <is>
          <t>NORRTÄLJE</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23307-2024</t>
        </is>
      </c>
      <c r="B1075" s="1" t="n">
        <v>45453</v>
      </c>
      <c r="C1075" s="1" t="n">
        <v>46154</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19450-2025</t>
        </is>
      </c>
      <c r="B1076" s="1" t="n">
        <v>45770</v>
      </c>
      <c r="C1076" s="1" t="n">
        <v>46154</v>
      </c>
      <c r="D1076" t="inlineStr">
        <is>
          <t>STOCKHOLMS LÄN</t>
        </is>
      </c>
      <c r="E1076" t="inlineStr">
        <is>
          <t>NORRTÄLJE</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2281-2024</t>
        </is>
      </c>
      <c r="B1077" s="1" t="n">
        <v>45310.40628472222</v>
      </c>
      <c r="C1077" s="1" t="n">
        <v>46154</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2287-2024</t>
        </is>
      </c>
      <c r="B1078" s="1" t="n">
        <v>45310</v>
      </c>
      <c r="C1078" s="1" t="n">
        <v>46154</v>
      </c>
      <c r="D1078" t="inlineStr">
        <is>
          <t>STOCKHOLMS LÄN</t>
        </is>
      </c>
      <c r="E1078" t="inlineStr">
        <is>
          <t>NORRTÄLJE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20618-2022</t>
        </is>
      </c>
      <c r="B1079" s="1" t="n">
        <v>44700.50659722222</v>
      </c>
      <c r="C1079" s="1" t="n">
        <v>46154</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59504-2023</t>
        </is>
      </c>
      <c r="B1080" s="1" t="n">
        <v>45254</v>
      </c>
      <c r="C1080" s="1" t="n">
        <v>46154</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25656-2023</t>
        </is>
      </c>
      <c r="B1081" s="1" t="n">
        <v>45089</v>
      </c>
      <c r="C1081" s="1" t="n">
        <v>46154</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38049-2023</t>
        </is>
      </c>
      <c r="B1082" s="1" t="n">
        <v>45159</v>
      </c>
      <c r="C1082" s="1" t="n">
        <v>46154</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3966-2024</t>
        </is>
      </c>
      <c r="B1083" s="1" t="n">
        <v>45322</v>
      </c>
      <c r="C1083" s="1" t="n">
        <v>46154</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17348-2024</t>
        </is>
      </c>
      <c r="B1084" s="1" t="n">
        <v>45414.58650462963</v>
      </c>
      <c r="C1084" s="1" t="n">
        <v>46154</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38591-2023</t>
        </is>
      </c>
      <c r="B1085" s="1" t="n">
        <v>45162</v>
      </c>
      <c r="C1085" s="1" t="n">
        <v>46154</v>
      </c>
      <c r="D1085" t="inlineStr">
        <is>
          <t>STOCKHOLMS LÄN</t>
        </is>
      </c>
      <c r="E1085" t="inlineStr">
        <is>
          <t>NORRTÄLJE</t>
        </is>
      </c>
      <c r="F1085" t="inlineStr">
        <is>
          <t>Övriga Aktiebolag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3273-2025</t>
        </is>
      </c>
      <c r="B1086" s="1" t="n">
        <v>45679</v>
      </c>
      <c r="C1086" s="1" t="n">
        <v>46154</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34461-2023</t>
        </is>
      </c>
      <c r="B1087" s="1" t="n">
        <v>45139</v>
      </c>
      <c r="C1087" s="1" t="n">
        <v>46154</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15217-2023</t>
        </is>
      </c>
      <c r="B1088" s="1" t="n">
        <v>45019.28847222222</v>
      </c>
      <c r="C1088" s="1" t="n">
        <v>46154</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24522-2023</t>
        </is>
      </c>
      <c r="B1089" s="1" t="n">
        <v>45082.69179398148</v>
      </c>
      <c r="C1089" s="1" t="n">
        <v>46154</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29176-2024</t>
        </is>
      </c>
      <c r="B1090" s="1" t="n">
        <v>45482.53388888889</v>
      </c>
      <c r="C1090" s="1" t="n">
        <v>46154</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4596-2023</t>
        </is>
      </c>
      <c r="B1091" s="1" t="n">
        <v>44956</v>
      </c>
      <c r="C1091" s="1" t="n">
        <v>46154</v>
      </c>
      <c r="D1091" t="inlineStr">
        <is>
          <t>STOCKHOLMS LÄN</t>
        </is>
      </c>
      <c r="E1091" t="inlineStr">
        <is>
          <t>NORRTÄLJE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4438-2023</t>
        </is>
      </c>
      <c r="B1092" s="1" t="n">
        <v>44956</v>
      </c>
      <c r="C1092" s="1" t="n">
        <v>46154</v>
      </c>
      <c r="D1092" t="inlineStr">
        <is>
          <t>STOCKHOLMS LÄN</t>
        </is>
      </c>
      <c r="E1092" t="inlineStr">
        <is>
          <t>NORRTÄLJE</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24727-2023</t>
        </is>
      </c>
      <c r="B1093" s="1" t="n">
        <v>45084.57695601852</v>
      </c>
      <c r="C1093" s="1" t="n">
        <v>46154</v>
      </c>
      <c r="D1093" t="inlineStr">
        <is>
          <t>STOCKHOLMS LÄN</t>
        </is>
      </c>
      <c r="E1093" t="inlineStr">
        <is>
          <t>NORRTÄLJE</t>
        </is>
      </c>
      <c r="F1093" t="inlineStr">
        <is>
          <t>Holmen skog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59904-2023</t>
        </is>
      </c>
      <c r="B1094" s="1" t="n">
        <v>45257</v>
      </c>
      <c r="C1094" s="1" t="n">
        <v>46154</v>
      </c>
      <c r="D1094" t="inlineStr">
        <is>
          <t>STOCKHOLMS LÄN</t>
        </is>
      </c>
      <c r="E1094" t="inlineStr">
        <is>
          <t>NORRTÄLJE</t>
        </is>
      </c>
      <c r="G1094" t="n">
        <v>17.4</v>
      </c>
      <c r="H1094" t="n">
        <v>0</v>
      </c>
      <c r="I1094" t="n">
        <v>0</v>
      </c>
      <c r="J1094" t="n">
        <v>0</v>
      </c>
      <c r="K1094" t="n">
        <v>0</v>
      </c>
      <c r="L1094" t="n">
        <v>0</v>
      </c>
      <c r="M1094" t="n">
        <v>0</v>
      </c>
      <c r="N1094" t="n">
        <v>0</v>
      </c>
      <c r="O1094" t="n">
        <v>0</v>
      </c>
      <c r="P1094" t="n">
        <v>0</v>
      </c>
      <c r="Q1094" t="n">
        <v>0</v>
      </c>
      <c r="R1094" s="2" t="inlineStr"/>
    </row>
    <row r="1095" ht="15" customHeight="1">
      <c r="A1095" t="inlineStr">
        <is>
          <t>A 36308-2022</t>
        </is>
      </c>
      <c r="B1095" s="1" t="n">
        <v>44803</v>
      </c>
      <c r="C1095" s="1" t="n">
        <v>46154</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18787-2022</t>
        </is>
      </c>
      <c r="B1096" s="1" t="n">
        <v>44687</v>
      </c>
      <c r="C1096" s="1" t="n">
        <v>46154</v>
      </c>
      <c r="D1096" t="inlineStr">
        <is>
          <t>STOCKHOLMS LÄN</t>
        </is>
      </c>
      <c r="E1096" t="inlineStr">
        <is>
          <t>NORRTÄLJE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50108-2021</t>
        </is>
      </c>
      <c r="B1097" s="1" t="n">
        <v>44456</v>
      </c>
      <c r="C1097" s="1" t="n">
        <v>46154</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25621-2022</t>
        </is>
      </c>
      <c r="B1098" s="1" t="n">
        <v>44732</v>
      </c>
      <c r="C1098" s="1" t="n">
        <v>46154</v>
      </c>
      <c r="D1098" t="inlineStr">
        <is>
          <t>STOCKHOLMS LÄN</t>
        </is>
      </c>
      <c r="E1098" t="inlineStr">
        <is>
          <t>NORRTÄLJE</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20304-2023</t>
        </is>
      </c>
      <c r="B1099" s="1" t="n">
        <v>45056</v>
      </c>
      <c r="C1099" s="1" t="n">
        <v>46154</v>
      </c>
      <c r="D1099" t="inlineStr">
        <is>
          <t>STOCKHOLMS LÄN</t>
        </is>
      </c>
      <c r="E1099" t="inlineStr">
        <is>
          <t>NORRTÄLJE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35235-2024</t>
        </is>
      </c>
      <c r="B1100" s="1" t="n">
        <v>45530</v>
      </c>
      <c r="C1100" s="1" t="n">
        <v>46154</v>
      </c>
      <c r="D1100" t="inlineStr">
        <is>
          <t>STOCKHOLMS LÄN</t>
        </is>
      </c>
      <c r="E1100" t="inlineStr">
        <is>
          <t>NORRTÄLJE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51061-2023</t>
        </is>
      </c>
      <c r="B1101" s="1" t="n">
        <v>45218.65849537037</v>
      </c>
      <c r="C1101" s="1" t="n">
        <v>46154</v>
      </c>
      <c r="D1101" t="inlineStr">
        <is>
          <t>STOCKHOLMS LÄN</t>
        </is>
      </c>
      <c r="E1101" t="inlineStr">
        <is>
          <t>NORRTÄLJE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39213-2022</t>
        </is>
      </c>
      <c r="B1102" s="1" t="n">
        <v>44817.56120370371</v>
      </c>
      <c r="C1102" s="1" t="n">
        <v>46154</v>
      </c>
      <c r="D1102" t="inlineStr">
        <is>
          <t>STOCKHOLMS LÄN</t>
        </is>
      </c>
      <c r="E1102" t="inlineStr">
        <is>
          <t>NORRTÄLJE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36246-2021</t>
        </is>
      </c>
      <c r="B1103" s="1" t="n">
        <v>44390</v>
      </c>
      <c r="C1103" s="1" t="n">
        <v>46154</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15905-2023</t>
        </is>
      </c>
      <c r="B1104" s="1" t="n">
        <v>45022</v>
      </c>
      <c r="C1104" s="1" t="n">
        <v>46154</v>
      </c>
      <c r="D1104" t="inlineStr">
        <is>
          <t>STOCKHOLMS LÄN</t>
        </is>
      </c>
      <c r="E1104" t="inlineStr">
        <is>
          <t>NORRTÄLJE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11041-2025</t>
        </is>
      </c>
      <c r="B1105" s="1" t="n">
        <v>45723</v>
      </c>
      <c r="C1105" s="1" t="n">
        <v>46154</v>
      </c>
      <c r="D1105" t="inlineStr">
        <is>
          <t>STOCKHOLMS LÄN</t>
        </is>
      </c>
      <c r="E1105" t="inlineStr">
        <is>
          <t>NORRTÄLJE</t>
        </is>
      </c>
      <c r="F1105" t="inlineStr">
        <is>
          <t>Övriga Aktiebolag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44917-2022</t>
        </is>
      </c>
      <c r="B1106" s="1" t="n">
        <v>44841.52804398148</v>
      </c>
      <c r="C1106" s="1" t="n">
        <v>46154</v>
      </c>
      <c r="D1106" t="inlineStr">
        <is>
          <t>STOCKHOLMS LÄN</t>
        </is>
      </c>
      <c r="E1106" t="inlineStr">
        <is>
          <t>NORRTÄLJE</t>
        </is>
      </c>
      <c r="F1106" t="inlineStr">
        <is>
          <t>Holmen skog AB</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33173-2024</t>
        </is>
      </c>
      <c r="B1107" s="1" t="n">
        <v>45518</v>
      </c>
      <c r="C1107" s="1" t="n">
        <v>46154</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17551-2025</t>
        </is>
      </c>
      <c r="B1108" s="1" t="n">
        <v>45757.61421296297</v>
      </c>
      <c r="C1108" s="1" t="n">
        <v>46154</v>
      </c>
      <c r="D1108" t="inlineStr">
        <is>
          <t>STOCKHOLMS LÄN</t>
        </is>
      </c>
      <c r="E1108" t="inlineStr">
        <is>
          <t>NORRTÄLJE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10678-2025</t>
        </is>
      </c>
      <c r="B1109" s="1" t="n">
        <v>45721.89123842592</v>
      </c>
      <c r="C1109" s="1" t="n">
        <v>46154</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8370-2025</t>
        </is>
      </c>
      <c r="B1110" s="1" t="n">
        <v>45708</v>
      </c>
      <c r="C1110" s="1" t="n">
        <v>46154</v>
      </c>
      <c r="D1110" t="inlineStr">
        <is>
          <t>STOCKHOLMS LÄN</t>
        </is>
      </c>
      <c r="E1110" t="inlineStr">
        <is>
          <t>NORRTÄLJE</t>
        </is>
      </c>
      <c r="F1110" t="inlineStr">
        <is>
          <t>Övriga Aktiebolag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951-2023</t>
        </is>
      </c>
      <c r="B1111" s="1" t="n">
        <v>44934</v>
      </c>
      <c r="C1111" s="1" t="n">
        <v>46154</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32100-2022</t>
        </is>
      </c>
      <c r="B1112" s="1" t="n">
        <v>44778</v>
      </c>
      <c r="C1112" s="1" t="n">
        <v>46154</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2888-2022</t>
        </is>
      </c>
      <c r="B1113" s="1" t="n">
        <v>44581</v>
      </c>
      <c r="C1113" s="1" t="n">
        <v>46154</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11902-2024</t>
        </is>
      </c>
      <c r="B1114" s="1" t="n">
        <v>45376.55704861111</v>
      </c>
      <c r="C1114" s="1" t="n">
        <v>46154</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13-2024</t>
        </is>
      </c>
      <c r="B1115" s="1" t="n">
        <v>45293.37263888889</v>
      </c>
      <c r="C1115" s="1" t="n">
        <v>46154</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58260-2023</t>
        </is>
      </c>
      <c r="B1116" s="1" t="n">
        <v>45245</v>
      </c>
      <c r="C1116" s="1" t="n">
        <v>46154</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58261-2023</t>
        </is>
      </c>
      <c r="B1117" s="1" t="n">
        <v>45245</v>
      </c>
      <c r="C1117" s="1" t="n">
        <v>46154</v>
      </c>
      <c r="D1117" t="inlineStr">
        <is>
          <t>STOCKHOLMS LÄN</t>
        </is>
      </c>
      <c r="E1117" t="inlineStr">
        <is>
          <t>NORRTÄLJE</t>
        </is>
      </c>
      <c r="G1117" t="n">
        <v>53.5</v>
      </c>
      <c r="H1117" t="n">
        <v>0</v>
      </c>
      <c r="I1117" t="n">
        <v>0</v>
      </c>
      <c r="J1117" t="n">
        <v>0</v>
      </c>
      <c r="K1117" t="n">
        <v>0</v>
      </c>
      <c r="L1117" t="n">
        <v>0</v>
      </c>
      <c r="M1117" t="n">
        <v>0</v>
      </c>
      <c r="N1117" t="n">
        <v>0</v>
      </c>
      <c r="O1117" t="n">
        <v>0</v>
      </c>
      <c r="P1117" t="n">
        <v>0</v>
      </c>
      <c r="Q1117" t="n">
        <v>0</v>
      </c>
      <c r="R1117" s="2" t="inlineStr"/>
    </row>
    <row r="1118" ht="15" customHeight="1">
      <c r="A1118" t="inlineStr">
        <is>
          <t>A 4553-2023</t>
        </is>
      </c>
      <c r="B1118" s="1" t="n">
        <v>44956.65920138889</v>
      </c>
      <c r="C1118" s="1" t="n">
        <v>46154</v>
      </c>
      <c r="D1118" t="inlineStr">
        <is>
          <t>STOCKHOLMS LÄN</t>
        </is>
      </c>
      <c r="E1118" t="inlineStr">
        <is>
          <t>NORRTÄLJE</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875-2023</t>
        </is>
      </c>
      <c r="B1119" s="1" t="n">
        <v>44931.65626157408</v>
      </c>
      <c r="C1119" s="1" t="n">
        <v>46154</v>
      </c>
      <c r="D1119" t="inlineStr">
        <is>
          <t>STOCKHOLMS LÄN</t>
        </is>
      </c>
      <c r="E1119" t="inlineStr">
        <is>
          <t>NORRTÄLJE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24575-2024</t>
        </is>
      </c>
      <c r="B1120" s="1" t="n">
        <v>45460.45523148148</v>
      </c>
      <c r="C1120" s="1" t="n">
        <v>46154</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19-2024</t>
        </is>
      </c>
      <c r="B1121" s="1" t="n">
        <v>45293</v>
      </c>
      <c r="C1121" s="1" t="n">
        <v>46154</v>
      </c>
      <c r="D1121" t="inlineStr">
        <is>
          <t>STOCKHOLMS LÄN</t>
        </is>
      </c>
      <c r="E1121" t="inlineStr">
        <is>
          <t>NORRTÄLJE</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11333-2025</t>
        </is>
      </c>
      <c r="B1122" s="1" t="n">
        <v>45726.48377314815</v>
      </c>
      <c r="C1122" s="1" t="n">
        <v>46154</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31827-2023</t>
        </is>
      </c>
      <c r="B1123" s="1" t="n">
        <v>45118</v>
      </c>
      <c r="C1123" s="1" t="n">
        <v>46154</v>
      </c>
      <c r="D1123" t="inlineStr">
        <is>
          <t>STOCKHOLMS LÄN</t>
        </is>
      </c>
      <c r="E1123" t="inlineStr">
        <is>
          <t>NORRTÄLJE</t>
        </is>
      </c>
      <c r="F1123" t="inlineStr">
        <is>
          <t>Kyrkan</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10973-2025</t>
        </is>
      </c>
      <c r="B1124" s="1" t="n">
        <v>45723</v>
      </c>
      <c r="C1124" s="1" t="n">
        <v>46154</v>
      </c>
      <c r="D1124" t="inlineStr">
        <is>
          <t>STOCKHOLMS LÄN</t>
        </is>
      </c>
      <c r="E1124" t="inlineStr">
        <is>
          <t>NORRTÄLJE</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54496-2024</t>
        </is>
      </c>
      <c r="B1125" s="1" t="n">
        <v>45617.57439814815</v>
      </c>
      <c r="C1125" s="1" t="n">
        <v>46154</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7796-2025</t>
        </is>
      </c>
      <c r="B1126" s="1" t="n">
        <v>45706.60130787037</v>
      </c>
      <c r="C1126" s="1" t="n">
        <v>46154</v>
      </c>
      <c r="D1126" t="inlineStr">
        <is>
          <t>STOCKHOLMS LÄN</t>
        </is>
      </c>
      <c r="E1126" t="inlineStr">
        <is>
          <t>NORRTÄLJE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59767-2022</t>
        </is>
      </c>
      <c r="B1127" s="1" t="n">
        <v>44900</v>
      </c>
      <c r="C1127" s="1" t="n">
        <v>46154</v>
      </c>
      <c r="D1127" t="inlineStr">
        <is>
          <t>STOCKHOLMS LÄN</t>
        </is>
      </c>
      <c r="E1127" t="inlineStr">
        <is>
          <t>NORRTÄLJE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22756-2022</t>
        </is>
      </c>
      <c r="B1128" s="1" t="n">
        <v>44714.92253472222</v>
      </c>
      <c r="C1128" s="1" t="n">
        <v>46154</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58311-2023</t>
        </is>
      </c>
      <c r="B1129" s="1" t="n">
        <v>45245</v>
      </c>
      <c r="C1129" s="1" t="n">
        <v>46154</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8739-2024</t>
        </is>
      </c>
      <c r="B1130" s="1" t="n">
        <v>45356.47784722222</v>
      </c>
      <c r="C1130" s="1" t="n">
        <v>46154</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26640-2023</t>
        </is>
      </c>
      <c r="B1131" s="1" t="n">
        <v>45092</v>
      </c>
      <c r="C1131" s="1" t="n">
        <v>46154</v>
      </c>
      <c r="D1131" t="inlineStr">
        <is>
          <t>STOCKHOLMS LÄN</t>
        </is>
      </c>
      <c r="E1131" t="inlineStr">
        <is>
          <t>NORRTÄLJE</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62765-2022</t>
        </is>
      </c>
      <c r="B1132" s="1" t="n">
        <v>44637</v>
      </c>
      <c r="C1132" s="1" t="n">
        <v>46154</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38990-2022</t>
        </is>
      </c>
      <c r="B1133" s="1" t="n">
        <v>44816</v>
      </c>
      <c r="C1133" s="1" t="n">
        <v>46154</v>
      </c>
      <c r="D1133" t="inlineStr">
        <is>
          <t>STOCKHOLMS LÄN</t>
        </is>
      </c>
      <c r="E1133" t="inlineStr">
        <is>
          <t>NORRTÄLJE</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17545-2025</t>
        </is>
      </c>
      <c r="B1134" s="1" t="n">
        <v>45757.60658564815</v>
      </c>
      <c r="C1134" s="1" t="n">
        <v>46154</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17956-2025</t>
        </is>
      </c>
      <c r="B1135" s="1" t="n">
        <v>45760.91174768518</v>
      </c>
      <c r="C1135" s="1" t="n">
        <v>46154</v>
      </c>
      <c r="D1135" t="inlineStr">
        <is>
          <t>STOCKHOLMS LÄN</t>
        </is>
      </c>
      <c r="E1135" t="inlineStr">
        <is>
          <t>NORRTÄLJE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23265-2023</t>
        </is>
      </c>
      <c r="B1136" s="1" t="n">
        <v>45075.90703703704</v>
      </c>
      <c r="C1136" s="1" t="n">
        <v>46154</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30268-2024</t>
        </is>
      </c>
      <c r="B1137" s="1" t="n">
        <v>45490.60572916667</v>
      </c>
      <c r="C1137" s="1" t="n">
        <v>46154</v>
      </c>
      <c r="D1137" t="inlineStr">
        <is>
          <t>STOCKHOLMS LÄN</t>
        </is>
      </c>
      <c r="E1137" t="inlineStr">
        <is>
          <t>NORRTÄLJE</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59535-2024</t>
        </is>
      </c>
      <c r="B1138" s="1" t="n">
        <v>45638.59979166667</v>
      </c>
      <c r="C1138" s="1" t="n">
        <v>46154</v>
      </c>
      <c r="D1138" t="inlineStr">
        <is>
          <t>STOCKHOLMS LÄN</t>
        </is>
      </c>
      <c r="E1138" t="inlineStr">
        <is>
          <t>NORRTÄLJE</t>
        </is>
      </c>
      <c r="F1138" t="inlineStr">
        <is>
          <t>Holmen skog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9246-2024</t>
        </is>
      </c>
      <c r="B1139" s="1" t="n">
        <v>45357</v>
      </c>
      <c r="C1139" s="1" t="n">
        <v>46154</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20852-2023</t>
        </is>
      </c>
      <c r="B1140" s="1" t="n">
        <v>45058.78607638889</v>
      </c>
      <c r="C1140" s="1" t="n">
        <v>46154</v>
      </c>
      <c r="D1140" t="inlineStr">
        <is>
          <t>STOCKHOLMS LÄN</t>
        </is>
      </c>
      <c r="E1140" t="inlineStr">
        <is>
          <t>NORRTÄLJE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50355-2024</t>
        </is>
      </c>
      <c r="B1141" s="1" t="n">
        <v>45600.86128472222</v>
      </c>
      <c r="C1141" s="1" t="n">
        <v>46154</v>
      </c>
      <c r="D1141" t="inlineStr">
        <is>
          <t>STOCKHOLMS LÄN</t>
        </is>
      </c>
      <c r="E1141" t="inlineStr">
        <is>
          <t>NORRTÄLJE</t>
        </is>
      </c>
      <c r="F1141" t="inlineStr">
        <is>
          <t>Kommuner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60694-2024</t>
        </is>
      </c>
      <c r="B1142" s="1" t="n">
        <v>45644.47878472223</v>
      </c>
      <c r="C1142" s="1" t="n">
        <v>46154</v>
      </c>
      <c r="D1142" t="inlineStr">
        <is>
          <t>STOCKHOLMS LÄN</t>
        </is>
      </c>
      <c r="E1142" t="inlineStr">
        <is>
          <t>NORRTÄLJE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25094-2023</t>
        </is>
      </c>
      <c r="B1143" s="1" t="n">
        <v>45086.3629050926</v>
      </c>
      <c r="C1143" s="1" t="n">
        <v>46154</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59276-2023</t>
        </is>
      </c>
      <c r="B1144" s="1" t="n">
        <v>45253.55641203704</v>
      </c>
      <c r="C1144" s="1" t="n">
        <v>46154</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13767-2025</t>
        </is>
      </c>
      <c r="B1145" s="1" t="n">
        <v>45737.43347222222</v>
      </c>
      <c r="C1145" s="1" t="n">
        <v>46154</v>
      </c>
      <c r="D1145" t="inlineStr">
        <is>
          <t>STOCKHOLMS LÄN</t>
        </is>
      </c>
      <c r="E1145" t="inlineStr">
        <is>
          <t>NORRTÄLJE</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41587-2023</t>
        </is>
      </c>
      <c r="B1146" s="1" t="n">
        <v>45175</v>
      </c>
      <c r="C1146" s="1" t="n">
        <v>46154</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27381-2024</t>
        </is>
      </c>
      <c r="B1147" s="1" t="n">
        <v>45473.94501157408</v>
      </c>
      <c r="C1147" s="1" t="n">
        <v>46154</v>
      </c>
      <c r="D1147" t="inlineStr">
        <is>
          <t>STOCKHOLMS LÄN</t>
        </is>
      </c>
      <c r="E1147" t="inlineStr">
        <is>
          <t>NORRTÄLJE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60529-2023</t>
        </is>
      </c>
      <c r="B1148" s="1" t="n">
        <v>45259</v>
      </c>
      <c r="C1148" s="1" t="n">
        <v>46154</v>
      </c>
      <c r="D1148" t="inlineStr">
        <is>
          <t>STOCKHOLMS LÄN</t>
        </is>
      </c>
      <c r="E1148" t="inlineStr">
        <is>
          <t>NORRTÄLJE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59326-2023</t>
        </is>
      </c>
      <c r="B1149" s="1" t="n">
        <v>45253.63089120371</v>
      </c>
      <c r="C1149" s="1" t="n">
        <v>46154</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20790-2025</t>
        </is>
      </c>
      <c r="B1150" s="1" t="n">
        <v>45776.62563657408</v>
      </c>
      <c r="C1150" s="1" t="n">
        <v>46154</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3152-2024</t>
        </is>
      </c>
      <c r="B1151" s="1" t="n">
        <v>45316.60306712963</v>
      </c>
      <c r="C1151" s="1" t="n">
        <v>46154</v>
      </c>
      <c r="D1151" t="inlineStr">
        <is>
          <t>STOCKHOLMS LÄN</t>
        </is>
      </c>
      <c r="E1151" t="inlineStr">
        <is>
          <t>NORRTÄLJE</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20699-2025</t>
        </is>
      </c>
      <c r="B1152" s="1" t="n">
        <v>45776.47346064815</v>
      </c>
      <c r="C1152" s="1" t="n">
        <v>46154</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20779-2025</t>
        </is>
      </c>
      <c r="B1153" s="1" t="n">
        <v>45776.59871527777</v>
      </c>
      <c r="C1153" s="1" t="n">
        <v>46154</v>
      </c>
      <c r="D1153" t="inlineStr">
        <is>
          <t>STOCKHOLMS LÄN</t>
        </is>
      </c>
      <c r="E1153" t="inlineStr">
        <is>
          <t>NORRTÄLJE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44836-2023</t>
        </is>
      </c>
      <c r="B1154" s="1" t="n">
        <v>45190.55609953704</v>
      </c>
      <c r="C1154" s="1" t="n">
        <v>46154</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21771-2025</t>
        </is>
      </c>
      <c r="B1155" s="1" t="n">
        <v>45783</v>
      </c>
      <c r="C1155" s="1" t="n">
        <v>46154</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21778-2025</t>
        </is>
      </c>
      <c r="B1156" s="1" t="n">
        <v>45783.66429398148</v>
      </c>
      <c r="C1156" s="1" t="n">
        <v>46154</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12902-2024</t>
        </is>
      </c>
      <c r="B1157" s="1" t="n">
        <v>45385.38146990741</v>
      </c>
      <c r="C1157" s="1" t="n">
        <v>46154</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39237-2024</t>
        </is>
      </c>
      <c r="B1158" s="1" t="n">
        <v>45549</v>
      </c>
      <c r="C1158" s="1" t="n">
        <v>46154</v>
      </c>
      <c r="D1158" t="inlineStr">
        <is>
          <t>STOCKHOLMS LÄN</t>
        </is>
      </c>
      <c r="E1158" t="inlineStr">
        <is>
          <t>NORRTÄLJE</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44891-2023</t>
        </is>
      </c>
      <c r="B1159" s="1" t="n">
        <v>45187</v>
      </c>
      <c r="C1159" s="1" t="n">
        <v>46154</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13268-2025</t>
        </is>
      </c>
      <c r="B1160" s="1" t="n">
        <v>45735</v>
      </c>
      <c r="C1160" s="1" t="n">
        <v>46154</v>
      </c>
      <c r="D1160" t="inlineStr">
        <is>
          <t>STOCKHOLMS LÄN</t>
        </is>
      </c>
      <c r="E1160" t="inlineStr">
        <is>
          <t>NORRTÄLJE</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8414-2025</t>
        </is>
      </c>
      <c r="B1161" s="1" t="n">
        <v>45709.39361111111</v>
      </c>
      <c r="C1161" s="1" t="n">
        <v>46154</v>
      </c>
      <c r="D1161" t="inlineStr">
        <is>
          <t>STOCKHOLMS LÄN</t>
        </is>
      </c>
      <c r="E1161" t="inlineStr">
        <is>
          <t>NORRTÄLJE</t>
        </is>
      </c>
      <c r="F1161" t="inlineStr">
        <is>
          <t>Holmen skog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44032-2024</t>
        </is>
      </c>
      <c r="B1162" s="1" t="n">
        <v>45572.57828703704</v>
      </c>
      <c r="C1162" s="1" t="n">
        <v>46154</v>
      </c>
      <c r="D1162" t="inlineStr">
        <is>
          <t>STOCKHOLMS LÄN</t>
        </is>
      </c>
      <c r="E1162" t="inlineStr">
        <is>
          <t>NORRTÄLJE</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24563-2024</t>
        </is>
      </c>
      <c r="B1163" s="1" t="n">
        <v>45460.44347222222</v>
      </c>
      <c r="C1163" s="1" t="n">
        <v>46154</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22202-2025</t>
        </is>
      </c>
      <c r="B1164" s="1" t="n">
        <v>45785.65300925926</v>
      </c>
      <c r="C1164" s="1" t="n">
        <v>46154</v>
      </c>
      <c r="D1164" t="inlineStr">
        <is>
          <t>STOCKHOLMS LÄN</t>
        </is>
      </c>
      <c r="E1164" t="inlineStr">
        <is>
          <t>NORRTÄLJE</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36625-2024</t>
        </is>
      </c>
      <c r="B1165" s="1" t="n">
        <v>45537</v>
      </c>
      <c r="C1165" s="1" t="n">
        <v>46154</v>
      </c>
      <c r="D1165" t="inlineStr">
        <is>
          <t>STOCKHOLMS LÄN</t>
        </is>
      </c>
      <c r="E1165" t="inlineStr">
        <is>
          <t>NORRTÄLJE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45746-2024</t>
        </is>
      </c>
      <c r="B1166" s="1" t="n">
        <v>45579</v>
      </c>
      <c r="C1166" s="1" t="n">
        <v>46154</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8400-2024</t>
        </is>
      </c>
      <c r="B1167" s="1" t="n">
        <v>45352.74090277778</v>
      </c>
      <c r="C1167" s="1" t="n">
        <v>46154</v>
      </c>
      <c r="D1167" t="inlineStr">
        <is>
          <t>STOCKHOLMS LÄN</t>
        </is>
      </c>
      <c r="E1167" t="inlineStr">
        <is>
          <t>NORRTÄLJE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2182-2022</t>
        </is>
      </c>
      <c r="B1168" s="1" t="n">
        <v>44578</v>
      </c>
      <c r="C1168" s="1" t="n">
        <v>46154</v>
      </c>
      <c r="D1168" t="inlineStr">
        <is>
          <t>STOCKHOLMS LÄN</t>
        </is>
      </c>
      <c r="E1168" t="inlineStr">
        <is>
          <t>NORRTÄLJE</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16620-2024</t>
        </is>
      </c>
      <c r="B1169" s="1" t="n">
        <v>45408.57707175926</v>
      </c>
      <c r="C1169" s="1" t="n">
        <v>46154</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22416-2025</t>
        </is>
      </c>
      <c r="B1170" s="1" t="n">
        <v>45786.55645833333</v>
      </c>
      <c r="C1170" s="1" t="n">
        <v>46154</v>
      </c>
      <c r="D1170" t="inlineStr">
        <is>
          <t>STOCKHOLMS LÄN</t>
        </is>
      </c>
      <c r="E1170" t="inlineStr">
        <is>
          <t>NORRTÄLJE</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c r="A1171" t="inlineStr">
        <is>
          <t>A 58785-2024</t>
        </is>
      </c>
      <c r="B1171" s="1" t="n">
        <v>45635.88849537037</v>
      </c>
      <c r="C1171" s="1" t="n">
        <v>46154</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2026-05-12T11:04:54Z</dcterms:created>
  <dcterms:modified xmlns:dcterms="http://purl.org/dc/terms/" xmlns:xsi="http://www.w3.org/2001/XMLSchema-instance" xsi:type="dcterms:W3CDTF">2026-05-12T11:04:55Z</dcterms:modified>
</cp:coreProperties>
</file>