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46136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46136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46136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46136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46136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46136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46136</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46136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46136</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46136</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46136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46136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46136</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46136</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46136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46136</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46136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46136</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46136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46136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46136</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46136</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46136</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46136</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46136</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46136</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46136</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46136</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17645-2026</t>
        </is>
      </c>
      <c r="B40" s="1" t="n">
        <v>46121.51921296296</v>
      </c>
      <c r="C40" s="1" t="n">
        <v>46136</v>
      </c>
      <c r="D40" t="inlineStr">
        <is>
          <t>STOCKHOLMS LÄN</t>
        </is>
      </c>
      <c r="E40" t="inlineStr">
        <is>
          <t>NORRTÄLJE</t>
        </is>
      </c>
      <c r="G40" t="n">
        <v>8.199999999999999</v>
      </c>
      <c r="H40" t="n">
        <v>1</v>
      </c>
      <c r="I40" t="n">
        <v>1</v>
      </c>
      <c r="J40" t="n">
        <v>3</v>
      </c>
      <c r="K40" t="n">
        <v>1</v>
      </c>
      <c r="L40" t="n">
        <v>0</v>
      </c>
      <c r="M40" t="n">
        <v>0</v>
      </c>
      <c r="N40" t="n">
        <v>0</v>
      </c>
      <c r="O40" t="n">
        <v>4</v>
      </c>
      <c r="P40" t="n">
        <v>1</v>
      </c>
      <c r="Q40" t="n">
        <v>5</v>
      </c>
      <c r="R40" s="2" t="inlineStr">
        <is>
          <t>Knärot
Tallticka
Ullticka
Vit vedfingersvamp
Grönpyrola</t>
        </is>
      </c>
      <c r="S40">
        <f>HYPERLINK("https://klasma.github.io/Logging_0188/artfynd/A 17645-2026 artfynd.xlsx", "A 17645-2026")</f>
        <v/>
      </c>
      <c r="T40">
        <f>HYPERLINK("https://klasma.github.io/Logging_0188/kartor/A 17645-2026 karta.png", "A 17645-2026")</f>
        <v/>
      </c>
      <c r="U40">
        <f>HYPERLINK("https://klasma.github.io/Logging_0188/knärot/A 17645-2026 karta knärot.png", "A 17645-2026")</f>
        <v/>
      </c>
      <c r="V40">
        <f>HYPERLINK("https://klasma.github.io/Logging_0188/klagomål/A 17645-2026 FSC-klagomål.docx", "A 17645-2026")</f>
        <v/>
      </c>
      <c r="W40">
        <f>HYPERLINK("https://klasma.github.io/Logging_0188/klagomålsmail/A 17645-2026 FSC-klagomål mail.docx", "A 17645-2026")</f>
        <v/>
      </c>
      <c r="X40">
        <f>HYPERLINK("https://klasma.github.io/Logging_0188/tillsyn/A 17645-2026 tillsynsbegäran.docx", "A 17645-2026")</f>
        <v/>
      </c>
      <c r="Y40">
        <f>HYPERLINK("https://klasma.github.io/Logging_0188/tillsynsmail/A 17645-2026 tillsynsbegäran mail.docx", "A 17645-2026")</f>
        <v/>
      </c>
    </row>
    <row r="41" ht="15" customHeight="1">
      <c r="A41" t="inlineStr">
        <is>
          <t>A 30687-2025</t>
        </is>
      </c>
      <c r="B41" s="1" t="n">
        <v>45831.53390046296</v>
      </c>
      <c r="C41" s="1" t="n">
        <v>46136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46136</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46136</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46136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46136</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46136</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46136</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46136</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34521-2025</t>
        </is>
      </c>
      <c r="B49" s="1" t="n">
        <v>45847.47052083333</v>
      </c>
      <c r="C49" s="1" t="n">
        <v>46136</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10876-2025</t>
        </is>
      </c>
      <c r="B50" s="1" t="n">
        <v>45722</v>
      </c>
      <c r="C50" s="1" t="n">
        <v>46136</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46136</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46136</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46136</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46136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46136</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45113-2022</t>
        </is>
      </c>
      <c r="B56" s="1" t="n">
        <v>44843</v>
      </c>
      <c r="C56" s="1" t="n">
        <v>46136</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46136</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46136</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46136</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46136</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46136</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46136</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46136</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15913-2026</t>
        </is>
      </c>
      <c r="B64" s="1" t="n">
        <v>46107.6456712963</v>
      </c>
      <c r="C64" s="1" t="n">
        <v>46136</v>
      </c>
      <c r="D64" t="inlineStr">
        <is>
          <t>STOCKHOLMS LÄN</t>
        </is>
      </c>
      <c r="E64" t="inlineStr">
        <is>
          <t>NORRTÄLJE</t>
        </is>
      </c>
      <c r="G64" t="n">
        <v>4.2</v>
      </c>
      <c r="H64" t="n">
        <v>2</v>
      </c>
      <c r="I64" t="n">
        <v>2</v>
      </c>
      <c r="J64" t="n">
        <v>0</v>
      </c>
      <c r="K64" t="n">
        <v>0</v>
      </c>
      <c r="L64" t="n">
        <v>0</v>
      </c>
      <c r="M64" t="n">
        <v>0</v>
      </c>
      <c r="N64" t="n">
        <v>0</v>
      </c>
      <c r="O64" t="n">
        <v>0</v>
      </c>
      <c r="P64" t="n">
        <v>0</v>
      </c>
      <c r="Q64" t="n">
        <v>3</v>
      </c>
      <c r="R64" s="2" t="inlineStr">
        <is>
          <t>Fjällig taggsvamp s.str.
Nästrot
Blåsippa</t>
        </is>
      </c>
      <c r="S64">
        <f>HYPERLINK("https://klasma.github.io/Logging_0188/artfynd/A 15913-2026 artfynd.xlsx", "A 15913-2026")</f>
        <v/>
      </c>
      <c r="T64">
        <f>HYPERLINK("https://klasma.github.io/Logging_0188/kartor/A 15913-2026 karta.png", "A 15913-2026")</f>
        <v/>
      </c>
      <c r="V64">
        <f>HYPERLINK("https://klasma.github.io/Logging_0188/klagomål/A 15913-2026 FSC-klagomål.docx", "A 15913-2026")</f>
        <v/>
      </c>
      <c r="W64">
        <f>HYPERLINK("https://klasma.github.io/Logging_0188/klagomålsmail/A 15913-2026 FSC-klagomål mail.docx", "A 15913-2026")</f>
        <v/>
      </c>
      <c r="X64">
        <f>HYPERLINK("https://klasma.github.io/Logging_0188/tillsyn/A 15913-2026 tillsynsbegäran.docx", "A 15913-2026")</f>
        <v/>
      </c>
      <c r="Y64">
        <f>HYPERLINK("https://klasma.github.io/Logging_0188/tillsynsmail/A 15913-2026 tillsynsbegäran mail.docx", "A 15913-2026")</f>
        <v/>
      </c>
    </row>
    <row r="65" ht="15" customHeight="1">
      <c r="A65" t="inlineStr">
        <is>
          <t>A 34524-2025</t>
        </is>
      </c>
      <c r="B65" s="1" t="n">
        <v>45847.47685185185</v>
      </c>
      <c r="C65" s="1" t="n">
        <v>46136</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46136</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53065-2024</t>
        </is>
      </c>
      <c r="B67" s="1" t="n">
        <v>45611.47233796296</v>
      </c>
      <c r="C67" s="1" t="n">
        <v>46136</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46136</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46136</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46136</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46136</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46136</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46136</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46136</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46136</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46136</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46136</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46136</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15925-2026</t>
        </is>
      </c>
      <c r="B79" s="1" t="n">
        <v>46107.66046296297</v>
      </c>
      <c r="C79" s="1" t="n">
        <v>46136</v>
      </c>
      <c r="D79" t="inlineStr">
        <is>
          <t>STOCKHOLMS LÄN</t>
        </is>
      </c>
      <c r="E79" t="inlineStr">
        <is>
          <t>NORRTÄLJE</t>
        </is>
      </c>
      <c r="G79" t="n">
        <v>2.9</v>
      </c>
      <c r="H79" t="n">
        <v>1</v>
      </c>
      <c r="I79" t="n">
        <v>1</v>
      </c>
      <c r="J79" t="n">
        <v>0</v>
      </c>
      <c r="K79" t="n">
        <v>0</v>
      </c>
      <c r="L79" t="n">
        <v>0</v>
      </c>
      <c r="M79" t="n">
        <v>0</v>
      </c>
      <c r="N79" t="n">
        <v>0</v>
      </c>
      <c r="O79" t="n">
        <v>0</v>
      </c>
      <c r="P79" t="n">
        <v>0</v>
      </c>
      <c r="Q79" t="n">
        <v>2</v>
      </c>
      <c r="R79" s="2" t="inlineStr">
        <is>
          <t>Fjällig taggsvamp s.str.
Blåsippa</t>
        </is>
      </c>
      <c r="S79">
        <f>HYPERLINK("https://klasma.github.io/Logging_0188/artfynd/A 15925-2026 artfynd.xlsx", "A 15925-2026")</f>
        <v/>
      </c>
      <c r="T79">
        <f>HYPERLINK("https://klasma.github.io/Logging_0188/kartor/A 15925-2026 karta.png", "A 15925-2026")</f>
        <v/>
      </c>
      <c r="V79">
        <f>HYPERLINK("https://klasma.github.io/Logging_0188/klagomål/A 15925-2026 FSC-klagomål.docx", "A 15925-2026")</f>
        <v/>
      </c>
      <c r="W79">
        <f>HYPERLINK("https://klasma.github.io/Logging_0188/klagomålsmail/A 15925-2026 FSC-klagomål mail.docx", "A 15925-2026")</f>
        <v/>
      </c>
      <c r="X79">
        <f>HYPERLINK("https://klasma.github.io/Logging_0188/tillsyn/A 15925-2026 tillsynsbegäran.docx", "A 15925-2026")</f>
        <v/>
      </c>
      <c r="Y79">
        <f>HYPERLINK("https://klasma.github.io/Logging_0188/tillsynsmail/A 15925-2026 tillsynsbegäran mail.docx", "A 15925-2026")</f>
        <v/>
      </c>
    </row>
    <row r="80" ht="15" customHeight="1">
      <c r="A80" t="inlineStr">
        <is>
          <t>A 17952-2022</t>
        </is>
      </c>
      <c r="B80" s="1" t="n">
        <v>44683</v>
      </c>
      <c r="C80" s="1" t="n">
        <v>46136</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53608-2025</t>
        </is>
      </c>
      <c r="B81" s="1" t="n">
        <v>45960</v>
      </c>
      <c r="C81" s="1" t="n">
        <v>46136</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50697-2025</t>
        </is>
      </c>
      <c r="B82" s="1" t="n">
        <v>45945.90854166666</v>
      </c>
      <c r="C82" s="1" t="n">
        <v>46136</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52360-2024</t>
        </is>
      </c>
      <c r="B83" s="1" t="n">
        <v>45609.37094907407</v>
      </c>
      <c r="C83" s="1" t="n">
        <v>46136</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46136</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46136</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46136</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46136</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46136</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46136</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46136</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46136</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47898-2022</t>
        </is>
      </c>
      <c r="B92" s="1" t="n">
        <v>44855</v>
      </c>
      <c r="C92" s="1" t="n">
        <v>46136</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4595-2023</t>
        </is>
      </c>
      <c r="B93" s="1" t="n">
        <v>44956</v>
      </c>
      <c r="C93" s="1" t="n">
        <v>46136</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32111-2022</t>
        </is>
      </c>
      <c r="B94" s="1" t="n">
        <v>44778.92797453704</v>
      </c>
      <c r="C94" s="1" t="n">
        <v>46136</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25709-2025</t>
        </is>
      </c>
      <c r="B95" s="1" t="n">
        <v>45800</v>
      </c>
      <c r="C95" s="1" t="n">
        <v>46136</v>
      </c>
      <c r="D95" t="inlineStr">
        <is>
          <t>STOCKHOLMS LÄN</t>
        </is>
      </c>
      <c r="E95" t="inlineStr">
        <is>
          <t>NORRTÄLJE</t>
        </is>
      </c>
      <c r="G95" t="n">
        <v>4.6</v>
      </c>
      <c r="H95" t="n">
        <v>0</v>
      </c>
      <c r="I95" t="n">
        <v>0</v>
      </c>
      <c r="J95" t="n">
        <v>1</v>
      </c>
      <c r="K95" t="n">
        <v>0</v>
      </c>
      <c r="L95" t="n">
        <v>0</v>
      </c>
      <c r="M95" t="n">
        <v>0</v>
      </c>
      <c r="N95" t="n">
        <v>0</v>
      </c>
      <c r="O95" t="n">
        <v>1</v>
      </c>
      <c r="P95" t="n">
        <v>0</v>
      </c>
      <c r="Q95" t="n">
        <v>1</v>
      </c>
      <c r="R95" s="2" t="inlineStr">
        <is>
          <t>Ullticka</t>
        </is>
      </c>
      <c r="S95">
        <f>HYPERLINK("https://klasma.github.io/Logging_0188/artfynd/A 25709-2025 artfynd.xlsx", "A 25709-2025")</f>
        <v/>
      </c>
      <c r="T95">
        <f>HYPERLINK("https://klasma.github.io/Logging_0188/kartor/A 25709-2025 karta.png", "A 25709-2025")</f>
        <v/>
      </c>
      <c r="V95">
        <f>HYPERLINK("https://klasma.github.io/Logging_0188/klagomål/A 25709-2025 FSC-klagomål.docx", "A 25709-2025")</f>
        <v/>
      </c>
      <c r="W95">
        <f>HYPERLINK("https://klasma.github.io/Logging_0188/klagomålsmail/A 25709-2025 FSC-klagomål mail.docx", "A 25709-2025")</f>
        <v/>
      </c>
      <c r="X95">
        <f>HYPERLINK("https://klasma.github.io/Logging_0188/tillsyn/A 25709-2025 tillsynsbegäran.docx", "A 25709-2025")</f>
        <v/>
      </c>
      <c r="Y95">
        <f>HYPERLINK("https://klasma.github.io/Logging_0188/tillsynsmail/A 25709-2025 tillsynsbegäran mail.docx", "A 25709-2025")</f>
        <v/>
      </c>
    </row>
    <row r="96" ht="15" customHeight="1">
      <c r="A96" t="inlineStr">
        <is>
          <t>A 364-2026</t>
        </is>
      </c>
      <c r="B96" s="1" t="n">
        <v>46027.67134259259</v>
      </c>
      <c r="C96" s="1" t="n">
        <v>46136</v>
      </c>
      <c r="D96" t="inlineStr">
        <is>
          <t>STOCKHOLMS LÄN</t>
        </is>
      </c>
      <c r="E96" t="inlineStr">
        <is>
          <t>NORRTÄLJE</t>
        </is>
      </c>
      <c r="F96" t="inlineStr">
        <is>
          <t>Holmen skog AB</t>
        </is>
      </c>
      <c r="G96" t="n">
        <v>4.3</v>
      </c>
      <c r="H96" t="n">
        <v>1</v>
      </c>
      <c r="I96" t="n">
        <v>0</v>
      </c>
      <c r="J96" t="n">
        <v>0</v>
      </c>
      <c r="K96" t="n">
        <v>0</v>
      </c>
      <c r="L96" t="n">
        <v>1</v>
      </c>
      <c r="M96" t="n">
        <v>0</v>
      </c>
      <c r="N96" t="n">
        <v>0</v>
      </c>
      <c r="O96" t="n">
        <v>1</v>
      </c>
      <c r="P96" t="n">
        <v>1</v>
      </c>
      <c r="Q96" t="n">
        <v>1</v>
      </c>
      <c r="R96" s="2" t="inlineStr">
        <is>
          <t>Asknätfjäril</t>
        </is>
      </c>
      <c r="S96">
        <f>HYPERLINK("https://klasma.github.io/Logging_0188/artfynd/A 364-2026 artfynd.xlsx", "A 364-2026")</f>
        <v/>
      </c>
      <c r="T96">
        <f>HYPERLINK("https://klasma.github.io/Logging_0188/kartor/A 364-2026 karta.png", "A 364-2026")</f>
        <v/>
      </c>
      <c r="V96">
        <f>HYPERLINK("https://klasma.github.io/Logging_0188/klagomål/A 364-2026 FSC-klagomål.docx", "A 364-2026")</f>
        <v/>
      </c>
      <c r="W96">
        <f>HYPERLINK("https://klasma.github.io/Logging_0188/klagomålsmail/A 364-2026 FSC-klagomål mail.docx", "A 364-2026")</f>
        <v/>
      </c>
      <c r="X96">
        <f>HYPERLINK("https://klasma.github.io/Logging_0188/tillsyn/A 364-2026 tillsynsbegäran.docx", "A 364-2026")</f>
        <v/>
      </c>
      <c r="Y96">
        <f>HYPERLINK("https://klasma.github.io/Logging_0188/tillsynsmail/A 364-2026 tillsynsbegäran mail.docx", "A 364-2026")</f>
        <v/>
      </c>
    </row>
    <row r="97" ht="15" customHeight="1">
      <c r="A97" t="inlineStr">
        <is>
          <t>A 25725-2025</t>
        </is>
      </c>
      <c r="B97" s="1" t="n">
        <v>45800</v>
      </c>
      <c r="C97" s="1" t="n">
        <v>46136</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35649-2023</t>
        </is>
      </c>
      <c r="B98" s="1" t="n">
        <v>45146</v>
      </c>
      <c r="C98" s="1" t="n">
        <v>46136</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35764-2024</t>
        </is>
      </c>
      <c r="B99" s="1" t="n">
        <v>45532</v>
      </c>
      <c r="C99" s="1" t="n">
        <v>46136</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25669-2025</t>
        </is>
      </c>
      <c r="B100" s="1" t="n">
        <v>45803.62766203703</v>
      </c>
      <c r="C100" s="1" t="n">
        <v>46136</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4860-2022</t>
        </is>
      </c>
      <c r="B101" s="1" t="n">
        <v>44592</v>
      </c>
      <c r="C101" s="1" t="n">
        <v>46136</v>
      </c>
      <c r="D101" t="inlineStr">
        <is>
          <t>STOCKHOLMS LÄN</t>
        </is>
      </c>
      <c r="E101" t="inlineStr">
        <is>
          <t>NORRTÄLJE</t>
        </is>
      </c>
      <c r="G101" t="n">
        <v>22.3</v>
      </c>
      <c r="H101" t="n">
        <v>0</v>
      </c>
      <c r="I101" t="n">
        <v>0</v>
      </c>
      <c r="J101" t="n">
        <v>1</v>
      </c>
      <c r="K101" t="n">
        <v>0</v>
      </c>
      <c r="L101" t="n">
        <v>0</v>
      </c>
      <c r="M101" t="n">
        <v>0</v>
      </c>
      <c r="N101" t="n">
        <v>0</v>
      </c>
      <c r="O101" t="n">
        <v>1</v>
      </c>
      <c r="P101" t="n">
        <v>0</v>
      </c>
      <c r="Q101" t="n">
        <v>1</v>
      </c>
      <c r="R101" s="2" t="inlineStr">
        <is>
          <t>Igelkott</t>
        </is>
      </c>
      <c r="S101">
        <f>HYPERLINK("https://klasma.github.io/Logging_0188/artfynd/A 4860-2022 artfynd.xlsx", "A 4860-2022")</f>
        <v/>
      </c>
      <c r="T101">
        <f>HYPERLINK("https://klasma.github.io/Logging_0188/kartor/A 4860-2022 karta.png", "A 4860-2022")</f>
        <v/>
      </c>
      <c r="V101">
        <f>HYPERLINK("https://klasma.github.io/Logging_0188/klagomål/A 4860-2022 FSC-klagomål.docx", "A 4860-2022")</f>
        <v/>
      </c>
      <c r="W101">
        <f>HYPERLINK("https://klasma.github.io/Logging_0188/klagomålsmail/A 4860-2022 FSC-klagomål mail.docx", "A 4860-2022")</f>
        <v/>
      </c>
      <c r="X101">
        <f>HYPERLINK("https://klasma.github.io/Logging_0188/tillsyn/A 4860-2022 tillsynsbegäran.docx", "A 4860-2022")</f>
        <v/>
      </c>
      <c r="Y101">
        <f>HYPERLINK("https://klasma.github.io/Logging_0188/tillsynsmail/A 4860-2022 tillsynsbegäran mail.docx", "A 4860-2022")</f>
        <v/>
      </c>
    </row>
    <row r="102" ht="15" customHeight="1">
      <c r="A102" t="inlineStr">
        <is>
          <t>A 13291-2025</t>
        </is>
      </c>
      <c r="B102" s="1" t="n">
        <v>45735</v>
      </c>
      <c r="C102" s="1" t="n">
        <v>46136</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6381-2023</t>
        </is>
      </c>
      <c r="B103" s="1" t="n">
        <v>44965</v>
      </c>
      <c r="C103" s="1" t="n">
        <v>46136</v>
      </c>
      <c r="D103" t="inlineStr">
        <is>
          <t>STOCKHOLMS LÄN</t>
        </is>
      </c>
      <c r="E103" t="inlineStr">
        <is>
          <t>NORRTÄLJE</t>
        </is>
      </c>
      <c r="G103" t="n">
        <v>3.5</v>
      </c>
      <c r="H103" t="n">
        <v>1</v>
      </c>
      <c r="I103" t="n">
        <v>1</v>
      </c>
      <c r="J103" t="n">
        <v>0</v>
      </c>
      <c r="K103" t="n">
        <v>0</v>
      </c>
      <c r="L103" t="n">
        <v>0</v>
      </c>
      <c r="M103" t="n">
        <v>0</v>
      </c>
      <c r="N103" t="n">
        <v>0</v>
      </c>
      <c r="O103" t="n">
        <v>0</v>
      </c>
      <c r="P103" t="n">
        <v>0</v>
      </c>
      <c r="Q103" t="n">
        <v>1</v>
      </c>
      <c r="R103" s="2" t="inlineStr">
        <is>
          <t>Guckusko</t>
        </is>
      </c>
      <c r="S103">
        <f>HYPERLINK("https://klasma.github.io/Logging_0188/artfynd/A 6381-2023 artfynd.xlsx", "A 6381-2023")</f>
        <v/>
      </c>
      <c r="T103">
        <f>HYPERLINK("https://klasma.github.io/Logging_0188/kartor/A 6381-2023 karta.png", "A 6381-2023")</f>
        <v/>
      </c>
      <c r="V103">
        <f>HYPERLINK("https://klasma.github.io/Logging_0188/klagomål/A 6381-2023 FSC-klagomål.docx", "A 6381-2023")</f>
        <v/>
      </c>
      <c r="W103">
        <f>HYPERLINK("https://klasma.github.io/Logging_0188/klagomålsmail/A 6381-2023 FSC-klagomål mail.docx", "A 6381-2023")</f>
        <v/>
      </c>
      <c r="X103">
        <f>HYPERLINK("https://klasma.github.io/Logging_0188/tillsyn/A 6381-2023 tillsynsbegäran.docx", "A 6381-2023")</f>
        <v/>
      </c>
      <c r="Y103">
        <f>HYPERLINK("https://klasma.github.io/Logging_0188/tillsynsmail/A 6381-2023 tillsynsbegäran mail.docx", "A 6381-2023")</f>
        <v/>
      </c>
    </row>
    <row r="104" ht="15" customHeight="1">
      <c r="A104" t="inlineStr">
        <is>
          <t>A 29946-2025</t>
        </is>
      </c>
      <c r="B104" s="1" t="n">
        <v>45826.46392361111</v>
      </c>
      <c r="C104" s="1" t="n">
        <v>46136</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58888-2021</t>
        </is>
      </c>
      <c r="B105" s="1" t="n">
        <v>44489</v>
      </c>
      <c r="C105" s="1" t="n">
        <v>46136</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7734-2026</t>
        </is>
      </c>
      <c r="B106" s="1" t="n">
        <v>46062.52902777777</v>
      </c>
      <c r="C106" s="1" t="n">
        <v>46136</v>
      </c>
      <c r="D106" t="inlineStr">
        <is>
          <t>STOCKHOLMS LÄN</t>
        </is>
      </c>
      <c r="E106" t="inlineStr">
        <is>
          <t>NORRTÄLJE</t>
        </is>
      </c>
      <c r="G106" t="n">
        <v>6.6</v>
      </c>
      <c r="H106" t="n">
        <v>0</v>
      </c>
      <c r="I106" t="n">
        <v>1</v>
      </c>
      <c r="J106" t="n">
        <v>0</v>
      </c>
      <c r="K106" t="n">
        <v>0</v>
      </c>
      <c r="L106" t="n">
        <v>0</v>
      </c>
      <c r="M106" t="n">
        <v>0</v>
      </c>
      <c r="N106" t="n">
        <v>0</v>
      </c>
      <c r="O106" t="n">
        <v>0</v>
      </c>
      <c r="P106" t="n">
        <v>0</v>
      </c>
      <c r="Q106" t="n">
        <v>1</v>
      </c>
      <c r="R106" s="2" t="inlineStr">
        <is>
          <t>Kastanjefjällskivling</t>
        </is>
      </c>
      <c r="S106">
        <f>HYPERLINK("https://klasma.github.io/Logging_0188/artfynd/A 7734-2026 artfynd.xlsx", "A 7734-2026")</f>
        <v/>
      </c>
      <c r="T106">
        <f>HYPERLINK("https://klasma.github.io/Logging_0188/kartor/A 7734-2026 karta.png", "A 7734-2026")</f>
        <v/>
      </c>
      <c r="V106">
        <f>HYPERLINK("https://klasma.github.io/Logging_0188/klagomål/A 7734-2026 FSC-klagomål.docx", "A 7734-2026")</f>
        <v/>
      </c>
      <c r="W106">
        <f>HYPERLINK("https://klasma.github.io/Logging_0188/klagomålsmail/A 7734-2026 FSC-klagomål mail.docx", "A 7734-2026")</f>
        <v/>
      </c>
      <c r="X106">
        <f>HYPERLINK("https://klasma.github.io/Logging_0188/tillsyn/A 7734-2026 tillsynsbegäran.docx", "A 7734-2026")</f>
        <v/>
      </c>
      <c r="Y106">
        <f>HYPERLINK("https://klasma.github.io/Logging_0188/tillsynsmail/A 7734-2026 tillsynsbegäran mail.docx", "A 7734-2026")</f>
        <v/>
      </c>
    </row>
    <row r="107" ht="15" customHeight="1">
      <c r="A107" t="inlineStr">
        <is>
          <t>A 40861-2025</t>
        </is>
      </c>
      <c r="B107" s="1" t="n">
        <v>45897.56356481482</v>
      </c>
      <c r="C107" s="1" t="n">
        <v>46136</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33546-2025</t>
        </is>
      </c>
      <c r="B108" s="1" t="n">
        <v>45841.56996527778</v>
      </c>
      <c r="C108" s="1" t="n">
        <v>46136</v>
      </c>
      <c r="D108" t="inlineStr">
        <is>
          <t>STOCKHOLMS LÄN</t>
        </is>
      </c>
      <c r="E108" t="inlineStr">
        <is>
          <t>NORRTÄLJE</t>
        </is>
      </c>
      <c r="G108" t="n">
        <v>7.2</v>
      </c>
      <c r="H108" t="n">
        <v>1</v>
      </c>
      <c r="I108" t="n">
        <v>1</v>
      </c>
      <c r="J108" t="n">
        <v>0</v>
      </c>
      <c r="K108" t="n">
        <v>0</v>
      </c>
      <c r="L108" t="n">
        <v>0</v>
      </c>
      <c r="M108" t="n">
        <v>0</v>
      </c>
      <c r="N108" t="n">
        <v>0</v>
      </c>
      <c r="O108" t="n">
        <v>0</v>
      </c>
      <c r="P108" t="n">
        <v>0</v>
      </c>
      <c r="Q108" t="n">
        <v>1</v>
      </c>
      <c r="R108" s="2" t="inlineStr">
        <is>
          <t>Nästrot</t>
        </is>
      </c>
      <c r="S108">
        <f>HYPERLINK("https://klasma.github.io/Logging_0188/artfynd/A 33546-2025 artfynd.xlsx", "A 33546-2025")</f>
        <v/>
      </c>
      <c r="T108">
        <f>HYPERLINK("https://klasma.github.io/Logging_0188/kartor/A 33546-2025 karta.png", "A 33546-2025")</f>
        <v/>
      </c>
      <c r="V108">
        <f>HYPERLINK("https://klasma.github.io/Logging_0188/klagomål/A 33546-2025 FSC-klagomål.docx", "A 33546-2025")</f>
        <v/>
      </c>
      <c r="W108">
        <f>HYPERLINK("https://klasma.github.io/Logging_0188/klagomålsmail/A 33546-2025 FSC-klagomål mail.docx", "A 33546-2025")</f>
        <v/>
      </c>
      <c r="X108">
        <f>HYPERLINK("https://klasma.github.io/Logging_0188/tillsyn/A 33546-2025 tillsynsbegäran.docx", "A 33546-2025")</f>
        <v/>
      </c>
      <c r="Y108">
        <f>HYPERLINK("https://klasma.github.io/Logging_0188/tillsynsmail/A 33546-2025 tillsynsbegäran mail.docx", "A 33546-2025")</f>
        <v/>
      </c>
    </row>
    <row r="109" ht="15" customHeight="1">
      <c r="A109" t="inlineStr">
        <is>
          <t>A 13271-2025</t>
        </is>
      </c>
      <c r="B109" s="1" t="n">
        <v>45735.54510416667</v>
      </c>
      <c r="C109" s="1" t="n">
        <v>46136</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15886-2026</t>
        </is>
      </c>
      <c r="B110" s="1" t="n">
        <v>46107</v>
      </c>
      <c r="C110" s="1" t="n">
        <v>46136</v>
      </c>
      <c r="D110" t="inlineStr">
        <is>
          <t>STOCKHOLMS LÄN</t>
        </is>
      </c>
      <c r="E110" t="inlineStr">
        <is>
          <t>NORRTÄLJE</t>
        </is>
      </c>
      <c r="G110" t="n">
        <v>1.3</v>
      </c>
      <c r="H110" t="n">
        <v>1</v>
      </c>
      <c r="I110" t="n">
        <v>0</v>
      </c>
      <c r="J110" t="n">
        <v>0</v>
      </c>
      <c r="K110" t="n">
        <v>0</v>
      </c>
      <c r="L110" t="n">
        <v>1</v>
      </c>
      <c r="M110" t="n">
        <v>0</v>
      </c>
      <c r="N110" t="n">
        <v>0</v>
      </c>
      <c r="O110" t="n">
        <v>1</v>
      </c>
      <c r="P110" t="n">
        <v>1</v>
      </c>
      <c r="Q110" t="n">
        <v>1</v>
      </c>
      <c r="R110" s="2" t="inlineStr">
        <is>
          <t>Grönfink</t>
        </is>
      </c>
      <c r="S110">
        <f>HYPERLINK("https://klasma.github.io/Logging_0188/artfynd/A 15886-2026 artfynd.xlsx", "A 15886-2026")</f>
        <v/>
      </c>
      <c r="T110">
        <f>HYPERLINK("https://klasma.github.io/Logging_0188/kartor/A 15886-2026 karta.png", "A 15886-2026")</f>
        <v/>
      </c>
      <c r="V110">
        <f>HYPERLINK("https://klasma.github.io/Logging_0188/klagomål/A 15886-2026 FSC-klagomål.docx", "A 15886-2026")</f>
        <v/>
      </c>
      <c r="W110">
        <f>HYPERLINK("https://klasma.github.io/Logging_0188/klagomålsmail/A 15886-2026 FSC-klagomål mail.docx", "A 15886-2026")</f>
        <v/>
      </c>
      <c r="X110">
        <f>HYPERLINK("https://klasma.github.io/Logging_0188/tillsyn/A 15886-2026 tillsynsbegäran.docx", "A 15886-2026")</f>
        <v/>
      </c>
      <c r="Y110">
        <f>HYPERLINK("https://klasma.github.io/Logging_0188/tillsynsmail/A 15886-2026 tillsynsbegäran mail.docx", "A 15886-2026")</f>
        <v/>
      </c>
      <c r="Z110">
        <f>HYPERLINK("https://klasma.github.io/Logging_0188/fåglar/A 15886-2026 prioriterade fågelarter.docx", "A 15886-2026")</f>
        <v/>
      </c>
    </row>
    <row r="111" ht="15" customHeight="1">
      <c r="A111" t="inlineStr">
        <is>
          <t>A 21744-2023</t>
        </is>
      </c>
      <c r="B111" s="1" t="n">
        <v>45065</v>
      </c>
      <c r="C111" s="1" t="n">
        <v>46136</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23146-2024</t>
        </is>
      </c>
      <c r="B112" s="1" t="n">
        <v>45450.63958333333</v>
      </c>
      <c r="C112" s="1" t="n">
        <v>46136</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8371-2025</t>
        </is>
      </c>
      <c r="B113" s="1" t="n">
        <v>45708</v>
      </c>
      <c r="C113" s="1" t="n">
        <v>46136</v>
      </c>
      <c r="D113" t="inlineStr">
        <is>
          <t>STOCKHOLMS LÄN</t>
        </is>
      </c>
      <c r="E113" t="inlineStr">
        <is>
          <t>NORRTÄLJE</t>
        </is>
      </c>
      <c r="F113" t="inlineStr">
        <is>
          <t>Övriga Aktiebolag</t>
        </is>
      </c>
      <c r="G113" t="n">
        <v>2.9</v>
      </c>
      <c r="H113" t="n">
        <v>1</v>
      </c>
      <c r="I113" t="n">
        <v>0</v>
      </c>
      <c r="J113" t="n">
        <v>1</v>
      </c>
      <c r="K113" t="n">
        <v>0</v>
      </c>
      <c r="L113" t="n">
        <v>0</v>
      </c>
      <c r="M113" t="n">
        <v>0</v>
      </c>
      <c r="N113" t="n">
        <v>0</v>
      </c>
      <c r="O113" t="n">
        <v>1</v>
      </c>
      <c r="P113" t="n">
        <v>0</v>
      </c>
      <c r="Q113" t="n">
        <v>1</v>
      </c>
      <c r="R113" s="2" t="inlineStr">
        <is>
          <t>Spillkråka</t>
        </is>
      </c>
      <c r="S113">
        <f>HYPERLINK("https://klasma.github.io/Logging_0188/artfynd/A 8371-2025 artfynd.xlsx", "A 8371-2025")</f>
        <v/>
      </c>
      <c r="T113">
        <f>HYPERLINK("https://klasma.github.io/Logging_0188/kartor/A 8371-2025 karta.png", "A 8371-2025")</f>
        <v/>
      </c>
      <c r="V113">
        <f>HYPERLINK("https://klasma.github.io/Logging_0188/klagomål/A 8371-2025 FSC-klagomål.docx", "A 8371-2025")</f>
        <v/>
      </c>
      <c r="W113">
        <f>HYPERLINK("https://klasma.github.io/Logging_0188/klagomålsmail/A 8371-2025 FSC-klagomål mail.docx", "A 8371-2025")</f>
        <v/>
      </c>
      <c r="X113">
        <f>HYPERLINK("https://klasma.github.io/Logging_0188/tillsyn/A 8371-2025 tillsynsbegäran.docx", "A 8371-2025")</f>
        <v/>
      </c>
      <c r="Y113">
        <f>HYPERLINK("https://klasma.github.io/Logging_0188/tillsynsmail/A 8371-2025 tillsynsbegäran mail.docx", "A 8371-2025")</f>
        <v/>
      </c>
      <c r="Z113">
        <f>HYPERLINK("https://klasma.github.io/Logging_0188/fåglar/A 8371-2025 prioriterade fågelarter.docx", "A 8371-2025")</f>
        <v/>
      </c>
    </row>
    <row r="114" ht="15" customHeight="1">
      <c r="A114" t="inlineStr">
        <is>
          <t>A 42313-2025</t>
        </is>
      </c>
      <c r="B114" s="1" t="n">
        <v>45904.6575</v>
      </c>
      <c r="C114" s="1" t="n">
        <v>46136</v>
      </c>
      <c r="D114" t="inlineStr">
        <is>
          <t>STOCKHOLMS LÄN</t>
        </is>
      </c>
      <c r="E114" t="inlineStr">
        <is>
          <t>NORRTÄLJE</t>
        </is>
      </c>
      <c r="G114" t="n">
        <v>1.7</v>
      </c>
      <c r="H114" t="n">
        <v>1</v>
      </c>
      <c r="I114" t="n">
        <v>0</v>
      </c>
      <c r="J114" t="n">
        <v>0</v>
      </c>
      <c r="K114" t="n">
        <v>0</v>
      </c>
      <c r="L114" t="n">
        <v>0</v>
      </c>
      <c r="M114" t="n">
        <v>0</v>
      </c>
      <c r="N114" t="n">
        <v>0</v>
      </c>
      <c r="O114" t="n">
        <v>0</v>
      </c>
      <c r="P114" t="n">
        <v>0</v>
      </c>
      <c r="Q114" t="n">
        <v>1</v>
      </c>
      <c r="R114" s="2" t="inlineStr">
        <is>
          <t>Vanlig padda</t>
        </is>
      </c>
      <c r="S114">
        <f>HYPERLINK("https://klasma.github.io/Logging_0188/artfynd/A 42313-2025 artfynd.xlsx", "A 42313-2025")</f>
        <v/>
      </c>
      <c r="T114">
        <f>HYPERLINK("https://klasma.github.io/Logging_0188/kartor/A 42313-2025 karta.png", "A 42313-2025")</f>
        <v/>
      </c>
      <c r="V114">
        <f>HYPERLINK("https://klasma.github.io/Logging_0188/klagomål/A 42313-2025 FSC-klagomål.docx", "A 42313-2025")</f>
        <v/>
      </c>
      <c r="W114">
        <f>HYPERLINK("https://klasma.github.io/Logging_0188/klagomålsmail/A 42313-2025 FSC-klagomål mail.docx", "A 42313-2025")</f>
        <v/>
      </c>
      <c r="X114">
        <f>HYPERLINK("https://klasma.github.io/Logging_0188/tillsyn/A 42313-2025 tillsynsbegäran.docx", "A 42313-2025")</f>
        <v/>
      </c>
      <c r="Y114">
        <f>HYPERLINK("https://klasma.github.io/Logging_0188/tillsynsmail/A 42313-2025 tillsynsbegäran mail.docx", "A 42313-2025")</f>
        <v/>
      </c>
    </row>
    <row r="115" ht="15" customHeight="1">
      <c r="A115" t="inlineStr">
        <is>
          <t>A 27538-2024</t>
        </is>
      </c>
      <c r="B115" s="1" t="n">
        <v>45474</v>
      </c>
      <c r="C115" s="1" t="n">
        <v>46136</v>
      </c>
      <c r="D115" t="inlineStr">
        <is>
          <t>STOCKHOLMS LÄN</t>
        </is>
      </c>
      <c r="E115" t="inlineStr">
        <is>
          <t>NORRTÄLJE</t>
        </is>
      </c>
      <c r="G115" t="n">
        <v>1.5</v>
      </c>
      <c r="H115" t="n">
        <v>1</v>
      </c>
      <c r="I115" t="n">
        <v>1</v>
      </c>
      <c r="J115" t="n">
        <v>0</v>
      </c>
      <c r="K115" t="n">
        <v>0</v>
      </c>
      <c r="L115" t="n">
        <v>0</v>
      </c>
      <c r="M115" t="n">
        <v>0</v>
      </c>
      <c r="N115" t="n">
        <v>0</v>
      </c>
      <c r="O115" t="n">
        <v>0</v>
      </c>
      <c r="P115" t="n">
        <v>0</v>
      </c>
      <c r="Q115" t="n">
        <v>1</v>
      </c>
      <c r="R115" s="2" t="inlineStr">
        <is>
          <t>Skogsknipprot</t>
        </is>
      </c>
      <c r="S115">
        <f>HYPERLINK("https://klasma.github.io/Logging_0188/artfynd/A 27538-2024 artfynd.xlsx", "A 27538-2024")</f>
        <v/>
      </c>
      <c r="T115">
        <f>HYPERLINK("https://klasma.github.io/Logging_0188/kartor/A 27538-2024 karta.png", "A 27538-2024")</f>
        <v/>
      </c>
      <c r="V115">
        <f>HYPERLINK("https://klasma.github.io/Logging_0188/klagomål/A 27538-2024 FSC-klagomål.docx", "A 27538-2024")</f>
        <v/>
      </c>
      <c r="W115">
        <f>HYPERLINK("https://klasma.github.io/Logging_0188/klagomålsmail/A 27538-2024 FSC-klagomål mail.docx", "A 27538-2024")</f>
        <v/>
      </c>
      <c r="X115">
        <f>HYPERLINK("https://klasma.github.io/Logging_0188/tillsyn/A 27538-2024 tillsynsbegäran.docx", "A 27538-2024")</f>
        <v/>
      </c>
      <c r="Y115">
        <f>HYPERLINK("https://klasma.github.io/Logging_0188/tillsynsmail/A 27538-2024 tillsynsbegäran mail.docx", "A 27538-2024")</f>
        <v/>
      </c>
    </row>
    <row r="116" ht="15" customHeight="1">
      <c r="A116" t="inlineStr">
        <is>
          <t>A 4385-2023</t>
        </is>
      </c>
      <c r="B116" s="1" t="n">
        <v>44955.71322916666</v>
      </c>
      <c r="C116" s="1" t="n">
        <v>46136</v>
      </c>
      <c r="D116" t="inlineStr">
        <is>
          <t>STOCKHOLMS LÄN</t>
        </is>
      </c>
      <c r="E116" t="inlineStr">
        <is>
          <t>NORRTÄLJE</t>
        </is>
      </c>
      <c r="G116" t="n">
        <v>7.8</v>
      </c>
      <c r="H116" t="n">
        <v>1</v>
      </c>
      <c r="I116" t="n">
        <v>1</v>
      </c>
      <c r="J116" t="n">
        <v>0</v>
      </c>
      <c r="K116" t="n">
        <v>0</v>
      </c>
      <c r="L116" t="n">
        <v>0</v>
      </c>
      <c r="M116" t="n">
        <v>0</v>
      </c>
      <c r="N116" t="n">
        <v>0</v>
      </c>
      <c r="O116" t="n">
        <v>0</v>
      </c>
      <c r="P116" t="n">
        <v>0</v>
      </c>
      <c r="Q116" t="n">
        <v>1</v>
      </c>
      <c r="R116" s="2" t="inlineStr">
        <is>
          <t>Skogsknipprot</t>
        </is>
      </c>
      <c r="S116">
        <f>HYPERLINK("https://klasma.github.io/Logging_0188/artfynd/A 4385-2023 artfynd.xlsx", "A 4385-2023")</f>
        <v/>
      </c>
      <c r="T116">
        <f>HYPERLINK("https://klasma.github.io/Logging_0188/kartor/A 4385-2023 karta.png", "A 4385-2023")</f>
        <v/>
      </c>
      <c r="V116">
        <f>HYPERLINK("https://klasma.github.io/Logging_0188/klagomål/A 4385-2023 FSC-klagomål.docx", "A 4385-2023")</f>
        <v/>
      </c>
      <c r="W116">
        <f>HYPERLINK("https://klasma.github.io/Logging_0188/klagomålsmail/A 4385-2023 FSC-klagomål mail.docx", "A 4385-2023")</f>
        <v/>
      </c>
      <c r="X116">
        <f>HYPERLINK("https://klasma.github.io/Logging_0188/tillsyn/A 4385-2023 tillsynsbegäran.docx", "A 4385-2023")</f>
        <v/>
      </c>
      <c r="Y116">
        <f>HYPERLINK("https://klasma.github.io/Logging_0188/tillsynsmail/A 4385-2023 tillsynsbegäran mail.docx", "A 4385-2023")</f>
        <v/>
      </c>
    </row>
    <row r="117" ht="15" customHeight="1">
      <c r="A117" t="inlineStr">
        <is>
          <t>A 19355-2026</t>
        </is>
      </c>
      <c r="B117" s="1" t="n">
        <v>46133.49074074074</v>
      </c>
      <c r="C117" s="1" t="n">
        <v>46136</v>
      </c>
      <c r="D117" t="inlineStr">
        <is>
          <t>STOCKHOLMS LÄN</t>
        </is>
      </c>
      <c r="E117" t="inlineStr">
        <is>
          <t>NORRTÄLJE</t>
        </is>
      </c>
      <c r="G117" t="n">
        <v>22.5</v>
      </c>
      <c r="H117" t="n">
        <v>0</v>
      </c>
      <c r="I117" t="n">
        <v>1</v>
      </c>
      <c r="J117" t="n">
        <v>0</v>
      </c>
      <c r="K117" t="n">
        <v>0</v>
      </c>
      <c r="L117" t="n">
        <v>0</v>
      </c>
      <c r="M117" t="n">
        <v>0</v>
      </c>
      <c r="N117" t="n">
        <v>0</v>
      </c>
      <c r="O117" t="n">
        <v>0</v>
      </c>
      <c r="P117" t="n">
        <v>0</v>
      </c>
      <c r="Q117" t="n">
        <v>1</v>
      </c>
      <c r="R117" s="2" t="inlineStr">
        <is>
          <t>Mönjevaxing</t>
        </is>
      </c>
      <c r="S117">
        <f>HYPERLINK("https://klasma.github.io/Logging_0188/artfynd/A 19355-2026 artfynd.xlsx", "A 19355-2026")</f>
        <v/>
      </c>
      <c r="T117">
        <f>HYPERLINK("https://klasma.github.io/Logging_0188/kartor/A 19355-2026 karta.png", "A 19355-2026")</f>
        <v/>
      </c>
      <c r="V117">
        <f>HYPERLINK("https://klasma.github.io/Logging_0188/klagomål/A 19355-2026 FSC-klagomål.docx", "A 19355-2026")</f>
        <v/>
      </c>
      <c r="W117">
        <f>HYPERLINK("https://klasma.github.io/Logging_0188/klagomålsmail/A 19355-2026 FSC-klagomål mail.docx", "A 19355-2026")</f>
        <v/>
      </c>
      <c r="X117">
        <f>HYPERLINK("https://klasma.github.io/Logging_0188/tillsyn/A 19355-2026 tillsynsbegäran.docx", "A 19355-2026")</f>
        <v/>
      </c>
      <c r="Y117">
        <f>HYPERLINK("https://klasma.github.io/Logging_0188/tillsynsmail/A 19355-2026 tillsynsbegäran mail.docx", "A 19355-2026")</f>
        <v/>
      </c>
    </row>
    <row r="118" ht="15" customHeight="1">
      <c r="A118" t="inlineStr">
        <is>
          <t>A 24330-2023</t>
        </is>
      </c>
      <c r="B118" s="1" t="n">
        <v>45081</v>
      </c>
      <c r="C118" s="1" t="n">
        <v>46136</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24535-2023</t>
        </is>
      </c>
      <c r="B119" s="1" t="n">
        <v>45082</v>
      </c>
      <c r="C119" s="1" t="n">
        <v>46136</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26635-2023</t>
        </is>
      </c>
      <c r="B120" s="1" t="n">
        <v>45092</v>
      </c>
      <c r="C120" s="1" t="n">
        <v>46136</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39158-2025</t>
        </is>
      </c>
      <c r="B121" s="1" t="n">
        <v>45888</v>
      </c>
      <c r="C121" s="1" t="n">
        <v>46136</v>
      </c>
      <c r="D121" t="inlineStr">
        <is>
          <t>STOCKHOLMS LÄN</t>
        </is>
      </c>
      <c r="E121" t="inlineStr">
        <is>
          <t>NORRTÄLJE</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HYPERLINK("https://klasma.github.io/Logging_0188/artfynd/A 39158-2025 artfynd.xlsx", "A 39158-2025")</f>
        <v/>
      </c>
      <c r="T121">
        <f>HYPERLINK("https://klasma.github.io/Logging_0188/kartor/A 39158-2025 karta.png", "A 39158-2025")</f>
        <v/>
      </c>
      <c r="V121">
        <f>HYPERLINK("https://klasma.github.io/Logging_0188/klagomål/A 39158-2025 FSC-klagomål.docx", "A 39158-2025")</f>
        <v/>
      </c>
      <c r="W121">
        <f>HYPERLINK("https://klasma.github.io/Logging_0188/klagomålsmail/A 39158-2025 FSC-klagomål mail.docx", "A 39158-2025")</f>
        <v/>
      </c>
      <c r="X121">
        <f>HYPERLINK("https://klasma.github.io/Logging_0188/tillsyn/A 39158-2025 tillsynsbegäran.docx", "A 39158-2025")</f>
        <v/>
      </c>
      <c r="Y121">
        <f>HYPERLINK("https://klasma.github.io/Logging_0188/tillsynsmail/A 39158-2025 tillsynsbegäran mail.docx", "A 39158-2025")</f>
        <v/>
      </c>
    </row>
    <row r="122" ht="15" customHeight="1">
      <c r="A122" t="inlineStr">
        <is>
          <t>A 28816-2023</t>
        </is>
      </c>
      <c r="B122" s="1" t="n">
        <v>45104</v>
      </c>
      <c r="C122" s="1" t="n">
        <v>46136</v>
      </c>
      <c r="D122" t="inlineStr">
        <is>
          <t>STOCKHOLMS LÄN</t>
        </is>
      </c>
      <c r="E122" t="inlineStr">
        <is>
          <t>NORRTÄLJE</t>
        </is>
      </c>
      <c r="F122" t="inlineStr">
        <is>
          <t>Kommuner</t>
        </is>
      </c>
      <c r="G122" t="n">
        <v>0.5</v>
      </c>
      <c r="H122" t="n">
        <v>1</v>
      </c>
      <c r="I122" t="n">
        <v>0</v>
      </c>
      <c r="J122" t="n">
        <v>0</v>
      </c>
      <c r="K122" t="n">
        <v>0</v>
      </c>
      <c r="L122" t="n">
        <v>0</v>
      </c>
      <c r="M122" t="n">
        <v>0</v>
      </c>
      <c r="N122" t="n">
        <v>0</v>
      </c>
      <c r="O122" t="n">
        <v>0</v>
      </c>
      <c r="P122" t="n">
        <v>0</v>
      </c>
      <c r="Q122" t="n">
        <v>1</v>
      </c>
      <c r="R122" s="2" t="inlineStr">
        <is>
          <t>Kungsfågel</t>
        </is>
      </c>
      <c r="S122">
        <f>HYPERLINK("https://klasma.github.io/Logging_0188/artfynd/A 28816-2023 artfynd.xlsx", "A 28816-2023")</f>
        <v/>
      </c>
      <c r="T122">
        <f>HYPERLINK("https://klasma.github.io/Logging_0188/kartor/A 28816-2023 karta.png", "A 28816-2023")</f>
        <v/>
      </c>
      <c r="V122">
        <f>HYPERLINK("https://klasma.github.io/Logging_0188/klagomål/A 28816-2023 FSC-klagomål.docx", "A 28816-2023")</f>
        <v/>
      </c>
      <c r="W122">
        <f>HYPERLINK("https://klasma.github.io/Logging_0188/klagomålsmail/A 28816-2023 FSC-klagomål mail.docx", "A 28816-2023")</f>
        <v/>
      </c>
      <c r="X122">
        <f>HYPERLINK("https://klasma.github.io/Logging_0188/tillsyn/A 28816-2023 tillsynsbegäran.docx", "A 28816-2023")</f>
        <v/>
      </c>
      <c r="Y122">
        <f>HYPERLINK("https://klasma.github.io/Logging_0188/tillsynsmail/A 28816-2023 tillsynsbegäran mail.docx", "A 28816-2023")</f>
        <v/>
      </c>
      <c r="Z122">
        <f>HYPERLINK("https://klasma.github.io/Logging_0188/fåglar/A 28816-2023 prioriterade fågelarter.docx", "A 28816-2023")</f>
        <v/>
      </c>
    </row>
    <row r="123" ht="15" customHeight="1">
      <c r="A123" t="inlineStr">
        <is>
          <t>A 19829-2022</t>
        </is>
      </c>
      <c r="B123" s="1" t="n">
        <v>44695.43527777777</v>
      </c>
      <c r="C123" s="1" t="n">
        <v>46136</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35691-2023</t>
        </is>
      </c>
      <c r="B124" s="1" t="n">
        <v>45147.65222222222</v>
      </c>
      <c r="C124" s="1" t="n">
        <v>46136</v>
      </c>
      <c r="D124" t="inlineStr">
        <is>
          <t>STOCKHOLMS LÄN</t>
        </is>
      </c>
      <c r="E124" t="inlineStr">
        <is>
          <t>NORRTÄLJE</t>
        </is>
      </c>
      <c r="G124" t="n">
        <v>2.3</v>
      </c>
      <c r="H124" t="n">
        <v>1</v>
      </c>
      <c r="I124" t="n">
        <v>0</v>
      </c>
      <c r="J124" t="n">
        <v>0</v>
      </c>
      <c r="K124" t="n">
        <v>0</v>
      </c>
      <c r="L124" t="n">
        <v>0</v>
      </c>
      <c r="M124" t="n">
        <v>0</v>
      </c>
      <c r="N124" t="n">
        <v>0</v>
      </c>
      <c r="O124" t="n">
        <v>0</v>
      </c>
      <c r="P124" t="n">
        <v>0</v>
      </c>
      <c r="Q124" t="n">
        <v>1</v>
      </c>
      <c r="R124" s="2" t="inlineStr">
        <is>
          <t>Kungsfågel</t>
        </is>
      </c>
      <c r="S124">
        <f>HYPERLINK("https://klasma.github.io/Logging_0188/artfynd/A 35691-2023 artfynd.xlsx", "A 35691-2023")</f>
        <v/>
      </c>
      <c r="T124">
        <f>HYPERLINK("https://klasma.github.io/Logging_0188/kartor/A 35691-2023 karta.png", "A 35691-2023")</f>
        <v/>
      </c>
      <c r="V124">
        <f>HYPERLINK("https://klasma.github.io/Logging_0188/klagomål/A 35691-2023 FSC-klagomål.docx", "A 35691-2023")</f>
        <v/>
      </c>
      <c r="W124">
        <f>HYPERLINK("https://klasma.github.io/Logging_0188/klagomålsmail/A 35691-2023 FSC-klagomål mail.docx", "A 35691-2023")</f>
        <v/>
      </c>
      <c r="X124">
        <f>HYPERLINK("https://klasma.github.io/Logging_0188/tillsyn/A 35691-2023 tillsynsbegäran.docx", "A 35691-2023")</f>
        <v/>
      </c>
      <c r="Y124">
        <f>HYPERLINK("https://klasma.github.io/Logging_0188/tillsynsmail/A 35691-2023 tillsynsbegäran mail.docx", "A 35691-2023")</f>
        <v/>
      </c>
      <c r="Z124">
        <f>HYPERLINK("https://klasma.github.io/Logging_0188/fåglar/A 35691-2023 prioriterade fågelarter.docx", "A 35691-2023")</f>
        <v/>
      </c>
    </row>
    <row r="125" ht="15" customHeight="1">
      <c r="A125" t="inlineStr">
        <is>
          <t>A 35693-2023</t>
        </is>
      </c>
      <c r="B125" s="1" t="n">
        <v>45147.65311342593</v>
      </c>
      <c r="C125" s="1" t="n">
        <v>46136</v>
      </c>
      <c r="D125" t="inlineStr">
        <is>
          <t>STOCKHOLMS LÄN</t>
        </is>
      </c>
      <c r="E125" t="inlineStr">
        <is>
          <t>NORRTÄLJE</t>
        </is>
      </c>
      <c r="G125" t="n">
        <v>2.2</v>
      </c>
      <c r="H125" t="n">
        <v>0</v>
      </c>
      <c r="I125" t="n">
        <v>0</v>
      </c>
      <c r="J125" t="n">
        <v>1</v>
      </c>
      <c r="K125" t="n">
        <v>0</v>
      </c>
      <c r="L125" t="n">
        <v>0</v>
      </c>
      <c r="M125" t="n">
        <v>0</v>
      </c>
      <c r="N125" t="n">
        <v>0</v>
      </c>
      <c r="O125" t="n">
        <v>1</v>
      </c>
      <c r="P125" t="n">
        <v>0</v>
      </c>
      <c r="Q125" t="n">
        <v>1</v>
      </c>
      <c r="R125" s="2" t="inlineStr">
        <is>
          <t>Motaggsvamp</t>
        </is>
      </c>
      <c r="S125">
        <f>HYPERLINK("https://klasma.github.io/Logging_0188/artfynd/A 35693-2023 artfynd.xlsx", "A 35693-2023")</f>
        <v/>
      </c>
      <c r="T125">
        <f>HYPERLINK("https://klasma.github.io/Logging_0188/kartor/A 35693-2023 karta.png", "A 35693-2023")</f>
        <v/>
      </c>
      <c r="V125">
        <f>HYPERLINK("https://klasma.github.io/Logging_0188/klagomål/A 35693-2023 FSC-klagomål.docx", "A 35693-2023")</f>
        <v/>
      </c>
      <c r="W125">
        <f>HYPERLINK("https://klasma.github.io/Logging_0188/klagomålsmail/A 35693-2023 FSC-klagomål mail.docx", "A 35693-2023")</f>
        <v/>
      </c>
      <c r="X125">
        <f>HYPERLINK("https://klasma.github.io/Logging_0188/tillsyn/A 35693-2023 tillsynsbegäran.docx", "A 35693-2023")</f>
        <v/>
      </c>
      <c r="Y125">
        <f>HYPERLINK("https://klasma.github.io/Logging_0188/tillsynsmail/A 35693-2023 tillsynsbegäran mail.docx", "A 35693-2023")</f>
        <v/>
      </c>
    </row>
    <row r="126" ht="15" customHeight="1">
      <c r="A126" t="inlineStr">
        <is>
          <t>A 52775-2025</t>
        </is>
      </c>
      <c r="B126" s="1" t="n">
        <v>45957.41608796296</v>
      </c>
      <c r="C126" s="1" t="n">
        <v>46136</v>
      </c>
      <c r="D126" t="inlineStr">
        <is>
          <t>STOCKHOLMS LÄN</t>
        </is>
      </c>
      <c r="E126" t="inlineStr">
        <is>
          <t>NORRTÄLJE</t>
        </is>
      </c>
      <c r="F126" t="inlineStr">
        <is>
          <t>Sveaskog</t>
        </is>
      </c>
      <c r="G126" t="n">
        <v>5.6</v>
      </c>
      <c r="H126" t="n">
        <v>0</v>
      </c>
      <c r="I126" t="n">
        <v>0</v>
      </c>
      <c r="J126" t="n">
        <v>1</v>
      </c>
      <c r="K126" t="n">
        <v>0</v>
      </c>
      <c r="L126" t="n">
        <v>0</v>
      </c>
      <c r="M126" t="n">
        <v>0</v>
      </c>
      <c r="N126" t="n">
        <v>0</v>
      </c>
      <c r="O126" t="n">
        <v>1</v>
      </c>
      <c r="P126" t="n">
        <v>0</v>
      </c>
      <c r="Q126" t="n">
        <v>1</v>
      </c>
      <c r="R126" s="2" t="inlineStr">
        <is>
          <t>Vedtrappmossa</t>
        </is>
      </c>
      <c r="S126">
        <f>HYPERLINK("https://klasma.github.io/Logging_0188/artfynd/A 52775-2025 artfynd.xlsx", "A 52775-2025")</f>
        <v/>
      </c>
      <c r="T126">
        <f>HYPERLINK("https://klasma.github.io/Logging_0188/kartor/A 52775-2025 karta.png", "A 52775-2025")</f>
        <v/>
      </c>
      <c r="V126">
        <f>HYPERLINK("https://klasma.github.io/Logging_0188/klagomål/A 52775-2025 FSC-klagomål.docx", "A 52775-2025")</f>
        <v/>
      </c>
      <c r="W126">
        <f>HYPERLINK("https://klasma.github.io/Logging_0188/klagomålsmail/A 52775-2025 FSC-klagomål mail.docx", "A 52775-2025")</f>
        <v/>
      </c>
      <c r="X126">
        <f>HYPERLINK("https://klasma.github.io/Logging_0188/tillsyn/A 52775-2025 tillsynsbegäran.docx", "A 52775-2025")</f>
        <v/>
      </c>
      <c r="Y126">
        <f>HYPERLINK("https://klasma.github.io/Logging_0188/tillsynsmail/A 52775-2025 tillsynsbegäran mail.docx", "A 52775-2025")</f>
        <v/>
      </c>
    </row>
    <row r="127" ht="15" customHeight="1">
      <c r="A127" t="inlineStr">
        <is>
          <t>A 53716-2025</t>
        </is>
      </c>
      <c r="B127" s="1" t="n">
        <v>45960.61782407408</v>
      </c>
      <c r="C127" s="1" t="n">
        <v>46136</v>
      </c>
      <c r="D127" t="inlineStr">
        <is>
          <t>STOCKHOLMS LÄN</t>
        </is>
      </c>
      <c r="E127" t="inlineStr">
        <is>
          <t>NORRTÄLJE</t>
        </is>
      </c>
      <c r="G127" t="n">
        <v>3.4</v>
      </c>
      <c r="H127" t="n">
        <v>0</v>
      </c>
      <c r="I127" t="n">
        <v>0</v>
      </c>
      <c r="J127" t="n">
        <v>0</v>
      </c>
      <c r="K127" t="n">
        <v>0</v>
      </c>
      <c r="L127" t="n">
        <v>1</v>
      </c>
      <c r="M127" t="n">
        <v>0</v>
      </c>
      <c r="N127" t="n">
        <v>0</v>
      </c>
      <c r="O127" t="n">
        <v>1</v>
      </c>
      <c r="P127" t="n">
        <v>1</v>
      </c>
      <c r="Q127" t="n">
        <v>1</v>
      </c>
      <c r="R127" s="2" t="inlineStr">
        <is>
          <t>Fältgentiana</t>
        </is>
      </c>
      <c r="S127">
        <f>HYPERLINK("https://klasma.github.io/Logging_0188/artfynd/A 53716-2025 artfynd.xlsx", "A 53716-2025")</f>
        <v/>
      </c>
      <c r="T127">
        <f>HYPERLINK("https://klasma.github.io/Logging_0188/kartor/A 53716-2025 karta.png", "A 53716-2025")</f>
        <v/>
      </c>
      <c r="V127">
        <f>HYPERLINK("https://klasma.github.io/Logging_0188/klagomål/A 53716-2025 FSC-klagomål.docx", "A 53716-2025")</f>
        <v/>
      </c>
      <c r="W127">
        <f>HYPERLINK("https://klasma.github.io/Logging_0188/klagomålsmail/A 53716-2025 FSC-klagomål mail.docx", "A 53716-2025")</f>
        <v/>
      </c>
      <c r="X127">
        <f>HYPERLINK("https://klasma.github.io/Logging_0188/tillsyn/A 53716-2025 tillsynsbegäran.docx", "A 53716-2025")</f>
        <v/>
      </c>
      <c r="Y127">
        <f>HYPERLINK("https://klasma.github.io/Logging_0188/tillsynsmail/A 53716-2025 tillsynsbegäran mail.docx", "A 53716-2025")</f>
        <v/>
      </c>
    </row>
    <row r="128" ht="15" customHeight="1">
      <c r="A128" t="inlineStr">
        <is>
          <t>A 16870-2025</t>
        </is>
      </c>
      <c r="B128" s="1" t="n">
        <v>45754</v>
      </c>
      <c r="C128" s="1" t="n">
        <v>46136</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4532-2025</t>
        </is>
      </c>
      <c r="B129" s="1" t="n">
        <v>45687.34177083334</v>
      </c>
      <c r="C129" s="1" t="n">
        <v>46136</v>
      </c>
      <c r="D129" t="inlineStr">
        <is>
          <t>STOCKHOLMS LÄN</t>
        </is>
      </c>
      <c r="E129" t="inlineStr">
        <is>
          <t>NORRTÄLJE</t>
        </is>
      </c>
      <c r="F129" t="inlineStr">
        <is>
          <t>Holmen skog AB</t>
        </is>
      </c>
      <c r="G129" t="n">
        <v>6.4</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4532-2025 artfynd.xlsx", "A 4532-2025")</f>
        <v/>
      </c>
      <c r="T129">
        <f>HYPERLINK("https://klasma.github.io/Logging_0188/kartor/A 4532-2025 karta.png", "A 4532-2025")</f>
        <v/>
      </c>
      <c r="V129">
        <f>HYPERLINK("https://klasma.github.io/Logging_0188/klagomål/A 4532-2025 FSC-klagomål.docx", "A 4532-2025")</f>
        <v/>
      </c>
      <c r="W129">
        <f>HYPERLINK("https://klasma.github.io/Logging_0188/klagomålsmail/A 4532-2025 FSC-klagomål mail.docx", "A 4532-2025")</f>
        <v/>
      </c>
      <c r="X129">
        <f>HYPERLINK("https://klasma.github.io/Logging_0188/tillsyn/A 4532-2025 tillsynsbegäran.docx", "A 4532-2025")</f>
        <v/>
      </c>
      <c r="Y129">
        <f>HYPERLINK("https://klasma.github.io/Logging_0188/tillsynsmail/A 4532-2025 tillsynsbegäran mail.docx", "A 4532-2025")</f>
        <v/>
      </c>
    </row>
    <row r="130" ht="15" customHeight="1">
      <c r="A130" t="inlineStr">
        <is>
          <t>A 59682-2025</t>
        </is>
      </c>
      <c r="B130" s="1" t="n">
        <v>45992.47116898148</v>
      </c>
      <c r="C130" s="1" t="n">
        <v>46136</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62715-2025</t>
        </is>
      </c>
      <c r="B131" s="1" t="n">
        <v>46008.52034722222</v>
      </c>
      <c r="C131" s="1" t="n">
        <v>46136</v>
      </c>
      <c r="D131" t="inlineStr">
        <is>
          <t>STOCKHOLMS LÄN</t>
        </is>
      </c>
      <c r="E131" t="inlineStr">
        <is>
          <t>NORRTÄLJE</t>
        </is>
      </c>
      <c r="G131" t="n">
        <v>0.8</v>
      </c>
      <c r="H131" t="n">
        <v>0</v>
      </c>
      <c r="I131" t="n">
        <v>1</v>
      </c>
      <c r="J131" t="n">
        <v>0</v>
      </c>
      <c r="K131" t="n">
        <v>0</v>
      </c>
      <c r="L131" t="n">
        <v>0</v>
      </c>
      <c r="M131" t="n">
        <v>0</v>
      </c>
      <c r="N131" t="n">
        <v>0</v>
      </c>
      <c r="O131" t="n">
        <v>0</v>
      </c>
      <c r="P131" t="n">
        <v>0</v>
      </c>
      <c r="Q131" t="n">
        <v>1</v>
      </c>
      <c r="R131" s="2" t="inlineStr">
        <is>
          <t>Granbarkgnagare</t>
        </is>
      </c>
      <c r="S131">
        <f>HYPERLINK("https://klasma.github.io/Logging_0188/artfynd/A 62715-2025 artfynd.xlsx", "A 62715-2025")</f>
        <v/>
      </c>
      <c r="T131">
        <f>HYPERLINK("https://klasma.github.io/Logging_0188/kartor/A 62715-2025 karta.png", "A 62715-2025")</f>
        <v/>
      </c>
      <c r="V131">
        <f>HYPERLINK("https://klasma.github.io/Logging_0188/klagomål/A 62715-2025 FSC-klagomål.docx", "A 62715-2025")</f>
        <v/>
      </c>
      <c r="W131">
        <f>HYPERLINK("https://klasma.github.io/Logging_0188/klagomålsmail/A 62715-2025 FSC-klagomål mail.docx", "A 62715-2025")</f>
        <v/>
      </c>
      <c r="X131">
        <f>HYPERLINK("https://klasma.github.io/Logging_0188/tillsyn/A 62715-2025 tillsynsbegäran.docx", "A 62715-2025")</f>
        <v/>
      </c>
      <c r="Y131">
        <f>HYPERLINK("https://klasma.github.io/Logging_0188/tillsynsmail/A 62715-2025 tillsynsbegäran mail.docx", "A 62715-2025")</f>
        <v/>
      </c>
    </row>
    <row r="132" ht="15" customHeight="1">
      <c r="A132" t="inlineStr">
        <is>
          <t>A 63292-2025</t>
        </is>
      </c>
      <c r="B132" s="1" t="n">
        <v>46010.59232638889</v>
      </c>
      <c r="C132" s="1" t="n">
        <v>46136</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14365-2025</t>
        </is>
      </c>
      <c r="B133" s="1" t="n">
        <v>45741.38688657407</v>
      </c>
      <c r="C133" s="1" t="n">
        <v>46136</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21150-2022</t>
        </is>
      </c>
      <c r="B134" s="1" t="n">
        <v>44704</v>
      </c>
      <c r="C134" s="1" t="n">
        <v>46136</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26120-2024</t>
        </is>
      </c>
      <c r="B135" s="1" t="n">
        <v>45468.45995370371</v>
      </c>
      <c r="C135" s="1" t="n">
        <v>46136</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46136</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46136</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46136</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31281-2022</t>
        </is>
      </c>
      <c r="B139" s="1" t="n">
        <v>44771</v>
      </c>
      <c r="C139" s="1" t="n">
        <v>46136</v>
      </c>
      <c r="D139" t="inlineStr">
        <is>
          <t>STOCKHOLMS LÄN</t>
        </is>
      </c>
      <c r="E139" t="inlineStr">
        <is>
          <t>NORRTÄLJE</t>
        </is>
      </c>
      <c r="F139" t="inlineStr">
        <is>
          <t>Holmen skog AB</t>
        </is>
      </c>
      <c r="G139" t="n">
        <v>5.2</v>
      </c>
      <c r="H139" t="n">
        <v>1</v>
      </c>
      <c r="I139" t="n">
        <v>0</v>
      </c>
      <c r="J139" t="n">
        <v>1</v>
      </c>
      <c r="K139" t="n">
        <v>0</v>
      </c>
      <c r="L139" t="n">
        <v>0</v>
      </c>
      <c r="M139" t="n">
        <v>0</v>
      </c>
      <c r="N139" t="n">
        <v>0</v>
      </c>
      <c r="O139" t="n">
        <v>1</v>
      </c>
      <c r="P139" t="n">
        <v>0</v>
      </c>
      <c r="Q139" t="n">
        <v>1</v>
      </c>
      <c r="R139" s="2" t="inlineStr">
        <is>
          <t>Kråka</t>
        </is>
      </c>
      <c r="S139">
        <f>HYPERLINK("https://klasma.github.io/Logging_0188/artfynd/A 31281-2022 artfynd.xlsx", "A 31281-2022")</f>
        <v/>
      </c>
      <c r="T139">
        <f>HYPERLINK("https://klasma.github.io/Logging_0188/kartor/A 31281-2022 karta.png", "A 31281-2022")</f>
        <v/>
      </c>
      <c r="V139">
        <f>HYPERLINK("https://klasma.github.io/Logging_0188/klagomål/A 31281-2022 FSC-klagomål.docx", "A 31281-2022")</f>
        <v/>
      </c>
      <c r="W139">
        <f>HYPERLINK("https://klasma.github.io/Logging_0188/klagomålsmail/A 31281-2022 FSC-klagomål mail.docx", "A 31281-2022")</f>
        <v/>
      </c>
      <c r="X139">
        <f>HYPERLINK("https://klasma.github.io/Logging_0188/tillsyn/A 31281-2022 tillsynsbegäran.docx", "A 31281-2022")</f>
        <v/>
      </c>
      <c r="Y139">
        <f>HYPERLINK("https://klasma.github.io/Logging_0188/tillsynsmail/A 31281-2022 tillsynsbegäran mail.docx", "A 31281-2022")</f>
        <v/>
      </c>
      <c r="Z139">
        <f>HYPERLINK("https://klasma.github.io/Logging_0188/fåglar/A 31281-2022 prioriterade fågelarter.docx", "A 31281-2022")</f>
        <v/>
      </c>
    </row>
    <row r="140" ht="15" customHeight="1">
      <c r="A140" t="inlineStr">
        <is>
          <t>A 52611-2024</t>
        </is>
      </c>
      <c r="B140" s="1" t="n">
        <v>45609.83747685186</v>
      </c>
      <c r="C140" s="1" t="n">
        <v>46136</v>
      </c>
      <c r="D140" t="inlineStr">
        <is>
          <t>STOCKHOLMS LÄN</t>
        </is>
      </c>
      <c r="E140" t="inlineStr">
        <is>
          <t>NORRTÄLJE</t>
        </is>
      </c>
      <c r="G140" t="n">
        <v>10.6</v>
      </c>
      <c r="H140" t="n">
        <v>1</v>
      </c>
      <c r="I140" t="n">
        <v>0</v>
      </c>
      <c r="J140" t="n">
        <v>0</v>
      </c>
      <c r="K140" t="n">
        <v>0</v>
      </c>
      <c r="L140" t="n">
        <v>0</v>
      </c>
      <c r="M140" t="n">
        <v>0</v>
      </c>
      <c r="N140" t="n">
        <v>0</v>
      </c>
      <c r="O140" t="n">
        <v>0</v>
      </c>
      <c r="P140" t="n">
        <v>0</v>
      </c>
      <c r="Q140" t="n">
        <v>1</v>
      </c>
      <c r="R140" s="2" t="inlineStr">
        <is>
          <t>Blåsippa</t>
        </is>
      </c>
      <c r="S140">
        <f>HYPERLINK("https://klasma.github.io/Logging_0188/artfynd/A 52611-2024 artfynd.xlsx", "A 52611-2024")</f>
        <v/>
      </c>
      <c r="T140">
        <f>HYPERLINK("https://klasma.github.io/Logging_0188/kartor/A 52611-2024 karta.png", "A 52611-2024")</f>
        <v/>
      </c>
      <c r="V140">
        <f>HYPERLINK("https://klasma.github.io/Logging_0188/klagomål/A 52611-2024 FSC-klagomål.docx", "A 52611-2024")</f>
        <v/>
      </c>
      <c r="W140">
        <f>HYPERLINK("https://klasma.github.io/Logging_0188/klagomålsmail/A 52611-2024 FSC-klagomål mail.docx", "A 52611-2024")</f>
        <v/>
      </c>
      <c r="X140">
        <f>HYPERLINK("https://klasma.github.io/Logging_0188/tillsyn/A 52611-2024 tillsynsbegäran.docx", "A 52611-2024")</f>
        <v/>
      </c>
      <c r="Y140">
        <f>HYPERLINK("https://klasma.github.io/Logging_0188/tillsynsmail/A 52611-2024 tillsynsbegäran mail.docx", "A 52611-2024")</f>
        <v/>
      </c>
    </row>
    <row r="141" ht="15" customHeight="1">
      <c r="A141" t="inlineStr">
        <is>
          <t>A 52508-2023</t>
        </is>
      </c>
      <c r="B141" s="1" t="n">
        <v>45225</v>
      </c>
      <c r="C141" s="1" t="n">
        <v>46136</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48131-2023</t>
        </is>
      </c>
      <c r="B142" s="1" t="n">
        <v>45205</v>
      </c>
      <c r="C142" s="1" t="n">
        <v>46136</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27827-2022</t>
        </is>
      </c>
      <c r="B143" s="1" t="n">
        <v>44743.59504629629</v>
      </c>
      <c r="C143" s="1" t="n">
        <v>46136</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9955-2022</t>
        </is>
      </c>
      <c r="B144" s="1" t="n">
        <v>44620</v>
      </c>
      <c r="C144" s="1" t="n">
        <v>46136</v>
      </c>
      <c r="D144" t="inlineStr">
        <is>
          <t>STOCKHOLMS LÄN</t>
        </is>
      </c>
      <c r="E144" t="inlineStr">
        <is>
          <t>NORRTÄLJE</t>
        </is>
      </c>
      <c r="G144" t="n">
        <v>7.8</v>
      </c>
      <c r="H144" t="n">
        <v>1</v>
      </c>
      <c r="I144" t="n">
        <v>0</v>
      </c>
      <c r="J144" t="n">
        <v>0</v>
      </c>
      <c r="K144" t="n">
        <v>0</v>
      </c>
      <c r="L144" t="n">
        <v>0</v>
      </c>
      <c r="M144" t="n">
        <v>0</v>
      </c>
      <c r="N144" t="n">
        <v>0</v>
      </c>
      <c r="O144" t="n">
        <v>0</v>
      </c>
      <c r="P144" t="n">
        <v>0</v>
      </c>
      <c r="Q144" t="n">
        <v>1</v>
      </c>
      <c r="R144" s="2" t="inlineStr">
        <is>
          <t>Åkergroda</t>
        </is>
      </c>
      <c r="S144">
        <f>HYPERLINK("https://klasma.github.io/Logging_0188/artfynd/A 9955-2022 artfynd.xlsx", "A 9955-2022")</f>
        <v/>
      </c>
      <c r="T144">
        <f>HYPERLINK("https://klasma.github.io/Logging_0188/kartor/A 9955-2022 karta.png", "A 9955-2022")</f>
        <v/>
      </c>
      <c r="V144">
        <f>HYPERLINK("https://klasma.github.io/Logging_0188/klagomål/A 9955-2022 FSC-klagomål.docx", "A 9955-2022")</f>
        <v/>
      </c>
      <c r="W144">
        <f>HYPERLINK("https://klasma.github.io/Logging_0188/klagomålsmail/A 9955-2022 FSC-klagomål mail.docx", "A 9955-2022")</f>
        <v/>
      </c>
      <c r="X144">
        <f>HYPERLINK("https://klasma.github.io/Logging_0188/tillsyn/A 9955-2022 tillsynsbegäran.docx", "A 9955-2022")</f>
        <v/>
      </c>
      <c r="Y144">
        <f>HYPERLINK("https://klasma.github.io/Logging_0188/tillsynsmail/A 9955-2022 tillsynsbegäran mail.docx", "A 9955-2022")</f>
        <v/>
      </c>
    </row>
    <row r="145" ht="15" customHeight="1">
      <c r="A145" t="inlineStr">
        <is>
          <t>A 23905-2025</t>
        </is>
      </c>
      <c r="B145" s="1" t="n">
        <v>45794.63298611111</v>
      </c>
      <c r="C145" s="1" t="n">
        <v>46136</v>
      </c>
      <c r="D145" t="inlineStr">
        <is>
          <t>STOCKHOLMS LÄN</t>
        </is>
      </c>
      <c r="E145" t="inlineStr">
        <is>
          <t>NORRTÄLJE</t>
        </is>
      </c>
      <c r="G145" t="n">
        <v>8.4</v>
      </c>
      <c r="H145" t="n">
        <v>1</v>
      </c>
      <c r="I145" t="n">
        <v>0</v>
      </c>
      <c r="J145" t="n">
        <v>0</v>
      </c>
      <c r="K145" t="n">
        <v>0</v>
      </c>
      <c r="L145" t="n">
        <v>0</v>
      </c>
      <c r="M145" t="n">
        <v>0</v>
      </c>
      <c r="N145" t="n">
        <v>0</v>
      </c>
      <c r="O145" t="n">
        <v>0</v>
      </c>
      <c r="P145" t="n">
        <v>0</v>
      </c>
      <c r="Q145" t="n">
        <v>1</v>
      </c>
      <c r="R145" s="2" t="inlineStr">
        <is>
          <t>Blåsippa</t>
        </is>
      </c>
      <c r="S145">
        <f>HYPERLINK("https://klasma.github.io/Logging_0188/artfynd/A 23905-2025 artfynd.xlsx", "A 23905-2025")</f>
        <v/>
      </c>
      <c r="T145">
        <f>HYPERLINK("https://klasma.github.io/Logging_0188/kartor/A 23905-2025 karta.png", "A 23905-2025")</f>
        <v/>
      </c>
      <c r="V145">
        <f>HYPERLINK("https://klasma.github.io/Logging_0188/klagomål/A 23905-2025 FSC-klagomål.docx", "A 23905-2025")</f>
        <v/>
      </c>
      <c r="W145">
        <f>HYPERLINK("https://klasma.github.io/Logging_0188/klagomålsmail/A 23905-2025 FSC-klagomål mail.docx", "A 23905-2025")</f>
        <v/>
      </c>
      <c r="X145">
        <f>HYPERLINK("https://klasma.github.io/Logging_0188/tillsyn/A 23905-2025 tillsynsbegäran.docx", "A 23905-2025")</f>
        <v/>
      </c>
      <c r="Y145">
        <f>HYPERLINK("https://klasma.github.io/Logging_0188/tillsynsmail/A 23905-2025 tillsynsbegäran mail.docx", "A 23905-2025")</f>
        <v/>
      </c>
    </row>
    <row r="146" ht="15" customHeight="1">
      <c r="A146" t="inlineStr">
        <is>
          <t>A 12877-2022</t>
        </is>
      </c>
      <c r="B146" s="1" t="n">
        <v>44642</v>
      </c>
      <c r="C146" s="1" t="n">
        <v>46136</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46136</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46136</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46136</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46136</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46136</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46136</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46136</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46136</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46136</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46136</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46136</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46136</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46136</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46136</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46136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46136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46136</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46136</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46136</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46136</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46136</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46136</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46136</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46136</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46136</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46136</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46136</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46136</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46136</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46136</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46136</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46136</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46136</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46136</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46136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46136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46136</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46136</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46136</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46136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46136</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46136</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46136</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46136</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46136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46136</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46136</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46136</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46136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46136</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46136</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46136</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46136</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46136</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46136</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46136</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46136</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46136</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60209-2021</t>
        </is>
      </c>
      <c r="B205" s="1" t="n">
        <v>44495</v>
      </c>
      <c r="C205" s="1" t="n">
        <v>46136</v>
      </c>
      <c r="D205" t="inlineStr">
        <is>
          <t>STOCKHOLMS LÄN</t>
        </is>
      </c>
      <c r="E205" t="inlineStr">
        <is>
          <t>NORRTÄLJE</t>
        </is>
      </c>
      <c r="G205" t="n">
        <v>4.3</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46136</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46136</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46136</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46136</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46136</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46136</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5351-2022</t>
        </is>
      </c>
      <c r="B212" s="1" t="n">
        <v>44594.75950231482</v>
      </c>
      <c r="C212" s="1" t="n">
        <v>46136</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46136</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46136</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46136</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46136</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46136</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46136</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46136</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46136</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46136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53884-2022</t>
        </is>
      </c>
      <c r="B222" s="1" t="n">
        <v>44880.68423611111</v>
      </c>
      <c r="C222" s="1" t="n">
        <v>46136</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12357-2022</t>
        </is>
      </c>
      <c r="B223" s="1" t="n">
        <v>44637</v>
      </c>
      <c r="C223" s="1" t="n">
        <v>46136</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46136</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30624-2022</t>
        </is>
      </c>
      <c r="B225" s="1" t="n">
        <v>44763.4182175926</v>
      </c>
      <c r="C225" s="1" t="n">
        <v>46136</v>
      </c>
      <c r="D225" t="inlineStr">
        <is>
          <t>STOCKHOLMS LÄN</t>
        </is>
      </c>
      <c r="E225" t="inlineStr">
        <is>
          <t>NORRTÄLJE</t>
        </is>
      </c>
      <c r="G225" t="n">
        <v>0.7</v>
      </c>
      <c r="H225" t="n">
        <v>0</v>
      </c>
      <c r="I225" t="n">
        <v>0</v>
      </c>
      <c r="J225" t="n">
        <v>0</v>
      </c>
      <c r="K225" t="n">
        <v>0</v>
      </c>
      <c r="L225" t="n">
        <v>0</v>
      </c>
      <c r="M225" t="n">
        <v>0</v>
      </c>
      <c r="N225" t="n">
        <v>0</v>
      </c>
      <c r="O225" t="n">
        <v>0</v>
      </c>
      <c r="P225" t="n">
        <v>0</v>
      </c>
      <c r="Q225" t="n">
        <v>0</v>
      </c>
      <c r="R225" s="2" t="inlineStr"/>
    </row>
    <row r="226" ht="15" customHeight="1">
      <c r="A226" t="inlineStr">
        <is>
          <t>A 52449-2021</t>
        </is>
      </c>
      <c r="B226" s="1" t="n">
        <v>44466.37496527778</v>
      </c>
      <c r="C226" s="1" t="n">
        <v>46136</v>
      </c>
      <c r="D226" t="inlineStr">
        <is>
          <t>STOCKHOLMS LÄN</t>
        </is>
      </c>
      <c r="E226" t="inlineStr">
        <is>
          <t>NORRTÄLJE</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46136</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46136</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46136</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46136</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46136</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46136</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14051-2022</t>
        </is>
      </c>
      <c r="B233" s="1" t="n">
        <v>44650.92714120371</v>
      </c>
      <c r="C233" s="1" t="n">
        <v>46136</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46136</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46136</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46136</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46136</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46136</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46136</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46136</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46136</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28042-2022</t>
        </is>
      </c>
      <c r="B242" s="1" t="n">
        <v>44744</v>
      </c>
      <c r="C242" s="1" t="n">
        <v>46136</v>
      </c>
      <c r="D242" t="inlineStr">
        <is>
          <t>STOCKHOLMS LÄN</t>
        </is>
      </c>
      <c r="E242" t="inlineStr">
        <is>
          <t>NORRTÄLJE</t>
        </is>
      </c>
      <c r="G242" t="n">
        <v>0.2</v>
      </c>
      <c r="H242" t="n">
        <v>0</v>
      </c>
      <c r="I242" t="n">
        <v>0</v>
      </c>
      <c r="J242" t="n">
        <v>0</v>
      </c>
      <c r="K242" t="n">
        <v>0</v>
      </c>
      <c r="L242" t="n">
        <v>0</v>
      </c>
      <c r="M242" t="n">
        <v>0</v>
      </c>
      <c r="N242" t="n">
        <v>0</v>
      </c>
      <c r="O242" t="n">
        <v>0</v>
      </c>
      <c r="P242" t="n">
        <v>0</v>
      </c>
      <c r="Q242" t="n">
        <v>0</v>
      </c>
      <c r="R242" s="2" t="inlineStr"/>
    </row>
    <row r="243" ht="15" customHeight="1">
      <c r="A243" t="inlineStr">
        <is>
          <t>A 41398-2022</t>
        </is>
      </c>
      <c r="B243" s="1" t="n">
        <v>44826</v>
      </c>
      <c r="C243" s="1" t="n">
        <v>46136</v>
      </c>
      <c r="D243" t="inlineStr">
        <is>
          <t>STOCKHOLMS LÄN</t>
        </is>
      </c>
      <c r="E243" t="inlineStr">
        <is>
          <t>NORRTÄLJE</t>
        </is>
      </c>
      <c r="G243" t="n">
        <v>1.4</v>
      </c>
      <c r="H243" t="n">
        <v>0</v>
      </c>
      <c r="I243" t="n">
        <v>0</v>
      </c>
      <c r="J243" t="n">
        <v>0</v>
      </c>
      <c r="K243" t="n">
        <v>0</v>
      </c>
      <c r="L243" t="n">
        <v>0</v>
      </c>
      <c r="M243" t="n">
        <v>0</v>
      </c>
      <c r="N243" t="n">
        <v>0</v>
      </c>
      <c r="O243" t="n">
        <v>0</v>
      </c>
      <c r="P243" t="n">
        <v>0</v>
      </c>
      <c r="Q243" t="n">
        <v>0</v>
      </c>
      <c r="R243" s="2" t="inlineStr"/>
    </row>
    <row r="244" ht="15" customHeight="1">
      <c r="A244" t="inlineStr">
        <is>
          <t>A 22369-2021</t>
        </is>
      </c>
      <c r="B244" s="1" t="n">
        <v>44326</v>
      </c>
      <c r="C244" s="1" t="n">
        <v>46136</v>
      </c>
      <c r="D244" t="inlineStr">
        <is>
          <t>STOCKHOLMS LÄN</t>
        </is>
      </c>
      <c r="E244" t="inlineStr">
        <is>
          <t>NORRTÄLJE</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45541-2022</t>
        </is>
      </c>
      <c r="B245" s="1" t="n">
        <v>44845.47672453704</v>
      </c>
      <c r="C245" s="1" t="n">
        <v>46136</v>
      </c>
      <c r="D245" t="inlineStr">
        <is>
          <t>STOCKHOLMS LÄN</t>
        </is>
      </c>
      <c r="E245" t="inlineStr">
        <is>
          <t>NORRTÄLJE</t>
        </is>
      </c>
      <c r="G245" t="n">
        <v>0.4</v>
      </c>
      <c r="H245" t="n">
        <v>0</v>
      </c>
      <c r="I245" t="n">
        <v>0</v>
      </c>
      <c r="J245" t="n">
        <v>0</v>
      </c>
      <c r="K245" t="n">
        <v>0</v>
      </c>
      <c r="L245" t="n">
        <v>0</v>
      </c>
      <c r="M245" t="n">
        <v>0</v>
      </c>
      <c r="N245" t="n">
        <v>0</v>
      </c>
      <c r="O245" t="n">
        <v>0</v>
      </c>
      <c r="P245" t="n">
        <v>0</v>
      </c>
      <c r="Q245" t="n">
        <v>0</v>
      </c>
      <c r="R245" s="2" t="inlineStr"/>
    </row>
    <row r="246" ht="15" customHeight="1">
      <c r="A246" t="inlineStr">
        <is>
          <t>A 68273-2021</t>
        </is>
      </c>
      <c r="B246" s="1" t="n">
        <v>44526</v>
      </c>
      <c r="C246" s="1" t="n">
        <v>46136</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52139-2022</t>
        </is>
      </c>
      <c r="B247" s="1" t="n">
        <v>44868</v>
      </c>
      <c r="C247" s="1" t="n">
        <v>46136</v>
      </c>
      <c r="D247" t="inlineStr">
        <is>
          <t>STOCKHOLMS LÄN</t>
        </is>
      </c>
      <c r="E247" t="inlineStr">
        <is>
          <t>NORRTÄLJE</t>
        </is>
      </c>
      <c r="G247" t="n">
        <v>3.2</v>
      </c>
      <c r="H247" t="n">
        <v>0</v>
      </c>
      <c r="I247" t="n">
        <v>0</v>
      </c>
      <c r="J247" t="n">
        <v>0</v>
      </c>
      <c r="K247" t="n">
        <v>0</v>
      </c>
      <c r="L247" t="n">
        <v>0</v>
      </c>
      <c r="M247" t="n">
        <v>0</v>
      </c>
      <c r="N247" t="n">
        <v>0</v>
      </c>
      <c r="O247" t="n">
        <v>0</v>
      </c>
      <c r="P247" t="n">
        <v>0</v>
      </c>
      <c r="Q247" t="n">
        <v>0</v>
      </c>
      <c r="R247" s="2" t="inlineStr"/>
      <c r="U247">
        <f>HYPERLINK("https://klasma.github.io/Logging_0188/knärot/A 52139-2022 karta knärot.png", "A 52139-2022")</f>
        <v/>
      </c>
      <c r="V247">
        <f>HYPERLINK("https://klasma.github.io/Logging_0188/klagomål/A 52139-2022 FSC-klagomål.docx", "A 52139-2022")</f>
        <v/>
      </c>
      <c r="W247">
        <f>HYPERLINK("https://klasma.github.io/Logging_0188/klagomålsmail/A 52139-2022 FSC-klagomål mail.docx", "A 52139-2022")</f>
        <v/>
      </c>
      <c r="X247">
        <f>HYPERLINK("https://klasma.github.io/Logging_0188/tillsyn/A 52139-2022 tillsynsbegäran.docx", "A 52139-2022")</f>
        <v/>
      </c>
      <c r="Y247">
        <f>HYPERLINK("https://klasma.github.io/Logging_0188/tillsynsmail/A 52139-2022 tillsynsbegäran mail.docx", "A 52139-2022")</f>
        <v/>
      </c>
    </row>
    <row r="248" ht="15" customHeight="1">
      <c r="A248" t="inlineStr">
        <is>
          <t>A 27217-2021</t>
        </is>
      </c>
      <c r="B248" s="1" t="n">
        <v>44350</v>
      </c>
      <c r="C248" s="1" t="n">
        <v>46136</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62030-2021</t>
        </is>
      </c>
      <c r="B249" s="1" t="n">
        <v>44502</v>
      </c>
      <c r="C249" s="1" t="n">
        <v>46136</v>
      </c>
      <c r="D249" t="inlineStr">
        <is>
          <t>STOCKHOLMS LÄN</t>
        </is>
      </c>
      <c r="E249" t="inlineStr">
        <is>
          <t>NORRTÄLJE</t>
        </is>
      </c>
      <c r="G249" t="n">
        <v>4.7</v>
      </c>
      <c r="H249" t="n">
        <v>0</v>
      </c>
      <c r="I249" t="n">
        <v>0</v>
      </c>
      <c r="J249" t="n">
        <v>0</v>
      </c>
      <c r="K249" t="n">
        <v>0</v>
      </c>
      <c r="L249" t="n">
        <v>0</v>
      </c>
      <c r="M249" t="n">
        <v>0</v>
      </c>
      <c r="N249" t="n">
        <v>0</v>
      </c>
      <c r="O249" t="n">
        <v>0</v>
      </c>
      <c r="P249" t="n">
        <v>0</v>
      </c>
      <c r="Q249" t="n">
        <v>0</v>
      </c>
      <c r="R249" s="2" t="inlineStr"/>
    </row>
    <row r="250" ht="15" customHeight="1">
      <c r="A250" t="inlineStr">
        <is>
          <t>A 12875-2022</t>
        </is>
      </c>
      <c r="B250" s="1" t="n">
        <v>44642.55565972222</v>
      </c>
      <c r="C250" s="1" t="n">
        <v>46136</v>
      </c>
      <c r="D250" t="inlineStr">
        <is>
          <t>STOCKHOLMS LÄN</t>
        </is>
      </c>
      <c r="E250" t="inlineStr">
        <is>
          <t>NORRTÄLJE</t>
        </is>
      </c>
      <c r="G250" t="n">
        <v>1.6</v>
      </c>
      <c r="H250" t="n">
        <v>0</v>
      </c>
      <c r="I250" t="n">
        <v>0</v>
      </c>
      <c r="J250" t="n">
        <v>0</v>
      </c>
      <c r="K250" t="n">
        <v>0</v>
      </c>
      <c r="L250" t="n">
        <v>0</v>
      </c>
      <c r="M250" t="n">
        <v>0</v>
      </c>
      <c r="N250" t="n">
        <v>0</v>
      </c>
      <c r="O250" t="n">
        <v>0</v>
      </c>
      <c r="P250" t="n">
        <v>0</v>
      </c>
      <c r="Q250" t="n">
        <v>0</v>
      </c>
      <c r="R250" s="2" t="inlineStr"/>
    </row>
    <row r="251" ht="15" customHeight="1">
      <c r="A251" t="inlineStr">
        <is>
          <t>A 23453-2021</t>
        </is>
      </c>
      <c r="B251" s="1" t="n">
        <v>44333</v>
      </c>
      <c r="C251" s="1" t="n">
        <v>46136</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46136</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27214-2021</t>
        </is>
      </c>
      <c r="B253" s="1" t="n">
        <v>44350</v>
      </c>
      <c r="C253" s="1" t="n">
        <v>46136</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41822-2021</t>
        </is>
      </c>
      <c r="B254" s="1" t="n">
        <v>44425</v>
      </c>
      <c r="C254" s="1" t="n">
        <v>46136</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41823-2021</t>
        </is>
      </c>
      <c r="B255" s="1" t="n">
        <v>44425</v>
      </c>
      <c r="C255" s="1" t="n">
        <v>46136</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7565-2022</t>
        </is>
      </c>
      <c r="B256" s="1" t="n">
        <v>44607</v>
      </c>
      <c r="C256" s="1" t="n">
        <v>46136</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20295-2022</t>
        </is>
      </c>
      <c r="B257" s="1" t="n">
        <v>44698</v>
      </c>
      <c r="C257" s="1" t="n">
        <v>46136</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37415-2021</t>
        </is>
      </c>
      <c r="B258" s="1" t="n">
        <v>44397</v>
      </c>
      <c r="C258" s="1" t="n">
        <v>46136</v>
      </c>
      <c r="D258" t="inlineStr">
        <is>
          <t>STOCKHOLMS LÄN</t>
        </is>
      </c>
      <c r="E258" t="inlineStr">
        <is>
          <t>NORRTÄLJE</t>
        </is>
      </c>
      <c r="F258" t="inlineStr">
        <is>
          <t>Övriga Aktiebolag</t>
        </is>
      </c>
      <c r="G258" t="n">
        <v>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46136</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30286-2022</t>
        </is>
      </c>
      <c r="B260" s="1" t="n">
        <v>44760</v>
      </c>
      <c r="C260" s="1" t="n">
        <v>46136</v>
      </c>
      <c r="D260" t="inlineStr">
        <is>
          <t>STOCKHOLMS LÄN</t>
        </is>
      </c>
      <c r="E260" t="inlineStr">
        <is>
          <t>NORRTÄLJE</t>
        </is>
      </c>
      <c r="G260" t="n">
        <v>0.3</v>
      </c>
      <c r="H260" t="n">
        <v>0</v>
      </c>
      <c r="I260" t="n">
        <v>0</v>
      </c>
      <c r="J260" t="n">
        <v>0</v>
      </c>
      <c r="K260" t="n">
        <v>0</v>
      </c>
      <c r="L260" t="n">
        <v>0</v>
      </c>
      <c r="M260" t="n">
        <v>0</v>
      </c>
      <c r="N260" t="n">
        <v>0</v>
      </c>
      <c r="O260" t="n">
        <v>0</v>
      </c>
      <c r="P260" t="n">
        <v>0</v>
      </c>
      <c r="Q260" t="n">
        <v>0</v>
      </c>
      <c r="R260" s="2" t="inlineStr"/>
    </row>
    <row r="261" ht="15" customHeight="1">
      <c r="A261" t="inlineStr">
        <is>
          <t>A 39319-2022</t>
        </is>
      </c>
      <c r="B261" s="1" t="n">
        <v>44817.70516203704</v>
      </c>
      <c r="C261" s="1" t="n">
        <v>46136</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56219-2021</t>
        </is>
      </c>
      <c r="B262" s="1" t="n">
        <v>44477</v>
      </c>
      <c r="C262" s="1" t="n">
        <v>46136</v>
      </c>
      <c r="D262" t="inlineStr">
        <is>
          <t>STOCKHOLMS LÄN</t>
        </is>
      </c>
      <c r="E262" t="inlineStr">
        <is>
          <t>NORRTÄLJE</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15226-2022</t>
        </is>
      </c>
      <c r="B263" s="1" t="n">
        <v>44658</v>
      </c>
      <c r="C263" s="1" t="n">
        <v>46136</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46136</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46136</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10521-2022</t>
        </is>
      </c>
      <c r="B266" s="1" t="n">
        <v>44623</v>
      </c>
      <c r="C266" s="1" t="n">
        <v>46136</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17771-2022</t>
        </is>
      </c>
      <c r="B267" s="1" t="n">
        <v>44682.75924768519</v>
      </c>
      <c r="C267" s="1" t="n">
        <v>46136</v>
      </c>
      <c r="D267" t="inlineStr">
        <is>
          <t>STOCKHOLMS LÄN</t>
        </is>
      </c>
      <c r="E267" t="inlineStr">
        <is>
          <t>NORRTÄLJE</t>
        </is>
      </c>
      <c r="G267" t="n">
        <v>13.3</v>
      </c>
      <c r="H267" t="n">
        <v>0</v>
      </c>
      <c r="I267" t="n">
        <v>0</v>
      </c>
      <c r="J267" t="n">
        <v>0</v>
      </c>
      <c r="K267" t="n">
        <v>0</v>
      </c>
      <c r="L267" t="n">
        <v>0</v>
      </c>
      <c r="M267" t="n">
        <v>0</v>
      </c>
      <c r="N267" t="n">
        <v>0</v>
      </c>
      <c r="O267" t="n">
        <v>0</v>
      </c>
      <c r="P267" t="n">
        <v>0</v>
      </c>
      <c r="Q267" t="n">
        <v>0</v>
      </c>
      <c r="R267" s="2" t="inlineStr"/>
    </row>
    <row r="268" ht="15" customHeight="1">
      <c r="A268" t="inlineStr">
        <is>
          <t>A 17773-2022</t>
        </is>
      </c>
      <c r="B268" s="1" t="n">
        <v>44682.77616898148</v>
      </c>
      <c r="C268" s="1" t="n">
        <v>46136</v>
      </c>
      <c r="D268" t="inlineStr">
        <is>
          <t>STOCKHOLMS LÄN</t>
        </is>
      </c>
      <c r="E268" t="inlineStr">
        <is>
          <t>NORRTÄLJE</t>
        </is>
      </c>
      <c r="G268" t="n">
        <v>10.8</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46136</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46136</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70170-2021</t>
        </is>
      </c>
      <c r="B271" s="1" t="n">
        <v>44533</v>
      </c>
      <c r="C271" s="1" t="n">
        <v>46136</v>
      </c>
      <c r="D271" t="inlineStr">
        <is>
          <t>STOCKHOLMS LÄN</t>
        </is>
      </c>
      <c r="E271" t="inlineStr">
        <is>
          <t>NORRTÄLJE</t>
        </is>
      </c>
      <c r="G271" t="n">
        <v>2.7</v>
      </c>
      <c r="H271" t="n">
        <v>0</v>
      </c>
      <c r="I271" t="n">
        <v>0</v>
      </c>
      <c r="J271" t="n">
        <v>0</v>
      </c>
      <c r="K271" t="n">
        <v>0</v>
      </c>
      <c r="L271" t="n">
        <v>0</v>
      </c>
      <c r="M271" t="n">
        <v>0</v>
      </c>
      <c r="N271" t="n">
        <v>0</v>
      </c>
      <c r="O271" t="n">
        <v>0</v>
      </c>
      <c r="P271" t="n">
        <v>0</v>
      </c>
      <c r="Q271" t="n">
        <v>0</v>
      </c>
      <c r="R271" s="2" t="inlineStr"/>
    </row>
    <row r="272" ht="15" customHeight="1">
      <c r="A272" t="inlineStr">
        <is>
          <t>A 25463-2021</t>
        </is>
      </c>
      <c r="B272" s="1" t="n">
        <v>44342</v>
      </c>
      <c r="C272" s="1" t="n">
        <v>46136</v>
      </c>
      <c r="D272" t="inlineStr">
        <is>
          <t>STOCKHOLMS LÄN</t>
        </is>
      </c>
      <c r="E272" t="inlineStr">
        <is>
          <t>NORRTÄLJE</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46136</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46136</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24101-2022</t>
        </is>
      </c>
      <c r="B275" s="1" t="n">
        <v>44725</v>
      </c>
      <c r="C275" s="1" t="n">
        <v>46136</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46136</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46136</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46136</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46136</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46136</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46136</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55012-2024</t>
        </is>
      </c>
      <c r="B282" s="1" t="n">
        <v>45621.34813657407</v>
      </c>
      <c r="C282" s="1" t="n">
        <v>46136</v>
      </c>
      <c r="D282" t="inlineStr">
        <is>
          <t>STOCKHOLMS LÄN</t>
        </is>
      </c>
      <c r="E282" t="inlineStr">
        <is>
          <t>NORRTÄLJE</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12348-2025</t>
        </is>
      </c>
      <c r="B283" s="1" t="n">
        <v>45730.35026620371</v>
      </c>
      <c r="C283" s="1" t="n">
        <v>46136</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46136</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20013-2025</t>
        </is>
      </c>
      <c r="B285" s="1" t="n">
        <v>45772.30436342592</v>
      </c>
      <c r="C285" s="1" t="n">
        <v>46136</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63161-2023</t>
        </is>
      </c>
      <c r="B286" s="1" t="n">
        <v>45273</v>
      </c>
      <c r="C286" s="1" t="n">
        <v>46136</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27715-2022</t>
        </is>
      </c>
      <c r="B287" s="1" t="n">
        <v>44743.47407407407</v>
      </c>
      <c r="C287" s="1" t="n">
        <v>46136</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40425-2021</t>
        </is>
      </c>
      <c r="B288" s="1" t="n">
        <v>44419</v>
      </c>
      <c r="C288" s="1" t="n">
        <v>46136</v>
      </c>
      <c r="D288" t="inlineStr">
        <is>
          <t>STOCKHOLMS LÄN</t>
        </is>
      </c>
      <c r="E288" t="inlineStr">
        <is>
          <t>NORRTÄLJE</t>
        </is>
      </c>
      <c r="G288" t="n">
        <v>5</v>
      </c>
      <c r="H288" t="n">
        <v>0</v>
      </c>
      <c r="I288" t="n">
        <v>0</v>
      </c>
      <c r="J288" t="n">
        <v>0</v>
      </c>
      <c r="K288" t="n">
        <v>0</v>
      </c>
      <c r="L288" t="n">
        <v>0</v>
      </c>
      <c r="M288" t="n">
        <v>0</v>
      </c>
      <c r="N288" t="n">
        <v>0</v>
      </c>
      <c r="O288" t="n">
        <v>0</v>
      </c>
      <c r="P288" t="n">
        <v>0</v>
      </c>
      <c r="Q288" t="n">
        <v>0</v>
      </c>
      <c r="R288" s="2" t="inlineStr"/>
    </row>
    <row r="289" ht="15" customHeight="1">
      <c r="A289" t="inlineStr">
        <is>
          <t>A 20014-2025</t>
        </is>
      </c>
      <c r="B289" s="1" t="n">
        <v>45772.3078125</v>
      </c>
      <c r="C289" s="1" t="n">
        <v>46136</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47694-2023</t>
        </is>
      </c>
      <c r="B290" s="1" t="n">
        <v>45203.63303240741</v>
      </c>
      <c r="C290" s="1" t="n">
        <v>46136</v>
      </c>
      <c r="D290" t="inlineStr">
        <is>
          <t>STOCKHOLMS LÄN</t>
        </is>
      </c>
      <c r="E290" t="inlineStr">
        <is>
          <t>NORRTÄLJE</t>
        </is>
      </c>
      <c r="G290" t="n">
        <v>5.2</v>
      </c>
      <c r="H290" t="n">
        <v>0</v>
      </c>
      <c r="I290" t="n">
        <v>0</v>
      </c>
      <c r="J290" t="n">
        <v>0</v>
      </c>
      <c r="K290" t="n">
        <v>0</v>
      </c>
      <c r="L290" t="n">
        <v>0</v>
      </c>
      <c r="M290" t="n">
        <v>0</v>
      </c>
      <c r="N290" t="n">
        <v>0</v>
      </c>
      <c r="O290" t="n">
        <v>0</v>
      </c>
      <c r="P290" t="n">
        <v>0</v>
      </c>
      <c r="Q290" t="n">
        <v>0</v>
      </c>
      <c r="R290" s="2" t="inlineStr"/>
    </row>
    <row r="291" ht="15" customHeight="1">
      <c r="A291" t="inlineStr">
        <is>
          <t>A 40656-2022</t>
        </is>
      </c>
      <c r="B291" s="1" t="n">
        <v>44824.36069444445</v>
      </c>
      <c r="C291" s="1" t="n">
        <v>46136</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56631-2024</t>
        </is>
      </c>
      <c r="B292" s="1" t="n">
        <v>45625</v>
      </c>
      <c r="C292" s="1" t="n">
        <v>46136</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48587-2023</t>
        </is>
      </c>
      <c r="B293" s="1" t="n">
        <v>45208</v>
      </c>
      <c r="C293" s="1" t="n">
        <v>46136</v>
      </c>
      <c r="D293" t="inlineStr">
        <is>
          <t>STOCKHOLMS LÄN</t>
        </is>
      </c>
      <c r="E293" t="inlineStr">
        <is>
          <t>NORRTÄLJE</t>
        </is>
      </c>
      <c r="G293" t="n">
        <v>7</v>
      </c>
      <c r="H293" t="n">
        <v>0</v>
      </c>
      <c r="I293" t="n">
        <v>0</v>
      </c>
      <c r="J293" t="n">
        <v>0</v>
      </c>
      <c r="K293" t="n">
        <v>0</v>
      </c>
      <c r="L293" t="n">
        <v>0</v>
      </c>
      <c r="M293" t="n">
        <v>0</v>
      </c>
      <c r="N293" t="n">
        <v>0</v>
      </c>
      <c r="O293" t="n">
        <v>0</v>
      </c>
      <c r="P293" t="n">
        <v>0</v>
      </c>
      <c r="Q293" t="n">
        <v>0</v>
      </c>
      <c r="R293" s="2" t="inlineStr"/>
    </row>
    <row r="294" ht="15" customHeight="1">
      <c r="A294" t="inlineStr">
        <is>
          <t>A 42955-2022</t>
        </is>
      </c>
      <c r="B294" s="1" t="n">
        <v>44833.40876157407</v>
      </c>
      <c r="C294" s="1" t="n">
        <v>46136</v>
      </c>
      <c r="D294" t="inlineStr">
        <is>
          <t>STOCKHOLMS LÄN</t>
        </is>
      </c>
      <c r="E294" t="inlineStr">
        <is>
          <t>NORRTÄLJE</t>
        </is>
      </c>
      <c r="G294" t="n">
        <v>13.1</v>
      </c>
      <c r="H294" t="n">
        <v>0</v>
      </c>
      <c r="I294" t="n">
        <v>0</v>
      </c>
      <c r="J294" t="n">
        <v>0</v>
      </c>
      <c r="K294" t="n">
        <v>0</v>
      </c>
      <c r="L294" t="n">
        <v>0</v>
      </c>
      <c r="M294" t="n">
        <v>0</v>
      </c>
      <c r="N294" t="n">
        <v>0</v>
      </c>
      <c r="O294" t="n">
        <v>0</v>
      </c>
      <c r="P294" t="n">
        <v>0</v>
      </c>
      <c r="Q294" t="n">
        <v>0</v>
      </c>
      <c r="R294" s="2" t="inlineStr"/>
    </row>
    <row r="295" ht="15" customHeight="1">
      <c r="A295" t="inlineStr">
        <is>
          <t>A 53600-2022</t>
        </is>
      </c>
      <c r="B295" s="1" t="n">
        <v>44879.70518518519</v>
      </c>
      <c r="C295" s="1" t="n">
        <v>46136</v>
      </c>
      <c r="D295" t="inlineStr">
        <is>
          <t>STOCKHOLMS LÄN</t>
        </is>
      </c>
      <c r="E295" t="inlineStr">
        <is>
          <t>NORRTÄLJE</t>
        </is>
      </c>
      <c r="G295" t="n">
        <v>4.3</v>
      </c>
      <c r="H295" t="n">
        <v>0</v>
      </c>
      <c r="I295" t="n">
        <v>0</v>
      </c>
      <c r="J295" t="n">
        <v>0</v>
      </c>
      <c r="K295" t="n">
        <v>0</v>
      </c>
      <c r="L295" t="n">
        <v>0</v>
      </c>
      <c r="M295" t="n">
        <v>0</v>
      </c>
      <c r="N295" t="n">
        <v>0</v>
      </c>
      <c r="O295" t="n">
        <v>0</v>
      </c>
      <c r="P295" t="n">
        <v>0</v>
      </c>
      <c r="Q295" t="n">
        <v>0</v>
      </c>
      <c r="R295" s="2" t="inlineStr"/>
    </row>
    <row r="296" ht="15" customHeight="1">
      <c r="A296" t="inlineStr">
        <is>
          <t>A 20136-2025</t>
        </is>
      </c>
      <c r="B296" s="1" t="n">
        <v>45772.51127314815</v>
      </c>
      <c r="C296" s="1" t="n">
        <v>46136</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15978-2024</t>
        </is>
      </c>
      <c r="B297" s="1" t="n">
        <v>45405.57927083333</v>
      </c>
      <c r="C297" s="1" t="n">
        <v>46136</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20473-2021</t>
        </is>
      </c>
      <c r="B298" s="1" t="n">
        <v>44315</v>
      </c>
      <c r="C298" s="1" t="n">
        <v>46136</v>
      </c>
      <c r="D298" t="inlineStr">
        <is>
          <t>STOCKHOLMS LÄN</t>
        </is>
      </c>
      <c r="E298" t="inlineStr">
        <is>
          <t>NORRTÄLJE</t>
        </is>
      </c>
      <c r="F298" t="inlineStr">
        <is>
          <t>Övriga Aktiebolag</t>
        </is>
      </c>
      <c r="G298" t="n">
        <v>3.6</v>
      </c>
      <c r="H298" t="n">
        <v>0</v>
      </c>
      <c r="I298" t="n">
        <v>0</v>
      </c>
      <c r="J298" t="n">
        <v>0</v>
      </c>
      <c r="K298" t="n">
        <v>0</v>
      </c>
      <c r="L298" t="n">
        <v>0</v>
      </c>
      <c r="M298" t="n">
        <v>0</v>
      </c>
      <c r="N298" t="n">
        <v>0</v>
      </c>
      <c r="O298" t="n">
        <v>0</v>
      </c>
      <c r="P298" t="n">
        <v>0</v>
      </c>
      <c r="Q298" t="n">
        <v>0</v>
      </c>
      <c r="R298" s="2" t="inlineStr"/>
    </row>
    <row r="299" ht="15" customHeight="1">
      <c r="A299" t="inlineStr">
        <is>
          <t>A 23271-2023</t>
        </is>
      </c>
      <c r="B299" s="1" t="n">
        <v>45075.91362268518</v>
      </c>
      <c r="C299" s="1" t="n">
        <v>46136</v>
      </c>
      <c r="D299" t="inlineStr">
        <is>
          <t>STOCKHOLMS LÄN</t>
        </is>
      </c>
      <c r="E299" t="inlineStr">
        <is>
          <t>NORRTÄLJE</t>
        </is>
      </c>
      <c r="G299" t="n">
        <v>5.1</v>
      </c>
      <c r="H299" t="n">
        <v>0</v>
      </c>
      <c r="I299" t="n">
        <v>0</v>
      </c>
      <c r="J299" t="n">
        <v>0</v>
      </c>
      <c r="K299" t="n">
        <v>0</v>
      </c>
      <c r="L299" t="n">
        <v>0</v>
      </c>
      <c r="M299" t="n">
        <v>0</v>
      </c>
      <c r="N299" t="n">
        <v>0</v>
      </c>
      <c r="O299" t="n">
        <v>0</v>
      </c>
      <c r="P299" t="n">
        <v>0</v>
      </c>
      <c r="Q299" t="n">
        <v>0</v>
      </c>
      <c r="R299" s="2" t="inlineStr"/>
    </row>
    <row r="300" ht="15" customHeight="1">
      <c r="A300" t="inlineStr">
        <is>
          <t>A 23273-2023</t>
        </is>
      </c>
      <c r="B300" s="1" t="n">
        <v>45075.91971064815</v>
      </c>
      <c r="C300" s="1" t="n">
        <v>46136</v>
      </c>
      <c r="D300" t="inlineStr">
        <is>
          <t>STOCKHOLMS LÄN</t>
        </is>
      </c>
      <c r="E300" t="inlineStr">
        <is>
          <t>NORRTÄLJE</t>
        </is>
      </c>
      <c r="G300" t="n">
        <v>7.5</v>
      </c>
      <c r="H300" t="n">
        <v>0</v>
      </c>
      <c r="I300" t="n">
        <v>0</v>
      </c>
      <c r="J300" t="n">
        <v>0</v>
      </c>
      <c r="K300" t="n">
        <v>0</v>
      </c>
      <c r="L300" t="n">
        <v>0</v>
      </c>
      <c r="M300" t="n">
        <v>0</v>
      </c>
      <c r="N300" t="n">
        <v>0</v>
      </c>
      <c r="O300" t="n">
        <v>0</v>
      </c>
      <c r="P300" t="n">
        <v>0</v>
      </c>
      <c r="Q300" t="n">
        <v>0</v>
      </c>
      <c r="R300" s="2" t="inlineStr"/>
    </row>
    <row r="301" ht="15" customHeight="1">
      <c r="A301" t="inlineStr">
        <is>
          <t>A 7603-2025</t>
        </is>
      </c>
      <c r="B301" s="1" t="n">
        <v>45705.66126157407</v>
      </c>
      <c r="C301" s="1" t="n">
        <v>46136</v>
      </c>
      <c r="D301" t="inlineStr">
        <is>
          <t>STOCKHOLMS LÄN</t>
        </is>
      </c>
      <c r="E301" t="inlineStr">
        <is>
          <t>NORRTÄLJE</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30802-2022</t>
        </is>
      </c>
      <c r="B302" s="1" t="n">
        <v>44764</v>
      </c>
      <c r="C302" s="1" t="n">
        <v>46136</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19706-2023</t>
        </is>
      </c>
      <c r="B303" s="1" t="n">
        <v>45051.455</v>
      </c>
      <c r="C303" s="1" t="n">
        <v>46136</v>
      </c>
      <c r="D303" t="inlineStr">
        <is>
          <t>STOCKHOLMS LÄN</t>
        </is>
      </c>
      <c r="E303" t="inlineStr">
        <is>
          <t>NORRTÄLJE</t>
        </is>
      </c>
      <c r="G303" t="n">
        <v>0.2</v>
      </c>
      <c r="H303" t="n">
        <v>0</v>
      </c>
      <c r="I303" t="n">
        <v>0</v>
      </c>
      <c r="J303" t="n">
        <v>0</v>
      </c>
      <c r="K303" t="n">
        <v>0</v>
      </c>
      <c r="L303" t="n">
        <v>0</v>
      </c>
      <c r="M303" t="n">
        <v>0</v>
      </c>
      <c r="N303" t="n">
        <v>0</v>
      </c>
      <c r="O303" t="n">
        <v>0</v>
      </c>
      <c r="P303" t="n">
        <v>0</v>
      </c>
      <c r="Q303" t="n">
        <v>0</v>
      </c>
      <c r="R303" s="2" t="inlineStr"/>
    </row>
    <row r="304" ht="15" customHeight="1">
      <c r="A304" t="inlineStr">
        <is>
          <t>A 51046-2023</t>
        </is>
      </c>
      <c r="B304" s="1" t="n">
        <v>45218</v>
      </c>
      <c r="C304" s="1" t="n">
        <v>46136</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5158-2024</t>
        </is>
      </c>
      <c r="B305" s="1" t="n">
        <v>45330.50098379629</v>
      </c>
      <c r="C305" s="1" t="n">
        <v>46136</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8736-2024</t>
        </is>
      </c>
      <c r="B306" s="1" t="n">
        <v>45356.4722800926</v>
      </c>
      <c r="C306" s="1" t="n">
        <v>46136</v>
      </c>
      <c r="D306" t="inlineStr">
        <is>
          <t>STOCKHOLMS LÄN</t>
        </is>
      </c>
      <c r="E306" t="inlineStr">
        <is>
          <t>NORRTÄLJE</t>
        </is>
      </c>
      <c r="G306" t="n">
        <v>8.9</v>
      </c>
      <c r="H306" t="n">
        <v>0</v>
      </c>
      <c r="I306" t="n">
        <v>0</v>
      </c>
      <c r="J306" t="n">
        <v>0</v>
      </c>
      <c r="K306" t="n">
        <v>0</v>
      </c>
      <c r="L306" t="n">
        <v>0</v>
      </c>
      <c r="M306" t="n">
        <v>0</v>
      </c>
      <c r="N306" t="n">
        <v>0</v>
      </c>
      <c r="O306" t="n">
        <v>0</v>
      </c>
      <c r="P306" t="n">
        <v>0</v>
      </c>
      <c r="Q306" t="n">
        <v>0</v>
      </c>
      <c r="R306" s="2" t="inlineStr"/>
    </row>
    <row r="307" ht="15" customHeight="1">
      <c r="A307" t="inlineStr">
        <is>
          <t>A 14762-2024</t>
        </is>
      </c>
      <c r="B307" s="1" t="n">
        <v>45397</v>
      </c>
      <c r="C307" s="1" t="n">
        <v>46136</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45255-2022</t>
        </is>
      </c>
      <c r="B308" s="1" t="n">
        <v>44840</v>
      </c>
      <c r="C308" s="1" t="n">
        <v>46136</v>
      </c>
      <c r="D308" t="inlineStr">
        <is>
          <t>STOCKHOLMS LÄN</t>
        </is>
      </c>
      <c r="E308" t="inlineStr">
        <is>
          <t>NORRTÄLJE</t>
        </is>
      </c>
      <c r="G308" t="n">
        <v>4.1</v>
      </c>
      <c r="H308" t="n">
        <v>0</v>
      </c>
      <c r="I308" t="n">
        <v>0</v>
      </c>
      <c r="J308" t="n">
        <v>0</v>
      </c>
      <c r="K308" t="n">
        <v>0</v>
      </c>
      <c r="L308" t="n">
        <v>0</v>
      </c>
      <c r="M308" t="n">
        <v>0</v>
      </c>
      <c r="N308" t="n">
        <v>0</v>
      </c>
      <c r="O308" t="n">
        <v>0</v>
      </c>
      <c r="P308" t="n">
        <v>0</v>
      </c>
      <c r="Q308" t="n">
        <v>0</v>
      </c>
      <c r="R308" s="2" t="inlineStr"/>
    </row>
    <row r="309" ht="15" customHeight="1">
      <c r="A309" t="inlineStr">
        <is>
          <t>A 19915-2024</t>
        </is>
      </c>
      <c r="B309" s="1" t="n">
        <v>45433.58431712963</v>
      </c>
      <c r="C309" s="1" t="n">
        <v>46136</v>
      </c>
      <c r="D309" t="inlineStr">
        <is>
          <t>STOCKHOLMS LÄN</t>
        </is>
      </c>
      <c r="E309" t="inlineStr">
        <is>
          <t>NORRTÄLJE</t>
        </is>
      </c>
      <c r="G309" t="n">
        <v>2</v>
      </c>
      <c r="H309" t="n">
        <v>0</v>
      </c>
      <c r="I309" t="n">
        <v>0</v>
      </c>
      <c r="J309" t="n">
        <v>0</v>
      </c>
      <c r="K309" t="n">
        <v>0</v>
      </c>
      <c r="L309" t="n">
        <v>0</v>
      </c>
      <c r="M309" t="n">
        <v>0</v>
      </c>
      <c r="N309" t="n">
        <v>0</v>
      </c>
      <c r="O309" t="n">
        <v>0</v>
      </c>
      <c r="P309" t="n">
        <v>0</v>
      </c>
      <c r="Q309" t="n">
        <v>0</v>
      </c>
      <c r="R309" s="2" t="inlineStr"/>
    </row>
    <row r="310" ht="15" customHeight="1">
      <c r="A310" t="inlineStr">
        <is>
          <t>A 12629-2024</t>
        </is>
      </c>
      <c r="B310" s="1" t="n">
        <v>45383</v>
      </c>
      <c r="C310" s="1" t="n">
        <v>46136</v>
      </c>
      <c r="D310" t="inlineStr">
        <is>
          <t>STOCKHOLMS LÄN</t>
        </is>
      </c>
      <c r="E310" t="inlineStr">
        <is>
          <t>NORRTÄLJE</t>
        </is>
      </c>
      <c r="G310" t="n">
        <v>2.6</v>
      </c>
      <c r="H310" t="n">
        <v>0</v>
      </c>
      <c r="I310" t="n">
        <v>0</v>
      </c>
      <c r="J310" t="n">
        <v>0</v>
      </c>
      <c r="K310" t="n">
        <v>0</v>
      </c>
      <c r="L310" t="n">
        <v>0</v>
      </c>
      <c r="M310" t="n">
        <v>0</v>
      </c>
      <c r="N310" t="n">
        <v>0</v>
      </c>
      <c r="O310" t="n">
        <v>0</v>
      </c>
      <c r="P310" t="n">
        <v>0</v>
      </c>
      <c r="Q310" t="n">
        <v>0</v>
      </c>
      <c r="R310" s="2" t="inlineStr"/>
    </row>
    <row r="311" ht="15" customHeight="1">
      <c r="A311" t="inlineStr">
        <is>
          <t>A 20428-2024</t>
        </is>
      </c>
      <c r="B311" s="1" t="n">
        <v>45435</v>
      </c>
      <c r="C311" s="1" t="n">
        <v>46136</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57037-2022</t>
        </is>
      </c>
      <c r="B312" s="1" t="n">
        <v>44895</v>
      </c>
      <c r="C312" s="1" t="n">
        <v>46136</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46136</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46136</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55755-2023</t>
        </is>
      </c>
      <c r="B315" s="1" t="n">
        <v>45239</v>
      </c>
      <c r="C315" s="1" t="n">
        <v>46136</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40761-2024</t>
        </is>
      </c>
      <c r="B316" s="1" t="n">
        <v>45558.46283564815</v>
      </c>
      <c r="C316" s="1" t="n">
        <v>46136</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46136</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45549-2022</t>
        </is>
      </c>
      <c r="B318" s="1" t="n">
        <v>44845.48064814815</v>
      </c>
      <c r="C318" s="1" t="n">
        <v>46136</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23692-2024</t>
        </is>
      </c>
      <c r="B319" s="1" t="n">
        <v>45454.65774305556</v>
      </c>
      <c r="C319" s="1" t="n">
        <v>46136</v>
      </c>
      <c r="D319" t="inlineStr">
        <is>
          <t>STOCKHOLMS LÄN</t>
        </is>
      </c>
      <c r="E319" t="inlineStr">
        <is>
          <t>NORRTÄLJE</t>
        </is>
      </c>
      <c r="G319" t="n">
        <v>3.7</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46136</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47431-2023</t>
        </is>
      </c>
      <c r="B321" s="1" t="n">
        <v>45202</v>
      </c>
      <c r="C321" s="1" t="n">
        <v>46136</v>
      </c>
      <c r="D321" t="inlineStr">
        <is>
          <t>STOCKHOLMS LÄN</t>
        </is>
      </c>
      <c r="E321" t="inlineStr">
        <is>
          <t>NORRTÄLJE</t>
        </is>
      </c>
      <c r="F321" t="inlineStr">
        <is>
          <t>Naturvårdsverket</t>
        </is>
      </c>
      <c r="G321" t="n">
        <v>1.2</v>
      </c>
      <c r="H321" t="n">
        <v>0</v>
      </c>
      <c r="I321" t="n">
        <v>0</v>
      </c>
      <c r="J321" t="n">
        <v>0</v>
      </c>
      <c r="K321" t="n">
        <v>0</v>
      </c>
      <c r="L321" t="n">
        <v>0</v>
      </c>
      <c r="M321" t="n">
        <v>0</v>
      </c>
      <c r="N321" t="n">
        <v>0</v>
      </c>
      <c r="O321" t="n">
        <v>0</v>
      </c>
      <c r="P321" t="n">
        <v>0</v>
      </c>
      <c r="Q321" t="n">
        <v>0</v>
      </c>
      <c r="R321" s="2" t="inlineStr"/>
    </row>
    <row r="322" ht="15" customHeight="1">
      <c r="A322" t="inlineStr">
        <is>
          <t>A 23262-2023</t>
        </is>
      </c>
      <c r="B322" s="1" t="n">
        <v>45075.90270833333</v>
      </c>
      <c r="C322" s="1" t="n">
        <v>46136</v>
      </c>
      <c r="D322" t="inlineStr">
        <is>
          <t>STOCKHOLMS LÄN</t>
        </is>
      </c>
      <c r="E322" t="inlineStr">
        <is>
          <t>NORRTÄLJE</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23268-2023</t>
        </is>
      </c>
      <c r="B323" s="1" t="n">
        <v>45075.91042824074</v>
      </c>
      <c r="C323" s="1" t="n">
        <v>46136</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23270-2023</t>
        </is>
      </c>
      <c r="B324" s="1" t="n">
        <v>45075.91265046296</v>
      </c>
      <c r="C324" s="1" t="n">
        <v>46136</v>
      </c>
      <c r="D324" t="inlineStr">
        <is>
          <t>STOCKHOLMS LÄN</t>
        </is>
      </c>
      <c r="E324" t="inlineStr">
        <is>
          <t>NORRTÄLJE</t>
        </is>
      </c>
      <c r="G324" t="n">
        <v>12.3</v>
      </c>
      <c r="H324" t="n">
        <v>0</v>
      </c>
      <c r="I324" t="n">
        <v>0</v>
      </c>
      <c r="J324" t="n">
        <v>0</v>
      </c>
      <c r="K324" t="n">
        <v>0</v>
      </c>
      <c r="L324" t="n">
        <v>0</v>
      </c>
      <c r="M324" t="n">
        <v>0</v>
      </c>
      <c r="N324" t="n">
        <v>0</v>
      </c>
      <c r="O324" t="n">
        <v>0</v>
      </c>
      <c r="P324" t="n">
        <v>0</v>
      </c>
      <c r="Q324" t="n">
        <v>0</v>
      </c>
      <c r="R324" s="2" t="inlineStr"/>
    </row>
    <row r="325" ht="15" customHeight="1">
      <c r="A325" t="inlineStr">
        <is>
          <t>A 23274-2023</t>
        </is>
      </c>
      <c r="B325" s="1" t="n">
        <v>45075.92153935185</v>
      </c>
      <c r="C325" s="1" t="n">
        <v>46136</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50569-2022</t>
        </is>
      </c>
      <c r="B326" s="1" t="n">
        <v>44866.63775462963</v>
      </c>
      <c r="C326" s="1" t="n">
        <v>46136</v>
      </c>
      <c r="D326" t="inlineStr">
        <is>
          <t>STOCKHOLMS LÄN</t>
        </is>
      </c>
      <c r="E326" t="inlineStr">
        <is>
          <t>NORRTÄLJE</t>
        </is>
      </c>
      <c r="G326" t="n">
        <v>1.2</v>
      </c>
      <c r="H326" t="n">
        <v>0</v>
      </c>
      <c r="I326" t="n">
        <v>0</v>
      </c>
      <c r="J326" t="n">
        <v>0</v>
      </c>
      <c r="K326" t="n">
        <v>0</v>
      </c>
      <c r="L326" t="n">
        <v>0</v>
      </c>
      <c r="M326" t="n">
        <v>0</v>
      </c>
      <c r="N326" t="n">
        <v>0</v>
      </c>
      <c r="O326" t="n">
        <v>0</v>
      </c>
      <c r="P326" t="n">
        <v>0</v>
      </c>
      <c r="Q326" t="n">
        <v>0</v>
      </c>
      <c r="R326" s="2" t="inlineStr"/>
    </row>
    <row r="327" ht="15" customHeight="1">
      <c r="A327" t="inlineStr">
        <is>
          <t>A 5732-2023</t>
        </is>
      </c>
      <c r="B327" s="1" t="n">
        <v>44962</v>
      </c>
      <c r="C327" s="1" t="n">
        <v>46136</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16008-2025</t>
        </is>
      </c>
      <c r="B328" s="1" t="n">
        <v>45749</v>
      </c>
      <c r="C328" s="1" t="n">
        <v>46136</v>
      </c>
      <c r="D328" t="inlineStr">
        <is>
          <t>STOCKHOLMS LÄN</t>
        </is>
      </c>
      <c r="E328" t="inlineStr">
        <is>
          <t>NORRTÄLJE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9765-2024</t>
        </is>
      </c>
      <c r="B329" s="1" t="n">
        <v>45362.62811342593</v>
      </c>
      <c r="C329" s="1" t="n">
        <v>46136</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37550-2022</t>
        </is>
      </c>
      <c r="B330" s="1" t="n">
        <v>44809</v>
      </c>
      <c r="C330" s="1" t="n">
        <v>46136</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25609-2023</t>
        </is>
      </c>
      <c r="B331" s="1" t="n">
        <v>45089</v>
      </c>
      <c r="C331" s="1" t="n">
        <v>46136</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60224-2023</t>
        </is>
      </c>
      <c r="B332" s="1" t="n">
        <v>45257</v>
      </c>
      <c r="C332" s="1" t="n">
        <v>46136</v>
      </c>
      <c r="D332" t="inlineStr">
        <is>
          <t>STOCKHOLMS LÄN</t>
        </is>
      </c>
      <c r="E332" t="inlineStr">
        <is>
          <t>NORRTÄLJE</t>
        </is>
      </c>
      <c r="G332" t="n">
        <v>8.1</v>
      </c>
      <c r="H332" t="n">
        <v>0</v>
      </c>
      <c r="I332" t="n">
        <v>0</v>
      </c>
      <c r="J332" t="n">
        <v>0</v>
      </c>
      <c r="K332" t="n">
        <v>0</v>
      </c>
      <c r="L332" t="n">
        <v>0</v>
      </c>
      <c r="M332" t="n">
        <v>0</v>
      </c>
      <c r="N332" t="n">
        <v>0</v>
      </c>
      <c r="O332" t="n">
        <v>0</v>
      </c>
      <c r="P332" t="n">
        <v>0</v>
      </c>
      <c r="Q332" t="n">
        <v>0</v>
      </c>
      <c r="R332" s="2" t="inlineStr"/>
    </row>
    <row r="333" ht="15" customHeight="1">
      <c r="A333" t="inlineStr">
        <is>
          <t>A 33569-2023</t>
        </is>
      </c>
      <c r="B333" s="1" t="n">
        <v>45131.666875</v>
      </c>
      <c r="C333" s="1" t="n">
        <v>46136</v>
      </c>
      <c r="D333" t="inlineStr">
        <is>
          <t>STOCKHOLMS LÄN</t>
        </is>
      </c>
      <c r="E333" t="inlineStr">
        <is>
          <t>NORRTÄLJE</t>
        </is>
      </c>
      <c r="G333" t="n">
        <v>2.3</v>
      </c>
      <c r="H333" t="n">
        <v>0</v>
      </c>
      <c r="I333" t="n">
        <v>0</v>
      </c>
      <c r="J333" t="n">
        <v>0</v>
      </c>
      <c r="K333" t="n">
        <v>0</v>
      </c>
      <c r="L333" t="n">
        <v>0</v>
      </c>
      <c r="M333" t="n">
        <v>0</v>
      </c>
      <c r="N333" t="n">
        <v>0</v>
      </c>
      <c r="O333" t="n">
        <v>0</v>
      </c>
      <c r="P333" t="n">
        <v>0</v>
      </c>
      <c r="Q333" t="n">
        <v>0</v>
      </c>
      <c r="R333" s="2" t="inlineStr"/>
    </row>
    <row r="334" ht="15" customHeight="1">
      <c r="A334" t="inlineStr">
        <is>
          <t>A 29684-2021</t>
        </is>
      </c>
      <c r="B334" s="1" t="n">
        <v>44362.37172453704</v>
      </c>
      <c r="C334" s="1" t="n">
        <v>46136</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17785-2024</t>
        </is>
      </c>
      <c r="B335" s="1" t="n">
        <v>45418.6968287037</v>
      </c>
      <c r="C335" s="1" t="n">
        <v>46136</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22833-2024</t>
        </is>
      </c>
      <c r="B336" s="1" t="n">
        <v>45448.56746527777</v>
      </c>
      <c r="C336" s="1" t="n">
        <v>46136</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21386-2023</t>
        </is>
      </c>
      <c r="B337" s="1" t="n">
        <v>45063.35880787037</v>
      </c>
      <c r="C337" s="1" t="n">
        <v>46136</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4593-2023</t>
        </is>
      </c>
      <c r="B338" s="1" t="n">
        <v>44956</v>
      </c>
      <c r="C338" s="1" t="n">
        <v>46136</v>
      </c>
      <c r="D338" t="inlineStr">
        <is>
          <t>STOCKHOLMS LÄN</t>
        </is>
      </c>
      <c r="E338" t="inlineStr">
        <is>
          <t>NORRTÄLJE</t>
        </is>
      </c>
      <c r="G338" t="n">
        <v>0.4</v>
      </c>
      <c r="H338" t="n">
        <v>0</v>
      </c>
      <c r="I338" t="n">
        <v>0</v>
      </c>
      <c r="J338" t="n">
        <v>0</v>
      </c>
      <c r="K338" t="n">
        <v>0</v>
      </c>
      <c r="L338" t="n">
        <v>0</v>
      </c>
      <c r="M338" t="n">
        <v>0</v>
      </c>
      <c r="N338" t="n">
        <v>0</v>
      </c>
      <c r="O338" t="n">
        <v>0</v>
      </c>
      <c r="P338" t="n">
        <v>0</v>
      </c>
      <c r="Q338" t="n">
        <v>0</v>
      </c>
      <c r="R338" s="2" t="inlineStr"/>
    </row>
    <row r="339" ht="15" customHeight="1">
      <c r="A339" t="inlineStr">
        <is>
          <t>A 32071-2023</t>
        </is>
      </c>
      <c r="B339" s="1" t="n">
        <v>45119.57728009259</v>
      </c>
      <c r="C339" s="1" t="n">
        <v>46136</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26115-2024</t>
        </is>
      </c>
      <c r="B340" s="1" t="n">
        <v>45468.45628472222</v>
      </c>
      <c r="C340" s="1" t="n">
        <v>46136</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25681-2024</t>
        </is>
      </c>
      <c r="B341" s="1" t="n">
        <v>45463.80486111111</v>
      </c>
      <c r="C341" s="1" t="n">
        <v>46136</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54396-2021</t>
        </is>
      </c>
      <c r="B342" s="1" t="n">
        <v>44472</v>
      </c>
      <c r="C342" s="1" t="n">
        <v>46136</v>
      </c>
      <c r="D342" t="inlineStr">
        <is>
          <t>STOCKHOLMS LÄN</t>
        </is>
      </c>
      <c r="E342" t="inlineStr">
        <is>
          <t>NORRTÄLJE</t>
        </is>
      </c>
      <c r="G342" t="n">
        <v>2.6</v>
      </c>
      <c r="H342" t="n">
        <v>0</v>
      </c>
      <c r="I342" t="n">
        <v>0</v>
      </c>
      <c r="J342" t="n">
        <v>0</v>
      </c>
      <c r="K342" t="n">
        <v>0</v>
      </c>
      <c r="L342" t="n">
        <v>0</v>
      </c>
      <c r="M342" t="n">
        <v>0</v>
      </c>
      <c r="N342" t="n">
        <v>0</v>
      </c>
      <c r="O342" t="n">
        <v>0</v>
      </c>
      <c r="P342" t="n">
        <v>0</v>
      </c>
      <c r="Q342" t="n">
        <v>0</v>
      </c>
      <c r="R342" s="2" t="inlineStr"/>
    </row>
    <row r="343" ht="15" customHeight="1">
      <c r="A343" t="inlineStr">
        <is>
          <t>A 24245-2024</t>
        </is>
      </c>
      <c r="B343" s="1" t="n">
        <v>45457</v>
      </c>
      <c r="C343" s="1" t="n">
        <v>46136</v>
      </c>
      <c r="D343" t="inlineStr">
        <is>
          <t>STOCKHOLMS LÄN</t>
        </is>
      </c>
      <c r="E343" t="inlineStr">
        <is>
          <t>NORRTÄLJE</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54273-2021</t>
        </is>
      </c>
      <c r="B344" s="1" t="n">
        <v>44470.72987268519</v>
      </c>
      <c r="C344" s="1" t="n">
        <v>46136</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43212-2022</t>
        </is>
      </c>
      <c r="B345" s="1" t="n">
        <v>44834.38636574074</v>
      </c>
      <c r="C345" s="1" t="n">
        <v>46136</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6537-2024</t>
        </is>
      </c>
      <c r="B346" s="1" t="n">
        <v>45341.39853009259</v>
      </c>
      <c r="C346" s="1" t="n">
        <v>46136</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52260-2022</t>
        </is>
      </c>
      <c r="B347" s="1" t="n">
        <v>44869</v>
      </c>
      <c r="C347" s="1" t="n">
        <v>46136</v>
      </c>
      <c r="D347" t="inlineStr">
        <is>
          <t>STOCKHOLMS LÄN</t>
        </is>
      </c>
      <c r="E347" t="inlineStr">
        <is>
          <t>NORRTÄLJE</t>
        </is>
      </c>
      <c r="G347" t="n">
        <v>3.1</v>
      </c>
      <c r="H347" t="n">
        <v>0</v>
      </c>
      <c r="I347" t="n">
        <v>0</v>
      </c>
      <c r="J347" t="n">
        <v>0</v>
      </c>
      <c r="K347" t="n">
        <v>0</v>
      </c>
      <c r="L347" t="n">
        <v>0</v>
      </c>
      <c r="M347" t="n">
        <v>0</v>
      </c>
      <c r="N347" t="n">
        <v>0</v>
      </c>
      <c r="O347" t="n">
        <v>0</v>
      </c>
      <c r="P347" t="n">
        <v>0</v>
      </c>
      <c r="Q347" t="n">
        <v>0</v>
      </c>
      <c r="R347" s="2" t="inlineStr"/>
    </row>
    <row r="348" ht="15" customHeight="1">
      <c r="A348" t="inlineStr">
        <is>
          <t>A 34295-2024</t>
        </is>
      </c>
      <c r="B348" s="1" t="n">
        <v>45524</v>
      </c>
      <c r="C348" s="1" t="n">
        <v>46136</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4035-2023</t>
        </is>
      </c>
      <c r="B349" s="1" t="n">
        <v>44952.57989583333</v>
      </c>
      <c r="C349" s="1" t="n">
        <v>46136</v>
      </c>
      <c r="D349" t="inlineStr">
        <is>
          <t>STOCKHOLMS LÄN</t>
        </is>
      </c>
      <c r="E349" t="inlineStr">
        <is>
          <t>NORRTÄLJE</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55058-2021</t>
        </is>
      </c>
      <c r="B350" s="1" t="n">
        <v>44474.62141203704</v>
      </c>
      <c r="C350" s="1" t="n">
        <v>46136</v>
      </c>
      <c r="D350" t="inlineStr">
        <is>
          <t>STOCKHOLMS LÄN</t>
        </is>
      </c>
      <c r="E350" t="inlineStr">
        <is>
          <t>NORRTÄLJE</t>
        </is>
      </c>
      <c r="G350" t="n">
        <v>1.9</v>
      </c>
      <c r="H350" t="n">
        <v>0</v>
      </c>
      <c r="I350" t="n">
        <v>0</v>
      </c>
      <c r="J350" t="n">
        <v>0</v>
      </c>
      <c r="K350" t="n">
        <v>0</v>
      </c>
      <c r="L350" t="n">
        <v>0</v>
      </c>
      <c r="M350" t="n">
        <v>0</v>
      </c>
      <c r="N350" t="n">
        <v>0</v>
      </c>
      <c r="O350" t="n">
        <v>0</v>
      </c>
      <c r="P350" t="n">
        <v>0</v>
      </c>
      <c r="Q350" t="n">
        <v>0</v>
      </c>
      <c r="R350" s="2" t="inlineStr"/>
    </row>
    <row r="351" ht="15" customHeight="1">
      <c r="A351" t="inlineStr">
        <is>
          <t>A 40192-2023</t>
        </is>
      </c>
      <c r="B351" s="1" t="n">
        <v>45169</v>
      </c>
      <c r="C351" s="1" t="n">
        <v>46136</v>
      </c>
      <c r="D351" t="inlineStr">
        <is>
          <t>STOCKHOLMS LÄN</t>
        </is>
      </c>
      <c r="E351" t="inlineStr">
        <is>
          <t>NORRTÄLJE</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26644-2024</t>
        </is>
      </c>
      <c r="B352" s="1" t="n">
        <v>45469</v>
      </c>
      <c r="C352" s="1" t="n">
        <v>46136</v>
      </c>
      <c r="D352" t="inlineStr">
        <is>
          <t>STOCKHOLMS LÄN</t>
        </is>
      </c>
      <c r="E352" t="inlineStr">
        <is>
          <t>NORRTÄLJE</t>
        </is>
      </c>
      <c r="G352" t="n">
        <v>4.3</v>
      </c>
      <c r="H352" t="n">
        <v>0</v>
      </c>
      <c r="I352" t="n">
        <v>0</v>
      </c>
      <c r="J352" t="n">
        <v>0</v>
      </c>
      <c r="K352" t="n">
        <v>0</v>
      </c>
      <c r="L352" t="n">
        <v>0</v>
      </c>
      <c r="M352" t="n">
        <v>0</v>
      </c>
      <c r="N352" t="n">
        <v>0</v>
      </c>
      <c r="O352" t="n">
        <v>0</v>
      </c>
      <c r="P352" t="n">
        <v>0</v>
      </c>
      <c r="Q352" t="n">
        <v>0</v>
      </c>
      <c r="R352" s="2" t="inlineStr"/>
    </row>
    <row r="353" ht="15" customHeight="1">
      <c r="A353" t="inlineStr">
        <is>
          <t>A 26668-2024</t>
        </is>
      </c>
      <c r="B353" s="1" t="n">
        <v>45469</v>
      </c>
      <c r="C353" s="1" t="n">
        <v>46136</v>
      </c>
      <c r="D353" t="inlineStr">
        <is>
          <t>STOCKHOLMS LÄN</t>
        </is>
      </c>
      <c r="E353" t="inlineStr">
        <is>
          <t>NORRTÄLJE</t>
        </is>
      </c>
      <c r="G353" t="n">
        <v>4.8</v>
      </c>
      <c r="H353" t="n">
        <v>0</v>
      </c>
      <c r="I353" t="n">
        <v>0</v>
      </c>
      <c r="J353" t="n">
        <v>0</v>
      </c>
      <c r="K353" t="n">
        <v>0</v>
      </c>
      <c r="L353" t="n">
        <v>0</v>
      </c>
      <c r="M353" t="n">
        <v>0</v>
      </c>
      <c r="N353" t="n">
        <v>0</v>
      </c>
      <c r="O353" t="n">
        <v>0</v>
      </c>
      <c r="P353" t="n">
        <v>0</v>
      </c>
      <c r="Q353" t="n">
        <v>0</v>
      </c>
      <c r="R353" s="2" t="inlineStr"/>
    </row>
    <row r="354" ht="15" customHeight="1">
      <c r="A354" t="inlineStr">
        <is>
          <t>A 28603-2024</t>
        </is>
      </c>
      <c r="B354" s="1" t="n">
        <v>45478.42887731481</v>
      </c>
      <c r="C354" s="1" t="n">
        <v>46136</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25702-2025</t>
        </is>
      </c>
      <c r="B355" s="1" t="n">
        <v>45800</v>
      </c>
      <c r="C355" s="1" t="n">
        <v>46136</v>
      </c>
      <c r="D355" t="inlineStr">
        <is>
          <t>STOCKHOLMS LÄN</t>
        </is>
      </c>
      <c r="E355" t="inlineStr">
        <is>
          <t>NORRTÄLJE</t>
        </is>
      </c>
      <c r="G355" t="n">
        <v>5.3</v>
      </c>
      <c r="H355" t="n">
        <v>0</v>
      </c>
      <c r="I355" t="n">
        <v>0</v>
      </c>
      <c r="J355" t="n">
        <v>0</v>
      </c>
      <c r="K355" t="n">
        <v>0</v>
      </c>
      <c r="L355" t="n">
        <v>0</v>
      </c>
      <c r="M355" t="n">
        <v>0</v>
      </c>
      <c r="N355" t="n">
        <v>0</v>
      </c>
      <c r="O355" t="n">
        <v>0</v>
      </c>
      <c r="P355" t="n">
        <v>0</v>
      </c>
      <c r="Q355" t="n">
        <v>0</v>
      </c>
      <c r="R355" s="2" t="inlineStr"/>
    </row>
    <row r="356" ht="15" customHeight="1">
      <c r="A356" t="inlineStr">
        <is>
          <t>A 25721-2025</t>
        </is>
      </c>
      <c r="B356" s="1" t="n">
        <v>45800</v>
      </c>
      <c r="C356" s="1" t="n">
        <v>46136</v>
      </c>
      <c r="D356" t="inlineStr">
        <is>
          <t>STOCKHOLMS LÄN</t>
        </is>
      </c>
      <c r="E356" t="inlineStr">
        <is>
          <t>NORRTÄLJE</t>
        </is>
      </c>
      <c r="G356" t="n">
        <v>6</v>
      </c>
      <c r="H356" t="n">
        <v>0</v>
      </c>
      <c r="I356" t="n">
        <v>0</v>
      </c>
      <c r="J356" t="n">
        <v>0</v>
      </c>
      <c r="K356" t="n">
        <v>0</v>
      </c>
      <c r="L356" t="n">
        <v>0</v>
      </c>
      <c r="M356" t="n">
        <v>0</v>
      </c>
      <c r="N356" t="n">
        <v>0</v>
      </c>
      <c r="O356" t="n">
        <v>0</v>
      </c>
      <c r="P356" t="n">
        <v>0</v>
      </c>
      <c r="Q356" t="n">
        <v>0</v>
      </c>
      <c r="R356" s="2" t="inlineStr"/>
    </row>
    <row r="357" ht="15" customHeight="1">
      <c r="A357" t="inlineStr">
        <is>
          <t>A 37085-2021</t>
        </is>
      </c>
      <c r="B357" s="1" t="n">
        <v>44395</v>
      </c>
      <c r="C357" s="1" t="n">
        <v>46136</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197-2026</t>
        </is>
      </c>
      <c r="B358" s="1" t="n">
        <v>46026</v>
      </c>
      <c r="C358" s="1" t="n">
        <v>46136</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25733-2025</t>
        </is>
      </c>
      <c r="B359" s="1" t="n">
        <v>45800</v>
      </c>
      <c r="C359" s="1" t="n">
        <v>46136</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718-2026</t>
        </is>
      </c>
      <c r="B360" s="1" t="n">
        <v>46029.63174768518</v>
      </c>
      <c r="C360" s="1" t="n">
        <v>46136</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25571-2025</t>
        </is>
      </c>
      <c r="B361" s="1" t="n">
        <v>45803.4675</v>
      </c>
      <c r="C361" s="1" t="n">
        <v>46136</v>
      </c>
      <c r="D361" t="inlineStr">
        <is>
          <t>STOCKHOLMS LÄN</t>
        </is>
      </c>
      <c r="E361" t="inlineStr">
        <is>
          <t>NORRTÄLJE</t>
        </is>
      </c>
      <c r="G361" t="n">
        <v>5.4</v>
      </c>
      <c r="H361" t="n">
        <v>0</v>
      </c>
      <c r="I361" t="n">
        <v>0</v>
      </c>
      <c r="J361" t="n">
        <v>0</v>
      </c>
      <c r="K361" t="n">
        <v>0</v>
      </c>
      <c r="L361" t="n">
        <v>0</v>
      </c>
      <c r="M361" t="n">
        <v>0</v>
      </c>
      <c r="N361" t="n">
        <v>0</v>
      </c>
      <c r="O361" t="n">
        <v>0</v>
      </c>
      <c r="P361" t="n">
        <v>0</v>
      </c>
      <c r="Q361" t="n">
        <v>0</v>
      </c>
      <c r="R361" s="2" t="inlineStr"/>
    </row>
    <row r="362" ht="15" customHeight="1">
      <c r="A362" t="inlineStr">
        <is>
          <t>A 46988-2024</t>
        </is>
      </c>
      <c r="B362" s="1" t="n">
        <v>45586</v>
      </c>
      <c r="C362" s="1" t="n">
        <v>46136</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694-2026</t>
        </is>
      </c>
      <c r="B363" s="1" t="n">
        <v>46029.61375</v>
      </c>
      <c r="C363" s="1" t="n">
        <v>46136</v>
      </c>
      <c r="D363" t="inlineStr">
        <is>
          <t>STOCKHOLMS LÄN</t>
        </is>
      </c>
      <c r="E363" t="inlineStr">
        <is>
          <t>NORRTÄLJE</t>
        </is>
      </c>
      <c r="G363" t="n">
        <v>9.6</v>
      </c>
      <c r="H363" t="n">
        <v>0</v>
      </c>
      <c r="I363" t="n">
        <v>0</v>
      </c>
      <c r="J363" t="n">
        <v>0</v>
      </c>
      <c r="K363" t="n">
        <v>0</v>
      </c>
      <c r="L363" t="n">
        <v>0</v>
      </c>
      <c r="M363" t="n">
        <v>0</v>
      </c>
      <c r="N363" t="n">
        <v>0</v>
      </c>
      <c r="O363" t="n">
        <v>0</v>
      </c>
      <c r="P363" t="n">
        <v>0</v>
      </c>
      <c r="Q363" t="n">
        <v>0</v>
      </c>
      <c r="R363" s="2" t="inlineStr"/>
    </row>
    <row r="364" ht="15" customHeight="1">
      <c r="A364" t="inlineStr">
        <is>
          <t>A 53561-2023</t>
        </is>
      </c>
      <c r="B364" s="1" t="n">
        <v>45224</v>
      </c>
      <c r="C364" s="1" t="n">
        <v>46136</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71552-2021</t>
        </is>
      </c>
      <c r="B365" s="1" t="n">
        <v>44540</v>
      </c>
      <c r="C365" s="1" t="n">
        <v>46136</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22816-2021</t>
        </is>
      </c>
      <c r="B366" s="1" t="n">
        <v>44325</v>
      </c>
      <c r="C366" s="1" t="n">
        <v>46136</v>
      </c>
      <c r="D366" t="inlineStr">
        <is>
          <t>STOCKHOLMS LÄN</t>
        </is>
      </c>
      <c r="E366" t="inlineStr">
        <is>
          <t>NORRTÄLJE</t>
        </is>
      </c>
      <c r="G366" t="n">
        <v>4.5</v>
      </c>
      <c r="H366" t="n">
        <v>0</v>
      </c>
      <c r="I366" t="n">
        <v>0</v>
      </c>
      <c r="J366" t="n">
        <v>0</v>
      </c>
      <c r="K366" t="n">
        <v>0</v>
      </c>
      <c r="L366" t="n">
        <v>0</v>
      </c>
      <c r="M366" t="n">
        <v>0</v>
      </c>
      <c r="N366" t="n">
        <v>0</v>
      </c>
      <c r="O366" t="n">
        <v>0</v>
      </c>
      <c r="P366" t="n">
        <v>0</v>
      </c>
      <c r="Q366" t="n">
        <v>0</v>
      </c>
      <c r="R366" s="2" t="inlineStr"/>
    </row>
    <row r="367" ht="15" customHeight="1">
      <c r="A367" t="inlineStr">
        <is>
          <t>A 25712-2025</t>
        </is>
      </c>
      <c r="B367" s="1" t="n">
        <v>45803.69228009259</v>
      </c>
      <c r="C367" s="1" t="n">
        <v>46136</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41218-2024</t>
        </is>
      </c>
      <c r="B368" s="1" t="n">
        <v>45559.54706018518</v>
      </c>
      <c r="C368" s="1" t="n">
        <v>46136</v>
      </c>
      <c r="D368" t="inlineStr">
        <is>
          <t>STOCKHOLMS LÄN</t>
        </is>
      </c>
      <c r="E368" t="inlineStr">
        <is>
          <t>NORRTÄLJE</t>
        </is>
      </c>
      <c r="G368" t="n">
        <v>6</v>
      </c>
      <c r="H368" t="n">
        <v>0</v>
      </c>
      <c r="I368" t="n">
        <v>0</v>
      </c>
      <c r="J368" t="n">
        <v>0</v>
      </c>
      <c r="K368" t="n">
        <v>0</v>
      </c>
      <c r="L368" t="n">
        <v>0</v>
      </c>
      <c r="M368" t="n">
        <v>0</v>
      </c>
      <c r="N368" t="n">
        <v>0</v>
      </c>
      <c r="O368" t="n">
        <v>0</v>
      </c>
      <c r="P368" t="n">
        <v>0</v>
      </c>
      <c r="Q368" t="n">
        <v>0</v>
      </c>
      <c r="R368" s="2" t="inlineStr"/>
    </row>
    <row r="369" ht="15" customHeight="1">
      <c r="A369" t="inlineStr">
        <is>
          <t>A 17382-2024</t>
        </is>
      </c>
      <c r="B369" s="1" t="n">
        <v>45414.65855324074</v>
      </c>
      <c r="C369" s="1" t="n">
        <v>46136</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26051-2025</t>
        </is>
      </c>
      <c r="B370" s="1" t="n">
        <v>45804.74479166666</v>
      </c>
      <c r="C370" s="1" t="n">
        <v>46136</v>
      </c>
      <c r="D370" t="inlineStr">
        <is>
          <t>STOCKHOLMS LÄN</t>
        </is>
      </c>
      <c r="E370" t="inlineStr">
        <is>
          <t>NORRTÄLJE</t>
        </is>
      </c>
      <c r="G370" t="n">
        <v>3.2</v>
      </c>
      <c r="H370" t="n">
        <v>0</v>
      </c>
      <c r="I370" t="n">
        <v>0</v>
      </c>
      <c r="J370" t="n">
        <v>0</v>
      </c>
      <c r="K370" t="n">
        <v>0</v>
      </c>
      <c r="L370" t="n">
        <v>0</v>
      </c>
      <c r="M370" t="n">
        <v>0</v>
      </c>
      <c r="N370" t="n">
        <v>0</v>
      </c>
      <c r="O370" t="n">
        <v>0</v>
      </c>
      <c r="P370" t="n">
        <v>0</v>
      </c>
      <c r="Q370" t="n">
        <v>0</v>
      </c>
      <c r="R370" s="2" t="inlineStr"/>
    </row>
    <row r="371" ht="15" customHeight="1">
      <c r="A371" t="inlineStr">
        <is>
          <t>A 25557-2023</t>
        </is>
      </c>
      <c r="B371" s="1" t="n">
        <v>45089</v>
      </c>
      <c r="C371" s="1" t="n">
        <v>46136</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39238-2024</t>
        </is>
      </c>
      <c r="B372" s="1" t="n">
        <v>45549</v>
      </c>
      <c r="C372" s="1" t="n">
        <v>46136</v>
      </c>
      <c r="D372" t="inlineStr">
        <is>
          <t>STOCKHOLMS LÄN</t>
        </is>
      </c>
      <c r="E372" t="inlineStr">
        <is>
          <t>NORRTÄLJE</t>
        </is>
      </c>
      <c r="G372" t="n">
        <v>3.6</v>
      </c>
      <c r="H372" t="n">
        <v>0</v>
      </c>
      <c r="I372" t="n">
        <v>0</v>
      </c>
      <c r="J372" t="n">
        <v>0</v>
      </c>
      <c r="K372" t="n">
        <v>0</v>
      </c>
      <c r="L372" t="n">
        <v>0</v>
      </c>
      <c r="M372" t="n">
        <v>0</v>
      </c>
      <c r="N372" t="n">
        <v>0</v>
      </c>
      <c r="O372" t="n">
        <v>0</v>
      </c>
      <c r="P372" t="n">
        <v>0</v>
      </c>
      <c r="Q372" t="n">
        <v>0</v>
      </c>
      <c r="R372" s="2" t="inlineStr"/>
    </row>
    <row r="373" ht="15" customHeight="1">
      <c r="A373" t="inlineStr">
        <is>
          <t>A 38449-2022</t>
        </is>
      </c>
      <c r="B373" s="1" t="n">
        <v>44813</v>
      </c>
      <c r="C373" s="1" t="n">
        <v>46136</v>
      </c>
      <c r="D373" t="inlineStr">
        <is>
          <t>STOCKHOLMS LÄN</t>
        </is>
      </c>
      <c r="E373" t="inlineStr">
        <is>
          <t>NORRTÄLJE</t>
        </is>
      </c>
      <c r="G373" t="n">
        <v>4.2</v>
      </c>
      <c r="H373" t="n">
        <v>0</v>
      </c>
      <c r="I373" t="n">
        <v>0</v>
      </c>
      <c r="J373" t="n">
        <v>0</v>
      </c>
      <c r="K373" t="n">
        <v>0</v>
      </c>
      <c r="L373" t="n">
        <v>0</v>
      </c>
      <c r="M373" t="n">
        <v>0</v>
      </c>
      <c r="N373" t="n">
        <v>0</v>
      </c>
      <c r="O373" t="n">
        <v>0</v>
      </c>
      <c r="P373" t="n">
        <v>0</v>
      </c>
      <c r="Q373" t="n">
        <v>0</v>
      </c>
      <c r="R373" s="2" t="inlineStr"/>
    </row>
    <row r="374" ht="15" customHeight="1">
      <c r="A374" t="inlineStr">
        <is>
          <t>A 693-2026</t>
        </is>
      </c>
      <c r="B374" s="1" t="n">
        <v>46029.6133449074</v>
      </c>
      <c r="C374" s="1" t="n">
        <v>46136</v>
      </c>
      <c r="D374" t="inlineStr">
        <is>
          <t>STOCKHOLMS LÄN</t>
        </is>
      </c>
      <c r="E374" t="inlineStr">
        <is>
          <t>NORRTÄLJE</t>
        </is>
      </c>
      <c r="G374" t="n">
        <v>9.6</v>
      </c>
      <c r="H374" t="n">
        <v>0</v>
      </c>
      <c r="I374" t="n">
        <v>0</v>
      </c>
      <c r="J374" t="n">
        <v>0</v>
      </c>
      <c r="K374" t="n">
        <v>0</v>
      </c>
      <c r="L374" t="n">
        <v>0</v>
      </c>
      <c r="M374" t="n">
        <v>0</v>
      </c>
      <c r="N374" t="n">
        <v>0</v>
      </c>
      <c r="O374" t="n">
        <v>0</v>
      </c>
      <c r="P374" t="n">
        <v>0</v>
      </c>
      <c r="Q374" t="n">
        <v>0</v>
      </c>
      <c r="R374" s="2" t="inlineStr"/>
    </row>
    <row r="375" ht="15" customHeight="1">
      <c r="A375" t="inlineStr">
        <is>
          <t>A 25697-2025</t>
        </is>
      </c>
      <c r="B375" s="1" t="n">
        <v>45803.66587962963</v>
      </c>
      <c r="C375" s="1" t="n">
        <v>46136</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812-2026</t>
        </is>
      </c>
      <c r="B376" s="1" t="n">
        <v>46030.33358796296</v>
      </c>
      <c r="C376" s="1" t="n">
        <v>46136</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9914-2023</t>
        </is>
      </c>
      <c r="B377" s="1" t="n">
        <v>44985</v>
      </c>
      <c r="C377" s="1" t="n">
        <v>46136</v>
      </c>
      <c r="D377" t="inlineStr">
        <is>
          <t>STOCKHOLMS LÄN</t>
        </is>
      </c>
      <c r="E377" t="inlineStr">
        <is>
          <t>NORRTÄLJE</t>
        </is>
      </c>
      <c r="G377" t="n">
        <v>4.2</v>
      </c>
      <c r="H377" t="n">
        <v>0</v>
      </c>
      <c r="I377" t="n">
        <v>0</v>
      </c>
      <c r="J377" t="n">
        <v>0</v>
      </c>
      <c r="K377" t="n">
        <v>0</v>
      </c>
      <c r="L377" t="n">
        <v>0</v>
      </c>
      <c r="M377" t="n">
        <v>0</v>
      </c>
      <c r="N377" t="n">
        <v>0</v>
      </c>
      <c r="O377" t="n">
        <v>0</v>
      </c>
      <c r="P377" t="n">
        <v>0</v>
      </c>
      <c r="Q377" t="n">
        <v>0</v>
      </c>
      <c r="R377" s="2" t="inlineStr"/>
    </row>
    <row r="378" ht="15" customHeight="1">
      <c r="A378" t="inlineStr">
        <is>
          <t>A 717-2026</t>
        </is>
      </c>
      <c r="B378" s="1" t="n">
        <v>46029.63028935185</v>
      </c>
      <c r="C378" s="1" t="n">
        <v>46136</v>
      </c>
      <c r="D378" t="inlineStr">
        <is>
          <t>STOCKHOLMS LÄN</t>
        </is>
      </c>
      <c r="E378" t="inlineStr">
        <is>
          <t>NORRTÄLJE</t>
        </is>
      </c>
      <c r="G378" t="n">
        <v>2.4</v>
      </c>
      <c r="H378" t="n">
        <v>0</v>
      </c>
      <c r="I378" t="n">
        <v>0</v>
      </c>
      <c r="J378" t="n">
        <v>0</v>
      </c>
      <c r="K378" t="n">
        <v>0</v>
      </c>
      <c r="L378" t="n">
        <v>0</v>
      </c>
      <c r="M378" t="n">
        <v>0</v>
      </c>
      <c r="N378" t="n">
        <v>0</v>
      </c>
      <c r="O378" t="n">
        <v>0</v>
      </c>
      <c r="P378" t="n">
        <v>0</v>
      </c>
      <c r="Q378" t="n">
        <v>0</v>
      </c>
      <c r="R378" s="2" t="inlineStr"/>
    </row>
    <row r="379" ht="15" customHeight="1">
      <c r="A379" t="inlineStr">
        <is>
          <t>A 60525-2022</t>
        </is>
      </c>
      <c r="B379" s="1" t="n">
        <v>44904</v>
      </c>
      <c r="C379" s="1" t="n">
        <v>46136</v>
      </c>
      <c r="D379" t="inlineStr">
        <is>
          <t>STOCKHOLMS LÄN</t>
        </is>
      </c>
      <c r="E379" t="inlineStr">
        <is>
          <t>NORRTÄLJE</t>
        </is>
      </c>
      <c r="G379" t="n">
        <v>13.4</v>
      </c>
      <c r="H379" t="n">
        <v>0</v>
      </c>
      <c r="I379" t="n">
        <v>0</v>
      </c>
      <c r="J379" t="n">
        <v>0</v>
      </c>
      <c r="K379" t="n">
        <v>0</v>
      </c>
      <c r="L379" t="n">
        <v>0</v>
      </c>
      <c r="M379" t="n">
        <v>0</v>
      </c>
      <c r="N379" t="n">
        <v>0</v>
      </c>
      <c r="O379" t="n">
        <v>0</v>
      </c>
      <c r="P379" t="n">
        <v>0</v>
      </c>
      <c r="Q379" t="n">
        <v>0</v>
      </c>
      <c r="R379" s="2" t="inlineStr"/>
    </row>
    <row r="380" ht="15" customHeight="1">
      <c r="A380" t="inlineStr">
        <is>
          <t>A 475-2026</t>
        </is>
      </c>
      <c r="B380" s="1" t="n">
        <v>46029.39351851852</v>
      </c>
      <c r="C380" s="1" t="n">
        <v>46136</v>
      </c>
      <c r="D380" t="inlineStr">
        <is>
          <t>STOCKHOLMS LÄN</t>
        </is>
      </c>
      <c r="E380" t="inlineStr">
        <is>
          <t>NORRTÄLJE</t>
        </is>
      </c>
      <c r="G380" t="n">
        <v>4.6</v>
      </c>
      <c r="H380" t="n">
        <v>0</v>
      </c>
      <c r="I380" t="n">
        <v>0</v>
      </c>
      <c r="J380" t="n">
        <v>0</v>
      </c>
      <c r="K380" t="n">
        <v>0</v>
      </c>
      <c r="L380" t="n">
        <v>0</v>
      </c>
      <c r="M380" t="n">
        <v>0</v>
      </c>
      <c r="N380" t="n">
        <v>0</v>
      </c>
      <c r="O380" t="n">
        <v>0</v>
      </c>
      <c r="P380" t="n">
        <v>0</v>
      </c>
      <c r="Q380" t="n">
        <v>0</v>
      </c>
      <c r="R380" s="2" t="inlineStr"/>
    </row>
    <row r="381" ht="15" customHeight="1">
      <c r="A381" t="inlineStr">
        <is>
          <t>A 47259-2024</t>
        </is>
      </c>
      <c r="B381" s="1" t="n">
        <v>45586</v>
      </c>
      <c r="C381" s="1" t="n">
        <v>46136</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58302-2022</t>
        </is>
      </c>
      <c r="B382" s="1" t="n">
        <v>44901</v>
      </c>
      <c r="C382" s="1" t="n">
        <v>46136</v>
      </c>
      <c r="D382" t="inlineStr">
        <is>
          <t>STOCKHOLMS LÄN</t>
        </is>
      </c>
      <c r="E382" t="inlineStr">
        <is>
          <t>NORRTÄLJE</t>
        </is>
      </c>
      <c r="G382" t="n">
        <v>3.9</v>
      </c>
      <c r="H382" t="n">
        <v>0</v>
      </c>
      <c r="I382" t="n">
        <v>0</v>
      </c>
      <c r="J382" t="n">
        <v>0</v>
      </c>
      <c r="K382" t="n">
        <v>0</v>
      </c>
      <c r="L382" t="n">
        <v>0</v>
      </c>
      <c r="M382" t="n">
        <v>0</v>
      </c>
      <c r="N382" t="n">
        <v>0</v>
      </c>
      <c r="O382" t="n">
        <v>0</v>
      </c>
      <c r="P382" t="n">
        <v>0</v>
      </c>
      <c r="Q382" t="n">
        <v>0</v>
      </c>
      <c r="R382" s="2" t="inlineStr"/>
    </row>
    <row r="383" ht="15" customHeight="1">
      <c r="A383" t="inlineStr">
        <is>
          <t>A 1789-2026</t>
        </is>
      </c>
      <c r="B383" s="1" t="n">
        <v>46034</v>
      </c>
      <c r="C383" s="1" t="n">
        <v>46136</v>
      </c>
      <c r="D383" t="inlineStr">
        <is>
          <t>STOCKHOLMS LÄN</t>
        </is>
      </c>
      <c r="E383" t="inlineStr">
        <is>
          <t>NORRTÄLJE</t>
        </is>
      </c>
      <c r="G383" t="n">
        <v>1.4</v>
      </c>
      <c r="H383" t="n">
        <v>0</v>
      </c>
      <c r="I383" t="n">
        <v>0</v>
      </c>
      <c r="J383" t="n">
        <v>0</v>
      </c>
      <c r="K383" t="n">
        <v>0</v>
      </c>
      <c r="L383" t="n">
        <v>0</v>
      </c>
      <c r="M383" t="n">
        <v>0</v>
      </c>
      <c r="N383" t="n">
        <v>0</v>
      </c>
      <c r="O383" t="n">
        <v>0</v>
      </c>
      <c r="P383" t="n">
        <v>0</v>
      </c>
      <c r="Q383" t="n">
        <v>0</v>
      </c>
      <c r="R383" s="2" t="inlineStr"/>
    </row>
    <row r="384" ht="15" customHeight="1">
      <c r="A384" t="inlineStr">
        <is>
          <t>A 23269-2023</t>
        </is>
      </c>
      <c r="B384" s="1" t="n">
        <v>45075.91148148148</v>
      </c>
      <c r="C384" s="1" t="n">
        <v>46136</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26675-2025</t>
        </is>
      </c>
      <c r="B385" s="1" t="n">
        <v>45810.42393518519</v>
      </c>
      <c r="C385" s="1" t="n">
        <v>46136</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65499-2021</t>
        </is>
      </c>
      <c r="B386" s="1" t="n">
        <v>44516</v>
      </c>
      <c r="C386" s="1" t="n">
        <v>46136</v>
      </c>
      <c r="D386" t="inlineStr">
        <is>
          <t>STOCKHOLMS LÄN</t>
        </is>
      </c>
      <c r="E386" t="inlineStr">
        <is>
          <t>NORRTÄLJE</t>
        </is>
      </c>
      <c r="F386" t="inlineStr">
        <is>
          <t>Kommuner</t>
        </is>
      </c>
      <c r="G386" t="n">
        <v>5.2</v>
      </c>
      <c r="H386" t="n">
        <v>0</v>
      </c>
      <c r="I386" t="n">
        <v>0</v>
      </c>
      <c r="J386" t="n">
        <v>0</v>
      </c>
      <c r="K386" t="n">
        <v>0</v>
      </c>
      <c r="L386" t="n">
        <v>0</v>
      </c>
      <c r="M386" t="n">
        <v>0</v>
      </c>
      <c r="N386" t="n">
        <v>0</v>
      </c>
      <c r="O386" t="n">
        <v>0</v>
      </c>
      <c r="P386" t="n">
        <v>0</v>
      </c>
      <c r="Q386" t="n">
        <v>0</v>
      </c>
      <c r="R386" s="2" t="inlineStr"/>
    </row>
    <row r="387" ht="15" customHeight="1">
      <c r="A387" t="inlineStr">
        <is>
          <t>A 1755-2026</t>
        </is>
      </c>
      <c r="B387" s="1" t="n">
        <v>46034.66230324074</v>
      </c>
      <c r="C387" s="1" t="n">
        <v>46136</v>
      </c>
      <c r="D387" t="inlineStr">
        <is>
          <t>STOCKHOLMS LÄN</t>
        </is>
      </c>
      <c r="E387" t="inlineStr">
        <is>
          <t>NORRTÄLJE</t>
        </is>
      </c>
      <c r="F387" t="inlineStr">
        <is>
          <t>Holmen skog AB</t>
        </is>
      </c>
      <c r="G387" t="n">
        <v>3.5</v>
      </c>
      <c r="H387" t="n">
        <v>0</v>
      </c>
      <c r="I387" t="n">
        <v>0</v>
      </c>
      <c r="J387" t="n">
        <v>0</v>
      </c>
      <c r="K387" t="n">
        <v>0</v>
      </c>
      <c r="L387" t="n">
        <v>0</v>
      </c>
      <c r="M387" t="n">
        <v>0</v>
      </c>
      <c r="N387" t="n">
        <v>0</v>
      </c>
      <c r="O387" t="n">
        <v>0</v>
      </c>
      <c r="P387" t="n">
        <v>0</v>
      </c>
      <c r="Q387" t="n">
        <v>0</v>
      </c>
      <c r="R387" s="2" t="inlineStr"/>
    </row>
    <row r="388" ht="15" customHeight="1">
      <c r="A388" t="inlineStr">
        <is>
          <t>A 23060-2023</t>
        </is>
      </c>
      <c r="B388" s="1" t="n">
        <v>45075</v>
      </c>
      <c r="C388" s="1" t="n">
        <v>46136</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23061-2025</t>
        </is>
      </c>
      <c r="B389" s="1" t="n">
        <v>45790.81410879629</v>
      </c>
      <c r="C389" s="1" t="n">
        <v>46136</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2088-2026</t>
        </is>
      </c>
      <c r="B390" s="1" t="n">
        <v>46036.35909722222</v>
      </c>
      <c r="C390" s="1" t="n">
        <v>46136</v>
      </c>
      <c r="D390" t="inlineStr">
        <is>
          <t>STOCKHOLMS LÄN</t>
        </is>
      </c>
      <c r="E390" t="inlineStr">
        <is>
          <t>NORRTÄLJE</t>
        </is>
      </c>
      <c r="G390" t="n">
        <v>7</v>
      </c>
      <c r="H390" t="n">
        <v>0</v>
      </c>
      <c r="I390" t="n">
        <v>0</v>
      </c>
      <c r="J390" t="n">
        <v>0</v>
      </c>
      <c r="K390" t="n">
        <v>0</v>
      </c>
      <c r="L390" t="n">
        <v>0</v>
      </c>
      <c r="M390" t="n">
        <v>0</v>
      </c>
      <c r="N390" t="n">
        <v>0</v>
      </c>
      <c r="O390" t="n">
        <v>0</v>
      </c>
      <c r="P390" t="n">
        <v>0</v>
      </c>
      <c r="Q390" t="n">
        <v>0</v>
      </c>
      <c r="R390" s="2" t="inlineStr"/>
    </row>
    <row r="391" ht="15" customHeight="1">
      <c r="A391" t="inlineStr">
        <is>
          <t>A 2116-2026</t>
        </is>
      </c>
      <c r="B391" s="1" t="n">
        <v>46036.38108796296</v>
      </c>
      <c r="C391" s="1" t="n">
        <v>46136</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52743-2024</t>
        </is>
      </c>
      <c r="B392" s="1" t="n">
        <v>45610.47414351852</v>
      </c>
      <c r="C392" s="1" t="n">
        <v>46136</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26747-2025</t>
        </is>
      </c>
      <c r="B393" s="1" t="n">
        <v>45810.5333912037</v>
      </c>
      <c r="C393" s="1" t="n">
        <v>46136</v>
      </c>
      <c r="D393" t="inlineStr">
        <is>
          <t>STOCKHOLMS LÄN</t>
        </is>
      </c>
      <c r="E393" t="inlineStr">
        <is>
          <t>NORRTÄLJE</t>
        </is>
      </c>
      <c r="G393" t="n">
        <v>1.9</v>
      </c>
      <c r="H393" t="n">
        <v>0</v>
      </c>
      <c r="I393" t="n">
        <v>0</v>
      </c>
      <c r="J393" t="n">
        <v>0</v>
      </c>
      <c r="K393" t="n">
        <v>0</v>
      </c>
      <c r="L393" t="n">
        <v>0</v>
      </c>
      <c r="M393" t="n">
        <v>0</v>
      </c>
      <c r="N393" t="n">
        <v>0</v>
      </c>
      <c r="O393" t="n">
        <v>0</v>
      </c>
      <c r="P393" t="n">
        <v>0</v>
      </c>
      <c r="Q393" t="n">
        <v>0</v>
      </c>
      <c r="R393" s="2" t="inlineStr"/>
    </row>
    <row r="394" ht="15" customHeight="1">
      <c r="A394" t="inlineStr">
        <is>
          <t>A 11499-2023</t>
        </is>
      </c>
      <c r="B394" s="1" t="n">
        <v>44993.66707175926</v>
      </c>
      <c r="C394" s="1" t="n">
        <v>46136</v>
      </c>
      <c r="D394" t="inlineStr">
        <is>
          <t>STOCKHOLMS LÄN</t>
        </is>
      </c>
      <c r="E394" t="inlineStr">
        <is>
          <t>NORRTÄLJE</t>
        </is>
      </c>
      <c r="F394" t="inlineStr">
        <is>
          <t>Holmen skog AB</t>
        </is>
      </c>
      <c r="G394" t="n">
        <v>2.8</v>
      </c>
      <c r="H394" t="n">
        <v>0</v>
      </c>
      <c r="I394" t="n">
        <v>0</v>
      </c>
      <c r="J394" t="n">
        <v>0</v>
      </c>
      <c r="K394" t="n">
        <v>0</v>
      </c>
      <c r="L394" t="n">
        <v>0</v>
      </c>
      <c r="M394" t="n">
        <v>0</v>
      </c>
      <c r="N394" t="n">
        <v>0</v>
      </c>
      <c r="O394" t="n">
        <v>0</v>
      </c>
      <c r="P394" t="n">
        <v>0</v>
      </c>
      <c r="Q394" t="n">
        <v>0</v>
      </c>
      <c r="R394" s="2" t="inlineStr"/>
    </row>
    <row r="395" ht="15" customHeight="1">
      <c r="A395" t="inlineStr">
        <is>
          <t>A 26702-2025</t>
        </is>
      </c>
      <c r="B395" s="1" t="n">
        <v>45810.45236111111</v>
      </c>
      <c r="C395" s="1" t="n">
        <v>46136</v>
      </c>
      <c r="D395" t="inlineStr">
        <is>
          <t>STOCKHOLMS LÄN</t>
        </is>
      </c>
      <c r="E395" t="inlineStr">
        <is>
          <t>NORRTÄLJE</t>
        </is>
      </c>
      <c r="G395" t="n">
        <v>7.3</v>
      </c>
      <c r="H395" t="n">
        <v>0</v>
      </c>
      <c r="I395" t="n">
        <v>0</v>
      </c>
      <c r="J395" t="n">
        <v>0</v>
      </c>
      <c r="K395" t="n">
        <v>0</v>
      </c>
      <c r="L395" t="n">
        <v>0</v>
      </c>
      <c r="M395" t="n">
        <v>0</v>
      </c>
      <c r="N395" t="n">
        <v>0</v>
      </c>
      <c r="O395" t="n">
        <v>0</v>
      </c>
      <c r="P395" t="n">
        <v>0</v>
      </c>
      <c r="Q395" t="n">
        <v>0</v>
      </c>
      <c r="R395" s="2" t="inlineStr"/>
    </row>
    <row r="396" ht="15" customHeight="1">
      <c r="A396" t="inlineStr">
        <is>
          <t>A 64600-2021</t>
        </is>
      </c>
      <c r="B396" s="1" t="n">
        <v>44511.70518518519</v>
      </c>
      <c r="C396" s="1" t="n">
        <v>46136</v>
      </c>
      <c r="D396" t="inlineStr">
        <is>
          <t>STOCKHOLMS LÄN</t>
        </is>
      </c>
      <c r="E396" t="inlineStr">
        <is>
          <t>NORRTÄLJE</t>
        </is>
      </c>
      <c r="G396" t="n">
        <v>6.2</v>
      </c>
      <c r="H396" t="n">
        <v>0</v>
      </c>
      <c r="I396" t="n">
        <v>0</v>
      </c>
      <c r="J396" t="n">
        <v>0</v>
      </c>
      <c r="K396" t="n">
        <v>0</v>
      </c>
      <c r="L396" t="n">
        <v>0</v>
      </c>
      <c r="M396" t="n">
        <v>0</v>
      </c>
      <c r="N396" t="n">
        <v>0</v>
      </c>
      <c r="O396" t="n">
        <v>0</v>
      </c>
      <c r="P396" t="n">
        <v>0</v>
      </c>
      <c r="Q396" t="n">
        <v>0</v>
      </c>
      <c r="R396" s="2" t="inlineStr"/>
    </row>
    <row r="397" ht="15" customHeight="1">
      <c r="A397" t="inlineStr">
        <is>
          <t>A 35640-2024</t>
        </is>
      </c>
      <c r="B397" s="1" t="n">
        <v>45531</v>
      </c>
      <c r="C397" s="1" t="n">
        <v>46136</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8586-2023</t>
        </is>
      </c>
      <c r="B398" s="1" t="n">
        <v>44977</v>
      </c>
      <c r="C398" s="1" t="n">
        <v>46136</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67990-2021</t>
        </is>
      </c>
      <c r="B399" s="1" t="n">
        <v>44525</v>
      </c>
      <c r="C399" s="1" t="n">
        <v>46136</v>
      </c>
      <c r="D399" t="inlineStr">
        <is>
          <t>STOCKHOLMS LÄN</t>
        </is>
      </c>
      <c r="E399" t="inlineStr">
        <is>
          <t>NORRTÄLJE</t>
        </is>
      </c>
      <c r="F399" t="inlineStr">
        <is>
          <t>Sveaskog</t>
        </is>
      </c>
      <c r="G399" t="n">
        <v>7.8</v>
      </c>
      <c r="H399" t="n">
        <v>0</v>
      </c>
      <c r="I399" t="n">
        <v>0</v>
      </c>
      <c r="J399" t="n">
        <v>0</v>
      </c>
      <c r="K399" t="n">
        <v>0</v>
      </c>
      <c r="L399" t="n">
        <v>0</v>
      </c>
      <c r="M399" t="n">
        <v>0</v>
      </c>
      <c r="N399" t="n">
        <v>0</v>
      </c>
      <c r="O399" t="n">
        <v>0</v>
      </c>
      <c r="P399" t="n">
        <v>0</v>
      </c>
      <c r="Q399" t="n">
        <v>0</v>
      </c>
      <c r="R399" s="2" t="inlineStr"/>
    </row>
    <row r="400" ht="15" customHeight="1">
      <c r="A400" t="inlineStr">
        <is>
          <t>A 26708-2025</t>
        </is>
      </c>
      <c r="B400" s="1" t="n">
        <v>45810.45633101852</v>
      </c>
      <c r="C400" s="1" t="n">
        <v>46136</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27040-2025</t>
        </is>
      </c>
      <c r="B401" s="1" t="n">
        <v>45811.60451388889</v>
      </c>
      <c r="C401" s="1" t="n">
        <v>46136</v>
      </c>
      <c r="D401" t="inlineStr">
        <is>
          <t>STOCKHOLMS LÄN</t>
        </is>
      </c>
      <c r="E401" t="inlineStr">
        <is>
          <t>NORRTÄLJE</t>
        </is>
      </c>
      <c r="G401" t="n">
        <v>4.3</v>
      </c>
      <c r="H401" t="n">
        <v>0</v>
      </c>
      <c r="I401" t="n">
        <v>0</v>
      </c>
      <c r="J401" t="n">
        <v>0</v>
      </c>
      <c r="K401" t="n">
        <v>0</v>
      </c>
      <c r="L401" t="n">
        <v>0</v>
      </c>
      <c r="M401" t="n">
        <v>0</v>
      </c>
      <c r="N401" t="n">
        <v>0</v>
      </c>
      <c r="O401" t="n">
        <v>0</v>
      </c>
      <c r="P401" t="n">
        <v>0</v>
      </c>
      <c r="Q401" t="n">
        <v>0</v>
      </c>
      <c r="R401" s="2" t="inlineStr"/>
    </row>
    <row r="402" ht="15" customHeight="1">
      <c r="A402" t="inlineStr">
        <is>
          <t>A 21696-2024</t>
        </is>
      </c>
      <c r="B402" s="1" t="n">
        <v>45442.45686342593</v>
      </c>
      <c r="C402" s="1" t="n">
        <v>46136</v>
      </c>
      <c r="D402" t="inlineStr">
        <is>
          <t>STOCKHOLMS LÄN</t>
        </is>
      </c>
      <c r="E402" t="inlineStr">
        <is>
          <t>NORRTÄLJE</t>
        </is>
      </c>
      <c r="G402" t="n">
        <v>2.9</v>
      </c>
      <c r="H402" t="n">
        <v>0</v>
      </c>
      <c r="I402" t="n">
        <v>0</v>
      </c>
      <c r="J402" t="n">
        <v>0</v>
      </c>
      <c r="K402" t="n">
        <v>0</v>
      </c>
      <c r="L402" t="n">
        <v>0</v>
      </c>
      <c r="M402" t="n">
        <v>0</v>
      </c>
      <c r="N402" t="n">
        <v>0</v>
      </c>
      <c r="O402" t="n">
        <v>0</v>
      </c>
      <c r="P402" t="n">
        <v>0</v>
      </c>
      <c r="Q402" t="n">
        <v>0</v>
      </c>
      <c r="R402" s="2" t="inlineStr"/>
    </row>
    <row r="403" ht="15" customHeight="1">
      <c r="A403" t="inlineStr">
        <is>
          <t>A 37136-2023</t>
        </is>
      </c>
      <c r="B403" s="1" t="n">
        <v>45155</v>
      </c>
      <c r="C403" s="1" t="n">
        <v>46136</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39149-2025</t>
        </is>
      </c>
      <c r="B404" s="1" t="n">
        <v>45888.60714120371</v>
      </c>
      <c r="C404" s="1" t="n">
        <v>46136</v>
      </c>
      <c r="D404" t="inlineStr">
        <is>
          <t>STOCKHOLMS LÄN</t>
        </is>
      </c>
      <c r="E404" t="inlineStr">
        <is>
          <t>NORRTÄLJE</t>
        </is>
      </c>
      <c r="G404" t="n">
        <v>3.5</v>
      </c>
      <c r="H404" t="n">
        <v>0</v>
      </c>
      <c r="I404" t="n">
        <v>0</v>
      </c>
      <c r="J404" t="n">
        <v>0</v>
      </c>
      <c r="K404" t="n">
        <v>0</v>
      </c>
      <c r="L404" t="n">
        <v>0</v>
      </c>
      <c r="M404" t="n">
        <v>0</v>
      </c>
      <c r="N404" t="n">
        <v>0</v>
      </c>
      <c r="O404" t="n">
        <v>0</v>
      </c>
      <c r="P404" t="n">
        <v>0</v>
      </c>
      <c r="Q404" t="n">
        <v>0</v>
      </c>
      <c r="R404" s="2" t="inlineStr"/>
    </row>
    <row r="405" ht="15" customHeight="1">
      <c r="A405" t="inlineStr">
        <is>
          <t>A 3549-2026</t>
        </is>
      </c>
      <c r="B405" s="1" t="n">
        <v>46042</v>
      </c>
      <c r="C405" s="1" t="n">
        <v>46136</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38720-2025</t>
        </is>
      </c>
      <c r="B406" s="1" t="n">
        <v>45886</v>
      </c>
      <c r="C406" s="1" t="n">
        <v>46136</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1740-2023</t>
        </is>
      </c>
      <c r="B407" s="1" t="n">
        <v>44938</v>
      </c>
      <c r="C407" s="1" t="n">
        <v>46136</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27697-2025</t>
        </is>
      </c>
      <c r="B408" s="1" t="n">
        <v>45813.66961805556</v>
      </c>
      <c r="C408" s="1" t="n">
        <v>46136</v>
      </c>
      <c r="D408" t="inlineStr">
        <is>
          <t>STOCKHOLMS LÄN</t>
        </is>
      </c>
      <c r="E408" t="inlineStr">
        <is>
          <t>NORRTÄLJE</t>
        </is>
      </c>
      <c r="G408" t="n">
        <v>6.2</v>
      </c>
      <c r="H408" t="n">
        <v>0</v>
      </c>
      <c r="I408" t="n">
        <v>0</v>
      </c>
      <c r="J408" t="n">
        <v>0</v>
      </c>
      <c r="K408" t="n">
        <v>0</v>
      </c>
      <c r="L408" t="n">
        <v>0</v>
      </c>
      <c r="M408" t="n">
        <v>0</v>
      </c>
      <c r="N408" t="n">
        <v>0</v>
      </c>
      <c r="O408" t="n">
        <v>0</v>
      </c>
      <c r="P408" t="n">
        <v>0</v>
      </c>
      <c r="Q408" t="n">
        <v>0</v>
      </c>
      <c r="R408" s="2" t="inlineStr"/>
    </row>
    <row r="409" ht="15" customHeight="1">
      <c r="A409" t="inlineStr">
        <is>
          <t>A 27700-2025</t>
        </is>
      </c>
      <c r="B409" s="1" t="n">
        <v>45813.6799537037</v>
      </c>
      <c r="C409" s="1" t="n">
        <v>46136</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27554-2025</t>
        </is>
      </c>
      <c r="B410" s="1" t="n">
        <v>45813.4709375</v>
      </c>
      <c r="C410" s="1" t="n">
        <v>46136</v>
      </c>
      <c r="D410" t="inlineStr">
        <is>
          <t>STOCKHOLMS LÄN</t>
        </is>
      </c>
      <c r="E410" t="inlineStr">
        <is>
          <t>NORRTÄLJE</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4231-2026</t>
        </is>
      </c>
      <c r="B411" s="1" t="n">
        <v>46044</v>
      </c>
      <c r="C411" s="1" t="n">
        <v>46136</v>
      </c>
      <c r="D411" t="inlineStr">
        <is>
          <t>STOCKHOLMS LÄN</t>
        </is>
      </c>
      <c r="E411" t="inlineStr">
        <is>
          <t>NORRTÄLJE</t>
        </is>
      </c>
      <c r="G411" t="n">
        <v>2.9</v>
      </c>
      <c r="H411" t="n">
        <v>0</v>
      </c>
      <c r="I411" t="n">
        <v>0</v>
      </c>
      <c r="J411" t="n">
        <v>0</v>
      </c>
      <c r="K411" t="n">
        <v>0</v>
      </c>
      <c r="L411" t="n">
        <v>0</v>
      </c>
      <c r="M411" t="n">
        <v>0</v>
      </c>
      <c r="N411" t="n">
        <v>0</v>
      </c>
      <c r="O411" t="n">
        <v>0</v>
      </c>
      <c r="P411" t="n">
        <v>0</v>
      </c>
      <c r="Q411" t="n">
        <v>0</v>
      </c>
      <c r="R411" s="2" t="inlineStr"/>
    </row>
    <row r="412" ht="15" customHeight="1">
      <c r="A412" t="inlineStr">
        <is>
          <t>A 4235-2026</t>
        </is>
      </c>
      <c r="B412" s="1" t="n">
        <v>46044</v>
      </c>
      <c r="C412" s="1" t="n">
        <v>46136</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11901-2024</t>
        </is>
      </c>
      <c r="B413" s="1" t="n">
        <v>45376.55638888889</v>
      </c>
      <c r="C413" s="1" t="n">
        <v>46136</v>
      </c>
      <c r="D413" t="inlineStr">
        <is>
          <t>STOCKHOLMS LÄN</t>
        </is>
      </c>
      <c r="E413" t="inlineStr">
        <is>
          <t>NORRTÄLJE</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5423-2023</t>
        </is>
      </c>
      <c r="B414" s="1" t="n">
        <v>44959.74533564815</v>
      </c>
      <c r="C414" s="1" t="n">
        <v>46136</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4227-2026</t>
        </is>
      </c>
      <c r="B415" s="1" t="n">
        <v>46044</v>
      </c>
      <c r="C415" s="1" t="n">
        <v>46136</v>
      </c>
      <c r="D415" t="inlineStr">
        <is>
          <t>STOCKHOLMS LÄN</t>
        </is>
      </c>
      <c r="E415" t="inlineStr">
        <is>
          <t>NORRTÄLJE</t>
        </is>
      </c>
      <c r="G415" t="n">
        <v>3.6</v>
      </c>
      <c r="H415" t="n">
        <v>0</v>
      </c>
      <c r="I415" t="n">
        <v>0</v>
      </c>
      <c r="J415" t="n">
        <v>0</v>
      </c>
      <c r="K415" t="n">
        <v>0</v>
      </c>
      <c r="L415" t="n">
        <v>0</v>
      </c>
      <c r="M415" t="n">
        <v>0</v>
      </c>
      <c r="N415" t="n">
        <v>0</v>
      </c>
      <c r="O415" t="n">
        <v>0</v>
      </c>
      <c r="P415" t="n">
        <v>0</v>
      </c>
      <c r="Q415" t="n">
        <v>0</v>
      </c>
      <c r="R415" s="2" t="inlineStr"/>
    </row>
    <row r="416" ht="15" customHeight="1">
      <c r="A416" t="inlineStr">
        <is>
          <t>A 58492-2022</t>
        </is>
      </c>
      <c r="B416" s="1" t="n">
        <v>44902</v>
      </c>
      <c r="C416" s="1" t="n">
        <v>46136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27802-2025</t>
        </is>
      </c>
      <c r="B417" s="1" t="n">
        <v>45817.2565625</v>
      </c>
      <c r="C417" s="1" t="n">
        <v>46136</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27806-2025</t>
        </is>
      </c>
      <c r="B418" s="1" t="n">
        <v>45817.30329861111</v>
      </c>
      <c r="C418" s="1" t="n">
        <v>46136</v>
      </c>
      <c r="D418" t="inlineStr">
        <is>
          <t>STOCKHOLMS LÄN</t>
        </is>
      </c>
      <c r="E418" t="inlineStr">
        <is>
          <t>NORRTÄLJE</t>
        </is>
      </c>
      <c r="G418" t="n">
        <v>3</v>
      </c>
      <c r="H418" t="n">
        <v>0</v>
      </c>
      <c r="I418" t="n">
        <v>0</v>
      </c>
      <c r="J418" t="n">
        <v>0</v>
      </c>
      <c r="K418" t="n">
        <v>0</v>
      </c>
      <c r="L418" t="n">
        <v>0</v>
      </c>
      <c r="M418" t="n">
        <v>0</v>
      </c>
      <c r="N418" t="n">
        <v>0</v>
      </c>
      <c r="O418" t="n">
        <v>0</v>
      </c>
      <c r="P418" t="n">
        <v>0</v>
      </c>
      <c r="Q418" t="n">
        <v>0</v>
      </c>
      <c r="R418" s="2" t="inlineStr"/>
    </row>
    <row r="419" ht="15" customHeight="1">
      <c r="A419" t="inlineStr">
        <is>
          <t>A 27808-2025</t>
        </is>
      </c>
      <c r="B419" s="1" t="n">
        <v>45817.31085648148</v>
      </c>
      <c r="C419" s="1" t="n">
        <v>46136</v>
      </c>
      <c r="D419" t="inlineStr">
        <is>
          <t>STOCKHOLMS LÄN</t>
        </is>
      </c>
      <c r="E419" t="inlineStr">
        <is>
          <t>NORRTÄLJE</t>
        </is>
      </c>
      <c r="G419" t="n">
        <v>1.8</v>
      </c>
      <c r="H419" t="n">
        <v>0</v>
      </c>
      <c r="I419" t="n">
        <v>0</v>
      </c>
      <c r="J419" t="n">
        <v>0</v>
      </c>
      <c r="K419" t="n">
        <v>0</v>
      </c>
      <c r="L419" t="n">
        <v>0</v>
      </c>
      <c r="M419" t="n">
        <v>0</v>
      </c>
      <c r="N419" t="n">
        <v>0</v>
      </c>
      <c r="O419" t="n">
        <v>0</v>
      </c>
      <c r="P419" t="n">
        <v>0</v>
      </c>
      <c r="Q419" t="n">
        <v>0</v>
      </c>
      <c r="R419" s="2" t="inlineStr"/>
    </row>
    <row r="420" ht="15" customHeight="1">
      <c r="A420" t="inlineStr">
        <is>
          <t>A 27810-2025</t>
        </is>
      </c>
      <c r="B420" s="1" t="n">
        <v>45817.31708333334</v>
      </c>
      <c r="C420" s="1" t="n">
        <v>46136</v>
      </c>
      <c r="D420" t="inlineStr">
        <is>
          <t>STOCKHOLMS LÄN</t>
        </is>
      </c>
      <c r="E420" t="inlineStr">
        <is>
          <t>NORRTÄLJE</t>
        </is>
      </c>
      <c r="G420" t="n">
        <v>3.9</v>
      </c>
      <c r="H420" t="n">
        <v>0</v>
      </c>
      <c r="I420" t="n">
        <v>0</v>
      </c>
      <c r="J420" t="n">
        <v>0</v>
      </c>
      <c r="K420" t="n">
        <v>0</v>
      </c>
      <c r="L420" t="n">
        <v>0</v>
      </c>
      <c r="M420" t="n">
        <v>0</v>
      </c>
      <c r="N420" t="n">
        <v>0</v>
      </c>
      <c r="O420" t="n">
        <v>0</v>
      </c>
      <c r="P420" t="n">
        <v>0</v>
      </c>
      <c r="Q420" t="n">
        <v>0</v>
      </c>
      <c r="R420" s="2" t="inlineStr"/>
    </row>
    <row r="421" ht="15" customHeight="1">
      <c r="A421" t="inlineStr">
        <is>
          <t>A 27811-2025</t>
        </is>
      </c>
      <c r="B421" s="1" t="n">
        <v>45817.31986111111</v>
      </c>
      <c r="C421" s="1" t="n">
        <v>46136</v>
      </c>
      <c r="D421" t="inlineStr">
        <is>
          <t>STOCKHOLMS LÄN</t>
        </is>
      </c>
      <c r="E421" t="inlineStr">
        <is>
          <t>NORRTÄLJE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27818-2025</t>
        </is>
      </c>
      <c r="B422" s="1" t="n">
        <v>45817.33503472222</v>
      </c>
      <c r="C422" s="1" t="n">
        <v>46136</v>
      </c>
      <c r="D422" t="inlineStr">
        <is>
          <t>STOCKHOLMS LÄN</t>
        </is>
      </c>
      <c r="E422" t="inlineStr">
        <is>
          <t>NORRTÄLJE</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3933-2026</t>
        </is>
      </c>
      <c r="B423" s="1" t="n">
        <v>46043.79916666666</v>
      </c>
      <c r="C423" s="1" t="n">
        <v>46136</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15528-2025</t>
        </is>
      </c>
      <c r="B424" s="1" t="n">
        <v>45747.63471064815</v>
      </c>
      <c r="C424" s="1" t="n">
        <v>46136</v>
      </c>
      <c r="D424" t="inlineStr">
        <is>
          <t>STOCKHOLMS LÄN</t>
        </is>
      </c>
      <c r="E424" t="inlineStr">
        <is>
          <t>NORRTÄLJE</t>
        </is>
      </c>
      <c r="G424" t="n">
        <v>10</v>
      </c>
      <c r="H424" t="n">
        <v>0</v>
      </c>
      <c r="I424" t="n">
        <v>0</v>
      </c>
      <c r="J424" t="n">
        <v>0</v>
      </c>
      <c r="K424" t="n">
        <v>0</v>
      </c>
      <c r="L424" t="n">
        <v>0</v>
      </c>
      <c r="M424" t="n">
        <v>0</v>
      </c>
      <c r="N424" t="n">
        <v>0</v>
      </c>
      <c r="O424" t="n">
        <v>0</v>
      </c>
      <c r="P424" t="n">
        <v>0</v>
      </c>
      <c r="Q424" t="n">
        <v>0</v>
      </c>
      <c r="R424" s="2" t="inlineStr"/>
    </row>
    <row r="425" ht="15" customHeight="1">
      <c r="A425" t="inlineStr">
        <is>
          <t>A 27803-2025</t>
        </is>
      </c>
      <c r="B425" s="1" t="n">
        <v>45817.291875</v>
      </c>
      <c r="C425" s="1" t="n">
        <v>46136</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4581-2025</t>
        </is>
      </c>
      <c r="B426" s="1" t="n">
        <v>45687</v>
      </c>
      <c r="C426" s="1" t="n">
        <v>46136</v>
      </c>
      <c r="D426" t="inlineStr">
        <is>
          <t>STOCKHOLMS LÄN</t>
        </is>
      </c>
      <c r="E426" t="inlineStr">
        <is>
          <t>NORRTÄLJE</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27813-2025</t>
        </is>
      </c>
      <c r="B427" s="1" t="n">
        <v>45817.32538194444</v>
      </c>
      <c r="C427" s="1" t="n">
        <v>46136</v>
      </c>
      <c r="D427" t="inlineStr">
        <is>
          <t>STOCKHOLMS LÄN</t>
        </is>
      </c>
      <c r="E427" t="inlineStr">
        <is>
          <t>NORRTÄLJE</t>
        </is>
      </c>
      <c r="G427" t="n">
        <v>1.6</v>
      </c>
      <c r="H427" t="n">
        <v>0</v>
      </c>
      <c r="I427" t="n">
        <v>0</v>
      </c>
      <c r="J427" t="n">
        <v>0</v>
      </c>
      <c r="K427" t="n">
        <v>0</v>
      </c>
      <c r="L427" t="n">
        <v>0</v>
      </c>
      <c r="M427" t="n">
        <v>0</v>
      </c>
      <c r="N427" t="n">
        <v>0</v>
      </c>
      <c r="O427" t="n">
        <v>0</v>
      </c>
      <c r="P427" t="n">
        <v>0</v>
      </c>
      <c r="Q427" t="n">
        <v>0</v>
      </c>
      <c r="R427" s="2" t="inlineStr"/>
    </row>
    <row r="428" ht="15" customHeight="1">
      <c r="A428" t="inlineStr">
        <is>
          <t>A 4549-2026</t>
        </is>
      </c>
      <c r="B428" s="1" t="n">
        <v>46047</v>
      </c>
      <c r="C428" s="1" t="n">
        <v>46136</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27801-2025</t>
        </is>
      </c>
      <c r="B429" s="1" t="n">
        <v>45817.25471064815</v>
      </c>
      <c r="C429" s="1" t="n">
        <v>46136</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27821-2025</t>
        </is>
      </c>
      <c r="B430" s="1" t="n">
        <v>45817.34083333334</v>
      </c>
      <c r="C430" s="1" t="n">
        <v>46136</v>
      </c>
      <c r="D430" t="inlineStr">
        <is>
          <t>STOCKHOLMS LÄN</t>
        </is>
      </c>
      <c r="E430" t="inlineStr">
        <is>
          <t>NORRTÄLJE</t>
        </is>
      </c>
      <c r="G430" t="n">
        <v>3.2</v>
      </c>
      <c r="H430" t="n">
        <v>0</v>
      </c>
      <c r="I430" t="n">
        <v>0</v>
      </c>
      <c r="J430" t="n">
        <v>0</v>
      </c>
      <c r="K430" t="n">
        <v>0</v>
      </c>
      <c r="L430" t="n">
        <v>0</v>
      </c>
      <c r="M430" t="n">
        <v>0</v>
      </c>
      <c r="N430" t="n">
        <v>0</v>
      </c>
      <c r="O430" t="n">
        <v>0</v>
      </c>
      <c r="P430" t="n">
        <v>0</v>
      </c>
      <c r="Q430" t="n">
        <v>0</v>
      </c>
      <c r="R430" s="2" t="inlineStr"/>
    </row>
    <row r="431" ht="15" customHeight="1">
      <c r="A431" t="inlineStr">
        <is>
          <t>A 36157-2024</t>
        </is>
      </c>
      <c r="B431" s="1" t="n">
        <v>45534.38240740741</v>
      </c>
      <c r="C431" s="1" t="n">
        <v>46136</v>
      </c>
      <c r="D431" t="inlineStr">
        <is>
          <t>STOCKHOLMS LÄN</t>
        </is>
      </c>
      <c r="E431" t="inlineStr">
        <is>
          <t>NORRTÄLJE</t>
        </is>
      </c>
      <c r="F431" t="inlineStr">
        <is>
          <t>Övriga Aktiebolag</t>
        </is>
      </c>
      <c r="G431" t="n">
        <v>1.1</v>
      </c>
      <c r="H431" t="n">
        <v>0</v>
      </c>
      <c r="I431" t="n">
        <v>0</v>
      </c>
      <c r="J431" t="n">
        <v>0</v>
      </c>
      <c r="K431" t="n">
        <v>0</v>
      </c>
      <c r="L431" t="n">
        <v>0</v>
      </c>
      <c r="M431" t="n">
        <v>0</v>
      </c>
      <c r="N431" t="n">
        <v>0</v>
      </c>
      <c r="O431" t="n">
        <v>0</v>
      </c>
      <c r="P431" t="n">
        <v>0</v>
      </c>
      <c r="Q431" t="n">
        <v>0</v>
      </c>
      <c r="R431" s="2" t="inlineStr"/>
    </row>
    <row r="432" ht="15" customHeight="1">
      <c r="A432" t="inlineStr">
        <is>
          <t>A 62398-2022</t>
        </is>
      </c>
      <c r="B432" s="1" t="n">
        <v>44923.90159722222</v>
      </c>
      <c r="C432" s="1" t="n">
        <v>46136</v>
      </c>
      <c r="D432" t="inlineStr">
        <is>
          <t>STOCKHOLMS LÄN</t>
        </is>
      </c>
      <c r="E432" t="inlineStr">
        <is>
          <t>NORRTÄLJE</t>
        </is>
      </c>
      <c r="G432" t="n">
        <v>4</v>
      </c>
      <c r="H432" t="n">
        <v>0</v>
      </c>
      <c r="I432" t="n">
        <v>0</v>
      </c>
      <c r="J432" t="n">
        <v>0</v>
      </c>
      <c r="K432" t="n">
        <v>0</v>
      </c>
      <c r="L432" t="n">
        <v>0</v>
      </c>
      <c r="M432" t="n">
        <v>0</v>
      </c>
      <c r="N432" t="n">
        <v>0</v>
      </c>
      <c r="O432" t="n">
        <v>0</v>
      </c>
      <c r="P432" t="n">
        <v>0</v>
      </c>
      <c r="Q432" t="n">
        <v>0</v>
      </c>
      <c r="R432" s="2" t="inlineStr"/>
    </row>
    <row r="433" ht="15" customHeight="1">
      <c r="A433" t="inlineStr">
        <is>
          <t>A 4886-2026</t>
        </is>
      </c>
      <c r="B433" s="1" t="n">
        <v>46048.66328703704</v>
      </c>
      <c r="C433" s="1" t="n">
        <v>46136</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17039-2024</t>
        </is>
      </c>
      <c r="B434" s="1" t="n">
        <v>45412.4104050926</v>
      </c>
      <c r="C434" s="1" t="n">
        <v>46136</v>
      </c>
      <c r="D434" t="inlineStr">
        <is>
          <t>STOCKHOLMS LÄN</t>
        </is>
      </c>
      <c r="E434" t="inlineStr">
        <is>
          <t>NORRTÄLJE</t>
        </is>
      </c>
      <c r="G434" t="n">
        <v>5.9</v>
      </c>
      <c r="H434" t="n">
        <v>0</v>
      </c>
      <c r="I434" t="n">
        <v>0</v>
      </c>
      <c r="J434" t="n">
        <v>0</v>
      </c>
      <c r="K434" t="n">
        <v>0</v>
      </c>
      <c r="L434" t="n">
        <v>0</v>
      </c>
      <c r="M434" t="n">
        <v>0</v>
      </c>
      <c r="N434" t="n">
        <v>0</v>
      </c>
      <c r="O434" t="n">
        <v>0</v>
      </c>
      <c r="P434" t="n">
        <v>0</v>
      </c>
      <c r="Q434" t="n">
        <v>0</v>
      </c>
      <c r="R434" s="2" t="inlineStr"/>
    </row>
    <row r="435" ht="15" customHeight="1">
      <c r="A435" t="inlineStr">
        <is>
          <t>A 4230-2026</t>
        </is>
      </c>
      <c r="B435" s="1" t="n">
        <v>46044.89366898148</v>
      </c>
      <c r="C435" s="1" t="n">
        <v>46136</v>
      </c>
      <c r="D435" t="inlineStr">
        <is>
          <t>STOCKHOLMS LÄN</t>
        </is>
      </c>
      <c r="E435" t="inlineStr">
        <is>
          <t>NORRTÄLJE</t>
        </is>
      </c>
      <c r="G435" t="n">
        <v>10.8</v>
      </c>
      <c r="H435" t="n">
        <v>0</v>
      </c>
      <c r="I435" t="n">
        <v>0</v>
      </c>
      <c r="J435" t="n">
        <v>0</v>
      </c>
      <c r="K435" t="n">
        <v>0</v>
      </c>
      <c r="L435" t="n">
        <v>0</v>
      </c>
      <c r="M435" t="n">
        <v>0</v>
      </c>
      <c r="N435" t="n">
        <v>0</v>
      </c>
      <c r="O435" t="n">
        <v>0</v>
      </c>
      <c r="P435" t="n">
        <v>0</v>
      </c>
      <c r="Q435" t="n">
        <v>0</v>
      </c>
      <c r="R435" s="2" t="inlineStr"/>
    </row>
    <row r="436" ht="15" customHeight="1">
      <c r="A436" t="inlineStr">
        <is>
          <t>A 4232-2026</t>
        </is>
      </c>
      <c r="B436" s="1" t="n">
        <v>46044.89594907407</v>
      </c>
      <c r="C436" s="1" t="n">
        <v>46136</v>
      </c>
      <c r="D436" t="inlineStr">
        <is>
          <t>STOCKHOLMS LÄN</t>
        </is>
      </c>
      <c r="E436" t="inlineStr">
        <is>
          <t>NORRTÄLJE</t>
        </is>
      </c>
      <c r="G436" t="n">
        <v>3.8</v>
      </c>
      <c r="H436" t="n">
        <v>0</v>
      </c>
      <c r="I436" t="n">
        <v>0</v>
      </c>
      <c r="J436" t="n">
        <v>0</v>
      </c>
      <c r="K436" t="n">
        <v>0</v>
      </c>
      <c r="L436" t="n">
        <v>0</v>
      </c>
      <c r="M436" t="n">
        <v>0</v>
      </c>
      <c r="N436" t="n">
        <v>0</v>
      </c>
      <c r="O436" t="n">
        <v>0</v>
      </c>
      <c r="P436" t="n">
        <v>0</v>
      </c>
      <c r="Q436" t="n">
        <v>0</v>
      </c>
      <c r="R436" s="2" t="inlineStr"/>
    </row>
    <row r="437" ht="15" customHeight="1">
      <c r="A437" t="inlineStr">
        <is>
          <t>A 3509-2022</t>
        </is>
      </c>
      <c r="B437" s="1" t="n">
        <v>44585</v>
      </c>
      <c r="C437" s="1" t="n">
        <v>46136</v>
      </c>
      <c r="D437" t="inlineStr">
        <is>
          <t>STOCKHOLMS LÄN</t>
        </is>
      </c>
      <c r="E437" t="inlineStr">
        <is>
          <t>NORRTÄLJE</t>
        </is>
      </c>
      <c r="F437" t="inlineStr">
        <is>
          <t>Kommuner</t>
        </is>
      </c>
      <c r="G437" t="n">
        <v>0.8</v>
      </c>
      <c r="H437" t="n">
        <v>0</v>
      </c>
      <c r="I437" t="n">
        <v>0</v>
      </c>
      <c r="J437" t="n">
        <v>0</v>
      </c>
      <c r="K437" t="n">
        <v>0</v>
      </c>
      <c r="L437" t="n">
        <v>0</v>
      </c>
      <c r="M437" t="n">
        <v>0</v>
      </c>
      <c r="N437" t="n">
        <v>0</v>
      </c>
      <c r="O437" t="n">
        <v>0</v>
      </c>
      <c r="P437" t="n">
        <v>0</v>
      </c>
      <c r="Q437" t="n">
        <v>0</v>
      </c>
      <c r="R437" s="2" t="inlineStr"/>
    </row>
    <row r="438" ht="15" customHeight="1">
      <c r="A438" t="inlineStr">
        <is>
          <t>A 39152-2025</t>
        </is>
      </c>
      <c r="B438" s="1" t="n">
        <v>45888</v>
      </c>
      <c r="C438" s="1" t="n">
        <v>46136</v>
      </c>
      <c r="D438" t="inlineStr">
        <is>
          <t>STOCKHOLMS LÄN</t>
        </is>
      </c>
      <c r="E438" t="inlineStr">
        <is>
          <t>NORRTÄLJE</t>
        </is>
      </c>
      <c r="G438" t="n">
        <v>4.6</v>
      </c>
      <c r="H438" t="n">
        <v>0</v>
      </c>
      <c r="I438" t="n">
        <v>0</v>
      </c>
      <c r="J438" t="n">
        <v>0</v>
      </c>
      <c r="K438" t="n">
        <v>0</v>
      </c>
      <c r="L438" t="n">
        <v>0</v>
      </c>
      <c r="M438" t="n">
        <v>0</v>
      </c>
      <c r="N438" t="n">
        <v>0</v>
      </c>
      <c r="O438" t="n">
        <v>0</v>
      </c>
      <c r="P438" t="n">
        <v>0</v>
      </c>
      <c r="Q438" t="n">
        <v>0</v>
      </c>
      <c r="R438" s="2" t="inlineStr"/>
    </row>
    <row r="439" ht="15" customHeight="1">
      <c r="A439" t="inlineStr">
        <is>
          <t>A 7697-2025</t>
        </is>
      </c>
      <c r="B439" s="1" t="n">
        <v>45706.40086805556</v>
      </c>
      <c r="C439" s="1" t="n">
        <v>46136</v>
      </c>
      <c r="D439" t="inlineStr">
        <is>
          <t>STOCKHOLMS LÄN</t>
        </is>
      </c>
      <c r="E439" t="inlineStr">
        <is>
          <t>NORRTÄLJE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5241-2026</t>
        </is>
      </c>
      <c r="B440" s="1" t="n">
        <v>46049.86471064815</v>
      </c>
      <c r="C440" s="1" t="n">
        <v>46136</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39669-2024</t>
        </is>
      </c>
      <c r="B441" s="1" t="n">
        <v>45552.52827546297</v>
      </c>
      <c r="C441" s="1" t="n">
        <v>46136</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5224-2026</t>
        </is>
      </c>
      <c r="B442" s="1" t="n">
        <v>46049.79521990741</v>
      </c>
      <c r="C442" s="1" t="n">
        <v>46136</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5227-2026</t>
        </is>
      </c>
      <c r="B443" s="1" t="n">
        <v>46049.80460648148</v>
      </c>
      <c r="C443" s="1" t="n">
        <v>46136</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5226-2026</t>
        </is>
      </c>
      <c r="B444" s="1" t="n">
        <v>46049.79961805556</v>
      </c>
      <c r="C444" s="1" t="n">
        <v>46136</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2982-2023</t>
        </is>
      </c>
      <c r="B445" s="1" t="n">
        <v>44945.67409722223</v>
      </c>
      <c r="C445" s="1" t="n">
        <v>46136</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44075-2023</t>
        </is>
      </c>
      <c r="B446" s="1" t="n">
        <v>45188.41637731482</v>
      </c>
      <c r="C446" s="1" t="n">
        <v>46136</v>
      </c>
      <c r="D446" t="inlineStr">
        <is>
          <t>STOCKHOLMS LÄN</t>
        </is>
      </c>
      <c r="E446" t="inlineStr">
        <is>
          <t>NORRTÄLJE</t>
        </is>
      </c>
      <c r="F446" t="inlineStr">
        <is>
          <t>Holmen skog AB</t>
        </is>
      </c>
      <c r="G446" t="n">
        <v>2.4</v>
      </c>
      <c r="H446" t="n">
        <v>0</v>
      </c>
      <c r="I446" t="n">
        <v>0</v>
      </c>
      <c r="J446" t="n">
        <v>0</v>
      </c>
      <c r="K446" t="n">
        <v>0</v>
      </c>
      <c r="L446" t="n">
        <v>0</v>
      </c>
      <c r="M446" t="n">
        <v>0</v>
      </c>
      <c r="N446" t="n">
        <v>0</v>
      </c>
      <c r="O446" t="n">
        <v>0</v>
      </c>
      <c r="P446" t="n">
        <v>0</v>
      </c>
      <c r="Q446" t="n">
        <v>0</v>
      </c>
      <c r="R446" s="2" t="inlineStr"/>
    </row>
    <row r="447" ht="15" customHeight="1">
      <c r="A447" t="inlineStr">
        <is>
          <t>A 1448-2023</t>
        </is>
      </c>
      <c r="B447" s="1" t="n">
        <v>44937</v>
      </c>
      <c r="C447" s="1" t="n">
        <v>46136</v>
      </c>
      <c r="D447" t="inlineStr">
        <is>
          <t>STOCKHOLMS LÄN</t>
        </is>
      </c>
      <c r="E447" t="inlineStr">
        <is>
          <t>NORRTÄLJE</t>
        </is>
      </c>
      <c r="G447" t="n">
        <v>1.9</v>
      </c>
      <c r="H447" t="n">
        <v>0</v>
      </c>
      <c r="I447" t="n">
        <v>0</v>
      </c>
      <c r="J447" t="n">
        <v>0</v>
      </c>
      <c r="K447" t="n">
        <v>0</v>
      </c>
      <c r="L447" t="n">
        <v>0</v>
      </c>
      <c r="M447" t="n">
        <v>0</v>
      </c>
      <c r="N447" t="n">
        <v>0</v>
      </c>
      <c r="O447" t="n">
        <v>0</v>
      </c>
      <c r="P447" t="n">
        <v>0</v>
      </c>
      <c r="Q447" t="n">
        <v>0</v>
      </c>
      <c r="R447" s="2" t="inlineStr"/>
    </row>
    <row r="448" ht="15" customHeight="1">
      <c r="A448" t="inlineStr">
        <is>
          <t>A 35127-2023</t>
        </is>
      </c>
      <c r="B448" s="1" t="n">
        <v>45145.51</v>
      </c>
      <c r="C448" s="1" t="n">
        <v>46136</v>
      </c>
      <c r="D448" t="inlineStr">
        <is>
          <t>STOCKHOLMS LÄN</t>
        </is>
      </c>
      <c r="E448" t="inlineStr">
        <is>
          <t>NORRTÄLJE</t>
        </is>
      </c>
      <c r="G448" t="n">
        <v>4.7</v>
      </c>
      <c r="H448" t="n">
        <v>0</v>
      </c>
      <c r="I448" t="n">
        <v>0</v>
      </c>
      <c r="J448" t="n">
        <v>0</v>
      </c>
      <c r="K448" t="n">
        <v>0</v>
      </c>
      <c r="L448" t="n">
        <v>0</v>
      </c>
      <c r="M448" t="n">
        <v>0</v>
      </c>
      <c r="N448" t="n">
        <v>0</v>
      </c>
      <c r="O448" t="n">
        <v>0</v>
      </c>
      <c r="P448" t="n">
        <v>0</v>
      </c>
      <c r="Q448" t="n">
        <v>0</v>
      </c>
      <c r="R448" s="2" t="inlineStr"/>
    </row>
    <row r="449" ht="15" customHeight="1">
      <c r="A449" t="inlineStr">
        <is>
          <t>A 50136-2023</t>
        </is>
      </c>
      <c r="B449" s="1" t="n">
        <v>45215</v>
      </c>
      <c r="C449" s="1" t="n">
        <v>46136</v>
      </c>
      <c r="D449" t="inlineStr">
        <is>
          <t>STOCKHOLMS LÄN</t>
        </is>
      </c>
      <c r="E449" t="inlineStr">
        <is>
          <t>NORRTÄLJE</t>
        </is>
      </c>
      <c r="G449" t="n">
        <v>5.2</v>
      </c>
      <c r="H449" t="n">
        <v>0</v>
      </c>
      <c r="I449" t="n">
        <v>0</v>
      </c>
      <c r="J449" t="n">
        <v>0</v>
      </c>
      <c r="K449" t="n">
        <v>0</v>
      </c>
      <c r="L449" t="n">
        <v>0</v>
      </c>
      <c r="M449" t="n">
        <v>0</v>
      </c>
      <c r="N449" t="n">
        <v>0</v>
      </c>
      <c r="O449" t="n">
        <v>0</v>
      </c>
      <c r="P449" t="n">
        <v>0</v>
      </c>
      <c r="Q449" t="n">
        <v>0</v>
      </c>
      <c r="R449" s="2" t="inlineStr"/>
    </row>
    <row r="450" ht="15" customHeight="1">
      <c r="A450" t="inlineStr">
        <is>
          <t>A 11229-2022</t>
        </is>
      </c>
      <c r="B450" s="1" t="n">
        <v>44629</v>
      </c>
      <c r="C450" s="1" t="n">
        <v>46136</v>
      </c>
      <c r="D450" t="inlineStr">
        <is>
          <t>STOCKHOLMS LÄN</t>
        </is>
      </c>
      <c r="E450" t="inlineStr">
        <is>
          <t>NORRTÄLJE</t>
        </is>
      </c>
      <c r="F450" t="inlineStr">
        <is>
          <t>Övriga Aktiebolag</t>
        </is>
      </c>
      <c r="G450" t="n">
        <v>4.1</v>
      </c>
      <c r="H450" t="n">
        <v>0</v>
      </c>
      <c r="I450" t="n">
        <v>0</v>
      </c>
      <c r="J450" t="n">
        <v>0</v>
      </c>
      <c r="K450" t="n">
        <v>0</v>
      </c>
      <c r="L450" t="n">
        <v>0</v>
      </c>
      <c r="M450" t="n">
        <v>0</v>
      </c>
      <c r="N450" t="n">
        <v>0</v>
      </c>
      <c r="O450" t="n">
        <v>0</v>
      </c>
      <c r="P450" t="n">
        <v>0</v>
      </c>
      <c r="Q450" t="n">
        <v>0</v>
      </c>
      <c r="R450" s="2" t="inlineStr"/>
    </row>
    <row r="451" ht="15" customHeight="1">
      <c r="A451" t="inlineStr">
        <is>
          <t>A 9654-2022</t>
        </is>
      </c>
      <c r="B451" s="1" t="n">
        <v>44617</v>
      </c>
      <c r="C451" s="1" t="n">
        <v>46136</v>
      </c>
      <c r="D451" t="inlineStr">
        <is>
          <t>STOCKHOLMS LÄN</t>
        </is>
      </c>
      <c r="E451" t="inlineStr">
        <is>
          <t>NORRTÄLJE</t>
        </is>
      </c>
      <c r="G451" t="n">
        <v>6.4</v>
      </c>
      <c r="H451" t="n">
        <v>0</v>
      </c>
      <c r="I451" t="n">
        <v>0</v>
      </c>
      <c r="J451" t="n">
        <v>0</v>
      </c>
      <c r="K451" t="n">
        <v>0</v>
      </c>
      <c r="L451" t="n">
        <v>0</v>
      </c>
      <c r="M451" t="n">
        <v>0</v>
      </c>
      <c r="N451" t="n">
        <v>0</v>
      </c>
      <c r="O451" t="n">
        <v>0</v>
      </c>
      <c r="P451" t="n">
        <v>0</v>
      </c>
      <c r="Q451" t="n">
        <v>0</v>
      </c>
      <c r="R451" s="2" t="inlineStr"/>
    </row>
    <row r="452" ht="15" customHeight="1">
      <c r="A452" t="inlineStr">
        <is>
          <t>A 5389-2025</t>
        </is>
      </c>
      <c r="B452" s="1" t="n">
        <v>45692</v>
      </c>
      <c r="C452" s="1" t="n">
        <v>46136</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29250-2025</t>
        </is>
      </c>
      <c r="B453" s="1" t="n">
        <v>45824.37275462963</v>
      </c>
      <c r="C453" s="1" t="n">
        <v>46136</v>
      </c>
      <c r="D453" t="inlineStr">
        <is>
          <t>STOCKHOLMS LÄN</t>
        </is>
      </c>
      <c r="E453" t="inlineStr">
        <is>
          <t>NORRTÄLJE</t>
        </is>
      </c>
      <c r="F453" t="inlineStr">
        <is>
          <t>Sveaskog</t>
        </is>
      </c>
      <c r="G453" t="n">
        <v>6.4</v>
      </c>
      <c r="H453" t="n">
        <v>0</v>
      </c>
      <c r="I453" t="n">
        <v>0</v>
      </c>
      <c r="J453" t="n">
        <v>0</v>
      </c>
      <c r="K453" t="n">
        <v>0</v>
      </c>
      <c r="L453" t="n">
        <v>0</v>
      </c>
      <c r="M453" t="n">
        <v>0</v>
      </c>
      <c r="N453" t="n">
        <v>0</v>
      </c>
      <c r="O453" t="n">
        <v>0</v>
      </c>
      <c r="P453" t="n">
        <v>0</v>
      </c>
      <c r="Q453" t="n">
        <v>0</v>
      </c>
      <c r="R453" s="2" t="inlineStr"/>
    </row>
    <row r="454" ht="15" customHeight="1">
      <c r="A454" t="inlineStr">
        <is>
          <t>A 37147-2023</t>
        </is>
      </c>
      <c r="B454" s="1" t="n">
        <v>45155</v>
      </c>
      <c r="C454" s="1" t="n">
        <v>46136</v>
      </c>
      <c r="D454" t="inlineStr">
        <is>
          <t>STOCKHOLMS LÄN</t>
        </is>
      </c>
      <c r="E454" t="inlineStr">
        <is>
          <t>NORRTÄLJE</t>
        </is>
      </c>
      <c r="G454" t="n">
        <v>8</v>
      </c>
      <c r="H454" t="n">
        <v>0</v>
      </c>
      <c r="I454" t="n">
        <v>0</v>
      </c>
      <c r="J454" t="n">
        <v>0</v>
      </c>
      <c r="K454" t="n">
        <v>0</v>
      </c>
      <c r="L454" t="n">
        <v>0</v>
      </c>
      <c r="M454" t="n">
        <v>0</v>
      </c>
      <c r="N454" t="n">
        <v>0</v>
      </c>
      <c r="O454" t="n">
        <v>0</v>
      </c>
      <c r="P454" t="n">
        <v>0</v>
      </c>
      <c r="Q454" t="n">
        <v>0</v>
      </c>
      <c r="R454" s="2" t="inlineStr"/>
    </row>
    <row r="455" ht="15" customHeight="1">
      <c r="A455" t="inlineStr">
        <is>
          <t>A 59499-2023</t>
        </is>
      </c>
      <c r="B455" s="1" t="n">
        <v>45254</v>
      </c>
      <c r="C455" s="1" t="n">
        <v>46136</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60654-2023</t>
        </is>
      </c>
      <c r="B456" s="1" t="n">
        <v>45260.43225694444</v>
      </c>
      <c r="C456" s="1" t="n">
        <v>46136</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60656-2023</t>
        </is>
      </c>
      <c r="B457" s="1" t="n">
        <v>45260.4333449074</v>
      </c>
      <c r="C457" s="1" t="n">
        <v>46136</v>
      </c>
      <c r="D457" t="inlineStr">
        <is>
          <t>STOCKHOLMS LÄN</t>
        </is>
      </c>
      <c r="E457" t="inlineStr">
        <is>
          <t>NORRTÄLJE</t>
        </is>
      </c>
      <c r="G457" t="n">
        <v>4.8</v>
      </c>
      <c r="H457" t="n">
        <v>0</v>
      </c>
      <c r="I457" t="n">
        <v>0</v>
      </c>
      <c r="J457" t="n">
        <v>0</v>
      </c>
      <c r="K457" t="n">
        <v>0</v>
      </c>
      <c r="L457" t="n">
        <v>0</v>
      </c>
      <c r="M457" t="n">
        <v>0</v>
      </c>
      <c r="N457" t="n">
        <v>0</v>
      </c>
      <c r="O457" t="n">
        <v>0</v>
      </c>
      <c r="P457" t="n">
        <v>0</v>
      </c>
      <c r="Q457" t="n">
        <v>0</v>
      </c>
      <c r="R457" s="2" t="inlineStr"/>
    </row>
    <row r="458" ht="15" customHeight="1">
      <c r="A458" t="inlineStr">
        <is>
          <t>A 13544-2026</t>
        </is>
      </c>
      <c r="B458" s="1" t="n">
        <v>46094.68538194444</v>
      </c>
      <c r="C458" s="1" t="n">
        <v>46136</v>
      </c>
      <c r="D458" t="inlineStr">
        <is>
          <t>STOCKHOLMS LÄN</t>
        </is>
      </c>
      <c r="E458" t="inlineStr">
        <is>
          <t>NORRTÄLJE</t>
        </is>
      </c>
      <c r="F458" t="inlineStr">
        <is>
          <t>Holmen skog AB</t>
        </is>
      </c>
      <c r="G458" t="n">
        <v>3.2</v>
      </c>
      <c r="H458" t="n">
        <v>0</v>
      </c>
      <c r="I458" t="n">
        <v>0</v>
      </c>
      <c r="J458" t="n">
        <v>0</v>
      </c>
      <c r="K458" t="n">
        <v>0</v>
      </c>
      <c r="L458" t="n">
        <v>0</v>
      </c>
      <c r="M458" t="n">
        <v>0</v>
      </c>
      <c r="N458" t="n">
        <v>0</v>
      </c>
      <c r="O458" t="n">
        <v>0</v>
      </c>
      <c r="P458" t="n">
        <v>0</v>
      </c>
      <c r="Q458" t="n">
        <v>0</v>
      </c>
      <c r="R458" s="2" t="inlineStr"/>
    </row>
    <row r="459" ht="15" customHeight="1">
      <c r="A459" t="inlineStr">
        <is>
          <t>A 13546-2026</t>
        </is>
      </c>
      <c r="B459" s="1" t="n">
        <v>46094.69196759259</v>
      </c>
      <c r="C459" s="1" t="n">
        <v>46136</v>
      </c>
      <c r="D459" t="inlineStr">
        <is>
          <t>STOCKHOLMS LÄN</t>
        </is>
      </c>
      <c r="E459" t="inlineStr">
        <is>
          <t>NORRTÄLJE</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22697-2022</t>
        </is>
      </c>
      <c r="B460" s="1" t="n">
        <v>44714.56040509259</v>
      </c>
      <c r="C460" s="1" t="n">
        <v>46136</v>
      </c>
      <c r="D460" t="inlineStr">
        <is>
          <t>STOCKHOLMS LÄN</t>
        </is>
      </c>
      <c r="E460" t="inlineStr">
        <is>
          <t>NORRTÄLJE</t>
        </is>
      </c>
      <c r="G460" t="n">
        <v>5.6</v>
      </c>
      <c r="H460" t="n">
        <v>0</v>
      </c>
      <c r="I460" t="n">
        <v>0</v>
      </c>
      <c r="J460" t="n">
        <v>0</v>
      </c>
      <c r="K460" t="n">
        <v>0</v>
      </c>
      <c r="L460" t="n">
        <v>0</v>
      </c>
      <c r="M460" t="n">
        <v>0</v>
      </c>
      <c r="N460" t="n">
        <v>0</v>
      </c>
      <c r="O460" t="n">
        <v>0</v>
      </c>
      <c r="P460" t="n">
        <v>0</v>
      </c>
      <c r="Q460" t="n">
        <v>0</v>
      </c>
      <c r="R460" s="2" t="inlineStr"/>
    </row>
    <row r="461" ht="15" customHeight="1">
      <c r="A461" t="inlineStr">
        <is>
          <t>A 5934-2026</t>
        </is>
      </c>
      <c r="B461" s="1" t="n">
        <v>46052.47082175926</v>
      </c>
      <c r="C461" s="1" t="n">
        <v>46136</v>
      </c>
      <c r="D461" t="inlineStr">
        <is>
          <t>STOCKHOLMS LÄN</t>
        </is>
      </c>
      <c r="E461" t="inlineStr">
        <is>
          <t>NORRTÄLJE</t>
        </is>
      </c>
      <c r="F461" t="inlineStr">
        <is>
          <t>Holmen skog AB</t>
        </is>
      </c>
      <c r="G461" t="n">
        <v>5.5</v>
      </c>
      <c r="H461" t="n">
        <v>0</v>
      </c>
      <c r="I461" t="n">
        <v>0</v>
      </c>
      <c r="J461" t="n">
        <v>0</v>
      </c>
      <c r="K461" t="n">
        <v>0</v>
      </c>
      <c r="L461" t="n">
        <v>0</v>
      </c>
      <c r="M461" t="n">
        <v>0</v>
      </c>
      <c r="N461" t="n">
        <v>0</v>
      </c>
      <c r="O461" t="n">
        <v>0</v>
      </c>
      <c r="P461" t="n">
        <v>0</v>
      </c>
      <c r="Q461" t="n">
        <v>0</v>
      </c>
      <c r="R461" s="2" t="inlineStr"/>
    </row>
    <row r="462" ht="15" customHeight="1">
      <c r="A462" t="inlineStr">
        <is>
          <t>A 13545-2026</t>
        </is>
      </c>
      <c r="B462" s="1" t="n">
        <v>46094.6911574074</v>
      </c>
      <c r="C462" s="1" t="n">
        <v>46136</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39610-2025</t>
        </is>
      </c>
      <c r="B463" s="1" t="n">
        <v>45890</v>
      </c>
      <c r="C463" s="1" t="n">
        <v>46136</v>
      </c>
      <c r="D463" t="inlineStr">
        <is>
          <t>STOCKHOLMS LÄN</t>
        </is>
      </c>
      <c r="E463" t="inlineStr">
        <is>
          <t>NORRTÄLJE</t>
        </is>
      </c>
      <c r="G463" t="n">
        <v>28.6</v>
      </c>
      <c r="H463" t="n">
        <v>0</v>
      </c>
      <c r="I463" t="n">
        <v>0</v>
      </c>
      <c r="J463" t="n">
        <v>0</v>
      </c>
      <c r="K463" t="n">
        <v>0</v>
      </c>
      <c r="L463" t="n">
        <v>0</v>
      </c>
      <c r="M463" t="n">
        <v>0</v>
      </c>
      <c r="N463" t="n">
        <v>0</v>
      </c>
      <c r="O463" t="n">
        <v>0</v>
      </c>
      <c r="P463" t="n">
        <v>0</v>
      </c>
      <c r="Q463" t="n">
        <v>0</v>
      </c>
      <c r="R463" s="2" t="inlineStr"/>
    </row>
    <row r="464" ht="15" customHeight="1">
      <c r="A464" t="inlineStr">
        <is>
          <t>A 6701-2026</t>
        </is>
      </c>
      <c r="B464" s="1" t="n">
        <v>46056</v>
      </c>
      <c r="C464" s="1" t="n">
        <v>46136</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48180-2023</t>
        </is>
      </c>
      <c r="B465" s="1" t="n">
        <v>45205</v>
      </c>
      <c r="C465" s="1" t="n">
        <v>46136</v>
      </c>
      <c r="D465" t="inlineStr">
        <is>
          <t>STOCKHOLMS LÄN</t>
        </is>
      </c>
      <c r="E465" t="inlineStr">
        <is>
          <t>NORRTÄLJE</t>
        </is>
      </c>
      <c r="G465" t="n">
        <v>1.5</v>
      </c>
      <c r="H465" t="n">
        <v>0</v>
      </c>
      <c r="I465" t="n">
        <v>0</v>
      </c>
      <c r="J465" t="n">
        <v>0</v>
      </c>
      <c r="K465" t="n">
        <v>0</v>
      </c>
      <c r="L465" t="n">
        <v>0</v>
      </c>
      <c r="M465" t="n">
        <v>0</v>
      </c>
      <c r="N465" t="n">
        <v>0</v>
      </c>
      <c r="O465" t="n">
        <v>0</v>
      </c>
      <c r="P465" t="n">
        <v>0</v>
      </c>
      <c r="Q465" t="n">
        <v>0</v>
      </c>
      <c r="R465" s="2" t="inlineStr"/>
    </row>
    <row r="466" ht="15" customHeight="1">
      <c r="A466" t="inlineStr">
        <is>
          <t>A 57353-2024</t>
        </is>
      </c>
      <c r="B466" s="1" t="n">
        <v>45629.65143518519</v>
      </c>
      <c r="C466" s="1" t="n">
        <v>46136</v>
      </c>
      <c r="D466" t="inlineStr">
        <is>
          <t>STOCKHOLMS LÄN</t>
        </is>
      </c>
      <c r="E466" t="inlineStr">
        <is>
          <t>NORRTÄLJE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55696-2022</t>
        </is>
      </c>
      <c r="B467" s="1" t="n">
        <v>44888</v>
      </c>
      <c r="C467" s="1" t="n">
        <v>46136</v>
      </c>
      <c r="D467" t="inlineStr">
        <is>
          <t>STOCKHOLMS LÄN</t>
        </is>
      </c>
      <c r="E467" t="inlineStr">
        <is>
          <t>NORRTÄLJE</t>
        </is>
      </c>
      <c r="G467" t="n">
        <v>2.2</v>
      </c>
      <c r="H467" t="n">
        <v>0</v>
      </c>
      <c r="I467" t="n">
        <v>0</v>
      </c>
      <c r="J467" t="n">
        <v>0</v>
      </c>
      <c r="K467" t="n">
        <v>0</v>
      </c>
      <c r="L467" t="n">
        <v>0</v>
      </c>
      <c r="M467" t="n">
        <v>0</v>
      </c>
      <c r="N467" t="n">
        <v>0</v>
      </c>
      <c r="O467" t="n">
        <v>0</v>
      </c>
      <c r="P467" t="n">
        <v>0</v>
      </c>
      <c r="Q467" t="n">
        <v>0</v>
      </c>
      <c r="R467" s="2" t="inlineStr"/>
    </row>
    <row r="468" ht="15" customHeight="1">
      <c r="A468" t="inlineStr">
        <is>
          <t>A 50907-2022</t>
        </is>
      </c>
      <c r="B468" s="1" t="n">
        <v>44867.62090277778</v>
      </c>
      <c r="C468" s="1" t="n">
        <v>46136</v>
      </c>
      <c r="D468" t="inlineStr">
        <is>
          <t>STOCKHOLMS LÄN</t>
        </is>
      </c>
      <c r="E468" t="inlineStr">
        <is>
          <t>NORRTÄLJE</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6919-2025</t>
        </is>
      </c>
      <c r="B469" s="1" t="n">
        <v>45701.44372685185</v>
      </c>
      <c r="C469" s="1" t="n">
        <v>46136</v>
      </c>
      <c r="D469" t="inlineStr">
        <is>
          <t>STOCKHOLMS LÄN</t>
        </is>
      </c>
      <c r="E469" t="inlineStr">
        <is>
          <t>NORRTÄLJE</t>
        </is>
      </c>
      <c r="G469" t="n">
        <v>3.5</v>
      </c>
      <c r="H469" t="n">
        <v>0</v>
      </c>
      <c r="I469" t="n">
        <v>0</v>
      </c>
      <c r="J469" t="n">
        <v>0</v>
      </c>
      <c r="K469" t="n">
        <v>0</v>
      </c>
      <c r="L469" t="n">
        <v>0</v>
      </c>
      <c r="M469" t="n">
        <v>0</v>
      </c>
      <c r="N469" t="n">
        <v>0</v>
      </c>
      <c r="O469" t="n">
        <v>0</v>
      </c>
      <c r="P469" t="n">
        <v>0</v>
      </c>
      <c r="Q469" t="n">
        <v>0</v>
      </c>
      <c r="R469" s="2" t="inlineStr"/>
    </row>
    <row r="470" ht="15" customHeight="1">
      <c r="A470" t="inlineStr">
        <is>
          <t>A 53362-2023</t>
        </is>
      </c>
      <c r="B470" s="1" t="n">
        <v>45223</v>
      </c>
      <c r="C470" s="1" t="n">
        <v>46136</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30668-2025</t>
        </is>
      </c>
      <c r="B471" s="1" t="n">
        <v>45831.51659722222</v>
      </c>
      <c r="C471" s="1" t="n">
        <v>46136</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8433-2022</t>
        </is>
      </c>
      <c r="B472" s="1" t="n">
        <v>44611</v>
      </c>
      <c r="C472" s="1" t="n">
        <v>46136</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6724-2026</t>
        </is>
      </c>
      <c r="B473" s="1" t="n">
        <v>46056.67717592593</v>
      </c>
      <c r="C473" s="1" t="n">
        <v>46136</v>
      </c>
      <c r="D473" t="inlineStr">
        <is>
          <t>STOCKHOLMS LÄN</t>
        </is>
      </c>
      <c r="E473" t="inlineStr">
        <is>
          <t>NORRTÄLJE</t>
        </is>
      </c>
      <c r="F473" t="inlineStr">
        <is>
          <t>Holmen skog AB</t>
        </is>
      </c>
      <c r="G473" t="n">
        <v>16.2</v>
      </c>
      <c r="H473" t="n">
        <v>0</v>
      </c>
      <c r="I473" t="n">
        <v>0</v>
      </c>
      <c r="J473" t="n">
        <v>0</v>
      </c>
      <c r="K473" t="n">
        <v>0</v>
      </c>
      <c r="L473" t="n">
        <v>0</v>
      </c>
      <c r="M473" t="n">
        <v>0</v>
      </c>
      <c r="N473" t="n">
        <v>0</v>
      </c>
      <c r="O473" t="n">
        <v>0</v>
      </c>
      <c r="P473" t="n">
        <v>0</v>
      </c>
      <c r="Q473" t="n">
        <v>0</v>
      </c>
      <c r="R473" s="2" t="inlineStr"/>
    </row>
    <row r="474" ht="15" customHeight="1">
      <c r="A474" t="inlineStr">
        <is>
          <t>A 10215-2023</t>
        </is>
      </c>
      <c r="B474" s="1" t="n">
        <v>44986.5887962963</v>
      </c>
      <c r="C474" s="1" t="n">
        <v>46136</v>
      </c>
      <c r="D474" t="inlineStr">
        <is>
          <t>STOCKHOLMS LÄN</t>
        </is>
      </c>
      <c r="E474" t="inlineStr">
        <is>
          <t>NORRTÄLJE</t>
        </is>
      </c>
      <c r="G474" t="n">
        <v>6.5</v>
      </c>
      <c r="H474" t="n">
        <v>0</v>
      </c>
      <c r="I474" t="n">
        <v>0</v>
      </c>
      <c r="J474" t="n">
        <v>0</v>
      </c>
      <c r="K474" t="n">
        <v>0</v>
      </c>
      <c r="L474" t="n">
        <v>0</v>
      </c>
      <c r="M474" t="n">
        <v>0</v>
      </c>
      <c r="N474" t="n">
        <v>0</v>
      </c>
      <c r="O474" t="n">
        <v>0</v>
      </c>
      <c r="P474" t="n">
        <v>0</v>
      </c>
      <c r="Q474" t="n">
        <v>0</v>
      </c>
      <c r="R474" s="2" t="inlineStr"/>
    </row>
    <row r="475" ht="15" customHeight="1">
      <c r="A475" t="inlineStr">
        <is>
          <t>A 30639-2025</t>
        </is>
      </c>
      <c r="B475" s="1" t="n">
        <v>45831.4844212963</v>
      </c>
      <c r="C475" s="1" t="n">
        <v>46136</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31170-2025</t>
        </is>
      </c>
      <c r="B476" s="1" t="n">
        <v>45832.66385416667</v>
      </c>
      <c r="C476" s="1" t="n">
        <v>46136</v>
      </c>
      <c r="D476" t="inlineStr">
        <is>
          <t>STOCKHOLMS LÄN</t>
        </is>
      </c>
      <c r="E476" t="inlineStr">
        <is>
          <t>NORRTÄLJE</t>
        </is>
      </c>
      <c r="G476" t="n">
        <v>2.7</v>
      </c>
      <c r="H476" t="n">
        <v>0</v>
      </c>
      <c r="I476" t="n">
        <v>0</v>
      </c>
      <c r="J476" t="n">
        <v>0</v>
      </c>
      <c r="K476" t="n">
        <v>0</v>
      </c>
      <c r="L476" t="n">
        <v>0</v>
      </c>
      <c r="M476" t="n">
        <v>0</v>
      </c>
      <c r="N476" t="n">
        <v>0</v>
      </c>
      <c r="O476" t="n">
        <v>0</v>
      </c>
      <c r="P476" t="n">
        <v>0</v>
      </c>
      <c r="Q476" t="n">
        <v>0</v>
      </c>
      <c r="R476" s="2" t="inlineStr"/>
    </row>
    <row r="477" ht="15" customHeight="1">
      <c r="A477" t="inlineStr">
        <is>
          <t>A 39692-2025</t>
        </is>
      </c>
      <c r="B477" s="1" t="n">
        <v>45890.68083333333</v>
      </c>
      <c r="C477" s="1" t="n">
        <v>46136</v>
      </c>
      <c r="D477" t="inlineStr">
        <is>
          <t>STOCKHOLMS LÄN</t>
        </is>
      </c>
      <c r="E477" t="inlineStr">
        <is>
          <t>NORRTÄLJE</t>
        </is>
      </c>
      <c r="G477" t="n">
        <v>10.5</v>
      </c>
      <c r="H477" t="n">
        <v>0</v>
      </c>
      <c r="I477" t="n">
        <v>0</v>
      </c>
      <c r="J477" t="n">
        <v>0</v>
      </c>
      <c r="K477" t="n">
        <v>0</v>
      </c>
      <c r="L477" t="n">
        <v>0</v>
      </c>
      <c r="M477" t="n">
        <v>0</v>
      </c>
      <c r="N477" t="n">
        <v>0</v>
      </c>
      <c r="O477" t="n">
        <v>0</v>
      </c>
      <c r="P477" t="n">
        <v>0</v>
      </c>
      <c r="Q477" t="n">
        <v>0</v>
      </c>
      <c r="R477" s="2" t="inlineStr"/>
    </row>
    <row r="478" ht="15" customHeight="1">
      <c r="A478" t="inlineStr">
        <is>
          <t>A 6532-2026</t>
        </is>
      </c>
      <c r="B478" s="1" t="n">
        <v>46056.41300925926</v>
      </c>
      <c r="C478" s="1" t="n">
        <v>46136</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14127-2025</t>
        </is>
      </c>
      <c r="B479" s="1" t="n">
        <v>45740.47055555556</v>
      </c>
      <c r="C479" s="1" t="n">
        <v>46136</v>
      </c>
      <c r="D479" t="inlineStr">
        <is>
          <t>STOCKHOLMS LÄN</t>
        </is>
      </c>
      <c r="E479" t="inlineStr">
        <is>
          <t>NORRTÄLJE</t>
        </is>
      </c>
      <c r="G479" t="n">
        <v>1</v>
      </c>
      <c r="H479" t="n">
        <v>0</v>
      </c>
      <c r="I479" t="n">
        <v>0</v>
      </c>
      <c r="J479" t="n">
        <v>0</v>
      </c>
      <c r="K479" t="n">
        <v>0</v>
      </c>
      <c r="L479" t="n">
        <v>0</v>
      </c>
      <c r="M479" t="n">
        <v>0</v>
      </c>
      <c r="N479" t="n">
        <v>0</v>
      </c>
      <c r="O479" t="n">
        <v>0</v>
      </c>
      <c r="P479" t="n">
        <v>0</v>
      </c>
      <c r="Q479" t="n">
        <v>0</v>
      </c>
      <c r="R479" s="2" t="inlineStr"/>
    </row>
    <row r="480" ht="15" customHeight="1">
      <c r="A480" t="inlineStr">
        <is>
          <t>A 27677-2025</t>
        </is>
      </c>
      <c r="B480" s="1" t="n">
        <v>45813.63650462963</v>
      </c>
      <c r="C480" s="1" t="n">
        <v>46136</v>
      </c>
      <c r="D480" t="inlineStr">
        <is>
          <t>STOCKHOLMS LÄN</t>
        </is>
      </c>
      <c r="E480" t="inlineStr">
        <is>
          <t>NORRTÄLJE</t>
        </is>
      </c>
      <c r="G480" t="n">
        <v>2</v>
      </c>
      <c r="H480" t="n">
        <v>0</v>
      </c>
      <c r="I480" t="n">
        <v>0</v>
      </c>
      <c r="J480" t="n">
        <v>0</v>
      </c>
      <c r="K480" t="n">
        <v>0</v>
      </c>
      <c r="L480" t="n">
        <v>0</v>
      </c>
      <c r="M480" t="n">
        <v>0</v>
      </c>
      <c r="N480" t="n">
        <v>0</v>
      </c>
      <c r="O480" t="n">
        <v>0</v>
      </c>
      <c r="P480" t="n">
        <v>0</v>
      </c>
      <c r="Q480" t="n">
        <v>0</v>
      </c>
      <c r="R480" s="2" t="inlineStr"/>
    </row>
    <row r="481" ht="15" customHeight="1">
      <c r="A481" t="inlineStr">
        <is>
          <t>A 31559-2022</t>
        </is>
      </c>
      <c r="B481" s="1" t="n">
        <v>44775</v>
      </c>
      <c r="C481" s="1" t="n">
        <v>46136</v>
      </c>
      <c r="D481" t="inlineStr">
        <is>
          <t>STOCKHOLMS LÄN</t>
        </is>
      </c>
      <c r="E481" t="inlineStr">
        <is>
          <t>NORRTÄLJE</t>
        </is>
      </c>
      <c r="G481" t="n">
        <v>5.6</v>
      </c>
      <c r="H481" t="n">
        <v>0</v>
      </c>
      <c r="I481" t="n">
        <v>0</v>
      </c>
      <c r="J481" t="n">
        <v>0</v>
      </c>
      <c r="K481" t="n">
        <v>0</v>
      </c>
      <c r="L481" t="n">
        <v>0</v>
      </c>
      <c r="M481" t="n">
        <v>0</v>
      </c>
      <c r="N481" t="n">
        <v>0</v>
      </c>
      <c r="O481" t="n">
        <v>0</v>
      </c>
      <c r="P481" t="n">
        <v>0</v>
      </c>
      <c r="Q481" t="n">
        <v>0</v>
      </c>
      <c r="R481" s="2" t="inlineStr"/>
    </row>
    <row r="482" ht="15" customHeight="1">
      <c r="A482" t="inlineStr">
        <is>
          <t>A 7308-2026</t>
        </is>
      </c>
      <c r="B482" s="1" t="n">
        <v>46058.66025462963</v>
      </c>
      <c r="C482" s="1" t="n">
        <v>46136</v>
      </c>
      <c r="D482" t="inlineStr">
        <is>
          <t>STOCKHOLMS LÄN</t>
        </is>
      </c>
      <c r="E482" t="inlineStr">
        <is>
          <t>NORRTÄLJE</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52001-2023</t>
        </is>
      </c>
      <c r="B483" s="1" t="n">
        <v>45223</v>
      </c>
      <c r="C483" s="1" t="n">
        <v>46136</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31874-2025</t>
        </is>
      </c>
      <c r="B484" s="1" t="n">
        <v>45834</v>
      </c>
      <c r="C484" s="1" t="n">
        <v>46136</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14348-2026</t>
        </is>
      </c>
      <c r="B485" s="1" t="n">
        <v>46100.34112268518</v>
      </c>
      <c r="C485" s="1" t="n">
        <v>46136</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6838-2026</t>
        </is>
      </c>
      <c r="B486" s="1" t="n">
        <v>46057.41151620371</v>
      </c>
      <c r="C486" s="1" t="n">
        <v>46136</v>
      </c>
      <c r="D486" t="inlineStr">
        <is>
          <t>STOCKHOLMS LÄN</t>
        </is>
      </c>
      <c r="E486" t="inlineStr">
        <is>
          <t>NORRTÄLJE</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31868-2025</t>
        </is>
      </c>
      <c r="B487" s="1" t="n">
        <v>45834.6447337963</v>
      </c>
      <c r="C487" s="1" t="n">
        <v>46136</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14475-2026</t>
        </is>
      </c>
      <c r="B488" s="1" t="n">
        <v>46100.57251157407</v>
      </c>
      <c r="C488" s="1" t="n">
        <v>46136</v>
      </c>
      <c r="D488" t="inlineStr">
        <is>
          <t>STOCKHOLMS LÄN</t>
        </is>
      </c>
      <c r="E488" t="inlineStr">
        <is>
          <t>NORRTÄLJE</t>
        </is>
      </c>
      <c r="G488" t="n">
        <v>12.3</v>
      </c>
      <c r="H488" t="n">
        <v>0</v>
      </c>
      <c r="I488" t="n">
        <v>0</v>
      </c>
      <c r="J488" t="n">
        <v>0</v>
      </c>
      <c r="K488" t="n">
        <v>0</v>
      </c>
      <c r="L488" t="n">
        <v>0</v>
      </c>
      <c r="M488" t="n">
        <v>0</v>
      </c>
      <c r="N488" t="n">
        <v>0</v>
      </c>
      <c r="O488" t="n">
        <v>0</v>
      </c>
      <c r="P488" t="n">
        <v>0</v>
      </c>
      <c r="Q488" t="n">
        <v>0</v>
      </c>
      <c r="R488" s="2" t="inlineStr"/>
    </row>
    <row r="489" ht="15" customHeight="1">
      <c r="A489" t="inlineStr">
        <is>
          <t>A 6413-2025</t>
        </is>
      </c>
      <c r="B489" s="1" t="n">
        <v>45699.46283564815</v>
      </c>
      <c r="C489" s="1" t="n">
        <v>46136</v>
      </c>
      <c r="D489" t="inlineStr">
        <is>
          <t>STOCKHOLMS LÄN</t>
        </is>
      </c>
      <c r="E489" t="inlineStr">
        <is>
          <t>NORRTÄLJE</t>
        </is>
      </c>
      <c r="G489" t="n">
        <v>3.6</v>
      </c>
      <c r="H489" t="n">
        <v>0</v>
      </c>
      <c r="I489" t="n">
        <v>0</v>
      </c>
      <c r="J489" t="n">
        <v>0</v>
      </c>
      <c r="K489" t="n">
        <v>0</v>
      </c>
      <c r="L489" t="n">
        <v>0</v>
      </c>
      <c r="M489" t="n">
        <v>0</v>
      </c>
      <c r="N489" t="n">
        <v>0</v>
      </c>
      <c r="O489" t="n">
        <v>0</v>
      </c>
      <c r="P489" t="n">
        <v>0</v>
      </c>
      <c r="Q489" t="n">
        <v>0</v>
      </c>
      <c r="R489" s="2" t="inlineStr"/>
    </row>
    <row r="490" ht="15" customHeight="1">
      <c r="A490" t="inlineStr">
        <is>
          <t>A 6874-2026</t>
        </is>
      </c>
      <c r="B490" s="1" t="n">
        <v>46057.45295138889</v>
      </c>
      <c r="C490" s="1" t="n">
        <v>46136</v>
      </c>
      <c r="D490" t="inlineStr">
        <is>
          <t>STOCKHOLMS LÄN</t>
        </is>
      </c>
      <c r="E490" t="inlineStr">
        <is>
          <t>NORRTÄLJE</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31880-2025</t>
        </is>
      </c>
      <c r="B491" s="1" t="n">
        <v>45834.65538194445</v>
      </c>
      <c r="C491" s="1" t="n">
        <v>46136</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22456-2023</t>
        </is>
      </c>
      <c r="B492" s="1" t="n">
        <v>45070</v>
      </c>
      <c r="C492" s="1" t="n">
        <v>46136</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32283-2025</t>
        </is>
      </c>
      <c r="B493" s="1" t="n">
        <v>45835.68076388889</v>
      </c>
      <c r="C493" s="1" t="n">
        <v>46136</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19580-2022</t>
        </is>
      </c>
      <c r="B494" s="1" t="n">
        <v>44693</v>
      </c>
      <c r="C494" s="1" t="n">
        <v>46136</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32122-2025</t>
        </is>
      </c>
      <c r="B495" s="1" t="n">
        <v>45835.4928125</v>
      </c>
      <c r="C495" s="1" t="n">
        <v>46136</v>
      </c>
      <c r="D495" t="inlineStr">
        <is>
          <t>STOCKHOLMS LÄN</t>
        </is>
      </c>
      <c r="E495" t="inlineStr">
        <is>
          <t>NORRTÄLJE</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5823-2023</t>
        </is>
      </c>
      <c r="B496" s="1" t="n">
        <v>44963</v>
      </c>
      <c r="C496" s="1" t="n">
        <v>46136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30731-2023</t>
        </is>
      </c>
      <c r="B497" s="1" t="n">
        <v>45112</v>
      </c>
      <c r="C497" s="1" t="n">
        <v>46136</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6828-2026</t>
        </is>
      </c>
      <c r="B498" s="1" t="n">
        <v>46057</v>
      </c>
      <c r="C498" s="1" t="n">
        <v>46136</v>
      </c>
      <c r="D498" t="inlineStr">
        <is>
          <t>STOCKHOLMS LÄN</t>
        </is>
      </c>
      <c r="E498" t="inlineStr">
        <is>
          <t>NORRTÄLJE</t>
        </is>
      </c>
      <c r="F498" t="inlineStr">
        <is>
          <t>Holmen skog AB</t>
        </is>
      </c>
      <c r="G498" t="n">
        <v>2.8</v>
      </c>
      <c r="H498" t="n">
        <v>0</v>
      </c>
      <c r="I498" t="n">
        <v>0</v>
      </c>
      <c r="J498" t="n">
        <v>0</v>
      </c>
      <c r="K498" t="n">
        <v>0</v>
      </c>
      <c r="L498" t="n">
        <v>0</v>
      </c>
      <c r="M498" t="n">
        <v>0</v>
      </c>
      <c r="N498" t="n">
        <v>0</v>
      </c>
      <c r="O498" t="n">
        <v>0</v>
      </c>
      <c r="P498" t="n">
        <v>0</v>
      </c>
      <c r="Q498" t="n">
        <v>0</v>
      </c>
      <c r="R498" s="2" t="inlineStr"/>
    </row>
    <row r="499" ht="15" customHeight="1">
      <c r="A499" t="inlineStr">
        <is>
          <t>A 51653-2022</t>
        </is>
      </c>
      <c r="B499" s="1" t="n">
        <v>44867</v>
      </c>
      <c r="C499" s="1" t="n">
        <v>46136</v>
      </c>
      <c r="D499" t="inlineStr">
        <is>
          <t>STOCKHOLMS LÄN</t>
        </is>
      </c>
      <c r="E499" t="inlineStr">
        <is>
          <t>NORRTÄLJE</t>
        </is>
      </c>
      <c r="G499" t="n">
        <v>6.6</v>
      </c>
      <c r="H499" t="n">
        <v>0</v>
      </c>
      <c r="I499" t="n">
        <v>0</v>
      </c>
      <c r="J499" t="n">
        <v>0</v>
      </c>
      <c r="K499" t="n">
        <v>0</v>
      </c>
      <c r="L499" t="n">
        <v>0</v>
      </c>
      <c r="M499" t="n">
        <v>0</v>
      </c>
      <c r="N499" t="n">
        <v>0</v>
      </c>
      <c r="O499" t="n">
        <v>0</v>
      </c>
      <c r="P499" t="n">
        <v>0</v>
      </c>
      <c r="Q499" t="n">
        <v>0</v>
      </c>
      <c r="R499" s="2" t="inlineStr"/>
    </row>
    <row r="500" ht="15" customHeight="1">
      <c r="A500" t="inlineStr">
        <is>
          <t>A 7532-2026</t>
        </is>
      </c>
      <c r="B500" s="1" t="n">
        <v>46059</v>
      </c>
      <c r="C500" s="1" t="n">
        <v>46136</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32094-2025</t>
        </is>
      </c>
      <c r="B501" s="1" t="n">
        <v>45835.46034722222</v>
      </c>
      <c r="C501" s="1" t="n">
        <v>46136</v>
      </c>
      <c r="D501" t="inlineStr">
        <is>
          <t>STOCKHOLMS LÄN</t>
        </is>
      </c>
      <c r="E501" t="inlineStr">
        <is>
          <t>NORRTÄLJE</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32103-2022</t>
        </is>
      </c>
      <c r="B502" s="1" t="n">
        <v>44778</v>
      </c>
      <c r="C502" s="1" t="n">
        <v>46136</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55952-2024</t>
        </is>
      </c>
      <c r="B503" s="1" t="n">
        <v>45623.62563657408</v>
      </c>
      <c r="C503" s="1" t="n">
        <v>46136</v>
      </c>
      <c r="D503" t="inlineStr">
        <is>
          <t>STOCKHOLMS LÄN</t>
        </is>
      </c>
      <c r="E503" t="inlineStr">
        <is>
          <t>NORRTÄLJE</t>
        </is>
      </c>
      <c r="F503" t="inlineStr">
        <is>
          <t>Holmen skog AB</t>
        </is>
      </c>
      <c r="G503" t="n">
        <v>2.8</v>
      </c>
      <c r="H503" t="n">
        <v>0</v>
      </c>
      <c r="I503" t="n">
        <v>0</v>
      </c>
      <c r="J503" t="n">
        <v>0</v>
      </c>
      <c r="K503" t="n">
        <v>0</v>
      </c>
      <c r="L503" t="n">
        <v>0</v>
      </c>
      <c r="M503" t="n">
        <v>0</v>
      </c>
      <c r="N503" t="n">
        <v>0</v>
      </c>
      <c r="O503" t="n">
        <v>0</v>
      </c>
      <c r="P503" t="n">
        <v>0</v>
      </c>
      <c r="Q503" t="n">
        <v>0</v>
      </c>
      <c r="R503" s="2" t="inlineStr"/>
    </row>
    <row r="504" ht="15" customHeight="1">
      <c r="A504" t="inlineStr">
        <is>
          <t>A 32016-2025</t>
        </is>
      </c>
      <c r="B504" s="1" t="n">
        <v>45835</v>
      </c>
      <c r="C504" s="1" t="n">
        <v>46136</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7723-2026</t>
        </is>
      </c>
      <c r="B505" s="1" t="n">
        <v>46062.49905092592</v>
      </c>
      <c r="C505" s="1" t="n">
        <v>46136</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7729-2026</t>
        </is>
      </c>
      <c r="B506" s="1" t="n">
        <v>46062.51100694444</v>
      </c>
      <c r="C506" s="1" t="n">
        <v>46136</v>
      </c>
      <c r="D506" t="inlineStr">
        <is>
          <t>STOCKHOLMS LÄN</t>
        </is>
      </c>
      <c r="E506" t="inlineStr">
        <is>
          <t>NORRTÄLJE</t>
        </is>
      </c>
      <c r="G506" t="n">
        <v>6.6</v>
      </c>
      <c r="H506" t="n">
        <v>0</v>
      </c>
      <c r="I506" t="n">
        <v>0</v>
      </c>
      <c r="J506" t="n">
        <v>0</v>
      </c>
      <c r="K506" t="n">
        <v>0</v>
      </c>
      <c r="L506" t="n">
        <v>0</v>
      </c>
      <c r="M506" t="n">
        <v>0</v>
      </c>
      <c r="N506" t="n">
        <v>0</v>
      </c>
      <c r="O506" t="n">
        <v>0</v>
      </c>
      <c r="P506" t="n">
        <v>0</v>
      </c>
      <c r="Q506" t="n">
        <v>0</v>
      </c>
      <c r="R506" s="2" t="inlineStr"/>
    </row>
    <row r="507" ht="15" customHeight="1">
      <c r="A507" t="inlineStr">
        <is>
          <t>A 23070-2023</t>
        </is>
      </c>
      <c r="B507" s="1" t="n">
        <v>45075</v>
      </c>
      <c r="C507" s="1" t="n">
        <v>46136</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32396-2025</t>
        </is>
      </c>
      <c r="B508" s="1" t="n">
        <v>45837</v>
      </c>
      <c r="C508" s="1" t="n">
        <v>46136</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32397-2025</t>
        </is>
      </c>
      <c r="B509" s="1" t="n">
        <v>45837.94081018519</v>
      </c>
      <c r="C509" s="1" t="n">
        <v>46136</v>
      </c>
      <c r="D509" t="inlineStr">
        <is>
          <t>STOCKHOLMS LÄN</t>
        </is>
      </c>
      <c r="E509" t="inlineStr">
        <is>
          <t>NORRTÄLJE</t>
        </is>
      </c>
      <c r="G509" t="n">
        <v>5.9</v>
      </c>
      <c r="H509" t="n">
        <v>0</v>
      </c>
      <c r="I509" t="n">
        <v>0</v>
      </c>
      <c r="J509" t="n">
        <v>0</v>
      </c>
      <c r="K509" t="n">
        <v>0</v>
      </c>
      <c r="L509" t="n">
        <v>0</v>
      </c>
      <c r="M509" t="n">
        <v>0</v>
      </c>
      <c r="N509" t="n">
        <v>0</v>
      </c>
      <c r="O509" t="n">
        <v>0</v>
      </c>
      <c r="P509" t="n">
        <v>0</v>
      </c>
      <c r="Q509" t="n">
        <v>0</v>
      </c>
      <c r="R509" s="2" t="inlineStr"/>
    </row>
    <row r="510" ht="15" customHeight="1">
      <c r="A510" t="inlineStr">
        <is>
          <t>A 32480-2025</t>
        </is>
      </c>
      <c r="B510" s="1" t="n">
        <v>45838.43261574074</v>
      </c>
      <c r="C510" s="1" t="n">
        <v>46136</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8792-2025</t>
        </is>
      </c>
      <c r="B511" s="1" t="n">
        <v>45712</v>
      </c>
      <c r="C511" s="1" t="n">
        <v>46136</v>
      </c>
      <c r="D511" t="inlineStr">
        <is>
          <t>STOCKHOLMS LÄN</t>
        </is>
      </c>
      <c r="E511" t="inlineStr">
        <is>
          <t>NORRTÄLJE</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40230-2025</t>
        </is>
      </c>
      <c r="B512" s="1" t="n">
        <v>45894.71101851852</v>
      </c>
      <c r="C512" s="1" t="n">
        <v>46136</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7571-2024</t>
        </is>
      </c>
      <c r="B513" s="1" t="n">
        <v>45348.46300925926</v>
      </c>
      <c r="C513" s="1" t="n">
        <v>46136</v>
      </c>
      <c r="D513" t="inlineStr">
        <is>
          <t>STOCKHOLMS LÄN</t>
        </is>
      </c>
      <c r="E513" t="inlineStr">
        <is>
          <t>NORRTÄLJE</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7582-2026</t>
        </is>
      </c>
      <c r="B514" s="1" t="n">
        <v>46061</v>
      </c>
      <c r="C514" s="1" t="n">
        <v>46136</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36269-2022</t>
        </is>
      </c>
      <c r="B515" s="1" t="n">
        <v>44803</v>
      </c>
      <c r="C515" s="1" t="n">
        <v>46136</v>
      </c>
      <c r="D515" t="inlineStr">
        <is>
          <t>STOCKHOLMS LÄN</t>
        </is>
      </c>
      <c r="E515" t="inlineStr">
        <is>
          <t>NORRTÄLJE</t>
        </is>
      </c>
      <c r="G515" t="n">
        <v>2.3</v>
      </c>
      <c r="H515" t="n">
        <v>0</v>
      </c>
      <c r="I515" t="n">
        <v>0</v>
      </c>
      <c r="J515" t="n">
        <v>0</v>
      </c>
      <c r="K515" t="n">
        <v>0</v>
      </c>
      <c r="L515" t="n">
        <v>0</v>
      </c>
      <c r="M515" t="n">
        <v>0</v>
      </c>
      <c r="N515" t="n">
        <v>0</v>
      </c>
      <c r="O515" t="n">
        <v>0</v>
      </c>
      <c r="P515" t="n">
        <v>0</v>
      </c>
      <c r="Q515" t="n">
        <v>0</v>
      </c>
      <c r="R515" s="2" t="inlineStr"/>
    </row>
    <row r="516" ht="15" customHeight="1">
      <c r="A516" t="inlineStr">
        <is>
          <t>A 32395-2025</t>
        </is>
      </c>
      <c r="B516" s="1" t="n">
        <v>45837.93730324074</v>
      </c>
      <c r="C516" s="1" t="n">
        <v>46136</v>
      </c>
      <c r="D516" t="inlineStr">
        <is>
          <t>STOCKHOLMS LÄN</t>
        </is>
      </c>
      <c r="E516" t="inlineStr">
        <is>
          <t>NORRTÄLJE</t>
        </is>
      </c>
      <c r="G516" t="n">
        <v>2.2</v>
      </c>
      <c r="H516" t="n">
        <v>0</v>
      </c>
      <c r="I516" t="n">
        <v>0</v>
      </c>
      <c r="J516" t="n">
        <v>0</v>
      </c>
      <c r="K516" t="n">
        <v>0</v>
      </c>
      <c r="L516" t="n">
        <v>0</v>
      </c>
      <c r="M516" t="n">
        <v>0</v>
      </c>
      <c r="N516" t="n">
        <v>0</v>
      </c>
      <c r="O516" t="n">
        <v>0</v>
      </c>
      <c r="P516" t="n">
        <v>0</v>
      </c>
      <c r="Q516" t="n">
        <v>0</v>
      </c>
      <c r="R516" s="2" t="inlineStr"/>
    </row>
    <row r="517" ht="15" customHeight="1">
      <c r="A517" t="inlineStr">
        <is>
          <t>A 7793-2026</t>
        </is>
      </c>
      <c r="B517" s="1" t="n">
        <v>46062.59496527778</v>
      </c>
      <c r="C517" s="1" t="n">
        <v>46136</v>
      </c>
      <c r="D517" t="inlineStr">
        <is>
          <t>STOCKHOLMS LÄN</t>
        </is>
      </c>
      <c r="E517" t="inlineStr">
        <is>
          <t>NORRTÄLJE</t>
        </is>
      </c>
      <c r="F517" t="inlineStr">
        <is>
          <t>Holmen skog AB</t>
        </is>
      </c>
      <c r="G517" t="n">
        <v>3.8</v>
      </c>
      <c r="H517" t="n">
        <v>0</v>
      </c>
      <c r="I517" t="n">
        <v>0</v>
      </c>
      <c r="J517" t="n">
        <v>0</v>
      </c>
      <c r="K517" t="n">
        <v>0</v>
      </c>
      <c r="L517" t="n">
        <v>0</v>
      </c>
      <c r="M517" t="n">
        <v>0</v>
      </c>
      <c r="N517" t="n">
        <v>0</v>
      </c>
      <c r="O517" t="n">
        <v>0</v>
      </c>
      <c r="P517" t="n">
        <v>0</v>
      </c>
      <c r="Q517" t="n">
        <v>0</v>
      </c>
      <c r="R517" s="2" t="inlineStr"/>
    </row>
    <row r="518" ht="15" customHeight="1">
      <c r="A518" t="inlineStr">
        <is>
          <t>A 5665-2025</t>
        </is>
      </c>
      <c r="B518" s="1" t="n">
        <v>45693</v>
      </c>
      <c r="C518" s="1" t="n">
        <v>46136</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33211-2025</t>
        </is>
      </c>
      <c r="B519" s="1" t="n">
        <v>45840.62755787037</v>
      </c>
      <c r="C519" s="1" t="n">
        <v>46136</v>
      </c>
      <c r="D519" t="inlineStr">
        <is>
          <t>STOCKHOLMS LÄN</t>
        </is>
      </c>
      <c r="E519" t="inlineStr">
        <is>
          <t>NORRTÄLJE</t>
        </is>
      </c>
      <c r="G519" t="n">
        <v>5.1</v>
      </c>
      <c r="H519" t="n">
        <v>0</v>
      </c>
      <c r="I519" t="n">
        <v>0</v>
      </c>
      <c r="J519" t="n">
        <v>0</v>
      </c>
      <c r="K519" t="n">
        <v>0</v>
      </c>
      <c r="L519" t="n">
        <v>0</v>
      </c>
      <c r="M519" t="n">
        <v>0</v>
      </c>
      <c r="N519" t="n">
        <v>0</v>
      </c>
      <c r="O519" t="n">
        <v>0</v>
      </c>
      <c r="P519" t="n">
        <v>0</v>
      </c>
      <c r="Q519" t="n">
        <v>0</v>
      </c>
      <c r="R519" s="2" t="inlineStr"/>
    </row>
    <row r="520" ht="15" customHeight="1">
      <c r="A520" t="inlineStr">
        <is>
          <t>A 12407-2025</t>
        </is>
      </c>
      <c r="B520" s="1" t="n">
        <v>45730.42851851852</v>
      </c>
      <c r="C520" s="1" t="n">
        <v>46136</v>
      </c>
      <c r="D520" t="inlineStr">
        <is>
          <t>STOCKHOLMS LÄN</t>
        </is>
      </c>
      <c r="E520" t="inlineStr">
        <is>
          <t>NORRTÄLJE</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32903-2025</t>
        </is>
      </c>
      <c r="B521" s="1" t="n">
        <v>45839.62398148148</v>
      </c>
      <c r="C521" s="1" t="n">
        <v>46136</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26636-2023</t>
        </is>
      </c>
      <c r="B522" s="1" t="n">
        <v>45092</v>
      </c>
      <c r="C522" s="1" t="n">
        <v>46136</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26637-2023</t>
        </is>
      </c>
      <c r="B523" s="1" t="n">
        <v>45092</v>
      </c>
      <c r="C523" s="1" t="n">
        <v>46136</v>
      </c>
      <c r="D523" t="inlineStr">
        <is>
          <t>STOCKHOLMS LÄN</t>
        </is>
      </c>
      <c r="E523" t="inlineStr">
        <is>
          <t>NORRTÄLJE</t>
        </is>
      </c>
      <c r="G523" t="n">
        <v>1.3</v>
      </c>
      <c r="H523" t="n">
        <v>0</v>
      </c>
      <c r="I523" t="n">
        <v>0</v>
      </c>
      <c r="J523" t="n">
        <v>0</v>
      </c>
      <c r="K523" t="n">
        <v>0</v>
      </c>
      <c r="L523" t="n">
        <v>0</v>
      </c>
      <c r="M523" t="n">
        <v>0</v>
      </c>
      <c r="N523" t="n">
        <v>0</v>
      </c>
      <c r="O523" t="n">
        <v>0</v>
      </c>
      <c r="P523" t="n">
        <v>0</v>
      </c>
      <c r="Q523" t="n">
        <v>0</v>
      </c>
      <c r="R523" s="2" t="inlineStr"/>
    </row>
    <row r="524" ht="15" customHeight="1">
      <c r="A524" t="inlineStr">
        <is>
          <t>A 40228-2025</t>
        </is>
      </c>
      <c r="B524" s="1" t="n">
        <v>45894.70854166667</v>
      </c>
      <c r="C524" s="1" t="n">
        <v>46136</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33265-2025</t>
        </is>
      </c>
      <c r="B525" s="1" t="n">
        <v>45840.67829861111</v>
      </c>
      <c r="C525" s="1" t="n">
        <v>46136</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23266-2023</t>
        </is>
      </c>
      <c r="B526" s="1" t="n">
        <v>45075.90817129629</v>
      </c>
      <c r="C526" s="1" t="n">
        <v>46136</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32872-2025</t>
        </is>
      </c>
      <c r="B527" s="1" t="n">
        <v>45839</v>
      </c>
      <c r="C527" s="1" t="n">
        <v>46136</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35636-2025</t>
        </is>
      </c>
      <c r="B528" s="1" t="n">
        <v>45859</v>
      </c>
      <c r="C528" s="1" t="n">
        <v>46136</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35161-2022</t>
        </is>
      </c>
      <c r="B529" s="1" t="n">
        <v>44797</v>
      </c>
      <c r="C529" s="1" t="n">
        <v>46136</v>
      </c>
      <c r="D529" t="inlineStr">
        <is>
          <t>STOCKHOLMS LÄN</t>
        </is>
      </c>
      <c r="E529" t="inlineStr">
        <is>
          <t>NORRTÄLJE</t>
        </is>
      </c>
      <c r="G529" t="n">
        <v>6</v>
      </c>
      <c r="H529" t="n">
        <v>0</v>
      </c>
      <c r="I529" t="n">
        <v>0</v>
      </c>
      <c r="J529" t="n">
        <v>0</v>
      </c>
      <c r="K529" t="n">
        <v>0</v>
      </c>
      <c r="L529" t="n">
        <v>0</v>
      </c>
      <c r="M529" t="n">
        <v>0</v>
      </c>
      <c r="N529" t="n">
        <v>0</v>
      </c>
      <c r="O529" t="n">
        <v>0</v>
      </c>
      <c r="P529" t="n">
        <v>0</v>
      </c>
      <c r="Q529" t="n">
        <v>0</v>
      </c>
      <c r="R529" s="2" t="inlineStr"/>
    </row>
    <row r="530" ht="15" customHeight="1">
      <c r="A530" t="inlineStr">
        <is>
          <t>A 33702-2025</t>
        </is>
      </c>
      <c r="B530" s="1" t="n">
        <v>45841.74596064815</v>
      </c>
      <c r="C530" s="1" t="n">
        <v>46136</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33336-2025</t>
        </is>
      </c>
      <c r="B531" s="1" t="n">
        <v>45841.35611111111</v>
      </c>
      <c r="C531" s="1" t="n">
        <v>46136</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40172-2025</t>
        </is>
      </c>
      <c r="B532" s="1" t="n">
        <v>45894.6353125</v>
      </c>
      <c r="C532" s="1" t="n">
        <v>46136</v>
      </c>
      <c r="D532" t="inlineStr">
        <is>
          <t>STOCKHOLMS LÄN</t>
        </is>
      </c>
      <c r="E532" t="inlineStr">
        <is>
          <t>NORRTÄLJE</t>
        </is>
      </c>
      <c r="G532" t="n">
        <v>6</v>
      </c>
      <c r="H532" t="n">
        <v>0</v>
      </c>
      <c r="I532" t="n">
        <v>0</v>
      </c>
      <c r="J532" t="n">
        <v>0</v>
      </c>
      <c r="K532" t="n">
        <v>0</v>
      </c>
      <c r="L532" t="n">
        <v>0</v>
      </c>
      <c r="M532" t="n">
        <v>0</v>
      </c>
      <c r="N532" t="n">
        <v>0</v>
      </c>
      <c r="O532" t="n">
        <v>0</v>
      </c>
      <c r="P532" t="n">
        <v>0</v>
      </c>
      <c r="Q532" t="n">
        <v>0</v>
      </c>
      <c r="R532" s="2" t="inlineStr"/>
    </row>
    <row r="533" ht="15" customHeight="1">
      <c r="A533" t="inlineStr">
        <is>
          <t>A 40033-2025</t>
        </is>
      </c>
      <c r="B533" s="1" t="n">
        <v>45893</v>
      </c>
      <c r="C533" s="1" t="n">
        <v>46136</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40217-2025</t>
        </is>
      </c>
      <c r="B534" s="1" t="n">
        <v>45894.68864583333</v>
      </c>
      <c r="C534" s="1" t="n">
        <v>46136</v>
      </c>
      <c r="D534" t="inlineStr">
        <is>
          <t>STOCKHOLMS LÄN</t>
        </is>
      </c>
      <c r="E534" t="inlineStr">
        <is>
          <t>NORRTÄLJE</t>
        </is>
      </c>
      <c r="G534" t="n">
        <v>0.8</v>
      </c>
      <c r="H534" t="n">
        <v>0</v>
      </c>
      <c r="I534" t="n">
        <v>0</v>
      </c>
      <c r="J534" t="n">
        <v>0</v>
      </c>
      <c r="K534" t="n">
        <v>0</v>
      </c>
      <c r="L534" t="n">
        <v>0</v>
      </c>
      <c r="M534" t="n">
        <v>0</v>
      </c>
      <c r="N534" t="n">
        <v>0</v>
      </c>
      <c r="O534" t="n">
        <v>0</v>
      </c>
      <c r="P534" t="n">
        <v>0</v>
      </c>
      <c r="Q534" t="n">
        <v>0</v>
      </c>
      <c r="R534" s="2" t="inlineStr"/>
    </row>
    <row r="535" ht="15" customHeight="1">
      <c r="A535" t="inlineStr">
        <is>
          <t>A 35639-2025</t>
        </is>
      </c>
      <c r="B535" s="1" t="n">
        <v>45859</v>
      </c>
      <c r="C535" s="1" t="n">
        <v>46136</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40032-2025</t>
        </is>
      </c>
      <c r="B536" s="1" t="n">
        <v>45893</v>
      </c>
      <c r="C536" s="1" t="n">
        <v>46136</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8091-2026</t>
        </is>
      </c>
      <c r="B537" s="1" t="n">
        <v>46063.70944444444</v>
      </c>
      <c r="C537" s="1" t="n">
        <v>46136</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40097-2025</t>
        </is>
      </c>
      <c r="B538" s="1" t="n">
        <v>45894.48322916667</v>
      </c>
      <c r="C538" s="1" t="n">
        <v>46136</v>
      </c>
      <c r="D538" t="inlineStr">
        <is>
          <t>STOCKHOLMS LÄN</t>
        </is>
      </c>
      <c r="E538" t="inlineStr">
        <is>
          <t>NORRTÄLJE</t>
        </is>
      </c>
      <c r="G538" t="n">
        <v>3</v>
      </c>
      <c r="H538" t="n">
        <v>0</v>
      </c>
      <c r="I538" t="n">
        <v>0</v>
      </c>
      <c r="J538" t="n">
        <v>0</v>
      </c>
      <c r="K538" t="n">
        <v>0</v>
      </c>
      <c r="L538" t="n">
        <v>0</v>
      </c>
      <c r="M538" t="n">
        <v>0</v>
      </c>
      <c r="N538" t="n">
        <v>0</v>
      </c>
      <c r="O538" t="n">
        <v>0</v>
      </c>
      <c r="P538" t="n">
        <v>0</v>
      </c>
      <c r="Q538" t="n">
        <v>0</v>
      </c>
      <c r="R538" s="2" t="inlineStr"/>
    </row>
    <row r="539" ht="15" customHeight="1">
      <c r="A539" t="inlineStr">
        <is>
          <t>A 40529-2025</t>
        </is>
      </c>
      <c r="B539" s="1" t="n">
        <v>45896.38466435186</v>
      </c>
      <c r="C539" s="1" t="n">
        <v>46136</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40292-2025</t>
        </is>
      </c>
      <c r="B540" s="1" t="n">
        <v>45895.3867824074</v>
      </c>
      <c r="C540" s="1" t="n">
        <v>46136</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40294-2025</t>
        </is>
      </c>
      <c r="B541" s="1" t="n">
        <v>45895.38778935185</v>
      </c>
      <c r="C541" s="1" t="n">
        <v>46136</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41275-2025</t>
        </is>
      </c>
      <c r="B542" s="1" t="n">
        <v>45898.62625</v>
      </c>
      <c r="C542" s="1" t="n">
        <v>46136</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40837-2025</t>
        </is>
      </c>
      <c r="B543" s="1" t="n">
        <v>45897.51328703704</v>
      </c>
      <c r="C543" s="1" t="n">
        <v>46136</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41030-2025</t>
        </is>
      </c>
      <c r="B544" s="1" t="n">
        <v>45898.37636574074</v>
      </c>
      <c r="C544" s="1" t="n">
        <v>46136</v>
      </c>
      <c r="D544" t="inlineStr">
        <is>
          <t>STOCKHOLMS LÄN</t>
        </is>
      </c>
      <c r="E544" t="inlineStr">
        <is>
          <t>NORRTÄLJE</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58863-2024</t>
        </is>
      </c>
      <c r="B545" s="1" t="n">
        <v>45636.41572916666</v>
      </c>
      <c r="C545" s="1" t="n">
        <v>46136</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15447-2023</t>
        </is>
      </c>
      <c r="B546" s="1" t="n">
        <v>45020</v>
      </c>
      <c r="C546" s="1" t="n">
        <v>46136</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34391-2023</t>
        </is>
      </c>
      <c r="B547" s="1" t="n">
        <v>45139.51457175926</v>
      </c>
      <c r="C547" s="1" t="n">
        <v>46136</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41158-2025</t>
        </is>
      </c>
      <c r="B548" s="1" t="n">
        <v>45898.5315625</v>
      </c>
      <c r="C548" s="1" t="n">
        <v>46136</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8096-2026</t>
        </is>
      </c>
      <c r="B549" s="1" t="n">
        <v>46063.714375</v>
      </c>
      <c r="C549" s="1" t="n">
        <v>46136</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41301-2025</t>
        </is>
      </c>
      <c r="B550" s="1" t="n">
        <v>45898.68826388889</v>
      </c>
      <c r="C550" s="1" t="n">
        <v>46136</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41106-2025</t>
        </is>
      </c>
      <c r="B551" s="1" t="n">
        <v>45898.45636574074</v>
      </c>
      <c r="C551" s="1" t="n">
        <v>46136</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41174-2025</t>
        </is>
      </c>
      <c r="B552" s="1" t="n">
        <v>45898.54921296296</v>
      </c>
      <c r="C552" s="1" t="n">
        <v>46136</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53312-2024</t>
        </is>
      </c>
      <c r="B553" s="1" t="n">
        <v>45614.39627314815</v>
      </c>
      <c r="C553" s="1" t="n">
        <v>46136</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41110-2025</t>
        </is>
      </c>
      <c r="B554" s="1" t="n">
        <v>45898.45976851852</v>
      </c>
      <c r="C554" s="1" t="n">
        <v>46136</v>
      </c>
      <c r="D554" t="inlineStr">
        <is>
          <t>STOCKHOLMS LÄN</t>
        </is>
      </c>
      <c r="E554" t="inlineStr">
        <is>
          <t>NORRTÄLJE</t>
        </is>
      </c>
      <c r="F554" t="inlineStr">
        <is>
          <t>Holmen skog AB</t>
        </is>
      </c>
      <c r="G554" t="n">
        <v>6.7</v>
      </c>
      <c r="H554" t="n">
        <v>0</v>
      </c>
      <c r="I554" t="n">
        <v>0</v>
      </c>
      <c r="J554" t="n">
        <v>0</v>
      </c>
      <c r="K554" t="n">
        <v>0</v>
      </c>
      <c r="L554" t="n">
        <v>0</v>
      </c>
      <c r="M554" t="n">
        <v>0</v>
      </c>
      <c r="N554" t="n">
        <v>0</v>
      </c>
      <c r="O554" t="n">
        <v>0</v>
      </c>
      <c r="P554" t="n">
        <v>0</v>
      </c>
      <c r="Q554" t="n">
        <v>0</v>
      </c>
      <c r="R554" s="2" t="inlineStr"/>
    </row>
    <row r="555" ht="15" customHeight="1">
      <c r="A555" t="inlineStr">
        <is>
          <t>A 41259-2025</t>
        </is>
      </c>
      <c r="B555" s="1" t="n">
        <v>45898.61054398148</v>
      </c>
      <c r="C555" s="1" t="n">
        <v>46136</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41053-2025</t>
        </is>
      </c>
      <c r="B556" s="1" t="n">
        <v>45898.40480324074</v>
      </c>
      <c r="C556" s="1" t="n">
        <v>46136</v>
      </c>
      <c r="D556" t="inlineStr">
        <is>
          <t>STOCKHOLMS LÄN</t>
        </is>
      </c>
      <c r="E556" t="inlineStr">
        <is>
          <t>NORRTÄLJE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40829-2025</t>
        </is>
      </c>
      <c r="B557" s="1" t="n">
        <v>45897.50802083333</v>
      </c>
      <c r="C557" s="1" t="n">
        <v>46136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40831-2025</t>
        </is>
      </c>
      <c r="B558" s="1" t="n">
        <v>45897.51077546296</v>
      </c>
      <c r="C558" s="1" t="n">
        <v>46136</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33552-2025</t>
        </is>
      </c>
      <c r="B559" s="1" t="n">
        <v>45841.5737962963</v>
      </c>
      <c r="C559" s="1" t="n">
        <v>46136</v>
      </c>
      <c r="D559" t="inlineStr">
        <is>
          <t>STOCKHOLMS LÄN</t>
        </is>
      </c>
      <c r="E559" t="inlineStr">
        <is>
          <t>NORRTÄLJE</t>
        </is>
      </c>
      <c r="G559" t="n">
        <v>8.9</v>
      </c>
      <c r="H559" t="n">
        <v>0</v>
      </c>
      <c r="I559" t="n">
        <v>0</v>
      </c>
      <c r="J559" t="n">
        <v>0</v>
      </c>
      <c r="K559" t="n">
        <v>0</v>
      </c>
      <c r="L559" t="n">
        <v>0</v>
      </c>
      <c r="M559" t="n">
        <v>0</v>
      </c>
      <c r="N559" t="n">
        <v>0</v>
      </c>
      <c r="O559" t="n">
        <v>0</v>
      </c>
      <c r="P559" t="n">
        <v>0</v>
      </c>
      <c r="Q559" t="n">
        <v>0</v>
      </c>
      <c r="R559" s="2" t="inlineStr"/>
    </row>
    <row r="560" ht="15" customHeight="1">
      <c r="A560" t="inlineStr">
        <is>
          <t>A 41272-2025</t>
        </is>
      </c>
      <c r="B560" s="1" t="n">
        <v>45898.62373842593</v>
      </c>
      <c r="C560" s="1" t="n">
        <v>46136</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41036-2025</t>
        </is>
      </c>
      <c r="B561" s="1" t="n">
        <v>45898.38552083333</v>
      </c>
      <c r="C561" s="1" t="n">
        <v>46136</v>
      </c>
      <c r="D561" t="inlineStr">
        <is>
          <t>STOCKHOLMS LÄN</t>
        </is>
      </c>
      <c r="E561" t="inlineStr">
        <is>
          <t>NORRTÄLJE</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21158-2022</t>
        </is>
      </c>
      <c r="B562" s="1" t="n">
        <v>44704</v>
      </c>
      <c r="C562" s="1" t="n">
        <v>46136</v>
      </c>
      <c r="D562" t="inlineStr">
        <is>
          <t>STOCKHOLMS LÄN</t>
        </is>
      </c>
      <c r="E562" t="inlineStr">
        <is>
          <t>NORRTÄLJE</t>
        </is>
      </c>
      <c r="G562" t="n">
        <v>17.8</v>
      </c>
      <c r="H562" t="n">
        <v>0</v>
      </c>
      <c r="I562" t="n">
        <v>0</v>
      </c>
      <c r="J562" t="n">
        <v>0</v>
      </c>
      <c r="K562" t="n">
        <v>0</v>
      </c>
      <c r="L562" t="n">
        <v>0</v>
      </c>
      <c r="M562" t="n">
        <v>0</v>
      </c>
      <c r="N562" t="n">
        <v>0</v>
      </c>
      <c r="O562" t="n">
        <v>0</v>
      </c>
      <c r="P562" t="n">
        <v>0</v>
      </c>
      <c r="Q562" t="n">
        <v>0</v>
      </c>
      <c r="R562" s="2" t="inlineStr"/>
    </row>
    <row r="563" ht="15" customHeight="1">
      <c r="A563" t="inlineStr">
        <is>
          <t>A 33824-2025</t>
        </is>
      </c>
      <c r="B563" s="1" t="n">
        <v>45842.46885416667</v>
      </c>
      <c r="C563" s="1" t="n">
        <v>46136</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15915-2023</t>
        </is>
      </c>
      <c r="B564" s="1" t="n">
        <v>45022</v>
      </c>
      <c r="C564" s="1" t="n">
        <v>46136</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58993-2022</t>
        </is>
      </c>
      <c r="B565" s="1" t="n">
        <v>44903</v>
      </c>
      <c r="C565" s="1" t="n">
        <v>46136</v>
      </c>
      <c r="D565" t="inlineStr">
        <is>
          <t>STOCKHOLMS LÄN</t>
        </is>
      </c>
      <c r="E565" t="inlineStr">
        <is>
          <t>NORRTÄLJE</t>
        </is>
      </c>
      <c r="G565" t="n">
        <v>2.3</v>
      </c>
      <c r="H565" t="n">
        <v>0</v>
      </c>
      <c r="I565" t="n">
        <v>0</v>
      </c>
      <c r="J565" t="n">
        <v>0</v>
      </c>
      <c r="K565" t="n">
        <v>0</v>
      </c>
      <c r="L565" t="n">
        <v>0</v>
      </c>
      <c r="M565" t="n">
        <v>0</v>
      </c>
      <c r="N565" t="n">
        <v>0</v>
      </c>
      <c r="O565" t="n">
        <v>0</v>
      </c>
      <c r="P565" t="n">
        <v>0</v>
      </c>
      <c r="Q565" t="n">
        <v>0</v>
      </c>
      <c r="R565" s="2" t="inlineStr"/>
    </row>
    <row r="566" ht="15" customHeight="1">
      <c r="A566" t="inlineStr">
        <is>
          <t>A 8055-2026</t>
        </is>
      </c>
      <c r="B566" s="1" t="n">
        <v>46063.62002314815</v>
      </c>
      <c r="C566" s="1" t="n">
        <v>46136</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39905-2023</t>
        </is>
      </c>
      <c r="B567" s="1" t="n">
        <v>45168.44489583333</v>
      </c>
      <c r="C567" s="1" t="n">
        <v>46136</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33793-2022</t>
        </is>
      </c>
      <c r="B568" s="1" t="n">
        <v>44790</v>
      </c>
      <c r="C568" s="1" t="n">
        <v>46136</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46073-2024</t>
        </is>
      </c>
      <c r="B569" s="1" t="n">
        <v>45581</v>
      </c>
      <c r="C569" s="1" t="n">
        <v>46136</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17304-2024</t>
        </is>
      </c>
      <c r="B570" s="1" t="n">
        <v>45414</v>
      </c>
      <c r="C570" s="1" t="n">
        <v>46136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36689-2023</t>
        </is>
      </c>
      <c r="B571" s="1" t="n">
        <v>45152</v>
      </c>
      <c r="C571" s="1" t="n">
        <v>46136</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34139-2025</t>
        </is>
      </c>
      <c r="B572" s="1" t="n">
        <v>45845</v>
      </c>
      <c r="C572" s="1" t="n">
        <v>46136</v>
      </c>
      <c r="D572" t="inlineStr">
        <is>
          <t>STOCKHOLMS LÄN</t>
        </is>
      </c>
      <c r="E572" t="inlineStr">
        <is>
          <t>NORRTÄLJE</t>
        </is>
      </c>
      <c r="G572" t="n">
        <v>5.5</v>
      </c>
      <c r="H572" t="n">
        <v>0</v>
      </c>
      <c r="I572" t="n">
        <v>0</v>
      </c>
      <c r="J572" t="n">
        <v>0</v>
      </c>
      <c r="K572" t="n">
        <v>0</v>
      </c>
      <c r="L572" t="n">
        <v>0</v>
      </c>
      <c r="M572" t="n">
        <v>0</v>
      </c>
      <c r="N572" t="n">
        <v>0</v>
      </c>
      <c r="O572" t="n">
        <v>0</v>
      </c>
      <c r="P572" t="n">
        <v>0</v>
      </c>
      <c r="Q572" t="n">
        <v>0</v>
      </c>
      <c r="R572" s="2" t="inlineStr"/>
    </row>
    <row r="573" ht="15" customHeight="1">
      <c r="A573" t="inlineStr">
        <is>
          <t>A 34006-2025</t>
        </is>
      </c>
      <c r="B573" s="1" t="n">
        <v>45844.62609953704</v>
      </c>
      <c r="C573" s="1" t="n">
        <v>46136</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16852-2024</t>
        </is>
      </c>
      <c r="B574" s="1" t="n">
        <v>45411.54768518519</v>
      </c>
      <c r="C574" s="1" t="n">
        <v>46136</v>
      </c>
      <c r="D574" t="inlineStr">
        <is>
          <t>STOCKHOLMS LÄN</t>
        </is>
      </c>
      <c r="E574" t="inlineStr">
        <is>
          <t>NORRTÄLJE</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4326-2023</t>
        </is>
      </c>
      <c r="B575" s="1" t="n">
        <v>44953.70481481482</v>
      </c>
      <c r="C575" s="1" t="n">
        <v>46136</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15836-2026</t>
        </is>
      </c>
      <c r="B576" s="1" t="n">
        <v>46107.56134259259</v>
      </c>
      <c r="C576" s="1" t="n">
        <v>46136</v>
      </c>
      <c r="D576" t="inlineStr">
        <is>
          <t>STOCKHOLMS LÄN</t>
        </is>
      </c>
      <c r="E576" t="inlineStr">
        <is>
          <t>NORRTÄLJE</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8454-2026</t>
        </is>
      </c>
      <c r="B577" s="1" t="n">
        <v>46065.42506944444</v>
      </c>
      <c r="C577" s="1" t="n">
        <v>46136</v>
      </c>
      <c r="D577" t="inlineStr">
        <is>
          <t>STOCKHOLMS LÄN</t>
        </is>
      </c>
      <c r="E577" t="inlineStr">
        <is>
          <t>NORRTÄLJE</t>
        </is>
      </c>
      <c r="G577" t="n">
        <v>3.2</v>
      </c>
      <c r="H577" t="n">
        <v>0</v>
      </c>
      <c r="I577" t="n">
        <v>0</v>
      </c>
      <c r="J577" t="n">
        <v>0</v>
      </c>
      <c r="K577" t="n">
        <v>0</v>
      </c>
      <c r="L577" t="n">
        <v>0</v>
      </c>
      <c r="M577" t="n">
        <v>0</v>
      </c>
      <c r="N577" t="n">
        <v>0</v>
      </c>
      <c r="O577" t="n">
        <v>0</v>
      </c>
      <c r="P577" t="n">
        <v>0</v>
      </c>
      <c r="Q577" t="n">
        <v>0</v>
      </c>
      <c r="R577" s="2" t="inlineStr"/>
    </row>
    <row r="578" ht="15" customHeight="1">
      <c r="A578" t="inlineStr">
        <is>
          <t>A 34010-2025</t>
        </is>
      </c>
      <c r="B578" s="1" t="n">
        <v>45844.91234953704</v>
      </c>
      <c r="C578" s="1" t="n">
        <v>46136</v>
      </c>
      <c r="D578" t="inlineStr">
        <is>
          <t>STOCKHOLMS LÄN</t>
        </is>
      </c>
      <c r="E578" t="inlineStr">
        <is>
          <t>NORRTÄLJE</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33385-2024</t>
        </is>
      </c>
      <c r="B579" s="1" t="n">
        <v>45519</v>
      </c>
      <c r="C579" s="1" t="n">
        <v>46136</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29714-2023</t>
        </is>
      </c>
      <c r="B580" s="1" t="n">
        <v>45107.42538194444</v>
      </c>
      <c r="C580" s="1" t="n">
        <v>46136</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30508-2023</t>
        </is>
      </c>
      <c r="B581" s="1" t="n">
        <v>45111</v>
      </c>
      <c r="C581" s="1" t="n">
        <v>46136</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8465-2026</t>
        </is>
      </c>
      <c r="B582" s="1" t="n">
        <v>46065.44141203703</v>
      </c>
      <c r="C582" s="1" t="n">
        <v>46136</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8410-2026</t>
        </is>
      </c>
      <c r="B583" s="1" t="n">
        <v>46065.34261574074</v>
      </c>
      <c r="C583" s="1" t="n">
        <v>46136</v>
      </c>
      <c r="D583" t="inlineStr">
        <is>
          <t>STOCKHOLMS LÄN</t>
        </is>
      </c>
      <c r="E583" t="inlineStr">
        <is>
          <t>NORRTÄLJE</t>
        </is>
      </c>
      <c r="G583" t="n">
        <v>3.9</v>
      </c>
      <c r="H583" t="n">
        <v>0</v>
      </c>
      <c r="I583" t="n">
        <v>0</v>
      </c>
      <c r="J583" t="n">
        <v>0</v>
      </c>
      <c r="K583" t="n">
        <v>0</v>
      </c>
      <c r="L583" t="n">
        <v>0</v>
      </c>
      <c r="M583" t="n">
        <v>0</v>
      </c>
      <c r="N583" t="n">
        <v>0</v>
      </c>
      <c r="O583" t="n">
        <v>0</v>
      </c>
      <c r="P583" t="n">
        <v>0</v>
      </c>
      <c r="Q583" t="n">
        <v>0</v>
      </c>
      <c r="R583" s="2" t="inlineStr"/>
    </row>
    <row r="584" ht="15" customHeight="1">
      <c r="A584" t="inlineStr">
        <is>
          <t>A 8489-2026</t>
        </is>
      </c>
      <c r="B584" s="1" t="n">
        <v>46065.48268518518</v>
      </c>
      <c r="C584" s="1" t="n">
        <v>46136</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8985-2026</t>
        </is>
      </c>
      <c r="B585" s="1" t="n">
        <v>46069.45234953704</v>
      </c>
      <c r="C585" s="1" t="n">
        <v>46136</v>
      </c>
      <c r="D585" t="inlineStr">
        <is>
          <t>STOCKHOLMS LÄN</t>
        </is>
      </c>
      <c r="E585" t="inlineStr">
        <is>
          <t>NORRTÄLJE</t>
        </is>
      </c>
      <c r="F585" t="inlineStr">
        <is>
          <t>Holmen skog AB</t>
        </is>
      </c>
      <c r="G585" t="n">
        <v>1.1</v>
      </c>
      <c r="H585" t="n">
        <v>0</v>
      </c>
      <c r="I585" t="n">
        <v>0</v>
      </c>
      <c r="J585" t="n">
        <v>0</v>
      </c>
      <c r="K585" t="n">
        <v>0</v>
      </c>
      <c r="L585" t="n">
        <v>0</v>
      </c>
      <c r="M585" t="n">
        <v>0</v>
      </c>
      <c r="N585" t="n">
        <v>0</v>
      </c>
      <c r="O585" t="n">
        <v>0</v>
      </c>
      <c r="P585" t="n">
        <v>0</v>
      </c>
      <c r="Q585" t="n">
        <v>0</v>
      </c>
      <c r="R585" s="2" t="inlineStr"/>
    </row>
    <row r="586" ht="15" customHeight="1">
      <c r="A586" t="inlineStr">
        <is>
          <t>A 8296-2023</t>
        </is>
      </c>
      <c r="B586" s="1" t="n">
        <v>44974</v>
      </c>
      <c r="C586" s="1" t="n">
        <v>46136</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19058-2024</t>
        </is>
      </c>
      <c r="B587" s="1" t="n">
        <v>45427.89121527778</v>
      </c>
      <c r="C587" s="1" t="n">
        <v>46136</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31236-2022</t>
        </is>
      </c>
      <c r="B588" s="1" t="n">
        <v>44771</v>
      </c>
      <c r="C588" s="1" t="n">
        <v>46136</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35110-2025</t>
        </is>
      </c>
      <c r="B589" s="1" t="n">
        <v>45852.58030092593</v>
      </c>
      <c r="C589" s="1" t="n">
        <v>46136</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52593-2024</t>
        </is>
      </c>
      <c r="B590" s="1" t="n">
        <v>45609.70778935185</v>
      </c>
      <c r="C590" s="1" t="n">
        <v>46136</v>
      </c>
      <c r="D590" t="inlineStr">
        <is>
          <t>STOCKHOLMS LÄN</t>
        </is>
      </c>
      <c r="E590" t="inlineStr">
        <is>
          <t>NORRTÄLJE</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52617-2024</t>
        </is>
      </c>
      <c r="B591" s="1" t="n">
        <v>45609.85146990741</v>
      </c>
      <c r="C591" s="1" t="n">
        <v>46136</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27824-2022</t>
        </is>
      </c>
      <c r="B592" s="1" t="n">
        <v>44743.59331018518</v>
      </c>
      <c r="C592" s="1" t="n">
        <v>46136</v>
      </c>
      <c r="D592" t="inlineStr">
        <is>
          <t>STOCKHOLMS LÄN</t>
        </is>
      </c>
      <c r="E592" t="inlineStr">
        <is>
          <t>NORRTÄLJE</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19057-2024</t>
        </is>
      </c>
      <c r="B593" s="1" t="n">
        <v>45427.88731481481</v>
      </c>
      <c r="C593" s="1" t="n">
        <v>46136</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35254-2025</t>
        </is>
      </c>
      <c r="B594" s="1" t="n">
        <v>45853</v>
      </c>
      <c r="C594" s="1" t="n">
        <v>46136</v>
      </c>
      <c r="D594" t="inlineStr">
        <is>
          <t>STOCKHOLMS LÄN</t>
        </is>
      </c>
      <c r="E594" t="inlineStr">
        <is>
          <t>NORRTÄLJE</t>
        </is>
      </c>
      <c r="G594" t="n">
        <v>6.5</v>
      </c>
      <c r="H594" t="n">
        <v>0</v>
      </c>
      <c r="I594" t="n">
        <v>0</v>
      </c>
      <c r="J594" t="n">
        <v>0</v>
      </c>
      <c r="K594" t="n">
        <v>0</v>
      </c>
      <c r="L594" t="n">
        <v>0</v>
      </c>
      <c r="M594" t="n">
        <v>0</v>
      </c>
      <c r="N594" t="n">
        <v>0</v>
      </c>
      <c r="O594" t="n">
        <v>0</v>
      </c>
      <c r="P594" t="n">
        <v>0</v>
      </c>
      <c r="Q594" t="n">
        <v>0</v>
      </c>
      <c r="R594" s="2" t="inlineStr"/>
    </row>
    <row r="595" ht="15" customHeight="1">
      <c r="A595" t="inlineStr">
        <is>
          <t>A 35479-2025</t>
        </is>
      </c>
      <c r="B595" s="1" t="n">
        <v>45855.69387731481</v>
      </c>
      <c r="C595" s="1" t="n">
        <v>46136</v>
      </c>
      <c r="D595" t="inlineStr">
        <is>
          <t>STOCKHOLMS LÄN</t>
        </is>
      </c>
      <c r="E595" t="inlineStr">
        <is>
          <t>NORRTÄLJE</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47521-2024</t>
        </is>
      </c>
      <c r="B596" s="1" t="n">
        <v>45587.62565972222</v>
      </c>
      <c r="C596" s="1" t="n">
        <v>46136</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15733-2025</t>
        </is>
      </c>
      <c r="B597" s="1" t="n">
        <v>45748</v>
      </c>
      <c r="C597" s="1" t="n">
        <v>46136</v>
      </c>
      <c r="D597" t="inlineStr">
        <is>
          <t>STOCKHOLMS LÄN</t>
        </is>
      </c>
      <c r="E597" t="inlineStr">
        <is>
          <t>NORRTÄLJE</t>
        </is>
      </c>
      <c r="G597" t="n">
        <v>13.3</v>
      </c>
      <c r="H597" t="n">
        <v>0</v>
      </c>
      <c r="I597" t="n">
        <v>0</v>
      </c>
      <c r="J597" t="n">
        <v>0</v>
      </c>
      <c r="K597" t="n">
        <v>0</v>
      </c>
      <c r="L597" t="n">
        <v>0</v>
      </c>
      <c r="M597" t="n">
        <v>0</v>
      </c>
      <c r="N597" t="n">
        <v>0</v>
      </c>
      <c r="O597" t="n">
        <v>0</v>
      </c>
      <c r="P597" t="n">
        <v>0</v>
      </c>
      <c r="Q597" t="n">
        <v>0</v>
      </c>
      <c r="R597" s="2" t="inlineStr"/>
    </row>
    <row r="598" ht="15" customHeight="1">
      <c r="A598" t="inlineStr">
        <is>
          <t>A 35451-2025</t>
        </is>
      </c>
      <c r="B598" s="1" t="n">
        <v>45855.57033564815</v>
      </c>
      <c r="C598" s="1" t="n">
        <v>46136</v>
      </c>
      <c r="D598" t="inlineStr">
        <is>
          <t>STOCKHOLMS LÄN</t>
        </is>
      </c>
      <c r="E598" t="inlineStr">
        <is>
          <t>NORRTÄLJE</t>
        </is>
      </c>
      <c r="F598" t="inlineStr">
        <is>
          <t>Holmen skog AB</t>
        </is>
      </c>
      <c r="G598" t="n">
        <v>7.4</v>
      </c>
      <c r="H598" t="n">
        <v>0</v>
      </c>
      <c r="I598" t="n">
        <v>0</v>
      </c>
      <c r="J598" t="n">
        <v>0</v>
      </c>
      <c r="K598" t="n">
        <v>0</v>
      </c>
      <c r="L598" t="n">
        <v>0</v>
      </c>
      <c r="M598" t="n">
        <v>0</v>
      </c>
      <c r="N598" t="n">
        <v>0</v>
      </c>
      <c r="O598" t="n">
        <v>0</v>
      </c>
      <c r="P598" t="n">
        <v>0</v>
      </c>
      <c r="Q598" t="n">
        <v>0</v>
      </c>
      <c r="R598" s="2" t="inlineStr"/>
    </row>
    <row r="599" ht="15" customHeight="1">
      <c r="A599" t="inlineStr">
        <is>
          <t>A 35478-2025</t>
        </is>
      </c>
      <c r="B599" s="1" t="n">
        <v>45855.68413194444</v>
      </c>
      <c r="C599" s="1" t="n">
        <v>46136</v>
      </c>
      <c r="D599" t="inlineStr">
        <is>
          <t>STOCKHOLMS LÄN</t>
        </is>
      </c>
      <c r="E599" t="inlineStr">
        <is>
          <t>NORRTÄLJE</t>
        </is>
      </c>
      <c r="F599" t="inlineStr">
        <is>
          <t>Holmen skog AB</t>
        </is>
      </c>
      <c r="G599" t="n">
        <v>2.7</v>
      </c>
      <c r="H599" t="n">
        <v>0</v>
      </c>
      <c r="I599" t="n">
        <v>0</v>
      </c>
      <c r="J599" t="n">
        <v>0</v>
      </c>
      <c r="K599" t="n">
        <v>0</v>
      </c>
      <c r="L599" t="n">
        <v>0</v>
      </c>
      <c r="M599" t="n">
        <v>0</v>
      </c>
      <c r="N599" t="n">
        <v>0</v>
      </c>
      <c r="O599" t="n">
        <v>0</v>
      </c>
      <c r="P599" t="n">
        <v>0</v>
      </c>
      <c r="Q599" t="n">
        <v>0</v>
      </c>
      <c r="R599" s="2" t="inlineStr"/>
    </row>
    <row r="600" ht="15" customHeight="1">
      <c r="A600" t="inlineStr">
        <is>
          <t>A 9103-2026</t>
        </is>
      </c>
      <c r="B600" s="1" t="n">
        <v>46069.65039351852</v>
      </c>
      <c r="C600" s="1" t="n">
        <v>46136</v>
      </c>
      <c r="D600" t="inlineStr">
        <is>
          <t>STOCKHOLMS LÄN</t>
        </is>
      </c>
      <c r="E600" t="inlineStr">
        <is>
          <t>NORRTÄLJE</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50534-2024</t>
        </is>
      </c>
      <c r="B601" s="1" t="n">
        <v>45601.56726851852</v>
      </c>
      <c r="C601" s="1" t="n">
        <v>46136</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8989-2026</t>
        </is>
      </c>
      <c r="B602" s="1" t="n">
        <v>46069.45789351852</v>
      </c>
      <c r="C602" s="1" t="n">
        <v>46136</v>
      </c>
      <c r="D602" t="inlineStr">
        <is>
          <t>STOCKHOLMS LÄN</t>
        </is>
      </c>
      <c r="E602" t="inlineStr">
        <is>
          <t>NORRTÄLJE</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42094-2023</t>
        </is>
      </c>
      <c r="B603" s="1" t="n">
        <v>45177.61498842593</v>
      </c>
      <c r="C603" s="1" t="n">
        <v>46136</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58530-2024</t>
        </is>
      </c>
      <c r="B604" s="1" t="n">
        <v>45635.44788194444</v>
      </c>
      <c r="C604" s="1" t="n">
        <v>46136</v>
      </c>
      <c r="D604" t="inlineStr">
        <is>
          <t>STOCKHOLMS LÄN</t>
        </is>
      </c>
      <c r="E604" t="inlineStr">
        <is>
          <t>NORRTÄLJE</t>
        </is>
      </c>
      <c r="G604" t="n">
        <v>4.5</v>
      </c>
      <c r="H604" t="n">
        <v>0</v>
      </c>
      <c r="I604" t="n">
        <v>0</v>
      </c>
      <c r="J604" t="n">
        <v>0</v>
      </c>
      <c r="K604" t="n">
        <v>0</v>
      </c>
      <c r="L604" t="n">
        <v>0</v>
      </c>
      <c r="M604" t="n">
        <v>0</v>
      </c>
      <c r="N604" t="n">
        <v>0</v>
      </c>
      <c r="O604" t="n">
        <v>0</v>
      </c>
      <c r="P604" t="n">
        <v>0</v>
      </c>
      <c r="Q604" t="n">
        <v>0</v>
      </c>
      <c r="R604" s="2" t="inlineStr"/>
    </row>
    <row r="605" ht="15" customHeight="1">
      <c r="A605" t="inlineStr">
        <is>
          <t>A 30620-2022</t>
        </is>
      </c>
      <c r="B605" s="1" t="n">
        <v>44763.40914351852</v>
      </c>
      <c r="C605" s="1" t="n">
        <v>46136</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57602-2024</t>
        </is>
      </c>
      <c r="B606" s="1" t="n">
        <v>45630.52866898148</v>
      </c>
      <c r="C606" s="1" t="n">
        <v>46136</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11854-2025</t>
        </is>
      </c>
      <c r="B607" s="1" t="n">
        <v>45728.38924768518</v>
      </c>
      <c r="C607" s="1" t="n">
        <v>46136</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16243-2026</t>
        </is>
      </c>
      <c r="B608" s="1" t="n">
        <v>46111.45902777778</v>
      </c>
      <c r="C608" s="1" t="n">
        <v>46136</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1283-2025</t>
        </is>
      </c>
      <c r="B609" s="1" t="n">
        <v>45667.49878472222</v>
      </c>
      <c r="C609" s="1" t="n">
        <v>46136</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60217-2021</t>
        </is>
      </c>
      <c r="B610" s="1" t="n">
        <v>44495.5893287037</v>
      </c>
      <c r="C610" s="1" t="n">
        <v>46136</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10511-2025</t>
        </is>
      </c>
      <c r="B611" s="1" t="n">
        <v>45721.40780092592</v>
      </c>
      <c r="C611" s="1" t="n">
        <v>46136</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8962-2026</t>
        </is>
      </c>
      <c r="B612" s="1" t="n">
        <v>46069.41644675926</v>
      </c>
      <c r="C612" s="1" t="n">
        <v>46136</v>
      </c>
      <c r="D612" t="inlineStr">
        <is>
          <t>STOCKHOLMS LÄN</t>
        </is>
      </c>
      <c r="E612" t="inlineStr">
        <is>
          <t>NORRTÄLJE</t>
        </is>
      </c>
      <c r="F612" t="inlineStr">
        <is>
          <t>Holmen skog AB</t>
        </is>
      </c>
      <c r="G612" t="n">
        <v>4.1</v>
      </c>
      <c r="H612" t="n">
        <v>0</v>
      </c>
      <c r="I612" t="n">
        <v>0</v>
      </c>
      <c r="J612" t="n">
        <v>0</v>
      </c>
      <c r="K612" t="n">
        <v>0</v>
      </c>
      <c r="L612" t="n">
        <v>0</v>
      </c>
      <c r="M612" t="n">
        <v>0</v>
      </c>
      <c r="N612" t="n">
        <v>0</v>
      </c>
      <c r="O612" t="n">
        <v>0</v>
      </c>
      <c r="P612" t="n">
        <v>0</v>
      </c>
      <c r="Q612" t="n">
        <v>0</v>
      </c>
      <c r="R612" s="2" t="inlineStr"/>
    </row>
    <row r="613" ht="15" customHeight="1">
      <c r="A613" t="inlineStr">
        <is>
          <t>A 20698-2025</t>
        </is>
      </c>
      <c r="B613" s="1" t="n">
        <v>45776.47122685185</v>
      </c>
      <c r="C613" s="1" t="n">
        <v>46136</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16229-2026</t>
        </is>
      </c>
      <c r="B614" s="1" t="n">
        <v>46111.45084490741</v>
      </c>
      <c r="C614" s="1" t="n">
        <v>46136</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28900-2022</t>
        </is>
      </c>
      <c r="B615" s="1" t="n">
        <v>44749.55258101852</v>
      </c>
      <c r="C615" s="1" t="n">
        <v>46136</v>
      </c>
      <c r="D615" t="inlineStr">
        <is>
          <t>STOCKHOLMS LÄN</t>
        </is>
      </c>
      <c r="E615" t="inlineStr">
        <is>
          <t>NORRTÄLJE</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32514-2022</t>
        </is>
      </c>
      <c r="B616" s="1" t="n">
        <v>44782</v>
      </c>
      <c r="C616" s="1" t="n">
        <v>46136</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36396-2025</t>
        </is>
      </c>
      <c r="B617" s="1" t="n">
        <v>45868.62267361111</v>
      </c>
      <c r="C617" s="1" t="n">
        <v>46136</v>
      </c>
      <c r="D617" t="inlineStr">
        <is>
          <t>STOCKHOLMS LÄN</t>
        </is>
      </c>
      <c r="E617" t="inlineStr">
        <is>
          <t>NORRTÄLJE</t>
        </is>
      </c>
      <c r="G617" t="n">
        <v>4.1</v>
      </c>
      <c r="H617" t="n">
        <v>0</v>
      </c>
      <c r="I617" t="n">
        <v>0</v>
      </c>
      <c r="J617" t="n">
        <v>0</v>
      </c>
      <c r="K617" t="n">
        <v>0</v>
      </c>
      <c r="L617" t="n">
        <v>0</v>
      </c>
      <c r="M617" t="n">
        <v>0</v>
      </c>
      <c r="N617" t="n">
        <v>0</v>
      </c>
      <c r="O617" t="n">
        <v>0</v>
      </c>
      <c r="P617" t="n">
        <v>0</v>
      </c>
      <c r="Q617" t="n">
        <v>0</v>
      </c>
      <c r="R617" s="2" t="inlineStr"/>
    </row>
    <row r="618" ht="15" customHeight="1">
      <c r="A618" t="inlineStr">
        <is>
          <t>A 22232-2024</t>
        </is>
      </c>
      <c r="B618" s="1" t="n">
        <v>45446.4287962963</v>
      </c>
      <c r="C618" s="1" t="n">
        <v>46136</v>
      </c>
      <c r="D618" t="inlineStr">
        <is>
          <t>STOCKHOLMS LÄN</t>
        </is>
      </c>
      <c r="E618" t="inlineStr">
        <is>
          <t>NORRTÄLJE</t>
        </is>
      </c>
      <c r="G618" t="n">
        <v>12.8</v>
      </c>
      <c r="H618" t="n">
        <v>0</v>
      </c>
      <c r="I618" t="n">
        <v>0</v>
      </c>
      <c r="J618" t="n">
        <v>0</v>
      </c>
      <c r="K618" t="n">
        <v>0</v>
      </c>
      <c r="L618" t="n">
        <v>0</v>
      </c>
      <c r="M618" t="n">
        <v>0</v>
      </c>
      <c r="N618" t="n">
        <v>0</v>
      </c>
      <c r="O618" t="n">
        <v>0</v>
      </c>
      <c r="P618" t="n">
        <v>0</v>
      </c>
      <c r="Q618" t="n">
        <v>0</v>
      </c>
      <c r="R618" s="2" t="inlineStr"/>
    </row>
    <row r="619" ht="15" customHeight="1">
      <c r="A619" t="inlineStr">
        <is>
          <t>A 34444-2024</t>
        </is>
      </c>
      <c r="B619" s="1" t="n">
        <v>45525</v>
      </c>
      <c r="C619" s="1" t="n">
        <v>46136</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23125-2022</t>
        </is>
      </c>
      <c r="B620" s="1" t="n">
        <v>44719</v>
      </c>
      <c r="C620" s="1" t="n">
        <v>46136</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17025-2026</t>
        </is>
      </c>
      <c r="B621" s="1" t="n">
        <v>46113</v>
      </c>
      <c r="C621" s="1" t="n">
        <v>46136</v>
      </c>
      <c r="D621" t="inlineStr">
        <is>
          <t>STOCKHOLMS LÄN</t>
        </is>
      </c>
      <c r="E621" t="inlineStr">
        <is>
          <t>NORRTÄLJE</t>
        </is>
      </c>
      <c r="G621" t="n">
        <v>5.4</v>
      </c>
      <c r="H621" t="n">
        <v>0</v>
      </c>
      <c r="I621" t="n">
        <v>0</v>
      </c>
      <c r="J621" t="n">
        <v>0</v>
      </c>
      <c r="K621" t="n">
        <v>0</v>
      </c>
      <c r="L621" t="n">
        <v>0</v>
      </c>
      <c r="M621" t="n">
        <v>0</v>
      </c>
      <c r="N621" t="n">
        <v>0</v>
      </c>
      <c r="O621" t="n">
        <v>0</v>
      </c>
      <c r="P621" t="n">
        <v>0</v>
      </c>
      <c r="Q621" t="n">
        <v>0</v>
      </c>
      <c r="R621" s="2" t="inlineStr"/>
    </row>
    <row r="622" ht="15" customHeight="1">
      <c r="A622" t="inlineStr">
        <is>
          <t>A 9329-2023</t>
        </is>
      </c>
      <c r="B622" s="1" t="n">
        <v>44980</v>
      </c>
      <c r="C622" s="1" t="n">
        <v>46136</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6855-2025</t>
        </is>
      </c>
      <c r="B623" s="1" t="n">
        <v>45700</v>
      </c>
      <c r="C623" s="1" t="n">
        <v>46136</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9720-2026</t>
        </is>
      </c>
      <c r="B624" s="1" t="n">
        <v>46072.45061342593</v>
      </c>
      <c r="C624" s="1" t="n">
        <v>46136</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10399-2026</t>
        </is>
      </c>
      <c r="B625" s="1" t="n">
        <v>46077</v>
      </c>
      <c r="C625" s="1" t="n">
        <v>46136</v>
      </c>
      <c r="D625" t="inlineStr">
        <is>
          <t>STOCKHOLMS LÄN</t>
        </is>
      </c>
      <c r="E625" t="inlineStr">
        <is>
          <t>NORRTÄLJE</t>
        </is>
      </c>
      <c r="F625" t="inlineStr">
        <is>
          <t>Övriga Aktiebolag</t>
        </is>
      </c>
      <c r="G625" t="n">
        <v>0.2</v>
      </c>
      <c r="H625" t="n">
        <v>0</v>
      </c>
      <c r="I625" t="n">
        <v>0</v>
      </c>
      <c r="J625" t="n">
        <v>0</v>
      </c>
      <c r="K625" t="n">
        <v>0</v>
      </c>
      <c r="L625" t="n">
        <v>0</v>
      </c>
      <c r="M625" t="n">
        <v>0</v>
      </c>
      <c r="N625" t="n">
        <v>0</v>
      </c>
      <c r="O625" t="n">
        <v>0</v>
      </c>
      <c r="P625" t="n">
        <v>0</v>
      </c>
      <c r="Q625" t="n">
        <v>0</v>
      </c>
      <c r="R625" s="2" t="inlineStr"/>
    </row>
    <row r="626" ht="15" customHeight="1">
      <c r="A626" t="inlineStr">
        <is>
          <t>A 17215-2026</t>
        </is>
      </c>
      <c r="B626" s="1" t="n">
        <v>46119.36524305555</v>
      </c>
      <c r="C626" s="1" t="n">
        <v>46136</v>
      </c>
      <c r="D626" t="inlineStr">
        <is>
          <t>STOCKHOLMS LÄN</t>
        </is>
      </c>
      <c r="E626" t="inlineStr">
        <is>
          <t>NORRTÄLJE</t>
        </is>
      </c>
      <c r="F626" t="inlineStr">
        <is>
          <t>Holmen skog AB</t>
        </is>
      </c>
      <c r="G626" t="n">
        <v>3.8</v>
      </c>
      <c r="H626" t="n">
        <v>0</v>
      </c>
      <c r="I626" t="n">
        <v>0</v>
      </c>
      <c r="J626" t="n">
        <v>0</v>
      </c>
      <c r="K626" t="n">
        <v>0</v>
      </c>
      <c r="L626" t="n">
        <v>0</v>
      </c>
      <c r="M626" t="n">
        <v>0</v>
      </c>
      <c r="N626" t="n">
        <v>0</v>
      </c>
      <c r="O626" t="n">
        <v>0</v>
      </c>
      <c r="P626" t="n">
        <v>0</v>
      </c>
      <c r="Q626" t="n">
        <v>0</v>
      </c>
      <c r="R626" s="2" t="inlineStr"/>
    </row>
    <row r="627" ht="15" customHeight="1">
      <c r="A627" t="inlineStr">
        <is>
          <t>A 17220-2026</t>
        </is>
      </c>
      <c r="B627" s="1" t="n">
        <v>46119.37436342592</v>
      </c>
      <c r="C627" s="1" t="n">
        <v>46136</v>
      </c>
      <c r="D627" t="inlineStr">
        <is>
          <t>STOCKHOLMS LÄN</t>
        </is>
      </c>
      <c r="E627" t="inlineStr">
        <is>
          <t>NORRTÄLJE</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10429-2026</t>
        </is>
      </c>
      <c r="B628" s="1" t="n">
        <v>46077.3822337963</v>
      </c>
      <c r="C628" s="1" t="n">
        <v>46136</v>
      </c>
      <c r="D628" t="inlineStr">
        <is>
          <t>STOCKHOLMS LÄN</t>
        </is>
      </c>
      <c r="E628" t="inlineStr">
        <is>
          <t>NORRTÄLJE</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14873-2025</t>
        </is>
      </c>
      <c r="B629" s="1" t="n">
        <v>45743.44953703704</v>
      </c>
      <c r="C629" s="1" t="n">
        <v>46136</v>
      </c>
      <c r="D629" t="inlineStr">
        <is>
          <t>STOCKHOLMS LÄN</t>
        </is>
      </c>
      <c r="E629" t="inlineStr">
        <is>
          <t>NORRTÄLJE</t>
        </is>
      </c>
      <c r="G629" t="n">
        <v>10.2</v>
      </c>
      <c r="H629" t="n">
        <v>0</v>
      </c>
      <c r="I629" t="n">
        <v>0</v>
      </c>
      <c r="J629" t="n">
        <v>0</v>
      </c>
      <c r="K629" t="n">
        <v>0</v>
      </c>
      <c r="L629" t="n">
        <v>0</v>
      </c>
      <c r="M629" t="n">
        <v>0</v>
      </c>
      <c r="N629" t="n">
        <v>0</v>
      </c>
      <c r="O629" t="n">
        <v>0</v>
      </c>
      <c r="P629" t="n">
        <v>0</v>
      </c>
      <c r="Q629" t="n">
        <v>0</v>
      </c>
      <c r="R629" s="2" t="inlineStr"/>
    </row>
    <row r="630" ht="15" customHeight="1">
      <c r="A630" t="inlineStr">
        <is>
          <t>A 8135-2025</t>
        </is>
      </c>
      <c r="B630" s="1" t="n">
        <v>45707.84997685185</v>
      </c>
      <c r="C630" s="1" t="n">
        <v>46136</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17207-2026</t>
        </is>
      </c>
      <c r="B631" s="1" t="n">
        <v>46119.31914351852</v>
      </c>
      <c r="C631" s="1" t="n">
        <v>46136</v>
      </c>
      <c r="D631" t="inlineStr">
        <is>
          <t>STOCKHOLMS LÄN</t>
        </is>
      </c>
      <c r="E631" t="inlineStr">
        <is>
          <t>NORRTÄLJE</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31936-2022</t>
        </is>
      </c>
      <c r="B632" s="1" t="n">
        <v>44777</v>
      </c>
      <c r="C632" s="1" t="n">
        <v>46136</v>
      </c>
      <c r="D632" t="inlineStr">
        <is>
          <t>STOCKHOLMS LÄN</t>
        </is>
      </c>
      <c r="E632" t="inlineStr">
        <is>
          <t>NORRTÄLJE</t>
        </is>
      </c>
      <c r="G632" t="n">
        <v>5.2</v>
      </c>
      <c r="H632" t="n">
        <v>0</v>
      </c>
      <c r="I632" t="n">
        <v>0</v>
      </c>
      <c r="J632" t="n">
        <v>0</v>
      </c>
      <c r="K632" t="n">
        <v>0</v>
      </c>
      <c r="L632" t="n">
        <v>0</v>
      </c>
      <c r="M632" t="n">
        <v>0</v>
      </c>
      <c r="N632" t="n">
        <v>0</v>
      </c>
      <c r="O632" t="n">
        <v>0</v>
      </c>
      <c r="P632" t="n">
        <v>0</v>
      </c>
      <c r="Q632" t="n">
        <v>0</v>
      </c>
      <c r="R632" s="2" t="inlineStr"/>
    </row>
    <row r="633" ht="15" customHeight="1">
      <c r="A633" t="inlineStr">
        <is>
          <t>A 42038-2025</t>
        </is>
      </c>
      <c r="B633" s="1" t="n">
        <v>45903.61431712963</v>
      </c>
      <c r="C633" s="1" t="n">
        <v>46136</v>
      </c>
      <c r="D633" t="inlineStr">
        <is>
          <t>STOCKHOLMS LÄN</t>
        </is>
      </c>
      <c r="E633" t="inlineStr">
        <is>
          <t>NORRTÄLJE</t>
        </is>
      </c>
      <c r="F633" t="inlineStr">
        <is>
          <t>Sveaskog</t>
        </is>
      </c>
      <c r="G633" t="n">
        <v>6.4</v>
      </c>
      <c r="H633" t="n">
        <v>0</v>
      </c>
      <c r="I633" t="n">
        <v>0</v>
      </c>
      <c r="J633" t="n">
        <v>0</v>
      </c>
      <c r="K633" t="n">
        <v>0</v>
      </c>
      <c r="L633" t="n">
        <v>0</v>
      </c>
      <c r="M633" t="n">
        <v>0</v>
      </c>
      <c r="N633" t="n">
        <v>0</v>
      </c>
      <c r="O633" t="n">
        <v>0</v>
      </c>
      <c r="P633" t="n">
        <v>0</v>
      </c>
      <c r="Q633" t="n">
        <v>0</v>
      </c>
      <c r="R633" s="2" t="inlineStr"/>
    </row>
    <row r="634" ht="15" customHeight="1">
      <c r="A634" t="inlineStr">
        <is>
          <t>A 24887-2023</t>
        </is>
      </c>
      <c r="B634" s="1" t="n">
        <v>45085</v>
      </c>
      <c r="C634" s="1" t="n">
        <v>46136</v>
      </c>
      <c r="D634" t="inlineStr">
        <is>
          <t>STOCKHOLMS LÄN</t>
        </is>
      </c>
      <c r="E634" t="inlineStr">
        <is>
          <t>NORRTÄLJE</t>
        </is>
      </c>
      <c r="G634" t="n">
        <v>13.9</v>
      </c>
      <c r="H634" t="n">
        <v>0</v>
      </c>
      <c r="I634" t="n">
        <v>0</v>
      </c>
      <c r="J634" t="n">
        <v>0</v>
      </c>
      <c r="K634" t="n">
        <v>0</v>
      </c>
      <c r="L634" t="n">
        <v>0</v>
      </c>
      <c r="M634" t="n">
        <v>0</v>
      </c>
      <c r="N634" t="n">
        <v>0</v>
      </c>
      <c r="O634" t="n">
        <v>0</v>
      </c>
      <c r="P634" t="n">
        <v>0</v>
      </c>
      <c r="Q634" t="n">
        <v>0</v>
      </c>
      <c r="R634" s="2" t="inlineStr"/>
    </row>
    <row r="635" ht="15" customHeight="1">
      <c r="A635" t="inlineStr">
        <is>
          <t>A 10586-2026</t>
        </is>
      </c>
      <c r="B635" s="1" t="n">
        <v>46077.68192129629</v>
      </c>
      <c r="C635" s="1" t="n">
        <v>46136</v>
      </c>
      <c r="D635" t="inlineStr">
        <is>
          <t>STOCKHOLMS LÄN</t>
        </is>
      </c>
      <c r="E635" t="inlineStr">
        <is>
          <t>NORRTÄLJE</t>
        </is>
      </c>
      <c r="F635" t="inlineStr">
        <is>
          <t>Holmen skog AB</t>
        </is>
      </c>
      <c r="G635" t="n">
        <v>3.3</v>
      </c>
      <c r="H635" t="n">
        <v>0</v>
      </c>
      <c r="I635" t="n">
        <v>0</v>
      </c>
      <c r="J635" t="n">
        <v>0</v>
      </c>
      <c r="K635" t="n">
        <v>0</v>
      </c>
      <c r="L635" t="n">
        <v>0</v>
      </c>
      <c r="M635" t="n">
        <v>0</v>
      </c>
      <c r="N635" t="n">
        <v>0</v>
      </c>
      <c r="O635" t="n">
        <v>0</v>
      </c>
      <c r="P635" t="n">
        <v>0</v>
      </c>
      <c r="Q635" t="n">
        <v>0</v>
      </c>
      <c r="R635" s="2" t="inlineStr"/>
    </row>
    <row r="636" ht="15" customHeight="1">
      <c r="A636" t="inlineStr">
        <is>
          <t>A 10444-2026</t>
        </is>
      </c>
      <c r="B636" s="1" t="n">
        <v>46077.42230324074</v>
      </c>
      <c r="C636" s="1" t="n">
        <v>46136</v>
      </c>
      <c r="D636" t="inlineStr">
        <is>
          <t>STOCKHOLMS LÄN</t>
        </is>
      </c>
      <c r="E636" t="inlineStr">
        <is>
          <t>NORRTÄLJE</t>
        </is>
      </c>
      <c r="F636" t="inlineStr">
        <is>
          <t>Holmen skog AB</t>
        </is>
      </c>
      <c r="G636" t="n">
        <v>4.9</v>
      </c>
      <c r="H636" t="n">
        <v>0</v>
      </c>
      <c r="I636" t="n">
        <v>0</v>
      </c>
      <c r="J636" t="n">
        <v>0</v>
      </c>
      <c r="K636" t="n">
        <v>0</v>
      </c>
      <c r="L636" t="n">
        <v>0</v>
      </c>
      <c r="M636" t="n">
        <v>0</v>
      </c>
      <c r="N636" t="n">
        <v>0</v>
      </c>
      <c r="O636" t="n">
        <v>0</v>
      </c>
      <c r="P636" t="n">
        <v>0</v>
      </c>
      <c r="Q636" t="n">
        <v>0</v>
      </c>
      <c r="R636" s="2" t="inlineStr"/>
    </row>
    <row r="637" ht="15" customHeight="1">
      <c r="A637" t="inlineStr">
        <is>
          <t>A 56428-2023</t>
        </is>
      </c>
      <c r="B637" s="1" t="n">
        <v>45243.45289351852</v>
      </c>
      <c r="C637" s="1" t="n">
        <v>46136</v>
      </c>
      <c r="D637" t="inlineStr">
        <is>
          <t>STOCKHOLMS LÄN</t>
        </is>
      </c>
      <c r="E637" t="inlineStr">
        <is>
          <t>NORRTÄLJE</t>
        </is>
      </c>
      <c r="F637" t="inlineStr">
        <is>
          <t>Kyrkan</t>
        </is>
      </c>
      <c r="G637" t="n">
        <v>1.3</v>
      </c>
      <c r="H637" t="n">
        <v>0</v>
      </c>
      <c r="I637" t="n">
        <v>0</v>
      </c>
      <c r="J637" t="n">
        <v>0</v>
      </c>
      <c r="K637" t="n">
        <v>0</v>
      </c>
      <c r="L637" t="n">
        <v>0</v>
      </c>
      <c r="M637" t="n">
        <v>0</v>
      </c>
      <c r="N637" t="n">
        <v>0</v>
      </c>
      <c r="O637" t="n">
        <v>0</v>
      </c>
      <c r="P637" t="n">
        <v>0</v>
      </c>
      <c r="Q637" t="n">
        <v>0</v>
      </c>
      <c r="R637" s="2" t="inlineStr"/>
    </row>
    <row r="638" ht="15" customHeight="1">
      <c r="A638" t="inlineStr">
        <is>
          <t>A 10553-2026</t>
        </is>
      </c>
      <c r="B638" s="1" t="n">
        <v>46077.62944444444</v>
      </c>
      <c r="C638" s="1" t="n">
        <v>46136</v>
      </c>
      <c r="D638" t="inlineStr">
        <is>
          <t>STOCKHOLMS LÄN</t>
        </is>
      </c>
      <c r="E638" t="inlineStr">
        <is>
          <t>NORRTÄLJE</t>
        </is>
      </c>
      <c r="G638" t="n">
        <v>4.9</v>
      </c>
      <c r="H638" t="n">
        <v>0</v>
      </c>
      <c r="I638" t="n">
        <v>0</v>
      </c>
      <c r="J638" t="n">
        <v>0</v>
      </c>
      <c r="K638" t="n">
        <v>0</v>
      </c>
      <c r="L638" t="n">
        <v>0</v>
      </c>
      <c r="M638" t="n">
        <v>0</v>
      </c>
      <c r="N638" t="n">
        <v>0</v>
      </c>
      <c r="O638" t="n">
        <v>0</v>
      </c>
      <c r="P638" t="n">
        <v>0</v>
      </c>
      <c r="Q638" t="n">
        <v>0</v>
      </c>
      <c r="R638" s="2" t="inlineStr"/>
    </row>
    <row r="639" ht="15" customHeight="1">
      <c r="A639" t="inlineStr">
        <is>
          <t>A 30338-2022</t>
        </is>
      </c>
      <c r="B639" s="1" t="n">
        <v>44760</v>
      </c>
      <c r="C639" s="1" t="n">
        <v>46136</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18541-2023</t>
        </is>
      </c>
      <c r="B640" s="1" t="n">
        <v>45042.74291666667</v>
      </c>
      <c r="C640" s="1" t="n">
        <v>46136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32857-2021</t>
        </is>
      </c>
      <c r="B641" s="1" t="n">
        <v>44375</v>
      </c>
      <c r="C641" s="1" t="n">
        <v>46136</v>
      </c>
      <c r="D641" t="inlineStr">
        <is>
          <t>STOCKHOLMS LÄN</t>
        </is>
      </c>
      <c r="E641" t="inlineStr">
        <is>
          <t>NORRTÄLJE</t>
        </is>
      </c>
      <c r="G641" t="n">
        <v>2.9</v>
      </c>
      <c r="H641" t="n">
        <v>0</v>
      </c>
      <c r="I641" t="n">
        <v>0</v>
      </c>
      <c r="J641" t="n">
        <v>0</v>
      </c>
      <c r="K641" t="n">
        <v>0</v>
      </c>
      <c r="L641" t="n">
        <v>0</v>
      </c>
      <c r="M641" t="n">
        <v>0</v>
      </c>
      <c r="N641" t="n">
        <v>0</v>
      </c>
      <c r="O641" t="n">
        <v>0</v>
      </c>
      <c r="P641" t="n">
        <v>0</v>
      </c>
      <c r="Q641" t="n">
        <v>0</v>
      </c>
      <c r="R641" s="2" t="inlineStr"/>
    </row>
    <row r="642" ht="15" customHeight="1">
      <c r="A642" t="inlineStr">
        <is>
          <t>A 51325-2023</t>
        </is>
      </c>
      <c r="B642" s="1" t="n">
        <v>45219</v>
      </c>
      <c r="C642" s="1" t="n">
        <v>46136</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21729-2024</t>
        </is>
      </c>
      <c r="B643" s="1" t="n">
        <v>45442</v>
      </c>
      <c r="C643" s="1" t="n">
        <v>46136</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17209-2026</t>
        </is>
      </c>
      <c r="B644" s="1" t="n">
        <v>46119.33341435185</v>
      </c>
      <c r="C644" s="1" t="n">
        <v>46136</v>
      </c>
      <c r="D644" t="inlineStr">
        <is>
          <t>STOCKHOLMS LÄN</t>
        </is>
      </c>
      <c r="E644" t="inlineStr">
        <is>
          <t>NORRTÄLJE</t>
        </is>
      </c>
      <c r="F644" t="inlineStr">
        <is>
          <t>Holmen skog AB</t>
        </is>
      </c>
      <c r="G644" t="n">
        <v>2.7</v>
      </c>
      <c r="H644" t="n">
        <v>0</v>
      </c>
      <c r="I644" t="n">
        <v>0</v>
      </c>
      <c r="J644" t="n">
        <v>0</v>
      </c>
      <c r="K644" t="n">
        <v>0</v>
      </c>
      <c r="L644" t="n">
        <v>0</v>
      </c>
      <c r="M644" t="n">
        <v>0</v>
      </c>
      <c r="N644" t="n">
        <v>0</v>
      </c>
      <c r="O644" t="n">
        <v>0</v>
      </c>
      <c r="P644" t="n">
        <v>0</v>
      </c>
      <c r="Q644" t="n">
        <v>0</v>
      </c>
      <c r="R644" s="2" t="inlineStr"/>
    </row>
    <row r="645" ht="15" customHeight="1">
      <c r="A645" t="inlineStr">
        <is>
          <t>A 21894-2023</t>
        </is>
      </c>
      <c r="B645" s="1" t="n">
        <v>45068.51783564815</v>
      </c>
      <c r="C645" s="1" t="n">
        <v>46136</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37261-2025</t>
        </is>
      </c>
      <c r="B646" s="1" t="n">
        <v>45876.45253472222</v>
      </c>
      <c r="C646" s="1" t="n">
        <v>46136</v>
      </c>
      <c r="D646" t="inlineStr">
        <is>
          <t>STOCKHOLMS LÄN</t>
        </is>
      </c>
      <c r="E646" t="inlineStr">
        <is>
          <t>NORRTÄLJE</t>
        </is>
      </c>
      <c r="F646" t="inlineStr">
        <is>
          <t>Kommuner</t>
        </is>
      </c>
      <c r="G646" t="n">
        <v>2.2</v>
      </c>
      <c r="H646" t="n">
        <v>0</v>
      </c>
      <c r="I646" t="n">
        <v>0</v>
      </c>
      <c r="J646" t="n">
        <v>0</v>
      </c>
      <c r="K646" t="n">
        <v>0</v>
      </c>
      <c r="L646" t="n">
        <v>0</v>
      </c>
      <c r="M646" t="n">
        <v>0</v>
      </c>
      <c r="N646" t="n">
        <v>0</v>
      </c>
      <c r="O646" t="n">
        <v>0</v>
      </c>
      <c r="P646" t="n">
        <v>0</v>
      </c>
      <c r="Q646" t="n">
        <v>0</v>
      </c>
      <c r="R646" s="2" t="inlineStr"/>
    </row>
    <row r="647" ht="15" customHeight="1">
      <c r="A647" t="inlineStr">
        <is>
          <t>A 20692-2025</t>
        </is>
      </c>
      <c r="B647" s="1" t="n">
        <v>45776.46369212963</v>
      </c>
      <c r="C647" s="1" t="n">
        <v>46136</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21732-2023</t>
        </is>
      </c>
      <c r="B648" s="1" t="n">
        <v>45063</v>
      </c>
      <c r="C648" s="1" t="n">
        <v>46136</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17651-2026</t>
        </is>
      </c>
      <c r="B649" s="1" t="n">
        <v>46121.55334490741</v>
      </c>
      <c r="C649" s="1" t="n">
        <v>46136</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46071-2024</t>
        </is>
      </c>
      <c r="B650" s="1" t="n">
        <v>45581</v>
      </c>
      <c r="C650" s="1" t="n">
        <v>46136</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29369-2024</t>
        </is>
      </c>
      <c r="B651" s="1" t="n">
        <v>45483.57244212963</v>
      </c>
      <c r="C651" s="1" t="n">
        <v>46136</v>
      </c>
      <c r="D651" t="inlineStr">
        <is>
          <t>STOCKHOLMS LÄN</t>
        </is>
      </c>
      <c r="E651" t="inlineStr">
        <is>
          <t>NORRTÄLJE</t>
        </is>
      </c>
      <c r="G651" t="n">
        <v>15.9</v>
      </c>
      <c r="H651" t="n">
        <v>0</v>
      </c>
      <c r="I651" t="n">
        <v>0</v>
      </c>
      <c r="J651" t="n">
        <v>0</v>
      </c>
      <c r="K651" t="n">
        <v>0</v>
      </c>
      <c r="L651" t="n">
        <v>0</v>
      </c>
      <c r="M651" t="n">
        <v>0</v>
      </c>
      <c r="N651" t="n">
        <v>0</v>
      </c>
      <c r="O651" t="n">
        <v>0</v>
      </c>
      <c r="P651" t="n">
        <v>0</v>
      </c>
      <c r="Q651" t="n">
        <v>0</v>
      </c>
      <c r="R651" s="2" t="inlineStr"/>
    </row>
    <row r="652" ht="15" customHeight="1">
      <c r="A652" t="inlineStr">
        <is>
          <t>A 7806-2025</t>
        </is>
      </c>
      <c r="B652" s="1" t="n">
        <v>45706.61178240741</v>
      </c>
      <c r="C652" s="1" t="n">
        <v>46136</v>
      </c>
      <c r="D652" t="inlineStr">
        <is>
          <t>STOCKHOLMS LÄN</t>
        </is>
      </c>
      <c r="E652" t="inlineStr">
        <is>
          <t>NORRTÄLJE</t>
        </is>
      </c>
      <c r="F652" t="inlineStr">
        <is>
          <t>Holmen skog AB</t>
        </is>
      </c>
      <c r="G652" t="n">
        <v>3.5</v>
      </c>
      <c r="H652" t="n">
        <v>0</v>
      </c>
      <c r="I652" t="n">
        <v>0</v>
      </c>
      <c r="J652" t="n">
        <v>0</v>
      </c>
      <c r="K652" t="n">
        <v>0</v>
      </c>
      <c r="L652" t="n">
        <v>0</v>
      </c>
      <c r="M652" t="n">
        <v>0</v>
      </c>
      <c r="N652" t="n">
        <v>0</v>
      </c>
      <c r="O652" t="n">
        <v>0</v>
      </c>
      <c r="P652" t="n">
        <v>0</v>
      </c>
      <c r="Q652" t="n">
        <v>0</v>
      </c>
      <c r="R652" s="2" t="inlineStr"/>
    </row>
    <row r="653" ht="15" customHeight="1">
      <c r="A653" t="inlineStr">
        <is>
          <t>A 37630-2025</t>
        </is>
      </c>
      <c r="B653" s="1" t="n">
        <v>45880.46372685185</v>
      </c>
      <c r="C653" s="1" t="n">
        <v>46136</v>
      </c>
      <c r="D653" t="inlineStr">
        <is>
          <t>STOCKHOLMS LÄN</t>
        </is>
      </c>
      <c r="E653" t="inlineStr">
        <is>
          <t>NORRTÄLJE</t>
        </is>
      </c>
      <c r="F653" t="inlineStr">
        <is>
          <t>Sveaskog</t>
        </is>
      </c>
      <c r="G653" t="n">
        <v>12.9</v>
      </c>
      <c r="H653" t="n">
        <v>0</v>
      </c>
      <c r="I653" t="n">
        <v>0</v>
      </c>
      <c r="J653" t="n">
        <v>0</v>
      </c>
      <c r="K653" t="n">
        <v>0</v>
      </c>
      <c r="L653" t="n">
        <v>0</v>
      </c>
      <c r="M653" t="n">
        <v>0</v>
      </c>
      <c r="N653" t="n">
        <v>0</v>
      </c>
      <c r="O653" t="n">
        <v>0</v>
      </c>
      <c r="P653" t="n">
        <v>0</v>
      </c>
      <c r="Q653" t="n">
        <v>0</v>
      </c>
      <c r="R653" s="2" t="inlineStr"/>
    </row>
    <row r="654" ht="15" customHeight="1">
      <c r="A654" t="inlineStr">
        <is>
          <t>A 37444-2021</t>
        </is>
      </c>
      <c r="B654" s="1" t="n">
        <v>44398</v>
      </c>
      <c r="C654" s="1" t="n">
        <v>46136</v>
      </c>
      <c r="D654" t="inlineStr">
        <is>
          <t>STOCKHOLMS LÄN</t>
        </is>
      </c>
      <c r="E654" t="inlineStr">
        <is>
          <t>NORRTÄLJE</t>
        </is>
      </c>
      <c r="F654" t="inlineStr">
        <is>
          <t>Holmen skog AB</t>
        </is>
      </c>
      <c r="G654" t="n">
        <v>3.2</v>
      </c>
      <c r="H654" t="n">
        <v>0</v>
      </c>
      <c r="I654" t="n">
        <v>0</v>
      </c>
      <c r="J654" t="n">
        <v>0</v>
      </c>
      <c r="K654" t="n">
        <v>0</v>
      </c>
      <c r="L654" t="n">
        <v>0</v>
      </c>
      <c r="M654" t="n">
        <v>0</v>
      </c>
      <c r="N654" t="n">
        <v>0</v>
      </c>
      <c r="O654" t="n">
        <v>0</v>
      </c>
      <c r="P654" t="n">
        <v>0</v>
      </c>
      <c r="Q654" t="n">
        <v>0</v>
      </c>
      <c r="R654" s="2" t="inlineStr"/>
    </row>
    <row r="655" ht="15" customHeight="1">
      <c r="A655" t="inlineStr">
        <is>
          <t>A 37632-2025</t>
        </is>
      </c>
      <c r="B655" s="1" t="n">
        <v>45880.46524305556</v>
      </c>
      <c r="C655" s="1" t="n">
        <v>46136</v>
      </c>
      <c r="D655" t="inlineStr">
        <is>
          <t>STOCKHOLMS LÄN</t>
        </is>
      </c>
      <c r="E655" t="inlineStr">
        <is>
          <t>NORRTÄLJE</t>
        </is>
      </c>
      <c r="F655" t="inlineStr">
        <is>
          <t>Sveaskog</t>
        </is>
      </c>
      <c r="G655" t="n">
        <v>6.4</v>
      </c>
      <c r="H655" t="n">
        <v>0</v>
      </c>
      <c r="I655" t="n">
        <v>0</v>
      </c>
      <c r="J655" t="n">
        <v>0</v>
      </c>
      <c r="K655" t="n">
        <v>0</v>
      </c>
      <c r="L655" t="n">
        <v>0</v>
      </c>
      <c r="M655" t="n">
        <v>0</v>
      </c>
      <c r="N655" t="n">
        <v>0</v>
      </c>
      <c r="O655" t="n">
        <v>0</v>
      </c>
      <c r="P655" t="n">
        <v>0</v>
      </c>
      <c r="Q655" t="n">
        <v>0</v>
      </c>
      <c r="R655" s="2" t="inlineStr"/>
    </row>
    <row r="656" ht="15" customHeight="1">
      <c r="A656" t="inlineStr">
        <is>
          <t>A 29841-2024</t>
        </is>
      </c>
      <c r="B656" s="1" t="n">
        <v>45485.60261574074</v>
      </c>
      <c r="C656" s="1" t="n">
        <v>46136</v>
      </c>
      <c r="D656" t="inlineStr">
        <is>
          <t>STOCKHOLMS LÄN</t>
        </is>
      </c>
      <c r="E656" t="inlineStr">
        <is>
          <t>NORRTÄLJE</t>
        </is>
      </c>
      <c r="G656" t="n">
        <v>15.9</v>
      </c>
      <c r="H656" t="n">
        <v>0</v>
      </c>
      <c r="I656" t="n">
        <v>0</v>
      </c>
      <c r="J656" t="n">
        <v>0</v>
      </c>
      <c r="K656" t="n">
        <v>0</v>
      </c>
      <c r="L656" t="n">
        <v>0</v>
      </c>
      <c r="M656" t="n">
        <v>0</v>
      </c>
      <c r="N656" t="n">
        <v>0</v>
      </c>
      <c r="O656" t="n">
        <v>0</v>
      </c>
      <c r="P656" t="n">
        <v>0</v>
      </c>
      <c r="Q656" t="n">
        <v>0</v>
      </c>
      <c r="R656" s="2" t="inlineStr"/>
    </row>
    <row r="657" ht="15" customHeight="1">
      <c r="A657" t="inlineStr">
        <is>
          <t>A 10646-2026</t>
        </is>
      </c>
      <c r="B657" s="1" t="n">
        <v>46078.34157407407</v>
      </c>
      <c r="C657" s="1" t="n">
        <v>46136</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37628-2025</t>
        </is>
      </c>
      <c r="B658" s="1" t="n">
        <v>45880.46189814815</v>
      </c>
      <c r="C658" s="1" t="n">
        <v>46136</v>
      </c>
      <c r="D658" t="inlineStr">
        <is>
          <t>STOCKHOLMS LÄN</t>
        </is>
      </c>
      <c r="E658" t="inlineStr">
        <is>
          <t>NORRTÄLJE</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45173-2023</t>
        </is>
      </c>
      <c r="B659" s="1" t="n">
        <v>45191</v>
      </c>
      <c r="C659" s="1" t="n">
        <v>46136</v>
      </c>
      <c r="D659" t="inlineStr">
        <is>
          <t>STOCKHOLMS LÄN</t>
        </is>
      </c>
      <c r="E659" t="inlineStr">
        <is>
          <t>NORRTÄLJE</t>
        </is>
      </c>
      <c r="F659" t="inlineStr">
        <is>
          <t>Sveaskog</t>
        </is>
      </c>
      <c r="G659" t="n">
        <v>3.6</v>
      </c>
      <c r="H659" t="n">
        <v>0</v>
      </c>
      <c r="I659" t="n">
        <v>0</v>
      </c>
      <c r="J659" t="n">
        <v>0</v>
      </c>
      <c r="K659" t="n">
        <v>0</v>
      </c>
      <c r="L659" t="n">
        <v>0</v>
      </c>
      <c r="M659" t="n">
        <v>0</v>
      </c>
      <c r="N659" t="n">
        <v>0</v>
      </c>
      <c r="O659" t="n">
        <v>0</v>
      </c>
      <c r="P659" t="n">
        <v>0</v>
      </c>
      <c r="Q659" t="n">
        <v>0</v>
      </c>
      <c r="R659" s="2" t="inlineStr"/>
    </row>
    <row r="660" ht="15" customHeight="1">
      <c r="A660" t="inlineStr">
        <is>
          <t>A 41964-2025</t>
        </is>
      </c>
      <c r="B660" s="1" t="n">
        <v>45903.47270833333</v>
      </c>
      <c r="C660" s="1" t="n">
        <v>46136</v>
      </c>
      <c r="D660" t="inlineStr">
        <is>
          <t>STOCKHOLMS LÄN</t>
        </is>
      </c>
      <c r="E660" t="inlineStr">
        <is>
          <t>NORRTÄLJE</t>
        </is>
      </c>
      <c r="F660" t="inlineStr">
        <is>
          <t>Sveaskog</t>
        </is>
      </c>
      <c r="G660" t="n">
        <v>4</v>
      </c>
      <c r="H660" t="n">
        <v>0</v>
      </c>
      <c r="I660" t="n">
        <v>0</v>
      </c>
      <c r="J660" t="n">
        <v>0</v>
      </c>
      <c r="K660" t="n">
        <v>0</v>
      </c>
      <c r="L660" t="n">
        <v>0</v>
      </c>
      <c r="M660" t="n">
        <v>0</v>
      </c>
      <c r="N660" t="n">
        <v>0</v>
      </c>
      <c r="O660" t="n">
        <v>0</v>
      </c>
      <c r="P660" t="n">
        <v>0</v>
      </c>
      <c r="Q660" t="n">
        <v>0</v>
      </c>
      <c r="R660" s="2" t="inlineStr"/>
    </row>
    <row r="661" ht="15" customHeight="1">
      <c r="A661" t="inlineStr">
        <is>
          <t>A 24350-2025</t>
        </is>
      </c>
      <c r="B661" s="1" t="n">
        <v>45797.58350694444</v>
      </c>
      <c r="C661" s="1" t="n">
        <v>46136</v>
      </c>
      <c r="D661" t="inlineStr">
        <is>
          <t>STOCKHOLMS LÄN</t>
        </is>
      </c>
      <c r="E661" t="inlineStr">
        <is>
          <t>NORRTÄLJE</t>
        </is>
      </c>
      <c r="G661" t="n">
        <v>4.5</v>
      </c>
      <c r="H661" t="n">
        <v>0</v>
      </c>
      <c r="I661" t="n">
        <v>0</v>
      </c>
      <c r="J661" t="n">
        <v>0</v>
      </c>
      <c r="K661" t="n">
        <v>0</v>
      </c>
      <c r="L661" t="n">
        <v>0</v>
      </c>
      <c r="M661" t="n">
        <v>0</v>
      </c>
      <c r="N661" t="n">
        <v>0</v>
      </c>
      <c r="O661" t="n">
        <v>0</v>
      </c>
      <c r="P661" t="n">
        <v>0</v>
      </c>
      <c r="Q661" t="n">
        <v>0</v>
      </c>
      <c r="R661" s="2" t="inlineStr"/>
    </row>
    <row r="662" ht="15" customHeight="1">
      <c r="A662" t="inlineStr">
        <is>
          <t>A 41966-2025</t>
        </is>
      </c>
      <c r="B662" s="1" t="n">
        <v>45903.47456018518</v>
      </c>
      <c r="C662" s="1" t="n">
        <v>46136</v>
      </c>
      <c r="D662" t="inlineStr">
        <is>
          <t>STOCKHOLMS LÄN</t>
        </is>
      </c>
      <c r="E662" t="inlineStr">
        <is>
          <t>NORRTÄLJE</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26703-2025</t>
        </is>
      </c>
      <c r="B663" s="1" t="n">
        <v>45810.45263888889</v>
      </c>
      <c r="C663" s="1" t="n">
        <v>46136</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13137-2024</t>
        </is>
      </c>
      <c r="B664" s="1" t="n">
        <v>45386.34175925926</v>
      </c>
      <c r="C664" s="1" t="n">
        <v>46136</v>
      </c>
      <c r="D664" t="inlineStr">
        <is>
          <t>STOCKHOLMS LÄN</t>
        </is>
      </c>
      <c r="E664" t="inlineStr">
        <is>
          <t>NORRTÄLJE</t>
        </is>
      </c>
      <c r="G664" t="n">
        <v>5</v>
      </c>
      <c r="H664" t="n">
        <v>0</v>
      </c>
      <c r="I664" t="n">
        <v>0</v>
      </c>
      <c r="J664" t="n">
        <v>0</v>
      </c>
      <c r="K664" t="n">
        <v>0</v>
      </c>
      <c r="L664" t="n">
        <v>0</v>
      </c>
      <c r="M664" t="n">
        <v>0</v>
      </c>
      <c r="N664" t="n">
        <v>0</v>
      </c>
      <c r="O664" t="n">
        <v>0</v>
      </c>
      <c r="P664" t="n">
        <v>0</v>
      </c>
      <c r="Q664" t="n">
        <v>0</v>
      </c>
      <c r="R664" s="2" t="inlineStr"/>
    </row>
    <row r="665" ht="15" customHeight="1">
      <c r="A665" t="inlineStr">
        <is>
          <t>A 38153-2025</t>
        </is>
      </c>
      <c r="B665" s="1" t="n">
        <v>45882.59722222222</v>
      </c>
      <c r="C665" s="1" t="n">
        <v>46136</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44510.51422453704</v>
      </c>
      <c r="C666" s="1" t="n">
        <v>46136</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38720-2022</t>
        </is>
      </c>
      <c r="B667" s="1" t="n">
        <v>44815.74539351852</v>
      </c>
      <c r="C667" s="1" t="n">
        <v>46136</v>
      </c>
      <c r="D667" t="inlineStr">
        <is>
          <t>STOCKHOLMS LÄN</t>
        </is>
      </c>
      <c r="E667" t="inlineStr">
        <is>
          <t>NORRTÄLJE</t>
        </is>
      </c>
      <c r="G667" t="n">
        <v>2.5</v>
      </c>
      <c r="H667" t="n">
        <v>0</v>
      </c>
      <c r="I667" t="n">
        <v>0</v>
      </c>
      <c r="J667" t="n">
        <v>0</v>
      </c>
      <c r="K667" t="n">
        <v>0</v>
      </c>
      <c r="L667" t="n">
        <v>0</v>
      </c>
      <c r="M667" t="n">
        <v>0</v>
      </c>
      <c r="N667" t="n">
        <v>0</v>
      </c>
      <c r="O667" t="n">
        <v>0</v>
      </c>
      <c r="P667" t="n">
        <v>0</v>
      </c>
      <c r="Q667" t="n">
        <v>0</v>
      </c>
      <c r="R667" s="2" t="inlineStr"/>
    </row>
    <row r="668" ht="15" customHeight="1">
      <c r="A668" t="inlineStr">
        <is>
          <t>A 30699-2025</t>
        </is>
      </c>
      <c r="B668" s="1" t="n">
        <v>45831.54618055555</v>
      </c>
      <c r="C668" s="1" t="n">
        <v>46136</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34432-2021</t>
        </is>
      </c>
      <c r="B669" s="1" t="n">
        <v>44380.77346064815</v>
      </c>
      <c r="C669" s="1" t="n">
        <v>46136</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19911-2025</t>
        </is>
      </c>
      <c r="B670" s="1" t="n">
        <v>45771</v>
      </c>
      <c r="C670" s="1" t="n">
        <v>46136</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14130-2025</t>
        </is>
      </c>
      <c r="B671" s="1" t="n">
        <v>45740.47288194444</v>
      </c>
      <c r="C671" s="1" t="n">
        <v>46136</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12532-2025</t>
        </is>
      </c>
      <c r="B672" s="1" t="n">
        <v>45730.69143518519</v>
      </c>
      <c r="C672" s="1" t="n">
        <v>46136</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38593-2025</t>
        </is>
      </c>
      <c r="B673" s="1" t="n">
        <v>45884.48696759259</v>
      </c>
      <c r="C673" s="1" t="n">
        <v>46136</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40175-2024</t>
        </is>
      </c>
      <c r="B674" s="1" t="n">
        <v>45554.55707175926</v>
      </c>
      <c r="C674" s="1" t="n">
        <v>46136</v>
      </c>
      <c r="D674" t="inlineStr">
        <is>
          <t>STOCKHOLMS LÄN</t>
        </is>
      </c>
      <c r="E674" t="inlineStr">
        <is>
          <t>NORRTÄLJE</t>
        </is>
      </c>
      <c r="G674" t="n">
        <v>7.7</v>
      </c>
      <c r="H674" t="n">
        <v>0</v>
      </c>
      <c r="I674" t="n">
        <v>0</v>
      </c>
      <c r="J674" t="n">
        <v>0</v>
      </c>
      <c r="K674" t="n">
        <v>0</v>
      </c>
      <c r="L674" t="n">
        <v>0</v>
      </c>
      <c r="M674" t="n">
        <v>0</v>
      </c>
      <c r="N674" t="n">
        <v>0</v>
      </c>
      <c r="O674" t="n">
        <v>0</v>
      </c>
      <c r="P674" t="n">
        <v>0</v>
      </c>
      <c r="Q674" t="n">
        <v>0</v>
      </c>
      <c r="R674" s="2" t="inlineStr"/>
    </row>
    <row r="675" ht="15" customHeight="1">
      <c r="A675" t="inlineStr">
        <is>
          <t>A 16229-2022</t>
        </is>
      </c>
      <c r="B675" s="1" t="n">
        <v>44670.4190162037</v>
      </c>
      <c r="C675" s="1" t="n">
        <v>46136</v>
      </c>
      <c r="D675" t="inlineStr">
        <is>
          <t>STOCKHOLMS LÄN</t>
        </is>
      </c>
      <c r="E675" t="inlineStr">
        <is>
          <t>NORRTÄLJE</t>
        </is>
      </c>
      <c r="G675" t="n">
        <v>7.4</v>
      </c>
      <c r="H675" t="n">
        <v>0</v>
      </c>
      <c r="I675" t="n">
        <v>0</v>
      </c>
      <c r="J675" t="n">
        <v>0</v>
      </c>
      <c r="K675" t="n">
        <v>0</v>
      </c>
      <c r="L675" t="n">
        <v>0</v>
      </c>
      <c r="M675" t="n">
        <v>0</v>
      </c>
      <c r="N675" t="n">
        <v>0</v>
      </c>
      <c r="O675" t="n">
        <v>0</v>
      </c>
      <c r="P675" t="n">
        <v>0</v>
      </c>
      <c r="Q675" t="n">
        <v>0</v>
      </c>
      <c r="R675" s="2" t="inlineStr"/>
    </row>
    <row r="676" ht="15" customHeight="1">
      <c r="A676" t="inlineStr">
        <is>
          <t>A 46914-2022</t>
        </is>
      </c>
      <c r="B676" s="1" t="n">
        <v>44851</v>
      </c>
      <c r="C676" s="1" t="n">
        <v>46136</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20244-2025</t>
        </is>
      </c>
      <c r="B677" s="1" t="n">
        <v>45772.71221064815</v>
      </c>
      <c r="C677" s="1" t="n">
        <v>46136</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50143-2023</t>
        </is>
      </c>
      <c r="B678" s="1" t="n">
        <v>45215</v>
      </c>
      <c r="C678" s="1" t="n">
        <v>46136</v>
      </c>
      <c r="D678" t="inlineStr">
        <is>
          <t>STOCKHOLMS LÄN</t>
        </is>
      </c>
      <c r="E678" t="inlineStr">
        <is>
          <t>NORRTÄLJE</t>
        </is>
      </c>
      <c r="G678" t="n">
        <v>10.3</v>
      </c>
      <c r="H678" t="n">
        <v>0</v>
      </c>
      <c r="I678" t="n">
        <v>0</v>
      </c>
      <c r="J678" t="n">
        <v>0</v>
      </c>
      <c r="K678" t="n">
        <v>0</v>
      </c>
      <c r="L678" t="n">
        <v>0</v>
      </c>
      <c r="M678" t="n">
        <v>0</v>
      </c>
      <c r="N678" t="n">
        <v>0</v>
      </c>
      <c r="O678" t="n">
        <v>0</v>
      </c>
      <c r="P678" t="n">
        <v>0</v>
      </c>
      <c r="Q678" t="n">
        <v>0</v>
      </c>
      <c r="R678" s="2" t="inlineStr"/>
    </row>
    <row r="679" ht="15" customHeight="1">
      <c r="A679" t="inlineStr">
        <is>
          <t>A 42856-2025</t>
        </is>
      </c>
      <c r="B679" s="1" t="n">
        <v>45908</v>
      </c>
      <c r="C679" s="1" t="n">
        <v>46136</v>
      </c>
      <c r="D679" t="inlineStr">
        <is>
          <t>STOCKHOLMS LÄN</t>
        </is>
      </c>
      <c r="E679" t="inlineStr">
        <is>
          <t>NORRTÄLJE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67921-2021</t>
        </is>
      </c>
      <c r="B680" s="1" t="n">
        <v>44525</v>
      </c>
      <c r="C680" s="1" t="n">
        <v>46136</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20011-2025</t>
        </is>
      </c>
      <c r="B681" s="1" t="n">
        <v>45772.29622685185</v>
      </c>
      <c r="C681" s="1" t="n">
        <v>46136</v>
      </c>
      <c r="D681" t="inlineStr">
        <is>
          <t>STOCKHOLMS LÄN</t>
        </is>
      </c>
      <c r="E681" t="inlineStr">
        <is>
          <t>NORRTÄLJE</t>
        </is>
      </c>
      <c r="G681" t="n">
        <v>3.5</v>
      </c>
      <c r="H681" t="n">
        <v>0</v>
      </c>
      <c r="I681" t="n">
        <v>0</v>
      </c>
      <c r="J681" t="n">
        <v>0</v>
      </c>
      <c r="K681" t="n">
        <v>0</v>
      </c>
      <c r="L681" t="n">
        <v>0</v>
      </c>
      <c r="M681" t="n">
        <v>0</v>
      </c>
      <c r="N681" t="n">
        <v>0</v>
      </c>
      <c r="O681" t="n">
        <v>0</v>
      </c>
      <c r="P681" t="n">
        <v>0</v>
      </c>
      <c r="Q681" t="n">
        <v>0</v>
      </c>
      <c r="R681" s="2" t="inlineStr"/>
    </row>
    <row r="682" ht="15" customHeight="1">
      <c r="A682" t="inlineStr">
        <is>
          <t>A 20015-2023</t>
        </is>
      </c>
      <c r="B682" s="1" t="n">
        <v>45054</v>
      </c>
      <c r="C682" s="1" t="n">
        <v>46136</v>
      </c>
      <c r="D682" t="inlineStr">
        <is>
          <t>STOCKHOLMS LÄN</t>
        </is>
      </c>
      <c r="E682" t="inlineStr">
        <is>
          <t>NORRTÄLJE</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11648-2026</t>
        </is>
      </c>
      <c r="B683" s="1" t="n">
        <v>46084.51575231482</v>
      </c>
      <c r="C683" s="1" t="n">
        <v>46136</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5027-2025</t>
        </is>
      </c>
      <c r="B684" s="1" t="n">
        <v>45691.41101851852</v>
      </c>
      <c r="C684" s="1" t="n">
        <v>46136</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8315-2025</t>
        </is>
      </c>
      <c r="B685" s="1" t="n">
        <v>45708.61761574074</v>
      </c>
      <c r="C685" s="1" t="n">
        <v>46136</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24835-2025</t>
        </is>
      </c>
      <c r="B686" s="1" t="n">
        <v>45799</v>
      </c>
      <c r="C686" s="1" t="n">
        <v>46136</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43169-2025</t>
        </is>
      </c>
      <c r="B687" s="1" t="n">
        <v>45910</v>
      </c>
      <c r="C687" s="1" t="n">
        <v>46136</v>
      </c>
      <c r="D687" t="inlineStr">
        <is>
          <t>STOCKHOLMS LÄN</t>
        </is>
      </c>
      <c r="E687" t="inlineStr">
        <is>
          <t>NORRTÄLJE</t>
        </is>
      </c>
      <c r="G687" t="n">
        <v>6.9</v>
      </c>
      <c r="H687" t="n">
        <v>0</v>
      </c>
      <c r="I687" t="n">
        <v>0</v>
      </c>
      <c r="J687" t="n">
        <v>0</v>
      </c>
      <c r="K687" t="n">
        <v>0</v>
      </c>
      <c r="L687" t="n">
        <v>0</v>
      </c>
      <c r="M687" t="n">
        <v>0</v>
      </c>
      <c r="N687" t="n">
        <v>0</v>
      </c>
      <c r="O687" t="n">
        <v>0</v>
      </c>
      <c r="P687" t="n">
        <v>0</v>
      </c>
      <c r="Q687" t="n">
        <v>0</v>
      </c>
      <c r="R687" s="2" t="inlineStr"/>
    </row>
    <row r="688" ht="15" customHeight="1">
      <c r="A688" t="inlineStr">
        <is>
          <t>A 43269-2025</t>
        </is>
      </c>
      <c r="B688" s="1" t="n">
        <v>45910.5819212963</v>
      </c>
      <c r="C688" s="1" t="n">
        <v>46136</v>
      </c>
      <c r="D688" t="inlineStr">
        <is>
          <t>STOCKHOLMS LÄN</t>
        </is>
      </c>
      <c r="E688" t="inlineStr">
        <is>
          <t>NORRTÄLJE</t>
        </is>
      </c>
      <c r="G688" t="n">
        <v>3.7</v>
      </c>
      <c r="H688" t="n">
        <v>0</v>
      </c>
      <c r="I688" t="n">
        <v>0</v>
      </c>
      <c r="J688" t="n">
        <v>0</v>
      </c>
      <c r="K688" t="n">
        <v>0</v>
      </c>
      <c r="L688" t="n">
        <v>0</v>
      </c>
      <c r="M688" t="n">
        <v>0</v>
      </c>
      <c r="N688" t="n">
        <v>0</v>
      </c>
      <c r="O688" t="n">
        <v>0</v>
      </c>
      <c r="P688" t="n">
        <v>0</v>
      </c>
      <c r="Q688" t="n">
        <v>0</v>
      </c>
      <c r="R688" s="2" t="inlineStr"/>
    </row>
    <row r="689" ht="15" customHeight="1">
      <c r="A689" t="inlineStr">
        <is>
          <t>A 12251-2025</t>
        </is>
      </c>
      <c r="B689" s="1" t="n">
        <v>45729.60859953704</v>
      </c>
      <c r="C689" s="1" t="n">
        <v>46136</v>
      </c>
      <c r="D689" t="inlineStr">
        <is>
          <t>STOCKHOLMS LÄN</t>
        </is>
      </c>
      <c r="E689" t="inlineStr">
        <is>
          <t>NORRTÄLJE</t>
        </is>
      </c>
      <c r="F689" t="inlineStr">
        <is>
          <t>Holmen skog AB</t>
        </is>
      </c>
      <c r="G689" t="n">
        <v>5.9</v>
      </c>
      <c r="H689" t="n">
        <v>0</v>
      </c>
      <c r="I689" t="n">
        <v>0</v>
      </c>
      <c r="J689" t="n">
        <v>0</v>
      </c>
      <c r="K689" t="n">
        <v>0</v>
      </c>
      <c r="L689" t="n">
        <v>0</v>
      </c>
      <c r="M689" t="n">
        <v>0</v>
      </c>
      <c r="N689" t="n">
        <v>0</v>
      </c>
      <c r="O689" t="n">
        <v>0</v>
      </c>
      <c r="P689" t="n">
        <v>0</v>
      </c>
      <c r="Q689" t="n">
        <v>0</v>
      </c>
      <c r="R689" s="2" t="inlineStr"/>
    </row>
    <row r="690" ht="15" customHeight="1">
      <c r="A690" t="inlineStr">
        <is>
          <t>A 12234-2026</t>
        </is>
      </c>
      <c r="B690" s="1" t="n">
        <v>46087.4091087963</v>
      </c>
      <c r="C690" s="1" t="n">
        <v>46136</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54776-2023</t>
        </is>
      </c>
      <c r="B691" s="1" t="n">
        <v>45236.46369212963</v>
      </c>
      <c r="C691" s="1" t="n">
        <v>46136</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20144-2023</t>
        </is>
      </c>
      <c r="B692" s="1" t="n">
        <v>45055.43509259259</v>
      </c>
      <c r="C692" s="1" t="n">
        <v>46136</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13314-2025</t>
        </is>
      </c>
      <c r="B693" s="1" t="n">
        <v>45735.59287037037</v>
      </c>
      <c r="C693" s="1" t="n">
        <v>46136</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30719-2025</t>
        </is>
      </c>
      <c r="B694" s="1" t="n">
        <v>45831</v>
      </c>
      <c r="C694" s="1" t="n">
        <v>46136</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19170-2026</t>
        </is>
      </c>
      <c r="B695" s="1" t="n">
        <v>46132.5859837963</v>
      </c>
      <c r="C695" s="1" t="n">
        <v>46136</v>
      </c>
      <c r="D695" t="inlineStr">
        <is>
          <t>STOCKHOLMS LÄN</t>
        </is>
      </c>
      <c r="E695" t="inlineStr">
        <is>
          <t>NORRTÄLJE</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59477-2025</t>
        </is>
      </c>
      <c r="B696" s="1" t="n">
        <v>45989.58679398148</v>
      </c>
      <c r="C696" s="1" t="n">
        <v>46136</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23056-2023</t>
        </is>
      </c>
      <c r="B697" s="1" t="n">
        <v>45075</v>
      </c>
      <c r="C697" s="1" t="n">
        <v>46136</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13172-2025</t>
        </is>
      </c>
      <c r="B698" s="1" t="n">
        <v>45735.36873842592</v>
      </c>
      <c r="C698" s="1" t="n">
        <v>46136</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19129-2026</t>
        </is>
      </c>
      <c r="B699" s="1" t="n">
        <v>46132.48601851852</v>
      </c>
      <c r="C699" s="1" t="n">
        <v>46136</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12718-2026</t>
        </is>
      </c>
      <c r="B700" s="1" t="n">
        <v>46091.60412037037</v>
      </c>
      <c r="C700" s="1" t="n">
        <v>46136</v>
      </c>
      <c r="D700" t="inlineStr">
        <is>
          <t>STOCKHOLMS LÄN</t>
        </is>
      </c>
      <c r="E700" t="inlineStr">
        <is>
          <t>NORRTÄLJE</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19025-2025</t>
        </is>
      </c>
      <c r="B701" s="1" t="n">
        <v>45764.6359837963</v>
      </c>
      <c r="C701" s="1" t="n">
        <v>46136</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44343-2025</t>
        </is>
      </c>
      <c r="B702" s="1" t="n">
        <v>45916.43378472222</v>
      </c>
      <c r="C702" s="1" t="n">
        <v>46136</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44596.66335648148</v>
      </c>
      <c r="C703" s="1" t="n">
        <v>46136</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43916-2025</t>
        </is>
      </c>
      <c r="B704" s="1" t="n">
        <v>45914.78884259259</v>
      </c>
      <c r="C704" s="1" t="n">
        <v>46136</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19352-2026</t>
        </is>
      </c>
      <c r="B705" s="1" t="n">
        <v>46133.47344907407</v>
      </c>
      <c r="C705" s="1" t="n">
        <v>46136</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44311-2025</t>
        </is>
      </c>
      <c r="B706" s="1" t="n">
        <v>45916.38394675926</v>
      </c>
      <c r="C706" s="1" t="n">
        <v>46136</v>
      </c>
      <c r="D706" t="inlineStr">
        <is>
          <t>STOCKHOLMS LÄN</t>
        </is>
      </c>
      <c r="E706" t="inlineStr">
        <is>
          <t>NORRTÄLJE</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44349-2025</t>
        </is>
      </c>
      <c r="B707" s="1" t="n">
        <v>45916.43929398148</v>
      </c>
      <c r="C707" s="1" t="n">
        <v>46136</v>
      </c>
      <c r="D707" t="inlineStr">
        <is>
          <t>STOCKHOLMS LÄN</t>
        </is>
      </c>
      <c r="E707" t="inlineStr">
        <is>
          <t>NORRTÄLJE</t>
        </is>
      </c>
      <c r="G707" t="n">
        <v>3.5</v>
      </c>
      <c r="H707" t="n">
        <v>0</v>
      </c>
      <c r="I707" t="n">
        <v>0</v>
      </c>
      <c r="J707" t="n">
        <v>0</v>
      </c>
      <c r="K707" t="n">
        <v>0</v>
      </c>
      <c r="L707" t="n">
        <v>0</v>
      </c>
      <c r="M707" t="n">
        <v>0</v>
      </c>
      <c r="N707" t="n">
        <v>0</v>
      </c>
      <c r="O707" t="n">
        <v>0</v>
      </c>
      <c r="P707" t="n">
        <v>0</v>
      </c>
      <c r="Q707" t="n">
        <v>0</v>
      </c>
      <c r="R707" s="2" t="inlineStr"/>
    </row>
    <row r="708" ht="15" customHeight="1">
      <c r="A708" t="inlineStr">
        <is>
          <t>A 12703-2026</t>
        </is>
      </c>
      <c r="B708" s="1" t="n">
        <v>46091.58175925926</v>
      </c>
      <c r="C708" s="1" t="n">
        <v>46136</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73307-2021</t>
        </is>
      </c>
      <c r="B709" s="1" t="n">
        <v>44549</v>
      </c>
      <c r="C709" s="1" t="n">
        <v>46136</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19358-2026</t>
        </is>
      </c>
      <c r="B710" s="1" t="n">
        <v>46133.4978125</v>
      </c>
      <c r="C710" s="1" t="n">
        <v>46136</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21731-2023</t>
        </is>
      </c>
      <c r="B711" s="1" t="n">
        <v>45063</v>
      </c>
      <c r="C711" s="1" t="n">
        <v>46136</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21745-2023</t>
        </is>
      </c>
      <c r="B712" s="1" t="n">
        <v>45065.55917824074</v>
      </c>
      <c r="C712" s="1" t="n">
        <v>46136</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44354-2025</t>
        </is>
      </c>
      <c r="B713" s="1" t="n">
        <v>45916.44655092592</v>
      </c>
      <c r="C713" s="1" t="n">
        <v>46136</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44333-2025</t>
        </is>
      </c>
      <c r="B714" s="1" t="n">
        <v>45916.42293981482</v>
      </c>
      <c r="C714" s="1" t="n">
        <v>46136</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44306-2025</t>
        </is>
      </c>
      <c r="B715" s="1" t="n">
        <v>45916.37736111111</v>
      </c>
      <c r="C715" s="1" t="n">
        <v>46136</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44937-2025</t>
        </is>
      </c>
      <c r="B716" s="1" t="n">
        <v>45918</v>
      </c>
      <c r="C716" s="1" t="n">
        <v>46136</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30221-2024</t>
        </is>
      </c>
      <c r="B717" s="1" t="n">
        <v>45490.45342592592</v>
      </c>
      <c r="C717" s="1" t="n">
        <v>46136</v>
      </c>
      <c r="D717" t="inlineStr">
        <is>
          <t>STOCKHOLMS LÄN</t>
        </is>
      </c>
      <c r="E717" t="inlineStr">
        <is>
          <t>NORRTÄLJE</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26365-2024</t>
        </is>
      </c>
      <c r="B718" s="1" t="n">
        <v>45469</v>
      </c>
      <c r="C718" s="1" t="n">
        <v>46136</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50602-2021</t>
        </is>
      </c>
      <c r="B719" s="1" t="n">
        <v>44459</v>
      </c>
      <c r="C719" s="1" t="n">
        <v>46136</v>
      </c>
      <c r="D719" t="inlineStr">
        <is>
          <t>STOCKHOLMS LÄN</t>
        </is>
      </c>
      <c r="E719" t="inlineStr">
        <is>
          <t>NORRTÄLJE</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48798-2021</t>
        </is>
      </c>
      <c r="B720" s="1" t="n">
        <v>44452</v>
      </c>
      <c r="C720" s="1" t="n">
        <v>46136</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22359-2025</t>
        </is>
      </c>
      <c r="B721" s="1" t="n">
        <v>45786</v>
      </c>
      <c r="C721" s="1" t="n">
        <v>46136</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13122-2026</t>
        </is>
      </c>
      <c r="B722" s="1" t="n">
        <v>46093.45657407407</v>
      </c>
      <c r="C722" s="1" t="n">
        <v>46136</v>
      </c>
      <c r="D722" t="inlineStr">
        <is>
          <t>STOCKHOLMS LÄN</t>
        </is>
      </c>
      <c r="E722" t="inlineStr">
        <is>
          <t>NORRTÄLJE</t>
        </is>
      </c>
      <c r="G722" t="n">
        <v>4</v>
      </c>
      <c r="H722" t="n">
        <v>0</v>
      </c>
      <c r="I722" t="n">
        <v>0</v>
      </c>
      <c r="J722" t="n">
        <v>0</v>
      </c>
      <c r="K722" t="n">
        <v>0</v>
      </c>
      <c r="L722" t="n">
        <v>0</v>
      </c>
      <c r="M722" t="n">
        <v>0</v>
      </c>
      <c r="N722" t="n">
        <v>0</v>
      </c>
      <c r="O722" t="n">
        <v>0</v>
      </c>
      <c r="P722" t="n">
        <v>0</v>
      </c>
      <c r="Q722" t="n">
        <v>0</v>
      </c>
      <c r="R722" s="2" t="inlineStr"/>
    </row>
    <row r="723" ht="15" customHeight="1">
      <c r="A723" t="inlineStr">
        <is>
          <t>A 14937-2026</t>
        </is>
      </c>
      <c r="B723" s="1" t="n">
        <v>46104</v>
      </c>
      <c r="C723" s="1" t="n">
        <v>46136</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17347-2026</t>
        </is>
      </c>
      <c r="B724" s="1" t="n">
        <v>46119</v>
      </c>
      <c r="C724" s="1" t="n">
        <v>46136</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13109-2026</t>
        </is>
      </c>
      <c r="B725" s="1" t="n">
        <v>46093.42730324074</v>
      </c>
      <c r="C725" s="1" t="n">
        <v>46136</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30283-2022</t>
        </is>
      </c>
      <c r="B726" s="1" t="n">
        <v>44760</v>
      </c>
      <c r="C726" s="1" t="n">
        <v>46136</v>
      </c>
      <c r="D726" t="inlineStr">
        <is>
          <t>STOCKHOLMS LÄN</t>
        </is>
      </c>
      <c r="E726" t="inlineStr">
        <is>
          <t>NORRTÄLJE</t>
        </is>
      </c>
      <c r="G726" t="n">
        <v>6.2</v>
      </c>
      <c r="H726" t="n">
        <v>0</v>
      </c>
      <c r="I726" t="n">
        <v>0</v>
      </c>
      <c r="J726" t="n">
        <v>0</v>
      </c>
      <c r="K726" t="n">
        <v>0</v>
      </c>
      <c r="L726" t="n">
        <v>0</v>
      </c>
      <c r="M726" t="n">
        <v>0</v>
      </c>
      <c r="N726" t="n">
        <v>0</v>
      </c>
      <c r="O726" t="n">
        <v>0</v>
      </c>
      <c r="P726" t="n">
        <v>0</v>
      </c>
      <c r="Q726" t="n">
        <v>0</v>
      </c>
      <c r="R726" s="2" t="inlineStr"/>
    </row>
    <row r="727" ht="15" customHeight="1">
      <c r="A727" t="inlineStr">
        <is>
          <t>A 30290-2022</t>
        </is>
      </c>
      <c r="B727" s="1" t="n">
        <v>44760</v>
      </c>
      <c r="C727" s="1" t="n">
        <v>46136</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17345-2026</t>
        </is>
      </c>
      <c r="B728" s="1" t="n">
        <v>46119</v>
      </c>
      <c r="C728" s="1" t="n">
        <v>46136</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38985-2022</t>
        </is>
      </c>
      <c r="B729" s="1" t="n">
        <v>44816</v>
      </c>
      <c r="C729" s="1" t="n">
        <v>46136</v>
      </c>
      <c r="D729" t="inlineStr">
        <is>
          <t>STOCKHOLMS LÄN</t>
        </is>
      </c>
      <c r="E729" t="inlineStr">
        <is>
          <t>NORRTÄLJE</t>
        </is>
      </c>
      <c r="G729" t="n">
        <v>10.1</v>
      </c>
      <c r="H729" t="n">
        <v>0</v>
      </c>
      <c r="I729" t="n">
        <v>0</v>
      </c>
      <c r="J729" t="n">
        <v>0</v>
      </c>
      <c r="K729" t="n">
        <v>0</v>
      </c>
      <c r="L729" t="n">
        <v>0</v>
      </c>
      <c r="M729" t="n">
        <v>0</v>
      </c>
      <c r="N729" t="n">
        <v>0</v>
      </c>
      <c r="O729" t="n">
        <v>0</v>
      </c>
      <c r="P729" t="n">
        <v>0</v>
      </c>
      <c r="Q729" t="n">
        <v>0</v>
      </c>
      <c r="R729" s="2" t="inlineStr"/>
    </row>
    <row r="730" ht="15" customHeight="1">
      <c r="A730" t="inlineStr">
        <is>
          <t>A 19688-2026</t>
        </is>
      </c>
      <c r="B730" s="1" t="n">
        <v>46134.67685185185</v>
      </c>
      <c r="C730" s="1" t="n">
        <v>46136</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25625-2023</t>
        </is>
      </c>
      <c r="B731" s="1" t="n">
        <v>45089</v>
      </c>
      <c r="C731" s="1" t="n">
        <v>46136</v>
      </c>
      <c r="D731" t="inlineStr">
        <is>
          <t>STOCKHOLMS LÄN</t>
        </is>
      </c>
      <c r="E731" t="inlineStr">
        <is>
          <t>NORRTÄLJE</t>
        </is>
      </c>
      <c r="G731" t="n">
        <v>5.5</v>
      </c>
      <c r="H731" t="n">
        <v>0</v>
      </c>
      <c r="I731" t="n">
        <v>0</v>
      </c>
      <c r="J731" t="n">
        <v>0</v>
      </c>
      <c r="K731" t="n">
        <v>0</v>
      </c>
      <c r="L731" t="n">
        <v>0</v>
      </c>
      <c r="M731" t="n">
        <v>0</v>
      </c>
      <c r="N731" t="n">
        <v>0</v>
      </c>
      <c r="O731" t="n">
        <v>0</v>
      </c>
      <c r="P731" t="n">
        <v>0</v>
      </c>
      <c r="Q731" t="n">
        <v>0</v>
      </c>
      <c r="R731" s="2" t="inlineStr"/>
    </row>
    <row r="732" ht="15" customHeight="1">
      <c r="A732" t="inlineStr">
        <is>
          <t>A 13204-2026</t>
        </is>
      </c>
      <c r="B732" s="1" t="n">
        <v>46093.60788194444</v>
      </c>
      <c r="C732" s="1" t="n">
        <v>46136</v>
      </c>
      <c r="D732" t="inlineStr">
        <is>
          <t>STOCKHOLMS LÄN</t>
        </is>
      </c>
      <c r="E732" t="inlineStr">
        <is>
          <t>NORRTÄLJE</t>
        </is>
      </c>
      <c r="G732" t="n">
        <v>3.5</v>
      </c>
      <c r="H732" t="n">
        <v>0</v>
      </c>
      <c r="I732" t="n">
        <v>0</v>
      </c>
      <c r="J732" t="n">
        <v>0</v>
      </c>
      <c r="K732" t="n">
        <v>0</v>
      </c>
      <c r="L732" t="n">
        <v>0</v>
      </c>
      <c r="M732" t="n">
        <v>0</v>
      </c>
      <c r="N732" t="n">
        <v>0</v>
      </c>
      <c r="O732" t="n">
        <v>0</v>
      </c>
      <c r="P732" t="n">
        <v>0</v>
      </c>
      <c r="Q732" t="n">
        <v>0</v>
      </c>
      <c r="R732" s="2" t="inlineStr"/>
    </row>
    <row r="733" ht="15" customHeight="1">
      <c r="A733" t="inlineStr">
        <is>
          <t>A 45697-2025</t>
        </is>
      </c>
      <c r="B733" s="1" t="n">
        <v>45923.39877314815</v>
      </c>
      <c r="C733" s="1" t="n">
        <v>46136</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19759-2026</t>
        </is>
      </c>
      <c r="B734" s="1" t="n">
        <v>46135.41234953704</v>
      </c>
      <c r="C734" s="1" t="n">
        <v>46136</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35256-2025</t>
        </is>
      </c>
      <c r="B735" s="1" t="n">
        <v>45853</v>
      </c>
      <c r="C735" s="1" t="n">
        <v>46136</v>
      </c>
      <c r="D735" t="inlineStr">
        <is>
          <t>STOCKHOLMS LÄN</t>
        </is>
      </c>
      <c r="E735" t="inlineStr">
        <is>
          <t>NORRTÄLJE</t>
        </is>
      </c>
      <c r="G735" t="n">
        <v>6.4</v>
      </c>
      <c r="H735" t="n">
        <v>0</v>
      </c>
      <c r="I735" t="n">
        <v>0</v>
      </c>
      <c r="J735" t="n">
        <v>0</v>
      </c>
      <c r="K735" t="n">
        <v>0</v>
      </c>
      <c r="L735" t="n">
        <v>0</v>
      </c>
      <c r="M735" t="n">
        <v>0</v>
      </c>
      <c r="N735" t="n">
        <v>0</v>
      </c>
      <c r="O735" t="n">
        <v>0</v>
      </c>
      <c r="P735" t="n">
        <v>0</v>
      </c>
      <c r="Q735" t="n">
        <v>0</v>
      </c>
      <c r="R735" s="2" t="inlineStr"/>
    </row>
    <row r="736" ht="15" customHeight="1">
      <c r="A736" t="inlineStr">
        <is>
          <t>A 46415-2025</t>
        </is>
      </c>
      <c r="B736" s="1" t="n">
        <v>45925.58636574074</v>
      </c>
      <c r="C736" s="1" t="n">
        <v>46136</v>
      </c>
      <c r="D736" t="inlineStr">
        <is>
          <t>STOCKHOLMS LÄN</t>
        </is>
      </c>
      <c r="E736" t="inlineStr">
        <is>
          <t>NORRTÄLJE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14132-2025</t>
        </is>
      </c>
      <c r="B737" s="1" t="n">
        <v>45740.47550925926</v>
      </c>
      <c r="C737" s="1" t="n">
        <v>46136</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14133-2025</t>
        </is>
      </c>
      <c r="B738" s="1" t="n">
        <v>45740.47724537037</v>
      </c>
      <c r="C738" s="1" t="n">
        <v>46136</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7186-2024</t>
        </is>
      </c>
      <c r="B739" s="1" t="n">
        <v>45344</v>
      </c>
      <c r="C739" s="1" t="n">
        <v>46136</v>
      </c>
      <c r="D739" t="inlineStr">
        <is>
          <t>STOCKHOLMS LÄN</t>
        </is>
      </c>
      <c r="E739" t="inlineStr">
        <is>
          <t>NORRTÄLJE</t>
        </is>
      </c>
      <c r="G739" t="n">
        <v>4.9</v>
      </c>
      <c r="H739" t="n">
        <v>0</v>
      </c>
      <c r="I739" t="n">
        <v>0</v>
      </c>
      <c r="J739" t="n">
        <v>0</v>
      </c>
      <c r="K739" t="n">
        <v>0</v>
      </c>
      <c r="L739" t="n">
        <v>0</v>
      </c>
      <c r="M739" t="n">
        <v>0</v>
      </c>
      <c r="N739" t="n">
        <v>0</v>
      </c>
      <c r="O739" t="n">
        <v>0</v>
      </c>
      <c r="P739" t="n">
        <v>0</v>
      </c>
      <c r="Q739" t="n">
        <v>0</v>
      </c>
      <c r="R739" s="2" t="inlineStr"/>
    </row>
    <row r="740" ht="15" customHeight="1">
      <c r="A740" t="inlineStr">
        <is>
          <t>A 47460-2025</t>
        </is>
      </c>
      <c r="B740" s="1" t="n">
        <v>45930.66012731481</v>
      </c>
      <c r="C740" s="1" t="n">
        <v>46136</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39202-2024</t>
        </is>
      </c>
      <c r="B741" s="1" t="n">
        <v>45548.72306712963</v>
      </c>
      <c r="C741" s="1" t="n">
        <v>46136</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46900-2025</t>
        </is>
      </c>
      <c r="B742" s="1" t="n">
        <v>45929.38712962963</v>
      </c>
      <c r="C742" s="1" t="n">
        <v>46136</v>
      </c>
      <c r="D742" t="inlineStr">
        <is>
          <t>STOCKHOLMS LÄN</t>
        </is>
      </c>
      <c r="E742" t="inlineStr">
        <is>
          <t>NORRTÄLJE</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47498-2025</t>
        </is>
      </c>
      <c r="B743" s="1" t="n">
        <v>45930.8134375</v>
      </c>
      <c r="C743" s="1" t="n">
        <v>46136</v>
      </c>
      <c r="D743" t="inlineStr">
        <is>
          <t>STOCKHOLMS LÄN</t>
        </is>
      </c>
      <c r="E743" t="inlineStr">
        <is>
          <t>NORRTÄLJE</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47496-2025</t>
        </is>
      </c>
      <c r="B744" s="1" t="n">
        <v>45930.79252314815</v>
      </c>
      <c r="C744" s="1" t="n">
        <v>46136</v>
      </c>
      <c r="D744" t="inlineStr">
        <is>
          <t>STOCKHOLMS LÄN</t>
        </is>
      </c>
      <c r="E744" t="inlineStr">
        <is>
          <t>NORRTÄLJE</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47497-2025</t>
        </is>
      </c>
      <c r="B745" s="1" t="n">
        <v>45930.80217592593</v>
      </c>
      <c r="C745" s="1" t="n">
        <v>46136</v>
      </c>
      <c r="D745" t="inlineStr">
        <is>
          <t>STOCKHOLMS LÄN</t>
        </is>
      </c>
      <c r="E745" t="inlineStr">
        <is>
          <t>NORRTÄLJE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53792-2023</t>
        </is>
      </c>
      <c r="B746" s="1" t="n">
        <v>45231.34144675926</v>
      </c>
      <c r="C746" s="1" t="n">
        <v>46136</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11280-2023</t>
        </is>
      </c>
      <c r="B747" s="1" t="n">
        <v>44992</v>
      </c>
      <c r="C747" s="1" t="n">
        <v>46136</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57442-2021</t>
        </is>
      </c>
      <c r="B748" s="1" t="n">
        <v>44483</v>
      </c>
      <c r="C748" s="1" t="n">
        <v>46136</v>
      </c>
      <c r="D748" t="inlineStr">
        <is>
          <t>STOCKHOLMS LÄN</t>
        </is>
      </c>
      <c r="E748" t="inlineStr">
        <is>
          <t>NORRTÄLJE</t>
        </is>
      </c>
      <c r="G748" t="n">
        <v>3.3</v>
      </c>
      <c r="H748" t="n">
        <v>0</v>
      </c>
      <c r="I748" t="n">
        <v>0</v>
      </c>
      <c r="J748" t="n">
        <v>0</v>
      </c>
      <c r="K748" t="n">
        <v>0</v>
      </c>
      <c r="L748" t="n">
        <v>0</v>
      </c>
      <c r="M748" t="n">
        <v>0</v>
      </c>
      <c r="N748" t="n">
        <v>0</v>
      </c>
      <c r="O748" t="n">
        <v>0</v>
      </c>
      <c r="P748" t="n">
        <v>0</v>
      </c>
      <c r="Q748" t="n">
        <v>0</v>
      </c>
      <c r="R748" s="2" t="inlineStr"/>
    </row>
    <row r="749" ht="15" customHeight="1">
      <c r="A749" t="inlineStr">
        <is>
          <t>A 19952-2023</t>
        </is>
      </c>
      <c r="B749" s="1" t="n">
        <v>45054.54091435186</v>
      </c>
      <c r="C749" s="1" t="n">
        <v>46136</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19994-2023</t>
        </is>
      </c>
      <c r="B750" s="1" t="n">
        <v>45054</v>
      </c>
      <c r="C750" s="1" t="n">
        <v>46136</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48718-2025</t>
        </is>
      </c>
      <c r="B751" s="1" t="n">
        <v>45936</v>
      </c>
      <c r="C751" s="1" t="n">
        <v>46136</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48360-2025</t>
        </is>
      </c>
      <c r="B752" s="1" t="n">
        <v>45933.66253472222</v>
      </c>
      <c r="C752" s="1" t="n">
        <v>46136</v>
      </c>
      <c r="D752" t="inlineStr">
        <is>
          <t>STOCKHOLMS LÄN</t>
        </is>
      </c>
      <c r="E752" t="inlineStr">
        <is>
          <t>NORRTÄLJE</t>
        </is>
      </c>
      <c r="G752" t="n">
        <v>4.1</v>
      </c>
      <c r="H752" t="n">
        <v>0</v>
      </c>
      <c r="I752" t="n">
        <v>0</v>
      </c>
      <c r="J752" t="n">
        <v>0</v>
      </c>
      <c r="K752" t="n">
        <v>0</v>
      </c>
      <c r="L752" t="n">
        <v>0</v>
      </c>
      <c r="M752" t="n">
        <v>0</v>
      </c>
      <c r="N752" t="n">
        <v>0</v>
      </c>
      <c r="O752" t="n">
        <v>0</v>
      </c>
      <c r="P752" t="n">
        <v>0</v>
      </c>
      <c r="Q752" t="n">
        <v>0</v>
      </c>
      <c r="R752" s="2" t="inlineStr"/>
    </row>
    <row r="753" ht="15" customHeight="1">
      <c r="A753" t="inlineStr">
        <is>
          <t>A 48370-2025</t>
        </is>
      </c>
      <c r="B753" s="1" t="n">
        <v>45933.67854166667</v>
      </c>
      <c r="C753" s="1" t="n">
        <v>46136</v>
      </c>
      <c r="D753" t="inlineStr">
        <is>
          <t>STOCKHOLMS LÄN</t>
        </is>
      </c>
      <c r="E753" t="inlineStr">
        <is>
          <t>NORRTÄLJE</t>
        </is>
      </c>
      <c r="G753" t="n">
        <v>4.5</v>
      </c>
      <c r="H753" t="n">
        <v>0</v>
      </c>
      <c r="I753" t="n">
        <v>0</v>
      </c>
      <c r="J753" t="n">
        <v>0</v>
      </c>
      <c r="K753" t="n">
        <v>0</v>
      </c>
      <c r="L753" t="n">
        <v>0</v>
      </c>
      <c r="M753" t="n">
        <v>0</v>
      </c>
      <c r="N753" t="n">
        <v>0</v>
      </c>
      <c r="O753" t="n">
        <v>0</v>
      </c>
      <c r="P753" t="n">
        <v>0</v>
      </c>
      <c r="Q753" t="n">
        <v>0</v>
      </c>
      <c r="R753" s="2" t="inlineStr"/>
    </row>
    <row r="754" ht="15" customHeight="1">
      <c r="A754" t="inlineStr">
        <is>
          <t>A 29003-2023</t>
        </is>
      </c>
      <c r="B754" s="1" t="n">
        <v>45104</v>
      </c>
      <c r="C754" s="1" t="n">
        <v>46136</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48443-2025</t>
        </is>
      </c>
      <c r="B755" s="1" t="n">
        <v>45935.55326388889</v>
      </c>
      <c r="C755" s="1" t="n">
        <v>46136</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48127-2025</t>
        </is>
      </c>
      <c r="B756" s="1" t="n">
        <v>45933.36621527778</v>
      </c>
      <c r="C756" s="1" t="n">
        <v>46136</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48364-2025</t>
        </is>
      </c>
      <c r="B757" s="1" t="n">
        <v>45933.66796296297</v>
      </c>
      <c r="C757" s="1" t="n">
        <v>46136</v>
      </c>
      <c r="D757" t="inlineStr">
        <is>
          <t>STOCKHOLMS LÄN</t>
        </is>
      </c>
      <c r="E757" t="inlineStr">
        <is>
          <t>NORRTÄLJE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48179-2025</t>
        </is>
      </c>
      <c r="B758" s="1" t="n">
        <v>45933.44907407407</v>
      </c>
      <c r="C758" s="1" t="n">
        <v>46136</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15956-2023</t>
        </is>
      </c>
      <c r="B759" s="1" t="n">
        <v>45022.61003472222</v>
      </c>
      <c r="C759" s="1" t="n">
        <v>46136</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48174-2025</t>
        </is>
      </c>
      <c r="B760" s="1" t="n">
        <v>45933.44230324074</v>
      </c>
      <c r="C760" s="1" t="n">
        <v>46136</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48593-2025</t>
        </is>
      </c>
      <c r="B761" s="1" t="n">
        <v>45936.4627662037</v>
      </c>
      <c r="C761" s="1" t="n">
        <v>46136</v>
      </c>
      <c r="D761" t="inlineStr">
        <is>
          <t>STOCKHOLMS LÄN</t>
        </is>
      </c>
      <c r="E761" t="inlineStr">
        <is>
          <t>NORRTÄLJE</t>
        </is>
      </c>
      <c r="G761" t="n">
        <v>4.2</v>
      </c>
      <c r="H761" t="n">
        <v>0</v>
      </c>
      <c r="I761" t="n">
        <v>0</v>
      </c>
      <c r="J761" t="n">
        <v>0</v>
      </c>
      <c r="K761" t="n">
        <v>0</v>
      </c>
      <c r="L761" t="n">
        <v>0</v>
      </c>
      <c r="M761" t="n">
        <v>0</v>
      </c>
      <c r="N761" t="n">
        <v>0</v>
      </c>
      <c r="O761" t="n">
        <v>0</v>
      </c>
      <c r="P761" t="n">
        <v>0</v>
      </c>
      <c r="Q761" t="n">
        <v>0</v>
      </c>
      <c r="R761" s="2" t="inlineStr"/>
    </row>
    <row r="762" ht="15" customHeight="1">
      <c r="A762" t="inlineStr">
        <is>
          <t>A 49129-2025</t>
        </is>
      </c>
      <c r="B762" s="1" t="n">
        <v>45937.89517361111</v>
      </c>
      <c r="C762" s="1" t="n">
        <v>46136</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48780-2025</t>
        </is>
      </c>
      <c r="B763" s="1" t="n">
        <v>45937.30377314815</v>
      </c>
      <c r="C763" s="1" t="n">
        <v>46136</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46136</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49836-2025</t>
        </is>
      </c>
      <c r="B765" s="1" t="n">
        <v>45940.46862268518</v>
      </c>
      <c r="C765" s="1" t="n">
        <v>46136</v>
      </c>
      <c r="D765" t="inlineStr">
        <is>
          <t>STOCKHOLMS LÄN</t>
        </is>
      </c>
      <c r="E765" t="inlineStr">
        <is>
          <t>NORRTÄLJE</t>
        </is>
      </c>
      <c r="G765" t="n">
        <v>3.5</v>
      </c>
      <c r="H765" t="n">
        <v>0</v>
      </c>
      <c r="I765" t="n">
        <v>0</v>
      </c>
      <c r="J765" t="n">
        <v>0</v>
      </c>
      <c r="K765" t="n">
        <v>0</v>
      </c>
      <c r="L765" t="n">
        <v>0</v>
      </c>
      <c r="M765" t="n">
        <v>0</v>
      </c>
      <c r="N765" t="n">
        <v>0</v>
      </c>
      <c r="O765" t="n">
        <v>0</v>
      </c>
      <c r="P765" t="n">
        <v>0</v>
      </c>
      <c r="Q765" t="n">
        <v>0</v>
      </c>
      <c r="R765" s="2" t="inlineStr"/>
    </row>
    <row r="766" ht="15" customHeight="1">
      <c r="A766" t="inlineStr">
        <is>
          <t>A 3383-2023</t>
        </is>
      </c>
      <c r="B766" s="1" t="n">
        <v>44949</v>
      </c>
      <c r="C766" s="1" t="n">
        <v>46136</v>
      </c>
      <c r="D766" t="inlineStr">
        <is>
          <t>STOCKHOLMS LÄN</t>
        </is>
      </c>
      <c r="E766" t="inlineStr">
        <is>
          <t>NORRTÄLJE</t>
        </is>
      </c>
      <c r="G766" t="n">
        <v>14.6</v>
      </c>
      <c r="H766" t="n">
        <v>0</v>
      </c>
      <c r="I766" t="n">
        <v>0</v>
      </c>
      <c r="J766" t="n">
        <v>0</v>
      </c>
      <c r="K766" t="n">
        <v>0</v>
      </c>
      <c r="L766" t="n">
        <v>0</v>
      </c>
      <c r="M766" t="n">
        <v>0</v>
      </c>
      <c r="N766" t="n">
        <v>0</v>
      </c>
      <c r="O766" t="n">
        <v>0</v>
      </c>
      <c r="P766" t="n">
        <v>0</v>
      </c>
      <c r="Q766" t="n">
        <v>0</v>
      </c>
      <c r="R766" s="2" t="inlineStr"/>
    </row>
    <row r="767" ht="15" customHeight="1">
      <c r="A767" t="inlineStr">
        <is>
          <t>A 4316-2023</t>
        </is>
      </c>
      <c r="B767" s="1" t="n">
        <v>44953.67443287037</v>
      </c>
      <c r="C767" s="1" t="n">
        <v>46136</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5839-2023</t>
        </is>
      </c>
      <c r="B768" s="1" t="n">
        <v>44963</v>
      </c>
      <c r="C768" s="1" t="n">
        <v>46136</v>
      </c>
      <c r="D768" t="inlineStr">
        <is>
          <t>STOCKHOLMS LÄN</t>
        </is>
      </c>
      <c r="E768" t="inlineStr">
        <is>
          <t>NORRTÄLJE</t>
        </is>
      </c>
      <c r="G768" t="n">
        <v>3.6</v>
      </c>
      <c r="H768" t="n">
        <v>0</v>
      </c>
      <c r="I768" t="n">
        <v>0</v>
      </c>
      <c r="J768" t="n">
        <v>0</v>
      </c>
      <c r="K768" t="n">
        <v>0</v>
      </c>
      <c r="L768" t="n">
        <v>0</v>
      </c>
      <c r="M768" t="n">
        <v>0</v>
      </c>
      <c r="N768" t="n">
        <v>0</v>
      </c>
      <c r="O768" t="n">
        <v>0</v>
      </c>
      <c r="P768" t="n">
        <v>0</v>
      </c>
      <c r="Q768" t="n">
        <v>0</v>
      </c>
      <c r="R768" s="2" t="inlineStr"/>
    </row>
    <row r="769" ht="15" customHeight="1">
      <c r="A769" t="inlineStr">
        <is>
          <t>A 5804-2025</t>
        </is>
      </c>
      <c r="B769" s="1" t="n">
        <v>45694.68207175926</v>
      </c>
      <c r="C769" s="1" t="n">
        <v>46136</v>
      </c>
      <c r="D769" t="inlineStr">
        <is>
          <t>STOCKHOLMS LÄN</t>
        </is>
      </c>
      <c r="E769" t="inlineStr">
        <is>
          <t>NORRTÄLJE</t>
        </is>
      </c>
      <c r="F769" t="inlineStr">
        <is>
          <t>Holmen skog AB</t>
        </is>
      </c>
      <c r="G769" t="n">
        <v>2.6</v>
      </c>
      <c r="H769" t="n">
        <v>0</v>
      </c>
      <c r="I769" t="n">
        <v>0</v>
      </c>
      <c r="J769" t="n">
        <v>0</v>
      </c>
      <c r="K769" t="n">
        <v>0</v>
      </c>
      <c r="L769" t="n">
        <v>0</v>
      </c>
      <c r="M769" t="n">
        <v>0</v>
      </c>
      <c r="N769" t="n">
        <v>0</v>
      </c>
      <c r="O769" t="n">
        <v>0</v>
      </c>
      <c r="P769" t="n">
        <v>0</v>
      </c>
      <c r="Q769" t="n">
        <v>0</v>
      </c>
      <c r="R769" s="2" t="inlineStr"/>
    </row>
    <row r="770" ht="15" customHeight="1">
      <c r="A770" t="inlineStr">
        <is>
          <t>A 24705-2023</t>
        </is>
      </c>
      <c r="B770" s="1" t="n">
        <v>45084.54459490741</v>
      </c>
      <c r="C770" s="1" t="n">
        <v>46136</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54358-2022</t>
        </is>
      </c>
      <c r="B771" s="1" t="n">
        <v>44882</v>
      </c>
      <c r="C771" s="1" t="n">
        <v>46136</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23749-2024</t>
        </is>
      </c>
      <c r="B772" s="1" t="n">
        <v>45455.33037037037</v>
      </c>
      <c r="C772" s="1" t="n">
        <v>46136</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35698-2023</t>
        </is>
      </c>
      <c r="B773" s="1" t="n">
        <v>45147</v>
      </c>
      <c r="C773" s="1" t="n">
        <v>46136</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50097-2025</t>
        </is>
      </c>
      <c r="B774" s="1" t="n">
        <v>45943.50207175926</v>
      </c>
      <c r="C774" s="1" t="n">
        <v>46136</v>
      </c>
      <c r="D774" t="inlineStr">
        <is>
          <t>STOCKHOLMS LÄN</t>
        </is>
      </c>
      <c r="E774" t="inlineStr">
        <is>
          <t>NORRTÄLJE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73992-2021</t>
        </is>
      </c>
      <c r="B775" s="1" t="n">
        <v>44556</v>
      </c>
      <c r="C775" s="1" t="n">
        <v>46136</v>
      </c>
      <c r="D775" t="inlineStr">
        <is>
          <t>STOCKHOLMS LÄN</t>
        </is>
      </c>
      <c r="E775" t="inlineStr">
        <is>
          <t>NORRTÄLJE</t>
        </is>
      </c>
      <c r="G775" t="n">
        <v>12.5</v>
      </c>
      <c r="H775" t="n">
        <v>0</v>
      </c>
      <c r="I775" t="n">
        <v>0</v>
      </c>
      <c r="J775" t="n">
        <v>0</v>
      </c>
      <c r="K775" t="n">
        <v>0</v>
      </c>
      <c r="L775" t="n">
        <v>0</v>
      </c>
      <c r="M775" t="n">
        <v>0</v>
      </c>
      <c r="N775" t="n">
        <v>0</v>
      </c>
      <c r="O775" t="n">
        <v>0</v>
      </c>
      <c r="P775" t="n">
        <v>0</v>
      </c>
      <c r="Q775" t="n">
        <v>0</v>
      </c>
      <c r="R775" s="2" t="inlineStr"/>
    </row>
    <row r="776" ht="15" customHeight="1">
      <c r="A776" t="inlineStr">
        <is>
          <t>A 21329-2022</t>
        </is>
      </c>
      <c r="B776" s="1" t="n">
        <v>44705.60626157407</v>
      </c>
      <c r="C776" s="1" t="n">
        <v>46136</v>
      </c>
      <c r="D776" t="inlineStr">
        <is>
          <t>STOCKHOLMS LÄN</t>
        </is>
      </c>
      <c r="E776" t="inlineStr">
        <is>
          <t>NORRTÄLJE</t>
        </is>
      </c>
      <c r="G776" t="n">
        <v>4.1</v>
      </c>
      <c r="H776" t="n">
        <v>0</v>
      </c>
      <c r="I776" t="n">
        <v>0</v>
      </c>
      <c r="J776" t="n">
        <v>0</v>
      </c>
      <c r="K776" t="n">
        <v>0</v>
      </c>
      <c r="L776" t="n">
        <v>0</v>
      </c>
      <c r="M776" t="n">
        <v>0</v>
      </c>
      <c r="N776" t="n">
        <v>0</v>
      </c>
      <c r="O776" t="n">
        <v>0</v>
      </c>
      <c r="P776" t="n">
        <v>0</v>
      </c>
      <c r="Q776" t="n">
        <v>0</v>
      </c>
      <c r="R776" s="2" t="inlineStr"/>
    </row>
    <row r="777" ht="15" customHeight="1">
      <c r="A777" t="inlineStr">
        <is>
          <t>A 50333-2025</t>
        </is>
      </c>
      <c r="B777" s="1" t="n">
        <v>45944.47178240741</v>
      </c>
      <c r="C777" s="1" t="n">
        <v>46136</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54276-2021</t>
        </is>
      </c>
      <c r="B778" s="1" t="n">
        <v>44470</v>
      </c>
      <c r="C778" s="1" t="n">
        <v>46136</v>
      </c>
      <c r="D778" t="inlineStr">
        <is>
          <t>STOCKHOLMS LÄN</t>
        </is>
      </c>
      <c r="E778" t="inlineStr">
        <is>
          <t>NORRTÄLJE</t>
        </is>
      </c>
      <c r="G778" t="n">
        <v>7.3</v>
      </c>
      <c r="H778" t="n">
        <v>0</v>
      </c>
      <c r="I778" t="n">
        <v>0</v>
      </c>
      <c r="J778" t="n">
        <v>0</v>
      </c>
      <c r="K778" t="n">
        <v>0</v>
      </c>
      <c r="L778" t="n">
        <v>0</v>
      </c>
      <c r="M778" t="n">
        <v>0</v>
      </c>
      <c r="N778" t="n">
        <v>0</v>
      </c>
      <c r="O778" t="n">
        <v>0</v>
      </c>
      <c r="P778" t="n">
        <v>0</v>
      </c>
      <c r="Q778" t="n">
        <v>0</v>
      </c>
      <c r="R778" s="2" t="inlineStr"/>
    </row>
    <row r="779" ht="15" customHeight="1">
      <c r="A779" t="inlineStr">
        <is>
          <t>A 50563-2025</t>
        </is>
      </c>
      <c r="B779" s="1" t="n">
        <v>45944</v>
      </c>
      <c r="C779" s="1" t="n">
        <v>46136</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50327-2025</t>
        </is>
      </c>
      <c r="B780" s="1" t="n">
        <v>45944.46387731482</v>
      </c>
      <c r="C780" s="1" t="n">
        <v>46136</v>
      </c>
      <c r="D780" t="inlineStr">
        <is>
          <t>STOCKHOLMS LÄN</t>
        </is>
      </c>
      <c r="E780" t="inlineStr">
        <is>
          <t>NORRTÄLJE</t>
        </is>
      </c>
      <c r="G780" t="n">
        <v>0.3</v>
      </c>
      <c r="H780" t="n">
        <v>0</v>
      </c>
      <c r="I780" t="n">
        <v>0</v>
      </c>
      <c r="J780" t="n">
        <v>0</v>
      </c>
      <c r="K780" t="n">
        <v>0</v>
      </c>
      <c r="L780" t="n">
        <v>0</v>
      </c>
      <c r="M780" t="n">
        <v>0</v>
      </c>
      <c r="N780" t="n">
        <v>0</v>
      </c>
      <c r="O780" t="n">
        <v>0</v>
      </c>
      <c r="P780" t="n">
        <v>0</v>
      </c>
      <c r="Q780" t="n">
        <v>0</v>
      </c>
      <c r="R780" s="2" t="inlineStr"/>
    </row>
    <row r="781" ht="15" customHeight="1">
      <c r="A781" t="inlineStr">
        <is>
          <t>A 10090-2022</t>
        </is>
      </c>
      <c r="B781" s="1" t="n">
        <v>44621</v>
      </c>
      <c r="C781" s="1" t="n">
        <v>46136</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13785-2024</t>
        </is>
      </c>
      <c r="B782" s="1" t="n">
        <v>45391.3395949074</v>
      </c>
      <c r="C782" s="1" t="n">
        <v>46136</v>
      </c>
      <c r="D782" t="inlineStr">
        <is>
          <t>STOCKHOLMS LÄN</t>
        </is>
      </c>
      <c r="E782" t="inlineStr">
        <is>
          <t>NORRTÄLJE</t>
        </is>
      </c>
      <c r="G782" t="n">
        <v>5</v>
      </c>
      <c r="H782" t="n">
        <v>0</v>
      </c>
      <c r="I782" t="n">
        <v>0</v>
      </c>
      <c r="J782" t="n">
        <v>0</v>
      </c>
      <c r="K782" t="n">
        <v>0</v>
      </c>
      <c r="L782" t="n">
        <v>0</v>
      </c>
      <c r="M782" t="n">
        <v>0</v>
      </c>
      <c r="N782" t="n">
        <v>0</v>
      </c>
      <c r="O782" t="n">
        <v>0</v>
      </c>
      <c r="P782" t="n">
        <v>0</v>
      </c>
      <c r="Q782" t="n">
        <v>0</v>
      </c>
      <c r="R782" s="2" t="inlineStr"/>
    </row>
    <row r="783" ht="15" customHeight="1">
      <c r="A783" t="inlineStr">
        <is>
          <t>A 51116-2022</t>
        </is>
      </c>
      <c r="B783" s="1" t="n">
        <v>44868.45741898148</v>
      </c>
      <c r="C783" s="1" t="n">
        <v>46136</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46136</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28809-2023</t>
        </is>
      </c>
      <c r="B785" s="1" t="n">
        <v>45104</v>
      </c>
      <c r="C785" s="1" t="n">
        <v>46136</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28813-2023</t>
        </is>
      </c>
      <c r="B786" s="1" t="n">
        <v>45104</v>
      </c>
      <c r="C786" s="1" t="n">
        <v>46136</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19131-2025</t>
        </is>
      </c>
      <c r="B787" s="1" t="n">
        <v>45769</v>
      </c>
      <c r="C787" s="1" t="n">
        <v>46136</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11929-2024</t>
        </is>
      </c>
      <c r="B788" s="1" t="n">
        <v>45376.64532407407</v>
      </c>
      <c r="C788" s="1" t="n">
        <v>46136</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51240-2025</t>
        </is>
      </c>
      <c r="B789" s="1" t="n">
        <v>45947.70420138889</v>
      </c>
      <c r="C789" s="1" t="n">
        <v>46136</v>
      </c>
      <c r="D789" t="inlineStr">
        <is>
          <t>STOCKHOLMS LÄN</t>
        </is>
      </c>
      <c r="E789" t="inlineStr">
        <is>
          <t>NORRTÄLJE</t>
        </is>
      </c>
      <c r="F789" t="inlineStr">
        <is>
          <t>Naturvårdsverket</t>
        </is>
      </c>
      <c r="G789" t="n">
        <v>3</v>
      </c>
      <c r="H789" t="n">
        <v>0</v>
      </c>
      <c r="I789" t="n">
        <v>0</v>
      </c>
      <c r="J789" t="n">
        <v>0</v>
      </c>
      <c r="K789" t="n">
        <v>0</v>
      </c>
      <c r="L789" t="n">
        <v>0</v>
      </c>
      <c r="M789" t="n">
        <v>0</v>
      </c>
      <c r="N789" t="n">
        <v>0</v>
      </c>
      <c r="O789" t="n">
        <v>0</v>
      </c>
      <c r="P789" t="n">
        <v>0</v>
      </c>
      <c r="Q789" t="n">
        <v>0</v>
      </c>
      <c r="R789" s="2" t="inlineStr"/>
    </row>
    <row r="790" ht="15" customHeight="1">
      <c r="A790" t="inlineStr">
        <is>
          <t>A 64145-2021</t>
        </is>
      </c>
      <c r="B790" s="1" t="n">
        <v>44510</v>
      </c>
      <c r="C790" s="1" t="n">
        <v>46136</v>
      </c>
      <c r="D790" t="inlineStr">
        <is>
          <t>STOCKHOLMS LÄN</t>
        </is>
      </c>
      <c r="E790" t="inlineStr">
        <is>
          <t>NORRTÄLJE</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45451-2024</t>
        </is>
      </c>
      <c r="B791" s="1" t="n">
        <v>45576</v>
      </c>
      <c r="C791" s="1" t="n">
        <v>46136</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51121-2025</t>
        </is>
      </c>
      <c r="B792" s="1" t="n">
        <v>45947.53293981482</v>
      </c>
      <c r="C792" s="1" t="n">
        <v>46136</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51532-2025</t>
        </is>
      </c>
      <c r="B793" s="1" t="n">
        <v>45950.68297453703</v>
      </c>
      <c r="C793" s="1" t="n">
        <v>46136</v>
      </c>
      <c r="D793" t="inlineStr">
        <is>
          <t>STOCKHOLMS LÄN</t>
        </is>
      </c>
      <c r="E793" t="inlineStr">
        <is>
          <t>NORRTÄLJE</t>
        </is>
      </c>
      <c r="F793" t="inlineStr">
        <is>
          <t>Naturvårdsverket</t>
        </is>
      </c>
      <c r="G793" t="n">
        <v>17.3</v>
      </c>
      <c r="H793" t="n">
        <v>0</v>
      </c>
      <c r="I793" t="n">
        <v>0</v>
      </c>
      <c r="J793" t="n">
        <v>0</v>
      </c>
      <c r="K793" t="n">
        <v>0</v>
      </c>
      <c r="L793" t="n">
        <v>0</v>
      </c>
      <c r="M793" t="n">
        <v>0</v>
      </c>
      <c r="N793" t="n">
        <v>0</v>
      </c>
      <c r="O793" t="n">
        <v>0</v>
      </c>
      <c r="P793" t="n">
        <v>0</v>
      </c>
      <c r="Q793" t="n">
        <v>0</v>
      </c>
      <c r="R793" s="2" t="inlineStr"/>
    </row>
    <row r="794" ht="15" customHeight="1">
      <c r="A794" t="inlineStr">
        <is>
          <t>A 51233-2025</t>
        </is>
      </c>
      <c r="B794" s="1" t="n">
        <v>45947.68232638889</v>
      </c>
      <c r="C794" s="1" t="n">
        <v>46136</v>
      </c>
      <c r="D794" t="inlineStr">
        <is>
          <t>STOCKHOLMS LÄN</t>
        </is>
      </c>
      <c r="E794" t="inlineStr">
        <is>
          <t>NORRTÄLJE</t>
        </is>
      </c>
      <c r="F794" t="inlineStr">
        <is>
          <t>Naturvårdsverket</t>
        </is>
      </c>
      <c r="G794" t="n">
        <v>8.1</v>
      </c>
      <c r="H794" t="n">
        <v>0</v>
      </c>
      <c r="I794" t="n">
        <v>0</v>
      </c>
      <c r="J794" t="n">
        <v>0</v>
      </c>
      <c r="K794" t="n">
        <v>0</v>
      </c>
      <c r="L794" t="n">
        <v>0</v>
      </c>
      <c r="M794" t="n">
        <v>0</v>
      </c>
      <c r="N794" t="n">
        <v>0</v>
      </c>
      <c r="O794" t="n">
        <v>0</v>
      </c>
      <c r="P794" t="n">
        <v>0</v>
      </c>
      <c r="Q794" t="n">
        <v>0</v>
      </c>
      <c r="R794" s="2" t="inlineStr"/>
    </row>
    <row r="795" ht="15" customHeight="1">
      <c r="A795" t="inlineStr">
        <is>
          <t>A 51236-2025</t>
        </is>
      </c>
      <c r="B795" s="1" t="n">
        <v>45947.69078703703</v>
      </c>
      <c r="C795" s="1" t="n">
        <v>46136</v>
      </c>
      <c r="D795" t="inlineStr">
        <is>
          <t>STOCKHOLMS LÄN</t>
        </is>
      </c>
      <c r="E795" t="inlineStr">
        <is>
          <t>NORRTÄLJE</t>
        </is>
      </c>
      <c r="F795" t="inlineStr">
        <is>
          <t>Naturvårdsverket</t>
        </is>
      </c>
      <c r="G795" t="n">
        <v>6.3</v>
      </c>
      <c r="H795" t="n">
        <v>0</v>
      </c>
      <c r="I795" t="n">
        <v>0</v>
      </c>
      <c r="J795" t="n">
        <v>0</v>
      </c>
      <c r="K795" t="n">
        <v>0</v>
      </c>
      <c r="L795" t="n">
        <v>0</v>
      </c>
      <c r="M795" t="n">
        <v>0</v>
      </c>
      <c r="N795" t="n">
        <v>0</v>
      </c>
      <c r="O795" t="n">
        <v>0</v>
      </c>
      <c r="P795" t="n">
        <v>0</v>
      </c>
      <c r="Q795" t="n">
        <v>0</v>
      </c>
      <c r="R795" s="2" t="inlineStr"/>
    </row>
    <row r="796" ht="15" customHeight="1">
      <c r="A796" t="inlineStr">
        <is>
          <t>A 51241-2025</t>
        </is>
      </c>
      <c r="B796" s="1" t="n">
        <v>45947.71726851852</v>
      </c>
      <c r="C796" s="1" t="n">
        <v>46136</v>
      </c>
      <c r="D796" t="inlineStr">
        <is>
          <t>STOCKHOLMS LÄN</t>
        </is>
      </c>
      <c r="E796" t="inlineStr">
        <is>
          <t>NORRTÄLJE</t>
        </is>
      </c>
      <c r="F796" t="inlineStr">
        <is>
          <t>Naturvårdsverket</t>
        </is>
      </c>
      <c r="G796" t="n">
        <v>6.4</v>
      </c>
      <c r="H796" t="n">
        <v>0</v>
      </c>
      <c r="I796" t="n">
        <v>0</v>
      </c>
      <c r="J796" t="n">
        <v>0</v>
      </c>
      <c r="K796" t="n">
        <v>0</v>
      </c>
      <c r="L796" t="n">
        <v>0</v>
      </c>
      <c r="M796" t="n">
        <v>0</v>
      </c>
      <c r="N796" t="n">
        <v>0</v>
      </c>
      <c r="O796" t="n">
        <v>0</v>
      </c>
      <c r="P796" t="n">
        <v>0</v>
      </c>
      <c r="Q796" t="n">
        <v>0</v>
      </c>
      <c r="R796" s="2" t="inlineStr"/>
    </row>
    <row r="797" ht="15" customHeight="1">
      <c r="A797" t="inlineStr">
        <is>
          <t>A 51122-2025</t>
        </is>
      </c>
      <c r="B797" s="1" t="n">
        <v>45947.53693287037</v>
      </c>
      <c r="C797" s="1" t="n">
        <v>46136</v>
      </c>
      <c r="D797" t="inlineStr">
        <is>
          <t>STOCKHOLMS LÄN</t>
        </is>
      </c>
      <c r="E797" t="inlineStr">
        <is>
          <t>NORRTÄLJE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17843-2024</t>
        </is>
      </c>
      <c r="B798" s="1" t="n">
        <v>45418</v>
      </c>
      <c r="C798" s="1" t="n">
        <v>46136</v>
      </c>
      <c r="D798" t="inlineStr">
        <is>
          <t>STOCKHOLMS LÄN</t>
        </is>
      </c>
      <c r="E798" t="inlineStr">
        <is>
          <t>NORRTÄLJE</t>
        </is>
      </c>
      <c r="G798" t="n">
        <v>5.4</v>
      </c>
      <c r="H798" t="n">
        <v>0</v>
      </c>
      <c r="I798" t="n">
        <v>0</v>
      </c>
      <c r="J798" t="n">
        <v>0</v>
      </c>
      <c r="K798" t="n">
        <v>0</v>
      </c>
      <c r="L798" t="n">
        <v>0</v>
      </c>
      <c r="M798" t="n">
        <v>0</v>
      </c>
      <c r="N798" t="n">
        <v>0</v>
      </c>
      <c r="O798" t="n">
        <v>0</v>
      </c>
      <c r="P798" t="n">
        <v>0</v>
      </c>
      <c r="Q798" t="n">
        <v>0</v>
      </c>
      <c r="R798" s="2" t="inlineStr"/>
    </row>
    <row r="799" ht="15" customHeight="1">
      <c r="A799" t="inlineStr">
        <is>
          <t>A 12890-2024</t>
        </is>
      </c>
      <c r="B799" s="1" t="n">
        <v>45385.36243055556</v>
      </c>
      <c r="C799" s="1" t="n">
        <v>46136</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36430-2024</t>
        </is>
      </c>
      <c r="B800" s="1" t="n">
        <v>45536</v>
      </c>
      <c r="C800" s="1" t="n">
        <v>46136</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51945-2025</t>
        </is>
      </c>
      <c r="B801" s="1" t="n">
        <v>45952.52679398148</v>
      </c>
      <c r="C801" s="1" t="n">
        <v>46136</v>
      </c>
      <c r="D801" t="inlineStr">
        <is>
          <t>STOCKHOLMS LÄN</t>
        </is>
      </c>
      <c r="E801" t="inlineStr">
        <is>
          <t>NORRTÄLJE</t>
        </is>
      </c>
      <c r="G801" t="n">
        <v>7</v>
      </c>
      <c r="H801" t="n">
        <v>0</v>
      </c>
      <c r="I801" t="n">
        <v>0</v>
      </c>
      <c r="J801" t="n">
        <v>0</v>
      </c>
      <c r="K801" t="n">
        <v>0</v>
      </c>
      <c r="L801" t="n">
        <v>0</v>
      </c>
      <c r="M801" t="n">
        <v>0</v>
      </c>
      <c r="N801" t="n">
        <v>0</v>
      </c>
      <c r="O801" t="n">
        <v>0</v>
      </c>
      <c r="P801" t="n">
        <v>0</v>
      </c>
      <c r="Q801" t="n">
        <v>0</v>
      </c>
      <c r="R801" s="2" t="inlineStr"/>
    </row>
    <row r="802" ht="15" customHeight="1">
      <c r="A802" t="inlineStr">
        <is>
          <t>A 51941-2025</t>
        </is>
      </c>
      <c r="B802" s="1" t="n">
        <v>45952.52261574074</v>
      </c>
      <c r="C802" s="1" t="n">
        <v>46136</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52061-2025</t>
        </is>
      </c>
      <c r="B803" s="1" t="n">
        <v>45952.63679398148</v>
      </c>
      <c r="C803" s="1" t="n">
        <v>46136</v>
      </c>
      <c r="D803" t="inlineStr">
        <is>
          <t>STOCKHOLMS LÄN</t>
        </is>
      </c>
      <c r="E803" t="inlineStr">
        <is>
          <t>NORRTÄLJE</t>
        </is>
      </c>
      <c r="G803" t="n">
        <v>9.5</v>
      </c>
      <c r="H803" t="n">
        <v>0</v>
      </c>
      <c r="I803" t="n">
        <v>0</v>
      </c>
      <c r="J803" t="n">
        <v>0</v>
      </c>
      <c r="K803" t="n">
        <v>0</v>
      </c>
      <c r="L803" t="n">
        <v>0</v>
      </c>
      <c r="M803" t="n">
        <v>0</v>
      </c>
      <c r="N803" t="n">
        <v>0</v>
      </c>
      <c r="O803" t="n">
        <v>0</v>
      </c>
      <c r="P803" t="n">
        <v>0</v>
      </c>
      <c r="Q803" t="n">
        <v>0</v>
      </c>
      <c r="R803" s="2" t="inlineStr"/>
    </row>
    <row r="804" ht="15" customHeight="1">
      <c r="A804" t="inlineStr">
        <is>
          <t>A 41172-2023</t>
        </is>
      </c>
      <c r="B804" s="1" t="n">
        <v>45170</v>
      </c>
      <c r="C804" s="1" t="n">
        <v>46136</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67921-2021</t>
        </is>
      </c>
      <c r="B805" s="1" t="n">
        <v>44525</v>
      </c>
      <c r="C805" s="1" t="n">
        <v>46136</v>
      </c>
      <c r="D805" t="inlineStr">
        <is>
          <t>STOCKHOLMS LÄN</t>
        </is>
      </c>
      <c r="E805" t="inlineStr">
        <is>
          <t>NORRTÄLJE</t>
        </is>
      </c>
      <c r="G805" t="n">
        <v>6.3</v>
      </c>
      <c r="H805" t="n">
        <v>0</v>
      </c>
      <c r="I805" t="n">
        <v>0</v>
      </c>
      <c r="J805" t="n">
        <v>0</v>
      </c>
      <c r="K805" t="n">
        <v>0</v>
      </c>
      <c r="L805" t="n">
        <v>0</v>
      </c>
      <c r="M805" t="n">
        <v>0</v>
      </c>
      <c r="N805" t="n">
        <v>0</v>
      </c>
      <c r="O805" t="n">
        <v>0</v>
      </c>
      <c r="P805" t="n">
        <v>0</v>
      </c>
      <c r="Q805" t="n">
        <v>0</v>
      </c>
      <c r="R805" s="2" t="inlineStr"/>
    </row>
    <row r="806" ht="15" customHeight="1">
      <c r="A806" t="inlineStr">
        <is>
          <t>A 51960-2025</t>
        </is>
      </c>
      <c r="B806" s="1" t="n">
        <v>45952.54755787037</v>
      </c>
      <c r="C806" s="1" t="n">
        <v>46136</v>
      </c>
      <c r="D806" t="inlineStr">
        <is>
          <t>STOCKHOLMS LÄN</t>
        </is>
      </c>
      <c r="E806" t="inlineStr">
        <is>
          <t>NORRTÄLJE</t>
        </is>
      </c>
      <c r="G806" t="n">
        <v>2</v>
      </c>
      <c r="H806" t="n">
        <v>0</v>
      </c>
      <c r="I806" t="n">
        <v>0</v>
      </c>
      <c r="J806" t="n">
        <v>0</v>
      </c>
      <c r="K806" t="n">
        <v>0</v>
      </c>
      <c r="L806" t="n">
        <v>0</v>
      </c>
      <c r="M806" t="n">
        <v>0</v>
      </c>
      <c r="N806" t="n">
        <v>0</v>
      </c>
      <c r="O806" t="n">
        <v>0</v>
      </c>
      <c r="P806" t="n">
        <v>0</v>
      </c>
      <c r="Q806" t="n">
        <v>0</v>
      </c>
      <c r="R806" s="2" t="inlineStr"/>
    </row>
    <row r="807" ht="15" customHeight="1">
      <c r="A807" t="inlineStr">
        <is>
          <t>A 72704-2021</t>
        </is>
      </c>
      <c r="B807" s="1" t="n">
        <v>44546</v>
      </c>
      <c r="C807" s="1" t="n">
        <v>46136</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65499-2021</t>
        </is>
      </c>
      <c r="B808" s="1" t="n">
        <v>44516</v>
      </c>
      <c r="C808" s="1" t="n">
        <v>46136</v>
      </c>
      <c r="D808" t="inlineStr">
        <is>
          <t>STOCKHOLMS LÄN</t>
        </is>
      </c>
      <c r="E808" t="inlineStr">
        <is>
          <t>NORRTÄLJE</t>
        </is>
      </c>
      <c r="F808" t="inlineStr">
        <is>
          <t>Kommuner</t>
        </is>
      </c>
      <c r="G808" t="n">
        <v>5.2</v>
      </c>
      <c r="H808" t="n">
        <v>0</v>
      </c>
      <c r="I808" t="n">
        <v>0</v>
      </c>
      <c r="J808" t="n">
        <v>0</v>
      </c>
      <c r="K808" t="n">
        <v>0</v>
      </c>
      <c r="L808" t="n">
        <v>0</v>
      </c>
      <c r="M808" t="n">
        <v>0</v>
      </c>
      <c r="N808" t="n">
        <v>0</v>
      </c>
      <c r="O808" t="n">
        <v>0</v>
      </c>
      <c r="P808" t="n">
        <v>0</v>
      </c>
      <c r="Q808" t="n">
        <v>0</v>
      </c>
      <c r="R808" s="2" t="inlineStr"/>
    </row>
    <row r="809" ht="15" customHeight="1">
      <c r="A809" t="inlineStr">
        <is>
          <t>A 65511-2021</t>
        </is>
      </c>
      <c r="B809" s="1" t="n">
        <v>44516.40674768519</v>
      </c>
      <c r="C809" s="1" t="n">
        <v>46136</v>
      </c>
      <c r="D809" t="inlineStr">
        <is>
          <t>STOCKHOLMS LÄN</t>
        </is>
      </c>
      <c r="E809" t="inlineStr">
        <is>
          <t>NORRTÄLJE</t>
        </is>
      </c>
      <c r="F809" t="inlineStr">
        <is>
          <t>Kommuner</t>
        </is>
      </c>
      <c r="G809" t="n">
        <v>2.8</v>
      </c>
      <c r="H809" t="n">
        <v>0</v>
      </c>
      <c r="I809" t="n">
        <v>0</v>
      </c>
      <c r="J809" t="n">
        <v>0</v>
      </c>
      <c r="K809" t="n">
        <v>0</v>
      </c>
      <c r="L809" t="n">
        <v>0</v>
      </c>
      <c r="M809" t="n">
        <v>0</v>
      </c>
      <c r="N809" t="n">
        <v>0</v>
      </c>
      <c r="O809" t="n">
        <v>0</v>
      </c>
      <c r="P809" t="n">
        <v>0</v>
      </c>
      <c r="Q809" t="n">
        <v>0</v>
      </c>
      <c r="R809" s="2" t="inlineStr"/>
    </row>
    <row r="810" ht="15" customHeight="1">
      <c r="A810" t="inlineStr">
        <is>
          <t>A 51789-2025</t>
        </is>
      </c>
      <c r="B810" s="1" t="n">
        <v>45951.68046296296</v>
      </c>
      <c r="C810" s="1" t="n">
        <v>46136</v>
      </c>
      <c r="D810" t="inlineStr">
        <is>
          <t>STOCKHOLMS LÄN</t>
        </is>
      </c>
      <c r="E810" t="inlineStr">
        <is>
          <t>NORRTÄLJE</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26113-2024</t>
        </is>
      </c>
      <c r="B811" s="1" t="n">
        <v>45468.45541666666</v>
      </c>
      <c r="C811" s="1" t="n">
        <v>46136</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26116-2024</t>
        </is>
      </c>
      <c r="B812" s="1" t="n">
        <v>45468.45747685185</v>
      </c>
      <c r="C812" s="1" t="n">
        <v>46136</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52529-2025</t>
        </is>
      </c>
      <c r="B813" s="1" t="n">
        <v>45954.53229166667</v>
      </c>
      <c r="C813" s="1" t="n">
        <v>46136</v>
      </c>
      <c r="D813" t="inlineStr">
        <is>
          <t>STOCKHOLMS LÄN</t>
        </is>
      </c>
      <c r="E813" t="inlineStr">
        <is>
          <t>NORRTÄLJE</t>
        </is>
      </c>
      <c r="F813" t="inlineStr">
        <is>
          <t>Sveaskog</t>
        </is>
      </c>
      <c r="G813" t="n">
        <v>7.8</v>
      </c>
      <c r="H813" t="n">
        <v>0</v>
      </c>
      <c r="I813" t="n">
        <v>0</v>
      </c>
      <c r="J813" t="n">
        <v>0</v>
      </c>
      <c r="K813" t="n">
        <v>0</v>
      </c>
      <c r="L813" t="n">
        <v>0</v>
      </c>
      <c r="M813" t="n">
        <v>0</v>
      </c>
      <c r="N813" t="n">
        <v>0</v>
      </c>
      <c r="O813" t="n">
        <v>0</v>
      </c>
      <c r="P813" t="n">
        <v>0</v>
      </c>
      <c r="Q813" t="n">
        <v>0</v>
      </c>
      <c r="R813" s="2" t="inlineStr"/>
    </row>
    <row r="814" ht="15" customHeight="1">
      <c r="A814" t="inlineStr">
        <is>
          <t>A 52251-2025</t>
        </is>
      </c>
      <c r="B814" s="1" t="n">
        <v>45953.49185185185</v>
      </c>
      <c r="C814" s="1" t="n">
        <v>46136</v>
      </c>
      <c r="D814" t="inlineStr">
        <is>
          <t>STOCKHOLMS LÄN</t>
        </is>
      </c>
      <c r="E814" t="inlineStr">
        <is>
          <t>NORRTÄLJE</t>
        </is>
      </c>
      <c r="G814" t="n">
        <v>6.2</v>
      </c>
      <c r="H814" t="n">
        <v>0</v>
      </c>
      <c r="I814" t="n">
        <v>0</v>
      </c>
      <c r="J814" t="n">
        <v>0</v>
      </c>
      <c r="K814" t="n">
        <v>0</v>
      </c>
      <c r="L814" t="n">
        <v>0</v>
      </c>
      <c r="M814" t="n">
        <v>0</v>
      </c>
      <c r="N814" t="n">
        <v>0</v>
      </c>
      <c r="O814" t="n">
        <v>0</v>
      </c>
      <c r="P814" t="n">
        <v>0</v>
      </c>
      <c r="Q814" t="n">
        <v>0</v>
      </c>
      <c r="R814" s="2" t="inlineStr"/>
    </row>
    <row r="815" ht="15" customHeight="1">
      <c r="A815" t="inlineStr">
        <is>
          <t>A 52254-2025</t>
        </is>
      </c>
      <c r="B815" s="1" t="n">
        <v>45953.49519675926</v>
      </c>
      <c r="C815" s="1" t="n">
        <v>46136</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52686-2024</t>
        </is>
      </c>
      <c r="B816" s="1" t="n">
        <v>45610.39271990741</v>
      </c>
      <c r="C816" s="1" t="n">
        <v>46136</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52526-2025</t>
        </is>
      </c>
      <c r="B817" s="1" t="n">
        <v>45954.53061342592</v>
      </c>
      <c r="C817" s="1" t="n">
        <v>46136</v>
      </c>
      <c r="D817" t="inlineStr">
        <is>
          <t>STOCKHOLMS LÄN</t>
        </is>
      </c>
      <c r="E817" t="inlineStr">
        <is>
          <t>NORRTÄLJE</t>
        </is>
      </c>
      <c r="F817" t="inlineStr">
        <is>
          <t>Sveaskog</t>
        </is>
      </c>
      <c r="G817" t="n">
        <v>2.9</v>
      </c>
      <c r="H817" t="n">
        <v>0</v>
      </c>
      <c r="I817" t="n">
        <v>0</v>
      </c>
      <c r="J817" t="n">
        <v>0</v>
      </c>
      <c r="K817" t="n">
        <v>0</v>
      </c>
      <c r="L817" t="n">
        <v>0</v>
      </c>
      <c r="M817" t="n">
        <v>0</v>
      </c>
      <c r="N817" t="n">
        <v>0</v>
      </c>
      <c r="O817" t="n">
        <v>0</v>
      </c>
      <c r="P817" t="n">
        <v>0</v>
      </c>
      <c r="Q817" t="n">
        <v>0</v>
      </c>
      <c r="R817" s="2" t="inlineStr"/>
    </row>
    <row r="818" ht="15" customHeight="1">
      <c r="A818" t="inlineStr">
        <is>
          <t>A 31105-2022</t>
        </is>
      </c>
      <c r="B818" s="1" t="n">
        <v>44769.66039351852</v>
      </c>
      <c r="C818" s="1" t="n">
        <v>46136</v>
      </c>
      <c r="D818" t="inlineStr">
        <is>
          <t>STOCKHOLMS LÄN</t>
        </is>
      </c>
      <c r="E818" t="inlineStr">
        <is>
          <t>NORRTÄLJE</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62644-2023</t>
        </is>
      </c>
      <c r="B819" s="1" t="n">
        <v>45271</v>
      </c>
      <c r="C819" s="1" t="n">
        <v>46136</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60185-2024</t>
        </is>
      </c>
      <c r="B820" s="1" t="n">
        <v>45642.64634259259</v>
      </c>
      <c r="C820" s="1" t="n">
        <v>46136</v>
      </c>
      <c r="D820" t="inlineStr">
        <is>
          <t>STOCKHOLMS LÄN</t>
        </is>
      </c>
      <c r="E820" t="inlineStr">
        <is>
          <t>NORRTÄLJE</t>
        </is>
      </c>
      <c r="G820" t="n">
        <v>0.3</v>
      </c>
      <c r="H820" t="n">
        <v>0</v>
      </c>
      <c r="I820" t="n">
        <v>0</v>
      </c>
      <c r="J820" t="n">
        <v>0</v>
      </c>
      <c r="K820" t="n">
        <v>0</v>
      </c>
      <c r="L820" t="n">
        <v>0</v>
      </c>
      <c r="M820" t="n">
        <v>0</v>
      </c>
      <c r="N820" t="n">
        <v>0</v>
      </c>
      <c r="O820" t="n">
        <v>0</v>
      </c>
      <c r="P820" t="n">
        <v>0</v>
      </c>
      <c r="Q820" t="n">
        <v>0</v>
      </c>
      <c r="R820" s="2" t="inlineStr"/>
    </row>
    <row r="821" ht="15" customHeight="1">
      <c r="A821" t="inlineStr">
        <is>
          <t>A 60765-2023</t>
        </is>
      </c>
      <c r="B821" s="1" t="n">
        <v>45260</v>
      </c>
      <c r="C821" s="1" t="n">
        <v>46136</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52729-2025</t>
        </is>
      </c>
      <c r="B822" s="1" t="n">
        <v>45957.3636574074</v>
      </c>
      <c r="C822" s="1" t="n">
        <v>46136</v>
      </c>
      <c r="D822" t="inlineStr">
        <is>
          <t>STOCKHOLMS LÄN</t>
        </is>
      </c>
      <c r="E822" t="inlineStr">
        <is>
          <t>NORRTÄLJE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52777-2025</t>
        </is>
      </c>
      <c r="B823" s="1" t="n">
        <v>45957.41832175926</v>
      </c>
      <c r="C823" s="1" t="n">
        <v>46136</v>
      </c>
      <c r="D823" t="inlineStr">
        <is>
          <t>STOCKHOLMS LÄN</t>
        </is>
      </c>
      <c r="E823" t="inlineStr">
        <is>
          <t>NORRTÄLJE</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52553-2025</t>
        </is>
      </c>
      <c r="B824" s="1" t="n">
        <v>45954.5624537037</v>
      </c>
      <c r="C824" s="1" t="n">
        <v>46136</v>
      </c>
      <c r="D824" t="inlineStr">
        <is>
          <t>STOCKHOLMS LÄN</t>
        </is>
      </c>
      <c r="E824" t="inlineStr">
        <is>
          <t>NORRTÄLJE</t>
        </is>
      </c>
      <c r="G824" t="n">
        <v>4.4</v>
      </c>
      <c r="H824" t="n">
        <v>0</v>
      </c>
      <c r="I824" t="n">
        <v>0</v>
      </c>
      <c r="J824" t="n">
        <v>0</v>
      </c>
      <c r="K824" t="n">
        <v>0</v>
      </c>
      <c r="L824" t="n">
        <v>0</v>
      </c>
      <c r="M824" t="n">
        <v>0</v>
      </c>
      <c r="N824" t="n">
        <v>0</v>
      </c>
      <c r="O824" t="n">
        <v>0</v>
      </c>
      <c r="P824" t="n">
        <v>0</v>
      </c>
      <c r="Q824" t="n">
        <v>0</v>
      </c>
      <c r="R824" s="2" t="inlineStr"/>
    </row>
    <row r="825" ht="15" customHeight="1">
      <c r="A825" t="inlineStr">
        <is>
          <t>A 12268-2022</t>
        </is>
      </c>
      <c r="B825" s="1" t="n">
        <v>44637</v>
      </c>
      <c r="C825" s="1" t="n">
        <v>46136</v>
      </c>
      <c r="D825" t="inlineStr">
        <is>
          <t>STOCKHOLMS LÄN</t>
        </is>
      </c>
      <c r="E825" t="inlineStr">
        <is>
          <t>NORRTÄLJE</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53087-2025</t>
        </is>
      </c>
      <c r="B826" s="1" t="n">
        <v>45958.41065972222</v>
      </c>
      <c r="C826" s="1" t="n">
        <v>46136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52704-2025</t>
        </is>
      </c>
      <c r="B827" s="1" t="n">
        <v>45956.89097222222</v>
      </c>
      <c r="C827" s="1" t="n">
        <v>46136</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22832-2021</t>
        </is>
      </c>
      <c r="B828" s="1" t="n">
        <v>44325</v>
      </c>
      <c r="C828" s="1" t="n">
        <v>46136</v>
      </c>
      <c r="D828" t="inlineStr">
        <is>
          <t>STOCKHOLMS LÄN</t>
        </is>
      </c>
      <c r="E828" t="inlineStr">
        <is>
          <t>NORRTÄLJE</t>
        </is>
      </c>
      <c r="G828" t="n">
        <v>6.8</v>
      </c>
      <c r="H828" t="n">
        <v>0</v>
      </c>
      <c r="I828" t="n">
        <v>0</v>
      </c>
      <c r="J828" t="n">
        <v>0</v>
      </c>
      <c r="K828" t="n">
        <v>0</v>
      </c>
      <c r="L828" t="n">
        <v>0</v>
      </c>
      <c r="M828" t="n">
        <v>0</v>
      </c>
      <c r="N828" t="n">
        <v>0</v>
      </c>
      <c r="O828" t="n">
        <v>0</v>
      </c>
      <c r="P828" t="n">
        <v>0</v>
      </c>
      <c r="Q828" t="n">
        <v>0</v>
      </c>
      <c r="R828" s="2" t="inlineStr"/>
    </row>
    <row r="829" ht="15" customHeight="1">
      <c r="A829" t="inlineStr">
        <is>
          <t>A 51315-2021</t>
        </is>
      </c>
      <c r="B829" s="1" t="n">
        <v>44461</v>
      </c>
      <c r="C829" s="1" t="n">
        <v>46136</v>
      </c>
      <c r="D829" t="inlineStr">
        <is>
          <t>STOCKHOLMS LÄN</t>
        </is>
      </c>
      <c r="E829" t="inlineStr">
        <is>
          <t>NORRTÄLJE</t>
        </is>
      </c>
      <c r="F829" t="inlineStr">
        <is>
          <t>Holmen skog AB</t>
        </is>
      </c>
      <c r="G829" t="n">
        <v>2.2</v>
      </c>
      <c r="H829" t="n">
        <v>0</v>
      </c>
      <c r="I829" t="n">
        <v>0</v>
      </c>
      <c r="J829" t="n">
        <v>0</v>
      </c>
      <c r="K829" t="n">
        <v>0</v>
      </c>
      <c r="L829" t="n">
        <v>0</v>
      </c>
      <c r="M829" t="n">
        <v>0</v>
      </c>
      <c r="N829" t="n">
        <v>0</v>
      </c>
      <c r="O829" t="n">
        <v>0</v>
      </c>
      <c r="P829" t="n">
        <v>0</v>
      </c>
      <c r="Q829" t="n">
        <v>0</v>
      </c>
      <c r="R829" s="2" t="inlineStr"/>
    </row>
    <row r="830" ht="15" customHeight="1">
      <c r="A830" t="inlineStr">
        <is>
          <t>A 52734-2025</t>
        </is>
      </c>
      <c r="B830" s="1" t="n">
        <v>45957.3710300926</v>
      </c>
      <c r="C830" s="1" t="n">
        <v>46136</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22008-2024</t>
        </is>
      </c>
      <c r="B831" s="1" t="n">
        <v>45443</v>
      </c>
      <c r="C831" s="1" t="n">
        <v>46136</v>
      </c>
      <c r="D831" t="inlineStr">
        <is>
          <t>STOCKHOLMS LÄN</t>
        </is>
      </c>
      <c r="E831" t="inlineStr">
        <is>
          <t>NORRTÄLJE</t>
        </is>
      </c>
      <c r="G831" t="n">
        <v>2</v>
      </c>
      <c r="H831" t="n">
        <v>0</v>
      </c>
      <c r="I831" t="n">
        <v>0</v>
      </c>
      <c r="J831" t="n">
        <v>0</v>
      </c>
      <c r="K831" t="n">
        <v>0</v>
      </c>
      <c r="L831" t="n">
        <v>0</v>
      </c>
      <c r="M831" t="n">
        <v>0</v>
      </c>
      <c r="N831" t="n">
        <v>0</v>
      </c>
      <c r="O831" t="n">
        <v>0</v>
      </c>
      <c r="P831" t="n">
        <v>0</v>
      </c>
      <c r="Q831" t="n">
        <v>0</v>
      </c>
      <c r="R831" s="2" t="inlineStr"/>
    </row>
    <row r="832" ht="15" customHeight="1">
      <c r="A832" t="inlineStr">
        <is>
          <t>A 52773-2025</t>
        </is>
      </c>
      <c r="B832" s="1" t="n">
        <v>45957.41457175926</v>
      </c>
      <c r="C832" s="1" t="n">
        <v>46136</v>
      </c>
      <c r="D832" t="inlineStr">
        <is>
          <t>STOCKHOLMS LÄN</t>
        </is>
      </c>
      <c r="E832" t="inlineStr">
        <is>
          <t>NORRTÄLJE</t>
        </is>
      </c>
      <c r="F832" t="inlineStr">
        <is>
          <t>Sveaskog</t>
        </is>
      </c>
      <c r="G832" t="n">
        <v>10.5</v>
      </c>
      <c r="H832" t="n">
        <v>0</v>
      </c>
      <c r="I832" t="n">
        <v>0</v>
      </c>
      <c r="J832" t="n">
        <v>0</v>
      </c>
      <c r="K832" t="n">
        <v>0</v>
      </c>
      <c r="L832" t="n">
        <v>0</v>
      </c>
      <c r="M832" t="n">
        <v>0</v>
      </c>
      <c r="N832" t="n">
        <v>0</v>
      </c>
      <c r="O832" t="n">
        <v>0</v>
      </c>
      <c r="P832" t="n">
        <v>0</v>
      </c>
      <c r="Q832" t="n">
        <v>0</v>
      </c>
      <c r="R832" s="2" t="inlineStr"/>
    </row>
    <row r="833" ht="15" customHeight="1">
      <c r="A833" t="inlineStr">
        <is>
          <t>A 52776-2025</t>
        </is>
      </c>
      <c r="B833" s="1" t="n">
        <v>45957.41724537037</v>
      </c>
      <c r="C833" s="1" t="n">
        <v>46136</v>
      </c>
      <c r="D833" t="inlineStr">
        <is>
          <t>STOCKHOLMS LÄN</t>
        </is>
      </c>
      <c r="E833" t="inlineStr">
        <is>
          <t>NORRTÄLJE</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52703-2025</t>
        </is>
      </c>
      <c r="B834" s="1" t="n">
        <v>45956.88643518519</v>
      </c>
      <c r="C834" s="1" t="n">
        <v>46136</v>
      </c>
      <c r="D834" t="inlineStr">
        <is>
          <t>STOCKHOLMS LÄN</t>
        </is>
      </c>
      <c r="E834" t="inlineStr">
        <is>
          <t>NORRTÄLJE</t>
        </is>
      </c>
      <c r="G834" t="n">
        <v>4.7</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46136</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9480-2025</t>
        </is>
      </c>
      <c r="B836" s="1" t="n">
        <v>45715</v>
      </c>
      <c r="C836" s="1" t="n">
        <v>46136</v>
      </c>
      <c r="D836" t="inlineStr">
        <is>
          <t>STOCKHOLMS LÄN</t>
        </is>
      </c>
      <c r="E836" t="inlineStr">
        <is>
          <t>NORRTÄLJE</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53000-2025</t>
        </is>
      </c>
      <c r="B837" s="1" t="n">
        <v>45957.74357638889</v>
      </c>
      <c r="C837" s="1" t="n">
        <v>46136</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53115-2025</t>
        </is>
      </c>
      <c r="B838" s="1" t="n">
        <v>45958.44614583333</v>
      </c>
      <c r="C838" s="1" t="n">
        <v>46136</v>
      </c>
      <c r="D838" t="inlineStr">
        <is>
          <t>STOCKHOLMS LÄN</t>
        </is>
      </c>
      <c r="E838" t="inlineStr">
        <is>
          <t>NORRTÄLJE</t>
        </is>
      </c>
      <c r="F838" t="inlineStr">
        <is>
          <t>Kyrkan</t>
        </is>
      </c>
      <c r="G838" t="n">
        <v>2.5</v>
      </c>
      <c r="H838" t="n">
        <v>0</v>
      </c>
      <c r="I838" t="n">
        <v>0</v>
      </c>
      <c r="J838" t="n">
        <v>0</v>
      </c>
      <c r="K838" t="n">
        <v>0</v>
      </c>
      <c r="L838" t="n">
        <v>0</v>
      </c>
      <c r="M838" t="n">
        <v>0</v>
      </c>
      <c r="N838" t="n">
        <v>0</v>
      </c>
      <c r="O838" t="n">
        <v>0</v>
      </c>
      <c r="P838" t="n">
        <v>0</v>
      </c>
      <c r="Q838" t="n">
        <v>0</v>
      </c>
      <c r="R838" s="2" t="inlineStr"/>
    </row>
    <row r="839" ht="15" customHeight="1">
      <c r="A839" t="inlineStr">
        <is>
          <t>A 53629-2025</t>
        </is>
      </c>
      <c r="B839" s="1" t="n">
        <v>45960.49570601852</v>
      </c>
      <c r="C839" s="1" t="n">
        <v>46136</v>
      </c>
      <c r="D839" t="inlineStr">
        <is>
          <t>STOCKHOLMS LÄN</t>
        </is>
      </c>
      <c r="E839" t="inlineStr">
        <is>
          <t>NORRTÄLJE</t>
        </is>
      </c>
      <c r="F839" t="inlineStr">
        <is>
          <t>Naturvårdsverket</t>
        </is>
      </c>
      <c r="G839" t="n">
        <v>7.9</v>
      </c>
      <c r="H839" t="n">
        <v>0</v>
      </c>
      <c r="I839" t="n">
        <v>0</v>
      </c>
      <c r="J839" t="n">
        <v>0</v>
      </c>
      <c r="K839" t="n">
        <v>0</v>
      </c>
      <c r="L839" t="n">
        <v>0</v>
      </c>
      <c r="M839" t="n">
        <v>0</v>
      </c>
      <c r="N839" t="n">
        <v>0</v>
      </c>
      <c r="O839" t="n">
        <v>0</v>
      </c>
      <c r="P839" t="n">
        <v>0</v>
      </c>
      <c r="Q839" t="n">
        <v>0</v>
      </c>
      <c r="R839" s="2" t="inlineStr"/>
    </row>
    <row r="840" ht="15" customHeight="1">
      <c r="A840" t="inlineStr">
        <is>
          <t>A 53747-2025</t>
        </is>
      </c>
      <c r="B840" s="1" t="n">
        <v>45960.65415509259</v>
      </c>
      <c r="C840" s="1" t="n">
        <v>46136</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53299-2025</t>
        </is>
      </c>
      <c r="B841" s="1" t="n">
        <v>45959.31901620371</v>
      </c>
      <c r="C841" s="1" t="n">
        <v>46136</v>
      </c>
      <c r="D841" t="inlineStr">
        <is>
          <t>STOCKHOLMS LÄN</t>
        </is>
      </c>
      <c r="E841" t="inlineStr">
        <is>
          <t>NORRTÄLJE</t>
        </is>
      </c>
      <c r="G841" t="n">
        <v>4.8</v>
      </c>
      <c r="H841" t="n">
        <v>0</v>
      </c>
      <c r="I841" t="n">
        <v>0</v>
      </c>
      <c r="J841" t="n">
        <v>0</v>
      </c>
      <c r="K841" t="n">
        <v>0</v>
      </c>
      <c r="L841" t="n">
        <v>0</v>
      </c>
      <c r="M841" t="n">
        <v>0</v>
      </c>
      <c r="N841" t="n">
        <v>0</v>
      </c>
      <c r="O841" t="n">
        <v>0</v>
      </c>
      <c r="P841" t="n">
        <v>0</v>
      </c>
      <c r="Q841" t="n">
        <v>0</v>
      </c>
      <c r="R841" s="2" t="inlineStr"/>
    </row>
    <row r="842" ht="15" customHeight="1">
      <c r="A842" t="inlineStr">
        <is>
          <t>A 4322-2023</t>
        </is>
      </c>
      <c r="B842" s="1" t="n">
        <v>44953.69298611111</v>
      </c>
      <c r="C842" s="1" t="n">
        <v>46136</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35916-2024</t>
        </is>
      </c>
      <c r="B843" s="1" t="n">
        <v>45533</v>
      </c>
      <c r="C843" s="1" t="n">
        <v>46136</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38889-2024</t>
        </is>
      </c>
      <c r="B844" s="1" t="n">
        <v>45547</v>
      </c>
      <c r="C844" s="1" t="n">
        <v>46136</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3299-2022</t>
        </is>
      </c>
      <c r="B845" s="1" t="n">
        <v>44584.91001157407</v>
      </c>
      <c r="C845" s="1" t="n">
        <v>46136</v>
      </c>
      <c r="D845" t="inlineStr">
        <is>
          <t>STOCKHOLMS LÄN</t>
        </is>
      </c>
      <c r="E845" t="inlineStr">
        <is>
          <t>NORRTÄLJE</t>
        </is>
      </c>
      <c r="G845" t="n">
        <v>2.7</v>
      </c>
      <c r="H845" t="n">
        <v>0</v>
      </c>
      <c r="I845" t="n">
        <v>0</v>
      </c>
      <c r="J845" t="n">
        <v>0</v>
      </c>
      <c r="K845" t="n">
        <v>0</v>
      </c>
      <c r="L845" t="n">
        <v>0</v>
      </c>
      <c r="M845" t="n">
        <v>0</v>
      </c>
      <c r="N845" t="n">
        <v>0</v>
      </c>
      <c r="O845" t="n">
        <v>0</v>
      </c>
      <c r="P845" t="n">
        <v>0</v>
      </c>
      <c r="Q845" t="n">
        <v>0</v>
      </c>
      <c r="R845" s="2" t="inlineStr"/>
    </row>
    <row r="846" ht="15" customHeight="1">
      <c r="A846" t="inlineStr">
        <is>
          <t>A 42075-2023</t>
        </is>
      </c>
      <c r="B846" s="1" t="n">
        <v>45177</v>
      </c>
      <c r="C846" s="1" t="n">
        <v>46136</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10676-2025</t>
        </is>
      </c>
      <c r="B847" s="1" t="n">
        <v>45721.88684027778</v>
      </c>
      <c r="C847" s="1" t="n">
        <v>46136</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50154-2024</t>
        </is>
      </c>
      <c r="B848" s="1" t="n">
        <v>45600.4558912037</v>
      </c>
      <c r="C848" s="1" t="n">
        <v>46136</v>
      </c>
      <c r="D848" t="inlineStr">
        <is>
          <t>STOCKHOLMS LÄN</t>
        </is>
      </c>
      <c r="E848" t="inlineStr">
        <is>
          <t>NORRTÄLJE</t>
        </is>
      </c>
      <c r="G848" t="n">
        <v>2.5</v>
      </c>
      <c r="H848" t="n">
        <v>0</v>
      </c>
      <c r="I848" t="n">
        <v>0</v>
      </c>
      <c r="J848" t="n">
        <v>0</v>
      </c>
      <c r="K848" t="n">
        <v>0</v>
      </c>
      <c r="L848" t="n">
        <v>0</v>
      </c>
      <c r="M848" t="n">
        <v>0</v>
      </c>
      <c r="N848" t="n">
        <v>0</v>
      </c>
      <c r="O848" t="n">
        <v>0</v>
      </c>
      <c r="P848" t="n">
        <v>0</v>
      </c>
      <c r="Q848" t="n">
        <v>0</v>
      </c>
      <c r="R848" s="2" t="inlineStr"/>
    </row>
    <row r="849" ht="15" customHeight="1">
      <c r="A849" t="inlineStr">
        <is>
          <t>A 37273-2024</t>
        </is>
      </c>
      <c r="B849" s="1" t="n">
        <v>45540</v>
      </c>
      <c r="C849" s="1" t="n">
        <v>46136</v>
      </c>
      <c r="D849" t="inlineStr">
        <is>
          <t>STOCKHOLMS LÄN</t>
        </is>
      </c>
      <c r="E849" t="inlineStr">
        <is>
          <t>NORRTÄLJE</t>
        </is>
      </c>
      <c r="F849" t="inlineStr">
        <is>
          <t>Sveaskog</t>
        </is>
      </c>
      <c r="G849" t="n">
        <v>12.5</v>
      </c>
      <c r="H849" t="n">
        <v>0</v>
      </c>
      <c r="I849" t="n">
        <v>0</v>
      </c>
      <c r="J849" t="n">
        <v>0</v>
      </c>
      <c r="K849" t="n">
        <v>0</v>
      </c>
      <c r="L849" t="n">
        <v>0</v>
      </c>
      <c r="M849" t="n">
        <v>0</v>
      </c>
      <c r="N849" t="n">
        <v>0</v>
      </c>
      <c r="O849" t="n">
        <v>0</v>
      </c>
      <c r="P849" t="n">
        <v>0</v>
      </c>
      <c r="Q849" t="n">
        <v>0</v>
      </c>
      <c r="R849" s="2" t="inlineStr"/>
    </row>
    <row r="850" ht="15" customHeight="1">
      <c r="A850" t="inlineStr">
        <is>
          <t>A 34773-2022</t>
        </is>
      </c>
      <c r="B850" s="1" t="n">
        <v>44795</v>
      </c>
      <c r="C850" s="1" t="n">
        <v>46136</v>
      </c>
      <c r="D850" t="inlineStr">
        <is>
          <t>STOCKHOLMS LÄN</t>
        </is>
      </c>
      <c r="E850" t="inlineStr">
        <is>
          <t>NORRTÄLJE</t>
        </is>
      </c>
      <c r="G850" t="n">
        <v>3.9</v>
      </c>
      <c r="H850" t="n">
        <v>0</v>
      </c>
      <c r="I850" t="n">
        <v>0</v>
      </c>
      <c r="J850" t="n">
        <v>0</v>
      </c>
      <c r="K850" t="n">
        <v>0</v>
      </c>
      <c r="L850" t="n">
        <v>0</v>
      </c>
      <c r="M850" t="n">
        <v>0</v>
      </c>
      <c r="N850" t="n">
        <v>0</v>
      </c>
      <c r="O850" t="n">
        <v>0</v>
      </c>
      <c r="P850" t="n">
        <v>0</v>
      </c>
      <c r="Q850" t="n">
        <v>0</v>
      </c>
      <c r="R850" s="2" t="inlineStr"/>
    </row>
    <row r="851" ht="15" customHeight="1">
      <c r="A851" t="inlineStr">
        <is>
          <t>A 23263-2023</t>
        </is>
      </c>
      <c r="B851" s="1" t="n">
        <v>45075</v>
      </c>
      <c r="C851" s="1" t="n">
        <v>46136</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23264-2023</t>
        </is>
      </c>
      <c r="B852" s="1" t="n">
        <v>45075</v>
      </c>
      <c r="C852" s="1" t="n">
        <v>46136</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23267-2023</t>
        </is>
      </c>
      <c r="B853" s="1" t="n">
        <v>45075.90934027778</v>
      </c>
      <c r="C853" s="1" t="n">
        <v>46136</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25654-2023</t>
        </is>
      </c>
      <c r="B854" s="1" t="n">
        <v>45089</v>
      </c>
      <c r="C854" s="1" t="n">
        <v>46136</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47758-2023</t>
        </is>
      </c>
      <c r="B855" s="1" t="n">
        <v>45203.83891203703</v>
      </c>
      <c r="C855" s="1" t="n">
        <v>46136</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48151-2024</t>
        </is>
      </c>
      <c r="B856" s="1" t="n">
        <v>45589.68289351852</v>
      </c>
      <c r="C856" s="1" t="n">
        <v>46136</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54907-2025</t>
        </is>
      </c>
      <c r="B857" s="1" t="n">
        <v>45967.37137731481</v>
      </c>
      <c r="C857" s="1" t="n">
        <v>46136</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5831-2022</t>
        </is>
      </c>
      <c r="B858" s="1" t="n">
        <v>44596</v>
      </c>
      <c r="C858" s="1" t="n">
        <v>46136</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55503-2025</t>
        </is>
      </c>
      <c r="B859" s="1" t="n">
        <v>45971</v>
      </c>
      <c r="C859" s="1" t="n">
        <v>46136</v>
      </c>
      <c r="D859" t="inlineStr">
        <is>
          <t>STOCKHOLMS LÄN</t>
        </is>
      </c>
      <c r="E859" t="inlineStr">
        <is>
          <t>NORRTÄLJE</t>
        </is>
      </c>
      <c r="G859" t="n">
        <v>3</v>
      </c>
      <c r="H859" t="n">
        <v>0</v>
      </c>
      <c r="I859" t="n">
        <v>0</v>
      </c>
      <c r="J859" t="n">
        <v>0</v>
      </c>
      <c r="K859" t="n">
        <v>0</v>
      </c>
      <c r="L859" t="n">
        <v>0</v>
      </c>
      <c r="M859" t="n">
        <v>0</v>
      </c>
      <c r="N859" t="n">
        <v>0</v>
      </c>
      <c r="O859" t="n">
        <v>0</v>
      </c>
      <c r="P859" t="n">
        <v>0</v>
      </c>
      <c r="Q859" t="n">
        <v>0</v>
      </c>
      <c r="R859" s="2" t="inlineStr"/>
    </row>
    <row r="860" ht="15" customHeight="1">
      <c r="A860" t="inlineStr">
        <is>
          <t>A 58853-2024</t>
        </is>
      </c>
      <c r="B860" s="1" t="n">
        <v>45636.38974537037</v>
      </c>
      <c r="C860" s="1" t="n">
        <v>46136</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55599-2025</t>
        </is>
      </c>
      <c r="B861" s="1" t="n">
        <v>45971.76810185185</v>
      </c>
      <c r="C861" s="1" t="n">
        <v>46136</v>
      </c>
      <c r="D861" t="inlineStr">
        <is>
          <t>STOCKHOLMS LÄN</t>
        </is>
      </c>
      <c r="E861" t="inlineStr">
        <is>
          <t>NORRTÄLJE</t>
        </is>
      </c>
      <c r="F861" t="inlineStr">
        <is>
          <t>Holmen skog AB</t>
        </is>
      </c>
      <c r="G861" t="n">
        <v>6.4</v>
      </c>
      <c r="H861" t="n">
        <v>0</v>
      </c>
      <c r="I861" t="n">
        <v>0</v>
      </c>
      <c r="J861" t="n">
        <v>0</v>
      </c>
      <c r="K861" t="n">
        <v>0</v>
      </c>
      <c r="L861" t="n">
        <v>0</v>
      </c>
      <c r="M861" t="n">
        <v>0</v>
      </c>
      <c r="N861" t="n">
        <v>0</v>
      </c>
      <c r="O861" t="n">
        <v>0</v>
      </c>
      <c r="P861" t="n">
        <v>0</v>
      </c>
      <c r="Q861" t="n">
        <v>0</v>
      </c>
      <c r="R861" s="2" t="inlineStr"/>
    </row>
    <row r="862" ht="15" customHeight="1">
      <c r="A862" t="inlineStr">
        <is>
          <t>A 59712-2024</t>
        </is>
      </c>
      <c r="B862" s="1" t="n">
        <v>45639.45166666667</v>
      </c>
      <c r="C862" s="1" t="n">
        <v>46136</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59721-2024</t>
        </is>
      </c>
      <c r="B863" s="1" t="n">
        <v>45639.47385416667</v>
      </c>
      <c r="C863" s="1" t="n">
        <v>46136</v>
      </c>
      <c r="D863" t="inlineStr">
        <is>
          <t>STOCKHOLMS LÄN</t>
        </is>
      </c>
      <c r="E863" t="inlineStr">
        <is>
          <t>NORRTÄLJE</t>
        </is>
      </c>
      <c r="G863" t="n">
        <v>4.6</v>
      </c>
      <c r="H863" t="n">
        <v>0</v>
      </c>
      <c r="I863" t="n">
        <v>0</v>
      </c>
      <c r="J863" t="n">
        <v>0</v>
      </c>
      <c r="K863" t="n">
        <v>0</v>
      </c>
      <c r="L863" t="n">
        <v>0</v>
      </c>
      <c r="M863" t="n">
        <v>0</v>
      </c>
      <c r="N863" t="n">
        <v>0</v>
      </c>
      <c r="O863" t="n">
        <v>0</v>
      </c>
      <c r="P863" t="n">
        <v>0</v>
      </c>
      <c r="Q863" t="n">
        <v>0</v>
      </c>
      <c r="R863" s="2" t="inlineStr"/>
    </row>
    <row r="864" ht="15" customHeight="1">
      <c r="A864" t="inlineStr">
        <is>
          <t>A 56207-2025</t>
        </is>
      </c>
      <c r="B864" s="1" t="n">
        <v>45974.47329861111</v>
      </c>
      <c r="C864" s="1" t="n">
        <v>46136</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60884-2024</t>
        </is>
      </c>
      <c r="B865" s="1" t="n">
        <v>45644.90815972222</v>
      </c>
      <c r="C865" s="1" t="n">
        <v>46136</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23150-2024</t>
        </is>
      </c>
      <c r="B866" s="1" t="n">
        <v>45450.64643518518</v>
      </c>
      <c r="C866" s="1" t="n">
        <v>46136</v>
      </c>
      <c r="D866" t="inlineStr">
        <is>
          <t>STOCKHOLMS LÄN</t>
        </is>
      </c>
      <c r="E866" t="inlineStr">
        <is>
          <t>NORRTÄLJE</t>
        </is>
      </c>
      <c r="F866" t="inlineStr">
        <is>
          <t>Kommuner</t>
        </is>
      </c>
      <c r="G866" t="n">
        <v>2.7</v>
      </c>
      <c r="H866" t="n">
        <v>0</v>
      </c>
      <c r="I866" t="n">
        <v>0</v>
      </c>
      <c r="J866" t="n">
        <v>0</v>
      </c>
      <c r="K866" t="n">
        <v>0</v>
      </c>
      <c r="L866" t="n">
        <v>0</v>
      </c>
      <c r="M866" t="n">
        <v>0</v>
      </c>
      <c r="N866" t="n">
        <v>0</v>
      </c>
      <c r="O866" t="n">
        <v>0</v>
      </c>
      <c r="P866" t="n">
        <v>0</v>
      </c>
      <c r="Q866" t="n">
        <v>0</v>
      </c>
      <c r="R866" s="2" t="inlineStr"/>
    </row>
    <row r="867" ht="15" customHeight="1">
      <c r="A867" t="inlineStr">
        <is>
          <t>A 59878-2024</t>
        </is>
      </c>
      <c r="B867" s="1" t="n">
        <v>45640.60240740741</v>
      </c>
      <c r="C867" s="1" t="n">
        <v>46136</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50182-2024</t>
        </is>
      </c>
      <c r="B868" s="1" t="n">
        <v>45600.47275462963</v>
      </c>
      <c r="C868" s="1" t="n">
        <v>46136</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2549-2022</t>
        </is>
      </c>
      <c r="B869" s="1" t="n">
        <v>44580</v>
      </c>
      <c r="C869" s="1" t="n">
        <v>46136</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31140-2023</t>
        </is>
      </c>
      <c r="B870" s="1" t="n">
        <v>45113</v>
      </c>
      <c r="C870" s="1" t="n">
        <v>46136</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31149-2023</t>
        </is>
      </c>
      <c r="B871" s="1" t="n">
        <v>45113</v>
      </c>
      <c r="C871" s="1" t="n">
        <v>46136</v>
      </c>
      <c r="D871" t="inlineStr">
        <is>
          <t>STOCKHOLMS LÄN</t>
        </is>
      </c>
      <c r="E871" t="inlineStr">
        <is>
          <t>NORRTÄLJE</t>
        </is>
      </c>
      <c r="G871" t="n">
        <v>7.1</v>
      </c>
      <c r="H871" t="n">
        <v>0</v>
      </c>
      <c r="I871" t="n">
        <v>0</v>
      </c>
      <c r="J871" t="n">
        <v>0</v>
      </c>
      <c r="K871" t="n">
        <v>0</v>
      </c>
      <c r="L871" t="n">
        <v>0</v>
      </c>
      <c r="M871" t="n">
        <v>0</v>
      </c>
      <c r="N871" t="n">
        <v>0</v>
      </c>
      <c r="O871" t="n">
        <v>0</v>
      </c>
      <c r="P871" t="n">
        <v>0</v>
      </c>
      <c r="Q871" t="n">
        <v>0</v>
      </c>
      <c r="R871" s="2" t="inlineStr"/>
    </row>
    <row r="872" ht="15" customHeight="1">
      <c r="A872" t="inlineStr">
        <is>
          <t>A 56114-2025</t>
        </is>
      </c>
      <c r="B872" s="1" t="n">
        <v>45973.74474537037</v>
      </c>
      <c r="C872" s="1" t="n">
        <v>46136</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16835-2022</t>
        </is>
      </c>
      <c r="B873" s="1" t="n">
        <v>44673</v>
      </c>
      <c r="C873" s="1" t="n">
        <v>46136</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13701-2022</t>
        </is>
      </c>
      <c r="B874" s="1" t="n">
        <v>44648</v>
      </c>
      <c r="C874" s="1" t="n">
        <v>46136</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13089-2022</t>
        </is>
      </c>
      <c r="B875" s="1" t="n">
        <v>44643</v>
      </c>
      <c r="C875" s="1" t="n">
        <v>46136</v>
      </c>
      <c r="D875" t="inlineStr">
        <is>
          <t>STOCKHOLMS LÄN</t>
        </is>
      </c>
      <c r="E875" t="inlineStr">
        <is>
          <t>NORRTÄLJE</t>
        </is>
      </c>
      <c r="G875" t="n">
        <v>4.5</v>
      </c>
      <c r="H875" t="n">
        <v>0</v>
      </c>
      <c r="I875" t="n">
        <v>0</v>
      </c>
      <c r="J875" t="n">
        <v>0</v>
      </c>
      <c r="K875" t="n">
        <v>0</v>
      </c>
      <c r="L875" t="n">
        <v>0</v>
      </c>
      <c r="M875" t="n">
        <v>0</v>
      </c>
      <c r="N875" t="n">
        <v>0</v>
      </c>
      <c r="O875" t="n">
        <v>0</v>
      </c>
      <c r="P875" t="n">
        <v>0</v>
      </c>
      <c r="Q875" t="n">
        <v>0</v>
      </c>
      <c r="R875" s="2" t="inlineStr"/>
    </row>
    <row r="876" ht="15" customHeight="1">
      <c r="A876" t="inlineStr">
        <is>
          <t>A 38759-2022</t>
        </is>
      </c>
      <c r="B876" s="1" t="n">
        <v>44816</v>
      </c>
      <c r="C876" s="1" t="n">
        <v>46136</v>
      </c>
      <c r="D876" t="inlineStr">
        <is>
          <t>STOCKHOLMS LÄN</t>
        </is>
      </c>
      <c r="E876" t="inlineStr">
        <is>
          <t>NORRTÄLJE</t>
        </is>
      </c>
      <c r="G876" t="n">
        <v>2.8</v>
      </c>
      <c r="H876" t="n">
        <v>0</v>
      </c>
      <c r="I876" t="n">
        <v>0</v>
      </c>
      <c r="J876" t="n">
        <v>0</v>
      </c>
      <c r="K876" t="n">
        <v>0</v>
      </c>
      <c r="L876" t="n">
        <v>0</v>
      </c>
      <c r="M876" t="n">
        <v>0</v>
      </c>
      <c r="N876" t="n">
        <v>0</v>
      </c>
      <c r="O876" t="n">
        <v>0</v>
      </c>
      <c r="P876" t="n">
        <v>0</v>
      </c>
      <c r="Q876" t="n">
        <v>0</v>
      </c>
      <c r="R876" s="2" t="inlineStr"/>
    </row>
    <row r="877" ht="15" customHeight="1">
      <c r="A877" t="inlineStr">
        <is>
          <t>A 23998-2024</t>
        </is>
      </c>
      <c r="B877" s="1" t="n">
        <v>45456</v>
      </c>
      <c r="C877" s="1" t="n">
        <v>46136</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54504-2024</t>
        </is>
      </c>
      <c r="B878" s="1" t="n">
        <v>45617.58453703704</v>
      </c>
      <c r="C878" s="1" t="n">
        <v>46136</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32595-2023</t>
        </is>
      </c>
      <c r="B879" s="1" t="n">
        <v>45121</v>
      </c>
      <c r="C879" s="1" t="n">
        <v>46136</v>
      </c>
      <c r="D879" t="inlineStr">
        <is>
          <t>STOCKHOLMS LÄN</t>
        </is>
      </c>
      <c r="E879" t="inlineStr">
        <is>
          <t>NORRTÄLJE</t>
        </is>
      </c>
      <c r="G879" t="n">
        <v>2.4</v>
      </c>
      <c r="H879" t="n">
        <v>0</v>
      </c>
      <c r="I879" t="n">
        <v>0</v>
      </c>
      <c r="J879" t="n">
        <v>0</v>
      </c>
      <c r="K879" t="n">
        <v>0</v>
      </c>
      <c r="L879" t="n">
        <v>0</v>
      </c>
      <c r="M879" t="n">
        <v>0</v>
      </c>
      <c r="N879" t="n">
        <v>0</v>
      </c>
      <c r="O879" t="n">
        <v>0</v>
      </c>
      <c r="P879" t="n">
        <v>0</v>
      </c>
      <c r="Q879" t="n">
        <v>0</v>
      </c>
      <c r="R879" s="2" t="inlineStr"/>
    </row>
    <row r="880" ht="15" customHeight="1">
      <c r="A880" t="inlineStr">
        <is>
          <t>A 11332-2025</t>
        </is>
      </c>
      <c r="B880" s="1" t="n">
        <v>45726.48152777777</v>
      </c>
      <c r="C880" s="1" t="n">
        <v>46136</v>
      </c>
      <c r="D880" t="inlineStr">
        <is>
          <t>STOCKHOLMS LÄN</t>
        </is>
      </c>
      <c r="E880" t="inlineStr">
        <is>
          <t>NORRTÄLJE</t>
        </is>
      </c>
      <c r="G880" t="n">
        <v>4.6</v>
      </c>
      <c r="H880" t="n">
        <v>0</v>
      </c>
      <c r="I880" t="n">
        <v>0</v>
      </c>
      <c r="J880" t="n">
        <v>0</v>
      </c>
      <c r="K880" t="n">
        <v>0</v>
      </c>
      <c r="L880" t="n">
        <v>0</v>
      </c>
      <c r="M880" t="n">
        <v>0</v>
      </c>
      <c r="N880" t="n">
        <v>0</v>
      </c>
      <c r="O880" t="n">
        <v>0</v>
      </c>
      <c r="P880" t="n">
        <v>0</v>
      </c>
      <c r="Q880" t="n">
        <v>0</v>
      </c>
      <c r="R880" s="2" t="inlineStr"/>
    </row>
    <row r="881" ht="15" customHeight="1">
      <c r="A881" t="inlineStr">
        <is>
          <t>A 13718-2022</t>
        </is>
      </c>
      <c r="B881" s="1" t="n">
        <v>44649</v>
      </c>
      <c r="C881" s="1" t="n">
        <v>46136</v>
      </c>
      <c r="D881" t="inlineStr">
        <is>
          <t>STOCKHOLMS LÄN</t>
        </is>
      </c>
      <c r="E881" t="inlineStr">
        <is>
          <t>NORRTÄLJE</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58142-2025</t>
        </is>
      </c>
      <c r="B882" s="1" t="n">
        <v>45982.63791666667</v>
      </c>
      <c r="C882" s="1" t="n">
        <v>46136</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54259-2023</t>
        </is>
      </c>
      <c r="B883" s="1" t="n">
        <v>45232</v>
      </c>
      <c r="C883" s="1" t="n">
        <v>46136</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13171-2025</t>
        </is>
      </c>
      <c r="B884" s="1" t="n">
        <v>45735.36594907408</v>
      </c>
      <c r="C884" s="1" t="n">
        <v>46136</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12299-2025</t>
        </is>
      </c>
      <c r="B885" s="1" t="n">
        <v>45729.71065972222</v>
      </c>
      <c r="C885" s="1" t="n">
        <v>46136</v>
      </c>
      <c r="D885" t="inlineStr">
        <is>
          <t>STOCKHOLMS LÄN</t>
        </is>
      </c>
      <c r="E885" t="inlineStr">
        <is>
          <t>NORRTÄLJE</t>
        </is>
      </c>
      <c r="F885" t="inlineStr">
        <is>
          <t>Holmen skog AB</t>
        </is>
      </c>
      <c r="G885" t="n">
        <v>6.9</v>
      </c>
      <c r="H885" t="n">
        <v>0</v>
      </c>
      <c r="I885" t="n">
        <v>0</v>
      </c>
      <c r="J885" t="n">
        <v>0</v>
      </c>
      <c r="K885" t="n">
        <v>0</v>
      </c>
      <c r="L885" t="n">
        <v>0</v>
      </c>
      <c r="M885" t="n">
        <v>0</v>
      </c>
      <c r="N885" t="n">
        <v>0</v>
      </c>
      <c r="O885" t="n">
        <v>0</v>
      </c>
      <c r="P885" t="n">
        <v>0</v>
      </c>
      <c r="Q885" t="n">
        <v>0</v>
      </c>
      <c r="R885" s="2" t="inlineStr"/>
    </row>
    <row r="886" ht="15" customHeight="1">
      <c r="A886" t="inlineStr">
        <is>
          <t>A 57953-2025</t>
        </is>
      </c>
      <c r="B886" s="1" t="n">
        <v>45982.35016203704</v>
      </c>
      <c r="C886" s="1" t="n">
        <v>46136</v>
      </c>
      <c r="D886" t="inlineStr">
        <is>
          <t>STOCKHOLMS LÄN</t>
        </is>
      </c>
      <c r="E886" t="inlineStr">
        <is>
          <t>NORRTÄLJE</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11900-2024</t>
        </is>
      </c>
      <c r="B887" s="1" t="n">
        <v>45376.55484953704</v>
      </c>
      <c r="C887" s="1" t="n">
        <v>46136</v>
      </c>
      <c r="D887" t="inlineStr">
        <is>
          <t>STOCKHOLMS LÄN</t>
        </is>
      </c>
      <c r="E887" t="inlineStr">
        <is>
          <t>NORRTÄLJE</t>
        </is>
      </c>
      <c r="G887" t="n">
        <v>4.2</v>
      </c>
      <c r="H887" t="n">
        <v>0</v>
      </c>
      <c r="I887" t="n">
        <v>0</v>
      </c>
      <c r="J887" t="n">
        <v>0</v>
      </c>
      <c r="K887" t="n">
        <v>0</v>
      </c>
      <c r="L887" t="n">
        <v>0</v>
      </c>
      <c r="M887" t="n">
        <v>0</v>
      </c>
      <c r="N887" t="n">
        <v>0</v>
      </c>
      <c r="O887" t="n">
        <v>0</v>
      </c>
      <c r="P887" t="n">
        <v>0</v>
      </c>
      <c r="Q887" t="n">
        <v>0</v>
      </c>
      <c r="R887" s="2" t="inlineStr"/>
    </row>
    <row r="888" ht="15" customHeight="1">
      <c r="A888" t="inlineStr">
        <is>
          <t>A 43300-2023</t>
        </is>
      </c>
      <c r="B888" s="1" t="n">
        <v>45183</v>
      </c>
      <c r="C888" s="1" t="n">
        <v>46136</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13276-2022</t>
        </is>
      </c>
      <c r="B889" s="1" t="n">
        <v>44644</v>
      </c>
      <c r="C889" s="1" t="n">
        <v>46136</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11900-2022</t>
        </is>
      </c>
      <c r="B890" s="1" t="n">
        <v>44635</v>
      </c>
      <c r="C890" s="1" t="n">
        <v>46136</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14724-2022</t>
        </is>
      </c>
      <c r="B891" s="1" t="n">
        <v>44656</v>
      </c>
      <c r="C891" s="1" t="n">
        <v>46136</v>
      </c>
      <c r="D891" t="inlineStr">
        <is>
          <t>STOCKHOLMS LÄN</t>
        </is>
      </c>
      <c r="E891" t="inlineStr">
        <is>
          <t>NORRTÄLJE</t>
        </is>
      </c>
      <c r="F891" t="inlineStr">
        <is>
          <t>Sveaskog</t>
        </is>
      </c>
      <c r="G891" t="n">
        <v>9</v>
      </c>
      <c r="H891" t="n">
        <v>0</v>
      </c>
      <c r="I891" t="n">
        <v>0</v>
      </c>
      <c r="J891" t="n">
        <v>0</v>
      </c>
      <c r="K891" t="n">
        <v>0</v>
      </c>
      <c r="L891" t="n">
        <v>0</v>
      </c>
      <c r="M891" t="n">
        <v>0</v>
      </c>
      <c r="N891" t="n">
        <v>0</v>
      </c>
      <c r="O891" t="n">
        <v>0</v>
      </c>
      <c r="P891" t="n">
        <v>0</v>
      </c>
      <c r="Q891" t="n">
        <v>0</v>
      </c>
      <c r="R891" s="2" t="inlineStr"/>
    </row>
    <row r="892" ht="15" customHeight="1">
      <c r="A892" t="inlineStr">
        <is>
          <t>A 4580-2025</t>
        </is>
      </c>
      <c r="B892" s="1" t="n">
        <v>45687.5038425926</v>
      </c>
      <c r="C892" s="1" t="n">
        <v>46136</v>
      </c>
      <c r="D892" t="inlineStr">
        <is>
          <t>STOCKHOLMS LÄN</t>
        </is>
      </c>
      <c r="E892" t="inlineStr">
        <is>
          <t>NORRTÄLJE</t>
        </is>
      </c>
      <c r="F892" t="inlineStr">
        <is>
          <t>Holmen skog AB</t>
        </is>
      </c>
      <c r="G892" t="n">
        <v>4.8</v>
      </c>
      <c r="H892" t="n">
        <v>0</v>
      </c>
      <c r="I892" t="n">
        <v>0</v>
      </c>
      <c r="J892" t="n">
        <v>0</v>
      </c>
      <c r="K892" t="n">
        <v>0</v>
      </c>
      <c r="L892" t="n">
        <v>0</v>
      </c>
      <c r="M892" t="n">
        <v>0</v>
      </c>
      <c r="N892" t="n">
        <v>0</v>
      </c>
      <c r="O892" t="n">
        <v>0</v>
      </c>
      <c r="P892" t="n">
        <v>0</v>
      </c>
      <c r="Q892" t="n">
        <v>0</v>
      </c>
      <c r="R892" s="2" t="inlineStr"/>
    </row>
    <row r="893" ht="15" customHeight="1">
      <c r="A893" t="inlineStr">
        <is>
          <t>A 16202-2022</t>
        </is>
      </c>
      <c r="B893" s="1" t="n">
        <v>44670</v>
      </c>
      <c r="C893" s="1" t="n">
        <v>46136</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6003-2025</t>
        </is>
      </c>
      <c r="B894" s="1" t="n">
        <v>45695.57881944445</v>
      </c>
      <c r="C894" s="1" t="n">
        <v>46136</v>
      </c>
      <c r="D894" t="inlineStr">
        <is>
          <t>STOCKHOLMS LÄN</t>
        </is>
      </c>
      <c r="E894" t="inlineStr">
        <is>
          <t>NORRTÄLJE</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52321-2024</t>
        </is>
      </c>
      <c r="B895" s="1" t="n">
        <v>45608</v>
      </c>
      <c r="C895" s="1" t="n">
        <v>46136</v>
      </c>
      <c r="D895" t="inlineStr">
        <is>
          <t>STOCKHOLMS LÄN</t>
        </is>
      </c>
      <c r="E895" t="inlineStr">
        <is>
          <t>NORRTÄLJE</t>
        </is>
      </c>
      <c r="G895" t="n">
        <v>18.1</v>
      </c>
      <c r="H895" t="n">
        <v>0</v>
      </c>
      <c r="I895" t="n">
        <v>0</v>
      </c>
      <c r="J895" t="n">
        <v>0</v>
      </c>
      <c r="K895" t="n">
        <v>0</v>
      </c>
      <c r="L895" t="n">
        <v>0</v>
      </c>
      <c r="M895" t="n">
        <v>0</v>
      </c>
      <c r="N895" t="n">
        <v>0</v>
      </c>
      <c r="O895" t="n">
        <v>0</v>
      </c>
      <c r="P895" t="n">
        <v>0</v>
      </c>
      <c r="Q895" t="n">
        <v>0</v>
      </c>
      <c r="R895" s="2" t="inlineStr"/>
    </row>
    <row r="896" ht="15" customHeight="1">
      <c r="A896" t="inlineStr">
        <is>
          <t>A 58403-2025</t>
        </is>
      </c>
      <c r="B896" s="1" t="n">
        <v>45985.56777777777</v>
      </c>
      <c r="C896" s="1" t="n">
        <v>46136</v>
      </c>
      <c r="D896" t="inlineStr">
        <is>
          <t>STOCKHOLMS LÄN</t>
        </is>
      </c>
      <c r="E896" t="inlineStr">
        <is>
          <t>NORRTÄLJE</t>
        </is>
      </c>
      <c r="F896" t="inlineStr">
        <is>
          <t>Naturvårdsverket</t>
        </is>
      </c>
      <c r="G896" t="n">
        <v>13.5</v>
      </c>
      <c r="H896" t="n">
        <v>0</v>
      </c>
      <c r="I896" t="n">
        <v>0</v>
      </c>
      <c r="J896" t="n">
        <v>0</v>
      </c>
      <c r="K896" t="n">
        <v>0</v>
      </c>
      <c r="L896" t="n">
        <v>0</v>
      </c>
      <c r="M896" t="n">
        <v>0</v>
      </c>
      <c r="N896" t="n">
        <v>0</v>
      </c>
      <c r="O896" t="n">
        <v>0</v>
      </c>
      <c r="P896" t="n">
        <v>0</v>
      </c>
      <c r="Q896" t="n">
        <v>0</v>
      </c>
      <c r="R896" s="2" t="inlineStr"/>
    </row>
    <row r="897" ht="15" customHeight="1">
      <c r="A897" t="inlineStr">
        <is>
          <t>A 54558-2024</t>
        </is>
      </c>
      <c r="B897" s="1" t="n">
        <v>45617.62358796296</v>
      </c>
      <c r="C897" s="1" t="n">
        <v>46136</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22157-2023</t>
        </is>
      </c>
      <c r="B898" s="1" t="n">
        <v>45069</v>
      </c>
      <c r="C898" s="1" t="n">
        <v>46136</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c r="U898">
        <f>HYPERLINK("https://klasma.github.io/Logging_0188/knärot/A 22157-2023 karta knärot.png", "A 22157-2023")</f>
        <v/>
      </c>
      <c r="V898">
        <f>HYPERLINK("https://klasma.github.io/Logging_0188/klagomål/A 22157-2023 FSC-klagomål.docx", "A 22157-2023")</f>
        <v/>
      </c>
      <c r="W898">
        <f>HYPERLINK("https://klasma.github.io/Logging_0188/klagomålsmail/A 22157-2023 FSC-klagomål mail.docx", "A 22157-2023")</f>
        <v/>
      </c>
      <c r="X898">
        <f>HYPERLINK("https://klasma.github.io/Logging_0188/tillsyn/A 22157-2023 tillsynsbegäran.docx", "A 22157-2023")</f>
        <v/>
      </c>
      <c r="Y898">
        <f>HYPERLINK("https://klasma.github.io/Logging_0188/tillsynsmail/A 22157-2023 tillsynsbegäran mail.docx", "A 22157-2023")</f>
        <v/>
      </c>
    </row>
    <row r="899" ht="15" customHeight="1">
      <c r="A899" t="inlineStr">
        <is>
          <t>A 48633-2023</t>
        </is>
      </c>
      <c r="B899" s="1" t="n">
        <v>45208.58004629629</v>
      </c>
      <c r="C899" s="1" t="n">
        <v>46136</v>
      </c>
      <c r="D899" t="inlineStr">
        <is>
          <t>STOCKHOLMS LÄN</t>
        </is>
      </c>
      <c r="E899" t="inlineStr">
        <is>
          <t>NORRTÄLJE</t>
        </is>
      </c>
      <c r="G899" t="n">
        <v>3.3</v>
      </c>
      <c r="H899" t="n">
        <v>0</v>
      </c>
      <c r="I899" t="n">
        <v>0</v>
      </c>
      <c r="J899" t="n">
        <v>0</v>
      </c>
      <c r="K899" t="n">
        <v>0</v>
      </c>
      <c r="L899" t="n">
        <v>0</v>
      </c>
      <c r="M899" t="n">
        <v>0</v>
      </c>
      <c r="N899" t="n">
        <v>0</v>
      </c>
      <c r="O899" t="n">
        <v>0</v>
      </c>
      <c r="P899" t="n">
        <v>0</v>
      </c>
      <c r="Q899" t="n">
        <v>0</v>
      </c>
      <c r="R899" s="2" t="inlineStr"/>
    </row>
    <row r="900" ht="15" customHeight="1">
      <c r="A900" t="inlineStr">
        <is>
          <t>A 47419-2023</t>
        </is>
      </c>
      <c r="B900" s="1" t="n">
        <v>45202.65660879629</v>
      </c>
      <c r="C900" s="1" t="n">
        <v>46136</v>
      </c>
      <c r="D900" t="inlineStr">
        <is>
          <t>STOCKHOLMS LÄN</t>
        </is>
      </c>
      <c r="E900" t="inlineStr">
        <is>
          <t>NORRTÄLJE</t>
        </is>
      </c>
      <c r="G900" t="n">
        <v>11.4</v>
      </c>
      <c r="H900" t="n">
        <v>0</v>
      </c>
      <c r="I900" t="n">
        <v>0</v>
      </c>
      <c r="J900" t="n">
        <v>0</v>
      </c>
      <c r="K900" t="n">
        <v>0</v>
      </c>
      <c r="L900" t="n">
        <v>0</v>
      </c>
      <c r="M900" t="n">
        <v>0</v>
      </c>
      <c r="N900" t="n">
        <v>0</v>
      </c>
      <c r="O900" t="n">
        <v>0</v>
      </c>
      <c r="P900" t="n">
        <v>0</v>
      </c>
      <c r="Q900" t="n">
        <v>0</v>
      </c>
      <c r="R900" s="2" t="inlineStr"/>
    </row>
    <row r="901" ht="15" customHeight="1">
      <c r="A901" t="inlineStr">
        <is>
          <t>A 652-2025</t>
        </is>
      </c>
      <c r="B901" s="1" t="n">
        <v>45664</v>
      </c>
      <c r="C901" s="1" t="n">
        <v>46136</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58939-2025</t>
        </is>
      </c>
      <c r="B902" s="1" t="n">
        <v>45987.5681712963</v>
      </c>
      <c r="C902" s="1" t="n">
        <v>46136</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10653-2022</t>
        </is>
      </c>
      <c r="B903" s="1" t="n">
        <v>44624.59434027778</v>
      </c>
      <c r="C903" s="1" t="n">
        <v>46136</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35695-2023</t>
        </is>
      </c>
      <c r="B904" s="1" t="n">
        <v>45147.65407407407</v>
      </c>
      <c r="C904" s="1" t="n">
        <v>46136</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18665-2022</t>
        </is>
      </c>
      <c r="B905" s="1" t="n">
        <v>44687</v>
      </c>
      <c r="C905" s="1" t="n">
        <v>46136</v>
      </c>
      <c r="D905" t="inlineStr">
        <is>
          <t>STOCKHOLMS LÄN</t>
        </is>
      </c>
      <c r="E905" t="inlineStr">
        <is>
          <t>NORRTÄLJE</t>
        </is>
      </c>
      <c r="F905" t="inlineStr">
        <is>
          <t>Kyrkan</t>
        </is>
      </c>
      <c r="G905" t="n">
        <v>1.1</v>
      </c>
      <c r="H905" t="n">
        <v>0</v>
      </c>
      <c r="I905" t="n">
        <v>0</v>
      </c>
      <c r="J905" t="n">
        <v>0</v>
      </c>
      <c r="K905" t="n">
        <v>0</v>
      </c>
      <c r="L905" t="n">
        <v>0</v>
      </c>
      <c r="M905" t="n">
        <v>0</v>
      </c>
      <c r="N905" t="n">
        <v>0</v>
      </c>
      <c r="O905" t="n">
        <v>0</v>
      </c>
      <c r="P905" t="n">
        <v>0</v>
      </c>
      <c r="Q905" t="n">
        <v>0</v>
      </c>
      <c r="R905" s="2" t="inlineStr"/>
    </row>
    <row r="906" ht="15" customHeight="1">
      <c r="A906" t="inlineStr">
        <is>
          <t>A 17574-2025</t>
        </is>
      </c>
      <c r="B906" s="1" t="n">
        <v>45757.65178240741</v>
      </c>
      <c r="C906" s="1" t="n">
        <v>46136</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20370-2025</t>
        </is>
      </c>
      <c r="B907" s="1" t="n">
        <v>45775.41451388889</v>
      </c>
      <c r="C907" s="1" t="n">
        <v>46136</v>
      </c>
      <c r="D907" t="inlineStr">
        <is>
          <t>STOCKHOLMS LÄN</t>
        </is>
      </c>
      <c r="E907" t="inlineStr">
        <is>
          <t>NORRTÄLJE</t>
        </is>
      </c>
      <c r="G907" t="n">
        <v>2.9</v>
      </c>
      <c r="H907" t="n">
        <v>0</v>
      </c>
      <c r="I907" t="n">
        <v>0</v>
      </c>
      <c r="J907" t="n">
        <v>0</v>
      </c>
      <c r="K907" t="n">
        <v>0</v>
      </c>
      <c r="L907" t="n">
        <v>0</v>
      </c>
      <c r="M907" t="n">
        <v>0</v>
      </c>
      <c r="N907" t="n">
        <v>0</v>
      </c>
      <c r="O907" t="n">
        <v>0</v>
      </c>
      <c r="P907" t="n">
        <v>0</v>
      </c>
      <c r="Q907" t="n">
        <v>0</v>
      </c>
      <c r="R907" s="2" t="inlineStr"/>
    </row>
    <row r="908" ht="15" customHeight="1">
      <c r="A908" t="inlineStr">
        <is>
          <t>A 19982-2022</t>
        </is>
      </c>
      <c r="B908" s="1" t="n">
        <v>44697</v>
      </c>
      <c r="C908" s="1" t="n">
        <v>46136</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57788-2025</t>
        </is>
      </c>
      <c r="B909" s="1" t="n">
        <v>45981.5778125</v>
      </c>
      <c r="C909" s="1" t="n">
        <v>46136</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35438-2023</t>
        </is>
      </c>
      <c r="B910" s="1" t="n">
        <v>45146</v>
      </c>
      <c r="C910" s="1" t="n">
        <v>46136</v>
      </c>
      <c r="D910" t="inlineStr">
        <is>
          <t>STOCKHOLMS LÄN</t>
        </is>
      </c>
      <c r="E910" t="inlineStr">
        <is>
          <t>NORRTÄLJE</t>
        </is>
      </c>
      <c r="F910" t="inlineStr">
        <is>
          <t>Kommuner</t>
        </is>
      </c>
      <c r="G910" t="n">
        <v>1.9</v>
      </c>
      <c r="H910" t="n">
        <v>0</v>
      </c>
      <c r="I910" t="n">
        <v>0</v>
      </c>
      <c r="J910" t="n">
        <v>0</v>
      </c>
      <c r="K910" t="n">
        <v>0</v>
      </c>
      <c r="L910" t="n">
        <v>0</v>
      </c>
      <c r="M910" t="n">
        <v>0</v>
      </c>
      <c r="N910" t="n">
        <v>0</v>
      </c>
      <c r="O910" t="n">
        <v>0</v>
      </c>
      <c r="P910" t="n">
        <v>0</v>
      </c>
      <c r="Q910" t="n">
        <v>0</v>
      </c>
      <c r="R910" s="2" t="inlineStr"/>
    </row>
    <row r="911" ht="15" customHeight="1">
      <c r="A911" t="inlineStr">
        <is>
          <t>A 33878-2024</t>
        </is>
      </c>
      <c r="B911" s="1" t="n">
        <v>45522.44414351852</v>
      </c>
      <c r="C911" s="1" t="n">
        <v>46136</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59672-2025</t>
        </is>
      </c>
      <c r="B912" s="1" t="n">
        <v>45992.45884259259</v>
      </c>
      <c r="C912" s="1" t="n">
        <v>46136</v>
      </c>
      <c r="D912" t="inlineStr">
        <is>
          <t>STOCKHOLMS LÄN</t>
        </is>
      </c>
      <c r="E912" t="inlineStr">
        <is>
          <t>NORRTÄLJE</t>
        </is>
      </c>
      <c r="G912" t="n">
        <v>4</v>
      </c>
      <c r="H912" t="n">
        <v>0</v>
      </c>
      <c r="I912" t="n">
        <v>0</v>
      </c>
      <c r="J912" t="n">
        <v>0</v>
      </c>
      <c r="K912" t="n">
        <v>0</v>
      </c>
      <c r="L912" t="n">
        <v>0</v>
      </c>
      <c r="M912" t="n">
        <v>0</v>
      </c>
      <c r="N912" t="n">
        <v>0</v>
      </c>
      <c r="O912" t="n">
        <v>0</v>
      </c>
      <c r="P912" t="n">
        <v>0</v>
      </c>
      <c r="Q912" t="n">
        <v>0</v>
      </c>
      <c r="R912" s="2" t="inlineStr"/>
    </row>
    <row r="913" ht="15" customHeight="1">
      <c r="A913" t="inlineStr">
        <is>
          <t>A 4183-2025</t>
        </is>
      </c>
      <c r="B913" s="1" t="n">
        <v>45685.44592592592</v>
      </c>
      <c r="C913" s="1" t="n">
        <v>46136</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60223-2025</t>
        </is>
      </c>
      <c r="B914" s="1" t="n">
        <v>45994.54497685185</v>
      </c>
      <c r="C914" s="1" t="n">
        <v>46136</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17556-2025</t>
        </is>
      </c>
      <c r="B915" s="1" t="n">
        <v>45757.62482638889</v>
      </c>
      <c r="C915" s="1" t="n">
        <v>46136</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59914-2025</t>
        </is>
      </c>
      <c r="B916" s="1" t="n">
        <v>45993.37056712963</v>
      </c>
      <c r="C916" s="1" t="n">
        <v>46136</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41335-2023</t>
        </is>
      </c>
      <c r="B917" s="1" t="n">
        <v>45174.68702546296</v>
      </c>
      <c r="C917" s="1" t="n">
        <v>46136</v>
      </c>
      <c r="D917" t="inlineStr">
        <is>
          <t>STOCKHOLMS LÄN</t>
        </is>
      </c>
      <c r="E917" t="inlineStr">
        <is>
          <t>NORRTÄLJE</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4484-2025</t>
        </is>
      </c>
      <c r="B918" s="1" t="n">
        <v>45686.65545138889</v>
      </c>
      <c r="C918" s="1" t="n">
        <v>46136</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59041-2025</t>
        </is>
      </c>
      <c r="B919" s="1" t="n">
        <v>45988</v>
      </c>
      <c r="C919" s="1" t="n">
        <v>46136</v>
      </c>
      <c r="D919" t="inlineStr">
        <is>
          <t>STOCKHOLMS LÄN</t>
        </is>
      </c>
      <c r="E919" t="inlineStr">
        <is>
          <t>NORRTÄLJE</t>
        </is>
      </c>
      <c r="G919" t="n">
        <v>6.6</v>
      </c>
      <c r="H919" t="n">
        <v>0</v>
      </c>
      <c r="I919" t="n">
        <v>0</v>
      </c>
      <c r="J919" t="n">
        <v>0</v>
      </c>
      <c r="K919" t="n">
        <v>0</v>
      </c>
      <c r="L919" t="n">
        <v>0</v>
      </c>
      <c r="M919" t="n">
        <v>0</v>
      </c>
      <c r="N919" t="n">
        <v>0</v>
      </c>
      <c r="O919" t="n">
        <v>0</v>
      </c>
      <c r="P919" t="n">
        <v>0</v>
      </c>
      <c r="Q919" t="n">
        <v>0</v>
      </c>
      <c r="R919" s="2" t="inlineStr"/>
    </row>
    <row r="920" ht="15" customHeight="1">
      <c r="A920" t="inlineStr">
        <is>
          <t>A 8419-2025</t>
        </is>
      </c>
      <c r="B920" s="1" t="n">
        <v>45709.40231481481</v>
      </c>
      <c r="C920" s="1" t="n">
        <v>46136</v>
      </c>
      <c r="D920" t="inlineStr">
        <is>
          <t>STOCKHOLMS LÄN</t>
        </is>
      </c>
      <c r="E920" t="inlineStr">
        <is>
          <t>NORRTÄLJE</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21480-2022</t>
        </is>
      </c>
      <c r="B921" s="1" t="n">
        <v>44704</v>
      </c>
      <c r="C921" s="1" t="n">
        <v>46136</v>
      </c>
      <c r="D921" t="inlineStr">
        <is>
          <t>STOCKHOLMS LÄN</t>
        </is>
      </c>
      <c r="E921" t="inlineStr">
        <is>
          <t>NORRTÄLJE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60214-2025</t>
        </is>
      </c>
      <c r="B922" s="1" t="n">
        <v>45994.53761574074</v>
      </c>
      <c r="C922" s="1" t="n">
        <v>46136</v>
      </c>
      <c r="D922" t="inlineStr">
        <is>
          <t>STOCKHOLMS LÄN</t>
        </is>
      </c>
      <c r="E922" t="inlineStr">
        <is>
          <t>NORRTÄLJE</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60253-2025</t>
        </is>
      </c>
      <c r="B923" s="1" t="n">
        <v>45994.59827546297</v>
      </c>
      <c r="C923" s="1" t="n">
        <v>46136</v>
      </c>
      <c r="D923" t="inlineStr">
        <is>
          <t>STOCKHOLMS LÄN</t>
        </is>
      </c>
      <c r="E923" t="inlineStr">
        <is>
          <t>NORRTÄLJE</t>
        </is>
      </c>
      <c r="F923" t="inlineStr">
        <is>
          <t>Holmen skog AB</t>
        </is>
      </c>
      <c r="G923" t="n">
        <v>3.6</v>
      </c>
      <c r="H923" t="n">
        <v>0</v>
      </c>
      <c r="I923" t="n">
        <v>0</v>
      </c>
      <c r="J923" t="n">
        <v>0</v>
      </c>
      <c r="K923" t="n">
        <v>0</v>
      </c>
      <c r="L923" t="n">
        <v>0</v>
      </c>
      <c r="M923" t="n">
        <v>0</v>
      </c>
      <c r="N923" t="n">
        <v>0</v>
      </c>
      <c r="O923" t="n">
        <v>0</v>
      </c>
      <c r="P923" t="n">
        <v>0</v>
      </c>
      <c r="Q923" t="n">
        <v>0</v>
      </c>
      <c r="R923" s="2" t="inlineStr"/>
    </row>
    <row r="924" ht="15" customHeight="1">
      <c r="A924" t="inlineStr">
        <is>
          <t>A 59907-2025</t>
        </is>
      </c>
      <c r="B924" s="1" t="n">
        <v>45993.35350694445</v>
      </c>
      <c r="C924" s="1" t="n">
        <v>46136</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59924-2025</t>
        </is>
      </c>
      <c r="B925" s="1" t="n">
        <v>45993.38928240741</v>
      </c>
      <c r="C925" s="1" t="n">
        <v>46136</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1654-2025</t>
        </is>
      </c>
      <c r="B926" s="1" t="n">
        <v>45670.65921296296</v>
      </c>
      <c r="C926" s="1" t="n">
        <v>46136</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48686-2023</t>
        </is>
      </c>
      <c r="B927" s="1" t="n">
        <v>45208</v>
      </c>
      <c r="C927" s="1" t="n">
        <v>46136</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48691-2023</t>
        </is>
      </c>
      <c r="B928" s="1" t="n">
        <v>45208</v>
      </c>
      <c r="C928" s="1" t="n">
        <v>46136</v>
      </c>
      <c r="D928" t="inlineStr">
        <is>
          <t>STOCKHOLMS LÄN</t>
        </is>
      </c>
      <c r="E928" t="inlineStr">
        <is>
          <t>NORRTÄLJE</t>
        </is>
      </c>
      <c r="G928" t="n">
        <v>5.8</v>
      </c>
      <c r="H928" t="n">
        <v>0</v>
      </c>
      <c r="I928" t="n">
        <v>0</v>
      </c>
      <c r="J928" t="n">
        <v>0</v>
      </c>
      <c r="K928" t="n">
        <v>0</v>
      </c>
      <c r="L928" t="n">
        <v>0</v>
      </c>
      <c r="M928" t="n">
        <v>0</v>
      </c>
      <c r="N928" t="n">
        <v>0</v>
      </c>
      <c r="O928" t="n">
        <v>0</v>
      </c>
      <c r="P928" t="n">
        <v>0</v>
      </c>
      <c r="Q928" t="n">
        <v>0</v>
      </c>
      <c r="R928" s="2" t="inlineStr"/>
    </row>
    <row r="929" ht="15" customHeight="1">
      <c r="A929" t="inlineStr">
        <is>
          <t>A 55243-2023</t>
        </is>
      </c>
      <c r="B929" s="1" t="n">
        <v>45237</v>
      </c>
      <c r="C929" s="1" t="n">
        <v>46136</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35210-2023</t>
        </is>
      </c>
      <c r="B930" s="1" t="n">
        <v>45145.63584490741</v>
      </c>
      <c r="C930" s="1" t="n">
        <v>46136</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60649-2025</t>
        </is>
      </c>
      <c r="B931" s="1" t="n">
        <v>45996.4560300926</v>
      </c>
      <c r="C931" s="1" t="n">
        <v>46136</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6678-2025</t>
        </is>
      </c>
      <c r="B932" s="1" t="n">
        <v>45700</v>
      </c>
      <c r="C932" s="1" t="n">
        <v>46136</v>
      </c>
      <c r="D932" t="inlineStr">
        <is>
          <t>STOCKHOLMS LÄN</t>
        </is>
      </c>
      <c r="E932" t="inlineStr">
        <is>
          <t>NORRTÄLJE</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17612-2022</t>
        </is>
      </c>
      <c r="B933" s="1" t="n">
        <v>44680</v>
      </c>
      <c r="C933" s="1" t="n">
        <v>46136</v>
      </c>
      <c r="D933" t="inlineStr">
        <is>
          <t>STOCKHOLMS LÄN</t>
        </is>
      </c>
      <c r="E933" t="inlineStr">
        <is>
          <t>NORRTÄLJE</t>
        </is>
      </c>
      <c r="G933" t="n">
        <v>2.6</v>
      </c>
      <c r="H933" t="n">
        <v>0</v>
      </c>
      <c r="I933" t="n">
        <v>0</v>
      </c>
      <c r="J933" t="n">
        <v>0</v>
      </c>
      <c r="K933" t="n">
        <v>0</v>
      </c>
      <c r="L933" t="n">
        <v>0</v>
      </c>
      <c r="M933" t="n">
        <v>0</v>
      </c>
      <c r="N933" t="n">
        <v>0</v>
      </c>
      <c r="O933" t="n">
        <v>0</v>
      </c>
      <c r="P933" t="n">
        <v>0</v>
      </c>
      <c r="Q933" t="n">
        <v>0</v>
      </c>
      <c r="R933" s="2" t="inlineStr"/>
    </row>
    <row r="934" ht="15" customHeight="1">
      <c r="A934" t="inlineStr">
        <is>
          <t>A 60745-2025</t>
        </is>
      </c>
      <c r="B934" s="1" t="n">
        <v>45999.37753472223</v>
      </c>
      <c r="C934" s="1" t="n">
        <v>46136</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58297-2023</t>
        </is>
      </c>
      <c r="B935" s="1" t="n">
        <v>45245</v>
      </c>
      <c r="C935" s="1" t="n">
        <v>46136</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21726-2022</t>
        </is>
      </c>
      <c r="B936" s="1" t="n">
        <v>44708</v>
      </c>
      <c r="C936" s="1" t="n">
        <v>46136</v>
      </c>
      <c r="D936" t="inlineStr">
        <is>
          <t>STOCKHOLMS LÄN</t>
        </is>
      </c>
      <c r="E936" t="inlineStr">
        <is>
          <t>NORRTÄLJE</t>
        </is>
      </c>
      <c r="G936" t="n">
        <v>0.2</v>
      </c>
      <c r="H936" t="n">
        <v>0</v>
      </c>
      <c r="I936" t="n">
        <v>0</v>
      </c>
      <c r="J936" t="n">
        <v>0</v>
      </c>
      <c r="K936" t="n">
        <v>0</v>
      </c>
      <c r="L936" t="n">
        <v>0</v>
      </c>
      <c r="M936" t="n">
        <v>0</v>
      </c>
      <c r="N936" t="n">
        <v>0</v>
      </c>
      <c r="O936" t="n">
        <v>0</v>
      </c>
      <c r="P936" t="n">
        <v>0</v>
      </c>
      <c r="Q936" t="n">
        <v>0</v>
      </c>
      <c r="R936" s="2" t="inlineStr"/>
    </row>
    <row r="937" ht="15" customHeight="1">
      <c r="A937" t="inlineStr">
        <is>
          <t>A 21739-2022</t>
        </is>
      </c>
      <c r="B937" s="1" t="n">
        <v>44708.36708333333</v>
      </c>
      <c r="C937" s="1" t="n">
        <v>46136</v>
      </c>
      <c r="D937" t="inlineStr">
        <is>
          <t>STOCKHOLMS LÄN</t>
        </is>
      </c>
      <c r="E937" t="inlineStr">
        <is>
          <t>NORRTÄLJE</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60928-2025</t>
        </is>
      </c>
      <c r="B938" s="1" t="n">
        <v>45999.633125</v>
      </c>
      <c r="C938" s="1" t="n">
        <v>46136</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60948-2025</t>
        </is>
      </c>
      <c r="B939" s="1" t="n">
        <v>45999.650625</v>
      </c>
      <c r="C939" s="1" t="n">
        <v>46136</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28182-2022</t>
        </is>
      </c>
      <c r="B940" s="1" t="n">
        <v>44746.58530092592</v>
      </c>
      <c r="C940" s="1" t="n">
        <v>46136</v>
      </c>
      <c r="D940" t="inlineStr">
        <is>
          <t>STOCKHOLMS LÄN</t>
        </is>
      </c>
      <c r="E940" t="inlineStr">
        <is>
          <t>NORRTÄLJE</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61160-2025</t>
        </is>
      </c>
      <c r="B941" s="1" t="n">
        <v>46000.55262731481</v>
      </c>
      <c r="C941" s="1" t="n">
        <v>46136</v>
      </c>
      <c r="D941" t="inlineStr">
        <is>
          <t>STOCKHOLMS LÄN</t>
        </is>
      </c>
      <c r="E941" t="inlineStr">
        <is>
          <t>NORRTÄLJE</t>
        </is>
      </c>
      <c r="G941" t="n">
        <v>5.3</v>
      </c>
      <c r="H941" t="n">
        <v>0</v>
      </c>
      <c r="I941" t="n">
        <v>0</v>
      </c>
      <c r="J941" t="n">
        <v>0</v>
      </c>
      <c r="K941" t="n">
        <v>0</v>
      </c>
      <c r="L941" t="n">
        <v>0</v>
      </c>
      <c r="M941" t="n">
        <v>0</v>
      </c>
      <c r="N941" t="n">
        <v>0</v>
      </c>
      <c r="O941" t="n">
        <v>0</v>
      </c>
      <c r="P941" t="n">
        <v>0</v>
      </c>
      <c r="Q941" t="n">
        <v>0</v>
      </c>
      <c r="R941" s="2" t="inlineStr"/>
    </row>
    <row r="942" ht="15" customHeight="1">
      <c r="A942" t="inlineStr">
        <is>
          <t>A 3283-2025</t>
        </is>
      </c>
      <c r="B942" s="1" t="n">
        <v>45679</v>
      </c>
      <c r="C942" s="1" t="n">
        <v>46136</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18092-2022</t>
        </is>
      </c>
      <c r="B943" s="1" t="n">
        <v>44684</v>
      </c>
      <c r="C943" s="1" t="n">
        <v>46136</v>
      </c>
      <c r="D943" t="inlineStr">
        <is>
          <t>STOCKHOLMS LÄN</t>
        </is>
      </c>
      <c r="E943" t="inlineStr">
        <is>
          <t>NORRTÄLJE</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33295-2023</t>
        </is>
      </c>
      <c r="B944" s="1" t="n">
        <v>45127.69371527778</v>
      </c>
      <c r="C944" s="1" t="n">
        <v>46136</v>
      </c>
      <c r="D944" t="inlineStr">
        <is>
          <t>STOCKHOLMS LÄN</t>
        </is>
      </c>
      <c r="E944" t="inlineStr">
        <is>
          <t>NORRTÄLJE</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58404-2023</t>
        </is>
      </c>
      <c r="B945" s="1" t="n">
        <v>45245</v>
      </c>
      <c r="C945" s="1" t="n">
        <v>46136</v>
      </c>
      <c r="D945" t="inlineStr">
        <is>
          <t>STOCKHOLMS LÄN</t>
        </is>
      </c>
      <c r="E945" t="inlineStr">
        <is>
          <t>NORRTÄLJE</t>
        </is>
      </c>
      <c r="G945" t="n">
        <v>53.5</v>
      </c>
      <c r="H945" t="n">
        <v>0</v>
      </c>
      <c r="I945" t="n">
        <v>0</v>
      </c>
      <c r="J945" t="n">
        <v>0</v>
      </c>
      <c r="K945" t="n">
        <v>0</v>
      </c>
      <c r="L945" t="n">
        <v>0</v>
      </c>
      <c r="M945" t="n">
        <v>0</v>
      </c>
      <c r="N945" t="n">
        <v>0</v>
      </c>
      <c r="O945" t="n">
        <v>0</v>
      </c>
      <c r="P945" t="n">
        <v>0</v>
      </c>
      <c r="Q945" t="n">
        <v>0</v>
      </c>
      <c r="R945" s="2" t="inlineStr"/>
    </row>
    <row r="946" ht="15" customHeight="1">
      <c r="A946" t="inlineStr">
        <is>
          <t>A 27885-2022</t>
        </is>
      </c>
      <c r="B946" s="1" t="n">
        <v>44743.67418981482</v>
      </c>
      <c r="C946" s="1" t="n">
        <v>46136</v>
      </c>
      <c r="D946" t="inlineStr">
        <is>
          <t>STOCKHOLMS LÄN</t>
        </is>
      </c>
      <c r="E946" t="inlineStr">
        <is>
          <t>NORRTÄLJE</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61769-2025</t>
        </is>
      </c>
      <c r="B947" s="1" t="n">
        <v>46002.64556712963</v>
      </c>
      <c r="C947" s="1" t="n">
        <v>46136</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25525-2022</t>
        </is>
      </c>
      <c r="B948" s="1" t="n">
        <v>44732</v>
      </c>
      <c r="C948" s="1" t="n">
        <v>46136</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61764-2025</t>
        </is>
      </c>
      <c r="B949" s="1" t="n">
        <v>46002.62763888889</v>
      </c>
      <c r="C949" s="1" t="n">
        <v>46136</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48722-2023</t>
        </is>
      </c>
      <c r="B950" s="1" t="n">
        <v>45208.70996527778</v>
      </c>
      <c r="C950" s="1" t="n">
        <v>46136</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61289-2025</t>
        </is>
      </c>
      <c r="B951" s="1" t="n">
        <v>46000.73659722223</v>
      </c>
      <c r="C951" s="1" t="n">
        <v>46136</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61419-2025</t>
        </is>
      </c>
      <c r="B952" s="1" t="n">
        <v>46001.54137731482</v>
      </c>
      <c r="C952" s="1" t="n">
        <v>46136</v>
      </c>
      <c r="D952" t="inlineStr">
        <is>
          <t>STOCKHOLMS LÄN</t>
        </is>
      </c>
      <c r="E952" t="inlineStr">
        <is>
          <t>NORRTÄLJE</t>
        </is>
      </c>
      <c r="G952" t="n">
        <v>5.2</v>
      </c>
      <c r="H952" t="n">
        <v>0</v>
      </c>
      <c r="I952" t="n">
        <v>0</v>
      </c>
      <c r="J952" t="n">
        <v>0</v>
      </c>
      <c r="K952" t="n">
        <v>0</v>
      </c>
      <c r="L952" t="n">
        <v>0</v>
      </c>
      <c r="M952" t="n">
        <v>0</v>
      </c>
      <c r="N952" t="n">
        <v>0</v>
      </c>
      <c r="O952" t="n">
        <v>0</v>
      </c>
      <c r="P952" t="n">
        <v>0</v>
      </c>
      <c r="Q952" t="n">
        <v>0</v>
      </c>
      <c r="R952" s="2" t="inlineStr"/>
    </row>
    <row r="953" ht="15" customHeight="1">
      <c r="A953" t="inlineStr">
        <is>
          <t>A 61430-2025</t>
        </is>
      </c>
      <c r="B953" s="1" t="n">
        <v>46001.55583333333</v>
      </c>
      <c r="C953" s="1" t="n">
        <v>46136</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61452-2025</t>
        </is>
      </c>
      <c r="B954" s="1" t="n">
        <v>46001.58043981482</v>
      </c>
      <c r="C954" s="1" t="n">
        <v>46136</v>
      </c>
      <c r="D954" t="inlineStr">
        <is>
          <t>STOCKHOLMS LÄN</t>
        </is>
      </c>
      <c r="E954" t="inlineStr">
        <is>
          <t>NORRTÄLJE</t>
        </is>
      </c>
      <c r="F954" t="inlineStr">
        <is>
          <t>Holmen skog AB</t>
        </is>
      </c>
      <c r="G954" t="n">
        <v>3.7</v>
      </c>
      <c r="H954" t="n">
        <v>0</v>
      </c>
      <c r="I954" t="n">
        <v>0</v>
      </c>
      <c r="J954" t="n">
        <v>0</v>
      </c>
      <c r="K954" t="n">
        <v>0</v>
      </c>
      <c r="L954" t="n">
        <v>0</v>
      </c>
      <c r="M954" t="n">
        <v>0</v>
      </c>
      <c r="N954" t="n">
        <v>0</v>
      </c>
      <c r="O954" t="n">
        <v>0</v>
      </c>
      <c r="P954" t="n">
        <v>0</v>
      </c>
      <c r="Q954" t="n">
        <v>0</v>
      </c>
      <c r="R954" s="2" t="inlineStr"/>
    </row>
    <row r="955" ht="15" customHeight="1">
      <c r="A955" t="inlineStr">
        <is>
          <t>A 23801-2022</t>
        </is>
      </c>
      <c r="B955" s="1" t="n">
        <v>44722</v>
      </c>
      <c r="C955" s="1" t="n">
        <v>46136</v>
      </c>
      <c r="D955" t="inlineStr">
        <is>
          <t>STOCKHOLMS LÄN</t>
        </is>
      </c>
      <c r="E955" t="inlineStr">
        <is>
          <t>NORRTÄLJE</t>
        </is>
      </c>
      <c r="G955" t="n">
        <v>6.8</v>
      </c>
      <c r="H955" t="n">
        <v>0</v>
      </c>
      <c r="I955" t="n">
        <v>0</v>
      </c>
      <c r="J955" t="n">
        <v>0</v>
      </c>
      <c r="K955" t="n">
        <v>0</v>
      </c>
      <c r="L955" t="n">
        <v>0</v>
      </c>
      <c r="M955" t="n">
        <v>0</v>
      </c>
      <c r="N955" t="n">
        <v>0</v>
      </c>
      <c r="O955" t="n">
        <v>0</v>
      </c>
      <c r="P955" t="n">
        <v>0</v>
      </c>
      <c r="Q955" t="n">
        <v>0</v>
      </c>
      <c r="R955" s="2" t="inlineStr"/>
    </row>
    <row r="956" ht="15" customHeight="1">
      <c r="A956" t="inlineStr">
        <is>
          <t>A 53499-2025</t>
        </is>
      </c>
      <c r="B956" s="1" t="n">
        <v>45960</v>
      </c>
      <c r="C956" s="1" t="n">
        <v>46136</v>
      </c>
      <c r="D956" t="inlineStr">
        <is>
          <t>STOCKHOLMS LÄN</t>
        </is>
      </c>
      <c r="E956" t="inlineStr">
        <is>
          <t>NORRTÄLJE</t>
        </is>
      </c>
      <c r="G956" t="n">
        <v>23.8</v>
      </c>
      <c r="H956" t="n">
        <v>0</v>
      </c>
      <c r="I956" t="n">
        <v>0</v>
      </c>
      <c r="J956" t="n">
        <v>0</v>
      </c>
      <c r="K956" t="n">
        <v>0</v>
      </c>
      <c r="L956" t="n">
        <v>0</v>
      </c>
      <c r="M956" t="n">
        <v>0</v>
      </c>
      <c r="N956" t="n">
        <v>0</v>
      </c>
      <c r="O956" t="n">
        <v>0</v>
      </c>
      <c r="P956" t="n">
        <v>0</v>
      </c>
      <c r="Q956" t="n">
        <v>0</v>
      </c>
      <c r="R956" s="2" t="inlineStr"/>
    </row>
    <row r="957" ht="15" customHeight="1">
      <c r="A957" t="inlineStr">
        <is>
          <t>A 62708-2025</t>
        </is>
      </c>
      <c r="B957" s="1" t="n">
        <v>46008.50986111111</v>
      </c>
      <c r="C957" s="1" t="n">
        <v>46136</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33353-2023</t>
        </is>
      </c>
      <c r="B958" s="1" t="n">
        <v>45128</v>
      </c>
      <c r="C958" s="1" t="n">
        <v>46136</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62689-2025</t>
        </is>
      </c>
      <c r="B959" s="1" t="n">
        <v>46008.47171296296</v>
      </c>
      <c r="C959" s="1" t="n">
        <v>46136</v>
      </c>
      <c r="D959" t="inlineStr">
        <is>
          <t>STOCKHOLMS LÄN</t>
        </is>
      </c>
      <c r="E959" t="inlineStr">
        <is>
          <t>NORRTÄLJE</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33279-2025</t>
        </is>
      </c>
      <c r="B960" s="1" t="n">
        <v>45840</v>
      </c>
      <c r="C960" s="1" t="n">
        <v>46136</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62681-2025</t>
        </is>
      </c>
      <c r="B961" s="1" t="n">
        <v>46008.45534722223</v>
      </c>
      <c r="C961" s="1" t="n">
        <v>46136</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35708-2022</t>
        </is>
      </c>
      <c r="B962" s="1" t="n">
        <v>44799.65013888889</v>
      </c>
      <c r="C962" s="1" t="n">
        <v>46136</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3426-2025</t>
        </is>
      </c>
      <c r="B963" s="1" t="n">
        <v>45680.42665509259</v>
      </c>
      <c r="C963" s="1" t="n">
        <v>46136</v>
      </c>
      <c r="D963" t="inlineStr">
        <is>
          <t>STOCKHOLMS LÄN</t>
        </is>
      </c>
      <c r="E963" t="inlineStr">
        <is>
          <t>NORRTÄLJE</t>
        </is>
      </c>
      <c r="G963" t="n">
        <v>3.2</v>
      </c>
      <c r="H963" t="n">
        <v>0</v>
      </c>
      <c r="I963" t="n">
        <v>0</v>
      </c>
      <c r="J963" t="n">
        <v>0</v>
      </c>
      <c r="K963" t="n">
        <v>0</v>
      </c>
      <c r="L963" t="n">
        <v>0</v>
      </c>
      <c r="M963" t="n">
        <v>0</v>
      </c>
      <c r="N963" t="n">
        <v>0</v>
      </c>
      <c r="O963" t="n">
        <v>0</v>
      </c>
      <c r="P963" t="n">
        <v>0</v>
      </c>
      <c r="Q963" t="n">
        <v>0</v>
      </c>
      <c r="R963" s="2" t="inlineStr"/>
    </row>
    <row r="964" ht="15" customHeight="1">
      <c r="A964" t="inlineStr">
        <is>
          <t>A 34478-2025</t>
        </is>
      </c>
      <c r="B964" s="1" t="n">
        <v>45847</v>
      </c>
      <c r="C964" s="1" t="n">
        <v>46136</v>
      </c>
      <c r="D964" t="inlineStr">
        <is>
          <t>STOCKHOLMS LÄN</t>
        </is>
      </c>
      <c r="E964" t="inlineStr">
        <is>
          <t>NORRTÄLJE</t>
        </is>
      </c>
      <c r="F964" t="inlineStr">
        <is>
          <t>Övriga Aktiebolag</t>
        </is>
      </c>
      <c r="G964" t="n">
        <v>10.8</v>
      </c>
      <c r="H964" t="n">
        <v>0</v>
      </c>
      <c r="I964" t="n">
        <v>0</v>
      </c>
      <c r="J964" t="n">
        <v>0</v>
      </c>
      <c r="K964" t="n">
        <v>0</v>
      </c>
      <c r="L964" t="n">
        <v>0</v>
      </c>
      <c r="M964" t="n">
        <v>0</v>
      </c>
      <c r="N964" t="n">
        <v>0</v>
      </c>
      <c r="O964" t="n">
        <v>0</v>
      </c>
      <c r="P964" t="n">
        <v>0</v>
      </c>
      <c r="Q964" t="n">
        <v>0</v>
      </c>
      <c r="R964" s="2" t="inlineStr"/>
    </row>
    <row r="965" ht="15" customHeight="1">
      <c r="A965" t="inlineStr">
        <is>
          <t>A 9-2024</t>
        </is>
      </c>
      <c r="B965" s="1" t="n">
        <v>45293</v>
      </c>
      <c r="C965" s="1" t="n">
        <v>46136</v>
      </c>
      <c r="D965" t="inlineStr">
        <is>
          <t>STOCKHOLMS LÄN</t>
        </is>
      </c>
      <c r="E965" t="inlineStr">
        <is>
          <t>NORRTÄLJE</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51312-2023</t>
        </is>
      </c>
      <c r="B966" s="1" t="n">
        <v>45219.56697916667</v>
      </c>
      <c r="C966" s="1" t="n">
        <v>46136</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11849-2025</t>
        </is>
      </c>
      <c r="B967" s="1" t="n">
        <v>45728.38409722222</v>
      </c>
      <c r="C967" s="1" t="n">
        <v>46136</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44813.59915509259</v>
      </c>
      <c r="C968" s="1" t="n">
        <v>46136</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22816-2021</t>
        </is>
      </c>
      <c r="B969" s="1" t="n">
        <v>44325</v>
      </c>
      <c r="C969" s="1" t="n">
        <v>46136</v>
      </c>
      <c r="D969" t="inlineStr">
        <is>
          <t>STOCKHOLMS LÄN</t>
        </is>
      </c>
      <c r="E969" t="inlineStr">
        <is>
          <t>NORRTÄLJE</t>
        </is>
      </c>
      <c r="G969" t="n">
        <v>4.5</v>
      </c>
      <c r="H969" t="n">
        <v>0</v>
      </c>
      <c r="I969" t="n">
        <v>0</v>
      </c>
      <c r="J969" t="n">
        <v>0</v>
      </c>
      <c r="K969" t="n">
        <v>0</v>
      </c>
      <c r="L969" t="n">
        <v>0</v>
      </c>
      <c r="M969" t="n">
        <v>0</v>
      </c>
      <c r="N969" t="n">
        <v>0</v>
      </c>
      <c r="O969" t="n">
        <v>0</v>
      </c>
      <c r="P969" t="n">
        <v>0</v>
      </c>
      <c r="Q969" t="n">
        <v>0</v>
      </c>
      <c r="R969" s="2" t="inlineStr"/>
    </row>
    <row r="970" ht="15" customHeight="1">
      <c r="A970" t="inlineStr">
        <is>
          <t>A 62922-2025</t>
        </is>
      </c>
      <c r="B970" s="1" t="n">
        <v>46009.38064814815</v>
      </c>
      <c r="C970" s="1" t="n">
        <v>46136</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59468-2023</t>
        </is>
      </c>
      <c r="B971" s="1" t="n">
        <v>45254.41509259259</v>
      </c>
      <c r="C971" s="1" t="n">
        <v>46136</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18846-2022</t>
        </is>
      </c>
      <c r="B972" s="1" t="n">
        <v>44690</v>
      </c>
      <c r="C972" s="1" t="n">
        <v>46136</v>
      </c>
      <c r="D972" t="inlineStr">
        <is>
          <t>STOCKHOLMS LÄN</t>
        </is>
      </c>
      <c r="E972" t="inlineStr">
        <is>
          <t>NORRTÄLJE</t>
        </is>
      </c>
      <c r="G972" t="n">
        <v>7</v>
      </c>
      <c r="H972" t="n">
        <v>0</v>
      </c>
      <c r="I972" t="n">
        <v>0</v>
      </c>
      <c r="J972" t="n">
        <v>0</v>
      </c>
      <c r="K972" t="n">
        <v>0</v>
      </c>
      <c r="L972" t="n">
        <v>0</v>
      </c>
      <c r="M972" t="n">
        <v>0</v>
      </c>
      <c r="N972" t="n">
        <v>0</v>
      </c>
      <c r="O972" t="n">
        <v>0</v>
      </c>
      <c r="P972" t="n">
        <v>0</v>
      </c>
      <c r="Q972" t="n">
        <v>0</v>
      </c>
      <c r="R972" s="2" t="inlineStr"/>
    </row>
    <row r="973" ht="15" customHeight="1">
      <c r="A973" t="inlineStr">
        <is>
          <t>A 12535-2025</t>
        </is>
      </c>
      <c r="B973" s="1" t="n">
        <v>45730.69502314815</v>
      </c>
      <c r="C973" s="1" t="n">
        <v>46136</v>
      </c>
      <c r="D973" t="inlineStr">
        <is>
          <t>STOCKHOLMS LÄN</t>
        </is>
      </c>
      <c r="E973" t="inlineStr">
        <is>
          <t>NORRTÄLJE</t>
        </is>
      </c>
      <c r="G973" t="n">
        <v>7.1</v>
      </c>
      <c r="H973" t="n">
        <v>0</v>
      </c>
      <c r="I973" t="n">
        <v>0</v>
      </c>
      <c r="J973" t="n">
        <v>0</v>
      </c>
      <c r="K973" t="n">
        <v>0</v>
      </c>
      <c r="L973" t="n">
        <v>0</v>
      </c>
      <c r="M973" t="n">
        <v>0</v>
      </c>
      <c r="N973" t="n">
        <v>0</v>
      </c>
      <c r="O973" t="n">
        <v>0</v>
      </c>
      <c r="P973" t="n">
        <v>0</v>
      </c>
      <c r="Q973" t="n">
        <v>0</v>
      </c>
      <c r="R973" s="2" t="inlineStr"/>
    </row>
    <row r="974" ht="15" customHeight="1">
      <c r="A974" t="inlineStr">
        <is>
          <t>A 574-2023</t>
        </is>
      </c>
      <c r="B974" s="1" t="n">
        <v>44925</v>
      </c>
      <c r="C974" s="1" t="n">
        <v>46136</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124-2026</t>
        </is>
      </c>
      <c r="B975" s="1" t="n">
        <v>46024.58378472222</v>
      </c>
      <c r="C975" s="1" t="n">
        <v>46136</v>
      </c>
      <c r="D975" t="inlineStr">
        <is>
          <t>STOCKHOLMS LÄN</t>
        </is>
      </c>
      <c r="E975" t="inlineStr">
        <is>
          <t>NORRTÄLJE</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37010-2022</t>
        </is>
      </c>
      <c r="B976" s="1" t="n">
        <v>44806.41576388889</v>
      </c>
      <c r="C976" s="1" t="n">
        <v>46136</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32705-2022</t>
        </is>
      </c>
      <c r="B977" s="1" t="n">
        <v>44783</v>
      </c>
      <c r="C977" s="1" t="n">
        <v>46136</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33149-2022</t>
        </is>
      </c>
      <c r="B978" s="1" t="n">
        <v>44785</v>
      </c>
      <c r="C978" s="1" t="n">
        <v>46136</v>
      </c>
      <c r="D978" t="inlineStr">
        <is>
          <t>STOCKHOLMS LÄN</t>
        </is>
      </c>
      <c r="E978" t="inlineStr">
        <is>
          <t>NORRTÄLJE</t>
        </is>
      </c>
      <c r="F978" t="inlineStr">
        <is>
          <t>Holmen skog AB</t>
        </is>
      </c>
      <c r="G978" t="n">
        <v>4.4</v>
      </c>
      <c r="H978" t="n">
        <v>0</v>
      </c>
      <c r="I978" t="n">
        <v>0</v>
      </c>
      <c r="J978" t="n">
        <v>0</v>
      </c>
      <c r="K978" t="n">
        <v>0</v>
      </c>
      <c r="L978" t="n">
        <v>0</v>
      </c>
      <c r="M978" t="n">
        <v>0</v>
      </c>
      <c r="N978" t="n">
        <v>0</v>
      </c>
      <c r="O978" t="n">
        <v>0</v>
      </c>
      <c r="P978" t="n">
        <v>0</v>
      </c>
      <c r="Q978" t="n">
        <v>0</v>
      </c>
      <c r="R978" s="2" t="inlineStr"/>
    </row>
    <row r="979" ht="15" customHeight="1">
      <c r="A979" t="inlineStr">
        <is>
          <t>A 14559-2024</t>
        </is>
      </c>
      <c r="B979" s="1" t="n">
        <v>45394.72869212963</v>
      </c>
      <c r="C979" s="1" t="n">
        <v>46136</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11-2024</t>
        </is>
      </c>
      <c r="B980" s="1" t="n">
        <v>45293</v>
      </c>
      <c r="C980" s="1" t="n">
        <v>46136</v>
      </c>
      <c r="D980" t="inlineStr">
        <is>
          <t>STOCKHOLMS LÄN</t>
        </is>
      </c>
      <c r="E980" t="inlineStr">
        <is>
          <t>NORRTÄLJE</t>
        </is>
      </c>
      <c r="F980" t="inlineStr">
        <is>
          <t>Sveaskog</t>
        </is>
      </c>
      <c r="G980" t="n">
        <v>3.2</v>
      </c>
      <c r="H980" t="n">
        <v>0</v>
      </c>
      <c r="I980" t="n">
        <v>0</v>
      </c>
      <c r="J980" t="n">
        <v>0</v>
      </c>
      <c r="K980" t="n">
        <v>0</v>
      </c>
      <c r="L980" t="n">
        <v>0</v>
      </c>
      <c r="M980" t="n">
        <v>0</v>
      </c>
      <c r="N980" t="n">
        <v>0</v>
      </c>
      <c r="O980" t="n">
        <v>0</v>
      </c>
      <c r="P980" t="n">
        <v>0</v>
      </c>
      <c r="Q980" t="n">
        <v>0</v>
      </c>
      <c r="R980" s="2" t="inlineStr"/>
    </row>
    <row r="981" ht="15" customHeight="1">
      <c r="A981" t="inlineStr">
        <is>
          <t>A 15256-2023</t>
        </is>
      </c>
      <c r="B981" s="1" t="n">
        <v>45019.3959837963</v>
      </c>
      <c r="C981" s="1" t="n">
        <v>46136</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7413-2024</t>
        </is>
      </c>
      <c r="B982" s="1" t="n">
        <v>45345.6059837963</v>
      </c>
      <c r="C982" s="1" t="n">
        <v>46136</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58040-2024</t>
        </is>
      </c>
      <c r="B983" s="1" t="n">
        <v>45631.73952546297</v>
      </c>
      <c r="C983" s="1" t="n">
        <v>46136</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58041-2024</t>
        </is>
      </c>
      <c r="B984" s="1" t="n">
        <v>45631.74673611111</v>
      </c>
      <c r="C984" s="1" t="n">
        <v>46136</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31057-2022</t>
        </is>
      </c>
      <c r="B985" s="1" t="n">
        <v>44769</v>
      </c>
      <c r="C985" s="1" t="n">
        <v>46136</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25619-2022</t>
        </is>
      </c>
      <c r="B986" s="1" t="n">
        <v>44732</v>
      </c>
      <c r="C986" s="1" t="n">
        <v>46136</v>
      </c>
      <c r="D986" t="inlineStr">
        <is>
          <t>STOCKHOLMS LÄN</t>
        </is>
      </c>
      <c r="E986" t="inlineStr">
        <is>
          <t>NORRTÄLJE</t>
        </is>
      </c>
      <c r="G986" t="n">
        <v>3.9</v>
      </c>
      <c r="H986" t="n">
        <v>0</v>
      </c>
      <c r="I986" t="n">
        <v>0</v>
      </c>
      <c r="J986" t="n">
        <v>0</v>
      </c>
      <c r="K986" t="n">
        <v>0</v>
      </c>
      <c r="L986" t="n">
        <v>0</v>
      </c>
      <c r="M986" t="n">
        <v>0</v>
      </c>
      <c r="N986" t="n">
        <v>0</v>
      </c>
      <c r="O986" t="n">
        <v>0</v>
      </c>
      <c r="P986" t="n">
        <v>0</v>
      </c>
      <c r="Q986" t="n">
        <v>0</v>
      </c>
      <c r="R986" s="2" t="inlineStr"/>
    </row>
    <row r="987" ht="15" customHeight="1">
      <c r="A987" t="inlineStr">
        <is>
          <t>A 15422-2024</t>
        </is>
      </c>
      <c r="B987" s="1" t="n">
        <v>45401.3653125</v>
      </c>
      <c r="C987" s="1" t="n">
        <v>46136</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48716-2023</t>
        </is>
      </c>
      <c r="B988" s="1" t="n">
        <v>45208.69671296296</v>
      </c>
      <c r="C988" s="1" t="n">
        <v>46136</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55369-2023</t>
        </is>
      </c>
      <c r="B989" s="1" t="n">
        <v>45238</v>
      </c>
      <c r="C989" s="1" t="n">
        <v>46136</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20121-2022</t>
        </is>
      </c>
      <c r="B990" s="1" t="n">
        <v>44698</v>
      </c>
      <c r="C990" s="1" t="n">
        <v>46136</v>
      </c>
      <c r="D990" t="inlineStr">
        <is>
          <t>STOCKHOLMS LÄN</t>
        </is>
      </c>
      <c r="E990" t="inlineStr">
        <is>
          <t>NORRTÄLJE</t>
        </is>
      </c>
      <c r="G990" t="n">
        <v>4.2</v>
      </c>
      <c r="H990" t="n">
        <v>0</v>
      </c>
      <c r="I990" t="n">
        <v>0</v>
      </c>
      <c r="J990" t="n">
        <v>0</v>
      </c>
      <c r="K990" t="n">
        <v>0</v>
      </c>
      <c r="L990" t="n">
        <v>0</v>
      </c>
      <c r="M990" t="n">
        <v>0</v>
      </c>
      <c r="N990" t="n">
        <v>0</v>
      </c>
      <c r="O990" t="n">
        <v>0</v>
      </c>
      <c r="P990" t="n">
        <v>0</v>
      </c>
      <c r="Q990" t="n">
        <v>0</v>
      </c>
      <c r="R990" s="2" t="inlineStr"/>
    </row>
    <row r="991" ht="15" customHeight="1">
      <c r="A991" t="inlineStr">
        <is>
          <t>A 26407-2024</t>
        </is>
      </c>
      <c r="B991" s="1" t="n">
        <v>45469</v>
      </c>
      <c r="C991" s="1" t="n">
        <v>46136</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10098-2022</t>
        </is>
      </c>
      <c r="B992" s="1" t="n">
        <v>44621</v>
      </c>
      <c r="C992" s="1" t="n">
        <v>46136</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46136</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59875-2024</t>
        </is>
      </c>
      <c r="B994" s="1" t="n">
        <v>45640.58716435185</v>
      </c>
      <c r="C994" s="1" t="n">
        <v>46136</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45220-2024</t>
        </is>
      </c>
      <c r="B995" s="1" t="n">
        <v>45575</v>
      </c>
      <c r="C995" s="1" t="n">
        <v>46136</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4658-2024</t>
        </is>
      </c>
      <c r="B996" s="1" t="n">
        <v>45328.46336805556</v>
      </c>
      <c r="C996" s="1" t="n">
        <v>46136</v>
      </c>
      <c r="D996" t="inlineStr">
        <is>
          <t>STOCKHOLMS LÄN</t>
        </is>
      </c>
      <c r="E996" t="inlineStr">
        <is>
          <t>NORRTÄLJE</t>
        </is>
      </c>
      <c r="G996" t="n">
        <v>2.8</v>
      </c>
      <c r="H996" t="n">
        <v>0</v>
      </c>
      <c r="I996" t="n">
        <v>0</v>
      </c>
      <c r="J996" t="n">
        <v>0</v>
      </c>
      <c r="K996" t="n">
        <v>0</v>
      </c>
      <c r="L996" t="n">
        <v>0</v>
      </c>
      <c r="M996" t="n">
        <v>0</v>
      </c>
      <c r="N996" t="n">
        <v>0</v>
      </c>
      <c r="O996" t="n">
        <v>0</v>
      </c>
      <c r="P996" t="n">
        <v>0</v>
      </c>
      <c r="Q996" t="n">
        <v>0</v>
      </c>
      <c r="R996" s="2" t="inlineStr"/>
    </row>
    <row r="997" ht="15" customHeight="1">
      <c r="A997" t="inlineStr">
        <is>
          <t>A 48145-2024</t>
        </is>
      </c>
      <c r="B997" s="1" t="n">
        <v>45589.6756712963</v>
      </c>
      <c r="C997" s="1" t="n">
        <v>46136</v>
      </c>
      <c r="D997" t="inlineStr">
        <is>
          <t>STOCKHOLMS LÄN</t>
        </is>
      </c>
      <c r="E997" t="inlineStr">
        <is>
          <t>NORRTÄLJE</t>
        </is>
      </c>
      <c r="G997" t="n">
        <v>3.4</v>
      </c>
      <c r="H997" t="n">
        <v>0</v>
      </c>
      <c r="I997" t="n">
        <v>0</v>
      </c>
      <c r="J997" t="n">
        <v>0</v>
      </c>
      <c r="K997" t="n">
        <v>0</v>
      </c>
      <c r="L997" t="n">
        <v>0</v>
      </c>
      <c r="M997" t="n">
        <v>0</v>
      </c>
      <c r="N997" t="n">
        <v>0</v>
      </c>
      <c r="O997" t="n">
        <v>0</v>
      </c>
      <c r="P997" t="n">
        <v>0</v>
      </c>
      <c r="Q997" t="n">
        <v>0</v>
      </c>
      <c r="R997" s="2" t="inlineStr"/>
    </row>
    <row r="998" ht="15" customHeight="1">
      <c r="A998" t="inlineStr">
        <is>
          <t>A 10642-2025</t>
        </is>
      </c>
      <c r="B998" s="1" t="n">
        <v>45721.65858796296</v>
      </c>
      <c r="C998" s="1" t="n">
        <v>46136</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24024-2024</t>
        </is>
      </c>
      <c r="B999" s="1" t="n">
        <v>45456</v>
      </c>
      <c r="C999" s="1" t="n">
        <v>46136</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35532-2024</t>
        </is>
      </c>
      <c r="B1000" s="1" t="n">
        <v>45531</v>
      </c>
      <c r="C1000" s="1" t="n">
        <v>46136</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21291-2021</t>
        </is>
      </c>
      <c r="B1001" s="1" t="n">
        <v>44319</v>
      </c>
      <c r="C1001" s="1" t="n">
        <v>46136</v>
      </c>
      <c r="D1001" t="inlineStr">
        <is>
          <t>STOCKHOLMS LÄN</t>
        </is>
      </c>
      <c r="E1001" t="inlineStr">
        <is>
          <t>NORRTÄLJE</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19118-2022</t>
        </is>
      </c>
      <c r="B1002" s="1" t="n">
        <v>44691.5652662037</v>
      </c>
      <c r="C1002" s="1" t="n">
        <v>46136</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22421-2021</t>
        </is>
      </c>
      <c r="B1003" s="1" t="n">
        <v>44326</v>
      </c>
      <c r="C1003" s="1" t="n">
        <v>46136</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44908.77368055555</v>
      </c>
      <c r="C1004" s="1" t="n">
        <v>46136</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33226-2024</t>
        </is>
      </c>
      <c r="B1005" s="1" t="n">
        <v>45518</v>
      </c>
      <c r="C1005" s="1" t="n">
        <v>46136</v>
      </c>
      <c r="D1005" t="inlineStr">
        <is>
          <t>STOCKHOLMS LÄN</t>
        </is>
      </c>
      <c r="E1005" t="inlineStr">
        <is>
          <t>NORRTÄLJE</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16980-2023</t>
        </is>
      </c>
      <c r="B1006" s="1" t="n">
        <v>45033</v>
      </c>
      <c r="C1006" s="1" t="n">
        <v>46136</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31107-2022</t>
        </is>
      </c>
      <c r="B1007" s="1" t="n">
        <v>44769.66864583334</v>
      </c>
      <c r="C1007" s="1" t="n">
        <v>46136</v>
      </c>
      <c r="D1007" t="inlineStr">
        <is>
          <t>STOCKHOLMS LÄN</t>
        </is>
      </c>
      <c r="E1007" t="inlineStr">
        <is>
          <t>NORRTÄLJE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43170-2023</t>
        </is>
      </c>
      <c r="B1008" s="1" t="n">
        <v>45183</v>
      </c>
      <c r="C1008" s="1" t="n">
        <v>46136</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47626-2022</t>
        </is>
      </c>
      <c r="B1009" s="1" t="n">
        <v>44854</v>
      </c>
      <c r="C1009" s="1" t="n">
        <v>46136</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32101-2022</t>
        </is>
      </c>
      <c r="B1010" s="1" t="n">
        <v>44778.69210648148</v>
      </c>
      <c r="C1010" s="1" t="n">
        <v>46136</v>
      </c>
      <c r="D1010" t="inlineStr">
        <is>
          <t>STOCKHOLMS LÄN</t>
        </is>
      </c>
      <c r="E1010" t="inlineStr">
        <is>
          <t>NORRTÄLJE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28365-2022</t>
        </is>
      </c>
      <c r="B1011" s="1" t="n">
        <v>44747</v>
      </c>
      <c r="C1011" s="1" t="n">
        <v>46136</v>
      </c>
      <c r="D1011" t="inlineStr">
        <is>
          <t>STOCKHOLMS LÄN</t>
        </is>
      </c>
      <c r="E1011" t="inlineStr">
        <is>
          <t>NORRTÄLJE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42867-2022</t>
        </is>
      </c>
      <c r="B1012" s="1" t="n">
        <v>44832</v>
      </c>
      <c r="C1012" s="1" t="n">
        <v>46136</v>
      </c>
      <c r="D1012" t="inlineStr">
        <is>
          <t>STOCKHOLMS LÄN</t>
        </is>
      </c>
      <c r="E1012" t="inlineStr">
        <is>
          <t>NORRTÄLJE</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5645-2023</t>
        </is>
      </c>
      <c r="B1013" s="1" t="n">
        <v>44960.60469907407</v>
      </c>
      <c r="C1013" s="1" t="n">
        <v>46136</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17775-2022</t>
        </is>
      </c>
      <c r="B1014" s="1" t="n">
        <v>44682.78430555556</v>
      </c>
      <c r="C1014" s="1" t="n">
        <v>46136</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47481-2024</t>
        </is>
      </c>
      <c r="B1015" s="1" t="n">
        <v>45587</v>
      </c>
      <c r="C1015" s="1" t="n">
        <v>46136</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24933-2023</t>
        </is>
      </c>
      <c r="B1016" s="1" t="n">
        <v>45085.5309375</v>
      </c>
      <c r="C1016" s="1" t="n">
        <v>46136</v>
      </c>
      <c r="D1016" t="inlineStr">
        <is>
          <t>STOCKHOLMS LÄN</t>
        </is>
      </c>
      <c r="E1016" t="inlineStr">
        <is>
          <t>NORRTÄLJE</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11062-2024</t>
        </is>
      </c>
      <c r="B1017" s="1" t="n">
        <v>45370</v>
      </c>
      <c r="C1017" s="1" t="n">
        <v>46136</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576-2023</t>
        </is>
      </c>
      <c r="B1018" s="1" t="n">
        <v>44925</v>
      </c>
      <c r="C1018" s="1" t="n">
        <v>46136</v>
      </c>
      <c r="D1018" t="inlineStr">
        <is>
          <t>STOCKHOLMS LÄN</t>
        </is>
      </c>
      <c r="E1018" t="inlineStr">
        <is>
          <t>NORRTÄLJE</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12908-2025</t>
        </is>
      </c>
      <c r="B1019" s="1" t="n">
        <v>45733.82105324074</v>
      </c>
      <c r="C1019" s="1" t="n">
        <v>46136</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68361-2021</t>
        </is>
      </c>
      <c r="B1020" s="1" t="n">
        <v>44528.91494212963</v>
      </c>
      <c r="C1020" s="1" t="n">
        <v>46136</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50469-2022</t>
        </is>
      </c>
      <c r="B1021" s="1" t="n">
        <v>44866.49827546296</v>
      </c>
      <c r="C1021" s="1" t="n">
        <v>46136</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41976-2024</t>
        </is>
      </c>
      <c r="B1022" s="1" t="n">
        <v>45561.62141203704</v>
      </c>
      <c r="C1022" s="1" t="n">
        <v>46136</v>
      </c>
      <c r="D1022" t="inlineStr">
        <is>
          <t>STOCKHOLMS LÄN</t>
        </is>
      </c>
      <c r="E1022" t="inlineStr">
        <is>
          <t>NORRTÄLJE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62206-2022</t>
        </is>
      </c>
      <c r="B1023" s="1" t="n">
        <v>44922</v>
      </c>
      <c r="C1023" s="1" t="n">
        <v>46136</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30886-2022</t>
        </is>
      </c>
      <c r="B1024" s="1" t="n">
        <v>44767.60601851852</v>
      </c>
      <c r="C1024" s="1" t="n">
        <v>46136</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58989-2021</t>
        </is>
      </c>
      <c r="B1025" s="1" t="n">
        <v>44490.02482638889</v>
      </c>
      <c r="C1025" s="1" t="n">
        <v>46136</v>
      </c>
      <c r="D1025" t="inlineStr">
        <is>
          <t>STOCKHOLMS LÄN</t>
        </is>
      </c>
      <c r="E1025" t="inlineStr">
        <is>
          <t>NORRTÄLJE</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58990-2021</t>
        </is>
      </c>
      <c r="B1026" s="1" t="n">
        <v>44490.03621527777</v>
      </c>
      <c r="C1026" s="1" t="n">
        <v>46136</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11940-2023</t>
        </is>
      </c>
      <c r="B1027" s="1" t="n">
        <v>44995</v>
      </c>
      <c r="C1027" s="1" t="n">
        <v>46136</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29266-2022</t>
        </is>
      </c>
      <c r="B1028" s="1" t="n">
        <v>44750.66068287037</v>
      </c>
      <c r="C1028" s="1" t="n">
        <v>46136</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29278-2022</t>
        </is>
      </c>
      <c r="B1029" s="1" t="n">
        <v>44750</v>
      </c>
      <c r="C1029" s="1" t="n">
        <v>46136</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6401-2024</t>
        </is>
      </c>
      <c r="B1030" s="1" t="n">
        <v>45338</v>
      </c>
      <c r="C1030" s="1" t="n">
        <v>46136</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24501-2023</t>
        </is>
      </c>
      <c r="B1031" s="1" t="n">
        <v>45082</v>
      </c>
      <c r="C1031" s="1" t="n">
        <v>46136</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24520-2023</t>
        </is>
      </c>
      <c r="B1032" s="1" t="n">
        <v>45082.68922453704</v>
      </c>
      <c r="C1032" s="1" t="n">
        <v>46136</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38612-2022</t>
        </is>
      </c>
      <c r="B1033" s="1" t="n">
        <v>44813</v>
      </c>
      <c r="C1033" s="1" t="n">
        <v>46136</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33040-2021</t>
        </is>
      </c>
      <c r="B1034" s="1" t="n">
        <v>44376.50728009259</v>
      </c>
      <c r="C1034" s="1" t="n">
        <v>46136</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26117-2024</t>
        </is>
      </c>
      <c r="B1035" s="1" t="n">
        <v>45468.45877314815</v>
      </c>
      <c r="C1035" s="1" t="n">
        <v>46136</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61113-2023</t>
        </is>
      </c>
      <c r="B1036" s="1" t="n">
        <v>45261</v>
      </c>
      <c r="C1036" s="1" t="n">
        <v>46136</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60822-2023</t>
        </is>
      </c>
      <c r="B1037" s="1" t="n">
        <v>45259</v>
      </c>
      <c r="C1037" s="1" t="n">
        <v>46136</v>
      </c>
      <c r="D1037" t="inlineStr">
        <is>
          <t>STOCKHOLMS LÄN</t>
        </is>
      </c>
      <c r="E1037" t="inlineStr">
        <is>
          <t>NORRTÄLJE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59310-2023</t>
        </is>
      </c>
      <c r="B1038" s="1" t="n">
        <v>45253.61146990741</v>
      </c>
      <c r="C1038" s="1" t="n">
        <v>46136</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20343-2024</t>
        </is>
      </c>
      <c r="B1039" s="1" t="n">
        <v>45435.43466435185</v>
      </c>
      <c r="C1039" s="1" t="n">
        <v>46136</v>
      </c>
      <c r="D1039" t="inlineStr">
        <is>
          <t>STOCKHOLMS LÄN</t>
        </is>
      </c>
      <c r="E1039" t="inlineStr">
        <is>
          <t>NORRTÄLJE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20345-2024</t>
        </is>
      </c>
      <c r="B1040" s="1" t="n">
        <v>45435.43820601852</v>
      </c>
      <c r="C1040" s="1" t="n">
        <v>46136</v>
      </c>
      <c r="D1040" t="inlineStr">
        <is>
          <t>STOCKHOLMS LÄN</t>
        </is>
      </c>
      <c r="E1040" t="inlineStr">
        <is>
          <t>NORRTÄLJE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55010-2024</t>
        </is>
      </c>
      <c r="B1041" s="1" t="n">
        <v>45621.34425925926</v>
      </c>
      <c r="C1041" s="1" t="n">
        <v>46136</v>
      </c>
      <c r="D1041" t="inlineStr">
        <is>
          <t>STOCKHOLMS LÄN</t>
        </is>
      </c>
      <c r="E1041" t="inlineStr">
        <is>
          <t>NORRTÄLJE</t>
        </is>
      </c>
      <c r="F1041" t="inlineStr">
        <is>
          <t>Sveaskog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55018-2024</t>
        </is>
      </c>
      <c r="B1042" s="1" t="n">
        <v>45621.35712962963</v>
      </c>
      <c r="C1042" s="1" t="n">
        <v>46136</v>
      </c>
      <c r="D1042" t="inlineStr">
        <is>
          <t>STOCKHOLMS LÄN</t>
        </is>
      </c>
      <c r="E1042" t="inlineStr">
        <is>
          <t>NORRTÄLJE</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50113-2024</t>
        </is>
      </c>
      <c r="B1043" s="1" t="n">
        <v>45600.411875</v>
      </c>
      <c r="C1043" s="1" t="n">
        <v>46136</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20336-2024</t>
        </is>
      </c>
      <c r="B1044" s="1" t="n">
        <v>45435.43123842592</v>
      </c>
      <c r="C1044" s="1" t="n">
        <v>46136</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64899-2023</t>
        </is>
      </c>
      <c r="B1045" s="1" t="n">
        <v>45282</v>
      </c>
      <c r="C1045" s="1" t="n">
        <v>46136</v>
      </c>
      <c r="D1045" t="inlineStr">
        <is>
          <t>STOCKHOLMS LÄN</t>
        </is>
      </c>
      <c r="E1045" t="inlineStr">
        <is>
          <t>NORRTÄLJE</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46136</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29362-2022</t>
        </is>
      </c>
      <c r="B1047" s="1" t="n">
        <v>44753</v>
      </c>
      <c r="C1047" s="1" t="n">
        <v>46136</v>
      </c>
      <c r="D1047" t="inlineStr">
        <is>
          <t>STOCKHOLMS LÄN</t>
        </is>
      </c>
      <c r="E1047" t="inlineStr">
        <is>
          <t>NORRTÄLJE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20291-2022</t>
        </is>
      </c>
      <c r="B1048" s="1" t="n">
        <v>44698</v>
      </c>
      <c r="C1048" s="1" t="n">
        <v>46136</v>
      </c>
      <c r="D1048" t="inlineStr">
        <is>
          <t>STOCKHOLMS LÄN</t>
        </is>
      </c>
      <c r="E1048" t="inlineStr">
        <is>
          <t>NORRTÄLJE</t>
        </is>
      </c>
      <c r="F1048" t="inlineStr">
        <is>
          <t>Naturvårdsverket</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12302-2025</t>
        </is>
      </c>
      <c r="B1049" s="1" t="n">
        <v>45729.72851851852</v>
      </c>
      <c r="C1049" s="1" t="n">
        <v>46136</v>
      </c>
      <c r="D1049" t="inlineStr">
        <is>
          <t>STOCKHOLMS LÄN</t>
        </is>
      </c>
      <c r="E1049" t="inlineStr">
        <is>
          <t>NORRTÄLJE</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31926-2022</t>
        </is>
      </c>
      <c r="B1050" s="1" t="n">
        <v>44777</v>
      </c>
      <c r="C1050" s="1" t="n">
        <v>46136</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1425-2025</t>
        </is>
      </c>
      <c r="B1051" s="1" t="n">
        <v>45668.67446759259</v>
      </c>
      <c r="C1051" s="1" t="n">
        <v>46136</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1453-2025</t>
        </is>
      </c>
      <c r="B1052" s="1" t="n">
        <v>45670.3079050926</v>
      </c>
      <c r="C1052" s="1" t="n">
        <v>46136</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13860-2023</t>
        </is>
      </c>
      <c r="B1053" s="1" t="n">
        <v>45007</v>
      </c>
      <c r="C1053" s="1" t="n">
        <v>46136</v>
      </c>
      <c r="D1053" t="inlineStr">
        <is>
          <t>STOCKHOLMS LÄN</t>
        </is>
      </c>
      <c r="E1053" t="inlineStr">
        <is>
          <t>NORRTÄLJE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6070-2022</t>
        </is>
      </c>
      <c r="B1054" s="1" t="n">
        <v>44599.58428240741</v>
      </c>
      <c r="C1054" s="1" t="n">
        <v>46136</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9130-2025</t>
        </is>
      </c>
      <c r="B1055" s="1" t="n">
        <v>45713.92623842593</v>
      </c>
      <c r="C1055" s="1" t="n">
        <v>46136</v>
      </c>
      <c r="D1055" t="inlineStr">
        <is>
          <t>STOCKHOLMS LÄN</t>
        </is>
      </c>
      <c r="E1055" t="inlineStr">
        <is>
          <t>NORRTÄLJE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27828-2022</t>
        </is>
      </c>
      <c r="B1056" s="1" t="n">
        <v>44743.59765046297</v>
      </c>
      <c r="C1056" s="1" t="n">
        <v>46136</v>
      </c>
      <c r="D1056" t="inlineStr">
        <is>
          <t>STOCKHOLMS LÄN</t>
        </is>
      </c>
      <c r="E1056" t="inlineStr">
        <is>
          <t>NORRTÄLJE</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59873-2024</t>
        </is>
      </c>
      <c r="B1057" s="1" t="n">
        <v>45640.57305555556</v>
      </c>
      <c r="C1057" s="1" t="n">
        <v>46136</v>
      </c>
      <c r="D1057" t="inlineStr">
        <is>
          <t>STOCKHOLMS LÄN</t>
        </is>
      </c>
      <c r="E1057" t="inlineStr">
        <is>
          <t>NORRTÄLJE</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22412-2021</t>
        </is>
      </c>
      <c r="B1058" s="1" t="n">
        <v>44326.61967592593</v>
      </c>
      <c r="C1058" s="1" t="n">
        <v>46136</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48161-2022</t>
        </is>
      </c>
      <c r="B1059" s="1" t="n">
        <v>44858</v>
      </c>
      <c r="C1059" s="1" t="n">
        <v>46136</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43150-2023</t>
        </is>
      </c>
      <c r="B1060" s="1" t="n">
        <v>45183</v>
      </c>
      <c r="C1060" s="1" t="n">
        <v>46136</v>
      </c>
      <c r="D1060" t="inlineStr">
        <is>
          <t>STOCKHOLMS LÄN</t>
        </is>
      </c>
      <c r="E1060" t="inlineStr">
        <is>
          <t>NORRTÄLJE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59534-2024</t>
        </is>
      </c>
      <c r="B1061" s="1" t="n">
        <v>45638.5987037037</v>
      </c>
      <c r="C1061" s="1" t="n">
        <v>46136</v>
      </c>
      <c r="D1061" t="inlineStr">
        <is>
          <t>STOCKHOLMS LÄN</t>
        </is>
      </c>
      <c r="E1061" t="inlineStr">
        <is>
          <t>NORRTÄLJE</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23307-2024</t>
        </is>
      </c>
      <c r="B1062" s="1" t="n">
        <v>45453</v>
      </c>
      <c r="C1062" s="1" t="n">
        <v>46136</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19450-2025</t>
        </is>
      </c>
      <c r="B1063" s="1" t="n">
        <v>45770</v>
      </c>
      <c r="C1063" s="1" t="n">
        <v>46136</v>
      </c>
      <c r="D1063" t="inlineStr">
        <is>
          <t>STOCKHOLMS LÄN</t>
        </is>
      </c>
      <c r="E1063" t="inlineStr">
        <is>
          <t>NORRTÄLJE</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2281-2024</t>
        </is>
      </c>
      <c r="B1064" s="1" t="n">
        <v>45310.40628472222</v>
      </c>
      <c r="C1064" s="1" t="n">
        <v>46136</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2287-2024</t>
        </is>
      </c>
      <c r="B1065" s="1" t="n">
        <v>45310</v>
      </c>
      <c r="C1065" s="1" t="n">
        <v>46136</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20618-2022</t>
        </is>
      </c>
      <c r="B1066" s="1" t="n">
        <v>44700.50659722222</v>
      </c>
      <c r="C1066" s="1" t="n">
        <v>46136</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59504-2023</t>
        </is>
      </c>
      <c r="B1067" s="1" t="n">
        <v>45254</v>
      </c>
      <c r="C1067" s="1" t="n">
        <v>46136</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25656-2023</t>
        </is>
      </c>
      <c r="B1068" s="1" t="n">
        <v>45089</v>
      </c>
      <c r="C1068" s="1" t="n">
        <v>46136</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38049-2023</t>
        </is>
      </c>
      <c r="B1069" s="1" t="n">
        <v>45159</v>
      </c>
      <c r="C1069" s="1" t="n">
        <v>46136</v>
      </c>
      <c r="D1069" t="inlineStr">
        <is>
          <t>STOCKHOLMS LÄN</t>
        </is>
      </c>
      <c r="E1069" t="inlineStr">
        <is>
          <t>NORRTÄLJE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3966-2024</t>
        </is>
      </c>
      <c r="B1070" s="1" t="n">
        <v>45322</v>
      </c>
      <c r="C1070" s="1" t="n">
        <v>46136</v>
      </c>
      <c r="D1070" t="inlineStr">
        <is>
          <t>STOCKHOLMS LÄN</t>
        </is>
      </c>
      <c r="E1070" t="inlineStr">
        <is>
          <t>NORRTÄLJE</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17348-2024</t>
        </is>
      </c>
      <c r="B1071" s="1" t="n">
        <v>45414.58650462963</v>
      </c>
      <c r="C1071" s="1" t="n">
        <v>46136</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38591-2023</t>
        </is>
      </c>
      <c r="B1072" s="1" t="n">
        <v>45162</v>
      </c>
      <c r="C1072" s="1" t="n">
        <v>46136</v>
      </c>
      <c r="D1072" t="inlineStr">
        <is>
          <t>STOCKHOLMS LÄN</t>
        </is>
      </c>
      <c r="E1072" t="inlineStr">
        <is>
          <t>NORRTÄLJE</t>
        </is>
      </c>
      <c r="F1072" t="inlineStr">
        <is>
          <t>Övriga Aktiebolag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3273-2025</t>
        </is>
      </c>
      <c r="B1073" s="1" t="n">
        <v>45679</v>
      </c>
      <c r="C1073" s="1" t="n">
        <v>46136</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34461-2023</t>
        </is>
      </c>
      <c r="B1074" s="1" t="n">
        <v>45139</v>
      </c>
      <c r="C1074" s="1" t="n">
        <v>46136</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15217-2023</t>
        </is>
      </c>
      <c r="B1075" s="1" t="n">
        <v>45019.28847222222</v>
      </c>
      <c r="C1075" s="1" t="n">
        <v>46136</v>
      </c>
      <c r="D1075" t="inlineStr">
        <is>
          <t>STOCKHOLMS LÄN</t>
        </is>
      </c>
      <c r="E1075" t="inlineStr">
        <is>
          <t>NORRTÄLJE</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24522-2023</t>
        </is>
      </c>
      <c r="B1076" s="1" t="n">
        <v>45082.69179398148</v>
      </c>
      <c r="C1076" s="1" t="n">
        <v>46136</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29176-2024</t>
        </is>
      </c>
      <c r="B1077" s="1" t="n">
        <v>45482.53388888889</v>
      </c>
      <c r="C1077" s="1" t="n">
        <v>46136</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4596-2023</t>
        </is>
      </c>
      <c r="B1078" s="1" t="n">
        <v>44956</v>
      </c>
      <c r="C1078" s="1" t="n">
        <v>46136</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4438-2023</t>
        </is>
      </c>
      <c r="B1079" s="1" t="n">
        <v>44956</v>
      </c>
      <c r="C1079" s="1" t="n">
        <v>46136</v>
      </c>
      <c r="D1079" t="inlineStr">
        <is>
          <t>STOCKHOLMS LÄN</t>
        </is>
      </c>
      <c r="E1079" t="inlineStr">
        <is>
          <t>NORRTÄLJE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24727-2023</t>
        </is>
      </c>
      <c r="B1080" s="1" t="n">
        <v>45084.57695601852</v>
      </c>
      <c r="C1080" s="1" t="n">
        <v>46136</v>
      </c>
      <c r="D1080" t="inlineStr">
        <is>
          <t>STOCKHOLMS LÄN</t>
        </is>
      </c>
      <c r="E1080" t="inlineStr">
        <is>
          <t>NORRTÄLJE</t>
        </is>
      </c>
      <c r="F1080" t="inlineStr">
        <is>
          <t>Holmen skog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59904-2023</t>
        </is>
      </c>
      <c r="B1081" s="1" t="n">
        <v>45257</v>
      </c>
      <c r="C1081" s="1" t="n">
        <v>46136</v>
      </c>
      <c r="D1081" t="inlineStr">
        <is>
          <t>STOCKHOLMS LÄN</t>
        </is>
      </c>
      <c r="E1081" t="inlineStr">
        <is>
          <t>NORRTÄLJE</t>
        </is>
      </c>
      <c r="G1081" t="n">
        <v>17.4</v>
      </c>
      <c r="H1081" t="n">
        <v>0</v>
      </c>
      <c r="I1081" t="n">
        <v>0</v>
      </c>
      <c r="J1081" t="n">
        <v>0</v>
      </c>
      <c r="K1081" t="n">
        <v>0</v>
      </c>
      <c r="L1081" t="n">
        <v>0</v>
      </c>
      <c r="M1081" t="n">
        <v>0</v>
      </c>
      <c r="N1081" t="n">
        <v>0</v>
      </c>
      <c r="O1081" t="n">
        <v>0</v>
      </c>
      <c r="P1081" t="n">
        <v>0</v>
      </c>
      <c r="Q1081" t="n">
        <v>0</v>
      </c>
      <c r="R1081" s="2" t="inlineStr"/>
    </row>
    <row r="1082" ht="15" customHeight="1">
      <c r="A1082" t="inlineStr">
        <is>
          <t>A 36308-2022</t>
        </is>
      </c>
      <c r="B1082" s="1" t="n">
        <v>44803</v>
      </c>
      <c r="C1082" s="1" t="n">
        <v>46136</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18787-2022</t>
        </is>
      </c>
      <c r="B1083" s="1" t="n">
        <v>44687</v>
      </c>
      <c r="C1083" s="1" t="n">
        <v>46136</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50108-2021</t>
        </is>
      </c>
      <c r="B1084" s="1" t="n">
        <v>44456</v>
      </c>
      <c r="C1084" s="1" t="n">
        <v>46136</v>
      </c>
      <c r="D1084" t="inlineStr">
        <is>
          <t>STOCKHOLMS LÄN</t>
        </is>
      </c>
      <c r="E1084" t="inlineStr">
        <is>
          <t>NORRTÄLJE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25621-2022</t>
        </is>
      </c>
      <c r="B1085" s="1" t="n">
        <v>44732</v>
      </c>
      <c r="C1085" s="1" t="n">
        <v>46136</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20304-2023</t>
        </is>
      </c>
      <c r="B1086" s="1" t="n">
        <v>45056</v>
      </c>
      <c r="C1086" s="1" t="n">
        <v>46136</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35235-2024</t>
        </is>
      </c>
      <c r="B1087" s="1" t="n">
        <v>45530</v>
      </c>
      <c r="C1087" s="1" t="n">
        <v>46136</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51061-2023</t>
        </is>
      </c>
      <c r="B1088" s="1" t="n">
        <v>45218.65849537037</v>
      </c>
      <c r="C1088" s="1" t="n">
        <v>46136</v>
      </c>
      <c r="D1088" t="inlineStr">
        <is>
          <t>STOCKHOLMS LÄN</t>
        </is>
      </c>
      <c r="E1088" t="inlineStr">
        <is>
          <t>NORRTÄLJE</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39213-2022</t>
        </is>
      </c>
      <c r="B1089" s="1" t="n">
        <v>44817.56120370371</v>
      </c>
      <c r="C1089" s="1" t="n">
        <v>46136</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36246-2021</t>
        </is>
      </c>
      <c r="B1090" s="1" t="n">
        <v>44390</v>
      </c>
      <c r="C1090" s="1" t="n">
        <v>46136</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15905-2023</t>
        </is>
      </c>
      <c r="B1091" s="1" t="n">
        <v>45022</v>
      </c>
      <c r="C1091" s="1" t="n">
        <v>46136</v>
      </c>
      <c r="D1091" t="inlineStr">
        <is>
          <t>STOCKHOLMS LÄN</t>
        </is>
      </c>
      <c r="E1091" t="inlineStr">
        <is>
          <t>NORRTÄLJE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11041-2025</t>
        </is>
      </c>
      <c r="B1092" s="1" t="n">
        <v>45723</v>
      </c>
      <c r="C1092" s="1" t="n">
        <v>46136</v>
      </c>
      <c r="D1092" t="inlineStr">
        <is>
          <t>STOCKHOLMS LÄN</t>
        </is>
      </c>
      <c r="E1092" t="inlineStr">
        <is>
          <t>NORRTÄLJE</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44917-2022</t>
        </is>
      </c>
      <c r="B1093" s="1" t="n">
        <v>44841.52804398148</v>
      </c>
      <c r="C1093" s="1" t="n">
        <v>46136</v>
      </c>
      <c r="D1093" t="inlineStr">
        <is>
          <t>STOCKHOLMS LÄN</t>
        </is>
      </c>
      <c r="E1093" t="inlineStr">
        <is>
          <t>NORRTÄLJE</t>
        </is>
      </c>
      <c r="F1093" t="inlineStr">
        <is>
          <t>Holmen skog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33173-2024</t>
        </is>
      </c>
      <c r="B1094" s="1" t="n">
        <v>45518</v>
      </c>
      <c r="C1094" s="1" t="n">
        <v>46136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17551-2025</t>
        </is>
      </c>
      <c r="B1095" s="1" t="n">
        <v>45757.61421296297</v>
      </c>
      <c r="C1095" s="1" t="n">
        <v>46136</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10678-2025</t>
        </is>
      </c>
      <c r="B1096" s="1" t="n">
        <v>45721.89123842592</v>
      </c>
      <c r="C1096" s="1" t="n">
        <v>46136</v>
      </c>
      <c r="D1096" t="inlineStr">
        <is>
          <t>STOCKHOLMS LÄN</t>
        </is>
      </c>
      <c r="E1096" t="inlineStr">
        <is>
          <t>NORRTÄLJE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8370-2025</t>
        </is>
      </c>
      <c r="B1097" s="1" t="n">
        <v>45708</v>
      </c>
      <c r="C1097" s="1" t="n">
        <v>46136</v>
      </c>
      <c r="D1097" t="inlineStr">
        <is>
          <t>STOCKHOLMS LÄN</t>
        </is>
      </c>
      <c r="E1097" t="inlineStr">
        <is>
          <t>NORRTÄLJE</t>
        </is>
      </c>
      <c r="F1097" t="inlineStr">
        <is>
          <t>Övriga Aktiebolag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951-2023</t>
        </is>
      </c>
      <c r="B1098" s="1" t="n">
        <v>44934</v>
      </c>
      <c r="C1098" s="1" t="n">
        <v>46136</v>
      </c>
      <c r="D1098" t="inlineStr">
        <is>
          <t>STOCKHOLMS LÄN</t>
        </is>
      </c>
      <c r="E1098" t="inlineStr">
        <is>
          <t>NORRTÄLJE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32100-2022</t>
        </is>
      </c>
      <c r="B1099" s="1" t="n">
        <v>44778</v>
      </c>
      <c r="C1099" s="1" t="n">
        <v>46136</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2888-2022</t>
        </is>
      </c>
      <c r="B1100" s="1" t="n">
        <v>44581</v>
      </c>
      <c r="C1100" s="1" t="n">
        <v>46136</v>
      </c>
      <c r="D1100" t="inlineStr">
        <is>
          <t>STOCKHOLMS LÄN</t>
        </is>
      </c>
      <c r="E1100" t="inlineStr">
        <is>
          <t>NORRTÄLJE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11902-2024</t>
        </is>
      </c>
      <c r="B1101" s="1" t="n">
        <v>45376.55704861111</v>
      </c>
      <c r="C1101" s="1" t="n">
        <v>46136</v>
      </c>
      <c r="D1101" t="inlineStr">
        <is>
          <t>STOCKHOLMS LÄN</t>
        </is>
      </c>
      <c r="E1101" t="inlineStr">
        <is>
          <t>NORRTÄLJE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13-2024</t>
        </is>
      </c>
      <c r="B1102" s="1" t="n">
        <v>45293.37263888889</v>
      </c>
      <c r="C1102" s="1" t="n">
        <v>46136</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58260-2023</t>
        </is>
      </c>
      <c r="B1103" s="1" t="n">
        <v>45245</v>
      </c>
      <c r="C1103" s="1" t="n">
        <v>46136</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58261-2023</t>
        </is>
      </c>
      <c r="B1104" s="1" t="n">
        <v>45245</v>
      </c>
      <c r="C1104" s="1" t="n">
        <v>46136</v>
      </c>
      <c r="D1104" t="inlineStr">
        <is>
          <t>STOCKHOLMS LÄN</t>
        </is>
      </c>
      <c r="E1104" t="inlineStr">
        <is>
          <t>NORRTÄLJE</t>
        </is>
      </c>
      <c r="G1104" t="n">
        <v>53.5</v>
      </c>
      <c r="H1104" t="n">
        <v>0</v>
      </c>
      <c r="I1104" t="n">
        <v>0</v>
      </c>
      <c r="J1104" t="n">
        <v>0</v>
      </c>
      <c r="K1104" t="n">
        <v>0</v>
      </c>
      <c r="L1104" t="n">
        <v>0</v>
      </c>
      <c r="M1104" t="n">
        <v>0</v>
      </c>
      <c r="N1104" t="n">
        <v>0</v>
      </c>
      <c r="O1104" t="n">
        <v>0</v>
      </c>
      <c r="P1104" t="n">
        <v>0</v>
      </c>
      <c r="Q1104" t="n">
        <v>0</v>
      </c>
      <c r="R1104" s="2" t="inlineStr"/>
    </row>
    <row r="1105" ht="15" customHeight="1">
      <c r="A1105" t="inlineStr">
        <is>
          <t>A 4553-2023</t>
        </is>
      </c>
      <c r="B1105" s="1" t="n">
        <v>44956.65920138889</v>
      </c>
      <c r="C1105" s="1" t="n">
        <v>46136</v>
      </c>
      <c r="D1105" t="inlineStr">
        <is>
          <t>STOCKHOLMS LÄN</t>
        </is>
      </c>
      <c r="E1105" t="inlineStr">
        <is>
          <t>NORRTÄLJE</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875-2023</t>
        </is>
      </c>
      <c r="B1106" s="1" t="n">
        <v>44931.65626157408</v>
      </c>
      <c r="C1106" s="1" t="n">
        <v>46136</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24575-2024</t>
        </is>
      </c>
      <c r="B1107" s="1" t="n">
        <v>45460.45523148148</v>
      </c>
      <c r="C1107" s="1" t="n">
        <v>46136</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19-2024</t>
        </is>
      </c>
      <c r="B1108" s="1" t="n">
        <v>45293</v>
      </c>
      <c r="C1108" s="1" t="n">
        <v>46136</v>
      </c>
      <c r="D1108" t="inlineStr">
        <is>
          <t>STOCKHOLMS LÄN</t>
        </is>
      </c>
      <c r="E1108" t="inlineStr">
        <is>
          <t>NORRTÄLJE</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11333-2025</t>
        </is>
      </c>
      <c r="B1109" s="1" t="n">
        <v>45726.48377314815</v>
      </c>
      <c r="C1109" s="1" t="n">
        <v>46136</v>
      </c>
      <c r="D1109" t="inlineStr">
        <is>
          <t>STOCKHOLMS LÄN</t>
        </is>
      </c>
      <c r="E1109" t="inlineStr">
        <is>
          <t>NORRTÄLJE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21529-2021</t>
        </is>
      </c>
      <c r="B1110" s="1" t="n">
        <v>44321</v>
      </c>
      <c r="C1110" s="1" t="n">
        <v>46136</v>
      </c>
      <c r="D1110" t="inlineStr">
        <is>
          <t>STOCKHOLMS LÄN</t>
        </is>
      </c>
      <c r="E1110" t="inlineStr">
        <is>
          <t>NORRTÄLJE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31827-2023</t>
        </is>
      </c>
      <c r="B1111" s="1" t="n">
        <v>45118</v>
      </c>
      <c r="C1111" s="1" t="n">
        <v>46136</v>
      </c>
      <c r="D1111" t="inlineStr">
        <is>
          <t>STOCKHOLMS LÄN</t>
        </is>
      </c>
      <c r="E1111" t="inlineStr">
        <is>
          <t>NORRTÄLJE</t>
        </is>
      </c>
      <c r="F1111" t="inlineStr">
        <is>
          <t>Kyrkan</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10973-2025</t>
        </is>
      </c>
      <c r="B1112" s="1" t="n">
        <v>45723</v>
      </c>
      <c r="C1112" s="1" t="n">
        <v>46136</v>
      </c>
      <c r="D1112" t="inlineStr">
        <is>
          <t>STOCKHOLMS LÄN</t>
        </is>
      </c>
      <c r="E1112" t="inlineStr">
        <is>
          <t>NORRTÄLJE</t>
        </is>
      </c>
      <c r="F1112" t="inlineStr">
        <is>
          <t>Övriga Aktiebolag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54496-2024</t>
        </is>
      </c>
      <c r="B1113" s="1" t="n">
        <v>45617.57439814815</v>
      </c>
      <c r="C1113" s="1" t="n">
        <v>46136</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7796-2025</t>
        </is>
      </c>
      <c r="B1114" s="1" t="n">
        <v>45706.60130787037</v>
      </c>
      <c r="C1114" s="1" t="n">
        <v>46136</v>
      </c>
      <c r="D1114" t="inlineStr">
        <is>
          <t>STOCKHOLMS LÄN</t>
        </is>
      </c>
      <c r="E1114" t="inlineStr">
        <is>
          <t>NORRTÄLJE</t>
        </is>
      </c>
      <c r="F1114" t="inlineStr">
        <is>
          <t>Holmen skog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59767-2022</t>
        </is>
      </c>
      <c r="B1115" s="1" t="n">
        <v>44900</v>
      </c>
      <c r="C1115" s="1" t="n">
        <v>46136</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22756-2022</t>
        </is>
      </c>
      <c r="B1116" s="1" t="n">
        <v>44714.92253472222</v>
      </c>
      <c r="C1116" s="1" t="n">
        <v>46136</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58311-2023</t>
        </is>
      </c>
      <c r="B1117" s="1" t="n">
        <v>45245</v>
      </c>
      <c r="C1117" s="1" t="n">
        <v>46136</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8739-2024</t>
        </is>
      </c>
      <c r="B1118" s="1" t="n">
        <v>45356.47784722222</v>
      </c>
      <c r="C1118" s="1" t="n">
        <v>46136</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26640-2023</t>
        </is>
      </c>
      <c r="B1119" s="1" t="n">
        <v>45092</v>
      </c>
      <c r="C1119" s="1" t="n">
        <v>46136</v>
      </c>
      <c r="D1119" t="inlineStr">
        <is>
          <t>STOCKHOLMS LÄN</t>
        </is>
      </c>
      <c r="E1119" t="inlineStr">
        <is>
          <t>NORRTÄLJE</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62765-2022</t>
        </is>
      </c>
      <c r="B1120" s="1" t="n">
        <v>44637</v>
      </c>
      <c r="C1120" s="1" t="n">
        <v>46136</v>
      </c>
      <c r="D1120" t="inlineStr">
        <is>
          <t>STOCKHOLMS LÄN</t>
        </is>
      </c>
      <c r="E1120" t="inlineStr">
        <is>
          <t>NORRTÄLJE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38990-2022</t>
        </is>
      </c>
      <c r="B1121" s="1" t="n">
        <v>44816</v>
      </c>
      <c r="C1121" s="1" t="n">
        <v>46136</v>
      </c>
      <c r="D1121" t="inlineStr">
        <is>
          <t>STOCKHOLMS LÄN</t>
        </is>
      </c>
      <c r="E1121" t="inlineStr">
        <is>
          <t>NORRTÄLJE</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17545-2025</t>
        </is>
      </c>
      <c r="B1122" s="1" t="n">
        <v>45757.60658564815</v>
      </c>
      <c r="C1122" s="1" t="n">
        <v>46136</v>
      </c>
      <c r="D1122" t="inlineStr">
        <is>
          <t>STOCKHOLMS LÄN</t>
        </is>
      </c>
      <c r="E1122" t="inlineStr">
        <is>
          <t>NORRTÄLJE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17956-2025</t>
        </is>
      </c>
      <c r="B1123" s="1" t="n">
        <v>45760.91174768518</v>
      </c>
      <c r="C1123" s="1" t="n">
        <v>46136</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23265-2023</t>
        </is>
      </c>
      <c r="B1124" s="1" t="n">
        <v>45075.90703703704</v>
      </c>
      <c r="C1124" s="1" t="n">
        <v>46136</v>
      </c>
      <c r="D1124" t="inlineStr">
        <is>
          <t>STOCKHOLMS LÄN</t>
        </is>
      </c>
      <c r="E1124" t="inlineStr">
        <is>
          <t>NORRTÄLJE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30268-2024</t>
        </is>
      </c>
      <c r="B1125" s="1" t="n">
        <v>45490.60572916667</v>
      </c>
      <c r="C1125" s="1" t="n">
        <v>46136</v>
      </c>
      <c r="D1125" t="inlineStr">
        <is>
          <t>STOCKHOLMS LÄN</t>
        </is>
      </c>
      <c r="E1125" t="inlineStr">
        <is>
          <t>NORRTÄLJE</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59535-2024</t>
        </is>
      </c>
      <c r="B1126" s="1" t="n">
        <v>45638.59979166667</v>
      </c>
      <c r="C1126" s="1" t="n">
        <v>46136</v>
      </c>
      <c r="D1126" t="inlineStr">
        <is>
          <t>STOCKHOLMS LÄN</t>
        </is>
      </c>
      <c r="E1126" t="inlineStr">
        <is>
          <t>NORRTÄLJE</t>
        </is>
      </c>
      <c r="F1126" t="inlineStr">
        <is>
          <t>Holmen skog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9246-2024</t>
        </is>
      </c>
      <c r="B1127" s="1" t="n">
        <v>45357</v>
      </c>
      <c r="C1127" s="1" t="n">
        <v>46136</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20852-2023</t>
        </is>
      </c>
      <c r="B1128" s="1" t="n">
        <v>45058.78607638889</v>
      </c>
      <c r="C1128" s="1" t="n">
        <v>46136</v>
      </c>
      <c r="D1128" t="inlineStr">
        <is>
          <t>STOCKHOLMS LÄN</t>
        </is>
      </c>
      <c r="E1128" t="inlineStr">
        <is>
          <t>NORRTÄLJE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50355-2024</t>
        </is>
      </c>
      <c r="B1129" s="1" t="n">
        <v>45600.86128472222</v>
      </c>
      <c r="C1129" s="1" t="n">
        <v>46136</v>
      </c>
      <c r="D1129" t="inlineStr">
        <is>
          <t>STOCKHOLMS LÄN</t>
        </is>
      </c>
      <c r="E1129" t="inlineStr">
        <is>
          <t>NORRTÄLJE</t>
        </is>
      </c>
      <c r="F1129" t="inlineStr">
        <is>
          <t>Kommuner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60694-2024</t>
        </is>
      </c>
      <c r="B1130" s="1" t="n">
        <v>45644.47878472223</v>
      </c>
      <c r="C1130" s="1" t="n">
        <v>46136</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25094-2023</t>
        </is>
      </c>
      <c r="B1131" s="1" t="n">
        <v>45086.3629050926</v>
      </c>
      <c r="C1131" s="1" t="n">
        <v>46136</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59276-2023</t>
        </is>
      </c>
      <c r="B1132" s="1" t="n">
        <v>45253.55641203704</v>
      </c>
      <c r="C1132" s="1" t="n">
        <v>46136</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13767-2025</t>
        </is>
      </c>
      <c r="B1133" s="1" t="n">
        <v>45737.43347222222</v>
      </c>
      <c r="C1133" s="1" t="n">
        <v>46136</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41587-2023</t>
        </is>
      </c>
      <c r="B1134" s="1" t="n">
        <v>45175</v>
      </c>
      <c r="C1134" s="1" t="n">
        <v>46136</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27381-2024</t>
        </is>
      </c>
      <c r="B1135" s="1" t="n">
        <v>45473.94501157408</v>
      </c>
      <c r="C1135" s="1" t="n">
        <v>46136</v>
      </c>
      <c r="D1135" t="inlineStr">
        <is>
          <t>STOCKHOLMS LÄN</t>
        </is>
      </c>
      <c r="E1135" t="inlineStr">
        <is>
          <t>NORRTÄLJE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60529-2023</t>
        </is>
      </c>
      <c r="B1136" s="1" t="n">
        <v>45259</v>
      </c>
      <c r="C1136" s="1" t="n">
        <v>46136</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59326-2023</t>
        </is>
      </c>
      <c r="B1137" s="1" t="n">
        <v>45253.63089120371</v>
      </c>
      <c r="C1137" s="1" t="n">
        <v>46136</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20790-2025</t>
        </is>
      </c>
      <c r="B1138" s="1" t="n">
        <v>45776.62563657408</v>
      </c>
      <c r="C1138" s="1" t="n">
        <v>46136</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3152-2024</t>
        </is>
      </c>
      <c r="B1139" s="1" t="n">
        <v>45316.60306712963</v>
      </c>
      <c r="C1139" s="1" t="n">
        <v>46136</v>
      </c>
      <c r="D1139" t="inlineStr">
        <is>
          <t>STOCKHOLMS LÄN</t>
        </is>
      </c>
      <c r="E1139" t="inlineStr">
        <is>
          <t>NORRTÄLJE</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20699-2025</t>
        </is>
      </c>
      <c r="B1140" s="1" t="n">
        <v>45776.47346064815</v>
      </c>
      <c r="C1140" s="1" t="n">
        <v>46136</v>
      </c>
      <c r="D1140" t="inlineStr">
        <is>
          <t>STOCKHOLMS LÄN</t>
        </is>
      </c>
      <c r="E1140" t="inlineStr">
        <is>
          <t>NORRTÄLJE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20779-2025</t>
        </is>
      </c>
      <c r="B1141" s="1" t="n">
        <v>45776.59871527777</v>
      </c>
      <c r="C1141" s="1" t="n">
        <v>46136</v>
      </c>
      <c r="D1141" t="inlineStr">
        <is>
          <t>STOCKHOLMS LÄN</t>
        </is>
      </c>
      <c r="E1141" t="inlineStr">
        <is>
          <t>NORRTÄLJE</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44836-2023</t>
        </is>
      </c>
      <c r="B1142" s="1" t="n">
        <v>45190.55609953704</v>
      </c>
      <c r="C1142" s="1" t="n">
        <v>46136</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21771-2025</t>
        </is>
      </c>
      <c r="B1143" s="1" t="n">
        <v>45783</v>
      </c>
      <c r="C1143" s="1" t="n">
        <v>46136</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21778-2025</t>
        </is>
      </c>
      <c r="B1144" s="1" t="n">
        <v>45783.66429398148</v>
      </c>
      <c r="C1144" s="1" t="n">
        <v>46136</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12902-2024</t>
        </is>
      </c>
      <c r="B1145" s="1" t="n">
        <v>45385.38146990741</v>
      </c>
      <c r="C1145" s="1" t="n">
        <v>46136</v>
      </c>
      <c r="D1145" t="inlineStr">
        <is>
          <t>STOCKHOLMS LÄN</t>
        </is>
      </c>
      <c r="E1145" t="inlineStr">
        <is>
          <t>NORRTÄLJE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39237-2024</t>
        </is>
      </c>
      <c r="B1146" s="1" t="n">
        <v>45549</v>
      </c>
      <c r="C1146" s="1" t="n">
        <v>46136</v>
      </c>
      <c r="D1146" t="inlineStr">
        <is>
          <t>STOCKHOLMS LÄN</t>
        </is>
      </c>
      <c r="E1146" t="inlineStr">
        <is>
          <t>NORRTÄLJE</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44891-2023</t>
        </is>
      </c>
      <c r="B1147" s="1" t="n">
        <v>45187</v>
      </c>
      <c r="C1147" s="1" t="n">
        <v>46136</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13268-2025</t>
        </is>
      </c>
      <c r="B1148" s="1" t="n">
        <v>45735</v>
      </c>
      <c r="C1148" s="1" t="n">
        <v>46136</v>
      </c>
      <c r="D1148" t="inlineStr">
        <is>
          <t>STOCKHOLMS LÄN</t>
        </is>
      </c>
      <c r="E1148" t="inlineStr">
        <is>
          <t>NORRTÄLJE</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8414-2025</t>
        </is>
      </c>
      <c r="B1149" s="1" t="n">
        <v>45709.39361111111</v>
      </c>
      <c r="C1149" s="1" t="n">
        <v>46136</v>
      </c>
      <c r="D1149" t="inlineStr">
        <is>
          <t>STOCKHOLMS LÄN</t>
        </is>
      </c>
      <c r="E1149" t="inlineStr">
        <is>
          <t>NORRTÄLJE</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44032-2024</t>
        </is>
      </c>
      <c r="B1150" s="1" t="n">
        <v>45572.57828703704</v>
      </c>
      <c r="C1150" s="1" t="n">
        <v>46136</v>
      </c>
      <c r="D1150" t="inlineStr">
        <is>
          <t>STOCKHOLMS LÄN</t>
        </is>
      </c>
      <c r="E1150" t="inlineStr">
        <is>
          <t>NORRTÄLJE</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24563-2024</t>
        </is>
      </c>
      <c r="B1151" s="1" t="n">
        <v>45460.44347222222</v>
      </c>
      <c r="C1151" s="1" t="n">
        <v>46136</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22202-2025</t>
        </is>
      </c>
      <c r="B1152" s="1" t="n">
        <v>45785.65300925926</v>
      </c>
      <c r="C1152" s="1" t="n">
        <v>46136</v>
      </c>
      <c r="D1152" t="inlineStr">
        <is>
          <t>STOCKHOLMS LÄN</t>
        </is>
      </c>
      <c r="E1152" t="inlineStr">
        <is>
          <t>NORRTÄLJE</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36625-2024</t>
        </is>
      </c>
      <c r="B1153" s="1" t="n">
        <v>45537</v>
      </c>
      <c r="C1153" s="1" t="n">
        <v>46136</v>
      </c>
      <c r="D1153" t="inlineStr">
        <is>
          <t>STOCKHOLMS LÄN</t>
        </is>
      </c>
      <c r="E1153" t="inlineStr">
        <is>
          <t>NORRTÄLJE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45746-2024</t>
        </is>
      </c>
      <c r="B1154" s="1" t="n">
        <v>45579</v>
      </c>
      <c r="C1154" s="1" t="n">
        <v>46136</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8400-2024</t>
        </is>
      </c>
      <c r="B1155" s="1" t="n">
        <v>45352.74090277778</v>
      </c>
      <c r="C1155" s="1" t="n">
        <v>46136</v>
      </c>
      <c r="D1155" t="inlineStr">
        <is>
          <t>STOCKHOLMS LÄN</t>
        </is>
      </c>
      <c r="E1155" t="inlineStr">
        <is>
          <t>NORRTÄLJE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2182-2022</t>
        </is>
      </c>
      <c r="B1156" s="1" t="n">
        <v>44578</v>
      </c>
      <c r="C1156" s="1" t="n">
        <v>46136</v>
      </c>
      <c r="D1156" t="inlineStr">
        <is>
          <t>STOCKHOLMS LÄN</t>
        </is>
      </c>
      <c r="E1156" t="inlineStr">
        <is>
          <t>NORRTÄLJE</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16620-2024</t>
        </is>
      </c>
      <c r="B1157" s="1" t="n">
        <v>45408.57707175926</v>
      </c>
      <c r="C1157" s="1" t="n">
        <v>46136</v>
      </c>
      <c r="D1157" t="inlineStr">
        <is>
          <t>STOCKHOLMS LÄN</t>
        </is>
      </c>
      <c r="E1157" t="inlineStr">
        <is>
          <t>NORRTÄLJE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22416-2025</t>
        </is>
      </c>
      <c r="B1158" s="1" t="n">
        <v>45786.55645833333</v>
      </c>
      <c r="C1158" s="1" t="n">
        <v>46136</v>
      </c>
      <c r="D1158" t="inlineStr">
        <is>
          <t>STOCKHOLMS LÄN</t>
        </is>
      </c>
      <c r="E1158" t="inlineStr">
        <is>
          <t>NORRTÄLJE</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58785-2024</t>
        </is>
      </c>
      <c r="B1159" s="1" t="n">
        <v>45635.88849537037</v>
      </c>
      <c r="C1159" s="1" t="n">
        <v>46136</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62998-2023</t>
        </is>
      </c>
      <c r="B1160" s="1" t="n">
        <v>45272.64479166667</v>
      </c>
      <c r="C1160" s="1" t="n">
        <v>46136</v>
      </c>
      <c r="D1160" t="inlineStr">
        <is>
          <t>STOCKHOLMS LÄN</t>
        </is>
      </c>
      <c r="E1160" t="inlineStr">
        <is>
          <t>NORRTÄLJE</t>
        </is>
      </c>
      <c r="G1160" t="n">
        <v>16.3</v>
      </c>
      <c r="H1160" t="n">
        <v>0</v>
      </c>
      <c r="I1160" t="n">
        <v>0</v>
      </c>
      <c r="J1160" t="n">
        <v>0</v>
      </c>
      <c r="K1160" t="n">
        <v>0</v>
      </c>
      <c r="L1160" t="n">
        <v>0</v>
      </c>
      <c r="M1160" t="n">
        <v>0</v>
      </c>
      <c r="N1160" t="n">
        <v>0</v>
      </c>
      <c r="O1160" t="n">
        <v>0</v>
      </c>
      <c r="P1160" t="n">
        <v>0</v>
      </c>
      <c r="Q1160" t="n">
        <v>0</v>
      </c>
      <c r="R1160" s="2" t="inlineStr"/>
    </row>
    <row r="1161" ht="15" customHeight="1">
      <c r="A1161" t="inlineStr">
        <is>
          <t>A 63015-2023</t>
        </is>
      </c>
      <c r="B1161" s="1" t="n">
        <v>45272</v>
      </c>
      <c r="C1161" s="1" t="n">
        <v>46136</v>
      </c>
      <c r="D1161" t="inlineStr">
        <is>
          <t>STOCKHOLMS LÄN</t>
        </is>
      </c>
      <c r="E1161" t="inlineStr">
        <is>
          <t>NORRTÄLJE</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12901-2024</t>
        </is>
      </c>
      <c r="B1162" s="1" t="n">
        <v>45385.37922453704</v>
      </c>
      <c r="C1162" s="1" t="n">
        <v>46136</v>
      </c>
      <c r="D1162" t="inlineStr">
        <is>
          <t>STOCKHOLMS LÄN</t>
        </is>
      </c>
      <c r="E1162" t="inlineStr">
        <is>
          <t>NORRTÄLJE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12301-2025</t>
        </is>
      </c>
      <c r="B1163" s="1" t="n">
        <v>45729.7271875</v>
      </c>
      <c r="C1163" s="1" t="n">
        <v>46136</v>
      </c>
      <c r="D1163" t="inlineStr">
        <is>
          <t>STOCKHOLMS LÄN</t>
        </is>
      </c>
      <c r="E1163" t="inlineStr">
        <is>
          <t>NORRTÄLJE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8950-2025</t>
        </is>
      </c>
      <c r="B1164" s="1" t="n">
        <v>45713</v>
      </c>
      <c r="C1164" s="1" t="n">
        <v>46136</v>
      </c>
      <c r="D1164" t="inlineStr">
        <is>
          <t>STOCKHOLMS LÄN</t>
        </is>
      </c>
      <c r="E1164" t="inlineStr">
        <is>
          <t>NORRTÄLJE</t>
        </is>
      </c>
      <c r="F1164" t="inlineStr">
        <is>
          <t>Övriga Aktiebolag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20730-2024</t>
        </is>
      </c>
      <c r="B1165" s="1" t="n">
        <v>45436</v>
      </c>
      <c r="C1165" s="1" t="n">
        <v>46136</v>
      </c>
      <c r="D1165" t="inlineStr">
        <is>
          <t>STOCKHOLMS LÄN</t>
        </is>
      </c>
      <c r="E1165" t="inlineStr">
        <is>
          <t>NORRTÄLJE</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33175-2024</t>
        </is>
      </c>
      <c r="B1166" s="1" t="n">
        <v>45518</v>
      </c>
      <c r="C1166" s="1" t="n">
        <v>46136</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13283-2025</t>
        </is>
      </c>
      <c r="B1167" s="1" t="n">
        <v>45735</v>
      </c>
      <c r="C1167" s="1" t="n">
        <v>46136</v>
      </c>
      <c r="D1167" t="inlineStr">
        <is>
          <t>STOCKHOLMS LÄN</t>
        </is>
      </c>
      <c r="E1167" t="inlineStr">
        <is>
          <t>NORRTÄLJE</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27831-2024</t>
        </is>
      </c>
      <c r="B1168" s="1" t="n">
        <v>45475.61896990741</v>
      </c>
      <c r="C1168" s="1" t="n">
        <v>46136</v>
      </c>
      <c r="D1168" t="inlineStr">
        <is>
          <t>STOCKHOLMS LÄN</t>
        </is>
      </c>
      <c r="E1168" t="inlineStr">
        <is>
          <t>NORRTÄLJE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21803-2022</t>
        </is>
      </c>
      <c r="B1169" s="1" t="n">
        <v>44708.67822916667</v>
      </c>
      <c r="C1169" s="1" t="n">
        <v>46136</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24687-2025</t>
        </is>
      </c>
      <c r="B1170" s="1" t="n">
        <v>45798.66767361111</v>
      </c>
      <c r="C1170" s="1" t="n">
        <v>46136</v>
      </c>
      <c r="D1170" t="inlineStr">
        <is>
          <t>STOCKHOLMS LÄN</t>
        </is>
      </c>
      <c r="E1170" t="inlineStr">
        <is>
          <t>NORRTÄLJE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24690-2025</t>
        </is>
      </c>
      <c r="B1171" s="1" t="n">
        <v>45798.67082175926</v>
      </c>
      <c r="C1171" s="1" t="n">
        <v>46136</v>
      </c>
      <c r="D1171" t="inlineStr">
        <is>
          <t>STOCKHOLMS LÄN</t>
        </is>
      </c>
      <c r="E1171" t="inlineStr">
        <is>
          <t>NORRTÄLJE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24638-2025</t>
        </is>
      </c>
      <c r="B1172" s="1" t="n">
        <v>45798</v>
      </c>
      <c r="C1172" s="1" t="n">
        <v>46136</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c r="A1173" t="inlineStr">
        <is>
          <t>A 24351-2025</t>
        </is>
      </c>
      <c r="B1173" s="1" t="n">
        <v>45797.58399305555</v>
      </c>
      <c r="C1173" s="1" t="n">
        <v>46136</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2026-04-24T10:50:57Z</dcterms:created>
  <dcterms:modified xmlns:dcterms="http://purl.org/dc/terms/" xmlns:xsi="http://www.w3.org/2001/XMLSchema-instance" xsi:type="dcterms:W3CDTF">2026-04-24T10:50:58Z</dcterms:modified>
</cp:coreProperties>
</file>