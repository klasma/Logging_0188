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45583</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45583</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45583</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45583</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45583</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45583</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45583</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45583</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45583</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45583</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45583</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45583</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45583</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45583</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45583</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45583</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45583</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45583</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45583</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45583</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45583</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45583</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45583</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45583</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45583</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45583</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45583</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45583</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45583</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45583</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45583</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45583</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45583</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45583</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45583</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45583</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45583</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45583</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45583</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45583</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45583</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45583</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45583</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45583</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45583</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45583</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45583</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45583</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45583</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45583</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45583</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45583</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45583</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45583</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45583</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45583</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45583</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45583</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45583</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45583</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45583</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45583</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45583</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45583</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45583</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45583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45583</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45583</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45583</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45583</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45583</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45583</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45583</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45583</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45583</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45583</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45583</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45583</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45583</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45583</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45583</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45583</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45583</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44237-2024</t>
        </is>
      </c>
      <c r="B103" s="1" t="n">
        <v>45573</v>
      </c>
      <c r="C103" s="1" t="n">
        <v>45583</v>
      </c>
      <c r="D103" t="inlineStr">
        <is>
          <t>STOCKHOLMS LÄN</t>
        </is>
      </c>
      <c r="E103" t="inlineStr">
        <is>
          <t>NORRTÄLJE</t>
        </is>
      </c>
      <c r="G103" t="n">
        <v>7.7</v>
      </c>
      <c r="H103" t="n">
        <v>1</v>
      </c>
      <c r="I103" t="n">
        <v>0</v>
      </c>
      <c r="J103" t="n">
        <v>1</v>
      </c>
      <c r="K103" t="n">
        <v>1</v>
      </c>
      <c r="L103" t="n">
        <v>0</v>
      </c>
      <c r="M103" t="n">
        <v>0</v>
      </c>
      <c r="N103" t="n">
        <v>0</v>
      </c>
      <c r="O103" t="n">
        <v>2</v>
      </c>
      <c r="P103" t="n">
        <v>1</v>
      </c>
      <c r="Q103" t="n">
        <v>2</v>
      </c>
      <c r="R103" s="2" t="inlineStr">
        <is>
          <t>Knärot
Vedtrappmossa</t>
        </is>
      </c>
      <c r="S103">
        <f>HYPERLINK("https://klasma.github.io/Logging_0188/artfynd/A 44237-2024 artfynd.xlsx", "A 44237-2024")</f>
        <v/>
      </c>
      <c r="T103">
        <f>HYPERLINK("https://klasma.github.io/Logging_0188/kartor/A 44237-2024 karta.png", "A 44237-2024")</f>
        <v/>
      </c>
      <c r="U103">
        <f>HYPERLINK("https://klasma.github.io/Logging_0188/knärot/A 44237-2024 karta knärot.png", "A 44237-2024")</f>
        <v/>
      </c>
      <c r="V103">
        <f>HYPERLINK("https://klasma.github.io/Logging_0188/klagomål/A 44237-2024 FSC-klagomål.docx", "A 44237-2024")</f>
        <v/>
      </c>
      <c r="W103">
        <f>HYPERLINK("https://klasma.github.io/Logging_0188/klagomålsmail/A 44237-2024 FSC-klagomål mail.docx", "A 44237-2024")</f>
        <v/>
      </c>
      <c r="X103">
        <f>HYPERLINK("https://klasma.github.io/Logging_0188/tillsyn/A 44237-2024 tillsynsbegäran.docx", "A 44237-2024")</f>
        <v/>
      </c>
      <c r="Y103">
        <f>HYPERLINK("https://klasma.github.io/Logging_0188/tillsynsmail/A 44237-2024 tillsynsbegäran mail.docx", "A 44237-2024")</f>
        <v/>
      </c>
    </row>
    <row r="104" ht="15" customHeight="1">
      <c r="A104" t="inlineStr">
        <is>
          <t>A 20740-2019</t>
        </is>
      </c>
      <c r="B104" s="1" t="n">
        <v>43573</v>
      </c>
      <c r="C104" s="1" t="n">
        <v>45583</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Slåtterfibbla</t>
        </is>
      </c>
      <c r="S104">
        <f>HYPERLINK("https://klasma.github.io/Logging_0188/artfynd/A 20740-2019 artfynd.xlsx", "A 20740-2019")</f>
        <v/>
      </c>
      <c r="T104">
        <f>HYPERLINK("https://klasma.github.io/Logging_0188/kartor/A 20740-2019 karta.png", "A 20740-2019")</f>
        <v/>
      </c>
      <c r="V104">
        <f>HYPERLINK("https://klasma.github.io/Logging_0188/klagomål/A 20740-2019 FSC-klagomål.docx", "A 20740-2019")</f>
        <v/>
      </c>
      <c r="W104">
        <f>HYPERLINK("https://klasma.github.io/Logging_0188/klagomålsmail/A 20740-2019 FSC-klagomål mail.docx", "A 20740-2019")</f>
        <v/>
      </c>
      <c r="X104">
        <f>HYPERLINK("https://klasma.github.io/Logging_0188/tillsyn/A 20740-2019 tillsynsbegäran.docx", "A 20740-2019")</f>
        <v/>
      </c>
      <c r="Y104">
        <f>HYPERLINK("https://klasma.github.io/Logging_0188/tillsynsmail/A 20740-2019 tillsynsbegäran mail.docx", "A 20740-2019")</f>
        <v/>
      </c>
    </row>
    <row r="105" ht="15" customHeight="1">
      <c r="A105" t="inlineStr">
        <is>
          <t>A 26275-2019</t>
        </is>
      </c>
      <c r="B105" s="1" t="n">
        <v>43611</v>
      </c>
      <c r="C105" s="1" t="n">
        <v>45583</v>
      </c>
      <c r="D105" t="inlineStr">
        <is>
          <t>STOCKHOLMS LÄN</t>
        </is>
      </c>
      <c r="E105" t="inlineStr">
        <is>
          <t>NORRTÄLJE</t>
        </is>
      </c>
      <c r="G105" t="n">
        <v>0.5</v>
      </c>
      <c r="H105" t="n">
        <v>0</v>
      </c>
      <c r="I105" t="n">
        <v>1</v>
      </c>
      <c r="J105" t="n">
        <v>0</v>
      </c>
      <c r="K105" t="n">
        <v>0</v>
      </c>
      <c r="L105" t="n">
        <v>0</v>
      </c>
      <c r="M105" t="n">
        <v>0</v>
      </c>
      <c r="N105" t="n">
        <v>0</v>
      </c>
      <c r="O105" t="n">
        <v>0</v>
      </c>
      <c r="P105" t="n">
        <v>0</v>
      </c>
      <c r="Q105" t="n">
        <v>1</v>
      </c>
      <c r="R105" s="2" t="inlineStr">
        <is>
          <t>Blåmossa</t>
        </is>
      </c>
      <c r="S105">
        <f>HYPERLINK("https://klasma.github.io/Logging_0188/artfynd/A 26275-2019 artfynd.xlsx", "A 26275-2019")</f>
        <v/>
      </c>
      <c r="T105">
        <f>HYPERLINK("https://klasma.github.io/Logging_0188/kartor/A 26275-2019 karta.png", "A 26275-2019")</f>
        <v/>
      </c>
      <c r="V105">
        <f>HYPERLINK("https://klasma.github.io/Logging_0188/klagomål/A 26275-2019 FSC-klagomål.docx", "A 26275-2019")</f>
        <v/>
      </c>
      <c r="W105">
        <f>HYPERLINK("https://klasma.github.io/Logging_0188/klagomålsmail/A 26275-2019 FSC-klagomål mail.docx", "A 26275-2019")</f>
        <v/>
      </c>
      <c r="X105">
        <f>HYPERLINK("https://klasma.github.io/Logging_0188/tillsyn/A 26275-2019 tillsynsbegäran.docx", "A 26275-2019")</f>
        <v/>
      </c>
      <c r="Y105">
        <f>HYPERLINK("https://klasma.github.io/Logging_0188/tillsynsmail/A 26275-2019 tillsynsbegäran mail.docx", "A 26275-2019")</f>
        <v/>
      </c>
    </row>
    <row r="106" ht="15" customHeight="1">
      <c r="A106" t="inlineStr">
        <is>
          <t>A 30011-2019</t>
        </is>
      </c>
      <c r="B106" s="1" t="n">
        <v>43633</v>
      </c>
      <c r="C106" s="1" t="n">
        <v>45583</v>
      </c>
      <c r="D106" t="inlineStr">
        <is>
          <t>STOCKHOLMS LÄN</t>
        </is>
      </c>
      <c r="E106" t="inlineStr">
        <is>
          <t>NORRTÄLJE</t>
        </is>
      </c>
      <c r="G106" t="n">
        <v>2.6</v>
      </c>
      <c r="H106" t="n">
        <v>0</v>
      </c>
      <c r="I106" t="n">
        <v>1</v>
      </c>
      <c r="J106" t="n">
        <v>0</v>
      </c>
      <c r="K106" t="n">
        <v>0</v>
      </c>
      <c r="L106" t="n">
        <v>0</v>
      </c>
      <c r="M106" t="n">
        <v>0</v>
      </c>
      <c r="N106" t="n">
        <v>0</v>
      </c>
      <c r="O106" t="n">
        <v>0</v>
      </c>
      <c r="P106" t="n">
        <v>0</v>
      </c>
      <c r="Q106" t="n">
        <v>1</v>
      </c>
      <c r="R106" s="2" t="inlineStr">
        <is>
          <t>Tibast</t>
        </is>
      </c>
      <c r="S106">
        <f>HYPERLINK("https://klasma.github.io/Logging_0188/artfynd/A 30011-2019 artfynd.xlsx", "A 30011-2019")</f>
        <v/>
      </c>
      <c r="T106">
        <f>HYPERLINK("https://klasma.github.io/Logging_0188/kartor/A 30011-2019 karta.png", "A 30011-2019")</f>
        <v/>
      </c>
      <c r="V106">
        <f>HYPERLINK("https://klasma.github.io/Logging_0188/klagomål/A 30011-2019 FSC-klagomål.docx", "A 30011-2019")</f>
        <v/>
      </c>
      <c r="W106">
        <f>HYPERLINK("https://klasma.github.io/Logging_0188/klagomålsmail/A 30011-2019 FSC-klagomål mail.docx", "A 30011-2019")</f>
        <v/>
      </c>
      <c r="X106">
        <f>HYPERLINK("https://klasma.github.io/Logging_0188/tillsyn/A 30011-2019 tillsynsbegäran.docx", "A 30011-2019")</f>
        <v/>
      </c>
      <c r="Y106">
        <f>HYPERLINK("https://klasma.github.io/Logging_0188/tillsynsmail/A 30011-2019 tillsynsbegäran mail.docx", "A 30011-2019")</f>
        <v/>
      </c>
    </row>
    <row r="107" ht="15" customHeight="1">
      <c r="A107" t="inlineStr">
        <is>
          <t>A 38137-2019</t>
        </is>
      </c>
      <c r="B107" s="1" t="n">
        <v>43684</v>
      </c>
      <c r="C107" s="1" t="n">
        <v>45583</v>
      </c>
      <c r="D107" t="inlineStr">
        <is>
          <t>STOCKHOLMS LÄN</t>
        </is>
      </c>
      <c r="E107" t="inlineStr">
        <is>
          <t>NORRTÄLJE</t>
        </is>
      </c>
      <c r="G107" t="n">
        <v>12.9</v>
      </c>
      <c r="H107" t="n">
        <v>0</v>
      </c>
      <c r="I107" t="n">
        <v>0</v>
      </c>
      <c r="J107" t="n">
        <v>1</v>
      </c>
      <c r="K107" t="n">
        <v>0</v>
      </c>
      <c r="L107" t="n">
        <v>0</v>
      </c>
      <c r="M107" t="n">
        <v>0</v>
      </c>
      <c r="N107" t="n">
        <v>0</v>
      </c>
      <c r="O107" t="n">
        <v>1</v>
      </c>
      <c r="P107" t="n">
        <v>0</v>
      </c>
      <c r="Q107" t="n">
        <v>1</v>
      </c>
      <c r="R107" s="2" t="inlineStr">
        <is>
          <t>Rutskinn</t>
        </is>
      </c>
      <c r="S107">
        <f>HYPERLINK("https://klasma.github.io/Logging_0188/artfynd/A 38137-2019 artfynd.xlsx", "A 38137-2019")</f>
        <v/>
      </c>
      <c r="T107">
        <f>HYPERLINK("https://klasma.github.io/Logging_0188/kartor/A 38137-2019 karta.png", "A 38137-2019")</f>
        <v/>
      </c>
      <c r="V107">
        <f>HYPERLINK("https://klasma.github.io/Logging_0188/klagomål/A 38137-2019 FSC-klagomål.docx", "A 38137-2019")</f>
        <v/>
      </c>
      <c r="W107">
        <f>HYPERLINK("https://klasma.github.io/Logging_0188/klagomålsmail/A 38137-2019 FSC-klagomål mail.docx", "A 38137-2019")</f>
        <v/>
      </c>
      <c r="X107">
        <f>HYPERLINK("https://klasma.github.io/Logging_0188/tillsyn/A 38137-2019 tillsynsbegäran.docx", "A 38137-2019")</f>
        <v/>
      </c>
      <c r="Y107">
        <f>HYPERLINK("https://klasma.github.io/Logging_0188/tillsynsmail/A 38137-2019 tillsynsbegäran mail.docx", "A 38137-2019")</f>
        <v/>
      </c>
    </row>
    <row r="108" ht="15" customHeight="1">
      <c r="A108" t="inlineStr">
        <is>
          <t>A 64849-2019</t>
        </is>
      </c>
      <c r="B108" s="1" t="n">
        <v>43801</v>
      </c>
      <c r="C108" s="1" t="n">
        <v>45583</v>
      </c>
      <c r="D108" t="inlineStr">
        <is>
          <t>STOCKHOLMS LÄN</t>
        </is>
      </c>
      <c r="E108" t="inlineStr">
        <is>
          <t>NORRTÄLJE</t>
        </is>
      </c>
      <c r="G108" t="n">
        <v>1.6</v>
      </c>
      <c r="H108" t="n">
        <v>0</v>
      </c>
      <c r="I108" t="n">
        <v>0</v>
      </c>
      <c r="J108" t="n">
        <v>1</v>
      </c>
      <c r="K108" t="n">
        <v>0</v>
      </c>
      <c r="L108" t="n">
        <v>0</v>
      </c>
      <c r="M108" t="n">
        <v>0</v>
      </c>
      <c r="N108" t="n">
        <v>0</v>
      </c>
      <c r="O108" t="n">
        <v>1</v>
      </c>
      <c r="P108" t="n">
        <v>0</v>
      </c>
      <c r="Q108" t="n">
        <v>1</v>
      </c>
      <c r="R108" s="2" t="inlineStr">
        <is>
          <t>Skogsklocka</t>
        </is>
      </c>
      <c r="S108">
        <f>HYPERLINK("https://klasma.github.io/Logging_0188/artfynd/A 64849-2019 artfynd.xlsx", "A 64849-2019")</f>
        <v/>
      </c>
      <c r="T108">
        <f>HYPERLINK("https://klasma.github.io/Logging_0188/kartor/A 64849-2019 karta.png", "A 64849-2019")</f>
        <v/>
      </c>
      <c r="V108">
        <f>HYPERLINK("https://klasma.github.io/Logging_0188/klagomål/A 64849-2019 FSC-klagomål.docx", "A 64849-2019")</f>
        <v/>
      </c>
      <c r="W108">
        <f>HYPERLINK("https://klasma.github.io/Logging_0188/klagomålsmail/A 64849-2019 FSC-klagomål mail.docx", "A 64849-2019")</f>
        <v/>
      </c>
      <c r="X108">
        <f>HYPERLINK("https://klasma.github.io/Logging_0188/tillsyn/A 64849-2019 tillsynsbegäran.docx", "A 64849-2019")</f>
        <v/>
      </c>
      <c r="Y108">
        <f>HYPERLINK("https://klasma.github.io/Logging_0188/tillsynsmail/A 64849-2019 tillsynsbegäran mail.docx", "A 64849-2019")</f>
        <v/>
      </c>
    </row>
    <row r="109" ht="15" customHeight="1">
      <c r="A109" t="inlineStr">
        <is>
          <t>A 2808-2020</t>
        </is>
      </c>
      <c r="B109" s="1" t="n">
        <v>43850</v>
      </c>
      <c r="C109" s="1" t="n">
        <v>45583</v>
      </c>
      <c r="D109" t="inlineStr">
        <is>
          <t>STOCKHOLMS LÄN</t>
        </is>
      </c>
      <c r="E109" t="inlineStr">
        <is>
          <t>NORRTÄLJE</t>
        </is>
      </c>
      <c r="G109" t="n">
        <v>1</v>
      </c>
      <c r="H109" t="n">
        <v>1</v>
      </c>
      <c r="I109" t="n">
        <v>0</v>
      </c>
      <c r="J109" t="n">
        <v>0</v>
      </c>
      <c r="K109" t="n">
        <v>1</v>
      </c>
      <c r="L109" t="n">
        <v>0</v>
      </c>
      <c r="M109" t="n">
        <v>0</v>
      </c>
      <c r="N109" t="n">
        <v>0</v>
      </c>
      <c r="O109" t="n">
        <v>1</v>
      </c>
      <c r="P109" t="n">
        <v>1</v>
      </c>
      <c r="Q109" t="n">
        <v>1</v>
      </c>
      <c r="R109" s="2" t="inlineStr">
        <is>
          <t>Knärot</t>
        </is>
      </c>
      <c r="S109">
        <f>HYPERLINK("https://klasma.github.io/Logging_0188/artfynd/A 2808-2020 artfynd.xlsx", "A 2808-2020")</f>
        <v/>
      </c>
      <c r="T109">
        <f>HYPERLINK("https://klasma.github.io/Logging_0188/kartor/A 2808-2020 karta.png", "A 2808-2020")</f>
        <v/>
      </c>
      <c r="U109">
        <f>HYPERLINK("https://klasma.github.io/Logging_0188/knärot/A 2808-2020 karta knärot.png", "A 2808-2020")</f>
        <v/>
      </c>
      <c r="V109">
        <f>HYPERLINK("https://klasma.github.io/Logging_0188/klagomål/A 2808-2020 FSC-klagomål.docx", "A 2808-2020")</f>
        <v/>
      </c>
      <c r="W109">
        <f>HYPERLINK("https://klasma.github.io/Logging_0188/klagomålsmail/A 2808-2020 FSC-klagomål mail.docx", "A 2808-2020")</f>
        <v/>
      </c>
      <c r="X109">
        <f>HYPERLINK("https://klasma.github.io/Logging_0188/tillsyn/A 2808-2020 tillsynsbegäran.docx", "A 2808-2020")</f>
        <v/>
      </c>
      <c r="Y109">
        <f>HYPERLINK("https://klasma.github.io/Logging_0188/tillsynsmail/A 2808-2020 tillsynsbegäran mail.docx", "A 2808-2020")</f>
        <v/>
      </c>
    </row>
    <row r="110" ht="15" customHeight="1">
      <c r="A110" t="inlineStr">
        <is>
          <t>A 2796-2020</t>
        </is>
      </c>
      <c r="B110" s="1" t="n">
        <v>43850</v>
      </c>
      <c r="C110" s="1" t="n">
        <v>45583</v>
      </c>
      <c r="D110" t="inlineStr">
        <is>
          <t>STOCKHOLMS LÄN</t>
        </is>
      </c>
      <c r="E110" t="inlineStr">
        <is>
          <t>NORRTÄLJE</t>
        </is>
      </c>
      <c r="G110" t="n">
        <v>5.6</v>
      </c>
      <c r="H110" t="n">
        <v>1</v>
      </c>
      <c r="I110" t="n">
        <v>1</v>
      </c>
      <c r="J110" t="n">
        <v>0</v>
      </c>
      <c r="K110" t="n">
        <v>0</v>
      </c>
      <c r="L110" t="n">
        <v>0</v>
      </c>
      <c r="M110" t="n">
        <v>0</v>
      </c>
      <c r="N110" t="n">
        <v>0</v>
      </c>
      <c r="O110" t="n">
        <v>0</v>
      </c>
      <c r="P110" t="n">
        <v>0</v>
      </c>
      <c r="Q110" t="n">
        <v>1</v>
      </c>
      <c r="R110" s="2" t="inlineStr">
        <is>
          <t>Spindelblomster</t>
        </is>
      </c>
      <c r="S110">
        <f>HYPERLINK("https://klasma.github.io/Logging_0188/artfynd/A 2796-2020 artfynd.xlsx", "A 2796-2020")</f>
        <v/>
      </c>
      <c r="T110">
        <f>HYPERLINK("https://klasma.github.io/Logging_0188/kartor/A 2796-2020 karta.png", "A 2796-2020")</f>
        <v/>
      </c>
      <c r="V110">
        <f>HYPERLINK("https://klasma.github.io/Logging_0188/klagomål/A 2796-2020 FSC-klagomål.docx", "A 2796-2020")</f>
        <v/>
      </c>
      <c r="W110">
        <f>HYPERLINK("https://klasma.github.io/Logging_0188/klagomålsmail/A 2796-2020 FSC-klagomål mail.docx", "A 2796-2020")</f>
        <v/>
      </c>
      <c r="X110">
        <f>HYPERLINK("https://klasma.github.io/Logging_0188/tillsyn/A 2796-2020 tillsynsbegäran.docx", "A 2796-2020")</f>
        <v/>
      </c>
      <c r="Y110">
        <f>HYPERLINK("https://klasma.github.io/Logging_0188/tillsynsmail/A 2796-2020 tillsynsbegäran mail.docx", "A 2796-2020")</f>
        <v/>
      </c>
    </row>
    <row r="111" ht="15" customHeight="1">
      <c r="A111" t="inlineStr">
        <is>
          <t>A 9051-2020</t>
        </is>
      </c>
      <c r="B111" s="1" t="n">
        <v>43879</v>
      </c>
      <c r="C111" s="1" t="n">
        <v>45583</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9051-2020 artfynd.xlsx", "A 9051-2020")</f>
        <v/>
      </c>
      <c r="T111">
        <f>HYPERLINK("https://klasma.github.io/Logging_0188/kartor/A 9051-2020 karta.png", "A 9051-2020")</f>
        <v/>
      </c>
      <c r="V111">
        <f>HYPERLINK("https://klasma.github.io/Logging_0188/klagomål/A 9051-2020 FSC-klagomål.docx", "A 9051-2020")</f>
        <v/>
      </c>
      <c r="W111">
        <f>HYPERLINK("https://klasma.github.io/Logging_0188/klagomålsmail/A 9051-2020 FSC-klagomål mail.docx", "A 9051-2020")</f>
        <v/>
      </c>
      <c r="X111">
        <f>HYPERLINK("https://klasma.github.io/Logging_0188/tillsyn/A 9051-2020 tillsynsbegäran.docx", "A 9051-2020")</f>
        <v/>
      </c>
      <c r="Y111">
        <f>HYPERLINK("https://klasma.github.io/Logging_0188/tillsynsmail/A 9051-2020 tillsynsbegäran mail.docx", "A 9051-2020")</f>
        <v/>
      </c>
    </row>
    <row r="112" ht="15" customHeight="1">
      <c r="A112" t="inlineStr">
        <is>
          <t>A 12843-2020</t>
        </is>
      </c>
      <c r="B112" s="1" t="n">
        <v>43899</v>
      </c>
      <c r="C112" s="1" t="n">
        <v>45583</v>
      </c>
      <c r="D112" t="inlineStr">
        <is>
          <t>STOCKHOLMS LÄN</t>
        </is>
      </c>
      <c r="E112" t="inlineStr">
        <is>
          <t>NORRTÄLJE</t>
        </is>
      </c>
      <c r="G112" t="n">
        <v>7.5</v>
      </c>
      <c r="H112" t="n">
        <v>1</v>
      </c>
      <c r="I112" t="n">
        <v>0</v>
      </c>
      <c r="J112" t="n">
        <v>1</v>
      </c>
      <c r="K112" t="n">
        <v>0</v>
      </c>
      <c r="L112" t="n">
        <v>0</v>
      </c>
      <c r="M112" t="n">
        <v>0</v>
      </c>
      <c r="N112" t="n">
        <v>0</v>
      </c>
      <c r="O112" t="n">
        <v>1</v>
      </c>
      <c r="P112" t="n">
        <v>0</v>
      </c>
      <c r="Q112" t="n">
        <v>1</v>
      </c>
      <c r="R112" s="2" t="inlineStr">
        <is>
          <t>Talltita</t>
        </is>
      </c>
      <c r="S112">
        <f>HYPERLINK("https://klasma.github.io/Logging_0188/artfynd/A 12843-2020 artfynd.xlsx", "A 12843-2020")</f>
        <v/>
      </c>
      <c r="T112">
        <f>HYPERLINK("https://klasma.github.io/Logging_0188/kartor/A 12843-2020 karta.png", "A 12843-2020")</f>
        <v/>
      </c>
      <c r="V112">
        <f>HYPERLINK("https://klasma.github.io/Logging_0188/klagomål/A 12843-2020 FSC-klagomål.docx", "A 12843-2020")</f>
        <v/>
      </c>
      <c r="W112">
        <f>HYPERLINK("https://klasma.github.io/Logging_0188/klagomålsmail/A 12843-2020 FSC-klagomål mail.docx", "A 12843-2020")</f>
        <v/>
      </c>
      <c r="X112">
        <f>HYPERLINK("https://klasma.github.io/Logging_0188/tillsyn/A 12843-2020 tillsynsbegäran.docx", "A 12843-2020")</f>
        <v/>
      </c>
      <c r="Y112">
        <f>HYPERLINK("https://klasma.github.io/Logging_0188/tillsynsmail/A 12843-2020 tillsynsbegäran mail.docx", "A 12843-2020")</f>
        <v/>
      </c>
      <c r="Z112">
        <f>HYPERLINK("https://klasma.github.io/Logging_0188/fåglar/A 12843-2020 prioriterade fågelarter.docx", "A 12843-2020")</f>
        <v/>
      </c>
    </row>
    <row r="113" ht="15" customHeight="1">
      <c r="A113" t="inlineStr">
        <is>
          <t>A 28380-2020</t>
        </is>
      </c>
      <c r="B113" s="1" t="n">
        <v>43998</v>
      </c>
      <c r="C113" s="1" t="n">
        <v>45583</v>
      </c>
      <c r="D113" t="inlineStr">
        <is>
          <t>STOCKHOLMS LÄN</t>
        </is>
      </c>
      <c r="E113" t="inlineStr">
        <is>
          <t>NORRTÄLJE</t>
        </is>
      </c>
      <c r="G113" t="n">
        <v>43</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28380-2020 artfynd.xlsx", "A 28380-2020")</f>
        <v/>
      </c>
      <c r="T113">
        <f>HYPERLINK("https://klasma.github.io/Logging_0188/kartor/A 28380-2020 karta.png", "A 28380-2020")</f>
        <v/>
      </c>
      <c r="V113">
        <f>HYPERLINK("https://klasma.github.io/Logging_0188/klagomål/A 28380-2020 FSC-klagomål.docx", "A 28380-2020")</f>
        <v/>
      </c>
      <c r="W113">
        <f>HYPERLINK("https://klasma.github.io/Logging_0188/klagomålsmail/A 28380-2020 FSC-klagomål mail.docx", "A 28380-2020")</f>
        <v/>
      </c>
      <c r="X113">
        <f>HYPERLINK("https://klasma.github.io/Logging_0188/tillsyn/A 28380-2020 tillsynsbegäran.docx", "A 28380-2020")</f>
        <v/>
      </c>
      <c r="Y113">
        <f>HYPERLINK("https://klasma.github.io/Logging_0188/tillsynsmail/A 28380-2020 tillsynsbegäran mail.docx", "A 28380-2020")</f>
        <v/>
      </c>
    </row>
    <row r="114" ht="15" customHeight="1">
      <c r="A114" t="inlineStr">
        <is>
          <t>A 48288-2020</t>
        </is>
      </c>
      <c r="B114" s="1" t="n">
        <v>44102</v>
      </c>
      <c r="C114" s="1" t="n">
        <v>45583</v>
      </c>
      <c r="D114" t="inlineStr">
        <is>
          <t>STOCKHOLMS LÄN</t>
        </is>
      </c>
      <c r="E114" t="inlineStr">
        <is>
          <t>NORRTÄLJE</t>
        </is>
      </c>
      <c r="F114" t="inlineStr">
        <is>
          <t>Holmen skog AB</t>
        </is>
      </c>
      <c r="G114" t="n">
        <v>2.9</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48288-2020 artfynd.xlsx", "A 48288-2020")</f>
        <v/>
      </c>
      <c r="T114">
        <f>HYPERLINK("https://klasma.github.io/Logging_0188/kartor/A 48288-2020 karta.png", "A 48288-2020")</f>
        <v/>
      </c>
      <c r="V114">
        <f>HYPERLINK("https://klasma.github.io/Logging_0188/klagomål/A 48288-2020 FSC-klagomål.docx", "A 48288-2020")</f>
        <v/>
      </c>
      <c r="W114">
        <f>HYPERLINK("https://klasma.github.io/Logging_0188/klagomålsmail/A 48288-2020 FSC-klagomål mail.docx", "A 48288-2020")</f>
        <v/>
      </c>
      <c r="X114">
        <f>HYPERLINK("https://klasma.github.io/Logging_0188/tillsyn/A 48288-2020 tillsynsbegäran.docx", "A 48288-2020")</f>
        <v/>
      </c>
      <c r="Y114">
        <f>HYPERLINK("https://klasma.github.io/Logging_0188/tillsynsmail/A 48288-2020 tillsynsbegäran mail.docx", "A 48288-2020")</f>
        <v/>
      </c>
    </row>
    <row r="115" ht="15" customHeight="1">
      <c r="A115" t="inlineStr">
        <is>
          <t>A 62846-2020</t>
        </is>
      </c>
      <c r="B115" s="1" t="n">
        <v>44161</v>
      </c>
      <c r="C115" s="1" t="n">
        <v>45583</v>
      </c>
      <c r="D115" t="inlineStr">
        <is>
          <t>STOCKHOLMS LÄN</t>
        </is>
      </c>
      <c r="E115" t="inlineStr">
        <is>
          <t>NORRTÄLJE</t>
        </is>
      </c>
      <c r="G115" t="n">
        <v>1.4</v>
      </c>
      <c r="H115" t="n">
        <v>1</v>
      </c>
      <c r="I115" t="n">
        <v>0</v>
      </c>
      <c r="J115" t="n">
        <v>0</v>
      </c>
      <c r="K115" t="n">
        <v>0</v>
      </c>
      <c r="L115" t="n">
        <v>0</v>
      </c>
      <c r="M115" t="n">
        <v>0</v>
      </c>
      <c r="N115" t="n">
        <v>0</v>
      </c>
      <c r="O115" t="n">
        <v>0</v>
      </c>
      <c r="P115" t="n">
        <v>0</v>
      </c>
      <c r="Q115" t="n">
        <v>1</v>
      </c>
      <c r="R115" s="2" t="inlineStr">
        <is>
          <t>Fläcknycklar</t>
        </is>
      </c>
      <c r="S115">
        <f>HYPERLINK("https://klasma.github.io/Logging_0188/artfynd/A 62846-2020 artfynd.xlsx", "A 62846-2020")</f>
        <v/>
      </c>
      <c r="T115">
        <f>HYPERLINK("https://klasma.github.io/Logging_0188/kartor/A 62846-2020 karta.png", "A 62846-2020")</f>
        <v/>
      </c>
      <c r="V115">
        <f>HYPERLINK("https://klasma.github.io/Logging_0188/klagomål/A 62846-2020 FSC-klagomål.docx", "A 62846-2020")</f>
        <v/>
      </c>
      <c r="W115">
        <f>HYPERLINK("https://klasma.github.io/Logging_0188/klagomålsmail/A 62846-2020 FSC-klagomål mail.docx", "A 62846-2020")</f>
        <v/>
      </c>
      <c r="X115">
        <f>HYPERLINK("https://klasma.github.io/Logging_0188/tillsyn/A 62846-2020 tillsynsbegäran.docx", "A 62846-2020")</f>
        <v/>
      </c>
      <c r="Y115">
        <f>HYPERLINK("https://klasma.github.io/Logging_0188/tillsynsmail/A 62846-2020 tillsynsbegäran mail.docx", "A 62846-2020")</f>
        <v/>
      </c>
    </row>
    <row r="116" ht="15" customHeight="1">
      <c r="A116" t="inlineStr">
        <is>
          <t>A 1162-2021</t>
        </is>
      </c>
      <c r="B116" s="1" t="n">
        <v>44207</v>
      </c>
      <c r="C116" s="1" t="n">
        <v>45583</v>
      </c>
      <c r="D116" t="inlineStr">
        <is>
          <t>STOCKHOLMS LÄN</t>
        </is>
      </c>
      <c r="E116" t="inlineStr">
        <is>
          <t>NORRTÄLJE</t>
        </is>
      </c>
      <c r="G116" t="n">
        <v>2.2</v>
      </c>
      <c r="H116" t="n">
        <v>1</v>
      </c>
      <c r="I116" t="n">
        <v>0</v>
      </c>
      <c r="J116" t="n">
        <v>0</v>
      </c>
      <c r="K116" t="n">
        <v>1</v>
      </c>
      <c r="L116" t="n">
        <v>0</v>
      </c>
      <c r="M116" t="n">
        <v>0</v>
      </c>
      <c r="N116" t="n">
        <v>0</v>
      </c>
      <c r="O116" t="n">
        <v>1</v>
      </c>
      <c r="P116" t="n">
        <v>1</v>
      </c>
      <c r="Q116" t="n">
        <v>1</v>
      </c>
      <c r="R116" s="2" t="inlineStr">
        <is>
          <t>Hällebräcka</t>
        </is>
      </c>
      <c r="S116">
        <f>HYPERLINK("https://klasma.github.io/Logging_0188/artfynd/A 1162-2021 artfynd.xlsx", "A 1162-2021")</f>
        <v/>
      </c>
      <c r="T116">
        <f>HYPERLINK("https://klasma.github.io/Logging_0188/kartor/A 1162-2021 karta.png", "A 1162-2021")</f>
        <v/>
      </c>
      <c r="V116">
        <f>HYPERLINK("https://klasma.github.io/Logging_0188/klagomål/A 1162-2021 FSC-klagomål.docx", "A 1162-2021")</f>
        <v/>
      </c>
      <c r="W116">
        <f>HYPERLINK("https://klasma.github.io/Logging_0188/klagomålsmail/A 1162-2021 FSC-klagomål mail.docx", "A 1162-2021")</f>
        <v/>
      </c>
      <c r="X116">
        <f>HYPERLINK("https://klasma.github.io/Logging_0188/tillsyn/A 1162-2021 tillsynsbegäran.docx", "A 1162-2021")</f>
        <v/>
      </c>
      <c r="Y116">
        <f>HYPERLINK("https://klasma.github.io/Logging_0188/tillsynsmail/A 1162-2021 tillsynsbegäran mail.docx", "A 1162-2021")</f>
        <v/>
      </c>
    </row>
    <row r="117" ht="15" customHeight="1">
      <c r="A117" t="inlineStr">
        <is>
          <t>A 30138-2021</t>
        </is>
      </c>
      <c r="B117" s="1" t="n">
        <v>44363</v>
      </c>
      <c r="C117" s="1" t="n">
        <v>45583</v>
      </c>
      <c r="D117" t="inlineStr">
        <is>
          <t>STOCKHOLMS LÄN</t>
        </is>
      </c>
      <c r="E117" t="inlineStr">
        <is>
          <t>NORRTÄLJE</t>
        </is>
      </c>
      <c r="G117" t="n">
        <v>4.5</v>
      </c>
      <c r="H117" t="n">
        <v>0</v>
      </c>
      <c r="I117" t="n">
        <v>1</v>
      </c>
      <c r="J117" t="n">
        <v>0</v>
      </c>
      <c r="K117" t="n">
        <v>0</v>
      </c>
      <c r="L117" t="n">
        <v>0</v>
      </c>
      <c r="M117" t="n">
        <v>0</v>
      </c>
      <c r="N117" t="n">
        <v>0</v>
      </c>
      <c r="O117" t="n">
        <v>0</v>
      </c>
      <c r="P117" t="n">
        <v>0</v>
      </c>
      <c r="Q117" t="n">
        <v>1</v>
      </c>
      <c r="R117" s="2" t="inlineStr">
        <is>
          <t>Vårärt</t>
        </is>
      </c>
      <c r="S117">
        <f>HYPERLINK("https://klasma.github.io/Logging_0188/artfynd/A 30138-2021 artfynd.xlsx", "A 30138-2021")</f>
        <v/>
      </c>
      <c r="T117">
        <f>HYPERLINK("https://klasma.github.io/Logging_0188/kartor/A 30138-2021 karta.png", "A 30138-2021")</f>
        <v/>
      </c>
      <c r="V117">
        <f>HYPERLINK("https://klasma.github.io/Logging_0188/klagomål/A 30138-2021 FSC-klagomål.docx", "A 30138-2021")</f>
        <v/>
      </c>
      <c r="W117">
        <f>HYPERLINK("https://klasma.github.io/Logging_0188/klagomålsmail/A 30138-2021 FSC-klagomål mail.docx", "A 30138-2021")</f>
        <v/>
      </c>
      <c r="X117">
        <f>HYPERLINK("https://klasma.github.io/Logging_0188/tillsyn/A 30138-2021 tillsynsbegäran.docx", "A 30138-2021")</f>
        <v/>
      </c>
      <c r="Y117">
        <f>HYPERLINK("https://klasma.github.io/Logging_0188/tillsynsmail/A 30138-2021 tillsynsbegäran mail.docx", "A 30138-2021")</f>
        <v/>
      </c>
    </row>
    <row r="118" ht="15" customHeight="1">
      <c r="A118" t="inlineStr">
        <is>
          <t>A 33302-2021</t>
        </is>
      </c>
      <c r="B118" s="1" t="n">
        <v>44377</v>
      </c>
      <c r="C118" s="1" t="n">
        <v>45583</v>
      </c>
      <c r="D118" t="inlineStr">
        <is>
          <t>STOCKHOLMS LÄN</t>
        </is>
      </c>
      <c r="E118" t="inlineStr">
        <is>
          <t>NORRTÄLJE</t>
        </is>
      </c>
      <c r="G118" t="n">
        <v>12.5</v>
      </c>
      <c r="H118" t="n">
        <v>1</v>
      </c>
      <c r="I118" t="n">
        <v>0</v>
      </c>
      <c r="J118" t="n">
        <v>1</v>
      </c>
      <c r="K118" t="n">
        <v>0</v>
      </c>
      <c r="L118" t="n">
        <v>0</v>
      </c>
      <c r="M118" t="n">
        <v>0</v>
      </c>
      <c r="N118" t="n">
        <v>0</v>
      </c>
      <c r="O118" t="n">
        <v>1</v>
      </c>
      <c r="P118" t="n">
        <v>0</v>
      </c>
      <c r="Q118" t="n">
        <v>1</v>
      </c>
      <c r="R118" s="2" t="inlineStr">
        <is>
          <t>Spillkråka</t>
        </is>
      </c>
      <c r="S118">
        <f>HYPERLINK("https://klasma.github.io/Logging_0188/artfynd/A 33302-2021 artfynd.xlsx", "A 33302-2021")</f>
        <v/>
      </c>
      <c r="T118">
        <f>HYPERLINK("https://klasma.github.io/Logging_0188/kartor/A 33302-2021 karta.png", "A 33302-2021")</f>
        <v/>
      </c>
      <c r="V118">
        <f>HYPERLINK("https://klasma.github.io/Logging_0188/klagomål/A 33302-2021 FSC-klagomål.docx", "A 33302-2021")</f>
        <v/>
      </c>
      <c r="W118">
        <f>HYPERLINK("https://klasma.github.io/Logging_0188/klagomålsmail/A 33302-2021 FSC-klagomål mail.docx", "A 33302-2021")</f>
        <v/>
      </c>
      <c r="X118">
        <f>HYPERLINK("https://klasma.github.io/Logging_0188/tillsyn/A 33302-2021 tillsynsbegäran.docx", "A 33302-2021")</f>
        <v/>
      </c>
      <c r="Y118">
        <f>HYPERLINK("https://klasma.github.io/Logging_0188/tillsynsmail/A 33302-2021 tillsynsbegäran mail.docx", "A 33302-2021")</f>
        <v/>
      </c>
      <c r="Z118">
        <f>HYPERLINK("https://klasma.github.io/Logging_0188/fåglar/A 33302-2021 prioriterade fågelarter.docx", "A 33302-2021")</f>
        <v/>
      </c>
    </row>
    <row r="119" ht="15" customHeight="1">
      <c r="A119" t="inlineStr">
        <is>
          <t>A 58888-2021</t>
        </is>
      </c>
      <c r="B119" s="1" t="n">
        <v>44489</v>
      </c>
      <c r="C119" s="1" t="n">
        <v>45583</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68692-2021</t>
        </is>
      </c>
      <c r="B120" s="1" t="n">
        <v>44529</v>
      </c>
      <c r="C120" s="1" t="n">
        <v>45583</v>
      </c>
      <c r="D120" t="inlineStr">
        <is>
          <t>STOCKHOLMS LÄN</t>
        </is>
      </c>
      <c r="E120" t="inlineStr">
        <is>
          <t>NORRTÄLJE</t>
        </is>
      </c>
      <c r="F120" t="inlineStr">
        <is>
          <t>Holmen skog AB</t>
        </is>
      </c>
      <c r="G120" t="n">
        <v>0.7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68692-2021 artfynd.xlsx", "A 68692-2021")</f>
        <v/>
      </c>
      <c r="T120">
        <f>HYPERLINK("https://klasma.github.io/Logging_0188/kartor/A 68692-2021 karta.png", "A 68692-2021")</f>
        <v/>
      </c>
      <c r="V120">
        <f>HYPERLINK("https://klasma.github.io/Logging_0188/klagomål/A 68692-2021 FSC-klagomål.docx", "A 68692-2021")</f>
        <v/>
      </c>
      <c r="W120">
        <f>HYPERLINK("https://klasma.github.io/Logging_0188/klagomålsmail/A 68692-2021 FSC-klagomål mail.docx", "A 68692-2021")</f>
        <v/>
      </c>
      <c r="X120">
        <f>HYPERLINK("https://klasma.github.io/Logging_0188/tillsyn/A 68692-2021 tillsynsbegäran.docx", "A 68692-2021")</f>
        <v/>
      </c>
      <c r="Y120">
        <f>HYPERLINK("https://klasma.github.io/Logging_0188/tillsynsmail/A 68692-2021 tillsynsbegäran mail.docx", "A 68692-2021")</f>
        <v/>
      </c>
    </row>
    <row r="121" ht="15" customHeight="1">
      <c r="A121" t="inlineStr">
        <is>
          <t>A 188-2022</t>
        </is>
      </c>
      <c r="B121" s="1" t="n">
        <v>44564</v>
      </c>
      <c r="C121" s="1" t="n">
        <v>45583</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1547-2022</t>
        </is>
      </c>
      <c r="B122" s="1" t="n">
        <v>44573</v>
      </c>
      <c r="C122" s="1" t="n">
        <v>45583</v>
      </c>
      <c r="D122" t="inlineStr">
        <is>
          <t>STOCKHOLMS LÄN</t>
        </is>
      </c>
      <c r="E122" t="inlineStr">
        <is>
          <t>NORRTÄLJE</t>
        </is>
      </c>
      <c r="G122" t="n">
        <v>1.8</v>
      </c>
      <c r="H122" t="n">
        <v>1</v>
      </c>
      <c r="I122" t="n">
        <v>0</v>
      </c>
      <c r="J122" t="n">
        <v>0</v>
      </c>
      <c r="K122" t="n">
        <v>1</v>
      </c>
      <c r="L122" t="n">
        <v>0</v>
      </c>
      <c r="M122" t="n">
        <v>0</v>
      </c>
      <c r="N122" t="n">
        <v>0</v>
      </c>
      <c r="O122" t="n">
        <v>1</v>
      </c>
      <c r="P122" t="n">
        <v>1</v>
      </c>
      <c r="Q122" t="n">
        <v>1</v>
      </c>
      <c r="R122" s="2" t="inlineStr">
        <is>
          <t>Hällebräcka</t>
        </is>
      </c>
      <c r="S122">
        <f>HYPERLINK("https://klasma.github.io/Logging_0188/artfynd/A 1547-2022 artfynd.xlsx", "A 1547-2022")</f>
        <v/>
      </c>
      <c r="T122">
        <f>HYPERLINK("https://klasma.github.io/Logging_0188/kartor/A 1547-2022 karta.png", "A 1547-2022")</f>
        <v/>
      </c>
      <c r="V122">
        <f>HYPERLINK("https://klasma.github.io/Logging_0188/klagomål/A 1547-2022 FSC-klagomål.docx", "A 1547-2022")</f>
        <v/>
      </c>
      <c r="W122">
        <f>HYPERLINK("https://klasma.github.io/Logging_0188/klagomålsmail/A 1547-2022 FSC-klagomål mail.docx", "A 1547-2022")</f>
        <v/>
      </c>
      <c r="X122">
        <f>HYPERLINK("https://klasma.github.io/Logging_0188/tillsyn/A 1547-2022 tillsynsbegäran.docx", "A 1547-2022")</f>
        <v/>
      </c>
      <c r="Y122">
        <f>HYPERLINK("https://klasma.github.io/Logging_0188/tillsynsmail/A 1547-2022 tillsynsbegäran mail.docx", "A 1547-2022")</f>
        <v/>
      </c>
    </row>
    <row r="123" ht="15" customHeight="1">
      <c r="A123" t="inlineStr">
        <is>
          <t>A 7172-2022</t>
        </is>
      </c>
      <c r="B123" s="1" t="n">
        <v>44604</v>
      </c>
      <c r="C123" s="1" t="n">
        <v>45583</v>
      </c>
      <c r="D123" t="inlineStr">
        <is>
          <t>STOCKHOLMS LÄN</t>
        </is>
      </c>
      <c r="E123" t="inlineStr">
        <is>
          <t>NORRTÄLJE</t>
        </is>
      </c>
      <c r="G123" t="n">
        <v>4.8</v>
      </c>
      <c r="H123" t="n">
        <v>0</v>
      </c>
      <c r="I123" t="n">
        <v>1</v>
      </c>
      <c r="J123" t="n">
        <v>0</v>
      </c>
      <c r="K123" t="n">
        <v>0</v>
      </c>
      <c r="L123" t="n">
        <v>0</v>
      </c>
      <c r="M123" t="n">
        <v>0</v>
      </c>
      <c r="N123" t="n">
        <v>0</v>
      </c>
      <c r="O123" t="n">
        <v>0</v>
      </c>
      <c r="P123" t="n">
        <v>0</v>
      </c>
      <c r="Q123" t="n">
        <v>1</v>
      </c>
      <c r="R123" s="2" t="inlineStr">
        <is>
          <t>Trådticka</t>
        </is>
      </c>
      <c r="S123">
        <f>HYPERLINK("https://klasma.github.io/Logging_0188/artfynd/A 7172-2022 artfynd.xlsx", "A 7172-2022")</f>
        <v/>
      </c>
      <c r="T123">
        <f>HYPERLINK("https://klasma.github.io/Logging_0188/kartor/A 7172-2022 karta.png", "A 7172-2022")</f>
        <v/>
      </c>
      <c r="U123">
        <f>HYPERLINK("https://klasma.github.io/Logging_0188/knärot/A 7172-2022 karta knärot.png", "A 7172-2022")</f>
        <v/>
      </c>
      <c r="V123">
        <f>HYPERLINK("https://klasma.github.io/Logging_0188/klagomål/A 7172-2022 FSC-klagomål.docx", "A 7172-2022")</f>
        <v/>
      </c>
      <c r="W123">
        <f>HYPERLINK("https://klasma.github.io/Logging_0188/klagomålsmail/A 7172-2022 FSC-klagomål mail.docx", "A 7172-2022")</f>
        <v/>
      </c>
      <c r="X123">
        <f>HYPERLINK("https://klasma.github.io/Logging_0188/tillsyn/A 7172-2022 tillsynsbegäran.docx", "A 7172-2022")</f>
        <v/>
      </c>
      <c r="Y123">
        <f>HYPERLINK("https://klasma.github.io/Logging_0188/tillsynsmail/A 7172-2022 tillsynsbegäran mail.docx", "A 7172-2022")</f>
        <v/>
      </c>
    </row>
    <row r="124" ht="15" customHeight="1">
      <c r="A124" t="inlineStr">
        <is>
          <t>A 9955-2022</t>
        </is>
      </c>
      <c r="B124" s="1" t="n">
        <v>44620</v>
      </c>
      <c r="C124" s="1" t="n">
        <v>45583</v>
      </c>
      <c r="D124" t="inlineStr">
        <is>
          <t>STOCKHOLMS LÄN</t>
        </is>
      </c>
      <c r="E124" t="inlineStr">
        <is>
          <t>NORRTÄLJE</t>
        </is>
      </c>
      <c r="G124" t="n">
        <v>7.8</v>
      </c>
      <c r="H124" t="n">
        <v>1</v>
      </c>
      <c r="I124" t="n">
        <v>0</v>
      </c>
      <c r="J124" t="n">
        <v>0</v>
      </c>
      <c r="K124" t="n">
        <v>0</v>
      </c>
      <c r="L124" t="n">
        <v>0</v>
      </c>
      <c r="M124" t="n">
        <v>0</v>
      </c>
      <c r="N124" t="n">
        <v>0</v>
      </c>
      <c r="O124" t="n">
        <v>0</v>
      </c>
      <c r="P124" t="n">
        <v>0</v>
      </c>
      <c r="Q124" t="n">
        <v>1</v>
      </c>
      <c r="R124" s="2" t="inlineStr">
        <is>
          <t>Åkergroda</t>
        </is>
      </c>
      <c r="S124">
        <f>HYPERLINK("https://klasma.github.io/Logging_0188/artfynd/A 9955-2022 artfynd.xlsx", "A 9955-2022")</f>
        <v/>
      </c>
      <c r="T124">
        <f>HYPERLINK("https://klasma.github.io/Logging_0188/kartor/A 9955-2022 karta.png", "A 9955-2022")</f>
        <v/>
      </c>
      <c r="V124">
        <f>HYPERLINK("https://klasma.github.io/Logging_0188/klagomål/A 9955-2022 FSC-klagomål.docx", "A 9955-2022")</f>
        <v/>
      </c>
      <c r="W124">
        <f>HYPERLINK("https://klasma.github.io/Logging_0188/klagomålsmail/A 9955-2022 FSC-klagomål mail.docx", "A 9955-2022")</f>
        <v/>
      </c>
      <c r="X124">
        <f>HYPERLINK("https://klasma.github.io/Logging_0188/tillsyn/A 9955-2022 tillsynsbegäran.docx", "A 9955-2022")</f>
        <v/>
      </c>
      <c r="Y124">
        <f>HYPERLINK("https://klasma.github.io/Logging_0188/tillsynsmail/A 9955-2022 tillsynsbegäran mail.docx", "A 9955-2022")</f>
        <v/>
      </c>
    </row>
    <row r="125" ht="15" customHeight="1">
      <c r="A125" t="inlineStr">
        <is>
          <t>A 10712-2022</t>
        </is>
      </c>
      <c r="B125" s="1" t="n">
        <v>44626</v>
      </c>
      <c r="C125" s="1" t="n">
        <v>45583</v>
      </c>
      <c r="D125" t="inlineStr">
        <is>
          <t>STOCKHOLMS LÄN</t>
        </is>
      </c>
      <c r="E125" t="inlineStr">
        <is>
          <t>NORRTÄLJE</t>
        </is>
      </c>
      <c r="G125" t="n">
        <v>4.5</v>
      </c>
      <c r="H125" t="n">
        <v>1</v>
      </c>
      <c r="I125" t="n">
        <v>0</v>
      </c>
      <c r="J125" t="n">
        <v>0</v>
      </c>
      <c r="K125" t="n">
        <v>0</v>
      </c>
      <c r="L125" t="n">
        <v>0</v>
      </c>
      <c r="M125" t="n">
        <v>0</v>
      </c>
      <c r="N125" t="n">
        <v>0</v>
      </c>
      <c r="O125" t="n">
        <v>0</v>
      </c>
      <c r="P125" t="n">
        <v>0</v>
      </c>
      <c r="Q125" t="n">
        <v>1</v>
      </c>
      <c r="R125" s="2" t="inlineStr">
        <is>
          <t>Åkergroda</t>
        </is>
      </c>
      <c r="S125">
        <f>HYPERLINK("https://klasma.github.io/Logging_0188/artfynd/A 10712-2022 artfynd.xlsx", "A 10712-2022")</f>
        <v/>
      </c>
      <c r="T125">
        <f>HYPERLINK("https://klasma.github.io/Logging_0188/kartor/A 10712-2022 karta.png", "A 10712-2022")</f>
        <v/>
      </c>
      <c r="V125">
        <f>HYPERLINK("https://klasma.github.io/Logging_0188/klagomål/A 10712-2022 FSC-klagomål.docx", "A 10712-2022")</f>
        <v/>
      </c>
      <c r="W125">
        <f>HYPERLINK("https://klasma.github.io/Logging_0188/klagomålsmail/A 10712-2022 FSC-klagomål mail.docx", "A 10712-2022")</f>
        <v/>
      </c>
      <c r="X125">
        <f>HYPERLINK("https://klasma.github.io/Logging_0188/tillsyn/A 10712-2022 tillsynsbegäran.docx", "A 10712-2022")</f>
        <v/>
      </c>
      <c r="Y125">
        <f>HYPERLINK("https://klasma.github.io/Logging_0188/tillsynsmail/A 10712-2022 tillsynsbegäran mail.docx", "A 10712-2022")</f>
        <v/>
      </c>
    </row>
    <row r="126" ht="15" customHeight="1">
      <c r="A126" t="inlineStr">
        <is>
          <t>A 14720-2022</t>
        </is>
      </c>
      <c r="B126" s="1" t="n">
        <v>44656</v>
      </c>
      <c r="C126" s="1" t="n">
        <v>45583</v>
      </c>
      <c r="D126" t="inlineStr">
        <is>
          <t>STOCKHOLMS LÄN</t>
        </is>
      </c>
      <c r="E126" t="inlineStr">
        <is>
          <t>NORRTÄLJE</t>
        </is>
      </c>
      <c r="F126" t="inlineStr">
        <is>
          <t>Sveaskog</t>
        </is>
      </c>
      <c r="G126" t="n">
        <v>5.1</v>
      </c>
      <c r="H126" t="n">
        <v>0</v>
      </c>
      <c r="I126" t="n">
        <v>0</v>
      </c>
      <c r="J126" t="n">
        <v>1</v>
      </c>
      <c r="K126" t="n">
        <v>0</v>
      </c>
      <c r="L126" t="n">
        <v>0</v>
      </c>
      <c r="M126" t="n">
        <v>0</v>
      </c>
      <c r="N126" t="n">
        <v>0</v>
      </c>
      <c r="O126" t="n">
        <v>1</v>
      </c>
      <c r="P126" t="n">
        <v>0</v>
      </c>
      <c r="Q126" t="n">
        <v>1</v>
      </c>
      <c r="R126" s="2" t="inlineStr">
        <is>
          <t>Loppstarr</t>
        </is>
      </c>
      <c r="S126">
        <f>HYPERLINK("https://klasma.github.io/Logging_0188/artfynd/A 14720-2022 artfynd.xlsx", "A 14720-2022")</f>
        <v/>
      </c>
      <c r="T126">
        <f>HYPERLINK("https://klasma.github.io/Logging_0188/kartor/A 14720-2022 karta.png", "A 14720-2022")</f>
        <v/>
      </c>
      <c r="V126">
        <f>HYPERLINK("https://klasma.github.io/Logging_0188/klagomål/A 14720-2022 FSC-klagomål.docx", "A 14720-2022")</f>
        <v/>
      </c>
      <c r="W126">
        <f>HYPERLINK("https://klasma.github.io/Logging_0188/klagomålsmail/A 14720-2022 FSC-klagomål mail.docx", "A 14720-2022")</f>
        <v/>
      </c>
      <c r="X126">
        <f>HYPERLINK("https://klasma.github.io/Logging_0188/tillsyn/A 14720-2022 tillsynsbegäran.docx", "A 14720-2022")</f>
        <v/>
      </c>
      <c r="Y126">
        <f>HYPERLINK("https://klasma.github.io/Logging_0188/tillsynsmail/A 14720-2022 tillsynsbegäran mail.docx", "A 14720-2022")</f>
        <v/>
      </c>
    </row>
    <row r="127" ht="15" customHeight="1">
      <c r="A127" t="inlineStr">
        <is>
          <t>A 16539-2022</t>
        </is>
      </c>
      <c r="B127" s="1" t="n">
        <v>44672</v>
      </c>
      <c r="C127" s="1" t="n">
        <v>45583</v>
      </c>
      <c r="D127" t="inlineStr">
        <is>
          <t>STOCKHOLMS LÄN</t>
        </is>
      </c>
      <c r="E127" t="inlineStr">
        <is>
          <t>NORRTÄLJE</t>
        </is>
      </c>
      <c r="G127" t="n">
        <v>8.6</v>
      </c>
      <c r="H127" t="n">
        <v>1</v>
      </c>
      <c r="I127" t="n">
        <v>1</v>
      </c>
      <c r="J127" t="n">
        <v>0</v>
      </c>
      <c r="K127" t="n">
        <v>0</v>
      </c>
      <c r="L127" t="n">
        <v>0</v>
      </c>
      <c r="M127" t="n">
        <v>0</v>
      </c>
      <c r="N127" t="n">
        <v>0</v>
      </c>
      <c r="O127" t="n">
        <v>0</v>
      </c>
      <c r="P127" t="n">
        <v>0</v>
      </c>
      <c r="Q127" t="n">
        <v>1</v>
      </c>
      <c r="R127" s="2" t="inlineStr">
        <is>
          <t>Nästrot</t>
        </is>
      </c>
      <c r="S127">
        <f>HYPERLINK("https://klasma.github.io/Logging_0188/artfynd/A 16539-2022 artfynd.xlsx", "A 16539-2022")</f>
        <v/>
      </c>
      <c r="T127">
        <f>HYPERLINK("https://klasma.github.io/Logging_0188/kartor/A 16539-2022 karta.png", "A 16539-2022")</f>
        <v/>
      </c>
      <c r="V127">
        <f>HYPERLINK("https://klasma.github.io/Logging_0188/klagomål/A 16539-2022 FSC-klagomål.docx", "A 16539-2022")</f>
        <v/>
      </c>
      <c r="W127">
        <f>HYPERLINK("https://klasma.github.io/Logging_0188/klagomålsmail/A 16539-2022 FSC-klagomål mail.docx", "A 16539-2022")</f>
        <v/>
      </c>
      <c r="X127">
        <f>HYPERLINK("https://klasma.github.io/Logging_0188/tillsyn/A 16539-2022 tillsynsbegäran.docx", "A 16539-2022")</f>
        <v/>
      </c>
      <c r="Y127">
        <f>HYPERLINK("https://klasma.github.io/Logging_0188/tillsynsmail/A 16539-2022 tillsynsbegäran mail.docx", "A 16539-2022")</f>
        <v/>
      </c>
    </row>
    <row r="128" ht="15" customHeight="1">
      <c r="A128" t="inlineStr">
        <is>
          <t>A 19829-2022</t>
        </is>
      </c>
      <c r="B128" s="1" t="n">
        <v>44695</v>
      </c>
      <c r="C128" s="1" t="n">
        <v>45583</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21150-2022</t>
        </is>
      </c>
      <c r="B129" s="1" t="n">
        <v>44704</v>
      </c>
      <c r="C129" s="1" t="n">
        <v>45583</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31194-2022</t>
        </is>
      </c>
      <c r="B130" s="1" t="n">
        <v>44770</v>
      </c>
      <c r="C130" s="1" t="n">
        <v>45583</v>
      </c>
      <c r="D130" t="inlineStr">
        <is>
          <t>STOCKHOLMS LÄN</t>
        </is>
      </c>
      <c r="E130" t="inlineStr">
        <is>
          <t>NORRTÄLJE</t>
        </is>
      </c>
      <c r="G130" t="n">
        <v>2.7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31194-2022 artfynd.xlsx", "A 31194-2022")</f>
        <v/>
      </c>
      <c r="T130">
        <f>HYPERLINK("https://klasma.github.io/Logging_0188/kartor/A 31194-2022 karta.png", "A 31194-2022")</f>
        <v/>
      </c>
      <c r="V130">
        <f>HYPERLINK("https://klasma.github.io/Logging_0188/klagomål/A 31194-2022 FSC-klagomål.docx", "A 31194-2022")</f>
        <v/>
      </c>
      <c r="W130">
        <f>HYPERLINK("https://klasma.github.io/Logging_0188/klagomålsmail/A 31194-2022 FSC-klagomål mail.docx", "A 31194-2022")</f>
        <v/>
      </c>
      <c r="X130">
        <f>HYPERLINK("https://klasma.github.io/Logging_0188/tillsyn/A 31194-2022 tillsynsbegäran.docx", "A 31194-2022")</f>
        <v/>
      </c>
      <c r="Y130">
        <f>HYPERLINK("https://klasma.github.io/Logging_0188/tillsynsmail/A 31194-2022 tillsynsbegäran mail.docx", "A 31194-2022")</f>
        <v/>
      </c>
    </row>
    <row r="131" ht="15" customHeight="1">
      <c r="A131" t="inlineStr">
        <is>
          <t>A 33477-2022</t>
        </is>
      </c>
      <c r="B131" s="1" t="n">
        <v>44788</v>
      </c>
      <c r="C131" s="1" t="n">
        <v>45583</v>
      </c>
      <c r="D131" t="inlineStr">
        <is>
          <t>STOCKHOLMS LÄN</t>
        </is>
      </c>
      <c r="E131" t="inlineStr">
        <is>
          <t>NORRTÄLJE</t>
        </is>
      </c>
      <c r="G131" t="n">
        <v>5.7</v>
      </c>
      <c r="H131" t="n">
        <v>1</v>
      </c>
      <c r="I131" t="n">
        <v>1</v>
      </c>
      <c r="J131" t="n">
        <v>0</v>
      </c>
      <c r="K131" t="n">
        <v>0</v>
      </c>
      <c r="L131" t="n">
        <v>0</v>
      </c>
      <c r="M131" t="n">
        <v>0</v>
      </c>
      <c r="N131" t="n">
        <v>0</v>
      </c>
      <c r="O131" t="n">
        <v>0</v>
      </c>
      <c r="P131" t="n">
        <v>0</v>
      </c>
      <c r="Q131" t="n">
        <v>1</v>
      </c>
      <c r="R131" s="2" t="inlineStr">
        <is>
          <t>Nästrot</t>
        </is>
      </c>
      <c r="S131">
        <f>HYPERLINK("https://klasma.github.io/Logging_0188/artfynd/A 33477-2022 artfynd.xlsx", "A 33477-2022")</f>
        <v/>
      </c>
      <c r="T131">
        <f>HYPERLINK("https://klasma.github.io/Logging_0188/kartor/A 33477-2022 karta.png", "A 33477-2022")</f>
        <v/>
      </c>
      <c r="V131">
        <f>HYPERLINK("https://klasma.github.io/Logging_0188/klagomål/A 33477-2022 FSC-klagomål.docx", "A 33477-2022")</f>
        <v/>
      </c>
      <c r="W131">
        <f>HYPERLINK("https://klasma.github.io/Logging_0188/klagomålsmail/A 33477-2022 FSC-klagomål mail.docx", "A 33477-2022")</f>
        <v/>
      </c>
      <c r="X131">
        <f>HYPERLINK("https://klasma.github.io/Logging_0188/tillsyn/A 33477-2022 tillsynsbegäran.docx", "A 33477-2022")</f>
        <v/>
      </c>
      <c r="Y131">
        <f>HYPERLINK("https://klasma.github.io/Logging_0188/tillsynsmail/A 33477-2022 tillsynsbegäran mail.docx", "A 33477-2022")</f>
        <v/>
      </c>
    </row>
    <row r="132" ht="15" customHeight="1">
      <c r="A132" t="inlineStr">
        <is>
          <t>A 37522-2022</t>
        </is>
      </c>
      <c r="B132" s="1" t="n">
        <v>44809</v>
      </c>
      <c r="C132" s="1" t="n">
        <v>45583</v>
      </c>
      <c r="D132" t="inlineStr">
        <is>
          <t>STOCKHOLMS LÄN</t>
        </is>
      </c>
      <c r="E132" t="inlineStr">
        <is>
          <t>NORRTÄLJE</t>
        </is>
      </c>
      <c r="G132" t="n">
        <v>2.4</v>
      </c>
      <c r="H132" t="n">
        <v>1</v>
      </c>
      <c r="I132" t="n">
        <v>0</v>
      </c>
      <c r="J132" t="n">
        <v>0</v>
      </c>
      <c r="K132" t="n">
        <v>0</v>
      </c>
      <c r="L132" t="n">
        <v>0</v>
      </c>
      <c r="M132" t="n">
        <v>0</v>
      </c>
      <c r="N132" t="n">
        <v>0</v>
      </c>
      <c r="O132" t="n">
        <v>0</v>
      </c>
      <c r="P132" t="n">
        <v>0</v>
      </c>
      <c r="Q132" t="n">
        <v>1</v>
      </c>
      <c r="R132" s="2" t="inlineStr">
        <is>
          <t>Blåsippa</t>
        </is>
      </c>
      <c r="S132">
        <f>HYPERLINK("https://klasma.github.io/Logging_0188/artfynd/A 37522-2022 artfynd.xlsx", "A 37522-2022")</f>
        <v/>
      </c>
      <c r="T132">
        <f>HYPERLINK("https://klasma.github.io/Logging_0188/kartor/A 37522-2022 karta.png", "A 37522-2022")</f>
        <v/>
      </c>
      <c r="V132">
        <f>HYPERLINK("https://klasma.github.io/Logging_0188/klagomål/A 37522-2022 FSC-klagomål.docx", "A 37522-2022")</f>
        <v/>
      </c>
      <c r="W132">
        <f>HYPERLINK("https://klasma.github.io/Logging_0188/klagomålsmail/A 37522-2022 FSC-klagomål mail.docx", "A 37522-2022")</f>
        <v/>
      </c>
      <c r="X132">
        <f>HYPERLINK("https://klasma.github.io/Logging_0188/tillsyn/A 37522-2022 tillsynsbegäran.docx", "A 37522-2022")</f>
        <v/>
      </c>
      <c r="Y132">
        <f>HYPERLINK("https://klasma.github.io/Logging_0188/tillsynsmail/A 37522-2022 tillsynsbegäran mail.docx", "A 37522-2022")</f>
        <v/>
      </c>
    </row>
    <row r="133" ht="15" customHeight="1">
      <c r="A133" t="inlineStr">
        <is>
          <t>A 40672-2022</t>
        </is>
      </c>
      <c r="B133" s="1" t="n">
        <v>44824</v>
      </c>
      <c r="C133" s="1" t="n">
        <v>45583</v>
      </c>
      <c r="D133" t="inlineStr">
        <is>
          <t>STOCKHOLMS LÄN</t>
        </is>
      </c>
      <c r="E133" t="inlineStr">
        <is>
          <t>NORRTÄLJE</t>
        </is>
      </c>
      <c r="F133" t="inlineStr">
        <is>
          <t>Övriga Aktiebolag</t>
        </is>
      </c>
      <c r="G133" t="n">
        <v>1.3</v>
      </c>
      <c r="H133" t="n">
        <v>0</v>
      </c>
      <c r="I133" t="n">
        <v>0</v>
      </c>
      <c r="J133" t="n">
        <v>1</v>
      </c>
      <c r="K133" t="n">
        <v>0</v>
      </c>
      <c r="L133" t="n">
        <v>0</v>
      </c>
      <c r="M133" t="n">
        <v>0</v>
      </c>
      <c r="N133" t="n">
        <v>0</v>
      </c>
      <c r="O133" t="n">
        <v>1</v>
      </c>
      <c r="P133" t="n">
        <v>0</v>
      </c>
      <c r="Q133" t="n">
        <v>1</v>
      </c>
      <c r="R133" s="2" t="inlineStr">
        <is>
          <t>Månlåsbräken</t>
        </is>
      </c>
      <c r="S133">
        <f>HYPERLINK("https://klasma.github.io/Logging_0188/artfynd/A 40672-2022 artfynd.xlsx", "A 40672-2022")</f>
        <v/>
      </c>
      <c r="T133">
        <f>HYPERLINK("https://klasma.github.io/Logging_0188/kartor/A 40672-2022 karta.png", "A 40672-2022")</f>
        <v/>
      </c>
      <c r="V133">
        <f>HYPERLINK("https://klasma.github.io/Logging_0188/klagomål/A 40672-2022 FSC-klagomål.docx", "A 40672-2022")</f>
        <v/>
      </c>
      <c r="W133">
        <f>HYPERLINK("https://klasma.github.io/Logging_0188/klagomålsmail/A 40672-2022 FSC-klagomål mail.docx", "A 40672-2022")</f>
        <v/>
      </c>
      <c r="X133">
        <f>HYPERLINK("https://klasma.github.io/Logging_0188/tillsyn/A 40672-2022 tillsynsbegäran.docx", "A 40672-2022")</f>
        <v/>
      </c>
      <c r="Y133">
        <f>HYPERLINK("https://klasma.github.io/Logging_0188/tillsynsmail/A 40672-2022 tillsynsbegäran mail.docx", "A 40672-2022")</f>
        <v/>
      </c>
    </row>
    <row r="134" ht="15" customHeight="1">
      <c r="A134" t="inlineStr">
        <is>
          <t>A 44709-2022</t>
        </is>
      </c>
      <c r="B134" s="1" t="n">
        <v>44839</v>
      </c>
      <c r="C134" s="1" t="n">
        <v>45583</v>
      </c>
      <c r="D134" t="inlineStr">
        <is>
          <t>STOCKHOLMS LÄN</t>
        </is>
      </c>
      <c r="E134" t="inlineStr">
        <is>
          <t>NORRTÄLJE</t>
        </is>
      </c>
      <c r="G134" t="n">
        <v>16.3</v>
      </c>
      <c r="H134" t="n">
        <v>0</v>
      </c>
      <c r="I134" t="n">
        <v>0</v>
      </c>
      <c r="J134" t="n">
        <v>1</v>
      </c>
      <c r="K134" t="n">
        <v>0</v>
      </c>
      <c r="L134" t="n">
        <v>0</v>
      </c>
      <c r="M134" t="n">
        <v>0</v>
      </c>
      <c r="N134" t="n">
        <v>0</v>
      </c>
      <c r="O134" t="n">
        <v>1</v>
      </c>
      <c r="P134" t="n">
        <v>0</v>
      </c>
      <c r="Q134" t="n">
        <v>1</v>
      </c>
      <c r="R134" s="2" t="inlineStr">
        <is>
          <t>Asppraktbagge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row>
    <row r="135" ht="15" customHeight="1">
      <c r="A135" t="inlineStr">
        <is>
          <t>A 47898-2022</t>
        </is>
      </c>
      <c r="B135" s="1" t="n">
        <v>44855</v>
      </c>
      <c r="C135" s="1" t="n">
        <v>45583</v>
      </c>
      <c r="D135" t="inlineStr">
        <is>
          <t>STOCKHOLMS LÄN</t>
        </is>
      </c>
      <c r="E135" t="inlineStr">
        <is>
          <t>NORRTÄLJE</t>
        </is>
      </c>
      <c r="G135" t="n">
        <v>6.7</v>
      </c>
      <c r="H135" t="n">
        <v>1</v>
      </c>
      <c r="I135" t="n">
        <v>1</v>
      </c>
      <c r="J135" t="n">
        <v>0</v>
      </c>
      <c r="K135" t="n">
        <v>0</v>
      </c>
      <c r="L135" t="n">
        <v>0</v>
      </c>
      <c r="M135" t="n">
        <v>0</v>
      </c>
      <c r="N135" t="n">
        <v>0</v>
      </c>
      <c r="O135" t="n">
        <v>0</v>
      </c>
      <c r="P135" t="n">
        <v>0</v>
      </c>
      <c r="Q135" t="n">
        <v>1</v>
      </c>
      <c r="R135" s="2" t="inlineStr">
        <is>
          <t>Guckusko</t>
        </is>
      </c>
      <c r="S135">
        <f>HYPERLINK("https://klasma.github.io/Logging_0188/artfynd/A 47898-2022 artfynd.xlsx", "A 47898-2022")</f>
        <v/>
      </c>
      <c r="T135">
        <f>HYPERLINK("https://klasma.github.io/Logging_0188/kartor/A 47898-2022 karta.png", "A 47898-2022")</f>
        <v/>
      </c>
      <c r="V135">
        <f>HYPERLINK("https://klasma.github.io/Logging_0188/klagomål/A 47898-2022 FSC-klagomål.docx", "A 47898-2022")</f>
        <v/>
      </c>
      <c r="W135">
        <f>HYPERLINK("https://klasma.github.io/Logging_0188/klagomålsmail/A 47898-2022 FSC-klagomål mail.docx", "A 47898-2022")</f>
        <v/>
      </c>
      <c r="X135">
        <f>HYPERLINK("https://klasma.github.io/Logging_0188/tillsyn/A 47898-2022 tillsynsbegäran.docx", "A 47898-2022")</f>
        <v/>
      </c>
      <c r="Y135">
        <f>HYPERLINK("https://klasma.github.io/Logging_0188/tillsynsmail/A 47898-2022 tillsynsbegäran mail.docx", "A 47898-2022")</f>
        <v/>
      </c>
    </row>
    <row r="136" ht="15" customHeight="1">
      <c r="A136" t="inlineStr">
        <is>
          <t>A 50854-2022</t>
        </is>
      </c>
      <c r="B136" s="1" t="n">
        <v>44863</v>
      </c>
      <c r="C136" s="1" t="n">
        <v>45583</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52130-2022</t>
        </is>
      </c>
      <c r="B137" s="1" t="n">
        <v>44868</v>
      </c>
      <c r="C137" s="1" t="n">
        <v>45583</v>
      </c>
      <c r="D137" t="inlineStr">
        <is>
          <t>STOCKHOLMS LÄN</t>
        </is>
      </c>
      <c r="E137" t="inlineStr">
        <is>
          <t>NORRTÄLJE</t>
        </is>
      </c>
      <c r="G137" t="n">
        <v>3.7</v>
      </c>
      <c r="H137" t="n">
        <v>0</v>
      </c>
      <c r="I137" t="n">
        <v>0</v>
      </c>
      <c r="J137" t="n">
        <v>1</v>
      </c>
      <c r="K137" t="n">
        <v>0</v>
      </c>
      <c r="L137" t="n">
        <v>0</v>
      </c>
      <c r="M137" t="n">
        <v>0</v>
      </c>
      <c r="N137" t="n">
        <v>0</v>
      </c>
      <c r="O137" t="n">
        <v>1</v>
      </c>
      <c r="P137" t="n">
        <v>0</v>
      </c>
      <c r="Q137" t="n">
        <v>1</v>
      </c>
      <c r="R137" s="2" t="inlineStr">
        <is>
          <t>Flattoppad klubbsvamp</t>
        </is>
      </c>
      <c r="S137">
        <f>HYPERLINK("https://klasma.github.io/Logging_0188/artfynd/A 52130-2022 artfynd.xlsx", "A 52130-2022")</f>
        <v/>
      </c>
      <c r="T137">
        <f>HYPERLINK("https://klasma.github.io/Logging_0188/kartor/A 52130-2022 karta.png", "A 52130-2022")</f>
        <v/>
      </c>
      <c r="V137">
        <f>HYPERLINK("https://klasma.github.io/Logging_0188/klagomål/A 52130-2022 FSC-klagomål.docx", "A 52130-2022")</f>
        <v/>
      </c>
      <c r="W137">
        <f>HYPERLINK("https://klasma.github.io/Logging_0188/klagomålsmail/A 52130-2022 FSC-klagomål mail.docx", "A 52130-2022")</f>
        <v/>
      </c>
      <c r="X137">
        <f>HYPERLINK("https://klasma.github.io/Logging_0188/tillsyn/A 52130-2022 tillsynsbegäran.docx", "A 52130-2022")</f>
        <v/>
      </c>
      <c r="Y137">
        <f>HYPERLINK("https://klasma.github.io/Logging_0188/tillsynsmail/A 52130-2022 tillsynsbegäran mail.docx", "A 52130-2022")</f>
        <v/>
      </c>
    </row>
    <row r="138" ht="15" customHeight="1">
      <c r="A138" t="inlineStr">
        <is>
          <t>A 61011-2022</t>
        </is>
      </c>
      <c r="B138" s="1" t="n">
        <v>44914</v>
      </c>
      <c r="C138" s="1" t="n">
        <v>45583</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Orange taggsvamp</t>
        </is>
      </c>
      <c r="S138">
        <f>HYPERLINK("https://klasma.github.io/Logging_0188/artfynd/A 61011-2022 artfynd.xlsx", "A 61011-2022")</f>
        <v/>
      </c>
      <c r="T138">
        <f>HYPERLINK("https://klasma.github.io/Logging_0188/kartor/A 61011-2022 karta.png", "A 61011-2022")</f>
        <v/>
      </c>
      <c r="V138">
        <f>HYPERLINK("https://klasma.github.io/Logging_0188/klagomål/A 61011-2022 FSC-klagomål.docx", "A 61011-2022")</f>
        <v/>
      </c>
      <c r="W138">
        <f>HYPERLINK("https://klasma.github.io/Logging_0188/klagomålsmail/A 61011-2022 FSC-klagomål mail.docx", "A 61011-2022")</f>
        <v/>
      </c>
      <c r="X138">
        <f>HYPERLINK("https://klasma.github.io/Logging_0188/tillsyn/A 61011-2022 tillsynsbegäran.docx", "A 61011-2022")</f>
        <v/>
      </c>
      <c r="Y138">
        <f>HYPERLINK("https://klasma.github.io/Logging_0188/tillsynsmail/A 61011-2022 tillsynsbegäran mail.docx", "A 61011-2022")</f>
        <v/>
      </c>
    </row>
    <row r="139" ht="15" customHeight="1">
      <c r="A139" t="inlineStr">
        <is>
          <t>A 4385-2023</t>
        </is>
      </c>
      <c r="B139" s="1" t="n">
        <v>44955</v>
      </c>
      <c r="C139" s="1" t="n">
        <v>45583</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4595-2023</t>
        </is>
      </c>
      <c r="B140" s="1" t="n">
        <v>44956</v>
      </c>
      <c r="C140" s="1" t="n">
        <v>45583</v>
      </c>
      <c r="D140" t="inlineStr">
        <is>
          <t>STOCKHOLMS LÄN</t>
        </is>
      </c>
      <c r="E140" t="inlineStr">
        <is>
          <t>NORRTÄLJE</t>
        </is>
      </c>
      <c r="G140" t="n">
        <v>0.6</v>
      </c>
      <c r="H140" t="n">
        <v>1</v>
      </c>
      <c r="I140" t="n">
        <v>0</v>
      </c>
      <c r="J140" t="n">
        <v>0</v>
      </c>
      <c r="K140" t="n">
        <v>0</v>
      </c>
      <c r="L140" t="n">
        <v>0</v>
      </c>
      <c r="M140" t="n">
        <v>0</v>
      </c>
      <c r="N140" t="n">
        <v>0</v>
      </c>
      <c r="O140" t="n">
        <v>0</v>
      </c>
      <c r="P140" t="n">
        <v>0</v>
      </c>
      <c r="Q140" t="n">
        <v>1</v>
      </c>
      <c r="R140" s="2" t="inlineStr">
        <is>
          <t>Blåsippa</t>
        </is>
      </c>
      <c r="S140">
        <f>HYPERLINK("https://klasma.github.io/Logging_0188/artfynd/A 4595-2023 artfynd.xlsx", "A 4595-2023")</f>
        <v/>
      </c>
      <c r="T140">
        <f>HYPERLINK("https://klasma.github.io/Logging_0188/kartor/A 4595-2023 karta.png", "A 4595-2023")</f>
        <v/>
      </c>
      <c r="V140">
        <f>HYPERLINK("https://klasma.github.io/Logging_0188/klagomål/A 4595-2023 FSC-klagomål.docx", "A 4595-2023")</f>
        <v/>
      </c>
      <c r="W140">
        <f>HYPERLINK("https://klasma.github.io/Logging_0188/klagomålsmail/A 4595-2023 FSC-klagomål mail.docx", "A 4595-2023")</f>
        <v/>
      </c>
      <c r="X140">
        <f>HYPERLINK("https://klasma.github.io/Logging_0188/tillsyn/A 4595-2023 tillsynsbegäran.docx", "A 4595-2023")</f>
        <v/>
      </c>
      <c r="Y140">
        <f>HYPERLINK("https://klasma.github.io/Logging_0188/tillsynsmail/A 4595-2023 tillsynsbegäran mail.docx", "A 4595-2023")</f>
        <v/>
      </c>
    </row>
    <row r="141" ht="15" customHeight="1">
      <c r="A141" t="inlineStr">
        <is>
          <t>A 6381-2023</t>
        </is>
      </c>
      <c r="B141" s="1" t="n">
        <v>44965</v>
      </c>
      <c r="C141" s="1" t="n">
        <v>45583</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9214-2023</t>
        </is>
      </c>
      <c r="B142" s="1" t="n">
        <v>44980</v>
      </c>
      <c r="C142" s="1" t="n">
        <v>45583</v>
      </c>
      <c r="D142" t="inlineStr">
        <is>
          <t>STOCKHOLMS LÄN</t>
        </is>
      </c>
      <c r="E142" t="inlineStr">
        <is>
          <t>NORRTÄLJE</t>
        </is>
      </c>
      <c r="G142" t="n">
        <v>10.6</v>
      </c>
      <c r="H142" t="n">
        <v>1</v>
      </c>
      <c r="I142" t="n">
        <v>1</v>
      </c>
      <c r="J142" t="n">
        <v>0</v>
      </c>
      <c r="K142" t="n">
        <v>0</v>
      </c>
      <c r="L142" t="n">
        <v>0</v>
      </c>
      <c r="M142" t="n">
        <v>0</v>
      </c>
      <c r="N142" t="n">
        <v>0</v>
      </c>
      <c r="O142" t="n">
        <v>0</v>
      </c>
      <c r="P142" t="n">
        <v>0</v>
      </c>
      <c r="Q142" t="n">
        <v>1</v>
      </c>
      <c r="R142" s="2" t="inlineStr">
        <is>
          <t>Guckusko</t>
        </is>
      </c>
      <c r="S142">
        <f>HYPERLINK("https://klasma.github.io/Logging_0188/artfynd/A 9214-2023 artfynd.xlsx", "A 9214-2023")</f>
        <v/>
      </c>
      <c r="T142">
        <f>HYPERLINK("https://klasma.github.io/Logging_0188/kartor/A 9214-2023 karta.png", "A 9214-2023")</f>
        <v/>
      </c>
      <c r="V142">
        <f>HYPERLINK("https://klasma.github.io/Logging_0188/klagomål/A 9214-2023 FSC-klagomål.docx", "A 9214-2023")</f>
        <v/>
      </c>
      <c r="W142">
        <f>HYPERLINK("https://klasma.github.io/Logging_0188/klagomålsmail/A 9214-2023 FSC-klagomål mail.docx", "A 9214-2023")</f>
        <v/>
      </c>
      <c r="X142">
        <f>HYPERLINK("https://klasma.github.io/Logging_0188/tillsyn/A 9214-2023 tillsynsbegäran.docx", "A 9214-2023")</f>
        <v/>
      </c>
      <c r="Y142">
        <f>HYPERLINK("https://klasma.github.io/Logging_0188/tillsynsmail/A 9214-2023 tillsynsbegäran mail.docx", "A 9214-2023")</f>
        <v/>
      </c>
    </row>
    <row r="143" ht="15" customHeight="1">
      <c r="A143" t="inlineStr">
        <is>
          <t>A 9271-2023</t>
        </is>
      </c>
      <c r="B143" s="1" t="n">
        <v>44980</v>
      </c>
      <c r="C143" s="1" t="n">
        <v>45583</v>
      </c>
      <c r="D143" t="inlineStr">
        <is>
          <t>STOCKHOLMS LÄN</t>
        </is>
      </c>
      <c r="E143" t="inlineStr">
        <is>
          <t>NORRTÄLJE</t>
        </is>
      </c>
      <c r="G143" t="n">
        <v>5.3</v>
      </c>
      <c r="H143" t="n">
        <v>1</v>
      </c>
      <c r="I143" t="n">
        <v>0</v>
      </c>
      <c r="J143" t="n">
        <v>0</v>
      </c>
      <c r="K143" t="n">
        <v>1</v>
      </c>
      <c r="L143" t="n">
        <v>0</v>
      </c>
      <c r="M143" t="n">
        <v>0</v>
      </c>
      <c r="N143" t="n">
        <v>0</v>
      </c>
      <c r="O143" t="n">
        <v>1</v>
      </c>
      <c r="P143" t="n">
        <v>1</v>
      </c>
      <c r="Q143" t="n">
        <v>1</v>
      </c>
      <c r="R143" s="2" t="inlineStr">
        <is>
          <t>Hällebräcka</t>
        </is>
      </c>
      <c r="S143">
        <f>HYPERLINK("https://klasma.github.io/Logging_0188/artfynd/A 9271-2023 artfynd.xlsx", "A 9271-2023")</f>
        <v/>
      </c>
      <c r="T143">
        <f>HYPERLINK("https://klasma.github.io/Logging_0188/kartor/A 9271-2023 karta.png", "A 9271-2023")</f>
        <v/>
      </c>
      <c r="V143">
        <f>HYPERLINK("https://klasma.github.io/Logging_0188/klagomål/A 9271-2023 FSC-klagomål.docx", "A 9271-2023")</f>
        <v/>
      </c>
      <c r="W143">
        <f>HYPERLINK("https://klasma.github.io/Logging_0188/klagomålsmail/A 9271-2023 FSC-klagomål mail.docx", "A 9271-2023")</f>
        <v/>
      </c>
      <c r="X143">
        <f>HYPERLINK("https://klasma.github.io/Logging_0188/tillsyn/A 9271-2023 tillsynsbegäran.docx", "A 9271-2023")</f>
        <v/>
      </c>
      <c r="Y143">
        <f>HYPERLINK("https://klasma.github.io/Logging_0188/tillsynsmail/A 9271-2023 tillsynsbegäran mail.docx", "A 9271-2023")</f>
        <v/>
      </c>
    </row>
    <row r="144" ht="15" customHeight="1">
      <c r="A144" t="inlineStr">
        <is>
          <t>A 9522-2023</t>
        </is>
      </c>
      <c r="B144" s="1" t="n">
        <v>44981</v>
      </c>
      <c r="C144" s="1" t="n">
        <v>45583</v>
      </c>
      <c r="D144" t="inlineStr">
        <is>
          <t>STOCKHOLMS LÄN</t>
        </is>
      </c>
      <c r="E144" t="inlineStr">
        <is>
          <t>NORRTÄLJE</t>
        </is>
      </c>
      <c r="F144" t="inlineStr">
        <is>
          <t>Holmen skog AB</t>
        </is>
      </c>
      <c r="G144" t="n">
        <v>7.5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9522-2023 artfynd.xlsx", "A 9522-2023")</f>
        <v/>
      </c>
      <c r="T144">
        <f>HYPERLINK("https://klasma.github.io/Logging_0188/kartor/A 9522-2023 karta.png", "A 9522-2023")</f>
        <v/>
      </c>
      <c r="V144">
        <f>HYPERLINK("https://klasma.github.io/Logging_0188/klagomål/A 9522-2023 FSC-klagomål.docx", "A 9522-2023")</f>
        <v/>
      </c>
      <c r="W144">
        <f>HYPERLINK("https://klasma.github.io/Logging_0188/klagomålsmail/A 9522-2023 FSC-klagomål mail.docx", "A 9522-2023")</f>
        <v/>
      </c>
      <c r="X144">
        <f>HYPERLINK("https://klasma.github.io/Logging_0188/tillsyn/A 9522-2023 tillsynsbegäran.docx", "A 9522-2023")</f>
        <v/>
      </c>
      <c r="Y144">
        <f>HYPERLINK("https://klasma.github.io/Logging_0188/tillsynsmail/A 9522-2023 tillsynsbegäran mail.docx", "A 9522-2023")</f>
        <v/>
      </c>
    </row>
    <row r="145" ht="15" customHeight="1">
      <c r="A145" t="inlineStr">
        <is>
          <t>A 10019-2023</t>
        </is>
      </c>
      <c r="B145" s="1" t="n">
        <v>44985</v>
      </c>
      <c r="C145" s="1" t="n">
        <v>45583</v>
      </c>
      <c r="D145" t="inlineStr">
        <is>
          <t>STOCKHOLMS LÄN</t>
        </is>
      </c>
      <c r="E145" t="inlineStr">
        <is>
          <t>NORRTÄLJE</t>
        </is>
      </c>
      <c r="G145" t="n">
        <v>8.4</v>
      </c>
      <c r="H145" t="n">
        <v>0</v>
      </c>
      <c r="I145" t="n">
        <v>1</v>
      </c>
      <c r="J145" t="n">
        <v>0</v>
      </c>
      <c r="K145" t="n">
        <v>0</v>
      </c>
      <c r="L145" t="n">
        <v>0</v>
      </c>
      <c r="M145" t="n">
        <v>0</v>
      </c>
      <c r="N145" t="n">
        <v>0</v>
      </c>
      <c r="O145" t="n">
        <v>0</v>
      </c>
      <c r="P145" t="n">
        <v>0</v>
      </c>
      <c r="Q145" t="n">
        <v>1</v>
      </c>
      <c r="R145" s="2" t="inlineStr">
        <is>
          <t>Underviol</t>
        </is>
      </c>
      <c r="S145">
        <f>HYPERLINK("https://klasma.github.io/Logging_0188/artfynd/A 10019-2023 artfynd.xlsx", "A 10019-2023")</f>
        <v/>
      </c>
      <c r="T145">
        <f>HYPERLINK("https://klasma.github.io/Logging_0188/kartor/A 10019-2023 karta.png", "A 10019-2023")</f>
        <v/>
      </c>
      <c r="V145">
        <f>HYPERLINK("https://klasma.github.io/Logging_0188/klagomål/A 10019-2023 FSC-klagomål.docx", "A 10019-2023")</f>
        <v/>
      </c>
      <c r="W145">
        <f>HYPERLINK("https://klasma.github.io/Logging_0188/klagomålsmail/A 10019-2023 FSC-klagomål mail.docx", "A 10019-2023")</f>
        <v/>
      </c>
      <c r="X145">
        <f>HYPERLINK("https://klasma.github.io/Logging_0188/tillsyn/A 10019-2023 tillsynsbegäran.docx", "A 10019-2023")</f>
        <v/>
      </c>
      <c r="Y145">
        <f>HYPERLINK("https://klasma.github.io/Logging_0188/tillsynsmail/A 10019-2023 tillsynsbegäran mail.docx", "A 10019-2023")</f>
        <v/>
      </c>
    </row>
    <row r="146" ht="15" customHeight="1">
      <c r="A146" t="inlineStr">
        <is>
          <t>A 11429-2023</t>
        </is>
      </c>
      <c r="B146" s="1" t="n">
        <v>44993</v>
      </c>
      <c r="C146" s="1" t="n">
        <v>45583</v>
      </c>
      <c r="D146" t="inlineStr">
        <is>
          <t>STOCKHOLMS LÄN</t>
        </is>
      </c>
      <c r="E146" t="inlineStr">
        <is>
          <t>NORRTÄLJE</t>
        </is>
      </c>
      <c r="G146" t="n">
        <v>2</v>
      </c>
      <c r="H146" t="n">
        <v>0</v>
      </c>
      <c r="I146" t="n">
        <v>0</v>
      </c>
      <c r="J146" t="n">
        <v>1</v>
      </c>
      <c r="K146" t="n">
        <v>0</v>
      </c>
      <c r="L146" t="n">
        <v>0</v>
      </c>
      <c r="M146" t="n">
        <v>0</v>
      </c>
      <c r="N146" t="n">
        <v>0</v>
      </c>
      <c r="O146" t="n">
        <v>1</v>
      </c>
      <c r="P146" t="n">
        <v>0</v>
      </c>
      <c r="Q146" t="n">
        <v>1</v>
      </c>
      <c r="R146" s="2" t="inlineStr">
        <is>
          <t>Skogsklocka</t>
        </is>
      </c>
      <c r="S146">
        <f>HYPERLINK("https://klasma.github.io/Logging_0188/artfynd/A 11429-2023 artfynd.xlsx", "A 11429-2023")</f>
        <v/>
      </c>
      <c r="T146">
        <f>HYPERLINK("https://klasma.github.io/Logging_0188/kartor/A 11429-2023 karta.png", "A 11429-2023")</f>
        <v/>
      </c>
      <c r="V146">
        <f>HYPERLINK("https://klasma.github.io/Logging_0188/klagomål/A 11429-2023 FSC-klagomål.docx", "A 11429-2023")</f>
        <v/>
      </c>
      <c r="W146">
        <f>HYPERLINK("https://klasma.github.io/Logging_0188/klagomålsmail/A 11429-2023 FSC-klagomål mail.docx", "A 11429-2023")</f>
        <v/>
      </c>
      <c r="X146">
        <f>HYPERLINK("https://klasma.github.io/Logging_0188/tillsyn/A 11429-2023 tillsynsbegäran.docx", "A 11429-2023")</f>
        <v/>
      </c>
      <c r="Y146">
        <f>HYPERLINK("https://klasma.github.io/Logging_0188/tillsynsmail/A 11429-2023 tillsynsbegäran mail.docx", "A 11429-2023")</f>
        <v/>
      </c>
    </row>
    <row r="147" ht="15" customHeight="1">
      <c r="A147" t="inlineStr">
        <is>
          <t>A 12442-2023</t>
        </is>
      </c>
      <c r="B147" s="1" t="n">
        <v>44999</v>
      </c>
      <c r="C147" s="1" t="n">
        <v>45583</v>
      </c>
      <c r="D147" t="inlineStr">
        <is>
          <t>STOCKHOLMS LÄN</t>
        </is>
      </c>
      <c r="E147" t="inlineStr">
        <is>
          <t>NORRTÄLJE</t>
        </is>
      </c>
      <c r="G147" t="n">
        <v>1.9</v>
      </c>
      <c r="H147" t="n">
        <v>1</v>
      </c>
      <c r="I147" t="n">
        <v>0</v>
      </c>
      <c r="J147" t="n">
        <v>0</v>
      </c>
      <c r="K147" t="n">
        <v>0</v>
      </c>
      <c r="L147" t="n">
        <v>0</v>
      </c>
      <c r="M147" t="n">
        <v>0</v>
      </c>
      <c r="N147" t="n">
        <v>0</v>
      </c>
      <c r="O147" t="n">
        <v>0</v>
      </c>
      <c r="P147" t="n">
        <v>0</v>
      </c>
      <c r="Q147" t="n">
        <v>1</v>
      </c>
      <c r="R147" s="2" t="inlineStr">
        <is>
          <t>Gullviva</t>
        </is>
      </c>
      <c r="S147">
        <f>HYPERLINK("https://klasma.github.io/Logging_0188/artfynd/A 12442-2023 artfynd.xlsx", "A 12442-2023")</f>
        <v/>
      </c>
      <c r="T147">
        <f>HYPERLINK("https://klasma.github.io/Logging_0188/kartor/A 12442-2023 karta.png", "A 12442-2023")</f>
        <v/>
      </c>
      <c r="V147">
        <f>HYPERLINK("https://klasma.github.io/Logging_0188/klagomål/A 12442-2023 FSC-klagomål.docx", "A 12442-2023")</f>
        <v/>
      </c>
      <c r="W147">
        <f>HYPERLINK("https://klasma.github.io/Logging_0188/klagomålsmail/A 12442-2023 FSC-klagomål mail.docx", "A 12442-2023")</f>
        <v/>
      </c>
      <c r="X147">
        <f>HYPERLINK("https://klasma.github.io/Logging_0188/tillsyn/A 12442-2023 tillsynsbegäran.docx", "A 12442-2023")</f>
        <v/>
      </c>
      <c r="Y147">
        <f>HYPERLINK("https://klasma.github.io/Logging_0188/tillsynsmail/A 12442-2023 tillsynsbegäran mail.docx", "A 12442-2023")</f>
        <v/>
      </c>
    </row>
    <row r="148" ht="15" customHeight="1">
      <c r="A148" t="inlineStr">
        <is>
          <t>A 15644-2023</t>
        </is>
      </c>
      <c r="B148" s="1" t="n">
        <v>45021</v>
      </c>
      <c r="C148" s="1" t="n">
        <v>45583</v>
      </c>
      <c r="D148" t="inlineStr">
        <is>
          <t>STOCKHOLMS LÄN</t>
        </is>
      </c>
      <c r="E148" t="inlineStr">
        <is>
          <t>NORRTÄLJE</t>
        </is>
      </c>
      <c r="F148" t="inlineStr">
        <is>
          <t>Holmen skog AB</t>
        </is>
      </c>
      <c r="G148" t="n">
        <v>13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15644-2023 artfynd.xlsx", "A 15644-2023")</f>
        <v/>
      </c>
      <c r="T148">
        <f>HYPERLINK("https://klasma.github.io/Logging_0188/kartor/A 15644-2023 karta.png", "A 15644-2023")</f>
        <v/>
      </c>
      <c r="V148">
        <f>HYPERLINK("https://klasma.github.io/Logging_0188/klagomål/A 15644-2023 FSC-klagomål.docx", "A 15644-2023")</f>
        <v/>
      </c>
      <c r="W148">
        <f>HYPERLINK("https://klasma.github.io/Logging_0188/klagomålsmail/A 15644-2023 FSC-klagomål mail.docx", "A 15644-2023")</f>
        <v/>
      </c>
      <c r="X148">
        <f>HYPERLINK("https://klasma.github.io/Logging_0188/tillsyn/A 15644-2023 tillsynsbegäran.docx", "A 15644-2023")</f>
        <v/>
      </c>
      <c r="Y148">
        <f>HYPERLINK("https://klasma.github.io/Logging_0188/tillsynsmail/A 15644-2023 tillsynsbegäran mail.docx", "A 15644-2023")</f>
        <v/>
      </c>
    </row>
    <row r="149" ht="15" customHeight="1">
      <c r="A149" t="inlineStr">
        <is>
          <t>A 18216-2023</t>
        </is>
      </c>
      <c r="B149" s="1" t="n">
        <v>45041</v>
      </c>
      <c r="C149" s="1" t="n">
        <v>45583</v>
      </c>
      <c r="D149" t="inlineStr">
        <is>
          <t>STOCKHOLMS LÄN</t>
        </is>
      </c>
      <c r="E149" t="inlineStr">
        <is>
          <t>NORRTÄLJE</t>
        </is>
      </c>
      <c r="F149" t="inlineStr">
        <is>
          <t>Holmen skog AB</t>
        </is>
      </c>
      <c r="G149" t="n">
        <v>1.9</v>
      </c>
      <c r="H149" t="n">
        <v>0</v>
      </c>
      <c r="I149" t="n">
        <v>1</v>
      </c>
      <c r="J149" t="n">
        <v>0</v>
      </c>
      <c r="K149" t="n">
        <v>0</v>
      </c>
      <c r="L149" t="n">
        <v>0</v>
      </c>
      <c r="M149" t="n">
        <v>0</v>
      </c>
      <c r="N149" t="n">
        <v>0</v>
      </c>
      <c r="O149" t="n">
        <v>0</v>
      </c>
      <c r="P149" t="n">
        <v>0</v>
      </c>
      <c r="Q149" t="n">
        <v>1</v>
      </c>
      <c r="R149" s="2" t="inlineStr">
        <is>
          <t>Vårärt</t>
        </is>
      </c>
      <c r="S149">
        <f>HYPERLINK("https://klasma.github.io/Logging_0188/artfynd/A 18216-2023 artfynd.xlsx", "A 18216-2023")</f>
        <v/>
      </c>
      <c r="T149">
        <f>HYPERLINK("https://klasma.github.io/Logging_0188/kartor/A 18216-2023 karta.png", "A 18216-2023")</f>
        <v/>
      </c>
      <c r="V149">
        <f>HYPERLINK("https://klasma.github.io/Logging_0188/klagomål/A 18216-2023 FSC-klagomål.docx", "A 18216-2023")</f>
        <v/>
      </c>
      <c r="W149">
        <f>HYPERLINK("https://klasma.github.io/Logging_0188/klagomålsmail/A 18216-2023 FSC-klagomål mail.docx", "A 18216-2023")</f>
        <v/>
      </c>
      <c r="X149">
        <f>HYPERLINK("https://klasma.github.io/Logging_0188/tillsyn/A 18216-2023 tillsynsbegäran.docx", "A 18216-2023")</f>
        <v/>
      </c>
      <c r="Y149">
        <f>HYPERLINK("https://klasma.github.io/Logging_0188/tillsynsmail/A 18216-2023 tillsynsbegäran mail.docx", "A 18216-2023")</f>
        <v/>
      </c>
    </row>
    <row r="150" ht="15" customHeight="1">
      <c r="A150" t="inlineStr">
        <is>
          <t>A 21431-2023</t>
        </is>
      </c>
      <c r="B150" s="1" t="n">
        <v>45063</v>
      </c>
      <c r="C150" s="1" t="n">
        <v>45583</v>
      </c>
      <c r="D150" t="inlineStr">
        <is>
          <t>STOCKHOLMS LÄN</t>
        </is>
      </c>
      <c r="E150" t="inlineStr">
        <is>
          <t>NORRTÄLJE</t>
        </is>
      </c>
      <c r="F150" t="inlineStr">
        <is>
          <t>Holmen skog AB</t>
        </is>
      </c>
      <c r="G150" t="n">
        <v>4</v>
      </c>
      <c r="H150" t="n">
        <v>1</v>
      </c>
      <c r="I150" t="n">
        <v>1</v>
      </c>
      <c r="J150" t="n">
        <v>0</v>
      </c>
      <c r="K150" t="n">
        <v>0</v>
      </c>
      <c r="L150" t="n">
        <v>0</v>
      </c>
      <c r="M150" t="n">
        <v>0</v>
      </c>
      <c r="N150" t="n">
        <v>0</v>
      </c>
      <c r="O150" t="n">
        <v>0</v>
      </c>
      <c r="P150" t="n">
        <v>0</v>
      </c>
      <c r="Q150" t="n">
        <v>1</v>
      </c>
      <c r="R150" s="2" t="inlineStr">
        <is>
          <t>Nästrot</t>
        </is>
      </c>
      <c r="S150">
        <f>HYPERLINK("https://klasma.github.io/Logging_0188/artfynd/A 21431-2023 artfynd.xlsx", "A 21431-2023")</f>
        <v/>
      </c>
      <c r="T150">
        <f>HYPERLINK("https://klasma.github.io/Logging_0188/kartor/A 21431-2023 karta.png", "A 21431-2023")</f>
        <v/>
      </c>
      <c r="V150">
        <f>HYPERLINK("https://klasma.github.io/Logging_0188/klagomål/A 21431-2023 FSC-klagomål.docx", "A 21431-2023")</f>
        <v/>
      </c>
      <c r="W150">
        <f>HYPERLINK("https://klasma.github.io/Logging_0188/klagomålsmail/A 21431-2023 FSC-klagomål mail.docx", "A 21431-2023")</f>
        <v/>
      </c>
      <c r="X150">
        <f>HYPERLINK("https://klasma.github.io/Logging_0188/tillsyn/A 21431-2023 tillsynsbegäran.docx", "A 21431-2023")</f>
        <v/>
      </c>
      <c r="Y150">
        <f>HYPERLINK("https://klasma.github.io/Logging_0188/tillsynsmail/A 21431-2023 tillsynsbegäran mail.docx", "A 21431-2023")</f>
        <v/>
      </c>
    </row>
    <row r="151" ht="15" customHeight="1">
      <c r="A151" t="inlineStr">
        <is>
          <t>A 21744-2023</t>
        </is>
      </c>
      <c r="B151" s="1" t="n">
        <v>45065</v>
      </c>
      <c r="C151" s="1" t="n">
        <v>45583</v>
      </c>
      <c r="D151" t="inlineStr">
        <is>
          <t>STOCKHOLMS LÄN</t>
        </is>
      </c>
      <c r="E151" t="inlineStr">
        <is>
          <t>NORRTÄLJE</t>
        </is>
      </c>
      <c r="F151" t="inlineStr">
        <is>
          <t>Holmen skog AB</t>
        </is>
      </c>
      <c r="G151" t="n">
        <v>4.2</v>
      </c>
      <c r="H151" t="n">
        <v>0</v>
      </c>
      <c r="I151" t="n">
        <v>1</v>
      </c>
      <c r="J151" t="n">
        <v>0</v>
      </c>
      <c r="K151" t="n">
        <v>0</v>
      </c>
      <c r="L151" t="n">
        <v>0</v>
      </c>
      <c r="M151" t="n">
        <v>0</v>
      </c>
      <c r="N151" t="n">
        <v>0</v>
      </c>
      <c r="O151" t="n">
        <v>0</v>
      </c>
      <c r="P151" t="n">
        <v>0</v>
      </c>
      <c r="Q151" t="n">
        <v>1</v>
      </c>
      <c r="R151" s="2" t="inlineStr">
        <is>
          <t>Korallblylav</t>
        </is>
      </c>
      <c r="S151">
        <f>HYPERLINK("https://klasma.github.io/Logging_0188/artfynd/A 21744-2023 artfynd.xlsx", "A 21744-2023")</f>
        <v/>
      </c>
      <c r="T151">
        <f>HYPERLINK("https://klasma.github.io/Logging_0188/kartor/A 21744-2023 karta.png", "A 21744-2023")</f>
        <v/>
      </c>
      <c r="V151">
        <f>HYPERLINK("https://klasma.github.io/Logging_0188/klagomål/A 21744-2023 FSC-klagomål.docx", "A 21744-2023")</f>
        <v/>
      </c>
      <c r="W151">
        <f>HYPERLINK("https://klasma.github.io/Logging_0188/klagomålsmail/A 21744-2023 FSC-klagomål mail.docx", "A 21744-2023")</f>
        <v/>
      </c>
      <c r="X151">
        <f>HYPERLINK("https://klasma.github.io/Logging_0188/tillsyn/A 21744-2023 tillsynsbegäran.docx", "A 21744-2023")</f>
        <v/>
      </c>
      <c r="Y151">
        <f>HYPERLINK("https://klasma.github.io/Logging_0188/tillsynsmail/A 21744-2023 tillsynsbegäran mail.docx", "A 21744-2023")</f>
        <v/>
      </c>
    </row>
    <row r="152" ht="15" customHeight="1">
      <c r="A152" t="inlineStr">
        <is>
          <t>A 24535-2023</t>
        </is>
      </c>
      <c r="B152" s="1" t="n">
        <v>45082</v>
      </c>
      <c r="C152" s="1" t="n">
        <v>45583</v>
      </c>
      <c r="D152" t="inlineStr">
        <is>
          <t>STOCKHOLMS LÄN</t>
        </is>
      </c>
      <c r="E152" t="inlineStr">
        <is>
          <t>NORRTÄLJE</t>
        </is>
      </c>
      <c r="F152" t="inlineStr">
        <is>
          <t>Kommuner</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HYPERLINK("https://klasma.github.io/Logging_0188/artfynd/A 24535-2023 artfynd.xlsx", "A 24535-2023")</f>
        <v/>
      </c>
      <c r="T152">
        <f>HYPERLINK("https://klasma.github.io/Logging_0188/kartor/A 24535-2023 karta.png", "A 24535-2023")</f>
        <v/>
      </c>
      <c r="V152">
        <f>HYPERLINK("https://klasma.github.io/Logging_0188/klagomål/A 24535-2023 FSC-klagomål.docx", "A 24535-2023")</f>
        <v/>
      </c>
      <c r="W152">
        <f>HYPERLINK("https://klasma.github.io/Logging_0188/klagomålsmail/A 24535-2023 FSC-klagomål mail.docx", "A 24535-2023")</f>
        <v/>
      </c>
      <c r="X152">
        <f>HYPERLINK("https://klasma.github.io/Logging_0188/tillsyn/A 24535-2023 tillsynsbegäran.docx", "A 24535-2023")</f>
        <v/>
      </c>
      <c r="Y152">
        <f>HYPERLINK("https://klasma.github.io/Logging_0188/tillsynsmail/A 24535-2023 tillsynsbegäran mail.docx", "A 24535-2023")</f>
        <v/>
      </c>
    </row>
    <row r="153" ht="15" customHeight="1">
      <c r="A153" t="inlineStr">
        <is>
          <t>A 26635-2023</t>
        </is>
      </c>
      <c r="B153" s="1" t="n">
        <v>45092</v>
      </c>
      <c r="C153" s="1" t="n">
        <v>45583</v>
      </c>
      <c r="D153" t="inlineStr">
        <is>
          <t>STOCKHOLMS LÄN</t>
        </is>
      </c>
      <c r="E153" t="inlineStr">
        <is>
          <t>NORRTÄLJE</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HYPERLINK("https://klasma.github.io/Logging_0188/artfynd/A 26635-2023 artfynd.xlsx", "A 26635-2023")</f>
        <v/>
      </c>
      <c r="T153">
        <f>HYPERLINK("https://klasma.github.io/Logging_0188/kartor/A 26635-2023 karta.png", "A 26635-2023")</f>
        <v/>
      </c>
      <c r="V153">
        <f>HYPERLINK("https://klasma.github.io/Logging_0188/klagomål/A 26635-2023 FSC-klagomål.docx", "A 26635-2023")</f>
        <v/>
      </c>
      <c r="W153">
        <f>HYPERLINK("https://klasma.github.io/Logging_0188/klagomålsmail/A 26635-2023 FSC-klagomål mail.docx", "A 26635-2023")</f>
        <v/>
      </c>
      <c r="X153">
        <f>HYPERLINK("https://klasma.github.io/Logging_0188/tillsyn/A 26635-2023 tillsynsbegäran.docx", "A 26635-2023")</f>
        <v/>
      </c>
      <c r="Y153">
        <f>HYPERLINK("https://klasma.github.io/Logging_0188/tillsynsmail/A 26635-2023 tillsynsbegäran mail.docx", "A 26635-2023")</f>
        <v/>
      </c>
    </row>
    <row r="154" ht="15" customHeight="1">
      <c r="A154" t="inlineStr">
        <is>
          <t>A 35649-2023</t>
        </is>
      </c>
      <c r="B154" s="1" t="n">
        <v>45146</v>
      </c>
      <c r="C154" s="1" t="n">
        <v>45583</v>
      </c>
      <c r="D154" t="inlineStr">
        <is>
          <t>STOCKHOLMS LÄN</t>
        </is>
      </c>
      <c r="E154" t="inlineStr">
        <is>
          <t>NORRTÄLJE</t>
        </is>
      </c>
      <c r="G154" t="n">
        <v>25.1</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35649-2023 artfynd.xlsx", "A 35649-2023")</f>
        <v/>
      </c>
      <c r="T154">
        <f>HYPERLINK("https://klasma.github.io/Logging_0188/kartor/A 35649-2023 karta.png", "A 35649-2023")</f>
        <v/>
      </c>
      <c r="V154">
        <f>HYPERLINK("https://klasma.github.io/Logging_0188/klagomål/A 35649-2023 FSC-klagomål.docx", "A 35649-2023")</f>
        <v/>
      </c>
      <c r="W154">
        <f>HYPERLINK("https://klasma.github.io/Logging_0188/klagomålsmail/A 35649-2023 FSC-klagomål mail.docx", "A 35649-2023")</f>
        <v/>
      </c>
      <c r="X154">
        <f>HYPERLINK("https://klasma.github.io/Logging_0188/tillsyn/A 35649-2023 tillsynsbegäran.docx", "A 35649-2023")</f>
        <v/>
      </c>
      <c r="Y154">
        <f>HYPERLINK("https://klasma.github.io/Logging_0188/tillsynsmail/A 35649-2023 tillsynsbegäran mail.docx", "A 35649-2023")</f>
        <v/>
      </c>
    </row>
    <row r="155" ht="15" customHeight="1">
      <c r="A155" t="inlineStr">
        <is>
          <t>A 39255-2023</t>
        </is>
      </c>
      <c r="B155" s="1" t="n">
        <v>45166</v>
      </c>
      <c r="C155" s="1" t="n">
        <v>45583</v>
      </c>
      <c r="D155" t="inlineStr">
        <is>
          <t>STOCKHOLMS LÄN</t>
        </is>
      </c>
      <c r="E155" t="inlineStr">
        <is>
          <t>NORRTÄLJE</t>
        </is>
      </c>
      <c r="G155" t="n">
        <v>14.2</v>
      </c>
      <c r="H155" t="n">
        <v>1</v>
      </c>
      <c r="I155" t="n">
        <v>0</v>
      </c>
      <c r="J155" t="n">
        <v>0</v>
      </c>
      <c r="K155" t="n">
        <v>0</v>
      </c>
      <c r="L155" t="n">
        <v>0</v>
      </c>
      <c r="M155" t="n">
        <v>0</v>
      </c>
      <c r="N155" t="n">
        <v>0</v>
      </c>
      <c r="O155" t="n">
        <v>0</v>
      </c>
      <c r="P155" t="n">
        <v>0</v>
      </c>
      <c r="Q155" t="n">
        <v>1</v>
      </c>
      <c r="R155" s="2" t="inlineStr">
        <is>
          <t>Lopplummer</t>
        </is>
      </c>
      <c r="S155">
        <f>HYPERLINK("https://klasma.github.io/Logging_0188/artfynd/A 39255-2023 artfynd.xlsx", "A 39255-2023")</f>
        <v/>
      </c>
      <c r="T155">
        <f>HYPERLINK("https://klasma.github.io/Logging_0188/kartor/A 39255-2023 karta.png", "A 39255-2023")</f>
        <v/>
      </c>
      <c r="V155">
        <f>HYPERLINK("https://klasma.github.io/Logging_0188/klagomål/A 39255-2023 FSC-klagomål.docx", "A 39255-2023")</f>
        <v/>
      </c>
      <c r="W155">
        <f>HYPERLINK("https://klasma.github.io/Logging_0188/klagomålsmail/A 39255-2023 FSC-klagomål mail.docx", "A 39255-2023")</f>
        <v/>
      </c>
      <c r="X155">
        <f>HYPERLINK("https://klasma.github.io/Logging_0188/tillsyn/A 39255-2023 tillsynsbegäran.docx", "A 39255-2023")</f>
        <v/>
      </c>
      <c r="Y155">
        <f>HYPERLINK("https://klasma.github.io/Logging_0188/tillsynsmail/A 39255-2023 tillsynsbegäran mail.docx", "A 39255-2023")</f>
        <v/>
      </c>
    </row>
    <row r="156" ht="15" customHeight="1">
      <c r="A156" t="inlineStr">
        <is>
          <t>A 43178-2023</t>
        </is>
      </c>
      <c r="B156" s="1" t="n">
        <v>45183</v>
      </c>
      <c r="C156" s="1" t="n">
        <v>45583</v>
      </c>
      <c r="D156" t="inlineStr">
        <is>
          <t>STOCKHOLMS LÄN</t>
        </is>
      </c>
      <c r="E156" t="inlineStr">
        <is>
          <t>NORRTÄLJE</t>
        </is>
      </c>
      <c r="F156" t="inlineStr">
        <is>
          <t>Kyrkan</t>
        </is>
      </c>
      <c r="G156" t="n">
        <v>1.5</v>
      </c>
      <c r="H156" t="n">
        <v>0</v>
      </c>
      <c r="I156" t="n">
        <v>0</v>
      </c>
      <c r="J156" t="n">
        <v>1</v>
      </c>
      <c r="K156" t="n">
        <v>0</v>
      </c>
      <c r="L156" t="n">
        <v>0</v>
      </c>
      <c r="M156" t="n">
        <v>0</v>
      </c>
      <c r="N156" t="n">
        <v>0</v>
      </c>
      <c r="O156" t="n">
        <v>1</v>
      </c>
      <c r="P156" t="n">
        <v>0</v>
      </c>
      <c r="Q156" t="n">
        <v>1</v>
      </c>
      <c r="R156" s="2" t="inlineStr">
        <is>
          <t>Mindre bastardsvärmare</t>
        </is>
      </c>
      <c r="S156">
        <f>HYPERLINK("https://klasma.github.io/Logging_0188/artfynd/A 43178-2023 artfynd.xlsx", "A 43178-2023")</f>
        <v/>
      </c>
      <c r="T156">
        <f>HYPERLINK("https://klasma.github.io/Logging_0188/kartor/A 43178-2023 karta.png", "A 43178-2023")</f>
        <v/>
      </c>
      <c r="V156">
        <f>HYPERLINK("https://klasma.github.io/Logging_0188/klagomål/A 43178-2023 FSC-klagomål.docx", "A 43178-2023")</f>
        <v/>
      </c>
      <c r="W156">
        <f>HYPERLINK("https://klasma.github.io/Logging_0188/klagomålsmail/A 43178-2023 FSC-klagomål mail.docx", "A 43178-2023")</f>
        <v/>
      </c>
      <c r="X156">
        <f>HYPERLINK("https://klasma.github.io/Logging_0188/tillsyn/A 43178-2023 tillsynsbegäran.docx", "A 43178-2023")</f>
        <v/>
      </c>
      <c r="Y156">
        <f>HYPERLINK("https://klasma.github.io/Logging_0188/tillsynsmail/A 43178-2023 tillsynsbegäran mail.docx", "A 43178-2023")</f>
        <v/>
      </c>
    </row>
    <row r="157" ht="15" customHeight="1">
      <c r="A157" t="inlineStr">
        <is>
          <t>A 43171-2023</t>
        </is>
      </c>
      <c r="B157" s="1" t="n">
        <v>45183</v>
      </c>
      <c r="C157" s="1" t="n">
        <v>45583</v>
      </c>
      <c r="D157" t="inlineStr">
        <is>
          <t>STOCKHOLMS LÄN</t>
        </is>
      </c>
      <c r="E157" t="inlineStr">
        <is>
          <t>NORRTÄLJE</t>
        </is>
      </c>
      <c r="F157" t="inlineStr">
        <is>
          <t>Kyrkan</t>
        </is>
      </c>
      <c r="G157" t="n">
        <v>1.3</v>
      </c>
      <c r="H157" t="n">
        <v>0</v>
      </c>
      <c r="I157" t="n">
        <v>0</v>
      </c>
      <c r="J157" t="n">
        <v>0</v>
      </c>
      <c r="K157" t="n">
        <v>0</v>
      </c>
      <c r="L157" t="n">
        <v>1</v>
      </c>
      <c r="M157" t="n">
        <v>0</v>
      </c>
      <c r="N157" t="n">
        <v>0</v>
      </c>
      <c r="O157" t="n">
        <v>1</v>
      </c>
      <c r="P157" t="n">
        <v>1</v>
      </c>
      <c r="Q157" t="n">
        <v>1</v>
      </c>
      <c r="R157" s="2" t="inlineStr">
        <is>
          <t>Ryl</t>
        </is>
      </c>
      <c r="S157">
        <f>HYPERLINK("https://klasma.github.io/Logging_0188/artfynd/A 43171-2023 artfynd.xlsx", "A 43171-2023")</f>
        <v/>
      </c>
      <c r="T157">
        <f>HYPERLINK("https://klasma.github.io/Logging_0188/kartor/A 43171-2023 karta.png", "A 43171-2023")</f>
        <v/>
      </c>
      <c r="U157">
        <f>HYPERLINK("https://klasma.github.io/Logging_0188/knärot/A 43171-2023 karta knärot.png", "A 43171-2023")</f>
        <v/>
      </c>
      <c r="V157">
        <f>HYPERLINK("https://klasma.github.io/Logging_0188/klagomål/A 43171-2023 FSC-klagomål.docx", "A 43171-2023")</f>
        <v/>
      </c>
      <c r="W157">
        <f>HYPERLINK("https://klasma.github.io/Logging_0188/klagomålsmail/A 43171-2023 FSC-klagomål mail.docx", "A 43171-2023")</f>
        <v/>
      </c>
      <c r="X157">
        <f>HYPERLINK("https://klasma.github.io/Logging_0188/tillsyn/A 43171-2023 tillsynsbegäran.docx", "A 43171-2023")</f>
        <v/>
      </c>
      <c r="Y157">
        <f>HYPERLINK("https://klasma.github.io/Logging_0188/tillsynsmail/A 43171-2023 tillsynsbegäran mail.docx", "A 43171-2023")</f>
        <v/>
      </c>
    </row>
    <row r="158" ht="15" customHeight="1">
      <c r="A158" t="inlineStr">
        <is>
          <t>A 43350-2023</t>
        </is>
      </c>
      <c r="B158" s="1" t="n">
        <v>45183</v>
      </c>
      <c r="C158" s="1" t="n">
        <v>45583</v>
      </c>
      <c r="D158" t="inlineStr">
        <is>
          <t>STOCKHOLMS LÄN</t>
        </is>
      </c>
      <c r="E158" t="inlineStr">
        <is>
          <t>NORRTÄLJE</t>
        </is>
      </c>
      <c r="F158" t="inlineStr">
        <is>
          <t>Holmen skog AB</t>
        </is>
      </c>
      <c r="G158" t="n">
        <v>4.2</v>
      </c>
      <c r="H158" t="n">
        <v>1</v>
      </c>
      <c r="I158" t="n">
        <v>0</v>
      </c>
      <c r="J158" t="n">
        <v>0</v>
      </c>
      <c r="K158" t="n">
        <v>0</v>
      </c>
      <c r="L158" t="n">
        <v>0</v>
      </c>
      <c r="M158" t="n">
        <v>0</v>
      </c>
      <c r="N158" t="n">
        <v>0</v>
      </c>
      <c r="O158" t="n">
        <v>0</v>
      </c>
      <c r="P158" t="n">
        <v>0</v>
      </c>
      <c r="Q158" t="n">
        <v>1</v>
      </c>
      <c r="R158" s="2" t="inlineStr">
        <is>
          <t>Revlummer</t>
        </is>
      </c>
      <c r="S158">
        <f>HYPERLINK("https://klasma.github.io/Logging_0188/artfynd/A 43350-2023 artfynd.xlsx", "A 43350-2023")</f>
        <v/>
      </c>
      <c r="T158">
        <f>HYPERLINK("https://klasma.github.io/Logging_0188/kartor/A 43350-2023 karta.png", "A 43350-2023")</f>
        <v/>
      </c>
      <c r="V158">
        <f>HYPERLINK("https://klasma.github.io/Logging_0188/klagomål/A 43350-2023 FSC-klagomål.docx", "A 43350-2023")</f>
        <v/>
      </c>
      <c r="W158">
        <f>HYPERLINK("https://klasma.github.io/Logging_0188/klagomålsmail/A 43350-2023 FSC-klagomål mail.docx", "A 43350-2023")</f>
        <v/>
      </c>
      <c r="X158">
        <f>HYPERLINK("https://klasma.github.io/Logging_0188/tillsyn/A 43350-2023 tillsynsbegäran.docx", "A 43350-2023")</f>
        <v/>
      </c>
      <c r="Y158">
        <f>HYPERLINK("https://klasma.github.io/Logging_0188/tillsynsmail/A 43350-2023 tillsynsbegäran mail.docx", "A 43350-2023")</f>
        <v/>
      </c>
    </row>
    <row r="159" ht="15" customHeight="1">
      <c r="A159" t="inlineStr">
        <is>
          <t>A 43354-2023</t>
        </is>
      </c>
      <c r="B159" s="1" t="n">
        <v>45183</v>
      </c>
      <c r="C159" s="1" t="n">
        <v>45583</v>
      </c>
      <c r="D159" t="inlineStr">
        <is>
          <t>STOCKHOLMS LÄN</t>
        </is>
      </c>
      <c r="E159" t="inlineStr">
        <is>
          <t>NORRTÄLJE</t>
        </is>
      </c>
      <c r="F159" t="inlineStr">
        <is>
          <t>Holmen skog AB</t>
        </is>
      </c>
      <c r="G159" t="n">
        <v>9.9</v>
      </c>
      <c r="H159" t="n">
        <v>0</v>
      </c>
      <c r="I159" t="n">
        <v>1</v>
      </c>
      <c r="J159" t="n">
        <v>0</v>
      </c>
      <c r="K159" t="n">
        <v>0</v>
      </c>
      <c r="L159" t="n">
        <v>0</v>
      </c>
      <c r="M159" t="n">
        <v>0</v>
      </c>
      <c r="N159" t="n">
        <v>0</v>
      </c>
      <c r="O159" t="n">
        <v>0</v>
      </c>
      <c r="P159" t="n">
        <v>0</v>
      </c>
      <c r="Q159" t="n">
        <v>1</v>
      </c>
      <c r="R159" s="2" t="inlineStr">
        <is>
          <t>Tibast</t>
        </is>
      </c>
      <c r="S159">
        <f>HYPERLINK("https://klasma.github.io/Logging_0188/artfynd/A 43354-2023 artfynd.xlsx", "A 43354-2023")</f>
        <v/>
      </c>
      <c r="T159">
        <f>HYPERLINK("https://klasma.github.io/Logging_0188/kartor/A 43354-2023 karta.png", "A 43354-2023")</f>
        <v/>
      </c>
      <c r="V159">
        <f>HYPERLINK("https://klasma.github.io/Logging_0188/klagomål/A 43354-2023 FSC-klagomål.docx", "A 43354-2023")</f>
        <v/>
      </c>
      <c r="W159">
        <f>HYPERLINK("https://klasma.github.io/Logging_0188/klagomålsmail/A 43354-2023 FSC-klagomål mail.docx", "A 43354-2023")</f>
        <v/>
      </c>
      <c r="X159">
        <f>HYPERLINK("https://klasma.github.io/Logging_0188/tillsyn/A 43354-2023 tillsynsbegäran.docx", "A 43354-2023")</f>
        <v/>
      </c>
      <c r="Y159">
        <f>HYPERLINK("https://klasma.github.io/Logging_0188/tillsynsmail/A 43354-2023 tillsynsbegäran mail.docx", "A 43354-2023")</f>
        <v/>
      </c>
    </row>
    <row r="160" ht="15" customHeight="1">
      <c r="A160" t="inlineStr">
        <is>
          <t>A 45172-2023</t>
        </is>
      </c>
      <c r="B160" s="1" t="n">
        <v>45191</v>
      </c>
      <c r="C160" s="1" t="n">
        <v>45583</v>
      </c>
      <c r="D160" t="inlineStr">
        <is>
          <t>STOCKHOLMS LÄN</t>
        </is>
      </c>
      <c r="E160" t="inlineStr">
        <is>
          <t>NORRTÄLJE</t>
        </is>
      </c>
      <c r="F160" t="inlineStr">
        <is>
          <t>Sveaskog</t>
        </is>
      </c>
      <c r="G160" t="n">
        <v>3.8</v>
      </c>
      <c r="H160" t="n">
        <v>1</v>
      </c>
      <c r="I160" t="n">
        <v>0</v>
      </c>
      <c r="J160" t="n">
        <v>1</v>
      </c>
      <c r="K160" t="n">
        <v>0</v>
      </c>
      <c r="L160" t="n">
        <v>0</v>
      </c>
      <c r="M160" t="n">
        <v>0</v>
      </c>
      <c r="N160" t="n">
        <v>0</v>
      </c>
      <c r="O160" t="n">
        <v>1</v>
      </c>
      <c r="P160" t="n">
        <v>0</v>
      </c>
      <c r="Q160" t="n">
        <v>1</v>
      </c>
      <c r="R160" s="2" t="inlineStr">
        <is>
          <t>Slaguggla</t>
        </is>
      </c>
      <c r="S160">
        <f>HYPERLINK("https://klasma.github.io/Logging_0188/artfynd/A 45172-2023 artfynd.xlsx", "A 45172-2023")</f>
        <v/>
      </c>
      <c r="T160">
        <f>HYPERLINK("https://klasma.github.io/Logging_0188/kartor/A 45172-2023 karta.png", "A 45172-2023")</f>
        <v/>
      </c>
      <c r="V160">
        <f>HYPERLINK("https://klasma.github.io/Logging_0188/klagomål/A 45172-2023 FSC-klagomål.docx", "A 45172-2023")</f>
        <v/>
      </c>
      <c r="W160">
        <f>HYPERLINK("https://klasma.github.io/Logging_0188/klagomålsmail/A 45172-2023 FSC-klagomål mail.docx", "A 45172-2023")</f>
        <v/>
      </c>
      <c r="X160">
        <f>HYPERLINK("https://klasma.github.io/Logging_0188/tillsyn/A 45172-2023 tillsynsbegäran.docx", "A 45172-2023")</f>
        <v/>
      </c>
      <c r="Y160">
        <f>HYPERLINK("https://klasma.github.io/Logging_0188/tillsynsmail/A 45172-2023 tillsynsbegäran mail.docx", "A 45172-2023")</f>
        <v/>
      </c>
      <c r="Z160">
        <f>HYPERLINK("https://klasma.github.io/Logging_0188/fåglar/A 45172-2023 prioriterade fågelarter.docx", "A 45172-2023")</f>
        <v/>
      </c>
    </row>
    <row r="161" ht="15" customHeight="1">
      <c r="A161" t="inlineStr">
        <is>
          <t>A 48131-2023</t>
        </is>
      </c>
      <c r="B161" s="1" t="n">
        <v>45205</v>
      </c>
      <c r="C161" s="1" t="n">
        <v>45583</v>
      </c>
      <c r="D161" t="inlineStr">
        <is>
          <t>STOCKHOLMS LÄN</t>
        </is>
      </c>
      <c r="E161" t="inlineStr">
        <is>
          <t>NORRTÄLJE</t>
        </is>
      </c>
      <c r="G161" t="n">
        <v>2.3</v>
      </c>
      <c r="H161" t="n">
        <v>0</v>
      </c>
      <c r="I161" t="n">
        <v>0</v>
      </c>
      <c r="J161" t="n">
        <v>1</v>
      </c>
      <c r="K161" t="n">
        <v>0</v>
      </c>
      <c r="L161" t="n">
        <v>0</v>
      </c>
      <c r="M161" t="n">
        <v>0</v>
      </c>
      <c r="N161" t="n">
        <v>0</v>
      </c>
      <c r="O161" t="n">
        <v>1</v>
      </c>
      <c r="P161" t="n">
        <v>0</v>
      </c>
      <c r="Q161" t="n">
        <v>1</v>
      </c>
      <c r="R161" s="2" t="inlineStr">
        <is>
          <t>Slåtterfibbla</t>
        </is>
      </c>
      <c r="S161">
        <f>HYPERLINK("https://klasma.github.io/Logging_0188/artfynd/A 48131-2023 artfynd.xlsx", "A 48131-2023")</f>
        <v/>
      </c>
      <c r="T161">
        <f>HYPERLINK("https://klasma.github.io/Logging_0188/kartor/A 48131-2023 karta.png", "A 48131-2023")</f>
        <v/>
      </c>
      <c r="V161">
        <f>HYPERLINK("https://klasma.github.io/Logging_0188/klagomål/A 48131-2023 FSC-klagomål.docx", "A 48131-2023")</f>
        <v/>
      </c>
      <c r="W161">
        <f>HYPERLINK("https://klasma.github.io/Logging_0188/klagomålsmail/A 48131-2023 FSC-klagomål mail.docx", "A 48131-2023")</f>
        <v/>
      </c>
      <c r="X161">
        <f>HYPERLINK("https://klasma.github.io/Logging_0188/tillsyn/A 48131-2023 tillsynsbegäran.docx", "A 48131-2023")</f>
        <v/>
      </c>
      <c r="Y161">
        <f>HYPERLINK("https://klasma.github.io/Logging_0188/tillsynsmail/A 48131-2023 tillsynsbegäran mail.docx", "A 48131-2023")</f>
        <v/>
      </c>
    </row>
    <row r="162" ht="15" customHeight="1">
      <c r="A162" t="inlineStr">
        <is>
          <t>A 51695-2023</t>
        </is>
      </c>
      <c r="B162" s="1" t="n">
        <v>45222</v>
      </c>
      <c r="C162" s="1" t="n">
        <v>45583</v>
      </c>
      <c r="D162" t="inlineStr">
        <is>
          <t>STOCKHOLMS LÄN</t>
        </is>
      </c>
      <c r="E162" t="inlineStr">
        <is>
          <t>NORRTÄLJE</t>
        </is>
      </c>
      <c r="G162" t="n">
        <v>4.9</v>
      </c>
      <c r="H162" t="n">
        <v>0</v>
      </c>
      <c r="I162" t="n">
        <v>1</v>
      </c>
      <c r="J162" t="n">
        <v>0</v>
      </c>
      <c r="K162" t="n">
        <v>0</v>
      </c>
      <c r="L162" t="n">
        <v>0</v>
      </c>
      <c r="M162" t="n">
        <v>0</v>
      </c>
      <c r="N162" t="n">
        <v>0</v>
      </c>
      <c r="O162" t="n">
        <v>0</v>
      </c>
      <c r="P162" t="n">
        <v>0</v>
      </c>
      <c r="Q162" t="n">
        <v>1</v>
      </c>
      <c r="R162" s="2" t="inlineStr">
        <is>
          <t>Fjällig taggsvamp s.str.</t>
        </is>
      </c>
      <c r="S162">
        <f>HYPERLINK("https://klasma.github.io/Logging_0188/artfynd/A 51695-2023 artfynd.xlsx", "A 51695-2023")</f>
        <v/>
      </c>
      <c r="T162">
        <f>HYPERLINK("https://klasma.github.io/Logging_0188/kartor/A 51695-2023 karta.png", "A 51695-2023")</f>
        <v/>
      </c>
      <c r="V162">
        <f>HYPERLINK("https://klasma.github.io/Logging_0188/klagomål/A 51695-2023 FSC-klagomål.docx", "A 51695-2023")</f>
        <v/>
      </c>
      <c r="W162">
        <f>HYPERLINK("https://klasma.github.io/Logging_0188/klagomålsmail/A 51695-2023 FSC-klagomål mail.docx", "A 51695-2023")</f>
        <v/>
      </c>
      <c r="X162">
        <f>HYPERLINK("https://klasma.github.io/Logging_0188/tillsyn/A 51695-2023 tillsynsbegäran.docx", "A 51695-2023")</f>
        <v/>
      </c>
      <c r="Y162">
        <f>HYPERLINK("https://klasma.github.io/Logging_0188/tillsynsmail/A 51695-2023 tillsynsbegäran mail.docx", "A 51695-2023")</f>
        <v/>
      </c>
    </row>
    <row r="163" ht="15" customHeight="1">
      <c r="A163" t="inlineStr">
        <is>
          <t>A 51909-2023</t>
        </is>
      </c>
      <c r="B163" s="1" t="n">
        <v>45223</v>
      </c>
      <c r="C163" s="1" t="n">
        <v>45583</v>
      </c>
      <c r="D163" t="inlineStr">
        <is>
          <t>STOCKHOLMS LÄN</t>
        </is>
      </c>
      <c r="E163" t="inlineStr">
        <is>
          <t>NORRTÄLJE</t>
        </is>
      </c>
      <c r="G163" t="n">
        <v>8.1</v>
      </c>
      <c r="H163" t="n">
        <v>1</v>
      </c>
      <c r="I163" t="n">
        <v>1</v>
      </c>
      <c r="J163" t="n">
        <v>0</v>
      </c>
      <c r="K163" t="n">
        <v>0</v>
      </c>
      <c r="L163" t="n">
        <v>0</v>
      </c>
      <c r="M163" t="n">
        <v>0</v>
      </c>
      <c r="N163" t="n">
        <v>0</v>
      </c>
      <c r="O163" t="n">
        <v>0</v>
      </c>
      <c r="P163" t="n">
        <v>0</v>
      </c>
      <c r="Q163" t="n">
        <v>1</v>
      </c>
      <c r="R163" s="2" t="inlineStr">
        <is>
          <t>Skogsknipprot</t>
        </is>
      </c>
      <c r="S163">
        <f>HYPERLINK("https://klasma.github.io/Logging_0188/artfynd/A 51909-2023 artfynd.xlsx", "A 51909-2023")</f>
        <v/>
      </c>
      <c r="T163">
        <f>HYPERLINK("https://klasma.github.io/Logging_0188/kartor/A 51909-2023 karta.png", "A 51909-2023")</f>
        <v/>
      </c>
      <c r="V163">
        <f>HYPERLINK("https://klasma.github.io/Logging_0188/klagomål/A 51909-2023 FSC-klagomål.docx", "A 51909-2023")</f>
        <v/>
      </c>
      <c r="W163">
        <f>HYPERLINK("https://klasma.github.io/Logging_0188/klagomålsmail/A 51909-2023 FSC-klagomål mail.docx", "A 51909-2023")</f>
        <v/>
      </c>
      <c r="X163">
        <f>HYPERLINK("https://klasma.github.io/Logging_0188/tillsyn/A 51909-2023 tillsynsbegäran.docx", "A 51909-2023")</f>
        <v/>
      </c>
      <c r="Y163">
        <f>HYPERLINK("https://klasma.github.io/Logging_0188/tillsynsmail/A 51909-2023 tillsynsbegäran mail.docx", "A 51909-2023")</f>
        <v/>
      </c>
    </row>
    <row r="164" ht="15" customHeight="1">
      <c r="A164" t="inlineStr">
        <is>
          <t>A 52508-2023</t>
        </is>
      </c>
      <c r="B164" s="1" t="n">
        <v>45225</v>
      </c>
      <c r="C164" s="1" t="n">
        <v>45583</v>
      </c>
      <c r="D164" t="inlineStr">
        <is>
          <t>STOCKHOLMS LÄN</t>
        </is>
      </c>
      <c r="E164" t="inlineStr">
        <is>
          <t>NORRTÄLJE</t>
        </is>
      </c>
      <c r="G164" t="n">
        <v>19.7</v>
      </c>
      <c r="H164" t="n">
        <v>1</v>
      </c>
      <c r="I164" t="n">
        <v>0</v>
      </c>
      <c r="J164" t="n">
        <v>0</v>
      </c>
      <c r="K164" t="n">
        <v>1</v>
      </c>
      <c r="L164" t="n">
        <v>0</v>
      </c>
      <c r="M164" t="n">
        <v>0</v>
      </c>
      <c r="N164" t="n">
        <v>0</v>
      </c>
      <c r="O164" t="n">
        <v>1</v>
      </c>
      <c r="P164" t="n">
        <v>1</v>
      </c>
      <c r="Q164" t="n">
        <v>1</v>
      </c>
      <c r="R164" s="2" t="inlineStr">
        <is>
          <t>Svärta</t>
        </is>
      </c>
      <c r="S164">
        <f>HYPERLINK("https://klasma.github.io/Logging_0188/artfynd/A 52508-2023 artfynd.xlsx", "A 52508-2023")</f>
        <v/>
      </c>
      <c r="T164">
        <f>HYPERLINK("https://klasma.github.io/Logging_0188/kartor/A 52508-2023 karta.png", "A 52508-2023")</f>
        <v/>
      </c>
      <c r="V164">
        <f>HYPERLINK("https://klasma.github.io/Logging_0188/klagomål/A 52508-2023 FSC-klagomål.docx", "A 52508-2023")</f>
        <v/>
      </c>
      <c r="W164">
        <f>HYPERLINK("https://klasma.github.io/Logging_0188/klagomålsmail/A 52508-2023 FSC-klagomål mail.docx", "A 52508-2023")</f>
        <v/>
      </c>
      <c r="X164">
        <f>HYPERLINK("https://klasma.github.io/Logging_0188/tillsyn/A 52508-2023 tillsynsbegäran.docx", "A 52508-2023")</f>
        <v/>
      </c>
      <c r="Y164">
        <f>HYPERLINK("https://klasma.github.io/Logging_0188/tillsynsmail/A 52508-2023 tillsynsbegäran mail.docx", "A 52508-2023")</f>
        <v/>
      </c>
    </row>
    <row r="165" ht="15" customHeight="1">
      <c r="A165" t="inlineStr">
        <is>
          <t>A 55767-2023</t>
        </is>
      </c>
      <c r="B165" s="1" t="n">
        <v>45239</v>
      </c>
      <c r="C165" s="1" t="n">
        <v>45583</v>
      </c>
      <c r="D165" t="inlineStr">
        <is>
          <t>STOCKHOLMS LÄN</t>
        </is>
      </c>
      <c r="E165" t="inlineStr">
        <is>
          <t>NORRTÄLJE</t>
        </is>
      </c>
      <c r="G165" t="n">
        <v>3.7</v>
      </c>
      <c r="H165" t="n">
        <v>0</v>
      </c>
      <c r="I165" t="n">
        <v>1</v>
      </c>
      <c r="J165" t="n">
        <v>0</v>
      </c>
      <c r="K165" t="n">
        <v>0</v>
      </c>
      <c r="L165" t="n">
        <v>0</v>
      </c>
      <c r="M165" t="n">
        <v>0</v>
      </c>
      <c r="N165" t="n">
        <v>0</v>
      </c>
      <c r="O165" t="n">
        <v>0</v>
      </c>
      <c r="P165" t="n">
        <v>0</v>
      </c>
      <c r="Q165" t="n">
        <v>1</v>
      </c>
      <c r="R165" s="2" t="inlineStr">
        <is>
          <t>Ögonpyrola</t>
        </is>
      </c>
      <c r="S165">
        <f>HYPERLINK("https://klasma.github.io/Logging_0188/artfynd/A 55767-2023 artfynd.xlsx", "A 55767-2023")</f>
        <v/>
      </c>
      <c r="T165">
        <f>HYPERLINK("https://klasma.github.io/Logging_0188/kartor/A 55767-2023 karta.png", "A 55767-2023")</f>
        <v/>
      </c>
      <c r="V165">
        <f>HYPERLINK("https://klasma.github.io/Logging_0188/klagomål/A 55767-2023 FSC-klagomål.docx", "A 55767-2023")</f>
        <v/>
      </c>
      <c r="W165">
        <f>HYPERLINK("https://klasma.github.io/Logging_0188/klagomålsmail/A 55767-2023 FSC-klagomål mail.docx", "A 55767-2023")</f>
        <v/>
      </c>
      <c r="X165">
        <f>HYPERLINK("https://klasma.github.io/Logging_0188/tillsyn/A 55767-2023 tillsynsbegäran.docx", "A 55767-2023")</f>
        <v/>
      </c>
      <c r="Y165">
        <f>HYPERLINK("https://klasma.github.io/Logging_0188/tillsynsmail/A 55767-2023 tillsynsbegäran mail.docx", "A 55767-2023")</f>
        <v/>
      </c>
    </row>
    <row r="166" ht="15" customHeight="1">
      <c r="A166" t="inlineStr">
        <is>
          <t>A 59580-2023</t>
        </is>
      </c>
      <c r="B166" s="1" t="n">
        <v>45254</v>
      </c>
      <c r="C166" s="1" t="n">
        <v>45583</v>
      </c>
      <c r="D166" t="inlineStr">
        <is>
          <t>STOCKHOLMS LÄN</t>
        </is>
      </c>
      <c r="E166" t="inlineStr">
        <is>
          <t>NORRTÄLJE</t>
        </is>
      </c>
      <c r="G166" t="n">
        <v>3.2</v>
      </c>
      <c r="H166" t="n">
        <v>0</v>
      </c>
      <c r="I166" t="n">
        <v>1</v>
      </c>
      <c r="J166" t="n">
        <v>0</v>
      </c>
      <c r="K166" t="n">
        <v>0</v>
      </c>
      <c r="L166" t="n">
        <v>0</v>
      </c>
      <c r="M166" t="n">
        <v>0</v>
      </c>
      <c r="N166" t="n">
        <v>0</v>
      </c>
      <c r="O166" t="n">
        <v>0</v>
      </c>
      <c r="P166" t="n">
        <v>0</v>
      </c>
      <c r="Q166" t="n">
        <v>1</v>
      </c>
      <c r="R166" s="2" t="inlineStr">
        <is>
          <t>Trådticka</t>
        </is>
      </c>
      <c r="S166">
        <f>HYPERLINK("https://klasma.github.io/Logging_0188/artfynd/A 59580-2023 artfynd.xlsx", "A 59580-2023")</f>
        <v/>
      </c>
      <c r="T166">
        <f>HYPERLINK("https://klasma.github.io/Logging_0188/kartor/A 59580-2023 karta.png", "A 59580-2023")</f>
        <v/>
      </c>
      <c r="V166">
        <f>HYPERLINK("https://klasma.github.io/Logging_0188/klagomål/A 59580-2023 FSC-klagomål.docx", "A 59580-2023")</f>
        <v/>
      </c>
      <c r="W166">
        <f>HYPERLINK("https://klasma.github.io/Logging_0188/klagomålsmail/A 59580-2023 FSC-klagomål mail.docx", "A 59580-2023")</f>
        <v/>
      </c>
      <c r="X166">
        <f>HYPERLINK("https://klasma.github.io/Logging_0188/tillsyn/A 59580-2023 tillsynsbegäran.docx", "A 59580-2023")</f>
        <v/>
      </c>
      <c r="Y166">
        <f>HYPERLINK("https://klasma.github.io/Logging_0188/tillsynsmail/A 59580-2023 tillsynsbegäran mail.docx", "A 59580-2023")</f>
        <v/>
      </c>
    </row>
    <row r="167" ht="15" customHeight="1">
      <c r="A167" t="inlineStr">
        <is>
          <t>A 63851-2023</t>
        </is>
      </c>
      <c r="B167" s="1" t="n">
        <v>45278</v>
      </c>
      <c r="C167" s="1" t="n">
        <v>45583</v>
      </c>
      <c r="D167" t="inlineStr">
        <is>
          <t>STOCKHOLMS LÄN</t>
        </is>
      </c>
      <c r="E167" t="inlineStr">
        <is>
          <t>NORRTÄLJE</t>
        </is>
      </c>
      <c r="G167" t="n">
        <v>5.6</v>
      </c>
      <c r="H167" t="n">
        <v>1</v>
      </c>
      <c r="I167" t="n">
        <v>0</v>
      </c>
      <c r="J167" t="n">
        <v>0</v>
      </c>
      <c r="K167" t="n">
        <v>0</v>
      </c>
      <c r="L167" t="n">
        <v>0</v>
      </c>
      <c r="M167" t="n">
        <v>0</v>
      </c>
      <c r="N167" t="n">
        <v>0</v>
      </c>
      <c r="O167" t="n">
        <v>0</v>
      </c>
      <c r="P167" t="n">
        <v>0</v>
      </c>
      <c r="Q167" t="n">
        <v>1</v>
      </c>
      <c r="R167" s="2" t="inlineStr">
        <is>
          <t>Tjäder</t>
        </is>
      </c>
      <c r="S167">
        <f>HYPERLINK("https://klasma.github.io/Logging_0188/artfynd/A 63851-2023 artfynd.xlsx", "A 63851-2023")</f>
        <v/>
      </c>
      <c r="T167">
        <f>HYPERLINK("https://klasma.github.io/Logging_0188/kartor/A 63851-2023 karta.png", "A 63851-2023")</f>
        <v/>
      </c>
      <c r="V167">
        <f>HYPERLINK("https://klasma.github.io/Logging_0188/klagomål/A 63851-2023 FSC-klagomål.docx", "A 63851-2023")</f>
        <v/>
      </c>
      <c r="W167">
        <f>HYPERLINK("https://klasma.github.io/Logging_0188/klagomålsmail/A 63851-2023 FSC-klagomål mail.docx", "A 63851-2023")</f>
        <v/>
      </c>
      <c r="X167">
        <f>HYPERLINK("https://klasma.github.io/Logging_0188/tillsyn/A 63851-2023 tillsynsbegäran.docx", "A 63851-2023")</f>
        <v/>
      </c>
      <c r="Y167">
        <f>HYPERLINK("https://klasma.github.io/Logging_0188/tillsynsmail/A 63851-2023 tillsynsbegäran mail.docx", "A 63851-2023")</f>
        <v/>
      </c>
      <c r="Z167">
        <f>HYPERLINK("https://klasma.github.io/Logging_0188/fåglar/A 63851-2023 prioriterade fågelarter.docx", "A 63851-2023")</f>
        <v/>
      </c>
    </row>
    <row r="168" ht="15" customHeight="1">
      <c r="A168" t="inlineStr">
        <is>
          <t>A 64456-2023</t>
        </is>
      </c>
      <c r="B168" s="1" t="n">
        <v>45280</v>
      </c>
      <c r="C168" s="1" t="n">
        <v>45583</v>
      </c>
      <c r="D168" t="inlineStr">
        <is>
          <t>STOCKHOLMS LÄN</t>
        </is>
      </c>
      <c r="E168" t="inlineStr">
        <is>
          <t>NORRTÄLJE</t>
        </is>
      </c>
      <c r="G168" t="n">
        <v>2.5</v>
      </c>
      <c r="H168" t="n">
        <v>0</v>
      </c>
      <c r="I168" t="n">
        <v>1</v>
      </c>
      <c r="J168" t="n">
        <v>0</v>
      </c>
      <c r="K168" t="n">
        <v>0</v>
      </c>
      <c r="L168" t="n">
        <v>0</v>
      </c>
      <c r="M168" t="n">
        <v>0</v>
      </c>
      <c r="N168" t="n">
        <v>0</v>
      </c>
      <c r="O168" t="n">
        <v>0</v>
      </c>
      <c r="P168" t="n">
        <v>0</v>
      </c>
      <c r="Q168" t="n">
        <v>1</v>
      </c>
      <c r="R168" s="2" t="inlineStr">
        <is>
          <t>Rödgul trumpetsvamp</t>
        </is>
      </c>
      <c r="S168">
        <f>HYPERLINK("https://klasma.github.io/Logging_0188/artfynd/A 64456-2023 artfynd.xlsx", "A 64456-2023")</f>
        <v/>
      </c>
      <c r="T168">
        <f>HYPERLINK("https://klasma.github.io/Logging_0188/kartor/A 64456-2023 karta.png", "A 64456-2023")</f>
        <v/>
      </c>
      <c r="V168">
        <f>HYPERLINK("https://klasma.github.io/Logging_0188/klagomål/A 64456-2023 FSC-klagomål.docx", "A 64456-2023")</f>
        <v/>
      </c>
      <c r="W168">
        <f>HYPERLINK("https://klasma.github.io/Logging_0188/klagomålsmail/A 64456-2023 FSC-klagomål mail.docx", "A 64456-2023")</f>
        <v/>
      </c>
      <c r="X168">
        <f>HYPERLINK("https://klasma.github.io/Logging_0188/tillsyn/A 64456-2023 tillsynsbegäran.docx", "A 64456-2023")</f>
        <v/>
      </c>
      <c r="Y168">
        <f>HYPERLINK("https://klasma.github.io/Logging_0188/tillsynsmail/A 64456-2023 tillsynsbegäran mail.docx", "A 64456-2023")</f>
        <v/>
      </c>
    </row>
    <row r="169" ht="15" customHeight="1">
      <c r="A169" t="inlineStr">
        <is>
          <t>A 6950-2024</t>
        </is>
      </c>
      <c r="B169" s="1" t="n">
        <v>45343</v>
      </c>
      <c r="C169" s="1" t="n">
        <v>45583</v>
      </c>
      <c r="D169" t="inlineStr">
        <is>
          <t>STOCKHOLMS LÄN</t>
        </is>
      </c>
      <c r="E169" t="inlineStr">
        <is>
          <t>NORRTÄLJE</t>
        </is>
      </c>
      <c r="G169" t="n">
        <v>26.8</v>
      </c>
      <c r="H169" t="n">
        <v>1</v>
      </c>
      <c r="I169" t="n">
        <v>0</v>
      </c>
      <c r="J169" t="n">
        <v>0</v>
      </c>
      <c r="K169" t="n">
        <v>0</v>
      </c>
      <c r="L169" t="n">
        <v>0</v>
      </c>
      <c r="M169" t="n">
        <v>0</v>
      </c>
      <c r="N169" t="n">
        <v>0</v>
      </c>
      <c r="O169" t="n">
        <v>0</v>
      </c>
      <c r="P169" t="n">
        <v>0</v>
      </c>
      <c r="Q169" t="n">
        <v>1</v>
      </c>
      <c r="R169" s="2" t="inlineStr">
        <is>
          <t>Blåsippa</t>
        </is>
      </c>
      <c r="S169">
        <f>HYPERLINK("https://klasma.github.io/Logging_0188/artfynd/A 6950-2024 artfynd.xlsx", "A 6950-2024")</f>
        <v/>
      </c>
      <c r="T169">
        <f>HYPERLINK("https://klasma.github.io/Logging_0188/kartor/A 6950-2024 karta.png", "A 6950-2024")</f>
        <v/>
      </c>
      <c r="V169">
        <f>HYPERLINK("https://klasma.github.io/Logging_0188/klagomål/A 6950-2024 FSC-klagomål.docx", "A 6950-2024")</f>
        <v/>
      </c>
      <c r="W169">
        <f>HYPERLINK("https://klasma.github.io/Logging_0188/klagomålsmail/A 6950-2024 FSC-klagomål mail.docx", "A 6950-2024")</f>
        <v/>
      </c>
      <c r="X169">
        <f>HYPERLINK("https://klasma.github.io/Logging_0188/tillsyn/A 6950-2024 tillsynsbegäran.docx", "A 6950-2024")</f>
        <v/>
      </c>
      <c r="Y169">
        <f>HYPERLINK("https://klasma.github.io/Logging_0188/tillsynsmail/A 6950-2024 tillsynsbegäran mail.docx", "A 6950-2024")</f>
        <v/>
      </c>
    </row>
    <row r="170" ht="15" customHeight="1">
      <c r="A170" t="inlineStr">
        <is>
          <t>A 20468-2024</t>
        </is>
      </c>
      <c r="B170" s="1" t="n">
        <v>45435</v>
      </c>
      <c r="C170" s="1" t="n">
        <v>45583</v>
      </c>
      <c r="D170" t="inlineStr">
        <is>
          <t>STOCKHOLMS LÄN</t>
        </is>
      </c>
      <c r="E170" t="inlineStr">
        <is>
          <t>NORRTÄLJE</t>
        </is>
      </c>
      <c r="G170" t="n">
        <v>2.2</v>
      </c>
      <c r="H170" t="n">
        <v>0</v>
      </c>
      <c r="I170" t="n">
        <v>0</v>
      </c>
      <c r="J170" t="n">
        <v>0</v>
      </c>
      <c r="K170" t="n">
        <v>0</v>
      </c>
      <c r="L170" t="n">
        <v>1</v>
      </c>
      <c r="M170" t="n">
        <v>0</v>
      </c>
      <c r="N170" t="n">
        <v>0</v>
      </c>
      <c r="O170" t="n">
        <v>1</v>
      </c>
      <c r="P170" t="n">
        <v>1</v>
      </c>
      <c r="Q170" t="n">
        <v>1</v>
      </c>
      <c r="R170" s="2" t="inlineStr">
        <is>
          <t>Fältgentiana</t>
        </is>
      </c>
      <c r="S170">
        <f>HYPERLINK("https://klasma.github.io/Logging_0188/artfynd/A 20468-2024 artfynd.xlsx", "A 20468-2024")</f>
        <v/>
      </c>
      <c r="T170">
        <f>HYPERLINK("https://klasma.github.io/Logging_0188/kartor/A 20468-2024 karta.png", "A 20468-2024")</f>
        <v/>
      </c>
      <c r="V170">
        <f>HYPERLINK("https://klasma.github.io/Logging_0188/klagomål/A 20468-2024 FSC-klagomål.docx", "A 20468-2024")</f>
        <v/>
      </c>
      <c r="W170">
        <f>HYPERLINK("https://klasma.github.io/Logging_0188/klagomålsmail/A 20468-2024 FSC-klagomål mail.docx", "A 20468-2024")</f>
        <v/>
      </c>
      <c r="X170">
        <f>HYPERLINK("https://klasma.github.io/Logging_0188/tillsyn/A 20468-2024 tillsynsbegäran.docx", "A 20468-2024")</f>
        <v/>
      </c>
      <c r="Y170">
        <f>HYPERLINK("https://klasma.github.io/Logging_0188/tillsynsmail/A 20468-2024 tillsynsbegäran mail.docx", "A 20468-2024")</f>
        <v/>
      </c>
    </row>
    <row r="171" ht="15" customHeight="1">
      <c r="A171" t="inlineStr">
        <is>
          <t>A 23146-2024</t>
        </is>
      </c>
      <c r="B171" s="1" t="n">
        <v>45450</v>
      </c>
      <c r="C171" s="1" t="n">
        <v>45583</v>
      </c>
      <c r="D171" t="inlineStr">
        <is>
          <t>STOCKHOLMS LÄN</t>
        </is>
      </c>
      <c r="E171" t="inlineStr">
        <is>
          <t>NORRTÄLJE</t>
        </is>
      </c>
      <c r="F171" t="inlineStr">
        <is>
          <t>Kommuner</t>
        </is>
      </c>
      <c r="G171" t="n">
        <v>6</v>
      </c>
      <c r="H171" t="n">
        <v>0</v>
      </c>
      <c r="I171" t="n">
        <v>0</v>
      </c>
      <c r="J171" t="n">
        <v>1</v>
      </c>
      <c r="K171" t="n">
        <v>0</v>
      </c>
      <c r="L171" t="n">
        <v>0</v>
      </c>
      <c r="M171" t="n">
        <v>0</v>
      </c>
      <c r="N171" t="n">
        <v>0</v>
      </c>
      <c r="O171" t="n">
        <v>1</v>
      </c>
      <c r="P171" t="n">
        <v>0</v>
      </c>
      <c r="Q171" t="n">
        <v>1</v>
      </c>
      <c r="R171" s="2" t="inlineStr">
        <is>
          <t>Motaggsvamp</t>
        </is>
      </c>
      <c r="S171">
        <f>HYPERLINK("https://klasma.github.io/Logging_0188/artfynd/A 23146-2024 artfynd.xlsx", "A 23146-2024")</f>
        <v/>
      </c>
      <c r="T171">
        <f>HYPERLINK("https://klasma.github.io/Logging_0188/kartor/A 23146-2024 karta.png", "A 23146-2024")</f>
        <v/>
      </c>
      <c r="V171">
        <f>HYPERLINK("https://klasma.github.io/Logging_0188/klagomål/A 23146-2024 FSC-klagomål.docx", "A 23146-2024")</f>
        <v/>
      </c>
      <c r="W171">
        <f>HYPERLINK("https://klasma.github.io/Logging_0188/klagomålsmail/A 23146-2024 FSC-klagomål mail.docx", "A 23146-2024")</f>
        <v/>
      </c>
      <c r="X171">
        <f>HYPERLINK("https://klasma.github.io/Logging_0188/tillsyn/A 23146-2024 tillsynsbegäran.docx", "A 23146-2024")</f>
        <v/>
      </c>
      <c r="Y171">
        <f>HYPERLINK("https://klasma.github.io/Logging_0188/tillsynsmail/A 23146-2024 tillsynsbegäran mail.docx", "A 23146-2024")</f>
        <v/>
      </c>
    </row>
    <row r="172" ht="15" customHeight="1">
      <c r="A172" t="inlineStr">
        <is>
          <t>A 24577-2024</t>
        </is>
      </c>
      <c r="B172" s="1" t="n">
        <v>45460</v>
      </c>
      <c r="C172" s="1" t="n">
        <v>45583</v>
      </c>
      <c r="D172" t="inlineStr">
        <is>
          <t>STOCKHOLMS LÄN</t>
        </is>
      </c>
      <c r="E172" t="inlineStr">
        <is>
          <t>NORRTÄLJE</t>
        </is>
      </c>
      <c r="G172" t="n">
        <v>3.8</v>
      </c>
      <c r="H172" t="n">
        <v>0</v>
      </c>
      <c r="I172" t="n">
        <v>1</v>
      </c>
      <c r="J172" t="n">
        <v>0</v>
      </c>
      <c r="K172" t="n">
        <v>0</v>
      </c>
      <c r="L172" t="n">
        <v>0</v>
      </c>
      <c r="M172" t="n">
        <v>0</v>
      </c>
      <c r="N172" t="n">
        <v>0</v>
      </c>
      <c r="O172" t="n">
        <v>0</v>
      </c>
      <c r="P172" t="n">
        <v>0</v>
      </c>
      <c r="Q172" t="n">
        <v>1</v>
      </c>
      <c r="R172" s="2" t="inlineStr">
        <is>
          <t>Rostfläck</t>
        </is>
      </c>
      <c r="S172">
        <f>HYPERLINK("https://klasma.github.io/Logging_0188/artfynd/A 24577-2024 artfynd.xlsx", "A 24577-2024")</f>
        <v/>
      </c>
      <c r="T172">
        <f>HYPERLINK("https://klasma.github.io/Logging_0188/kartor/A 24577-2024 karta.png", "A 24577-2024")</f>
        <v/>
      </c>
      <c r="V172">
        <f>HYPERLINK("https://klasma.github.io/Logging_0188/klagomål/A 24577-2024 FSC-klagomål.docx", "A 24577-2024")</f>
        <v/>
      </c>
      <c r="W172">
        <f>HYPERLINK("https://klasma.github.io/Logging_0188/klagomålsmail/A 24577-2024 FSC-klagomål mail.docx", "A 24577-2024")</f>
        <v/>
      </c>
      <c r="X172">
        <f>HYPERLINK("https://klasma.github.io/Logging_0188/tillsyn/A 24577-2024 tillsynsbegäran.docx", "A 24577-2024")</f>
        <v/>
      </c>
      <c r="Y172">
        <f>HYPERLINK("https://klasma.github.io/Logging_0188/tillsynsmail/A 24577-2024 tillsynsbegäran mail.docx", "A 24577-2024")</f>
        <v/>
      </c>
    </row>
    <row r="173" ht="15" customHeight="1">
      <c r="A173" t="inlineStr">
        <is>
          <t>A 24528-2024</t>
        </is>
      </c>
      <c r="B173" s="1" t="n">
        <v>45460</v>
      </c>
      <c r="C173" s="1" t="n">
        <v>45583</v>
      </c>
      <c r="D173" t="inlineStr">
        <is>
          <t>STOCKHOLMS LÄN</t>
        </is>
      </c>
      <c r="E173" t="inlineStr">
        <is>
          <t>NORRTÄLJE</t>
        </is>
      </c>
      <c r="G173" t="n">
        <v>1.4</v>
      </c>
      <c r="H173" t="n">
        <v>1</v>
      </c>
      <c r="I173" t="n">
        <v>0</v>
      </c>
      <c r="J173" t="n">
        <v>0</v>
      </c>
      <c r="K173" t="n">
        <v>1</v>
      </c>
      <c r="L173" t="n">
        <v>0</v>
      </c>
      <c r="M173" t="n">
        <v>0</v>
      </c>
      <c r="N173" t="n">
        <v>0</v>
      </c>
      <c r="O173" t="n">
        <v>1</v>
      </c>
      <c r="P173" t="n">
        <v>1</v>
      </c>
      <c r="Q173" t="n">
        <v>1</v>
      </c>
      <c r="R173" s="2" t="inlineStr">
        <is>
          <t>Hällebräcka</t>
        </is>
      </c>
      <c r="S173">
        <f>HYPERLINK("https://klasma.github.io/Logging_0188/artfynd/A 24528-2024 artfynd.xlsx", "A 24528-2024")</f>
        <v/>
      </c>
      <c r="T173">
        <f>HYPERLINK("https://klasma.github.io/Logging_0188/kartor/A 24528-2024 karta.png", "A 24528-2024")</f>
        <v/>
      </c>
      <c r="V173">
        <f>HYPERLINK("https://klasma.github.io/Logging_0188/klagomål/A 24528-2024 FSC-klagomål.docx", "A 24528-2024")</f>
        <v/>
      </c>
      <c r="W173">
        <f>HYPERLINK("https://klasma.github.io/Logging_0188/klagomålsmail/A 24528-2024 FSC-klagomål mail.docx", "A 24528-2024")</f>
        <v/>
      </c>
      <c r="X173">
        <f>HYPERLINK("https://klasma.github.io/Logging_0188/tillsyn/A 24528-2024 tillsynsbegäran.docx", "A 24528-2024")</f>
        <v/>
      </c>
      <c r="Y173">
        <f>HYPERLINK("https://klasma.github.io/Logging_0188/tillsynsmail/A 24528-2024 tillsynsbegäran mail.docx", "A 24528-2024")</f>
        <v/>
      </c>
    </row>
    <row r="174" ht="15" customHeight="1">
      <c r="A174" t="inlineStr">
        <is>
          <t>A 26120-2024</t>
        </is>
      </c>
      <c r="B174" s="1" t="n">
        <v>45468</v>
      </c>
      <c r="C174" s="1" t="n">
        <v>45583</v>
      </c>
      <c r="D174" t="inlineStr">
        <is>
          <t>STOCKHOLMS LÄN</t>
        </is>
      </c>
      <c r="E174" t="inlineStr">
        <is>
          <t>NORRTÄLJE</t>
        </is>
      </c>
      <c r="G174" t="n">
        <v>1.8</v>
      </c>
      <c r="H174" t="n">
        <v>0</v>
      </c>
      <c r="I174" t="n">
        <v>0</v>
      </c>
      <c r="J174" t="n">
        <v>1</v>
      </c>
      <c r="K174" t="n">
        <v>0</v>
      </c>
      <c r="L174" t="n">
        <v>0</v>
      </c>
      <c r="M174" t="n">
        <v>0</v>
      </c>
      <c r="N174" t="n">
        <v>0</v>
      </c>
      <c r="O174" t="n">
        <v>1</v>
      </c>
      <c r="P174" t="n">
        <v>0</v>
      </c>
      <c r="Q174" t="n">
        <v>1</v>
      </c>
      <c r="R174" s="2" t="inlineStr">
        <is>
          <t>Majviva</t>
        </is>
      </c>
      <c r="S174">
        <f>HYPERLINK("https://klasma.github.io/Logging_0188/artfynd/A 26120-2024 artfynd.xlsx", "A 26120-2024")</f>
        <v/>
      </c>
      <c r="T174">
        <f>HYPERLINK("https://klasma.github.io/Logging_0188/kartor/A 26120-2024 karta.png", "A 26120-2024")</f>
        <v/>
      </c>
      <c r="V174">
        <f>HYPERLINK("https://klasma.github.io/Logging_0188/klagomål/A 26120-2024 FSC-klagomål.docx", "A 26120-2024")</f>
        <v/>
      </c>
      <c r="W174">
        <f>HYPERLINK("https://klasma.github.io/Logging_0188/klagomålsmail/A 26120-2024 FSC-klagomål mail.docx", "A 26120-2024")</f>
        <v/>
      </c>
      <c r="X174">
        <f>HYPERLINK("https://klasma.github.io/Logging_0188/tillsyn/A 26120-2024 tillsynsbegäran.docx", "A 26120-2024")</f>
        <v/>
      </c>
      <c r="Y174">
        <f>HYPERLINK("https://klasma.github.io/Logging_0188/tillsynsmail/A 26120-2024 tillsynsbegäran mail.docx", "A 26120-2024")</f>
        <v/>
      </c>
    </row>
    <row r="175" ht="15" customHeight="1">
      <c r="A175" t="inlineStr">
        <is>
          <t>A 27538-2024</t>
        </is>
      </c>
      <c r="B175" s="1" t="n">
        <v>45474</v>
      </c>
      <c r="C175" s="1" t="n">
        <v>45583</v>
      </c>
      <c r="D175" t="inlineStr">
        <is>
          <t>STOCKHOLMS LÄN</t>
        </is>
      </c>
      <c r="E175" t="inlineStr">
        <is>
          <t>NORRTÄLJE</t>
        </is>
      </c>
      <c r="G175" t="n">
        <v>1.5</v>
      </c>
      <c r="H175" t="n">
        <v>1</v>
      </c>
      <c r="I175" t="n">
        <v>1</v>
      </c>
      <c r="J175" t="n">
        <v>0</v>
      </c>
      <c r="K175" t="n">
        <v>0</v>
      </c>
      <c r="L175" t="n">
        <v>0</v>
      </c>
      <c r="M175" t="n">
        <v>0</v>
      </c>
      <c r="N175" t="n">
        <v>0</v>
      </c>
      <c r="O175" t="n">
        <v>0</v>
      </c>
      <c r="P175" t="n">
        <v>0</v>
      </c>
      <c r="Q175" t="n">
        <v>1</v>
      </c>
      <c r="R175" s="2" t="inlineStr">
        <is>
          <t>Skogsknipprot</t>
        </is>
      </c>
      <c r="S175">
        <f>HYPERLINK("https://klasma.github.io/Logging_0188/artfynd/A 27538-2024 artfynd.xlsx", "A 27538-2024")</f>
        <v/>
      </c>
      <c r="T175">
        <f>HYPERLINK("https://klasma.github.io/Logging_0188/kartor/A 27538-2024 karta.png", "A 27538-2024")</f>
        <v/>
      </c>
      <c r="V175">
        <f>HYPERLINK("https://klasma.github.io/Logging_0188/klagomål/A 27538-2024 FSC-klagomål.docx", "A 27538-2024")</f>
        <v/>
      </c>
      <c r="W175">
        <f>HYPERLINK("https://klasma.github.io/Logging_0188/klagomålsmail/A 27538-2024 FSC-klagomål mail.docx", "A 27538-2024")</f>
        <v/>
      </c>
      <c r="X175">
        <f>HYPERLINK("https://klasma.github.io/Logging_0188/tillsyn/A 27538-2024 tillsynsbegäran.docx", "A 27538-2024")</f>
        <v/>
      </c>
      <c r="Y175">
        <f>HYPERLINK("https://klasma.github.io/Logging_0188/tillsynsmail/A 27538-2024 tillsynsbegäran mail.docx", "A 27538-2024")</f>
        <v/>
      </c>
    </row>
    <row r="176" ht="15" customHeight="1">
      <c r="A176" t="inlineStr">
        <is>
          <t>A 35764-2024</t>
        </is>
      </c>
      <c r="B176" s="1" t="n">
        <v>45532</v>
      </c>
      <c r="C176" s="1" t="n">
        <v>45583</v>
      </c>
      <c r="D176" t="inlineStr">
        <is>
          <t>STOCKHOLMS LÄN</t>
        </is>
      </c>
      <c r="E176" t="inlineStr">
        <is>
          <t>NORRTÄLJE</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HYPERLINK("https://klasma.github.io/Logging_0188/artfynd/A 35764-2024 artfynd.xlsx", "A 35764-2024")</f>
        <v/>
      </c>
      <c r="T176">
        <f>HYPERLINK("https://klasma.github.io/Logging_0188/kartor/A 35764-2024 karta.png", "A 35764-2024")</f>
        <v/>
      </c>
      <c r="U176">
        <f>HYPERLINK("https://klasma.github.io/Logging_0188/knärot/A 35764-2024 karta knärot.png", "A 35764-2024")</f>
        <v/>
      </c>
      <c r="V176">
        <f>HYPERLINK("https://klasma.github.io/Logging_0188/klagomål/A 35764-2024 FSC-klagomål.docx", "A 35764-2024")</f>
        <v/>
      </c>
      <c r="W176">
        <f>HYPERLINK("https://klasma.github.io/Logging_0188/klagomålsmail/A 35764-2024 FSC-klagomål mail.docx", "A 35764-2024")</f>
        <v/>
      </c>
      <c r="X176">
        <f>HYPERLINK("https://klasma.github.io/Logging_0188/tillsyn/A 35764-2024 tillsynsbegäran.docx", "A 35764-2024")</f>
        <v/>
      </c>
      <c r="Y176">
        <f>HYPERLINK("https://klasma.github.io/Logging_0188/tillsynsmail/A 35764-2024 tillsynsbegäran mail.docx", "A 35764-2024")</f>
        <v/>
      </c>
    </row>
    <row r="177" ht="15" customHeight="1">
      <c r="A177" t="inlineStr">
        <is>
          <t>A 37918-2024</t>
        </is>
      </c>
      <c r="B177" s="1" t="n">
        <v>45544</v>
      </c>
      <c r="C177" s="1" t="n">
        <v>45583</v>
      </c>
      <c r="D177" t="inlineStr">
        <is>
          <t>STOCKHOLMS LÄN</t>
        </is>
      </c>
      <c r="E177" t="inlineStr">
        <is>
          <t>NORRTÄLJE</t>
        </is>
      </c>
      <c r="F177" t="inlineStr">
        <is>
          <t>Holmen skog AB</t>
        </is>
      </c>
      <c r="G177" t="n">
        <v>8.4</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37918-2024 artfynd.xlsx", "A 37918-2024")</f>
        <v/>
      </c>
      <c r="T177">
        <f>HYPERLINK("https://klasma.github.io/Logging_0188/kartor/A 37918-2024 karta.png", "A 37918-2024")</f>
        <v/>
      </c>
      <c r="V177">
        <f>HYPERLINK("https://klasma.github.io/Logging_0188/klagomål/A 37918-2024 FSC-klagomål.docx", "A 37918-2024")</f>
        <v/>
      </c>
      <c r="W177">
        <f>HYPERLINK("https://klasma.github.io/Logging_0188/klagomålsmail/A 37918-2024 FSC-klagomål mail.docx", "A 37918-2024")</f>
        <v/>
      </c>
      <c r="X177">
        <f>HYPERLINK("https://klasma.github.io/Logging_0188/tillsyn/A 37918-2024 tillsynsbegäran.docx", "A 37918-2024")</f>
        <v/>
      </c>
      <c r="Y177">
        <f>HYPERLINK("https://klasma.github.io/Logging_0188/tillsynsmail/A 37918-2024 tillsynsbegäran mail.docx", "A 37918-2024")</f>
        <v/>
      </c>
    </row>
    <row r="178" ht="15" customHeight="1">
      <c r="A178" t="inlineStr">
        <is>
          <t>A 44547-2024</t>
        </is>
      </c>
      <c r="B178" s="1" t="n">
        <v>45574</v>
      </c>
      <c r="C178" s="1" t="n">
        <v>45583</v>
      </c>
      <c r="D178" t="inlineStr">
        <is>
          <t>STOCKHOLMS LÄN</t>
        </is>
      </c>
      <c r="E178" t="inlineStr">
        <is>
          <t>NORRTÄLJE</t>
        </is>
      </c>
      <c r="G178" t="n">
        <v>11.1</v>
      </c>
      <c r="H178" t="n">
        <v>0</v>
      </c>
      <c r="I178" t="n">
        <v>0</v>
      </c>
      <c r="J178" t="n">
        <v>1</v>
      </c>
      <c r="K178" t="n">
        <v>0</v>
      </c>
      <c r="L178" t="n">
        <v>0</v>
      </c>
      <c r="M178" t="n">
        <v>0</v>
      </c>
      <c r="N178" t="n">
        <v>0</v>
      </c>
      <c r="O178" t="n">
        <v>1</v>
      </c>
      <c r="P178" t="n">
        <v>0</v>
      </c>
      <c r="Q178" t="n">
        <v>1</v>
      </c>
      <c r="R178" s="2" t="inlineStr">
        <is>
          <t>Skogsklocka</t>
        </is>
      </c>
      <c r="S178">
        <f>HYPERLINK("https://klasma.github.io/Logging_0188/artfynd/A 44547-2024 artfynd.xlsx", "A 44547-2024")</f>
        <v/>
      </c>
      <c r="T178">
        <f>HYPERLINK("https://klasma.github.io/Logging_0188/kartor/A 44547-2024 karta.png", "A 44547-2024")</f>
        <v/>
      </c>
      <c r="V178">
        <f>HYPERLINK("https://klasma.github.io/Logging_0188/klagomål/A 44547-2024 FSC-klagomål.docx", "A 44547-2024")</f>
        <v/>
      </c>
      <c r="W178">
        <f>HYPERLINK("https://klasma.github.io/Logging_0188/klagomålsmail/A 44547-2024 FSC-klagomål mail.docx", "A 44547-2024")</f>
        <v/>
      </c>
      <c r="X178">
        <f>HYPERLINK("https://klasma.github.io/Logging_0188/tillsyn/A 44547-2024 tillsynsbegäran.docx", "A 44547-2024")</f>
        <v/>
      </c>
      <c r="Y178">
        <f>HYPERLINK("https://klasma.github.io/Logging_0188/tillsynsmail/A 44547-2024 tillsynsbegäran mail.docx", "A 44547-2024")</f>
        <v/>
      </c>
    </row>
    <row r="179" ht="15" customHeight="1">
      <c r="A179" t="inlineStr">
        <is>
          <t>A 17752-2019</t>
        </is>
      </c>
      <c r="B179" s="1" t="n">
        <v>43556</v>
      </c>
      <c r="C179" s="1" t="n">
        <v>45583</v>
      </c>
      <c r="D179" t="inlineStr">
        <is>
          <t>STOCKHOLMS LÄN</t>
        </is>
      </c>
      <c r="E179" t="inlineStr">
        <is>
          <t>NORRTÄLJE</t>
        </is>
      </c>
      <c r="G179" t="n">
        <v>3</v>
      </c>
      <c r="H179" t="n">
        <v>0</v>
      </c>
      <c r="I179" t="n">
        <v>0</v>
      </c>
      <c r="J179" t="n">
        <v>0</v>
      </c>
      <c r="K179" t="n">
        <v>0</v>
      </c>
      <c r="L179" t="n">
        <v>0</v>
      </c>
      <c r="M179" t="n">
        <v>0</v>
      </c>
      <c r="N179" t="n">
        <v>0</v>
      </c>
      <c r="O179" t="n">
        <v>0</v>
      </c>
      <c r="P179" t="n">
        <v>0</v>
      </c>
      <c r="Q179" t="n">
        <v>0</v>
      </c>
      <c r="R179" s="2" t="inlineStr"/>
    </row>
    <row r="180" ht="15" customHeight="1">
      <c r="A180" t="inlineStr">
        <is>
          <t>A 17795-2019</t>
        </is>
      </c>
      <c r="B180" s="1" t="n">
        <v>43556</v>
      </c>
      <c r="C180" s="1" t="n">
        <v>45583</v>
      </c>
      <c r="D180" t="inlineStr">
        <is>
          <t>STOCKHOLMS LÄN</t>
        </is>
      </c>
      <c r="E180" t="inlineStr">
        <is>
          <t>NORRTÄLJE</t>
        </is>
      </c>
      <c r="G180" t="n">
        <v>0.8</v>
      </c>
      <c r="H180" t="n">
        <v>0</v>
      </c>
      <c r="I180" t="n">
        <v>0</v>
      </c>
      <c r="J180" t="n">
        <v>0</v>
      </c>
      <c r="K180" t="n">
        <v>0</v>
      </c>
      <c r="L180" t="n">
        <v>0</v>
      </c>
      <c r="M180" t="n">
        <v>0</v>
      </c>
      <c r="N180" t="n">
        <v>0</v>
      </c>
      <c r="O180" t="n">
        <v>0</v>
      </c>
      <c r="P180" t="n">
        <v>0</v>
      </c>
      <c r="Q180" t="n">
        <v>0</v>
      </c>
      <c r="R180" s="2" t="inlineStr"/>
    </row>
    <row r="181" ht="15" customHeight="1">
      <c r="A181" t="inlineStr">
        <is>
          <t>A 17757-2019</t>
        </is>
      </c>
      <c r="B181" s="1" t="n">
        <v>43556</v>
      </c>
      <c r="C181" s="1" t="n">
        <v>45583</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17963-2019</t>
        </is>
      </c>
      <c r="B182" s="1" t="n">
        <v>43557</v>
      </c>
      <c r="C182" s="1" t="n">
        <v>45583</v>
      </c>
      <c r="D182" t="inlineStr">
        <is>
          <t>STOCKHOLMS LÄN</t>
        </is>
      </c>
      <c r="E182" t="inlineStr">
        <is>
          <t>NORRTÄLJE</t>
        </is>
      </c>
      <c r="G182" t="n">
        <v>0.9</v>
      </c>
      <c r="H182" t="n">
        <v>0</v>
      </c>
      <c r="I182" t="n">
        <v>0</v>
      </c>
      <c r="J182" t="n">
        <v>0</v>
      </c>
      <c r="K182" t="n">
        <v>0</v>
      </c>
      <c r="L182" t="n">
        <v>0</v>
      </c>
      <c r="M182" t="n">
        <v>0</v>
      </c>
      <c r="N182" t="n">
        <v>0</v>
      </c>
      <c r="O182" t="n">
        <v>0</v>
      </c>
      <c r="P182" t="n">
        <v>0</v>
      </c>
      <c r="Q182" t="n">
        <v>0</v>
      </c>
      <c r="R182" s="2" t="inlineStr"/>
    </row>
    <row r="183" ht="15" customHeight="1">
      <c r="A183" t="inlineStr">
        <is>
          <t>A 18378-2019</t>
        </is>
      </c>
      <c r="B183" s="1" t="n">
        <v>43559</v>
      </c>
      <c r="C183" s="1" t="n">
        <v>45583</v>
      </c>
      <c r="D183" t="inlineStr">
        <is>
          <t>STOCKHOLMS LÄN</t>
        </is>
      </c>
      <c r="E183" t="inlineStr">
        <is>
          <t>NORRTÄLJE</t>
        </is>
      </c>
      <c r="G183" t="n">
        <v>5.8</v>
      </c>
      <c r="H183" t="n">
        <v>0</v>
      </c>
      <c r="I183" t="n">
        <v>0</v>
      </c>
      <c r="J183" t="n">
        <v>0</v>
      </c>
      <c r="K183" t="n">
        <v>0</v>
      </c>
      <c r="L183" t="n">
        <v>0</v>
      </c>
      <c r="M183" t="n">
        <v>0</v>
      </c>
      <c r="N183" t="n">
        <v>0</v>
      </c>
      <c r="O183" t="n">
        <v>0</v>
      </c>
      <c r="P183" t="n">
        <v>0</v>
      </c>
      <c r="Q183" t="n">
        <v>0</v>
      </c>
      <c r="R183" s="2" t="inlineStr"/>
    </row>
    <row r="184" ht="15" customHeight="1">
      <c r="A184" t="inlineStr">
        <is>
          <t>A 18664-2019</t>
        </is>
      </c>
      <c r="B184" s="1" t="n">
        <v>43560</v>
      </c>
      <c r="C184" s="1" t="n">
        <v>45583</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18767-2019</t>
        </is>
      </c>
      <c r="B185" s="1" t="n">
        <v>43560</v>
      </c>
      <c r="C185" s="1" t="n">
        <v>45583</v>
      </c>
      <c r="D185" t="inlineStr">
        <is>
          <t>STOCKHOLMS LÄN</t>
        </is>
      </c>
      <c r="E185" t="inlineStr">
        <is>
          <t>NORRTÄLJE</t>
        </is>
      </c>
      <c r="G185" t="n">
        <v>4</v>
      </c>
      <c r="H185" t="n">
        <v>0</v>
      </c>
      <c r="I185" t="n">
        <v>0</v>
      </c>
      <c r="J185" t="n">
        <v>0</v>
      </c>
      <c r="K185" t="n">
        <v>0</v>
      </c>
      <c r="L185" t="n">
        <v>0</v>
      </c>
      <c r="M185" t="n">
        <v>0</v>
      </c>
      <c r="N185" t="n">
        <v>0</v>
      </c>
      <c r="O185" t="n">
        <v>0</v>
      </c>
      <c r="P185" t="n">
        <v>0</v>
      </c>
      <c r="Q185" t="n">
        <v>0</v>
      </c>
      <c r="R185" s="2" t="inlineStr"/>
    </row>
    <row r="186" ht="15" customHeight="1">
      <c r="A186" t="inlineStr">
        <is>
          <t>A 18820-2019</t>
        </is>
      </c>
      <c r="B186" s="1" t="n">
        <v>43563</v>
      </c>
      <c r="C186" s="1" t="n">
        <v>45583</v>
      </c>
      <c r="D186" t="inlineStr">
        <is>
          <t>STOCKHOLMS LÄN</t>
        </is>
      </c>
      <c r="E186" t="inlineStr">
        <is>
          <t>NORRTÄLJE</t>
        </is>
      </c>
      <c r="G186" t="n">
        <v>3</v>
      </c>
      <c r="H186" t="n">
        <v>0</v>
      </c>
      <c r="I186" t="n">
        <v>0</v>
      </c>
      <c r="J186" t="n">
        <v>0</v>
      </c>
      <c r="K186" t="n">
        <v>0</v>
      </c>
      <c r="L186" t="n">
        <v>0</v>
      </c>
      <c r="M186" t="n">
        <v>0</v>
      </c>
      <c r="N186" t="n">
        <v>0</v>
      </c>
      <c r="O186" t="n">
        <v>0</v>
      </c>
      <c r="P186" t="n">
        <v>0</v>
      </c>
      <c r="Q186" t="n">
        <v>0</v>
      </c>
      <c r="R186" s="2" t="inlineStr"/>
    </row>
    <row r="187" ht="15" customHeight="1">
      <c r="A187" t="inlineStr">
        <is>
          <t>A 18890-2019</t>
        </is>
      </c>
      <c r="B187" s="1" t="n">
        <v>43563</v>
      </c>
      <c r="C187" s="1" t="n">
        <v>45583</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18909-2019</t>
        </is>
      </c>
      <c r="B188" s="1" t="n">
        <v>43563</v>
      </c>
      <c r="C188" s="1" t="n">
        <v>45583</v>
      </c>
      <c r="D188" t="inlineStr">
        <is>
          <t>STOCKHOLMS LÄN</t>
        </is>
      </c>
      <c r="E188" t="inlineStr">
        <is>
          <t>NORRTÄLJE</t>
        </is>
      </c>
      <c r="G188" t="n">
        <v>2.9</v>
      </c>
      <c r="H188" t="n">
        <v>0</v>
      </c>
      <c r="I188" t="n">
        <v>0</v>
      </c>
      <c r="J188" t="n">
        <v>0</v>
      </c>
      <c r="K188" t="n">
        <v>0</v>
      </c>
      <c r="L188" t="n">
        <v>0</v>
      </c>
      <c r="M188" t="n">
        <v>0</v>
      </c>
      <c r="N188" t="n">
        <v>0</v>
      </c>
      <c r="O188" t="n">
        <v>0</v>
      </c>
      <c r="P188" t="n">
        <v>0</v>
      </c>
      <c r="Q188" t="n">
        <v>0</v>
      </c>
      <c r="R188" s="2" t="inlineStr"/>
    </row>
    <row r="189" ht="15" customHeight="1">
      <c r="A189" t="inlineStr">
        <is>
          <t>A 19026-2019</t>
        </is>
      </c>
      <c r="B189" s="1" t="n">
        <v>43563</v>
      </c>
      <c r="C189" s="1" t="n">
        <v>45583</v>
      </c>
      <c r="D189" t="inlineStr">
        <is>
          <t>STOCKHOLMS LÄN</t>
        </is>
      </c>
      <c r="E189" t="inlineStr">
        <is>
          <t>NORRTÄLJE</t>
        </is>
      </c>
      <c r="G189" t="n">
        <v>4.4</v>
      </c>
      <c r="H189" t="n">
        <v>0</v>
      </c>
      <c r="I189" t="n">
        <v>0</v>
      </c>
      <c r="J189" t="n">
        <v>0</v>
      </c>
      <c r="K189" t="n">
        <v>0</v>
      </c>
      <c r="L189" t="n">
        <v>0</v>
      </c>
      <c r="M189" t="n">
        <v>0</v>
      </c>
      <c r="N189" t="n">
        <v>0</v>
      </c>
      <c r="O189" t="n">
        <v>0</v>
      </c>
      <c r="P189" t="n">
        <v>0</v>
      </c>
      <c r="Q189" t="n">
        <v>0</v>
      </c>
      <c r="R189" s="2" t="inlineStr"/>
    </row>
    <row r="190" ht="15" customHeight="1">
      <c r="A190" t="inlineStr">
        <is>
          <t>A 19014-2019</t>
        </is>
      </c>
      <c r="B190" s="1" t="n">
        <v>43563</v>
      </c>
      <c r="C190" s="1" t="n">
        <v>45583</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19247-2019</t>
        </is>
      </c>
      <c r="B191" s="1" t="n">
        <v>43564</v>
      </c>
      <c r="C191" s="1" t="n">
        <v>45583</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19255-2019</t>
        </is>
      </c>
      <c r="B192" s="1" t="n">
        <v>43564</v>
      </c>
      <c r="C192" s="1" t="n">
        <v>45583</v>
      </c>
      <c r="D192" t="inlineStr">
        <is>
          <t>STOCKHOLMS LÄN</t>
        </is>
      </c>
      <c r="E192" t="inlineStr">
        <is>
          <t>NORRTÄLJE</t>
        </is>
      </c>
      <c r="G192" t="n">
        <v>2.6</v>
      </c>
      <c r="H192" t="n">
        <v>0</v>
      </c>
      <c r="I192" t="n">
        <v>0</v>
      </c>
      <c r="J192" t="n">
        <v>0</v>
      </c>
      <c r="K192" t="n">
        <v>0</v>
      </c>
      <c r="L192" t="n">
        <v>0</v>
      </c>
      <c r="M192" t="n">
        <v>0</v>
      </c>
      <c r="N192" t="n">
        <v>0</v>
      </c>
      <c r="O192" t="n">
        <v>0</v>
      </c>
      <c r="P192" t="n">
        <v>0</v>
      </c>
      <c r="Q192" t="n">
        <v>0</v>
      </c>
      <c r="R192" s="2" t="inlineStr"/>
    </row>
    <row r="193" ht="15" customHeight="1">
      <c r="A193" t="inlineStr">
        <is>
          <t>A 19302-2019</t>
        </is>
      </c>
      <c r="B193" s="1" t="n">
        <v>43565</v>
      </c>
      <c r="C193" s="1" t="n">
        <v>45583</v>
      </c>
      <c r="D193" t="inlineStr">
        <is>
          <t>STOCKHOLMS LÄN</t>
        </is>
      </c>
      <c r="E193" t="inlineStr">
        <is>
          <t>NORRTÄLJE</t>
        </is>
      </c>
      <c r="F193" t="inlineStr">
        <is>
          <t>Kommuner</t>
        </is>
      </c>
      <c r="G193" t="n">
        <v>4.2</v>
      </c>
      <c r="H193" t="n">
        <v>0</v>
      </c>
      <c r="I193" t="n">
        <v>0</v>
      </c>
      <c r="J193" t="n">
        <v>0</v>
      </c>
      <c r="K193" t="n">
        <v>0</v>
      </c>
      <c r="L193" t="n">
        <v>0</v>
      </c>
      <c r="M193" t="n">
        <v>0</v>
      </c>
      <c r="N193" t="n">
        <v>0</v>
      </c>
      <c r="O193" t="n">
        <v>0</v>
      </c>
      <c r="P193" t="n">
        <v>0</v>
      </c>
      <c r="Q193" t="n">
        <v>0</v>
      </c>
      <c r="R193" s="2" t="inlineStr"/>
    </row>
    <row r="194" ht="15" customHeight="1">
      <c r="A194" t="inlineStr">
        <is>
          <t>A 19301-2019</t>
        </is>
      </c>
      <c r="B194" s="1" t="n">
        <v>43565</v>
      </c>
      <c r="C194" s="1" t="n">
        <v>45583</v>
      </c>
      <c r="D194" t="inlineStr">
        <is>
          <t>STOCKHOLMS LÄN</t>
        </is>
      </c>
      <c r="E194" t="inlineStr">
        <is>
          <t>NORRTÄLJE</t>
        </is>
      </c>
      <c r="F194" t="inlineStr">
        <is>
          <t>Kommuner</t>
        </is>
      </c>
      <c r="G194" t="n">
        <v>3.9</v>
      </c>
      <c r="H194" t="n">
        <v>0</v>
      </c>
      <c r="I194" t="n">
        <v>0</v>
      </c>
      <c r="J194" t="n">
        <v>0</v>
      </c>
      <c r="K194" t="n">
        <v>0</v>
      </c>
      <c r="L194" t="n">
        <v>0</v>
      </c>
      <c r="M194" t="n">
        <v>0</v>
      </c>
      <c r="N194" t="n">
        <v>0</v>
      </c>
      <c r="O194" t="n">
        <v>0</v>
      </c>
      <c r="P194" t="n">
        <v>0</v>
      </c>
      <c r="Q194" t="n">
        <v>0</v>
      </c>
      <c r="R194" s="2" t="inlineStr"/>
    </row>
    <row r="195" ht="15" customHeight="1">
      <c r="A195" t="inlineStr">
        <is>
          <t>A 19297-2019</t>
        </is>
      </c>
      <c r="B195" s="1" t="n">
        <v>43565</v>
      </c>
      <c r="C195" s="1" t="n">
        <v>45583</v>
      </c>
      <c r="D195" t="inlineStr">
        <is>
          <t>STOCKHOLMS LÄN</t>
        </is>
      </c>
      <c r="E195" t="inlineStr">
        <is>
          <t>NORRTÄLJE</t>
        </is>
      </c>
      <c r="F195" t="inlineStr">
        <is>
          <t>Kommuner</t>
        </is>
      </c>
      <c r="G195" t="n">
        <v>1.2</v>
      </c>
      <c r="H195" t="n">
        <v>0</v>
      </c>
      <c r="I195" t="n">
        <v>0</v>
      </c>
      <c r="J195" t="n">
        <v>0</v>
      </c>
      <c r="K195" t="n">
        <v>0</v>
      </c>
      <c r="L195" t="n">
        <v>0</v>
      </c>
      <c r="M195" t="n">
        <v>0</v>
      </c>
      <c r="N195" t="n">
        <v>0</v>
      </c>
      <c r="O195" t="n">
        <v>0</v>
      </c>
      <c r="P195" t="n">
        <v>0</v>
      </c>
      <c r="Q195" t="n">
        <v>0</v>
      </c>
      <c r="R195" s="2" t="inlineStr"/>
    </row>
    <row r="196" ht="15" customHeight="1">
      <c r="A196" t="inlineStr">
        <is>
          <t>A 19537-2019</t>
        </is>
      </c>
      <c r="B196" s="1" t="n">
        <v>43565</v>
      </c>
      <c r="C196" s="1" t="n">
        <v>45583</v>
      </c>
      <c r="D196" t="inlineStr">
        <is>
          <t>STOCKHOLMS LÄN</t>
        </is>
      </c>
      <c r="E196" t="inlineStr">
        <is>
          <t>NORRTÄLJE</t>
        </is>
      </c>
      <c r="G196" t="n">
        <v>0.6</v>
      </c>
      <c r="H196" t="n">
        <v>0</v>
      </c>
      <c r="I196" t="n">
        <v>0</v>
      </c>
      <c r="J196" t="n">
        <v>0</v>
      </c>
      <c r="K196" t="n">
        <v>0</v>
      </c>
      <c r="L196" t="n">
        <v>0</v>
      </c>
      <c r="M196" t="n">
        <v>0</v>
      </c>
      <c r="N196" t="n">
        <v>0</v>
      </c>
      <c r="O196" t="n">
        <v>0</v>
      </c>
      <c r="P196" t="n">
        <v>0</v>
      </c>
      <c r="Q196" t="n">
        <v>0</v>
      </c>
      <c r="R196" s="2" t="inlineStr"/>
    </row>
    <row r="197" ht="15" customHeight="1">
      <c r="A197" t="inlineStr">
        <is>
          <t>A 19539-2019</t>
        </is>
      </c>
      <c r="B197" s="1" t="n">
        <v>43565</v>
      </c>
      <c r="C197" s="1" t="n">
        <v>45583</v>
      </c>
      <c r="D197" t="inlineStr">
        <is>
          <t>STOCKHOLMS LÄN</t>
        </is>
      </c>
      <c r="E197" t="inlineStr">
        <is>
          <t>NORRTÄLJE</t>
        </is>
      </c>
      <c r="G197" t="n">
        <v>2.4</v>
      </c>
      <c r="H197" t="n">
        <v>0</v>
      </c>
      <c r="I197" t="n">
        <v>0</v>
      </c>
      <c r="J197" t="n">
        <v>0</v>
      </c>
      <c r="K197" t="n">
        <v>0</v>
      </c>
      <c r="L197" t="n">
        <v>0</v>
      </c>
      <c r="M197" t="n">
        <v>0</v>
      </c>
      <c r="N197" t="n">
        <v>0</v>
      </c>
      <c r="O197" t="n">
        <v>0</v>
      </c>
      <c r="P197" t="n">
        <v>0</v>
      </c>
      <c r="Q197" t="n">
        <v>0</v>
      </c>
      <c r="R197" s="2" t="inlineStr"/>
    </row>
    <row r="198" ht="15" customHeight="1">
      <c r="A198" t="inlineStr">
        <is>
          <t>A 19540-2019</t>
        </is>
      </c>
      <c r="B198" s="1" t="n">
        <v>43565</v>
      </c>
      <c r="C198" s="1" t="n">
        <v>45583</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19638-2019</t>
        </is>
      </c>
      <c r="B199" s="1" t="n">
        <v>43566</v>
      </c>
      <c r="C199" s="1" t="n">
        <v>45583</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19593-2019</t>
        </is>
      </c>
      <c r="B200" s="1" t="n">
        <v>43566</v>
      </c>
      <c r="C200" s="1" t="n">
        <v>45583</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19872-2019</t>
        </is>
      </c>
      <c r="B201" s="1" t="n">
        <v>43567</v>
      </c>
      <c r="C201" s="1" t="n">
        <v>45583</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19811-2019</t>
        </is>
      </c>
      <c r="B202" s="1" t="n">
        <v>43567</v>
      </c>
      <c r="C202" s="1" t="n">
        <v>45583</v>
      </c>
      <c r="D202" t="inlineStr">
        <is>
          <t>STOCKHOLMS LÄN</t>
        </is>
      </c>
      <c r="E202" t="inlineStr">
        <is>
          <t>NORRTÄLJE</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19812-2019</t>
        </is>
      </c>
      <c r="B203" s="1" t="n">
        <v>43567</v>
      </c>
      <c r="C203" s="1" t="n">
        <v>45583</v>
      </c>
      <c r="D203" t="inlineStr">
        <is>
          <t>STOCKHOLMS LÄN</t>
        </is>
      </c>
      <c r="E203" t="inlineStr">
        <is>
          <t>NORRTÄLJE</t>
        </is>
      </c>
      <c r="F203" t="inlineStr">
        <is>
          <t>Kommuner</t>
        </is>
      </c>
      <c r="G203" t="n">
        <v>1.5</v>
      </c>
      <c r="H203" t="n">
        <v>0</v>
      </c>
      <c r="I203" t="n">
        <v>0</v>
      </c>
      <c r="J203" t="n">
        <v>0</v>
      </c>
      <c r="K203" t="n">
        <v>0</v>
      </c>
      <c r="L203" t="n">
        <v>0</v>
      </c>
      <c r="M203" t="n">
        <v>0</v>
      </c>
      <c r="N203" t="n">
        <v>0</v>
      </c>
      <c r="O203" t="n">
        <v>0</v>
      </c>
      <c r="P203" t="n">
        <v>0</v>
      </c>
      <c r="Q203" t="n">
        <v>0</v>
      </c>
      <c r="R203" s="2" t="inlineStr"/>
    </row>
    <row r="204" ht="15" customHeight="1">
      <c r="A204" t="inlineStr">
        <is>
          <t>A 19931-2019</t>
        </is>
      </c>
      <c r="B204" s="1" t="n">
        <v>43568</v>
      </c>
      <c r="C204" s="1" t="n">
        <v>45583</v>
      </c>
      <c r="D204" t="inlineStr">
        <is>
          <t>STOCKHOLMS LÄN</t>
        </is>
      </c>
      <c r="E204" t="inlineStr">
        <is>
          <t>NORRTÄLJE</t>
        </is>
      </c>
      <c r="G204" t="n">
        <v>4.2</v>
      </c>
      <c r="H204" t="n">
        <v>0</v>
      </c>
      <c r="I204" t="n">
        <v>0</v>
      </c>
      <c r="J204" t="n">
        <v>0</v>
      </c>
      <c r="K204" t="n">
        <v>0</v>
      </c>
      <c r="L204" t="n">
        <v>0</v>
      </c>
      <c r="M204" t="n">
        <v>0</v>
      </c>
      <c r="N204" t="n">
        <v>0</v>
      </c>
      <c r="O204" t="n">
        <v>0</v>
      </c>
      <c r="P204" t="n">
        <v>0</v>
      </c>
      <c r="Q204" t="n">
        <v>0</v>
      </c>
      <c r="R204" s="2" t="inlineStr"/>
    </row>
    <row r="205" ht="15" customHeight="1">
      <c r="A205" t="inlineStr">
        <is>
          <t>A 20033-2019</t>
        </is>
      </c>
      <c r="B205" s="1" t="n">
        <v>43570</v>
      </c>
      <c r="C205" s="1" t="n">
        <v>45583</v>
      </c>
      <c r="D205" t="inlineStr">
        <is>
          <t>STOCKHOLMS LÄN</t>
        </is>
      </c>
      <c r="E205" t="inlineStr">
        <is>
          <t>NORRTÄLJE</t>
        </is>
      </c>
      <c r="G205" t="n">
        <v>1.3</v>
      </c>
      <c r="H205" t="n">
        <v>0</v>
      </c>
      <c r="I205" t="n">
        <v>0</v>
      </c>
      <c r="J205" t="n">
        <v>0</v>
      </c>
      <c r="K205" t="n">
        <v>0</v>
      </c>
      <c r="L205" t="n">
        <v>0</v>
      </c>
      <c r="M205" t="n">
        <v>0</v>
      </c>
      <c r="N205" t="n">
        <v>0</v>
      </c>
      <c r="O205" t="n">
        <v>0</v>
      </c>
      <c r="P205" t="n">
        <v>0</v>
      </c>
      <c r="Q205" t="n">
        <v>0</v>
      </c>
      <c r="R205" s="2" t="inlineStr"/>
    </row>
    <row r="206" ht="15" customHeight="1">
      <c r="A206" t="inlineStr">
        <is>
          <t>A 20020-2019</t>
        </is>
      </c>
      <c r="B206" s="1" t="n">
        <v>43570</v>
      </c>
      <c r="C206" s="1" t="n">
        <v>45583</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20051-2019</t>
        </is>
      </c>
      <c r="B207" s="1" t="n">
        <v>43570</v>
      </c>
      <c r="C207" s="1" t="n">
        <v>45583</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20137-2019</t>
        </is>
      </c>
      <c r="B208" s="1" t="n">
        <v>43570</v>
      </c>
      <c r="C208" s="1" t="n">
        <v>45583</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20007-2019</t>
        </is>
      </c>
      <c r="B209" s="1" t="n">
        <v>43570</v>
      </c>
      <c r="C209" s="1" t="n">
        <v>45583</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20052-2019</t>
        </is>
      </c>
      <c r="B210" s="1" t="n">
        <v>43570</v>
      </c>
      <c r="C210" s="1" t="n">
        <v>45583</v>
      </c>
      <c r="D210" t="inlineStr">
        <is>
          <t>STOCKHOLMS LÄN</t>
        </is>
      </c>
      <c r="E210" t="inlineStr">
        <is>
          <t>NORRTÄLJE</t>
        </is>
      </c>
      <c r="G210" t="n">
        <v>0.5</v>
      </c>
      <c r="H210" t="n">
        <v>0</v>
      </c>
      <c r="I210" t="n">
        <v>0</v>
      </c>
      <c r="J210" t="n">
        <v>0</v>
      </c>
      <c r="K210" t="n">
        <v>0</v>
      </c>
      <c r="L210" t="n">
        <v>0</v>
      </c>
      <c r="M210" t="n">
        <v>0</v>
      </c>
      <c r="N210" t="n">
        <v>0</v>
      </c>
      <c r="O210" t="n">
        <v>0</v>
      </c>
      <c r="P210" t="n">
        <v>0</v>
      </c>
      <c r="Q210" t="n">
        <v>0</v>
      </c>
      <c r="R210" s="2" t="inlineStr"/>
    </row>
    <row r="211" ht="15" customHeight="1">
      <c r="A211" t="inlineStr">
        <is>
          <t>A 20159-2019</t>
        </is>
      </c>
      <c r="B211" s="1" t="n">
        <v>43570</v>
      </c>
      <c r="C211" s="1" t="n">
        <v>45583</v>
      </c>
      <c r="D211" t="inlineStr">
        <is>
          <t>STOCKHOLMS LÄN</t>
        </is>
      </c>
      <c r="E211" t="inlineStr">
        <is>
          <t>NORRTÄLJE</t>
        </is>
      </c>
      <c r="F211" t="inlineStr">
        <is>
          <t>Kommuner</t>
        </is>
      </c>
      <c r="G211" t="n">
        <v>2</v>
      </c>
      <c r="H211" t="n">
        <v>0</v>
      </c>
      <c r="I211" t="n">
        <v>0</v>
      </c>
      <c r="J211" t="n">
        <v>0</v>
      </c>
      <c r="K211" t="n">
        <v>0</v>
      </c>
      <c r="L211" t="n">
        <v>0</v>
      </c>
      <c r="M211" t="n">
        <v>0</v>
      </c>
      <c r="N211" t="n">
        <v>0</v>
      </c>
      <c r="O211" t="n">
        <v>0</v>
      </c>
      <c r="P211" t="n">
        <v>0</v>
      </c>
      <c r="Q211" t="n">
        <v>0</v>
      </c>
      <c r="R211" s="2" t="inlineStr"/>
    </row>
    <row r="212" ht="15" customHeight="1">
      <c r="A212" t="inlineStr">
        <is>
          <t>A 20181-2019</t>
        </is>
      </c>
      <c r="B212" s="1" t="n">
        <v>43570</v>
      </c>
      <c r="C212" s="1" t="n">
        <v>45583</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20184-2019</t>
        </is>
      </c>
      <c r="B213" s="1" t="n">
        <v>43570</v>
      </c>
      <c r="C213" s="1" t="n">
        <v>45583</v>
      </c>
      <c r="D213" t="inlineStr">
        <is>
          <t>STOCKHOLMS LÄN</t>
        </is>
      </c>
      <c r="E213" t="inlineStr">
        <is>
          <t>NORRTÄLJE</t>
        </is>
      </c>
      <c r="G213" t="n">
        <v>2.8</v>
      </c>
      <c r="H213" t="n">
        <v>0</v>
      </c>
      <c r="I213" t="n">
        <v>0</v>
      </c>
      <c r="J213" t="n">
        <v>0</v>
      </c>
      <c r="K213" t="n">
        <v>0</v>
      </c>
      <c r="L213" t="n">
        <v>0</v>
      </c>
      <c r="M213" t="n">
        <v>0</v>
      </c>
      <c r="N213" t="n">
        <v>0</v>
      </c>
      <c r="O213" t="n">
        <v>0</v>
      </c>
      <c r="P213" t="n">
        <v>0</v>
      </c>
      <c r="Q213" t="n">
        <v>0</v>
      </c>
      <c r="R213" s="2" t="inlineStr"/>
    </row>
    <row r="214" ht="15" customHeight="1">
      <c r="A214" t="inlineStr">
        <is>
          <t>A 20193-2019</t>
        </is>
      </c>
      <c r="B214" s="1" t="n">
        <v>43570</v>
      </c>
      <c r="C214" s="1" t="n">
        <v>45583</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20090-2019</t>
        </is>
      </c>
      <c r="B215" s="1" t="n">
        <v>43570</v>
      </c>
      <c r="C215" s="1" t="n">
        <v>45583</v>
      </c>
      <c r="D215" t="inlineStr">
        <is>
          <t>STOCKHOLMS LÄN</t>
        </is>
      </c>
      <c r="E215" t="inlineStr">
        <is>
          <t>NORRTÄLJE</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20165-2019</t>
        </is>
      </c>
      <c r="B216" s="1" t="n">
        <v>43570</v>
      </c>
      <c r="C216" s="1" t="n">
        <v>45583</v>
      </c>
      <c r="D216" t="inlineStr">
        <is>
          <t>STOCKHOLMS LÄN</t>
        </is>
      </c>
      <c r="E216" t="inlineStr">
        <is>
          <t>NORRTÄLJE</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20023-2019</t>
        </is>
      </c>
      <c r="B217" s="1" t="n">
        <v>43570</v>
      </c>
      <c r="C217" s="1" t="n">
        <v>45583</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20531-2019</t>
        </is>
      </c>
      <c r="B218" s="1" t="n">
        <v>43572</v>
      </c>
      <c r="C218" s="1" t="n">
        <v>45583</v>
      </c>
      <c r="D218" t="inlineStr">
        <is>
          <t>STOCKHOLMS LÄN</t>
        </is>
      </c>
      <c r="E218" t="inlineStr">
        <is>
          <t>NORRTÄLJE</t>
        </is>
      </c>
      <c r="G218" t="n">
        <v>2</v>
      </c>
      <c r="H218" t="n">
        <v>0</v>
      </c>
      <c r="I218" t="n">
        <v>0</v>
      </c>
      <c r="J218" t="n">
        <v>0</v>
      </c>
      <c r="K218" t="n">
        <v>0</v>
      </c>
      <c r="L218" t="n">
        <v>0</v>
      </c>
      <c r="M218" t="n">
        <v>0</v>
      </c>
      <c r="N218" t="n">
        <v>0</v>
      </c>
      <c r="O218" t="n">
        <v>0</v>
      </c>
      <c r="P218" t="n">
        <v>0</v>
      </c>
      <c r="Q218" t="n">
        <v>0</v>
      </c>
      <c r="R218" s="2" t="inlineStr"/>
    </row>
    <row r="219" ht="15" customHeight="1">
      <c r="A219" t="inlineStr">
        <is>
          <t>A 20743-2019</t>
        </is>
      </c>
      <c r="B219" s="1" t="n">
        <v>43573</v>
      </c>
      <c r="C219" s="1" t="n">
        <v>45583</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20809-2019</t>
        </is>
      </c>
      <c r="B220" s="1" t="n">
        <v>43573</v>
      </c>
      <c r="C220" s="1" t="n">
        <v>45583</v>
      </c>
      <c r="D220" t="inlineStr">
        <is>
          <t>STOCKHOLMS LÄN</t>
        </is>
      </c>
      <c r="E220" t="inlineStr">
        <is>
          <t>NORRTÄLJE</t>
        </is>
      </c>
      <c r="F220" t="inlineStr">
        <is>
          <t>Kommuner</t>
        </is>
      </c>
      <c r="G220" t="n">
        <v>2.2</v>
      </c>
      <c r="H220" t="n">
        <v>0</v>
      </c>
      <c r="I220" t="n">
        <v>0</v>
      </c>
      <c r="J220" t="n">
        <v>0</v>
      </c>
      <c r="K220" t="n">
        <v>0</v>
      </c>
      <c r="L220" t="n">
        <v>0</v>
      </c>
      <c r="M220" t="n">
        <v>0</v>
      </c>
      <c r="N220" t="n">
        <v>0</v>
      </c>
      <c r="O220" t="n">
        <v>0</v>
      </c>
      <c r="P220" t="n">
        <v>0</v>
      </c>
      <c r="Q220" t="n">
        <v>0</v>
      </c>
      <c r="R220" s="2" t="inlineStr"/>
    </row>
    <row r="221" ht="15" customHeight="1">
      <c r="A221" t="inlineStr">
        <is>
          <t>A 20925-2019</t>
        </is>
      </c>
      <c r="B221" s="1" t="n">
        <v>43578</v>
      </c>
      <c r="C221" s="1" t="n">
        <v>45583</v>
      </c>
      <c r="D221" t="inlineStr">
        <is>
          <t>STOCKHOLMS LÄN</t>
        </is>
      </c>
      <c r="E221" t="inlineStr">
        <is>
          <t>NORRTÄLJE</t>
        </is>
      </c>
      <c r="G221" t="n">
        <v>5</v>
      </c>
      <c r="H221" t="n">
        <v>0</v>
      </c>
      <c r="I221" t="n">
        <v>0</v>
      </c>
      <c r="J221" t="n">
        <v>0</v>
      </c>
      <c r="K221" t="n">
        <v>0</v>
      </c>
      <c r="L221" t="n">
        <v>0</v>
      </c>
      <c r="M221" t="n">
        <v>0</v>
      </c>
      <c r="N221" t="n">
        <v>0</v>
      </c>
      <c r="O221" t="n">
        <v>0</v>
      </c>
      <c r="P221" t="n">
        <v>0</v>
      </c>
      <c r="Q221" t="n">
        <v>0</v>
      </c>
      <c r="R221" s="2" t="inlineStr"/>
    </row>
    <row r="222" ht="15" customHeight="1">
      <c r="A222" t="inlineStr">
        <is>
          <t>A 21062-2019</t>
        </is>
      </c>
      <c r="B222" s="1" t="n">
        <v>43578</v>
      </c>
      <c r="C222" s="1" t="n">
        <v>45583</v>
      </c>
      <c r="D222" t="inlineStr">
        <is>
          <t>STOCKHOLMS LÄN</t>
        </is>
      </c>
      <c r="E222" t="inlineStr">
        <is>
          <t>NORRTÄLJE</t>
        </is>
      </c>
      <c r="G222" t="n">
        <v>2.7</v>
      </c>
      <c r="H222" t="n">
        <v>0</v>
      </c>
      <c r="I222" t="n">
        <v>0</v>
      </c>
      <c r="J222" t="n">
        <v>0</v>
      </c>
      <c r="K222" t="n">
        <v>0</v>
      </c>
      <c r="L222" t="n">
        <v>0</v>
      </c>
      <c r="M222" t="n">
        <v>0</v>
      </c>
      <c r="N222" t="n">
        <v>0</v>
      </c>
      <c r="O222" t="n">
        <v>0</v>
      </c>
      <c r="P222" t="n">
        <v>0</v>
      </c>
      <c r="Q222" t="n">
        <v>0</v>
      </c>
      <c r="R222" s="2" t="inlineStr"/>
    </row>
    <row r="223" ht="15" customHeight="1">
      <c r="A223" t="inlineStr">
        <is>
          <t>A 21441-2019</t>
        </is>
      </c>
      <c r="B223" s="1" t="n">
        <v>43580</v>
      </c>
      <c r="C223" s="1" t="n">
        <v>45583</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21521-2019</t>
        </is>
      </c>
      <c r="B224" s="1" t="n">
        <v>43580</v>
      </c>
      <c r="C224" s="1" t="n">
        <v>45583</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21508-2019</t>
        </is>
      </c>
      <c r="B225" s="1" t="n">
        <v>43580</v>
      </c>
      <c r="C225" s="1" t="n">
        <v>45583</v>
      </c>
      <c r="D225" t="inlineStr">
        <is>
          <t>STOCKHOLMS LÄN</t>
        </is>
      </c>
      <c r="E225" t="inlineStr">
        <is>
          <t>NORRTÄLJE</t>
        </is>
      </c>
      <c r="G225" t="n">
        <v>1.2</v>
      </c>
      <c r="H225" t="n">
        <v>0</v>
      </c>
      <c r="I225" t="n">
        <v>0</v>
      </c>
      <c r="J225" t="n">
        <v>0</v>
      </c>
      <c r="K225" t="n">
        <v>0</v>
      </c>
      <c r="L225" t="n">
        <v>0</v>
      </c>
      <c r="M225" t="n">
        <v>0</v>
      </c>
      <c r="N225" t="n">
        <v>0</v>
      </c>
      <c r="O225" t="n">
        <v>0</v>
      </c>
      <c r="P225" t="n">
        <v>0</v>
      </c>
      <c r="Q225" t="n">
        <v>0</v>
      </c>
      <c r="R225" s="2" t="inlineStr"/>
    </row>
    <row r="226" ht="15" customHeight="1">
      <c r="A226" t="inlineStr">
        <is>
          <t>A 21457-2019</t>
        </is>
      </c>
      <c r="B226" s="1" t="n">
        <v>43580</v>
      </c>
      <c r="C226" s="1" t="n">
        <v>45583</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21501-2019</t>
        </is>
      </c>
      <c r="B227" s="1" t="n">
        <v>43580</v>
      </c>
      <c r="C227" s="1" t="n">
        <v>45583</v>
      </c>
      <c r="D227" t="inlineStr">
        <is>
          <t>STOCKHOLMS LÄN</t>
        </is>
      </c>
      <c r="E227" t="inlineStr">
        <is>
          <t>NORRTÄLJE</t>
        </is>
      </c>
      <c r="G227" t="n">
        <v>3.6</v>
      </c>
      <c r="H227" t="n">
        <v>0</v>
      </c>
      <c r="I227" t="n">
        <v>0</v>
      </c>
      <c r="J227" t="n">
        <v>0</v>
      </c>
      <c r="K227" t="n">
        <v>0</v>
      </c>
      <c r="L227" t="n">
        <v>0</v>
      </c>
      <c r="M227" t="n">
        <v>0</v>
      </c>
      <c r="N227" t="n">
        <v>0</v>
      </c>
      <c r="O227" t="n">
        <v>0</v>
      </c>
      <c r="P227" t="n">
        <v>0</v>
      </c>
      <c r="Q227" t="n">
        <v>0</v>
      </c>
      <c r="R227" s="2" t="inlineStr"/>
    </row>
    <row r="228" ht="15" customHeight="1">
      <c r="A228" t="inlineStr">
        <is>
          <t>A 21616-2019</t>
        </is>
      </c>
      <c r="B228" s="1" t="n">
        <v>43581</v>
      </c>
      <c r="C228" s="1" t="n">
        <v>45583</v>
      </c>
      <c r="D228" t="inlineStr">
        <is>
          <t>STOCKHOLMS LÄN</t>
        </is>
      </c>
      <c r="E228" t="inlineStr">
        <is>
          <t>NORRTÄLJE</t>
        </is>
      </c>
      <c r="G228" t="n">
        <v>5.3</v>
      </c>
      <c r="H228" t="n">
        <v>0</v>
      </c>
      <c r="I228" t="n">
        <v>0</v>
      </c>
      <c r="J228" t="n">
        <v>0</v>
      </c>
      <c r="K228" t="n">
        <v>0</v>
      </c>
      <c r="L228" t="n">
        <v>0</v>
      </c>
      <c r="M228" t="n">
        <v>0</v>
      </c>
      <c r="N228" t="n">
        <v>0</v>
      </c>
      <c r="O228" t="n">
        <v>0</v>
      </c>
      <c r="P228" t="n">
        <v>0</v>
      </c>
      <c r="Q228" t="n">
        <v>0</v>
      </c>
      <c r="R228" s="2" t="inlineStr"/>
    </row>
    <row r="229" ht="15" customHeight="1">
      <c r="A229" t="inlineStr">
        <is>
          <t>A 21662-2019</t>
        </is>
      </c>
      <c r="B229" s="1" t="n">
        <v>43581</v>
      </c>
      <c r="C229" s="1" t="n">
        <v>45583</v>
      </c>
      <c r="D229" t="inlineStr">
        <is>
          <t>STOCKHOLMS LÄN</t>
        </is>
      </c>
      <c r="E229" t="inlineStr">
        <is>
          <t>NORRTÄLJE</t>
        </is>
      </c>
      <c r="G229" t="n">
        <v>1.5</v>
      </c>
      <c r="H229" t="n">
        <v>0</v>
      </c>
      <c r="I229" t="n">
        <v>0</v>
      </c>
      <c r="J229" t="n">
        <v>0</v>
      </c>
      <c r="K229" t="n">
        <v>0</v>
      </c>
      <c r="L229" t="n">
        <v>0</v>
      </c>
      <c r="M229" t="n">
        <v>0</v>
      </c>
      <c r="N229" t="n">
        <v>0</v>
      </c>
      <c r="O229" t="n">
        <v>0</v>
      </c>
      <c r="P229" t="n">
        <v>0</v>
      </c>
      <c r="Q229" t="n">
        <v>0</v>
      </c>
      <c r="R229" s="2" t="inlineStr"/>
    </row>
    <row r="230" ht="15" customHeight="1">
      <c r="A230" t="inlineStr">
        <is>
          <t>A 21720-2019</t>
        </is>
      </c>
      <c r="B230" s="1" t="n">
        <v>43581</v>
      </c>
      <c r="C230" s="1" t="n">
        <v>45583</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21692-2019</t>
        </is>
      </c>
      <c r="B231" s="1" t="n">
        <v>43581</v>
      </c>
      <c r="C231" s="1" t="n">
        <v>45583</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21811-2019</t>
        </is>
      </c>
      <c r="B232" s="1" t="n">
        <v>43582</v>
      </c>
      <c r="C232" s="1" t="n">
        <v>45583</v>
      </c>
      <c r="D232" t="inlineStr">
        <is>
          <t>STOCKHOLMS LÄN</t>
        </is>
      </c>
      <c r="E232" t="inlineStr">
        <is>
          <t>NORRTÄLJE</t>
        </is>
      </c>
      <c r="G232" t="n">
        <v>1.4</v>
      </c>
      <c r="H232" t="n">
        <v>0</v>
      </c>
      <c r="I232" t="n">
        <v>0</v>
      </c>
      <c r="J232" t="n">
        <v>0</v>
      </c>
      <c r="K232" t="n">
        <v>0</v>
      </c>
      <c r="L232" t="n">
        <v>0</v>
      </c>
      <c r="M232" t="n">
        <v>0</v>
      </c>
      <c r="N232" t="n">
        <v>0</v>
      </c>
      <c r="O232" t="n">
        <v>0</v>
      </c>
      <c r="P232" t="n">
        <v>0</v>
      </c>
      <c r="Q232" t="n">
        <v>0</v>
      </c>
      <c r="R232" s="2" t="inlineStr"/>
    </row>
    <row r="233" ht="15" customHeight="1">
      <c r="A233" t="inlineStr">
        <is>
          <t>A 22207-2019</t>
        </is>
      </c>
      <c r="B233" s="1" t="n">
        <v>43585</v>
      </c>
      <c r="C233" s="1" t="n">
        <v>45583</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22211-2019</t>
        </is>
      </c>
      <c r="B234" s="1" t="n">
        <v>43585</v>
      </c>
      <c r="C234" s="1" t="n">
        <v>45583</v>
      </c>
      <c r="D234" t="inlineStr">
        <is>
          <t>STOCKHOLMS LÄN</t>
        </is>
      </c>
      <c r="E234" t="inlineStr">
        <is>
          <t>NORRTÄLJE</t>
        </is>
      </c>
      <c r="G234" t="n">
        <v>6.8</v>
      </c>
      <c r="H234" t="n">
        <v>0</v>
      </c>
      <c r="I234" t="n">
        <v>0</v>
      </c>
      <c r="J234" t="n">
        <v>0</v>
      </c>
      <c r="K234" t="n">
        <v>0</v>
      </c>
      <c r="L234" t="n">
        <v>0</v>
      </c>
      <c r="M234" t="n">
        <v>0</v>
      </c>
      <c r="N234" t="n">
        <v>0</v>
      </c>
      <c r="O234" t="n">
        <v>0</v>
      </c>
      <c r="P234" t="n">
        <v>0</v>
      </c>
      <c r="Q234" t="n">
        <v>0</v>
      </c>
      <c r="R234" s="2" t="inlineStr"/>
    </row>
    <row r="235" ht="15" customHeight="1">
      <c r="A235" t="inlineStr">
        <is>
          <t>A 22254-2019</t>
        </is>
      </c>
      <c r="B235" s="1" t="n">
        <v>43585</v>
      </c>
      <c r="C235" s="1" t="n">
        <v>45583</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22218-2019</t>
        </is>
      </c>
      <c r="B236" s="1" t="n">
        <v>43585</v>
      </c>
      <c r="C236" s="1" t="n">
        <v>45583</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22331-2019</t>
        </is>
      </c>
      <c r="B237" s="1" t="n">
        <v>43586</v>
      </c>
      <c r="C237" s="1" t="n">
        <v>45583</v>
      </c>
      <c r="D237" t="inlineStr">
        <is>
          <t>STOCKHOLMS LÄN</t>
        </is>
      </c>
      <c r="E237" t="inlineStr">
        <is>
          <t>NORRTÄLJE</t>
        </is>
      </c>
      <c r="G237" t="n">
        <v>2.6</v>
      </c>
      <c r="H237" t="n">
        <v>0</v>
      </c>
      <c r="I237" t="n">
        <v>0</v>
      </c>
      <c r="J237" t="n">
        <v>0</v>
      </c>
      <c r="K237" t="n">
        <v>0</v>
      </c>
      <c r="L237" t="n">
        <v>0</v>
      </c>
      <c r="M237" t="n">
        <v>0</v>
      </c>
      <c r="N237" t="n">
        <v>0</v>
      </c>
      <c r="O237" t="n">
        <v>0</v>
      </c>
      <c r="P237" t="n">
        <v>0</v>
      </c>
      <c r="Q237" t="n">
        <v>0</v>
      </c>
      <c r="R237" s="2" t="inlineStr"/>
    </row>
    <row r="238" ht="15" customHeight="1">
      <c r="A238" t="inlineStr">
        <is>
          <t>A 22359-2019</t>
        </is>
      </c>
      <c r="B238" s="1" t="n">
        <v>43587</v>
      </c>
      <c r="C238" s="1" t="n">
        <v>45583</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22422-2019</t>
        </is>
      </c>
      <c r="B239" s="1" t="n">
        <v>43587</v>
      </c>
      <c r="C239" s="1" t="n">
        <v>45583</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22490-2019</t>
        </is>
      </c>
      <c r="B240" s="1" t="n">
        <v>43587</v>
      </c>
      <c r="C240" s="1" t="n">
        <v>45583</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22496-2019</t>
        </is>
      </c>
      <c r="B241" s="1" t="n">
        <v>43587</v>
      </c>
      <c r="C241" s="1" t="n">
        <v>45583</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23711-2019</t>
        </is>
      </c>
      <c r="B242" s="1" t="n">
        <v>43594</v>
      </c>
      <c r="C242" s="1" t="n">
        <v>45583</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23710-2019</t>
        </is>
      </c>
      <c r="B243" s="1" t="n">
        <v>43594</v>
      </c>
      <c r="C243" s="1" t="n">
        <v>45583</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23862-2019</t>
        </is>
      </c>
      <c r="B244" s="1" t="n">
        <v>43595</v>
      </c>
      <c r="C244" s="1" t="n">
        <v>45583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23878-2019</t>
        </is>
      </c>
      <c r="B245" s="1" t="n">
        <v>43595</v>
      </c>
      <c r="C245" s="1" t="n">
        <v>45583</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23961-2019</t>
        </is>
      </c>
      <c r="B246" s="1" t="n">
        <v>43597</v>
      </c>
      <c r="C246" s="1" t="n">
        <v>45583</v>
      </c>
      <c r="D246" t="inlineStr">
        <is>
          <t>STOCKHOLMS LÄN</t>
        </is>
      </c>
      <c r="E246" t="inlineStr">
        <is>
          <t>NORRTÄLJE</t>
        </is>
      </c>
      <c r="G246" t="n">
        <v>17.6</v>
      </c>
      <c r="H246" t="n">
        <v>0</v>
      </c>
      <c r="I246" t="n">
        <v>0</v>
      </c>
      <c r="J246" t="n">
        <v>0</v>
      </c>
      <c r="K246" t="n">
        <v>0</v>
      </c>
      <c r="L246" t="n">
        <v>0</v>
      </c>
      <c r="M246" t="n">
        <v>0</v>
      </c>
      <c r="N246" t="n">
        <v>0</v>
      </c>
      <c r="O246" t="n">
        <v>0</v>
      </c>
      <c r="P246" t="n">
        <v>0</v>
      </c>
      <c r="Q246" t="n">
        <v>0</v>
      </c>
      <c r="R246" s="2" t="inlineStr"/>
    </row>
    <row r="247" ht="15" customHeight="1">
      <c r="A247" t="inlineStr">
        <is>
          <t>A 23965-2019</t>
        </is>
      </c>
      <c r="B247" s="1" t="n">
        <v>43597</v>
      </c>
      <c r="C247" s="1" t="n">
        <v>45583</v>
      </c>
      <c r="D247" t="inlineStr">
        <is>
          <t>STOCKHOLMS LÄN</t>
        </is>
      </c>
      <c r="E247" t="inlineStr">
        <is>
          <t>NORRTÄLJE</t>
        </is>
      </c>
      <c r="G247" t="n">
        <v>6.1</v>
      </c>
      <c r="H247" t="n">
        <v>0</v>
      </c>
      <c r="I247" t="n">
        <v>0</v>
      </c>
      <c r="J247" t="n">
        <v>0</v>
      </c>
      <c r="K247" t="n">
        <v>0</v>
      </c>
      <c r="L247" t="n">
        <v>0</v>
      </c>
      <c r="M247" t="n">
        <v>0</v>
      </c>
      <c r="N247" t="n">
        <v>0</v>
      </c>
      <c r="O247" t="n">
        <v>0</v>
      </c>
      <c r="P247" t="n">
        <v>0</v>
      </c>
      <c r="Q247" t="n">
        <v>0</v>
      </c>
      <c r="R247" s="2" t="inlineStr"/>
    </row>
    <row r="248" ht="15" customHeight="1">
      <c r="A248" t="inlineStr">
        <is>
          <t>A 23963-2019</t>
        </is>
      </c>
      <c r="B248" s="1" t="n">
        <v>43597</v>
      </c>
      <c r="C248" s="1" t="n">
        <v>45583</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24124-2019</t>
        </is>
      </c>
      <c r="B249" s="1" t="n">
        <v>43598</v>
      </c>
      <c r="C249" s="1" t="n">
        <v>45583</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24058-2019</t>
        </is>
      </c>
      <c r="B250" s="1" t="n">
        <v>43598</v>
      </c>
      <c r="C250" s="1" t="n">
        <v>45583</v>
      </c>
      <c r="D250" t="inlineStr">
        <is>
          <t>STOCKHOLMS LÄN</t>
        </is>
      </c>
      <c r="E250" t="inlineStr">
        <is>
          <t>NORRTÄLJE</t>
        </is>
      </c>
      <c r="G250" t="n">
        <v>2.5</v>
      </c>
      <c r="H250" t="n">
        <v>0</v>
      </c>
      <c r="I250" t="n">
        <v>0</v>
      </c>
      <c r="J250" t="n">
        <v>0</v>
      </c>
      <c r="K250" t="n">
        <v>0</v>
      </c>
      <c r="L250" t="n">
        <v>0</v>
      </c>
      <c r="M250" t="n">
        <v>0</v>
      </c>
      <c r="N250" t="n">
        <v>0</v>
      </c>
      <c r="O250" t="n">
        <v>0</v>
      </c>
      <c r="P250" t="n">
        <v>0</v>
      </c>
      <c r="Q250" t="n">
        <v>0</v>
      </c>
      <c r="R250" s="2" t="inlineStr"/>
    </row>
    <row r="251" ht="15" customHeight="1">
      <c r="A251" t="inlineStr">
        <is>
          <t>A 24562-2019</t>
        </is>
      </c>
      <c r="B251" s="1" t="n">
        <v>43600</v>
      </c>
      <c r="C251" s="1" t="n">
        <v>45583</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24721-2019</t>
        </is>
      </c>
      <c r="B252" s="1" t="n">
        <v>43601</v>
      </c>
      <c r="C252" s="1" t="n">
        <v>45583</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25284-2019</t>
        </is>
      </c>
      <c r="B253" s="1" t="n">
        <v>43605</v>
      </c>
      <c r="C253" s="1" t="n">
        <v>45583</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25535-2019</t>
        </is>
      </c>
      <c r="B254" s="1" t="n">
        <v>43606</v>
      </c>
      <c r="C254" s="1" t="n">
        <v>45583</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25316-2019</t>
        </is>
      </c>
      <c r="B255" s="1" t="n">
        <v>43606</v>
      </c>
      <c r="C255" s="1" t="n">
        <v>45583</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26374-2019</t>
        </is>
      </c>
      <c r="B256" s="1" t="n">
        <v>43606</v>
      </c>
      <c r="C256" s="1" t="n">
        <v>45583</v>
      </c>
      <c r="D256" t="inlineStr">
        <is>
          <t>STOCKHOLMS LÄN</t>
        </is>
      </c>
      <c r="E256" t="inlineStr">
        <is>
          <t>NORRTÄLJE</t>
        </is>
      </c>
      <c r="G256" t="n">
        <v>11.6</v>
      </c>
      <c r="H256" t="n">
        <v>0</v>
      </c>
      <c r="I256" t="n">
        <v>0</v>
      </c>
      <c r="J256" t="n">
        <v>0</v>
      </c>
      <c r="K256" t="n">
        <v>0</v>
      </c>
      <c r="L256" t="n">
        <v>0</v>
      </c>
      <c r="M256" t="n">
        <v>0</v>
      </c>
      <c r="N256" t="n">
        <v>0</v>
      </c>
      <c r="O256" t="n">
        <v>0</v>
      </c>
      <c r="P256" t="n">
        <v>0</v>
      </c>
      <c r="Q256" t="n">
        <v>0</v>
      </c>
      <c r="R256" s="2" t="inlineStr"/>
    </row>
    <row r="257" ht="15" customHeight="1">
      <c r="A257" t="inlineStr">
        <is>
          <t>A 25315-2019</t>
        </is>
      </c>
      <c r="B257" s="1" t="n">
        <v>43606</v>
      </c>
      <c r="C257" s="1" t="n">
        <v>45583</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25625-2019</t>
        </is>
      </c>
      <c r="B258" s="1" t="n">
        <v>43607</v>
      </c>
      <c r="C258" s="1" t="n">
        <v>45583</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26272-2019</t>
        </is>
      </c>
      <c r="B259" s="1" t="n">
        <v>43611</v>
      </c>
      <c r="C259" s="1" t="n">
        <v>45583</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26620-2019</t>
        </is>
      </c>
      <c r="B260" s="1" t="n">
        <v>43612</v>
      </c>
      <c r="C260" s="1" t="n">
        <v>45583</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26391-2019</t>
        </is>
      </c>
      <c r="B261" s="1" t="n">
        <v>43612</v>
      </c>
      <c r="C261" s="1" t="n">
        <v>45583</v>
      </c>
      <c r="D261" t="inlineStr">
        <is>
          <t>STOCKHOLMS LÄN</t>
        </is>
      </c>
      <c r="E261" t="inlineStr">
        <is>
          <t>NORRTÄLJE</t>
        </is>
      </c>
      <c r="G261" t="n">
        <v>1.9</v>
      </c>
      <c r="H261" t="n">
        <v>0</v>
      </c>
      <c r="I261" t="n">
        <v>0</v>
      </c>
      <c r="J261" t="n">
        <v>0</v>
      </c>
      <c r="K261" t="n">
        <v>0</v>
      </c>
      <c r="L261" t="n">
        <v>0</v>
      </c>
      <c r="M261" t="n">
        <v>0</v>
      </c>
      <c r="N261" t="n">
        <v>0</v>
      </c>
      <c r="O261" t="n">
        <v>0</v>
      </c>
      <c r="P261" t="n">
        <v>0</v>
      </c>
      <c r="Q261" t="n">
        <v>0</v>
      </c>
      <c r="R261" s="2" t="inlineStr"/>
    </row>
    <row r="262" ht="15" customHeight="1">
      <c r="A262" t="inlineStr">
        <is>
          <t>A 26933-2019</t>
        </is>
      </c>
      <c r="B262" s="1" t="n">
        <v>43613</v>
      </c>
      <c r="C262" s="1" t="n">
        <v>45583</v>
      </c>
      <c r="D262" t="inlineStr">
        <is>
          <t>STOCKHOLMS LÄN</t>
        </is>
      </c>
      <c r="E262" t="inlineStr">
        <is>
          <t>NORRTÄLJE</t>
        </is>
      </c>
      <c r="G262" t="n">
        <v>2.8</v>
      </c>
      <c r="H262" t="n">
        <v>0</v>
      </c>
      <c r="I262" t="n">
        <v>0</v>
      </c>
      <c r="J262" t="n">
        <v>0</v>
      </c>
      <c r="K262" t="n">
        <v>0</v>
      </c>
      <c r="L262" t="n">
        <v>0</v>
      </c>
      <c r="M262" t="n">
        <v>0</v>
      </c>
      <c r="N262" t="n">
        <v>0</v>
      </c>
      <c r="O262" t="n">
        <v>0</v>
      </c>
      <c r="P262" t="n">
        <v>0</v>
      </c>
      <c r="Q262" t="n">
        <v>0</v>
      </c>
      <c r="R262" s="2" t="inlineStr"/>
    </row>
    <row r="263" ht="15" customHeight="1">
      <c r="A263" t="inlineStr">
        <is>
          <t>A 26830-2019</t>
        </is>
      </c>
      <c r="B263" s="1" t="n">
        <v>43613</v>
      </c>
      <c r="C263" s="1" t="n">
        <v>45583</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27095-2019</t>
        </is>
      </c>
      <c r="B264" s="1" t="n">
        <v>43614</v>
      </c>
      <c r="C264" s="1" t="n">
        <v>45583</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28157-2019</t>
        </is>
      </c>
      <c r="B265" s="1" t="n">
        <v>43614</v>
      </c>
      <c r="C265" s="1" t="n">
        <v>45583</v>
      </c>
      <c r="D265" t="inlineStr">
        <is>
          <t>STOCKHOLMS LÄN</t>
        </is>
      </c>
      <c r="E265" t="inlineStr">
        <is>
          <t>NORRTÄLJE</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27264-2019</t>
        </is>
      </c>
      <c r="B266" s="1" t="n">
        <v>43615</v>
      </c>
      <c r="C266" s="1" t="n">
        <v>45583</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27971-2019</t>
        </is>
      </c>
      <c r="B267" s="1" t="n">
        <v>43620</v>
      </c>
      <c r="C267" s="1" t="n">
        <v>45583</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27967-2019</t>
        </is>
      </c>
      <c r="B268" s="1" t="n">
        <v>43620</v>
      </c>
      <c r="C268" s="1" t="n">
        <v>45583</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28121-2019</t>
        </is>
      </c>
      <c r="B269" s="1" t="n">
        <v>43621</v>
      </c>
      <c r="C269" s="1" t="n">
        <v>45583</v>
      </c>
      <c r="D269" t="inlineStr">
        <is>
          <t>STOCKHOLMS LÄN</t>
        </is>
      </c>
      <c r="E269" t="inlineStr">
        <is>
          <t>NORRTÄLJE</t>
        </is>
      </c>
      <c r="F269" t="inlineStr">
        <is>
          <t>Kyrkan</t>
        </is>
      </c>
      <c r="G269" t="n">
        <v>2.5</v>
      </c>
      <c r="H269" t="n">
        <v>0</v>
      </c>
      <c r="I269" t="n">
        <v>0</v>
      </c>
      <c r="J269" t="n">
        <v>0</v>
      </c>
      <c r="K269" t="n">
        <v>0</v>
      </c>
      <c r="L269" t="n">
        <v>0</v>
      </c>
      <c r="M269" t="n">
        <v>0</v>
      </c>
      <c r="N269" t="n">
        <v>0</v>
      </c>
      <c r="O269" t="n">
        <v>0</v>
      </c>
      <c r="P269" t="n">
        <v>0</v>
      </c>
      <c r="Q269" t="n">
        <v>0</v>
      </c>
      <c r="R269" s="2" t="inlineStr"/>
    </row>
    <row r="270" ht="15" customHeight="1">
      <c r="A270" t="inlineStr">
        <is>
          <t>A 28289-2019</t>
        </is>
      </c>
      <c r="B270" s="1" t="n">
        <v>43623</v>
      </c>
      <c r="C270" s="1" t="n">
        <v>45583</v>
      </c>
      <c r="D270" t="inlineStr">
        <is>
          <t>STOCKHOLMS LÄN</t>
        </is>
      </c>
      <c r="E270" t="inlineStr">
        <is>
          <t>NORRTÄLJE</t>
        </is>
      </c>
      <c r="G270" t="n">
        <v>7.7</v>
      </c>
      <c r="H270" t="n">
        <v>0</v>
      </c>
      <c r="I270" t="n">
        <v>0</v>
      </c>
      <c r="J270" t="n">
        <v>0</v>
      </c>
      <c r="K270" t="n">
        <v>0</v>
      </c>
      <c r="L270" t="n">
        <v>0</v>
      </c>
      <c r="M270" t="n">
        <v>0</v>
      </c>
      <c r="N270" t="n">
        <v>0</v>
      </c>
      <c r="O270" t="n">
        <v>0</v>
      </c>
      <c r="P270" t="n">
        <v>0</v>
      </c>
      <c r="Q270" t="n">
        <v>0</v>
      </c>
      <c r="R270" s="2" t="inlineStr"/>
    </row>
    <row r="271" ht="15" customHeight="1">
      <c r="A271" t="inlineStr">
        <is>
          <t>A 28519-2019</t>
        </is>
      </c>
      <c r="B271" s="1" t="n">
        <v>43626</v>
      </c>
      <c r="C271" s="1" t="n">
        <v>45583</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28495-2019</t>
        </is>
      </c>
      <c r="B272" s="1" t="n">
        <v>43626</v>
      </c>
      <c r="C272" s="1" t="n">
        <v>45583</v>
      </c>
      <c r="D272" t="inlineStr">
        <is>
          <t>STOCKHOLMS LÄN</t>
        </is>
      </c>
      <c r="E272" t="inlineStr">
        <is>
          <t>NORRTÄLJE</t>
        </is>
      </c>
      <c r="G272" t="n">
        <v>14.7</v>
      </c>
      <c r="H272" t="n">
        <v>0</v>
      </c>
      <c r="I272" t="n">
        <v>0</v>
      </c>
      <c r="J272" t="n">
        <v>0</v>
      </c>
      <c r="K272" t="n">
        <v>0</v>
      </c>
      <c r="L272" t="n">
        <v>0</v>
      </c>
      <c r="M272" t="n">
        <v>0</v>
      </c>
      <c r="N272" t="n">
        <v>0</v>
      </c>
      <c r="O272" t="n">
        <v>0</v>
      </c>
      <c r="P272" t="n">
        <v>0</v>
      </c>
      <c r="Q272" t="n">
        <v>0</v>
      </c>
      <c r="R272" s="2" t="inlineStr"/>
    </row>
    <row r="273" ht="15" customHeight="1">
      <c r="A273" t="inlineStr">
        <is>
          <t>A 28394-2019</t>
        </is>
      </c>
      <c r="B273" s="1" t="n">
        <v>43626</v>
      </c>
      <c r="C273" s="1" t="n">
        <v>45583</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29260-2019</t>
        </is>
      </c>
      <c r="B274" s="1" t="n">
        <v>43629</v>
      </c>
      <c r="C274" s="1" t="n">
        <v>45583</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29312-2019</t>
        </is>
      </c>
      <c r="B275" s="1" t="n">
        <v>43629</v>
      </c>
      <c r="C275" s="1" t="n">
        <v>45583</v>
      </c>
      <c r="D275" t="inlineStr">
        <is>
          <t>STOCKHOLMS LÄN</t>
        </is>
      </c>
      <c r="E275" t="inlineStr">
        <is>
          <t>NORRTÄLJE</t>
        </is>
      </c>
      <c r="G275" t="n">
        <v>7.1</v>
      </c>
      <c r="H275" t="n">
        <v>0</v>
      </c>
      <c r="I275" t="n">
        <v>0</v>
      </c>
      <c r="J275" t="n">
        <v>0</v>
      </c>
      <c r="K275" t="n">
        <v>0</v>
      </c>
      <c r="L275" t="n">
        <v>0</v>
      </c>
      <c r="M275" t="n">
        <v>0</v>
      </c>
      <c r="N275" t="n">
        <v>0</v>
      </c>
      <c r="O275" t="n">
        <v>0</v>
      </c>
      <c r="P275" t="n">
        <v>0</v>
      </c>
      <c r="Q275" t="n">
        <v>0</v>
      </c>
      <c r="R275" s="2" t="inlineStr"/>
    </row>
    <row r="276" ht="15" customHeight="1">
      <c r="A276" t="inlineStr">
        <is>
          <t>A 29759-2019</t>
        </is>
      </c>
      <c r="B276" s="1" t="n">
        <v>43631</v>
      </c>
      <c r="C276" s="1" t="n">
        <v>45583</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30000-2019</t>
        </is>
      </c>
      <c r="B277" s="1" t="n">
        <v>43633</v>
      </c>
      <c r="C277" s="1" t="n">
        <v>45583</v>
      </c>
      <c r="D277" t="inlineStr">
        <is>
          <t>STOCKHOLMS LÄN</t>
        </is>
      </c>
      <c r="E277" t="inlineStr">
        <is>
          <t>NORRTÄLJE</t>
        </is>
      </c>
      <c r="G277" t="n">
        <v>5.4</v>
      </c>
      <c r="H277" t="n">
        <v>0</v>
      </c>
      <c r="I277" t="n">
        <v>0</v>
      </c>
      <c r="J277" t="n">
        <v>0</v>
      </c>
      <c r="K277" t="n">
        <v>0</v>
      </c>
      <c r="L277" t="n">
        <v>0</v>
      </c>
      <c r="M277" t="n">
        <v>0</v>
      </c>
      <c r="N277" t="n">
        <v>0</v>
      </c>
      <c r="O277" t="n">
        <v>0</v>
      </c>
      <c r="P277" t="n">
        <v>0</v>
      </c>
      <c r="Q277" t="n">
        <v>0</v>
      </c>
      <c r="R277" s="2" t="inlineStr"/>
    </row>
    <row r="278" ht="15" customHeight="1">
      <c r="A278" t="inlineStr">
        <is>
          <t>A 30833-2019</t>
        </is>
      </c>
      <c r="B278" s="1" t="n">
        <v>43636</v>
      </c>
      <c r="C278" s="1" t="n">
        <v>45583</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31215-2019</t>
        </is>
      </c>
      <c r="B279" s="1" t="n">
        <v>43640</v>
      </c>
      <c r="C279" s="1" t="n">
        <v>45583</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31017-2019</t>
        </is>
      </c>
      <c r="B280" s="1" t="n">
        <v>43640</v>
      </c>
      <c r="C280" s="1" t="n">
        <v>45583</v>
      </c>
      <c r="D280" t="inlineStr">
        <is>
          <t>STOCKHOLMS LÄN</t>
        </is>
      </c>
      <c r="E280" t="inlineStr">
        <is>
          <t>NORRTÄLJE</t>
        </is>
      </c>
      <c r="G280" t="n">
        <v>3.4</v>
      </c>
      <c r="H280" t="n">
        <v>0</v>
      </c>
      <c r="I280" t="n">
        <v>0</v>
      </c>
      <c r="J280" t="n">
        <v>0</v>
      </c>
      <c r="K280" t="n">
        <v>0</v>
      </c>
      <c r="L280" t="n">
        <v>0</v>
      </c>
      <c r="M280" t="n">
        <v>0</v>
      </c>
      <c r="N280" t="n">
        <v>0</v>
      </c>
      <c r="O280" t="n">
        <v>0</v>
      </c>
      <c r="P280" t="n">
        <v>0</v>
      </c>
      <c r="Q280" t="n">
        <v>0</v>
      </c>
      <c r="R280" s="2" t="inlineStr"/>
    </row>
    <row r="281" ht="15" customHeight="1">
      <c r="A281" t="inlineStr">
        <is>
          <t>A 31966-2019</t>
        </is>
      </c>
      <c r="B281" s="1" t="n">
        <v>43643</v>
      </c>
      <c r="C281" s="1" t="n">
        <v>45583</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32725-2019</t>
        </is>
      </c>
      <c r="B282" s="1" t="n">
        <v>43647</v>
      </c>
      <c r="C282" s="1" t="n">
        <v>45583</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32726-2019</t>
        </is>
      </c>
      <c r="B283" s="1" t="n">
        <v>43647</v>
      </c>
      <c r="C283" s="1" t="n">
        <v>45583</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33207-2019</t>
        </is>
      </c>
      <c r="B284" s="1" t="n">
        <v>43649</v>
      </c>
      <c r="C284" s="1" t="n">
        <v>45583</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33955-2019</t>
        </is>
      </c>
      <c r="B285" s="1" t="n">
        <v>43654</v>
      </c>
      <c r="C285" s="1" t="n">
        <v>45583</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33966-2019</t>
        </is>
      </c>
      <c r="B286" s="1" t="n">
        <v>43654</v>
      </c>
      <c r="C286" s="1" t="n">
        <v>45583</v>
      </c>
      <c r="D286" t="inlineStr">
        <is>
          <t>STOCKHOLMS LÄN</t>
        </is>
      </c>
      <c r="E286" t="inlineStr">
        <is>
          <t>NORRTÄLJE</t>
        </is>
      </c>
      <c r="G286" t="n">
        <v>3.2</v>
      </c>
      <c r="H286" t="n">
        <v>0</v>
      </c>
      <c r="I286" t="n">
        <v>0</v>
      </c>
      <c r="J286" t="n">
        <v>0</v>
      </c>
      <c r="K286" t="n">
        <v>0</v>
      </c>
      <c r="L286" t="n">
        <v>0</v>
      </c>
      <c r="M286" t="n">
        <v>0</v>
      </c>
      <c r="N286" t="n">
        <v>0</v>
      </c>
      <c r="O286" t="n">
        <v>0</v>
      </c>
      <c r="P286" t="n">
        <v>0</v>
      </c>
      <c r="Q286" t="n">
        <v>0</v>
      </c>
      <c r="R286" s="2" t="inlineStr"/>
    </row>
    <row r="287" ht="15" customHeight="1">
      <c r="A287" t="inlineStr">
        <is>
          <t>A 35247-2019</t>
        </is>
      </c>
      <c r="B287" s="1" t="n">
        <v>43656</v>
      </c>
      <c r="C287" s="1" t="n">
        <v>45583</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35244-2019</t>
        </is>
      </c>
      <c r="B288" s="1" t="n">
        <v>43656</v>
      </c>
      <c r="C288" s="1" t="n">
        <v>45583</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35249-2019</t>
        </is>
      </c>
      <c r="B289" s="1" t="n">
        <v>43656</v>
      </c>
      <c r="C289" s="1" t="n">
        <v>45583</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35251-2019</t>
        </is>
      </c>
      <c r="B290" s="1" t="n">
        <v>43656</v>
      </c>
      <c r="C290" s="1" t="n">
        <v>45583</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35492-2019</t>
        </is>
      </c>
      <c r="B291" s="1" t="n">
        <v>43663</v>
      </c>
      <c r="C291" s="1" t="n">
        <v>45583</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35770-2019</t>
        </is>
      </c>
      <c r="B292" s="1" t="n">
        <v>43665</v>
      </c>
      <c r="C292" s="1" t="n">
        <v>45583</v>
      </c>
      <c r="D292" t="inlineStr">
        <is>
          <t>STOCKHOLMS LÄN</t>
        </is>
      </c>
      <c r="E292" t="inlineStr">
        <is>
          <t>NORRTÄLJE</t>
        </is>
      </c>
      <c r="G292" t="n">
        <v>6.3</v>
      </c>
      <c r="H292" t="n">
        <v>0</v>
      </c>
      <c r="I292" t="n">
        <v>0</v>
      </c>
      <c r="J292" t="n">
        <v>0</v>
      </c>
      <c r="K292" t="n">
        <v>0</v>
      </c>
      <c r="L292" t="n">
        <v>0</v>
      </c>
      <c r="M292" t="n">
        <v>0</v>
      </c>
      <c r="N292" t="n">
        <v>0</v>
      </c>
      <c r="O292" t="n">
        <v>0</v>
      </c>
      <c r="P292" t="n">
        <v>0</v>
      </c>
      <c r="Q292" t="n">
        <v>0</v>
      </c>
      <c r="R292" s="2" t="inlineStr"/>
    </row>
    <row r="293" ht="15" customHeight="1">
      <c r="A293" t="inlineStr">
        <is>
          <t>A 35766-2019</t>
        </is>
      </c>
      <c r="B293" s="1" t="n">
        <v>43665</v>
      </c>
      <c r="C293" s="1" t="n">
        <v>45583</v>
      </c>
      <c r="D293" t="inlineStr">
        <is>
          <t>STOCKHOLMS LÄN</t>
        </is>
      </c>
      <c r="E293" t="inlineStr">
        <is>
          <t>NORRTÄLJE</t>
        </is>
      </c>
      <c r="G293" t="n">
        <v>2.1</v>
      </c>
      <c r="H293" t="n">
        <v>0</v>
      </c>
      <c r="I293" t="n">
        <v>0</v>
      </c>
      <c r="J293" t="n">
        <v>0</v>
      </c>
      <c r="K293" t="n">
        <v>0</v>
      </c>
      <c r="L293" t="n">
        <v>0</v>
      </c>
      <c r="M293" t="n">
        <v>0</v>
      </c>
      <c r="N293" t="n">
        <v>0</v>
      </c>
      <c r="O293" t="n">
        <v>0</v>
      </c>
      <c r="P293" t="n">
        <v>0</v>
      </c>
      <c r="Q293" t="n">
        <v>0</v>
      </c>
      <c r="R293" s="2" t="inlineStr"/>
    </row>
    <row r="294" ht="15" customHeight="1">
      <c r="A294" t="inlineStr">
        <is>
          <t>A 36418-2019</t>
        </is>
      </c>
      <c r="B294" s="1" t="n">
        <v>43670</v>
      </c>
      <c r="C294" s="1" t="n">
        <v>45583</v>
      </c>
      <c r="D294" t="inlineStr">
        <is>
          <t>STOCKHOLMS LÄN</t>
        </is>
      </c>
      <c r="E294" t="inlineStr">
        <is>
          <t>NORRTÄLJE</t>
        </is>
      </c>
      <c r="G294" t="n">
        <v>16.8</v>
      </c>
      <c r="H294" t="n">
        <v>0</v>
      </c>
      <c r="I294" t="n">
        <v>0</v>
      </c>
      <c r="J294" t="n">
        <v>0</v>
      </c>
      <c r="K294" t="n">
        <v>0</v>
      </c>
      <c r="L294" t="n">
        <v>0</v>
      </c>
      <c r="M294" t="n">
        <v>0</v>
      </c>
      <c r="N294" t="n">
        <v>0</v>
      </c>
      <c r="O294" t="n">
        <v>0</v>
      </c>
      <c r="P294" t="n">
        <v>0</v>
      </c>
      <c r="Q294" t="n">
        <v>0</v>
      </c>
      <c r="R294" s="2" t="inlineStr"/>
    </row>
    <row r="295" ht="15" customHeight="1">
      <c r="A295" t="inlineStr">
        <is>
          <t>A 37401-2019</t>
        </is>
      </c>
      <c r="B295" s="1" t="n">
        <v>43678</v>
      </c>
      <c r="C295" s="1" t="n">
        <v>45583</v>
      </c>
      <c r="D295" t="inlineStr">
        <is>
          <t>STOCKHOLMS LÄN</t>
        </is>
      </c>
      <c r="E295" t="inlineStr">
        <is>
          <t>NORRTÄLJE</t>
        </is>
      </c>
      <c r="G295" t="n">
        <v>1.4</v>
      </c>
      <c r="H295" t="n">
        <v>0</v>
      </c>
      <c r="I295" t="n">
        <v>0</v>
      </c>
      <c r="J295" t="n">
        <v>0</v>
      </c>
      <c r="K295" t="n">
        <v>0</v>
      </c>
      <c r="L295" t="n">
        <v>0</v>
      </c>
      <c r="M295" t="n">
        <v>0</v>
      </c>
      <c r="N295" t="n">
        <v>0</v>
      </c>
      <c r="O295" t="n">
        <v>0</v>
      </c>
      <c r="P295" t="n">
        <v>0</v>
      </c>
      <c r="Q295" t="n">
        <v>0</v>
      </c>
      <c r="R295" s="2" t="inlineStr"/>
    </row>
    <row r="296" ht="15" customHeight="1">
      <c r="A296" t="inlineStr">
        <is>
          <t>A 37662-2019</t>
        </is>
      </c>
      <c r="B296" s="1" t="n">
        <v>43682</v>
      </c>
      <c r="C296" s="1" t="n">
        <v>45583</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38144-2019</t>
        </is>
      </c>
      <c r="B297" s="1" t="n">
        <v>43684</v>
      </c>
      <c r="C297" s="1" t="n">
        <v>45583</v>
      </c>
      <c r="D297" t="inlineStr">
        <is>
          <t>STOCKHOLMS LÄN</t>
        </is>
      </c>
      <c r="E297" t="inlineStr">
        <is>
          <t>NORRTÄLJE</t>
        </is>
      </c>
      <c r="G297" t="n">
        <v>3.6</v>
      </c>
      <c r="H297" t="n">
        <v>0</v>
      </c>
      <c r="I297" t="n">
        <v>0</v>
      </c>
      <c r="J297" t="n">
        <v>0</v>
      </c>
      <c r="K297" t="n">
        <v>0</v>
      </c>
      <c r="L297" t="n">
        <v>0</v>
      </c>
      <c r="M297" t="n">
        <v>0</v>
      </c>
      <c r="N297" t="n">
        <v>0</v>
      </c>
      <c r="O297" t="n">
        <v>0</v>
      </c>
      <c r="P297" t="n">
        <v>0</v>
      </c>
      <c r="Q297" t="n">
        <v>0</v>
      </c>
      <c r="R297" s="2" t="inlineStr"/>
    </row>
    <row r="298" ht="15" customHeight="1">
      <c r="A298" t="inlineStr">
        <is>
          <t>A 38139-2019</t>
        </is>
      </c>
      <c r="B298" s="1" t="n">
        <v>43684</v>
      </c>
      <c r="C298" s="1" t="n">
        <v>45583</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38145-2019</t>
        </is>
      </c>
      <c r="B299" s="1" t="n">
        <v>43684</v>
      </c>
      <c r="C299" s="1" t="n">
        <v>45583</v>
      </c>
      <c r="D299" t="inlineStr">
        <is>
          <t>STOCKHOLMS LÄN</t>
        </is>
      </c>
      <c r="E299" t="inlineStr">
        <is>
          <t>NORRTÄLJE</t>
        </is>
      </c>
      <c r="G299" t="n">
        <v>9.9</v>
      </c>
      <c r="H299" t="n">
        <v>0</v>
      </c>
      <c r="I299" t="n">
        <v>0</v>
      </c>
      <c r="J299" t="n">
        <v>0</v>
      </c>
      <c r="K299" t="n">
        <v>0</v>
      </c>
      <c r="L299" t="n">
        <v>0</v>
      </c>
      <c r="M299" t="n">
        <v>0</v>
      </c>
      <c r="N299" t="n">
        <v>0</v>
      </c>
      <c r="O299" t="n">
        <v>0</v>
      </c>
      <c r="P299" t="n">
        <v>0</v>
      </c>
      <c r="Q299" t="n">
        <v>0</v>
      </c>
      <c r="R299" s="2" t="inlineStr"/>
    </row>
    <row r="300" ht="15" customHeight="1">
      <c r="A300" t="inlineStr">
        <is>
          <t>A 38140-2019</t>
        </is>
      </c>
      <c r="B300" s="1" t="n">
        <v>43684</v>
      </c>
      <c r="C300" s="1" t="n">
        <v>45583</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38143-2019</t>
        </is>
      </c>
      <c r="B301" s="1" t="n">
        <v>43684</v>
      </c>
      <c r="C301" s="1" t="n">
        <v>45583</v>
      </c>
      <c r="D301" t="inlineStr">
        <is>
          <t>STOCKHOLMS LÄN</t>
        </is>
      </c>
      <c r="E301" t="inlineStr">
        <is>
          <t>NORRTÄLJE</t>
        </is>
      </c>
      <c r="G301" t="n">
        <v>12.7</v>
      </c>
      <c r="H301" t="n">
        <v>0</v>
      </c>
      <c r="I301" t="n">
        <v>0</v>
      </c>
      <c r="J301" t="n">
        <v>0</v>
      </c>
      <c r="K301" t="n">
        <v>0</v>
      </c>
      <c r="L301" t="n">
        <v>0</v>
      </c>
      <c r="M301" t="n">
        <v>0</v>
      </c>
      <c r="N301" t="n">
        <v>0</v>
      </c>
      <c r="O301" t="n">
        <v>0</v>
      </c>
      <c r="P301" t="n">
        <v>0</v>
      </c>
      <c r="Q301" t="n">
        <v>0</v>
      </c>
      <c r="R301" s="2" t="inlineStr"/>
    </row>
    <row r="302" ht="15" customHeight="1">
      <c r="A302" t="inlineStr">
        <is>
          <t>A 38506-2019</t>
        </is>
      </c>
      <c r="B302" s="1" t="n">
        <v>43685</v>
      </c>
      <c r="C302" s="1" t="n">
        <v>45583</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38605-2019</t>
        </is>
      </c>
      <c r="B303" s="1" t="n">
        <v>43686</v>
      </c>
      <c r="C303" s="1" t="n">
        <v>45583</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38737-2019</t>
        </is>
      </c>
      <c r="B304" s="1" t="n">
        <v>43686</v>
      </c>
      <c r="C304" s="1" t="n">
        <v>45583</v>
      </c>
      <c r="D304" t="inlineStr">
        <is>
          <t>STOCKHOLMS LÄN</t>
        </is>
      </c>
      <c r="E304" t="inlineStr">
        <is>
          <t>NORRTÄLJE</t>
        </is>
      </c>
      <c r="G304" t="n">
        <v>4.7</v>
      </c>
      <c r="H304" t="n">
        <v>0</v>
      </c>
      <c r="I304" t="n">
        <v>0</v>
      </c>
      <c r="J304" t="n">
        <v>0</v>
      </c>
      <c r="K304" t="n">
        <v>0</v>
      </c>
      <c r="L304" t="n">
        <v>0</v>
      </c>
      <c r="M304" t="n">
        <v>0</v>
      </c>
      <c r="N304" t="n">
        <v>0</v>
      </c>
      <c r="O304" t="n">
        <v>0</v>
      </c>
      <c r="P304" t="n">
        <v>0</v>
      </c>
      <c r="Q304" t="n">
        <v>0</v>
      </c>
      <c r="R304" s="2" t="inlineStr"/>
    </row>
    <row r="305" ht="15" customHeight="1">
      <c r="A305" t="inlineStr">
        <is>
          <t>A 40571-2019</t>
        </is>
      </c>
      <c r="B305" s="1" t="n">
        <v>43696</v>
      </c>
      <c r="C305" s="1" t="n">
        <v>45583</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42330-2019</t>
        </is>
      </c>
      <c r="B306" s="1" t="n">
        <v>43703</v>
      </c>
      <c r="C306" s="1" t="n">
        <v>45583</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43379-2019</t>
        </is>
      </c>
      <c r="B307" s="1" t="n">
        <v>43703</v>
      </c>
      <c r="C307" s="1" t="n">
        <v>45583</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43296-2019</t>
        </is>
      </c>
      <c r="B308" s="1" t="n">
        <v>43706</v>
      </c>
      <c r="C308" s="1" t="n">
        <v>45583</v>
      </c>
      <c r="D308" t="inlineStr">
        <is>
          <t>STOCKHOLMS LÄN</t>
        </is>
      </c>
      <c r="E308" t="inlineStr">
        <is>
          <t>NORRTÄLJE</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44643-2019</t>
        </is>
      </c>
      <c r="B309" s="1" t="n">
        <v>43712</v>
      </c>
      <c r="C309" s="1" t="n">
        <v>45583</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45463-2019</t>
        </is>
      </c>
      <c r="B310" s="1" t="n">
        <v>43714</v>
      </c>
      <c r="C310" s="1" t="n">
        <v>45583</v>
      </c>
      <c r="D310" t="inlineStr">
        <is>
          <t>STOCKHOLMS LÄN</t>
        </is>
      </c>
      <c r="E310" t="inlineStr">
        <is>
          <t>NORRTÄLJE</t>
        </is>
      </c>
      <c r="F310" t="inlineStr">
        <is>
          <t>Övriga statliga verk och myndigheter</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45477-2019</t>
        </is>
      </c>
      <c r="B311" s="1" t="n">
        <v>43714</v>
      </c>
      <c r="C311" s="1" t="n">
        <v>45583</v>
      </c>
      <c r="D311" t="inlineStr">
        <is>
          <t>STOCKHOLMS LÄN</t>
        </is>
      </c>
      <c r="E311" t="inlineStr">
        <is>
          <t>NORRTÄLJE</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46327-2019</t>
        </is>
      </c>
      <c r="B312" s="1" t="n">
        <v>43718</v>
      </c>
      <c r="C312" s="1" t="n">
        <v>45583</v>
      </c>
      <c r="D312" t="inlineStr">
        <is>
          <t>STOCKHOLMS LÄN</t>
        </is>
      </c>
      <c r="E312" t="inlineStr">
        <is>
          <t>NORRTÄLJE</t>
        </is>
      </c>
      <c r="G312" t="n">
        <v>2.4</v>
      </c>
      <c r="H312" t="n">
        <v>0</v>
      </c>
      <c r="I312" t="n">
        <v>0</v>
      </c>
      <c r="J312" t="n">
        <v>0</v>
      </c>
      <c r="K312" t="n">
        <v>0</v>
      </c>
      <c r="L312" t="n">
        <v>0</v>
      </c>
      <c r="M312" t="n">
        <v>0</v>
      </c>
      <c r="N312" t="n">
        <v>0</v>
      </c>
      <c r="O312" t="n">
        <v>0</v>
      </c>
      <c r="P312" t="n">
        <v>0</v>
      </c>
      <c r="Q312" t="n">
        <v>0</v>
      </c>
      <c r="R312" s="2" t="inlineStr"/>
    </row>
    <row r="313" ht="15" customHeight="1">
      <c r="A313" t="inlineStr">
        <is>
          <t>A 47876-2019</t>
        </is>
      </c>
      <c r="B313" s="1" t="n">
        <v>43725</v>
      </c>
      <c r="C313" s="1" t="n">
        <v>45583</v>
      </c>
      <c r="D313" t="inlineStr">
        <is>
          <t>STOCKHOLMS LÄN</t>
        </is>
      </c>
      <c r="E313" t="inlineStr">
        <is>
          <t>NORRTÄLJE</t>
        </is>
      </c>
      <c r="G313" t="n">
        <v>11.4</v>
      </c>
      <c r="H313" t="n">
        <v>0</v>
      </c>
      <c r="I313" t="n">
        <v>0</v>
      </c>
      <c r="J313" t="n">
        <v>0</v>
      </c>
      <c r="K313" t="n">
        <v>0</v>
      </c>
      <c r="L313" t="n">
        <v>0</v>
      </c>
      <c r="M313" t="n">
        <v>0</v>
      </c>
      <c r="N313" t="n">
        <v>0</v>
      </c>
      <c r="O313" t="n">
        <v>0</v>
      </c>
      <c r="P313" t="n">
        <v>0</v>
      </c>
      <c r="Q313" t="n">
        <v>0</v>
      </c>
      <c r="R313" s="2" t="inlineStr"/>
    </row>
    <row r="314" ht="15" customHeight="1">
      <c r="A314" t="inlineStr">
        <is>
          <t>A 47877-2019</t>
        </is>
      </c>
      <c r="B314" s="1" t="n">
        <v>43725</v>
      </c>
      <c r="C314" s="1" t="n">
        <v>45583</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47903-2019</t>
        </is>
      </c>
      <c r="B315" s="1" t="n">
        <v>43725</v>
      </c>
      <c r="C315" s="1" t="n">
        <v>45583</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47901-2019</t>
        </is>
      </c>
      <c r="B316" s="1" t="n">
        <v>43725</v>
      </c>
      <c r="C316" s="1" t="n">
        <v>45583</v>
      </c>
      <c r="D316" t="inlineStr">
        <is>
          <t>STOCKHOLMS LÄN</t>
        </is>
      </c>
      <c r="E316" t="inlineStr">
        <is>
          <t>NORRTÄLJE</t>
        </is>
      </c>
      <c r="G316" t="n">
        <v>3</v>
      </c>
      <c r="H316" t="n">
        <v>0</v>
      </c>
      <c r="I316" t="n">
        <v>0</v>
      </c>
      <c r="J316" t="n">
        <v>0</v>
      </c>
      <c r="K316" t="n">
        <v>0</v>
      </c>
      <c r="L316" t="n">
        <v>0</v>
      </c>
      <c r="M316" t="n">
        <v>0</v>
      </c>
      <c r="N316" t="n">
        <v>0</v>
      </c>
      <c r="O316" t="n">
        <v>0</v>
      </c>
      <c r="P316" t="n">
        <v>0</v>
      </c>
      <c r="Q316" t="n">
        <v>0</v>
      </c>
      <c r="R316" s="2" t="inlineStr"/>
    </row>
    <row r="317" ht="15" customHeight="1">
      <c r="A317" t="inlineStr">
        <is>
          <t>A 47939-2019</t>
        </is>
      </c>
      <c r="B317" s="1" t="n">
        <v>43725</v>
      </c>
      <c r="C317" s="1" t="n">
        <v>45583</v>
      </c>
      <c r="D317" t="inlineStr">
        <is>
          <t>STOCKHOLMS LÄN</t>
        </is>
      </c>
      <c r="E317" t="inlineStr">
        <is>
          <t>NORRTÄLJE</t>
        </is>
      </c>
      <c r="G317" t="n">
        <v>4.5</v>
      </c>
      <c r="H317" t="n">
        <v>0</v>
      </c>
      <c r="I317" t="n">
        <v>0</v>
      </c>
      <c r="J317" t="n">
        <v>0</v>
      </c>
      <c r="K317" t="n">
        <v>0</v>
      </c>
      <c r="L317" t="n">
        <v>0</v>
      </c>
      <c r="M317" t="n">
        <v>0</v>
      </c>
      <c r="N317" t="n">
        <v>0</v>
      </c>
      <c r="O317" t="n">
        <v>0</v>
      </c>
      <c r="P317" t="n">
        <v>0</v>
      </c>
      <c r="Q317" t="n">
        <v>0</v>
      </c>
      <c r="R317" s="2" t="inlineStr"/>
    </row>
    <row r="318" ht="15" customHeight="1">
      <c r="A318" t="inlineStr">
        <is>
          <t>A 47941-2019</t>
        </is>
      </c>
      <c r="B318" s="1" t="n">
        <v>43725</v>
      </c>
      <c r="C318" s="1" t="n">
        <v>45583</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47879-2019</t>
        </is>
      </c>
      <c r="B319" s="1" t="n">
        <v>43725</v>
      </c>
      <c r="C319" s="1" t="n">
        <v>45583</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48730-2019</t>
        </is>
      </c>
      <c r="B320" s="1" t="n">
        <v>43728</v>
      </c>
      <c r="C320" s="1" t="n">
        <v>45583</v>
      </c>
      <c r="D320" t="inlineStr">
        <is>
          <t>STOCKHOLMS LÄN</t>
        </is>
      </c>
      <c r="E320" t="inlineStr">
        <is>
          <t>NORRTÄLJE</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49252-2019</t>
        </is>
      </c>
      <c r="B321" s="1" t="n">
        <v>43731</v>
      </c>
      <c r="C321" s="1" t="n">
        <v>45583</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51940-2019</t>
        </is>
      </c>
      <c r="B322" s="1" t="n">
        <v>43741</v>
      </c>
      <c r="C322" s="1" t="n">
        <v>45583</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51942-2019</t>
        </is>
      </c>
      <c r="B323" s="1" t="n">
        <v>43741</v>
      </c>
      <c r="C323" s="1" t="n">
        <v>45583</v>
      </c>
      <c r="D323" t="inlineStr">
        <is>
          <t>STOCKHOLMS LÄN</t>
        </is>
      </c>
      <c r="E323" t="inlineStr">
        <is>
          <t>NORRTÄLJE</t>
        </is>
      </c>
      <c r="G323" t="n">
        <v>5.6</v>
      </c>
      <c r="H323" t="n">
        <v>0</v>
      </c>
      <c r="I323" t="n">
        <v>0</v>
      </c>
      <c r="J323" t="n">
        <v>0</v>
      </c>
      <c r="K323" t="n">
        <v>0</v>
      </c>
      <c r="L323" t="n">
        <v>0</v>
      </c>
      <c r="M323" t="n">
        <v>0</v>
      </c>
      <c r="N323" t="n">
        <v>0</v>
      </c>
      <c r="O323" t="n">
        <v>0</v>
      </c>
      <c r="P323" t="n">
        <v>0</v>
      </c>
      <c r="Q323" t="n">
        <v>0</v>
      </c>
      <c r="R323" s="2" t="inlineStr"/>
    </row>
    <row r="324" ht="15" customHeight="1">
      <c r="A324" t="inlineStr">
        <is>
          <t>A 55481-2019</t>
        </is>
      </c>
      <c r="B324" s="1" t="n">
        <v>43759</v>
      </c>
      <c r="C324" s="1" t="n">
        <v>45583</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55891-2019</t>
        </is>
      </c>
      <c r="B325" s="1" t="n">
        <v>43761</v>
      </c>
      <c r="C325" s="1" t="n">
        <v>45583</v>
      </c>
      <c r="D325" t="inlineStr">
        <is>
          <t>STOCKHOLMS LÄN</t>
        </is>
      </c>
      <c r="E325" t="inlineStr">
        <is>
          <t>NORRTÄLJE</t>
        </is>
      </c>
      <c r="G325" t="n">
        <v>7.6</v>
      </c>
      <c r="H325" t="n">
        <v>0</v>
      </c>
      <c r="I325" t="n">
        <v>0</v>
      </c>
      <c r="J325" t="n">
        <v>0</v>
      </c>
      <c r="K325" t="n">
        <v>0</v>
      </c>
      <c r="L325" t="n">
        <v>0</v>
      </c>
      <c r="M325" t="n">
        <v>0</v>
      </c>
      <c r="N325" t="n">
        <v>0</v>
      </c>
      <c r="O325" t="n">
        <v>0</v>
      </c>
      <c r="P325" t="n">
        <v>0</v>
      </c>
      <c r="Q325" t="n">
        <v>0</v>
      </c>
      <c r="R325" s="2" t="inlineStr"/>
    </row>
    <row r="326" ht="15" customHeight="1">
      <c r="A326" t="inlineStr">
        <is>
          <t>A 56349-2019</t>
        </is>
      </c>
      <c r="B326" s="1" t="n">
        <v>43762</v>
      </c>
      <c r="C326" s="1" t="n">
        <v>45583</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57759-2019</t>
        </is>
      </c>
      <c r="B327" s="1" t="n">
        <v>43763</v>
      </c>
      <c r="C327" s="1" t="n">
        <v>45583</v>
      </c>
      <c r="D327" t="inlineStr">
        <is>
          <t>STOCKHOLMS LÄN</t>
        </is>
      </c>
      <c r="E327" t="inlineStr">
        <is>
          <t>NORRTÄLJE</t>
        </is>
      </c>
      <c r="F327" t="inlineStr">
        <is>
          <t>Övriga Aktiebolag</t>
        </is>
      </c>
      <c r="G327" t="n">
        <v>7.3</v>
      </c>
      <c r="H327" t="n">
        <v>0</v>
      </c>
      <c r="I327" t="n">
        <v>0</v>
      </c>
      <c r="J327" t="n">
        <v>0</v>
      </c>
      <c r="K327" t="n">
        <v>0</v>
      </c>
      <c r="L327" t="n">
        <v>0</v>
      </c>
      <c r="M327" t="n">
        <v>0</v>
      </c>
      <c r="N327" t="n">
        <v>0</v>
      </c>
      <c r="O327" t="n">
        <v>0</v>
      </c>
      <c r="P327" t="n">
        <v>0</v>
      </c>
      <c r="Q327" t="n">
        <v>0</v>
      </c>
      <c r="R327" s="2" t="inlineStr"/>
    </row>
    <row r="328" ht="15" customHeight="1">
      <c r="A328" t="inlineStr">
        <is>
          <t>A 57063-2019</t>
        </is>
      </c>
      <c r="B328" s="1" t="n">
        <v>43766</v>
      </c>
      <c r="C328" s="1" t="n">
        <v>45583</v>
      </c>
      <c r="D328" t="inlineStr">
        <is>
          <t>STOCKHOLMS LÄN</t>
        </is>
      </c>
      <c r="E328" t="inlineStr">
        <is>
          <t>NORRTÄLJE</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56950-2019</t>
        </is>
      </c>
      <c r="B329" s="1" t="n">
        <v>43766</v>
      </c>
      <c r="C329" s="1" t="n">
        <v>45583</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57605-2019</t>
        </is>
      </c>
      <c r="B330" s="1" t="n">
        <v>43768</v>
      </c>
      <c r="C330" s="1" t="n">
        <v>45583</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58064-2019</t>
        </is>
      </c>
      <c r="B331" s="1" t="n">
        <v>43769</v>
      </c>
      <c r="C331" s="1" t="n">
        <v>45583</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58631-2019</t>
        </is>
      </c>
      <c r="B332" s="1" t="n">
        <v>43773</v>
      </c>
      <c r="C332" s="1" t="n">
        <v>45583</v>
      </c>
      <c r="D332" t="inlineStr">
        <is>
          <t>STOCKHOLMS LÄN</t>
        </is>
      </c>
      <c r="E332" t="inlineStr">
        <is>
          <t>NORRTÄLJE</t>
        </is>
      </c>
      <c r="G332" t="n">
        <v>6</v>
      </c>
      <c r="H332" t="n">
        <v>0</v>
      </c>
      <c r="I332" t="n">
        <v>0</v>
      </c>
      <c r="J332" t="n">
        <v>0</v>
      </c>
      <c r="K332" t="n">
        <v>0</v>
      </c>
      <c r="L332" t="n">
        <v>0</v>
      </c>
      <c r="M332" t="n">
        <v>0</v>
      </c>
      <c r="N332" t="n">
        <v>0</v>
      </c>
      <c r="O332" t="n">
        <v>0</v>
      </c>
      <c r="P332" t="n">
        <v>0</v>
      </c>
      <c r="Q332" t="n">
        <v>0</v>
      </c>
      <c r="R332" s="2" t="inlineStr"/>
    </row>
    <row r="333" ht="15" customHeight="1">
      <c r="A333" t="inlineStr">
        <is>
          <t>A 60214-2019</t>
        </is>
      </c>
      <c r="B333" s="1" t="n">
        <v>43780</v>
      </c>
      <c r="C333" s="1" t="n">
        <v>45583</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60208-2019</t>
        </is>
      </c>
      <c r="B334" s="1" t="n">
        <v>43780</v>
      </c>
      <c r="C334" s="1" t="n">
        <v>45583</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60842-2019</t>
        </is>
      </c>
      <c r="B335" s="1" t="n">
        <v>43781</v>
      </c>
      <c r="C335" s="1" t="n">
        <v>45583</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60844-2019</t>
        </is>
      </c>
      <c r="B336" s="1" t="n">
        <v>43781</v>
      </c>
      <c r="C336" s="1" t="n">
        <v>45583</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61657-2019</t>
        </is>
      </c>
      <c r="B337" s="1" t="n">
        <v>43784</v>
      </c>
      <c r="C337" s="1" t="n">
        <v>45583</v>
      </c>
      <c r="D337" t="inlineStr">
        <is>
          <t>STOCKHOLMS LÄN</t>
        </is>
      </c>
      <c r="E337" t="inlineStr">
        <is>
          <t>NORRTÄLJE</t>
        </is>
      </c>
      <c r="G337" t="n">
        <v>5</v>
      </c>
      <c r="H337" t="n">
        <v>0</v>
      </c>
      <c r="I337" t="n">
        <v>0</v>
      </c>
      <c r="J337" t="n">
        <v>0</v>
      </c>
      <c r="K337" t="n">
        <v>0</v>
      </c>
      <c r="L337" t="n">
        <v>0</v>
      </c>
      <c r="M337" t="n">
        <v>0</v>
      </c>
      <c r="N337" t="n">
        <v>0</v>
      </c>
      <c r="O337" t="n">
        <v>0</v>
      </c>
      <c r="P337" t="n">
        <v>0</v>
      </c>
      <c r="Q337" t="n">
        <v>0</v>
      </c>
      <c r="R337" s="2" t="inlineStr"/>
    </row>
    <row r="338" ht="15" customHeight="1">
      <c r="A338" t="inlineStr">
        <is>
          <t>A 62848-2019</t>
        </is>
      </c>
      <c r="B338" s="1" t="n">
        <v>43790</v>
      </c>
      <c r="C338" s="1" t="n">
        <v>45583</v>
      </c>
      <c r="D338" t="inlineStr">
        <is>
          <t>STOCKHOLMS LÄN</t>
        </is>
      </c>
      <c r="E338" t="inlineStr">
        <is>
          <t>NORRTÄLJE</t>
        </is>
      </c>
      <c r="F338" t="inlineStr">
        <is>
          <t>Holmen skog AB</t>
        </is>
      </c>
      <c r="G338" t="n">
        <v>6.6</v>
      </c>
      <c r="H338" t="n">
        <v>0</v>
      </c>
      <c r="I338" t="n">
        <v>0</v>
      </c>
      <c r="J338" t="n">
        <v>0</v>
      </c>
      <c r="K338" t="n">
        <v>0</v>
      </c>
      <c r="L338" t="n">
        <v>0</v>
      </c>
      <c r="M338" t="n">
        <v>0</v>
      </c>
      <c r="N338" t="n">
        <v>0</v>
      </c>
      <c r="O338" t="n">
        <v>0</v>
      </c>
      <c r="P338" t="n">
        <v>0</v>
      </c>
      <c r="Q338" t="n">
        <v>0</v>
      </c>
      <c r="R338" s="2" t="inlineStr"/>
    </row>
    <row r="339" ht="15" customHeight="1">
      <c r="A339" t="inlineStr">
        <is>
          <t>A 62980-2019</t>
        </is>
      </c>
      <c r="B339" s="1" t="n">
        <v>43790</v>
      </c>
      <c r="C339" s="1" t="n">
        <v>45583</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63513-2019</t>
        </is>
      </c>
      <c r="B340" s="1" t="n">
        <v>43794</v>
      </c>
      <c r="C340" s="1" t="n">
        <v>45583</v>
      </c>
      <c r="D340" t="inlineStr">
        <is>
          <t>STOCKHOLMS LÄN</t>
        </is>
      </c>
      <c r="E340" t="inlineStr">
        <is>
          <t>NORRTÄLJE</t>
        </is>
      </c>
      <c r="G340" t="n">
        <v>9</v>
      </c>
      <c r="H340" t="n">
        <v>0</v>
      </c>
      <c r="I340" t="n">
        <v>0</v>
      </c>
      <c r="J340" t="n">
        <v>0</v>
      </c>
      <c r="K340" t="n">
        <v>0</v>
      </c>
      <c r="L340" t="n">
        <v>0</v>
      </c>
      <c r="M340" t="n">
        <v>0</v>
      </c>
      <c r="N340" t="n">
        <v>0</v>
      </c>
      <c r="O340" t="n">
        <v>0</v>
      </c>
      <c r="P340" t="n">
        <v>0</v>
      </c>
      <c r="Q340" t="n">
        <v>0</v>
      </c>
      <c r="R340" s="2" t="inlineStr"/>
    </row>
    <row r="341" ht="15" customHeight="1">
      <c r="A341" t="inlineStr">
        <is>
          <t>A 63529-2019</t>
        </is>
      </c>
      <c r="B341" s="1" t="n">
        <v>43794</v>
      </c>
      <c r="C341" s="1" t="n">
        <v>45583</v>
      </c>
      <c r="D341" t="inlineStr">
        <is>
          <t>STOCKHOLMS LÄN</t>
        </is>
      </c>
      <c r="E341" t="inlineStr">
        <is>
          <t>NORRTÄLJE</t>
        </is>
      </c>
      <c r="G341" t="n">
        <v>0.4</v>
      </c>
      <c r="H341" t="n">
        <v>0</v>
      </c>
      <c r="I341" t="n">
        <v>0</v>
      </c>
      <c r="J341" t="n">
        <v>0</v>
      </c>
      <c r="K341" t="n">
        <v>0</v>
      </c>
      <c r="L341" t="n">
        <v>0</v>
      </c>
      <c r="M341" t="n">
        <v>0</v>
      </c>
      <c r="N341" t="n">
        <v>0</v>
      </c>
      <c r="O341" t="n">
        <v>0</v>
      </c>
      <c r="P341" t="n">
        <v>0</v>
      </c>
      <c r="Q341" t="n">
        <v>0</v>
      </c>
      <c r="R341" s="2" t="inlineStr"/>
    </row>
    <row r="342" ht="15" customHeight="1">
      <c r="A342" t="inlineStr">
        <is>
          <t>A 63495-2019</t>
        </is>
      </c>
      <c r="B342" s="1" t="n">
        <v>43794</v>
      </c>
      <c r="C342" s="1" t="n">
        <v>45583</v>
      </c>
      <c r="D342" t="inlineStr">
        <is>
          <t>STOCKHOLMS LÄN</t>
        </is>
      </c>
      <c r="E342" t="inlineStr">
        <is>
          <t>NORRTÄLJE</t>
        </is>
      </c>
      <c r="G342" t="n">
        <v>1.8</v>
      </c>
      <c r="H342" t="n">
        <v>0</v>
      </c>
      <c r="I342" t="n">
        <v>0</v>
      </c>
      <c r="J342" t="n">
        <v>0</v>
      </c>
      <c r="K342" t="n">
        <v>0</v>
      </c>
      <c r="L342" t="n">
        <v>0</v>
      </c>
      <c r="M342" t="n">
        <v>0</v>
      </c>
      <c r="N342" t="n">
        <v>0</v>
      </c>
      <c r="O342" t="n">
        <v>0</v>
      </c>
      <c r="P342" t="n">
        <v>0</v>
      </c>
      <c r="Q342" t="n">
        <v>0</v>
      </c>
      <c r="R342" s="2" t="inlineStr"/>
    </row>
    <row r="343" ht="15" customHeight="1">
      <c r="A343" t="inlineStr">
        <is>
          <t>A 63504-2019</t>
        </is>
      </c>
      <c r="B343" s="1" t="n">
        <v>43794</v>
      </c>
      <c r="C343" s="1" t="n">
        <v>45583</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63528-2019</t>
        </is>
      </c>
      <c r="B344" s="1" t="n">
        <v>43794</v>
      </c>
      <c r="C344" s="1" t="n">
        <v>45583</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63515-2019</t>
        </is>
      </c>
      <c r="B345" s="1" t="n">
        <v>43794</v>
      </c>
      <c r="C345" s="1" t="n">
        <v>45583</v>
      </c>
      <c r="D345" t="inlineStr">
        <is>
          <t>STOCKHOLMS LÄN</t>
        </is>
      </c>
      <c r="E345" t="inlineStr">
        <is>
          <t>NORRTÄLJE</t>
        </is>
      </c>
      <c r="G345" t="n">
        <v>7.1</v>
      </c>
      <c r="H345" t="n">
        <v>0</v>
      </c>
      <c r="I345" t="n">
        <v>0</v>
      </c>
      <c r="J345" t="n">
        <v>0</v>
      </c>
      <c r="K345" t="n">
        <v>0</v>
      </c>
      <c r="L345" t="n">
        <v>0</v>
      </c>
      <c r="M345" t="n">
        <v>0</v>
      </c>
      <c r="N345" t="n">
        <v>0</v>
      </c>
      <c r="O345" t="n">
        <v>0</v>
      </c>
      <c r="P345" t="n">
        <v>0</v>
      </c>
      <c r="Q345" t="n">
        <v>0</v>
      </c>
      <c r="R345" s="2" t="inlineStr"/>
    </row>
    <row r="346" ht="15" customHeight="1">
      <c r="A346" t="inlineStr">
        <is>
          <t>A 64293-2019</t>
        </is>
      </c>
      <c r="B346" s="1" t="n">
        <v>43797</v>
      </c>
      <c r="C346" s="1" t="n">
        <v>45583</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65640-2019</t>
        </is>
      </c>
      <c r="B347" s="1" t="n">
        <v>43804</v>
      </c>
      <c r="C347" s="1" t="n">
        <v>45583</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65998-2019</t>
        </is>
      </c>
      <c r="B348" s="1" t="n">
        <v>43805</v>
      </c>
      <c r="C348" s="1" t="n">
        <v>45583</v>
      </c>
      <c r="D348" t="inlineStr">
        <is>
          <t>STOCKHOLMS LÄN</t>
        </is>
      </c>
      <c r="E348" t="inlineStr">
        <is>
          <t>NORRTÄLJE</t>
        </is>
      </c>
      <c r="G348" t="n">
        <v>6.5</v>
      </c>
      <c r="H348" t="n">
        <v>0</v>
      </c>
      <c r="I348" t="n">
        <v>0</v>
      </c>
      <c r="J348" t="n">
        <v>0</v>
      </c>
      <c r="K348" t="n">
        <v>0</v>
      </c>
      <c r="L348" t="n">
        <v>0</v>
      </c>
      <c r="M348" t="n">
        <v>0</v>
      </c>
      <c r="N348" t="n">
        <v>0</v>
      </c>
      <c r="O348" t="n">
        <v>0</v>
      </c>
      <c r="P348" t="n">
        <v>0</v>
      </c>
      <c r="Q348" t="n">
        <v>0</v>
      </c>
      <c r="R348" s="2" t="inlineStr"/>
    </row>
    <row r="349" ht="15" customHeight="1">
      <c r="A349" t="inlineStr">
        <is>
          <t>A 66604-2019</t>
        </is>
      </c>
      <c r="B349" s="1" t="n">
        <v>43809</v>
      </c>
      <c r="C349" s="1" t="n">
        <v>45583</v>
      </c>
      <c r="D349" t="inlineStr">
        <is>
          <t>STOCKHOLMS LÄN</t>
        </is>
      </c>
      <c r="E349" t="inlineStr">
        <is>
          <t>NORRTÄLJE</t>
        </is>
      </c>
      <c r="G349" t="n">
        <v>2.3</v>
      </c>
      <c r="H349" t="n">
        <v>0</v>
      </c>
      <c r="I349" t="n">
        <v>0</v>
      </c>
      <c r="J349" t="n">
        <v>0</v>
      </c>
      <c r="K349" t="n">
        <v>0</v>
      </c>
      <c r="L349" t="n">
        <v>0</v>
      </c>
      <c r="M349" t="n">
        <v>0</v>
      </c>
      <c r="N349" t="n">
        <v>0</v>
      </c>
      <c r="O349" t="n">
        <v>0</v>
      </c>
      <c r="P349" t="n">
        <v>0</v>
      </c>
      <c r="Q349" t="n">
        <v>0</v>
      </c>
      <c r="R349" s="2" t="inlineStr"/>
    </row>
    <row r="350" ht="15" customHeight="1">
      <c r="A350" t="inlineStr">
        <is>
          <t>A 67158-2019</t>
        </is>
      </c>
      <c r="B350" s="1" t="n">
        <v>43811</v>
      </c>
      <c r="C350" s="1" t="n">
        <v>45583</v>
      </c>
      <c r="D350" t="inlineStr">
        <is>
          <t>STOCKHOLMS LÄN</t>
        </is>
      </c>
      <c r="E350" t="inlineStr">
        <is>
          <t>NORRTÄLJE</t>
        </is>
      </c>
      <c r="G350" t="n">
        <v>4.4</v>
      </c>
      <c r="H350" t="n">
        <v>0</v>
      </c>
      <c r="I350" t="n">
        <v>0</v>
      </c>
      <c r="J350" t="n">
        <v>0</v>
      </c>
      <c r="K350" t="n">
        <v>0</v>
      </c>
      <c r="L350" t="n">
        <v>0</v>
      </c>
      <c r="M350" t="n">
        <v>0</v>
      </c>
      <c r="N350" t="n">
        <v>0</v>
      </c>
      <c r="O350" t="n">
        <v>0</v>
      </c>
      <c r="P350" t="n">
        <v>0</v>
      </c>
      <c r="Q350" t="n">
        <v>0</v>
      </c>
      <c r="R350" s="2" t="inlineStr"/>
    </row>
    <row r="351" ht="15" customHeight="1">
      <c r="A351" t="inlineStr">
        <is>
          <t>A 67324-2019</t>
        </is>
      </c>
      <c r="B351" s="1" t="n">
        <v>43812</v>
      </c>
      <c r="C351" s="1" t="n">
        <v>45583</v>
      </c>
      <c r="D351" t="inlineStr">
        <is>
          <t>STOCKHOLMS LÄN</t>
        </is>
      </c>
      <c r="E351" t="inlineStr">
        <is>
          <t>NORRTÄLJE</t>
        </is>
      </c>
      <c r="G351" t="n">
        <v>7.7</v>
      </c>
      <c r="H351" t="n">
        <v>0</v>
      </c>
      <c r="I351" t="n">
        <v>0</v>
      </c>
      <c r="J351" t="n">
        <v>0</v>
      </c>
      <c r="K351" t="n">
        <v>0</v>
      </c>
      <c r="L351" t="n">
        <v>0</v>
      </c>
      <c r="M351" t="n">
        <v>0</v>
      </c>
      <c r="N351" t="n">
        <v>0</v>
      </c>
      <c r="O351" t="n">
        <v>0</v>
      </c>
      <c r="P351" t="n">
        <v>0</v>
      </c>
      <c r="Q351" t="n">
        <v>0</v>
      </c>
      <c r="R351" s="2" t="inlineStr"/>
    </row>
    <row r="352" ht="15" customHeight="1">
      <c r="A352" t="inlineStr">
        <is>
          <t>A 68865-2019</t>
        </is>
      </c>
      <c r="B352" s="1" t="n">
        <v>43821</v>
      </c>
      <c r="C352" s="1" t="n">
        <v>45583</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1099-2020</t>
        </is>
      </c>
      <c r="B353" s="1" t="n">
        <v>43822</v>
      </c>
      <c r="C353" s="1" t="n">
        <v>45583</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4475-2020</t>
        </is>
      </c>
      <c r="B354" s="1" t="n">
        <v>43849</v>
      </c>
      <c r="C354" s="1" t="n">
        <v>45583</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3882-2020</t>
        </is>
      </c>
      <c r="B355" s="1" t="n">
        <v>43854</v>
      </c>
      <c r="C355" s="1" t="n">
        <v>45583</v>
      </c>
      <c r="D355" t="inlineStr">
        <is>
          <t>STOCKHOLMS LÄN</t>
        </is>
      </c>
      <c r="E355" t="inlineStr">
        <is>
          <t>NORRTÄLJE</t>
        </is>
      </c>
      <c r="G355" t="n">
        <v>5.9</v>
      </c>
      <c r="H355" t="n">
        <v>0</v>
      </c>
      <c r="I355" t="n">
        <v>0</v>
      </c>
      <c r="J355" t="n">
        <v>0</v>
      </c>
      <c r="K355" t="n">
        <v>0</v>
      </c>
      <c r="L355" t="n">
        <v>0</v>
      </c>
      <c r="M355" t="n">
        <v>0</v>
      </c>
      <c r="N355" t="n">
        <v>0</v>
      </c>
      <c r="O355" t="n">
        <v>0</v>
      </c>
      <c r="P355" t="n">
        <v>0</v>
      </c>
      <c r="Q355" t="n">
        <v>0</v>
      </c>
      <c r="R355" s="2" t="inlineStr"/>
    </row>
    <row r="356" ht="15" customHeight="1">
      <c r="A356" t="inlineStr">
        <is>
          <t>A 4094-2020</t>
        </is>
      </c>
      <c r="B356" s="1" t="n">
        <v>43857</v>
      </c>
      <c r="C356" s="1" t="n">
        <v>45583</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4950-2020</t>
        </is>
      </c>
      <c r="B357" s="1" t="n">
        <v>43859</v>
      </c>
      <c r="C357" s="1" t="n">
        <v>45583</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5084-2020</t>
        </is>
      </c>
      <c r="B358" s="1" t="n">
        <v>43859</v>
      </c>
      <c r="C358" s="1" t="n">
        <v>45583</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4952-2020</t>
        </is>
      </c>
      <c r="B359" s="1" t="n">
        <v>43859</v>
      </c>
      <c r="C359" s="1" t="n">
        <v>45583</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5735-2020</t>
        </is>
      </c>
      <c r="B360" s="1" t="n">
        <v>43863</v>
      </c>
      <c r="C360" s="1" t="n">
        <v>45583</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5733-2020</t>
        </is>
      </c>
      <c r="B361" s="1" t="n">
        <v>43863</v>
      </c>
      <c r="C361" s="1" t="n">
        <v>45583</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5739-2020</t>
        </is>
      </c>
      <c r="B362" s="1" t="n">
        <v>43863</v>
      </c>
      <c r="C362" s="1" t="n">
        <v>45583</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7471-2020</t>
        </is>
      </c>
      <c r="B363" s="1" t="n">
        <v>43871</v>
      </c>
      <c r="C363" s="1" t="n">
        <v>45583</v>
      </c>
      <c r="D363" t="inlineStr">
        <is>
          <t>STOCKHOLMS LÄN</t>
        </is>
      </c>
      <c r="E363" t="inlineStr">
        <is>
          <t>NORRTÄLJE</t>
        </is>
      </c>
      <c r="G363" t="n">
        <v>7.8</v>
      </c>
      <c r="H363" t="n">
        <v>0</v>
      </c>
      <c r="I363" t="n">
        <v>0</v>
      </c>
      <c r="J363" t="n">
        <v>0</v>
      </c>
      <c r="K363" t="n">
        <v>0</v>
      </c>
      <c r="L363" t="n">
        <v>0</v>
      </c>
      <c r="M363" t="n">
        <v>0</v>
      </c>
      <c r="N363" t="n">
        <v>0</v>
      </c>
      <c r="O363" t="n">
        <v>0</v>
      </c>
      <c r="P363" t="n">
        <v>0</v>
      </c>
      <c r="Q363" t="n">
        <v>0</v>
      </c>
      <c r="R363" s="2" t="inlineStr"/>
    </row>
    <row r="364" ht="15" customHeight="1">
      <c r="A364" t="inlineStr">
        <is>
          <t>A 9845-2020</t>
        </is>
      </c>
      <c r="B364" s="1" t="n">
        <v>43881</v>
      </c>
      <c r="C364" s="1" t="n">
        <v>45583</v>
      </c>
      <c r="D364" t="inlineStr">
        <is>
          <t>STOCKHOLMS LÄN</t>
        </is>
      </c>
      <c r="E364" t="inlineStr">
        <is>
          <t>NORRTÄLJE</t>
        </is>
      </c>
      <c r="G364" t="n">
        <v>0.4</v>
      </c>
      <c r="H364" t="n">
        <v>0</v>
      </c>
      <c r="I364" t="n">
        <v>0</v>
      </c>
      <c r="J364" t="n">
        <v>0</v>
      </c>
      <c r="K364" t="n">
        <v>0</v>
      </c>
      <c r="L364" t="n">
        <v>0</v>
      </c>
      <c r="M364" t="n">
        <v>0</v>
      </c>
      <c r="N364" t="n">
        <v>0</v>
      </c>
      <c r="O364" t="n">
        <v>0</v>
      </c>
      <c r="P364" t="n">
        <v>0</v>
      </c>
      <c r="Q364" t="n">
        <v>0</v>
      </c>
      <c r="R364" s="2" t="inlineStr"/>
    </row>
    <row r="365" ht="15" customHeight="1">
      <c r="A365" t="inlineStr">
        <is>
          <t>A 10618-2020</t>
        </is>
      </c>
      <c r="B365" s="1" t="n">
        <v>43887</v>
      </c>
      <c r="C365" s="1" t="n">
        <v>45583</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11184-2020</t>
        </is>
      </c>
      <c r="B366" s="1" t="n">
        <v>43892</v>
      </c>
      <c r="C366" s="1" t="n">
        <v>45583</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11576-2020</t>
        </is>
      </c>
      <c r="B367" s="1" t="n">
        <v>43893</v>
      </c>
      <c r="C367" s="1" t="n">
        <v>45583</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12113-2020</t>
        </is>
      </c>
      <c r="B368" s="1" t="n">
        <v>43895</v>
      </c>
      <c r="C368" s="1" t="n">
        <v>45583</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12970-2020</t>
        </is>
      </c>
      <c r="B369" s="1" t="n">
        <v>43900</v>
      </c>
      <c r="C369" s="1" t="n">
        <v>45583</v>
      </c>
      <c r="D369" t="inlineStr">
        <is>
          <t>STOCKHOLMS LÄN</t>
        </is>
      </c>
      <c r="E369" t="inlineStr">
        <is>
          <t>NORRTÄLJE</t>
        </is>
      </c>
      <c r="F369" t="inlineStr">
        <is>
          <t>Kommuner</t>
        </is>
      </c>
      <c r="G369" t="n">
        <v>3</v>
      </c>
      <c r="H369" t="n">
        <v>0</v>
      </c>
      <c r="I369" t="n">
        <v>0</v>
      </c>
      <c r="J369" t="n">
        <v>0</v>
      </c>
      <c r="K369" t="n">
        <v>0</v>
      </c>
      <c r="L369" t="n">
        <v>0</v>
      </c>
      <c r="M369" t="n">
        <v>0</v>
      </c>
      <c r="N369" t="n">
        <v>0</v>
      </c>
      <c r="O369" t="n">
        <v>0</v>
      </c>
      <c r="P369" t="n">
        <v>0</v>
      </c>
      <c r="Q369" t="n">
        <v>0</v>
      </c>
      <c r="R369" s="2" t="inlineStr"/>
    </row>
    <row r="370" ht="15" customHeight="1">
      <c r="A370" t="inlineStr">
        <is>
          <t>A 13230-2020</t>
        </is>
      </c>
      <c r="B370" s="1" t="n">
        <v>43901</v>
      </c>
      <c r="C370" s="1" t="n">
        <v>45583</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13287-2020</t>
        </is>
      </c>
      <c r="B371" s="1" t="n">
        <v>43901</v>
      </c>
      <c r="C371" s="1" t="n">
        <v>45583</v>
      </c>
      <c r="D371" t="inlineStr">
        <is>
          <t>STOCKHOLMS LÄN</t>
        </is>
      </c>
      <c r="E371" t="inlineStr">
        <is>
          <t>NORRTÄLJE</t>
        </is>
      </c>
      <c r="F371" t="inlineStr">
        <is>
          <t>Kommuner</t>
        </is>
      </c>
      <c r="G371" t="n">
        <v>3.2</v>
      </c>
      <c r="H371" t="n">
        <v>0</v>
      </c>
      <c r="I371" t="n">
        <v>0</v>
      </c>
      <c r="J371" t="n">
        <v>0</v>
      </c>
      <c r="K371" t="n">
        <v>0</v>
      </c>
      <c r="L371" t="n">
        <v>0</v>
      </c>
      <c r="M371" t="n">
        <v>0</v>
      </c>
      <c r="N371" t="n">
        <v>0</v>
      </c>
      <c r="O371" t="n">
        <v>0</v>
      </c>
      <c r="P371" t="n">
        <v>0</v>
      </c>
      <c r="Q371" t="n">
        <v>0</v>
      </c>
      <c r="R371" s="2" t="inlineStr"/>
    </row>
    <row r="372" ht="15" customHeight="1">
      <c r="A372" t="inlineStr">
        <is>
          <t>A 13281-2020</t>
        </is>
      </c>
      <c r="B372" s="1" t="n">
        <v>43901</v>
      </c>
      <c r="C372" s="1" t="n">
        <v>45583</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13501-2020</t>
        </is>
      </c>
      <c r="B373" s="1" t="n">
        <v>43902</v>
      </c>
      <c r="C373" s="1" t="n">
        <v>45583</v>
      </c>
      <c r="D373" t="inlineStr">
        <is>
          <t>STOCKHOLMS LÄN</t>
        </is>
      </c>
      <c r="E373" t="inlineStr">
        <is>
          <t>NORRTÄLJE</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13506-2020</t>
        </is>
      </c>
      <c r="B374" s="1" t="n">
        <v>43902</v>
      </c>
      <c r="C374" s="1" t="n">
        <v>45583</v>
      </c>
      <c r="D374" t="inlineStr">
        <is>
          <t>STOCKHOLMS LÄN</t>
        </is>
      </c>
      <c r="E374" t="inlineStr">
        <is>
          <t>NORRTÄLJE</t>
        </is>
      </c>
      <c r="G374" t="n">
        <v>5.7</v>
      </c>
      <c r="H374" t="n">
        <v>0</v>
      </c>
      <c r="I374" t="n">
        <v>0</v>
      </c>
      <c r="J374" t="n">
        <v>0</v>
      </c>
      <c r="K374" t="n">
        <v>0</v>
      </c>
      <c r="L374" t="n">
        <v>0</v>
      </c>
      <c r="M374" t="n">
        <v>0</v>
      </c>
      <c r="N374" t="n">
        <v>0</v>
      </c>
      <c r="O374" t="n">
        <v>0</v>
      </c>
      <c r="P374" t="n">
        <v>0</v>
      </c>
      <c r="Q374" t="n">
        <v>0</v>
      </c>
      <c r="R374" s="2" t="inlineStr"/>
    </row>
    <row r="375" ht="15" customHeight="1">
      <c r="A375" t="inlineStr">
        <is>
          <t>A 14525-2020</t>
        </is>
      </c>
      <c r="B375" s="1" t="n">
        <v>43908</v>
      </c>
      <c r="C375" s="1" t="n">
        <v>45583</v>
      </c>
      <c r="D375" t="inlineStr">
        <is>
          <t>STOCKHOLMS LÄN</t>
        </is>
      </c>
      <c r="E375" t="inlineStr">
        <is>
          <t>NORRTÄLJE</t>
        </is>
      </c>
      <c r="G375" t="n">
        <v>10.2</v>
      </c>
      <c r="H375" t="n">
        <v>0</v>
      </c>
      <c r="I375" t="n">
        <v>0</v>
      </c>
      <c r="J375" t="n">
        <v>0</v>
      </c>
      <c r="K375" t="n">
        <v>0</v>
      </c>
      <c r="L375" t="n">
        <v>0</v>
      </c>
      <c r="M375" t="n">
        <v>0</v>
      </c>
      <c r="N375" t="n">
        <v>0</v>
      </c>
      <c r="O375" t="n">
        <v>0</v>
      </c>
      <c r="P375" t="n">
        <v>0</v>
      </c>
      <c r="Q375" t="n">
        <v>0</v>
      </c>
      <c r="R375" s="2" t="inlineStr"/>
    </row>
    <row r="376" ht="15" customHeight="1">
      <c r="A376" t="inlineStr">
        <is>
          <t>A 14565-2020</t>
        </is>
      </c>
      <c r="B376" s="1" t="n">
        <v>43908</v>
      </c>
      <c r="C376" s="1" t="n">
        <v>45583</v>
      </c>
      <c r="D376" t="inlineStr">
        <is>
          <t>STOCKHOLMS LÄN</t>
        </is>
      </c>
      <c r="E376" t="inlineStr">
        <is>
          <t>NORRTÄLJE</t>
        </is>
      </c>
      <c r="G376" t="n">
        <v>3.4</v>
      </c>
      <c r="H376" t="n">
        <v>0</v>
      </c>
      <c r="I376" t="n">
        <v>0</v>
      </c>
      <c r="J376" t="n">
        <v>0</v>
      </c>
      <c r="K376" t="n">
        <v>0</v>
      </c>
      <c r="L376" t="n">
        <v>0</v>
      </c>
      <c r="M376" t="n">
        <v>0</v>
      </c>
      <c r="N376" t="n">
        <v>0</v>
      </c>
      <c r="O376" t="n">
        <v>0</v>
      </c>
      <c r="P376" t="n">
        <v>0</v>
      </c>
      <c r="Q376" t="n">
        <v>0</v>
      </c>
      <c r="R376" s="2" t="inlineStr"/>
    </row>
    <row r="377" ht="15" customHeight="1">
      <c r="A377" t="inlineStr">
        <is>
          <t>A 14831-2020</t>
        </is>
      </c>
      <c r="B377" s="1" t="n">
        <v>43909</v>
      </c>
      <c r="C377" s="1" t="n">
        <v>45583</v>
      </c>
      <c r="D377" t="inlineStr">
        <is>
          <t>STOCKHOLMS LÄN</t>
        </is>
      </c>
      <c r="E377" t="inlineStr">
        <is>
          <t>NORRTÄLJE</t>
        </is>
      </c>
      <c r="G377" t="n">
        <v>11.4</v>
      </c>
      <c r="H377" t="n">
        <v>0</v>
      </c>
      <c r="I377" t="n">
        <v>0</v>
      </c>
      <c r="J377" t="n">
        <v>0</v>
      </c>
      <c r="K377" t="n">
        <v>0</v>
      </c>
      <c r="L377" t="n">
        <v>0</v>
      </c>
      <c r="M377" t="n">
        <v>0</v>
      </c>
      <c r="N377" t="n">
        <v>0</v>
      </c>
      <c r="O377" t="n">
        <v>0</v>
      </c>
      <c r="P377" t="n">
        <v>0</v>
      </c>
      <c r="Q377" t="n">
        <v>0</v>
      </c>
      <c r="R377" s="2" t="inlineStr"/>
    </row>
    <row r="378" ht="15" customHeight="1">
      <c r="A378" t="inlineStr">
        <is>
          <t>A 15663-2020</t>
        </is>
      </c>
      <c r="B378" s="1" t="n">
        <v>43915</v>
      </c>
      <c r="C378" s="1" t="n">
        <v>45583</v>
      </c>
      <c r="D378" t="inlineStr">
        <is>
          <t>STOCKHOLMS LÄN</t>
        </is>
      </c>
      <c r="E378" t="inlineStr">
        <is>
          <t>NORRTÄLJE</t>
        </is>
      </c>
      <c r="G378" t="n">
        <v>11.1</v>
      </c>
      <c r="H378" t="n">
        <v>0</v>
      </c>
      <c r="I378" t="n">
        <v>0</v>
      </c>
      <c r="J378" t="n">
        <v>0</v>
      </c>
      <c r="K378" t="n">
        <v>0</v>
      </c>
      <c r="L378" t="n">
        <v>0</v>
      </c>
      <c r="M378" t="n">
        <v>0</v>
      </c>
      <c r="N378" t="n">
        <v>0</v>
      </c>
      <c r="O378" t="n">
        <v>0</v>
      </c>
      <c r="P378" t="n">
        <v>0</v>
      </c>
      <c r="Q378" t="n">
        <v>0</v>
      </c>
      <c r="R378" s="2" t="inlineStr"/>
    </row>
    <row r="379" ht="15" customHeight="1">
      <c r="A379" t="inlineStr">
        <is>
          <t>A 16273-2020</t>
        </is>
      </c>
      <c r="B379" s="1" t="n">
        <v>43917</v>
      </c>
      <c r="C379" s="1" t="n">
        <v>45583</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17965-2020</t>
        </is>
      </c>
      <c r="B380" s="1" t="n">
        <v>43925</v>
      </c>
      <c r="C380" s="1" t="n">
        <v>45583</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19258-2020</t>
        </is>
      </c>
      <c r="B381" s="1" t="n">
        <v>43937</v>
      </c>
      <c r="C381" s="1" t="n">
        <v>45583</v>
      </c>
      <c r="D381" t="inlineStr">
        <is>
          <t>STOCKHOLMS LÄN</t>
        </is>
      </c>
      <c r="E381" t="inlineStr">
        <is>
          <t>NORRTÄLJE</t>
        </is>
      </c>
      <c r="F381" t="inlineStr">
        <is>
          <t>Övriga statliga verk och myndigheter</t>
        </is>
      </c>
      <c r="G381" t="n">
        <v>2.9</v>
      </c>
      <c r="H381" t="n">
        <v>0</v>
      </c>
      <c r="I381" t="n">
        <v>0</v>
      </c>
      <c r="J381" t="n">
        <v>0</v>
      </c>
      <c r="K381" t="n">
        <v>0</v>
      </c>
      <c r="L381" t="n">
        <v>0</v>
      </c>
      <c r="M381" t="n">
        <v>0</v>
      </c>
      <c r="N381" t="n">
        <v>0</v>
      </c>
      <c r="O381" t="n">
        <v>0</v>
      </c>
      <c r="P381" t="n">
        <v>0</v>
      </c>
      <c r="Q381" t="n">
        <v>0</v>
      </c>
      <c r="R381" s="2" t="inlineStr"/>
    </row>
    <row r="382" ht="15" customHeight="1">
      <c r="A382" t="inlineStr">
        <is>
          <t>A 20257-2020</t>
        </is>
      </c>
      <c r="B382" s="1" t="n">
        <v>43944</v>
      </c>
      <c r="C382" s="1" t="n">
        <v>45583</v>
      </c>
      <c r="D382" t="inlineStr">
        <is>
          <t>STOCKHOLMS LÄN</t>
        </is>
      </c>
      <c r="E382" t="inlineStr">
        <is>
          <t>NORRTÄLJE</t>
        </is>
      </c>
      <c r="G382" t="n">
        <v>80.09999999999999</v>
      </c>
      <c r="H382" t="n">
        <v>0</v>
      </c>
      <c r="I382" t="n">
        <v>0</v>
      </c>
      <c r="J382" t="n">
        <v>0</v>
      </c>
      <c r="K382" t="n">
        <v>0</v>
      </c>
      <c r="L382" t="n">
        <v>0</v>
      </c>
      <c r="M382" t="n">
        <v>0</v>
      </c>
      <c r="N382" t="n">
        <v>0</v>
      </c>
      <c r="O382" t="n">
        <v>0</v>
      </c>
      <c r="P382" t="n">
        <v>0</v>
      </c>
      <c r="Q382" t="n">
        <v>0</v>
      </c>
      <c r="R382" s="2" t="inlineStr"/>
    </row>
    <row r="383" ht="15" customHeight="1">
      <c r="A383" t="inlineStr">
        <is>
          <t>A 21849-2020</t>
        </is>
      </c>
      <c r="B383" s="1" t="n">
        <v>43958</v>
      </c>
      <c r="C383" s="1" t="n">
        <v>45583</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21875-2020</t>
        </is>
      </c>
      <c r="B384" s="1" t="n">
        <v>43958</v>
      </c>
      <c r="C384" s="1" t="n">
        <v>45583</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23751-2020</t>
        </is>
      </c>
      <c r="B385" s="1" t="n">
        <v>43970</v>
      </c>
      <c r="C385" s="1" t="n">
        <v>45583</v>
      </c>
      <c r="D385" t="inlineStr">
        <is>
          <t>STOCKHOLMS LÄN</t>
        </is>
      </c>
      <c r="E385" t="inlineStr">
        <is>
          <t>NORRTÄLJE</t>
        </is>
      </c>
      <c r="G385" t="n">
        <v>5.6</v>
      </c>
      <c r="H385" t="n">
        <v>0</v>
      </c>
      <c r="I385" t="n">
        <v>0</v>
      </c>
      <c r="J385" t="n">
        <v>0</v>
      </c>
      <c r="K385" t="n">
        <v>0</v>
      </c>
      <c r="L385" t="n">
        <v>0</v>
      </c>
      <c r="M385" t="n">
        <v>0</v>
      </c>
      <c r="N385" t="n">
        <v>0</v>
      </c>
      <c r="O385" t="n">
        <v>0</v>
      </c>
      <c r="P385" t="n">
        <v>0</v>
      </c>
      <c r="Q385" t="n">
        <v>0</v>
      </c>
      <c r="R385" s="2" t="inlineStr"/>
    </row>
    <row r="386" ht="15" customHeight="1">
      <c r="A386" t="inlineStr">
        <is>
          <t>A 24136-2020</t>
        </is>
      </c>
      <c r="B386" s="1" t="n">
        <v>43973</v>
      </c>
      <c r="C386" s="1" t="n">
        <v>45583</v>
      </c>
      <c r="D386" t="inlineStr">
        <is>
          <t>STOCKHOLMS LÄN</t>
        </is>
      </c>
      <c r="E386" t="inlineStr">
        <is>
          <t>NORRTÄLJE</t>
        </is>
      </c>
      <c r="G386" t="n">
        <v>4.1</v>
      </c>
      <c r="H386" t="n">
        <v>0</v>
      </c>
      <c r="I386" t="n">
        <v>0</v>
      </c>
      <c r="J386" t="n">
        <v>0</v>
      </c>
      <c r="K386" t="n">
        <v>0</v>
      </c>
      <c r="L386" t="n">
        <v>0</v>
      </c>
      <c r="M386" t="n">
        <v>0</v>
      </c>
      <c r="N386" t="n">
        <v>0</v>
      </c>
      <c r="O386" t="n">
        <v>0</v>
      </c>
      <c r="P386" t="n">
        <v>0</v>
      </c>
      <c r="Q386" t="n">
        <v>0</v>
      </c>
      <c r="R386" s="2" t="inlineStr"/>
    </row>
    <row r="387" ht="15" customHeight="1">
      <c r="A387" t="inlineStr">
        <is>
          <t>A 25584-2020</t>
        </is>
      </c>
      <c r="B387" s="1" t="n">
        <v>43983</v>
      </c>
      <c r="C387" s="1" t="n">
        <v>45583</v>
      </c>
      <c r="D387" t="inlineStr">
        <is>
          <t>STOCKHOLMS LÄN</t>
        </is>
      </c>
      <c r="E387" t="inlineStr">
        <is>
          <t>NORRTÄLJE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25589-2020</t>
        </is>
      </c>
      <c r="B388" s="1" t="n">
        <v>43983</v>
      </c>
      <c r="C388" s="1" t="n">
        <v>45583</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25897-2020</t>
        </is>
      </c>
      <c r="B389" s="1" t="n">
        <v>43984</v>
      </c>
      <c r="C389" s="1" t="n">
        <v>45583</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30600-2020</t>
        </is>
      </c>
      <c r="B390" s="1" t="n">
        <v>44008</v>
      </c>
      <c r="C390" s="1" t="n">
        <v>45583</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31783-2020</t>
        </is>
      </c>
      <c r="B391" s="1" t="n">
        <v>44014</v>
      </c>
      <c r="C391" s="1" t="n">
        <v>45583</v>
      </c>
      <c r="D391" t="inlineStr">
        <is>
          <t>STOCKHOLMS LÄN</t>
        </is>
      </c>
      <c r="E391" t="inlineStr">
        <is>
          <t>NORRTÄLJE</t>
        </is>
      </c>
      <c r="G391" t="n">
        <v>4.8</v>
      </c>
      <c r="H391" t="n">
        <v>0</v>
      </c>
      <c r="I391" t="n">
        <v>0</v>
      </c>
      <c r="J391" t="n">
        <v>0</v>
      </c>
      <c r="K391" t="n">
        <v>0</v>
      </c>
      <c r="L391" t="n">
        <v>0</v>
      </c>
      <c r="M391" t="n">
        <v>0</v>
      </c>
      <c r="N391" t="n">
        <v>0</v>
      </c>
      <c r="O391" t="n">
        <v>0</v>
      </c>
      <c r="P391" t="n">
        <v>0</v>
      </c>
      <c r="Q391" t="n">
        <v>0</v>
      </c>
      <c r="R391" s="2" t="inlineStr"/>
    </row>
    <row r="392" ht="15" customHeight="1">
      <c r="A392" t="inlineStr">
        <is>
          <t>A 33749-2020</t>
        </is>
      </c>
      <c r="B392" s="1" t="n">
        <v>44026</v>
      </c>
      <c r="C392" s="1" t="n">
        <v>45583</v>
      </c>
      <c r="D392" t="inlineStr">
        <is>
          <t>STOCKHOLMS LÄN</t>
        </is>
      </c>
      <c r="E392" t="inlineStr">
        <is>
          <t>NORRTÄLJE</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34651-2020</t>
        </is>
      </c>
      <c r="B393" s="1" t="n">
        <v>44034</v>
      </c>
      <c r="C393" s="1" t="n">
        <v>45583</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34650-2020</t>
        </is>
      </c>
      <c r="B394" s="1" t="n">
        <v>44034</v>
      </c>
      <c r="C394" s="1" t="n">
        <v>45583</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36314-2020</t>
        </is>
      </c>
      <c r="B395" s="1" t="n">
        <v>44049</v>
      </c>
      <c r="C395" s="1" t="n">
        <v>45583</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36359-2020</t>
        </is>
      </c>
      <c r="B396" s="1" t="n">
        <v>44049</v>
      </c>
      <c r="C396" s="1" t="n">
        <v>45583</v>
      </c>
      <c r="D396" t="inlineStr">
        <is>
          <t>STOCKHOLMS LÄN</t>
        </is>
      </c>
      <c r="E396" t="inlineStr">
        <is>
          <t>NORRTÄLJE</t>
        </is>
      </c>
      <c r="G396" t="n">
        <v>6.5</v>
      </c>
      <c r="H396" t="n">
        <v>0</v>
      </c>
      <c r="I396" t="n">
        <v>0</v>
      </c>
      <c r="J396" t="n">
        <v>0</v>
      </c>
      <c r="K396" t="n">
        <v>0</v>
      </c>
      <c r="L396" t="n">
        <v>0</v>
      </c>
      <c r="M396" t="n">
        <v>0</v>
      </c>
      <c r="N396" t="n">
        <v>0</v>
      </c>
      <c r="O396" t="n">
        <v>0</v>
      </c>
      <c r="P396" t="n">
        <v>0</v>
      </c>
      <c r="Q396" t="n">
        <v>0</v>
      </c>
      <c r="R396" s="2" t="inlineStr"/>
    </row>
    <row r="397" ht="15" customHeight="1">
      <c r="A397" t="inlineStr">
        <is>
          <t>A 40837-2020</t>
        </is>
      </c>
      <c r="B397" s="1" t="n">
        <v>44067</v>
      </c>
      <c r="C397" s="1" t="n">
        <v>45583</v>
      </c>
      <c r="D397" t="inlineStr">
        <is>
          <t>STOCKHOLMS LÄN</t>
        </is>
      </c>
      <c r="E397" t="inlineStr">
        <is>
          <t>NORRTÄLJE</t>
        </is>
      </c>
      <c r="G397" t="n">
        <v>20.6</v>
      </c>
      <c r="H397" t="n">
        <v>0</v>
      </c>
      <c r="I397" t="n">
        <v>0</v>
      </c>
      <c r="J397" t="n">
        <v>0</v>
      </c>
      <c r="K397" t="n">
        <v>0</v>
      </c>
      <c r="L397" t="n">
        <v>0</v>
      </c>
      <c r="M397" t="n">
        <v>0</v>
      </c>
      <c r="N397" t="n">
        <v>0</v>
      </c>
      <c r="O397" t="n">
        <v>0</v>
      </c>
      <c r="P397" t="n">
        <v>0</v>
      </c>
      <c r="Q397" t="n">
        <v>0</v>
      </c>
      <c r="R397" s="2" t="inlineStr"/>
    </row>
    <row r="398" ht="15" customHeight="1">
      <c r="A398" t="inlineStr">
        <is>
          <t>A 40661-2020</t>
        </is>
      </c>
      <c r="B398" s="1" t="n">
        <v>44069</v>
      </c>
      <c r="C398" s="1" t="n">
        <v>45583</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42247-2020</t>
        </is>
      </c>
      <c r="B399" s="1" t="n">
        <v>44074</v>
      </c>
      <c r="C399" s="1" t="n">
        <v>45583</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42256-2020</t>
        </is>
      </c>
      <c r="B400" s="1" t="n">
        <v>44074</v>
      </c>
      <c r="C400" s="1" t="n">
        <v>45583</v>
      </c>
      <c r="D400" t="inlineStr">
        <is>
          <t>STOCKHOLMS LÄN</t>
        </is>
      </c>
      <c r="E400" t="inlineStr">
        <is>
          <t>NORRTÄLJE</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41694-2020</t>
        </is>
      </c>
      <c r="B401" s="1" t="n">
        <v>44074</v>
      </c>
      <c r="C401" s="1" t="n">
        <v>45583</v>
      </c>
      <c r="D401" t="inlineStr">
        <is>
          <t>STOCKHOLMS LÄN</t>
        </is>
      </c>
      <c r="E401" t="inlineStr">
        <is>
          <t>NORRTÄLJE</t>
        </is>
      </c>
      <c r="G401" t="n">
        <v>3</v>
      </c>
      <c r="H401" t="n">
        <v>0</v>
      </c>
      <c r="I401" t="n">
        <v>0</v>
      </c>
      <c r="J401" t="n">
        <v>0</v>
      </c>
      <c r="K401" t="n">
        <v>0</v>
      </c>
      <c r="L401" t="n">
        <v>0</v>
      </c>
      <c r="M401" t="n">
        <v>0</v>
      </c>
      <c r="N401" t="n">
        <v>0</v>
      </c>
      <c r="O401" t="n">
        <v>0</v>
      </c>
      <c r="P401" t="n">
        <v>0</v>
      </c>
      <c r="Q401" t="n">
        <v>0</v>
      </c>
      <c r="R401" s="2" t="inlineStr"/>
    </row>
    <row r="402" ht="15" customHeight="1">
      <c r="A402" t="inlineStr">
        <is>
          <t>A 42365-2020</t>
        </is>
      </c>
      <c r="B402" s="1" t="n">
        <v>44076</v>
      </c>
      <c r="C402" s="1" t="n">
        <v>45583</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42361-2020</t>
        </is>
      </c>
      <c r="B403" s="1" t="n">
        <v>44076</v>
      </c>
      <c r="C403" s="1" t="n">
        <v>45583</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42455-2020</t>
        </is>
      </c>
      <c r="B404" s="1" t="n">
        <v>44076</v>
      </c>
      <c r="C404" s="1" t="n">
        <v>45583</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43751-2020</t>
        </is>
      </c>
      <c r="B405" s="1" t="n">
        <v>44082</v>
      </c>
      <c r="C405" s="1" t="n">
        <v>45583</v>
      </c>
      <c r="D405" t="inlineStr">
        <is>
          <t>STOCKHOLMS LÄN</t>
        </is>
      </c>
      <c r="E405" t="inlineStr">
        <is>
          <t>NORRTÄLJE</t>
        </is>
      </c>
      <c r="G405" t="n">
        <v>8</v>
      </c>
      <c r="H405" t="n">
        <v>0</v>
      </c>
      <c r="I405" t="n">
        <v>0</v>
      </c>
      <c r="J405" t="n">
        <v>0</v>
      </c>
      <c r="K405" t="n">
        <v>0</v>
      </c>
      <c r="L405" t="n">
        <v>0</v>
      </c>
      <c r="M405" t="n">
        <v>0</v>
      </c>
      <c r="N405" t="n">
        <v>0</v>
      </c>
      <c r="O405" t="n">
        <v>0</v>
      </c>
      <c r="P405" t="n">
        <v>0</v>
      </c>
      <c r="Q405" t="n">
        <v>0</v>
      </c>
      <c r="R405" s="2" t="inlineStr"/>
    </row>
    <row r="406" ht="15" customHeight="1">
      <c r="A406" t="inlineStr">
        <is>
          <t>A 44096-2020</t>
        </is>
      </c>
      <c r="B406" s="1" t="n">
        <v>44083</v>
      </c>
      <c r="C406" s="1" t="n">
        <v>45583</v>
      </c>
      <c r="D406" t="inlineStr">
        <is>
          <t>STOCKHOLMS LÄN</t>
        </is>
      </c>
      <c r="E406" t="inlineStr">
        <is>
          <t>NORRTÄLJE</t>
        </is>
      </c>
      <c r="G406" t="n">
        <v>2.6</v>
      </c>
      <c r="H406" t="n">
        <v>0</v>
      </c>
      <c r="I406" t="n">
        <v>0</v>
      </c>
      <c r="J406" t="n">
        <v>0</v>
      </c>
      <c r="K406" t="n">
        <v>0</v>
      </c>
      <c r="L406" t="n">
        <v>0</v>
      </c>
      <c r="M406" t="n">
        <v>0</v>
      </c>
      <c r="N406" t="n">
        <v>0</v>
      </c>
      <c r="O406" t="n">
        <v>0</v>
      </c>
      <c r="P406" t="n">
        <v>0</v>
      </c>
      <c r="Q406" t="n">
        <v>0</v>
      </c>
      <c r="R406" s="2" t="inlineStr"/>
    </row>
    <row r="407" ht="15" customHeight="1">
      <c r="A407" t="inlineStr">
        <is>
          <t>A 44071-2020</t>
        </is>
      </c>
      <c r="B407" s="1" t="n">
        <v>44083</v>
      </c>
      <c r="C407" s="1" t="n">
        <v>45583</v>
      </c>
      <c r="D407" t="inlineStr">
        <is>
          <t>STOCKHOLMS LÄN</t>
        </is>
      </c>
      <c r="E407" t="inlineStr">
        <is>
          <t>NORRTÄLJE</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45583</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44792-2020</t>
        </is>
      </c>
      <c r="B409" s="1" t="n">
        <v>44085</v>
      </c>
      <c r="C409" s="1" t="n">
        <v>45583</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45988-2020</t>
        </is>
      </c>
      <c r="B410" s="1" t="n">
        <v>44091</v>
      </c>
      <c r="C410" s="1" t="n">
        <v>45583</v>
      </c>
      <c r="D410" t="inlineStr">
        <is>
          <t>STOCKHOLMS LÄN</t>
        </is>
      </c>
      <c r="E410" t="inlineStr">
        <is>
          <t>NORRTÄLJE</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46556-2020</t>
        </is>
      </c>
      <c r="B411" s="1" t="n">
        <v>44095</v>
      </c>
      <c r="C411" s="1" t="n">
        <v>45583</v>
      </c>
      <c r="D411" t="inlineStr">
        <is>
          <t>STOCKHOLMS LÄN</t>
        </is>
      </c>
      <c r="E411" t="inlineStr">
        <is>
          <t>NORRTÄLJE</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45583</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48392-2020</t>
        </is>
      </c>
      <c r="B413" s="1" t="n">
        <v>44097</v>
      </c>
      <c r="C413" s="1" t="n">
        <v>45583</v>
      </c>
      <c r="D413" t="inlineStr">
        <is>
          <t>STOCKHOLMS LÄN</t>
        </is>
      </c>
      <c r="E413" t="inlineStr">
        <is>
          <t>NORRTÄLJE</t>
        </is>
      </c>
      <c r="G413" t="n">
        <v>12.5</v>
      </c>
      <c r="H413" t="n">
        <v>0</v>
      </c>
      <c r="I413" t="n">
        <v>0</v>
      </c>
      <c r="J413" t="n">
        <v>0</v>
      </c>
      <c r="K413" t="n">
        <v>0</v>
      </c>
      <c r="L413" t="n">
        <v>0</v>
      </c>
      <c r="M413" t="n">
        <v>0</v>
      </c>
      <c r="N413" t="n">
        <v>0</v>
      </c>
      <c r="O413" t="n">
        <v>0</v>
      </c>
      <c r="P413" t="n">
        <v>0</v>
      </c>
      <c r="Q413" t="n">
        <v>0</v>
      </c>
      <c r="R413" s="2" t="inlineStr"/>
    </row>
    <row r="414" ht="15" customHeight="1">
      <c r="A414" t="inlineStr">
        <is>
          <t>A 47869-2020</t>
        </is>
      </c>
      <c r="B414" s="1" t="n">
        <v>44098</v>
      </c>
      <c r="C414" s="1" t="n">
        <v>45583</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47868-2020</t>
        </is>
      </c>
      <c r="B415" s="1" t="n">
        <v>44098</v>
      </c>
      <c r="C415" s="1" t="n">
        <v>45583</v>
      </c>
      <c r="D415" t="inlineStr">
        <is>
          <t>STOCKHOLMS LÄN</t>
        </is>
      </c>
      <c r="E415" t="inlineStr">
        <is>
          <t>NORRTÄLJE</t>
        </is>
      </c>
      <c r="G415" t="n">
        <v>4.7</v>
      </c>
      <c r="H415" t="n">
        <v>0</v>
      </c>
      <c r="I415" t="n">
        <v>0</v>
      </c>
      <c r="J415" t="n">
        <v>0</v>
      </c>
      <c r="K415" t="n">
        <v>0</v>
      </c>
      <c r="L415" t="n">
        <v>0</v>
      </c>
      <c r="M415" t="n">
        <v>0</v>
      </c>
      <c r="N415" t="n">
        <v>0</v>
      </c>
      <c r="O415" t="n">
        <v>0</v>
      </c>
      <c r="P415" t="n">
        <v>0</v>
      </c>
      <c r="Q415" t="n">
        <v>0</v>
      </c>
      <c r="R415" s="2" t="inlineStr"/>
    </row>
    <row r="416" ht="15" customHeight="1">
      <c r="A416" t="inlineStr">
        <is>
          <t>A 48066-2020</t>
        </is>
      </c>
      <c r="B416" s="1" t="n">
        <v>44100</v>
      </c>
      <c r="C416" s="1" t="n">
        <v>45583</v>
      </c>
      <c r="D416" t="inlineStr">
        <is>
          <t>STOCKHOLMS LÄN</t>
        </is>
      </c>
      <c r="E416" t="inlineStr">
        <is>
          <t>NORRTÄLJE</t>
        </is>
      </c>
      <c r="G416" t="n">
        <v>3.7</v>
      </c>
      <c r="H416" t="n">
        <v>0</v>
      </c>
      <c r="I416" t="n">
        <v>0</v>
      </c>
      <c r="J416" t="n">
        <v>0</v>
      </c>
      <c r="K416" t="n">
        <v>0</v>
      </c>
      <c r="L416" t="n">
        <v>0</v>
      </c>
      <c r="M416" t="n">
        <v>0</v>
      </c>
      <c r="N416" t="n">
        <v>0</v>
      </c>
      <c r="O416" t="n">
        <v>0</v>
      </c>
      <c r="P416" t="n">
        <v>0</v>
      </c>
      <c r="Q416" t="n">
        <v>0</v>
      </c>
      <c r="R416" s="2" t="inlineStr"/>
    </row>
    <row r="417" ht="15" customHeight="1">
      <c r="A417" t="inlineStr">
        <is>
          <t>A 48071-2020</t>
        </is>
      </c>
      <c r="B417" s="1" t="n">
        <v>44100</v>
      </c>
      <c r="C417" s="1" t="n">
        <v>45583</v>
      </c>
      <c r="D417" t="inlineStr">
        <is>
          <t>STOCKHOLMS LÄN</t>
        </is>
      </c>
      <c r="E417" t="inlineStr">
        <is>
          <t>NORRTÄLJE</t>
        </is>
      </c>
      <c r="G417" t="n">
        <v>6.8</v>
      </c>
      <c r="H417" t="n">
        <v>0</v>
      </c>
      <c r="I417" t="n">
        <v>0</v>
      </c>
      <c r="J417" t="n">
        <v>0</v>
      </c>
      <c r="K417" t="n">
        <v>0</v>
      </c>
      <c r="L417" t="n">
        <v>0</v>
      </c>
      <c r="M417" t="n">
        <v>0</v>
      </c>
      <c r="N417" t="n">
        <v>0</v>
      </c>
      <c r="O417" t="n">
        <v>0</v>
      </c>
      <c r="P417" t="n">
        <v>0</v>
      </c>
      <c r="Q417" t="n">
        <v>0</v>
      </c>
      <c r="R417" s="2" t="inlineStr"/>
    </row>
    <row r="418" ht="15" customHeight="1">
      <c r="A418" t="inlineStr">
        <is>
          <t>A 48496-2020</t>
        </is>
      </c>
      <c r="B418" s="1" t="n">
        <v>44103</v>
      </c>
      <c r="C418" s="1" t="n">
        <v>45583</v>
      </c>
      <c r="D418" t="inlineStr">
        <is>
          <t>STOCKHOLMS LÄN</t>
        </is>
      </c>
      <c r="E418" t="inlineStr">
        <is>
          <t>NORRTÄLJE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48522-2020</t>
        </is>
      </c>
      <c r="B419" s="1" t="n">
        <v>44103</v>
      </c>
      <c r="C419" s="1" t="n">
        <v>45583</v>
      </c>
      <c r="D419" t="inlineStr">
        <is>
          <t>STOCKHOLMS LÄN</t>
        </is>
      </c>
      <c r="E419" t="inlineStr">
        <is>
          <t>NORRTÄLJE</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49334-2020</t>
        </is>
      </c>
      <c r="B420" s="1" t="n">
        <v>44105</v>
      </c>
      <c r="C420" s="1" t="n">
        <v>45583</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49327-2020</t>
        </is>
      </c>
      <c r="B421" s="1" t="n">
        <v>44105</v>
      </c>
      <c r="C421" s="1" t="n">
        <v>45583</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49898-2020</t>
        </is>
      </c>
      <c r="B422" s="1" t="n">
        <v>44108</v>
      </c>
      <c r="C422" s="1" t="n">
        <v>45583</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45583</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50738-2020</t>
        </is>
      </c>
      <c r="B424" s="1" t="n">
        <v>44111</v>
      </c>
      <c r="C424" s="1" t="n">
        <v>45583</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50746-2020</t>
        </is>
      </c>
      <c r="B425" s="1" t="n">
        <v>44111</v>
      </c>
      <c r="C425" s="1" t="n">
        <v>45583</v>
      </c>
      <c r="D425" t="inlineStr">
        <is>
          <t>STOCKHOLMS LÄN</t>
        </is>
      </c>
      <c r="E425" t="inlineStr">
        <is>
          <t>NORRTÄLJE</t>
        </is>
      </c>
      <c r="G425" t="n">
        <v>4.9</v>
      </c>
      <c r="H425" t="n">
        <v>0</v>
      </c>
      <c r="I425" t="n">
        <v>0</v>
      </c>
      <c r="J425" t="n">
        <v>0</v>
      </c>
      <c r="K425" t="n">
        <v>0</v>
      </c>
      <c r="L425" t="n">
        <v>0</v>
      </c>
      <c r="M425" t="n">
        <v>0</v>
      </c>
      <c r="N425" t="n">
        <v>0</v>
      </c>
      <c r="O425" t="n">
        <v>0</v>
      </c>
      <c r="P425" t="n">
        <v>0</v>
      </c>
      <c r="Q425" t="n">
        <v>0</v>
      </c>
      <c r="R425" s="2" t="inlineStr"/>
    </row>
    <row r="426" ht="15" customHeight="1">
      <c r="A426" t="inlineStr">
        <is>
          <t>A 50742-2020</t>
        </is>
      </c>
      <c r="B426" s="1" t="n">
        <v>44111</v>
      </c>
      <c r="C426" s="1" t="n">
        <v>45583</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51720-2020</t>
        </is>
      </c>
      <c r="B427" s="1" t="n">
        <v>44113</v>
      </c>
      <c r="C427" s="1" t="n">
        <v>45583</v>
      </c>
      <c r="D427" t="inlineStr">
        <is>
          <t>STOCKHOLMS LÄN</t>
        </is>
      </c>
      <c r="E427" t="inlineStr">
        <is>
          <t>NORRTÄLJE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51787-2020</t>
        </is>
      </c>
      <c r="B428" s="1" t="n">
        <v>44116</v>
      </c>
      <c r="C428" s="1" t="n">
        <v>45583</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51798-2020</t>
        </is>
      </c>
      <c r="B429" s="1" t="n">
        <v>44116</v>
      </c>
      <c r="C429" s="1" t="n">
        <v>45583</v>
      </c>
      <c r="D429" t="inlineStr">
        <is>
          <t>STOCKHOLMS LÄN</t>
        </is>
      </c>
      <c r="E429" t="inlineStr">
        <is>
          <t>NORRTÄLJE</t>
        </is>
      </c>
      <c r="G429" t="n">
        <v>4.3</v>
      </c>
      <c r="H429" t="n">
        <v>0</v>
      </c>
      <c r="I429" t="n">
        <v>0</v>
      </c>
      <c r="J429" t="n">
        <v>0</v>
      </c>
      <c r="K429" t="n">
        <v>0</v>
      </c>
      <c r="L429" t="n">
        <v>0</v>
      </c>
      <c r="M429" t="n">
        <v>0</v>
      </c>
      <c r="N429" t="n">
        <v>0</v>
      </c>
      <c r="O429" t="n">
        <v>0</v>
      </c>
      <c r="P429" t="n">
        <v>0</v>
      </c>
      <c r="Q429" t="n">
        <v>0</v>
      </c>
      <c r="R429" s="2" t="inlineStr"/>
    </row>
    <row r="430" ht="15" customHeight="1">
      <c r="A430" t="inlineStr">
        <is>
          <t>A 53768-2020</t>
        </is>
      </c>
      <c r="B430" s="1" t="n">
        <v>44123</v>
      </c>
      <c r="C430" s="1" t="n">
        <v>45583</v>
      </c>
      <c r="D430" t="inlineStr">
        <is>
          <t>STOCKHOLMS LÄN</t>
        </is>
      </c>
      <c r="E430" t="inlineStr">
        <is>
          <t>NORRTÄLJE</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53652-2020</t>
        </is>
      </c>
      <c r="B431" s="1" t="n">
        <v>44124</v>
      </c>
      <c r="C431" s="1" t="n">
        <v>45583</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53690-2020</t>
        </is>
      </c>
      <c r="B432" s="1" t="n">
        <v>44124</v>
      </c>
      <c r="C432" s="1" t="n">
        <v>45583</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53607-2020</t>
        </is>
      </c>
      <c r="B433" s="1" t="n">
        <v>44124</v>
      </c>
      <c r="C433" s="1" t="n">
        <v>45583</v>
      </c>
      <c r="D433" t="inlineStr">
        <is>
          <t>STOCKHOLMS LÄN</t>
        </is>
      </c>
      <c r="E433" t="inlineStr">
        <is>
          <t>NORRTÄLJE</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55089-2020</t>
        </is>
      </c>
      <c r="B434" s="1" t="n">
        <v>44130</v>
      </c>
      <c r="C434" s="1" t="n">
        <v>45583</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55895-2020</t>
        </is>
      </c>
      <c r="B435" s="1" t="n">
        <v>44132</v>
      </c>
      <c r="C435" s="1" t="n">
        <v>45583</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55890-2020</t>
        </is>
      </c>
      <c r="B436" s="1" t="n">
        <v>44132</v>
      </c>
      <c r="C436" s="1" t="n">
        <v>45583</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55982-2020</t>
        </is>
      </c>
      <c r="B437" s="1" t="n">
        <v>44132</v>
      </c>
      <c r="C437" s="1" t="n">
        <v>45583</v>
      </c>
      <c r="D437" t="inlineStr">
        <is>
          <t>STOCKHOLMS LÄN</t>
        </is>
      </c>
      <c r="E437" t="inlineStr">
        <is>
          <t>NORRTÄLJE</t>
        </is>
      </c>
      <c r="G437" t="n">
        <v>11.3</v>
      </c>
      <c r="H437" t="n">
        <v>0</v>
      </c>
      <c r="I437" t="n">
        <v>0</v>
      </c>
      <c r="J437" t="n">
        <v>0</v>
      </c>
      <c r="K437" t="n">
        <v>0</v>
      </c>
      <c r="L437" t="n">
        <v>0</v>
      </c>
      <c r="M437" t="n">
        <v>0</v>
      </c>
      <c r="N437" t="n">
        <v>0</v>
      </c>
      <c r="O437" t="n">
        <v>0</v>
      </c>
      <c r="P437" t="n">
        <v>0</v>
      </c>
      <c r="Q437" t="n">
        <v>0</v>
      </c>
      <c r="R437" s="2" t="inlineStr"/>
    </row>
    <row r="438" ht="15" customHeight="1">
      <c r="A438" t="inlineStr">
        <is>
          <t>A 56166-2020</t>
        </is>
      </c>
      <c r="B438" s="1" t="n">
        <v>44133</v>
      </c>
      <c r="C438" s="1" t="n">
        <v>45583</v>
      </c>
      <c r="D438" t="inlineStr">
        <is>
          <t>STOCKHOLMS LÄN</t>
        </is>
      </c>
      <c r="E438" t="inlineStr">
        <is>
          <t>NORRTÄLJE</t>
        </is>
      </c>
      <c r="G438" t="n">
        <v>4.4</v>
      </c>
      <c r="H438" t="n">
        <v>0</v>
      </c>
      <c r="I438" t="n">
        <v>0</v>
      </c>
      <c r="J438" t="n">
        <v>0</v>
      </c>
      <c r="K438" t="n">
        <v>0</v>
      </c>
      <c r="L438" t="n">
        <v>0</v>
      </c>
      <c r="M438" t="n">
        <v>0</v>
      </c>
      <c r="N438" t="n">
        <v>0</v>
      </c>
      <c r="O438" t="n">
        <v>0</v>
      </c>
      <c r="P438" t="n">
        <v>0</v>
      </c>
      <c r="Q438" t="n">
        <v>0</v>
      </c>
      <c r="R438" s="2" t="inlineStr"/>
    </row>
    <row r="439" ht="15" customHeight="1">
      <c r="A439" t="inlineStr">
        <is>
          <t>A 56323-2020</t>
        </is>
      </c>
      <c r="B439" s="1" t="n">
        <v>44134</v>
      </c>
      <c r="C439" s="1" t="n">
        <v>45583</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57216-2020</t>
        </is>
      </c>
      <c r="B440" s="1" t="n">
        <v>44139</v>
      </c>
      <c r="C440" s="1" t="n">
        <v>45583</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57957-2020</t>
        </is>
      </c>
      <c r="B441" s="1" t="n">
        <v>44143</v>
      </c>
      <c r="C441" s="1" t="n">
        <v>45583</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57987-2020</t>
        </is>
      </c>
      <c r="B442" s="1" t="n">
        <v>44143</v>
      </c>
      <c r="C442" s="1" t="n">
        <v>45583</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58493-2020</t>
        </is>
      </c>
      <c r="B443" s="1" t="n">
        <v>44145</v>
      </c>
      <c r="C443" s="1" t="n">
        <v>45583</v>
      </c>
      <c r="D443" t="inlineStr">
        <is>
          <t>STOCKHOLMS LÄN</t>
        </is>
      </c>
      <c r="E443" t="inlineStr">
        <is>
          <t>NORRTÄLJE</t>
        </is>
      </c>
      <c r="G443" t="n">
        <v>2.8</v>
      </c>
      <c r="H443" t="n">
        <v>0</v>
      </c>
      <c r="I443" t="n">
        <v>0</v>
      </c>
      <c r="J443" t="n">
        <v>0</v>
      </c>
      <c r="K443" t="n">
        <v>0</v>
      </c>
      <c r="L443" t="n">
        <v>0</v>
      </c>
      <c r="M443" t="n">
        <v>0</v>
      </c>
      <c r="N443" t="n">
        <v>0</v>
      </c>
      <c r="O443" t="n">
        <v>0</v>
      </c>
      <c r="P443" t="n">
        <v>0</v>
      </c>
      <c r="Q443" t="n">
        <v>0</v>
      </c>
      <c r="R443" s="2" t="inlineStr"/>
    </row>
    <row r="444" ht="15" customHeight="1">
      <c r="A444" t="inlineStr">
        <is>
          <t>A 58661-2020</t>
        </is>
      </c>
      <c r="B444" s="1" t="n">
        <v>44145</v>
      </c>
      <c r="C444" s="1" t="n">
        <v>45583</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58665-2020</t>
        </is>
      </c>
      <c r="B445" s="1" t="n">
        <v>44145</v>
      </c>
      <c r="C445" s="1" t="n">
        <v>45583</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58888-2020</t>
        </is>
      </c>
      <c r="B446" s="1" t="n">
        <v>44146</v>
      </c>
      <c r="C446" s="1" t="n">
        <v>45583</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60321-2020</t>
        </is>
      </c>
      <c r="B447" s="1" t="n">
        <v>44152</v>
      </c>
      <c r="C447" s="1" t="n">
        <v>45583</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60542-2020</t>
        </is>
      </c>
      <c r="B448" s="1" t="n">
        <v>44153</v>
      </c>
      <c r="C448" s="1" t="n">
        <v>45583</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60977-2020</t>
        </is>
      </c>
      <c r="B449" s="1" t="n">
        <v>44154</v>
      </c>
      <c r="C449" s="1" t="n">
        <v>45583</v>
      </c>
      <c r="D449" t="inlineStr">
        <is>
          <t>STOCKHOLMS LÄN</t>
        </is>
      </c>
      <c r="E449" t="inlineStr">
        <is>
          <t>NORRTÄLJE</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60891-2020</t>
        </is>
      </c>
      <c r="B450" s="1" t="n">
        <v>44154</v>
      </c>
      <c r="C450" s="1" t="n">
        <v>45583</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60961-2020</t>
        </is>
      </c>
      <c r="B451" s="1" t="n">
        <v>44154</v>
      </c>
      <c r="C451" s="1" t="n">
        <v>45583</v>
      </c>
      <c r="D451" t="inlineStr">
        <is>
          <t>STOCKHOLMS LÄN</t>
        </is>
      </c>
      <c r="E451" t="inlineStr">
        <is>
          <t>NORRTÄLJE</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61195-2020</t>
        </is>
      </c>
      <c r="B452" s="1" t="n">
        <v>44155</v>
      </c>
      <c r="C452" s="1" t="n">
        <v>45583</v>
      </c>
      <c r="D452" t="inlineStr">
        <is>
          <t>STOCKHOLMS LÄN</t>
        </is>
      </c>
      <c r="E452" t="inlineStr">
        <is>
          <t>NORRTÄLJE</t>
        </is>
      </c>
      <c r="G452" t="n">
        <v>7.8</v>
      </c>
      <c r="H452" t="n">
        <v>0</v>
      </c>
      <c r="I452" t="n">
        <v>0</v>
      </c>
      <c r="J452" t="n">
        <v>0</v>
      </c>
      <c r="K452" t="n">
        <v>0</v>
      </c>
      <c r="L452" t="n">
        <v>0</v>
      </c>
      <c r="M452" t="n">
        <v>0</v>
      </c>
      <c r="N452" t="n">
        <v>0</v>
      </c>
      <c r="O452" t="n">
        <v>0</v>
      </c>
      <c r="P452" t="n">
        <v>0</v>
      </c>
      <c r="Q452" t="n">
        <v>0</v>
      </c>
      <c r="R452" s="2" t="inlineStr"/>
    </row>
    <row r="453" ht="15" customHeight="1">
      <c r="A453" t="inlineStr">
        <is>
          <t>A 61221-2020</t>
        </is>
      </c>
      <c r="B453" s="1" t="n">
        <v>44155</v>
      </c>
      <c r="C453" s="1" t="n">
        <v>45583</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61363-2020</t>
        </is>
      </c>
      <c r="B454" s="1" t="n">
        <v>44155</v>
      </c>
      <c r="C454" s="1" t="n">
        <v>45583</v>
      </c>
      <c r="D454" t="inlineStr">
        <is>
          <t>STOCKHOLMS LÄN</t>
        </is>
      </c>
      <c r="E454" t="inlineStr">
        <is>
          <t>NORRTÄLJE</t>
        </is>
      </c>
      <c r="G454" t="n">
        <v>2.3</v>
      </c>
      <c r="H454" t="n">
        <v>0</v>
      </c>
      <c r="I454" t="n">
        <v>0</v>
      </c>
      <c r="J454" t="n">
        <v>0</v>
      </c>
      <c r="K454" t="n">
        <v>0</v>
      </c>
      <c r="L454" t="n">
        <v>0</v>
      </c>
      <c r="M454" t="n">
        <v>0</v>
      </c>
      <c r="N454" t="n">
        <v>0</v>
      </c>
      <c r="O454" t="n">
        <v>0</v>
      </c>
      <c r="P454" t="n">
        <v>0</v>
      </c>
      <c r="Q454" t="n">
        <v>0</v>
      </c>
      <c r="R454" s="2" t="inlineStr"/>
    </row>
    <row r="455" ht="15" customHeight="1">
      <c r="A455" t="inlineStr">
        <is>
          <t>A 61469-2020</t>
        </is>
      </c>
      <c r="B455" s="1" t="n">
        <v>44155</v>
      </c>
      <c r="C455" s="1" t="n">
        <v>45583</v>
      </c>
      <c r="D455" t="inlineStr">
        <is>
          <t>STOCKHOLMS LÄN</t>
        </is>
      </c>
      <c r="E455" t="inlineStr">
        <is>
          <t>NORRTÄLJE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61192-2020</t>
        </is>
      </c>
      <c r="B456" s="1" t="n">
        <v>44155</v>
      </c>
      <c r="C456" s="1" t="n">
        <v>45583</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62460-2020</t>
        </is>
      </c>
      <c r="B457" s="1" t="n">
        <v>44160</v>
      </c>
      <c r="C457" s="1" t="n">
        <v>45583</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62854-2020</t>
        </is>
      </c>
      <c r="B458" s="1" t="n">
        <v>44161</v>
      </c>
      <c r="C458" s="1" t="n">
        <v>45583</v>
      </c>
      <c r="D458" t="inlineStr">
        <is>
          <t>STOCKHOLMS LÄN</t>
        </is>
      </c>
      <c r="E458" t="inlineStr">
        <is>
          <t>NORRTÄLJE</t>
        </is>
      </c>
      <c r="G458" t="n">
        <v>4.7</v>
      </c>
      <c r="H458" t="n">
        <v>0</v>
      </c>
      <c r="I458" t="n">
        <v>0</v>
      </c>
      <c r="J458" t="n">
        <v>0</v>
      </c>
      <c r="K458" t="n">
        <v>0</v>
      </c>
      <c r="L458" t="n">
        <v>0</v>
      </c>
      <c r="M458" t="n">
        <v>0</v>
      </c>
      <c r="N458" t="n">
        <v>0</v>
      </c>
      <c r="O458" t="n">
        <v>0</v>
      </c>
      <c r="P458" t="n">
        <v>0</v>
      </c>
      <c r="Q458" t="n">
        <v>0</v>
      </c>
      <c r="R458" s="2" t="inlineStr"/>
    </row>
    <row r="459" ht="15" customHeight="1">
      <c r="A459" t="inlineStr">
        <is>
          <t>A 63824-2020</t>
        </is>
      </c>
      <c r="B459" s="1" t="n">
        <v>44162</v>
      </c>
      <c r="C459" s="1" t="n">
        <v>45583</v>
      </c>
      <c r="D459" t="inlineStr">
        <is>
          <t>STOCKHOLMS LÄN</t>
        </is>
      </c>
      <c r="E459" t="inlineStr">
        <is>
          <t>NORRTÄLJE</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66372-2020</t>
        </is>
      </c>
      <c r="B460" s="1" t="n">
        <v>44176</v>
      </c>
      <c r="C460" s="1" t="n">
        <v>45583</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66907-2020</t>
        </is>
      </c>
      <c r="B461" s="1" t="n">
        <v>44176</v>
      </c>
      <c r="C461" s="1" t="n">
        <v>45583</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67393-2020</t>
        </is>
      </c>
      <c r="B462" s="1" t="n">
        <v>44181</v>
      </c>
      <c r="C462" s="1" t="n">
        <v>45583</v>
      </c>
      <c r="D462" t="inlineStr">
        <is>
          <t>STOCKHOLMS LÄN</t>
        </is>
      </c>
      <c r="E462" t="inlineStr">
        <is>
          <t>NORRTÄLJE</t>
        </is>
      </c>
      <c r="G462" t="n">
        <v>5.5</v>
      </c>
      <c r="H462" t="n">
        <v>0</v>
      </c>
      <c r="I462" t="n">
        <v>0</v>
      </c>
      <c r="J462" t="n">
        <v>0</v>
      </c>
      <c r="K462" t="n">
        <v>0</v>
      </c>
      <c r="L462" t="n">
        <v>0</v>
      </c>
      <c r="M462" t="n">
        <v>0</v>
      </c>
      <c r="N462" t="n">
        <v>0</v>
      </c>
      <c r="O462" t="n">
        <v>0</v>
      </c>
      <c r="P462" t="n">
        <v>0</v>
      </c>
      <c r="Q462" t="n">
        <v>0</v>
      </c>
      <c r="R462" s="2" t="inlineStr"/>
    </row>
    <row r="463" ht="15" customHeight="1">
      <c r="A463" t="inlineStr">
        <is>
          <t>A 68081-2020</t>
        </is>
      </c>
      <c r="B463" s="1" t="n">
        <v>44183</v>
      </c>
      <c r="C463" s="1" t="n">
        <v>45583</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367-2021</t>
        </is>
      </c>
      <c r="B464" s="1" t="n">
        <v>44201</v>
      </c>
      <c r="C464" s="1" t="n">
        <v>45583</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348-2021</t>
        </is>
      </c>
      <c r="B465" s="1" t="n">
        <v>44201</v>
      </c>
      <c r="C465" s="1" t="n">
        <v>45583</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1637-2021</t>
        </is>
      </c>
      <c r="B466" s="1" t="n">
        <v>44209</v>
      </c>
      <c r="C466" s="1" t="n">
        <v>45583</v>
      </c>
      <c r="D466" t="inlineStr">
        <is>
          <t>STOCKHOLMS LÄN</t>
        </is>
      </c>
      <c r="E466" t="inlineStr">
        <is>
          <t>NORRTÄLJE</t>
        </is>
      </c>
      <c r="G466" t="n">
        <v>1.6</v>
      </c>
      <c r="H466" t="n">
        <v>0</v>
      </c>
      <c r="I466" t="n">
        <v>0</v>
      </c>
      <c r="J466" t="n">
        <v>0</v>
      </c>
      <c r="K466" t="n">
        <v>0</v>
      </c>
      <c r="L466" t="n">
        <v>0</v>
      </c>
      <c r="M466" t="n">
        <v>0</v>
      </c>
      <c r="N466" t="n">
        <v>0</v>
      </c>
      <c r="O466" t="n">
        <v>0</v>
      </c>
      <c r="P466" t="n">
        <v>0</v>
      </c>
      <c r="Q466" t="n">
        <v>0</v>
      </c>
      <c r="R466" s="2" t="inlineStr"/>
    </row>
    <row r="467" ht="15" customHeight="1">
      <c r="A467" t="inlineStr">
        <is>
          <t>A 1970-2021</t>
        </is>
      </c>
      <c r="B467" s="1" t="n">
        <v>44210</v>
      </c>
      <c r="C467" s="1" t="n">
        <v>45583</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2447-2021</t>
        </is>
      </c>
      <c r="B468" s="1" t="n">
        <v>44214</v>
      </c>
      <c r="C468" s="1" t="n">
        <v>45583</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2976-2021</t>
        </is>
      </c>
      <c r="B469" s="1" t="n">
        <v>44216</v>
      </c>
      <c r="C469" s="1" t="n">
        <v>45583</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3143-2021</t>
        </is>
      </c>
      <c r="B470" s="1" t="n">
        <v>44217</v>
      </c>
      <c r="C470" s="1" t="n">
        <v>45583</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3386-2021</t>
        </is>
      </c>
      <c r="B471" s="1" t="n">
        <v>44218</v>
      </c>
      <c r="C471" s="1" t="n">
        <v>45583</v>
      </c>
      <c r="D471" t="inlineStr">
        <is>
          <t>STOCKHOLMS LÄN</t>
        </is>
      </c>
      <c r="E471" t="inlineStr">
        <is>
          <t>NORRTÄLJE</t>
        </is>
      </c>
      <c r="G471" t="n">
        <v>8</v>
      </c>
      <c r="H471" t="n">
        <v>0</v>
      </c>
      <c r="I471" t="n">
        <v>0</v>
      </c>
      <c r="J471" t="n">
        <v>0</v>
      </c>
      <c r="K471" t="n">
        <v>0</v>
      </c>
      <c r="L471" t="n">
        <v>0</v>
      </c>
      <c r="M471" t="n">
        <v>0</v>
      </c>
      <c r="N471" t="n">
        <v>0</v>
      </c>
      <c r="O471" t="n">
        <v>0</v>
      </c>
      <c r="P471" t="n">
        <v>0</v>
      </c>
      <c r="Q471" t="n">
        <v>0</v>
      </c>
      <c r="R471" s="2" t="inlineStr"/>
    </row>
    <row r="472" ht="15" customHeight="1">
      <c r="A472" t="inlineStr">
        <is>
          <t>A 4634-2021</t>
        </is>
      </c>
      <c r="B472" s="1" t="n">
        <v>44224</v>
      </c>
      <c r="C472" s="1" t="n">
        <v>45583</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4632-2021</t>
        </is>
      </c>
      <c r="B473" s="1" t="n">
        <v>44224</v>
      </c>
      <c r="C473" s="1" t="n">
        <v>45583</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5037-2021</t>
        </is>
      </c>
      <c r="B474" s="1" t="n">
        <v>44228</v>
      </c>
      <c r="C474" s="1" t="n">
        <v>45583</v>
      </c>
      <c r="D474" t="inlineStr">
        <is>
          <t>STOCKHOLMS LÄN</t>
        </is>
      </c>
      <c r="E474" t="inlineStr">
        <is>
          <t>NORRTÄLJE</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5562-2021</t>
        </is>
      </c>
      <c r="B475" s="1" t="n">
        <v>44230</v>
      </c>
      <c r="C475" s="1" t="n">
        <v>45583</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5566-2021</t>
        </is>
      </c>
      <c r="B476" s="1" t="n">
        <v>44230</v>
      </c>
      <c r="C476" s="1" t="n">
        <v>45583</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5950-2021</t>
        </is>
      </c>
      <c r="B477" s="1" t="n">
        <v>44231</v>
      </c>
      <c r="C477" s="1" t="n">
        <v>45583</v>
      </c>
      <c r="D477" t="inlineStr">
        <is>
          <t>STOCKHOLMS LÄN</t>
        </is>
      </c>
      <c r="E477" t="inlineStr">
        <is>
          <t>NORRTÄLJE</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6049-2021</t>
        </is>
      </c>
      <c r="B478" s="1" t="n">
        <v>44231</v>
      </c>
      <c r="C478" s="1" t="n">
        <v>45583</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7903-2021</t>
        </is>
      </c>
      <c r="B479" s="1" t="n">
        <v>44243</v>
      </c>
      <c r="C479" s="1" t="n">
        <v>45583</v>
      </c>
      <c r="D479" t="inlineStr">
        <is>
          <t>STOCKHOLMS LÄN</t>
        </is>
      </c>
      <c r="E479" t="inlineStr">
        <is>
          <t>NORRTÄLJE</t>
        </is>
      </c>
      <c r="G479" t="n">
        <v>3.5</v>
      </c>
      <c r="H479" t="n">
        <v>0</v>
      </c>
      <c r="I479" t="n">
        <v>0</v>
      </c>
      <c r="J479" t="n">
        <v>0</v>
      </c>
      <c r="K479" t="n">
        <v>0</v>
      </c>
      <c r="L479" t="n">
        <v>0</v>
      </c>
      <c r="M479" t="n">
        <v>0</v>
      </c>
      <c r="N479" t="n">
        <v>0</v>
      </c>
      <c r="O479" t="n">
        <v>0</v>
      </c>
      <c r="P479" t="n">
        <v>0</v>
      </c>
      <c r="Q479" t="n">
        <v>0</v>
      </c>
      <c r="R479" s="2" t="inlineStr"/>
    </row>
    <row r="480" ht="15" customHeight="1">
      <c r="A480" t="inlineStr">
        <is>
          <t>A 7999-2021</t>
        </is>
      </c>
      <c r="B480" s="1" t="n">
        <v>44243</v>
      </c>
      <c r="C480" s="1" t="n">
        <v>45583</v>
      </c>
      <c r="D480" t="inlineStr">
        <is>
          <t>STOCKHOLMS LÄN</t>
        </is>
      </c>
      <c r="E480" t="inlineStr">
        <is>
          <t>NORRTÄLJE</t>
        </is>
      </c>
      <c r="G480" t="n">
        <v>6.8</v>
      </c>
      <c r="H480" t="n">
        <v>0</v>
      </c>
      <c r="I480" t="n">
        <v>0</v>
      </c>
      <c r="J480" t="n">
        <v>0</v>
      </c>
      <c r="K480" t="n">
        <v>0</v>
      </c>
      <c r="L480" t="n">
        <v>0</v>
      </c>
      <c r="M480" t="n">
        <v>0</v>
      </c>
      <c r="N480" t="n">
        <v>0</v>
      </c>
      <c r="O480" t="n">
        <v>0</v>
      </c>
      <c r="P480" t="n">
        <v>0</v>
      </c>
      <c r="Q480" t="n">
        <v>0</v>
      </c>
      <c r="R480" s="2" t="inlineStr"/>
    </row>
    <row r="481" ht="15" customHeight="1">
      <c r="A481" t="inlineStr">
        <is>
          <t>A 8338-2021</t>
        </is>
      </c>
      <c r="B481" s="1" t="n">
        <v>44244</v>
      </c>
      <c r="C481" s="1" t="n">
        <v>45583</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9467-2021</t>
        </is>
      </c>
      <c r="B482" s="1" t="n">
        <v>44251</v>
      </c>
      <c r="C482" s="1" t="n">
        <v>45583</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9469-2021</t>
        </is>
      </c>
      <c r="B483" s="1" t="n">
        <v>44251</v>
      </c>
      <c r="C483" s="1" t="n">
        <v>45583</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9446-2021</t>
        </is>
      </c>
      <c r="B484" s="1" t="n">
        <v>44251</v>
      </c>
      <c r="C484" s="1" t="n">
        <v>45583</v>
      </c>
      <c r="D484" t="inlineStr">
        <is>
          <t>STOCKHOLMS LÄN</t>
        </is>
      </c>
      <c r="E484" t="inlineStr">
        <is>
          <t>NORRTÄLJE</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9719-2021</t>
        </is>
      </c>
      <c r="B485" s="1" t="n">
        <v>44252</v>
      </c>
      <c r="C485" s="1" t="n">
        <v>45583</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9703-2021</t>
        </is>
      </c>
      <c r="B486" s="1" t="n">
        <v>44252</v>
      </c>
      <c r="C486" s="1" t="n">
        <v>45583</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10687-2021</t>
        </is>
      </c>
      <c r="B487" s="1" t="n">
        <v>44258</v>
      </c>
      <c r="C487" s="1" t="n">
        <v>45583</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10684-2021</t>
        </is>
      </c>
      <c r="B488" s="1" t="n">
        <v>44258</v>
      </c>
      <c r="C488" s="1" t="n">
        <v>45583</v>
      </c>
      <c r="D488" t="inlineStr">
        <is>
          <t>STOCKHOLMS LÄN</t>
        </is>
      </c>
      <c r="E488" t="inlineStr">
        <is>
          <t>NORRTÄLJE</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11122-2021</t>
        </is>
      </c>
      <c r="B489" s="1" t="n">
        <v>44260</v>
      </c>
      <c r="C489" s="1" t="n">
        <v>45583</v>
      </c>
      <c r="D489" t="inlineStr">
        <is>
          <t>STOCKHOLMS LÄN</t>
        </is>
      </c>
      <c r="E489" t="inlineStr">
        <is>
          <t>NORRTÄLJE</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11438-2021</t>
        </is>
      </c>
      <c r="B490" s="1" t="n">
        <v>44263</v>
      </c>
      <c r="C490" s="1" t="n">
        <v>45583</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11988-2021</t>
        </is>
      </c>
      <c r="B491" s="1" t="n">
        <v>44266</v>
      </c>
      <c r="C491" s="1" t="n">
        <v>45583</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12031-2021</t>
        </is>
      </c>
      <c r="B492" s="1" t="n">
        <v>44266</v>
      </c>
      <c r="C492" s="1" t="n">
        <v>45583</v>
      </c>
      <c r="D492" t="inlineStr">
        <is>
          <t>STOCKHOLMS LÄN</t>
        </is>
      </c>
      <c r="E492" t="inlineStr">
        <is>
          <t>NORRTÄLJE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12111-2021</t>
        </is>
      </c>
      <c r="B493" s="1" t="n">
        <v>44266</v>
      </c>
      <c r="C493" s="1" t="n">
        <v>45583</v>
      </c>
      <c r="D493" t="inlineStr">
        <is>
          <t>STOCKHOLMS LÄN</t>
        </is>
      </c>
      <c r="E493" t="inlineStr">
        <is>
          <t>NORRTÄLJE</t>
        </is>
      </c>
      <c r="G493" t="n">
        <v>5.5</v>
      </c>
      <c r="H493" t="n">
        <v>0</v>
      </c>
      <c r="I493" t="n">
        <v>0</v>
      </c>
      <c r="J493" t="n">
        <v>0</v>
      </c>
      <c r="K493" t="n">
        <v>0</v>
      </c>
      <c r="L493" t="n">
        <v>0</v>
      </c>
      <c r="M493" t="n">
        <v>0</v>
      </c>
      <c r="N493" t="n">
        <v>0</v>
      </c>
      <c r="O493" t="n">
        <v>0</v>
      </c>
      <c r="P493" t="n">
        <v>0</v>
      </c>
      <c r="Q493" t="n">
        <v>0</v>
      </c>
      <c r="R493" s="2" t="inlineStr"/>
    </row>
    <row r="494" ht="15" customHeight="1">
      <c r="A494" t="inlineStr">
        <is>
          <t>A 12132-2021</t>
        </is>
      </c>
      <c r="B494" s="1" t="n">
        <v>44266</v>
      </c>
      <c r="C494" s="1" t="n">
        <v>45583</v>
      </c>
      <c r="D494" t="inlineStr">
        <is>
          <t>STOCKHOLMS LÄN</t>
        </is>
      </c>
      <c r="E494" t="inlineStr">
        <is>
          <t>NORRTÄLJE</t>
        </is>
      </c>
      <c r="G494" t="n">
        <v>4</v>
      </c>
      <c r="H494" t="n">
        <v>0</v>
      </c>
      <c r="I494" t="n">
        <v>0</v>
      </c>
      <c r="J494" t="n">
        <v>0</v>
      </c>
      <c r="K494" t="n">
        <v>0</v>
      </c>
      <c r="L494" t="n">
        <v>0</v>
      </c>
      <c r="M494" t="n">
        <v>0</v>
      </c>
      <c r="N494" t="n">
        <v>0</v>
      </c>
      <c r="O494" t="n">
        <v>0</v>
      </c>
      <c r="P494" t="n">
        <v>0</v>
      </c>
      <c r="Q494" t="n">
        <v>0</v>
      </c>
      <c r="R494" s="2" t="inlineStr"/>
    </row>
    <row r="495" ht="15" customHeight="1">
      <c r="A495" t="inlineStr">
        <is>
          <t>A 12564-2021</t>
        </is>
      </c>
      <c r="B495" s="1" t="n">
        <v>44270</v>
      </c>
      <c r="C495" s="1" t="n">
        <v>45583</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12779-2021</t>
        </is>
      </c>
      <c r="B496" s="1" t="n">
        <v>44270</v>
      </c>
      <c r="C496" s="1" t="n">
        <v>45583</v>
      </c>
      <c r="D496" t="inlineStr">
        <is>
          <t>STOCKHOLMS LÄN</t>
        </is>
      </c>
      <c r="E496" t="inlineStr">
        <is>
          <t>NORRTÄLJE</t>
        </is>
      </c>
      <c r="G496" t="n">
        <v>10.8</v>
      </c>
      <c r="H496" t="n">
        <v>0</v>
      </c>
      <c r="I496" t="n">
        <v>0</v>
      </c>
      <c r="J496" t="n">
        <v>0</v>
      </c>
      <c r="K496" t="n">
        <v>0</v>
      </c>
      <c r="L496" t="n">
        <v>0</v>
      </c>
      <c r="M496" t="n">
        <v>0</v>
      </c>
      <c r="N496" t="n">
        <v>0</v>
      </c>
      <c r="O496" t="n">
        <v>0</v>
      </c>
      <c r="P496" t="n">
        <v>0</v>
      </c>
      <c r="Q496" t="n">
        <v>0</v>
      </c>
      <c r="R496" s="2" t="inlineStr"/>
    </row>
    <row r="497" ht="15" customHeight="1">
      <c r="A497" t="inlineStr">
        <is>
          <t>A 12782-2021</t>
        </is>
      </c>
      <c r="B497" s="1" t="n">
        <v>44270</v>
      </c>
      <c r="C497" s="1" t="n">
        <v>45583</v>
      </c>
      <c r="D497" t="inlineStr">
        <is>
          <t>STOCKHOLMS LÄN</t>
        </is>
      </c>
      <c r="E497" t="inlineStr">
        <is>
          <t>NORRTÄLJE</t>
        </is>
      </c>
      <c r="G497" t="n">
        <v>3.8</v>
      </c>
      <c r="H497" t="n">
        <v>0</v>
      </c>
      <c r="I497" t="n">
        <v>0</v>
      </c>
      <c r="J497" t="n">
        <v>0</v>
      </c>
      <c r="K497" t="n">
        <v>0</v>
      </c>
      <c r="L497" t="n">
        <v>0</v>
      </c>
      <c r="M497" t="n">
        <v>0</v>
      </c>
      <c r="N497" t="n">
        <v>0</v>
      </c>
      <c r="O497" t="n">
        <v>0</v>
      </c>
      <c r="P497" t="n">
        <v>0</v>
      </c>
      <c r="Q497" t="n">
        <v>0</v>
      </c>
      <c r="R497" s="2" t="inlineStr"/>
    </row>
    <row r="498" ht="15" customHeight="1">
      <c r="A498" t="inlineStr">
        <is>
          <t>A 13051-2021</t>
        </is>
      </c>
      <c r="B498" s="1" t="n">
        <v>44272</v>
      </c>
      <c r="C498" s="1" t="n">
        <v>45583</v>
      </c>
      <c r="D498" t="inlineStr">
        <is>
          <t>STOCKHOLMS LÄN</t>
        </is>
      </c>
      <c r="E498" t="inlineStr">
        <is>
          <t>NORRTÄLJE</t>
        </is>
      </c>
      <c r="G498" t="n">
        <v>9.1</v>
      </c>
      <c r="H498" t="n">
        <v>0</v>
      </c>
      <c r="I498" t="n">
        <v>0</v>
      </c>
      <c r="J498" t="n">
        <v>0</v>
      </c>
      <c r="K498" t="n">
        <v>0</v>
      </c>
      <c r="L498" t="n">
        <v>0</v>
      </c>
      <c r="M498" t="n">
        <v>0</v>
      </c>
      <c r="N498" t="n">
        <v>0</v>
      </c>
      <c r="O498" t="n">
        <v>0</v>
      </c>
      <c r="P498" t="n">
        <v>0</v>
      </c>
      <c r="Q498" t="n">
        <v>0</v>
      </c>
      <c r="R498" s="2" t="inlineStr"/>
    </row>
    <row r="499" ht="15" customHeight="1">
      <c r="A499" t="inlineStr">
        <is>
          <t>A 13148-2021</t>
        </is>
      </c>
      <c r="B499" s="1" t="n">
        <v>44272</v>
      </c>
      <c r="C499" s="1" t="n">
        <v>45583</v>
      </c>
      <c r="D499" t="inlineStr">
        <is>
          <t>STOCKHOLMS LÄN</t>
        </is>
      </c>
      <c r="E499" t="inlineStr">
        <is>
          <t>NORRTÄLJE</t>
        </is>
      </c>
      <c r="G499" t="n">
        <v>12.4</v>
      </c>
      <c r="H499" t="n">
        <v>0</v>
      </c>
      <c r="I499" t="n">
        <v>0</v>
      </c>
      <c r="J499" t="n">
        <v>0</v>
      </c>
      <c r="K499" t="n">
        <v>0</v>
      </c>
      <c r="L499" t="n">
        <v>0</v>
      </c>
      <c r="M499" t="n">
        <v>0</v>
      </c>
      <c r="N499" t="n">
        <v>0</v>
      </c>
      <c r="O499" t="n">
        <v>0</v>
      </c>
      <c r="P499" t="n">
        <v>0</v>
      </c>
      <c r="Q499" t="n">
        <v>0</v>
      </c>
      <c r="R499" s="2" t="inlineStr"/>
    </row>
    <row r="500" ht="15" customHeight="1">
      <c r="A500" t="inlineStr">
        <is>
          <t>A 13736-2021</t>
        </is>
      </c>
      <c r="B500" s="1" t="n">
        <v>44274</v>
      </c>
      <c r="C500" s="1" t="n">
        <v>45583</v>
      </c>
      <c r="D500" t="inlineStr">
        <is>
          <t>STOCKHOLMS LÄN</t>
        </is>
      </c>
      <c r="E500" t="inlineStr">
        <is>
          <t>NORRTÄLJE</t>
        </is>
      </c>
      <c r="F500" t="inlineStr">
        <is>
          <t>Holmen skog AB</t>
        </is>
      </c>
      <c r="G500" t="n">
        <v>3.5</v>
      </c>
      <c r="H500" t="n">
        <v>0</v>
      </c>
      <c r="I500" t="n">
        <v>0</v>
      </c>
      <c r="J500" t="n">
        <v>0</v>
      </c>
      <c r="K500" t="n">
        <v>0</v>
      </c>
      <c r="L500" t="n">
        <v>0</v>
      </c>
      <c r="M500" t="n">
        <v>0</v>
      </c>
      <c r="N500" t="n">
        <v>0</v>
      </c>
      <c r="O500" t="n">
        <v>0</v>
      </c>
      <c r="P500" t="n">
        <v>0</v>
      </c>
      <c r="Q500" t="n">
        <v>0</v>
      </c>
      <c r="R500" s="2" t="inlineStr"/>
    </row>
    <row r="501" ht="15" customHeight="1">
      <c r="A501" t="inlineStr">
        <is>
          <t>A 13752-2021</t>
        </is>
      </c>
      <c r="B501" s="1" t="n">
        <v>44274</v>
      </c>
      <c r="C501" s="1" t="n">
        <v>45583</v>
      </c>
      <c r="D501" t="inlineStr">
        <is>
          <t>STOCKHOLMS LÄN</t>
        </is>
      </c>
      <c r="E501" t="inlineStr">
        <is>
          <t>NORRTÄLJE</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45583</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14922-2021</t>
        </is>
      </c>
      <c r="B503" s="1" t="n">
        <v>44281</v>
      </c>
      <c r="C503" s="1" t="n">
        <v>45583</v>
      </c>
      <c r="D503" t="inlineStr">
        <is>
          <t>STOCKHOLMS LÄN</t>
        </is>
      </c>
      <c r="E503" t="inlineStr">
        <is>
          <t>NORRTÄLJE</t>
        </is>
      </c>
      <c r="G503" t="n">
        <v>4.8</v>
      </c>
      <c r="H503" t="n">
        <v>0</v>
      </c>
      <c r="I503" t="n">
        <v>0</v>
      </c>
      <c r="J503" t="n">
        <v>0</v>
      </c>
      <c r="K503" t="n">
        <v>0</v>
      </c>
      <c r="L503" t="n">
        <v>0</v>
      </c>
      <c r="M503" t="n">
        <v>0</v>
      </c>
      <c r="N503" t="n">
        <v>0</v>
      </c>
      <c r="O503" t="n">
        <v>0</v>
      </c>
      <c r="P503" t="n">
        <v>0</v>
      </c>
      <c r="Q503" t="n">
        <v>0</v>
      </c>
      <c r="R503" s="2" t="inlineStr"/>
    </row>
    <row r="504" ht="15" customHeight="1">
      <c r="A504" t="inlineStr">
        <is>
          <t>A 14933-2021</t>
        </is>
      </c>
      <c r="B504" s="1" t="n">
        <v>44281</v>
      </c>
      <c r="C504" s="1" t="n">
        <v>45583</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15289-2021</t>
        </is>
      </c>
      <c r="B505" s="1" t="n">
        <v>44284</v>
      </c>
      <c r="C505" s="1" t="n">
        <v>45583</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15441-2021</t>
        </is>
      </c>
      <c r="B506" s="1" t="n">
        <v>44284</v>
      </c>
      <c r="C506" s="1" t="n">
        <v>45583</v>
      </c>
      <c r="D506" t="inlineStr">
        <is>
          <t>STOCKHOLMS LÄN</t>
        </is>
      </c>
      <c r="E506" t="inlineStr">
        <is>
          <t>NORRTÄLJE</t>
        </is>
      </c>
      <c r="G506" t="n">
        <v>27</v>
      </c>
      <c r="H506" t="n">
        <v>0</v>
      </c>
      <c r="I506" t="n">
        <v>0</v>
      </c>
      <c r="J506" t="n">
        <v>0</v>
      </c>
      <c r="K506" t="n">
        <v>0</v>
      </c>
      <c r="L506" t="n">
        <v>0</v>
      </c>
      <c r="M506" t="n">
        <v>0</v>
      </c>
      <c r="N506" t="n">
        <v>0</v>
      </c>
      <c r="O506" t="n">
        <v>0</v>
      </c>
      <c r="P506" t="n">
        <v>0</v>
      </c>
      <c r="Q506" t="n">
        <v>0</v>
      </c>
      <c r="R506" s="2" t="inlineStr"/>
    </row>
    <row r="507" ht="15" customHeight="1">
      <c r="A507" t="inlineStr">
        <is>
          <t>A 15552-2021</t>
        </is>
      </c>
      <c r="B507" s="1" t="n">
        <v>44285</v>
      </c>
      <c r="C507" s="1" t="n">
        <v>45583</v>
      </c>
      <c r="D507" t="inlineStr">
        <is>
          <t>STOCKHOLMS LÄN</t>
        </is>
      </c>
      <c r="E507" t="inlineStr">
        <is>
          <t>NORRTÄLJE</t>
        </is>
      </c>
      <c r="G507" t="n">
        <v>10</v>
      </c>
      <c r="H507" t="n">
        <v>0</v>
      </c>
      <c r="I507" t="n">
        <v>0</v>
      </c>
      <c r="J507" t="n">
        <v>0</v>
      </c>
      <c r="K507" t="n">
        <v>0</v>
      </c>
      <c r="L507" t="n">
        <v>0</v>
      </c>
      <c r="M507" t="n">
        <v>0</v>
      </c>
      <c r="N507" t="n">
        <v>0</v>
      </c>
      <c r="O507" t="n">
        <v>0</v>
      </c>
      <c r="P507" t="n">
        <v>0</v>
      </c>
      <c r="Q507" t="n">
        <v>0</v>
      </c>
      <c r="R507" s="2" t="inlineStr"/>
    </row>
    <row r="508" ht="15" customHeight="1">
      <c r="A508" t="inlineStr">
        <is>
          <t>A 16668-2021</t>
        </is>
      </c>
      <c r="B508" s="1" t="n">
        <v>44294</v>
      </c>
      <c r="C508" s="1" t="n">
        <v>45583</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17460-2021</t>
        </is>
      </c>
      <c r="B509" s="1" t="n">
        <v>44299</v>
      </c>
      <c r="C509" s="1" t="n">
        <v>45583</v>
      </c>
      <c r="D509" t="inlineStr">
        <is>
          <t>STOCKHOLMS LÄN</t>
        </is>
      </c>
      <c r="E509" t="inlineStr">
        <is>
          <t>NORRTÄLJE</t>
        </is>
      </c>
      <c r="G509" t="n">
        <v>3.2</v>
      </c>
      <c r="H509" t="n">
        <v>0</v>
      </c>
      <c r="I509" t="n">
        <v>0</v>
      </c>
      <c r="J509" t="n">
        <v>0</v>
      </c>
      <c r="K509" t="n">
        <v>0</v>
      </c>
      <c r="L509" t="n">
        <v>0</v>
      </c>
      <c r="M509" t="n">
        <v>0</v>
      </c>
      <c r="N509" t="n">
        <v>0</v>
      </c>
      <c r="O509" t="n">
        <v>0</v>
      </c>
      <c r="P509" t="n">
        <v>0</v>
      </c>
      <c r="Q509" t="n">
        <v>0</v>
      </c>
      <c r="R509" s="2" t="inlineStr"/>
    </row>
    <row r="510" ht="15" customHeight="1">
      <c r="A510" t="inlineStr">
        <is>
          <t>A 17703-2021</t>
        </is>
      </c>
      <c r="B510" s="1" t="n">
        <v>44300</v>
      </c>
      <c r="C510" s="1" t="n">
        <v>45583</v>
      </c>
      <c r="D510" t="inlineStr">
        <is>
          <t>STOCKHOLMS LÄN</t>
        </is>
      </c>
      <c r="E510" t="inlineStr">
        <is>
          <t>NORRTÄLJE</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18580-2021</t>
        </is>
      </c>
      <c r="B511" s="1" t="n">
        <v>44306</v>
      </c>
      <c r="C511" s="1" t="n">
        <v>45583</v>
      </c>
      <c r="D511" t="inlineStr">
        <is>
          <t>STOCKHOLMS LÄN</t>
        </is>
      </c>
      <c r="E511" t="inlineStr">
        <is>
          <t>NORRTÄLJE</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18609-2021</t>
        </is>
      </c>
      <c r="B512" s="1" t="n">
        <v>44306</v>
      </c>
      <c r="C512" s="1" t="n">
        <v>45583</v>
      </c>
      <c r="D512" t="inlineStr">
        <is>
          <t>STOCKHOLMS LÄN</t>
        </is>
      </c>
      <c r="E512" t="inlineStr">
        <is>
          <t>NORRTÄLJE</t>
        </is>
      </c>
      <c r="G512" t="n">
        <v>9.5</v>
      </c>
      <c r="H512" t="n">
        <v>0</v>
      </c>
      <c r="I512" t="n">
        <v>0</v>
      </c>
      <c r="J512" t="n">
        <v>0</v>
      </c>
      <c r="K512" t="n">
        <v>0</v>
      </c>
      <c r="L512" t="n">
        <v>0</v>
      </c>
      <c r="M512" t="n">
        <v>0</v>
      </c>
      <c r="N512" t="n">
        <v>0</v>
      </c>
      <c r="O512" t="n">
        <v>0</v>
      </c>
      <c r="P512" t="n">
        <v>0</v>
      </c>
      <c r="Q512" t="n">
        <v>0</v>
      </c>
      <c r="R512" s="2" t="inlineStr"/>
    </row>
    <row r="513" ht="15" customHeight="1">
      <c r="A513" t="inlineStr">
        <is>
          <t>A 18539-2021</t>
        </is>
      </c>
      <c r="B513" s="1" t="n">
        <v>44306</v>
      </c>
      <c r="C513" s="1" t="n">
        <v>45583</v>
      </c>
      <c r="D513" t="inlineStr">
        <is>
          <t>STOCKHOLMS LÄN</t>
        </is>
      </c>
      <c r="E513" t="inlineStr">
        <is>
          <t>NORRTÄLJE</t>
        </is>
      </c>
      <c r="F513" t="inlineStr">
        <is>
          <t>Holmen skog AB</t>
        </is>
      </c>
      <c r="G513" t="n">
        <v>5.5</v>
      </c>
      <c r="H513" t="n">
        <v>0</v>
      </c>
      <c r="I513" t="n">
        <v>0</v>
      </c>
      <c r="J513" t="n">
        <v>0</v>
      </c>
      <c r="K513" t="n">
        <v>0</v>
      </c>
      <c r="L513" t="n">
        <v>0</v>
      </c>
      <c r="M513" t="n">
        <v>0</v>
      </c>
      <c r="N513" t="n">
        <v>0</v>
      </c>
      <c r="O513" t="n">
        <v>0</v>
      </c>
      <c r="P513" t="n">
        <v>0</v>
      </c>
      <c r="Q513" t="n">
        <v>0</v>
      </c>
      <c r="R513" s="2" t="inlineStr"/>
    </row>
    <row r="514" ht="15" customHeight="1">
      <c r="A514" t="inlineStr">
        <is>
          <t>A 18570-2021</t>
        </is>
      </c>
      <c r="B514" s="1" t="n">
        <v>44306</v>
      </c>
      <c r="C514" s="1" t="n">
        <v>45583</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19283-2021</t>
        </is>
      </c>
      <c r="B515" s="1" t="n">
        <v>44309</v>
      </c>
      <c r="C515" s="1" t="n">
        <v>45583</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19400-2021</t>
        </is>
      </c>
      <c r="B516" s="1" t="n">
        <v>44309</v>
      </c>
      <c r="C516" s="1" t="n">
        <v>45583</v>
      </c>
      <c r="D516" t="inlineStr">
        <is>
          <t>STOCKHOLMS LÄN</t>
        </is>
      </c>
      <c r="E516" t="inlineStr">
        <is>
          <t>NORRTÄLJE</t>
        </is>
      </c>
      <c r="F516" t="inlineStr">
        <is>
          <t>Kommuner</t>
        </is>
      </c>
      <c r="G516" t="n">
        <v>2.4</v>
      </c>
      <c r="H516" t="n">
        <v>0</v>
      </c>
      <c r="I516" t="n">
        <v>0</v>
      </c>
      <c r="J516" t="n">
        <v>0</v>
      </c>
      <c r="K516" t="n">
        <v>0</v>
      </c>
      <c r="L516" t="n">
        <v>0</v>
      </c>
      <c r="M516" t="n">
        <v>0</v>
      </c>
      <c r="N516" t="n">
        <v>0</v>
      </c>
      <c r="O516" t="n">
        <v>0</v>
      </c>
      <c r="P516" t="n">
        <v>0</v>
      </c>
      <c r="Q516" t="n">
        <v>0</v>
      </c>
      <c r="R516" s="2" t="inlineStr"/>
    </row>
    <row r="517" ht="15" customHeight="1">
      <c r="A517" t="inlineStr">
        <is>
          <t>A 19307-2021</t>
        </is>
      </c>
      <c r="B517" s="1" t="n">
        <v>44309</v>
      </c>
      <c r="C517" s="1" t="n">
        <v>45583</v>
      </c>
      <c r="D517" t="inlineStr">
        <is>
          <t>STOCKHOLMS LÄN</t>
        </is>
      </c>
      <c r="E517" t="inlineStr">
        <is>
          <t>NORRTÄLJE</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19398-2021</t>
        </is>
      </c>
      <c r="B518" s="1" t="n">
        <v>44309</v>
      </c>
      <c r="C518" s="1" t="n">
        <v>45583</v>
      </c>
      <c r="D518" t="inlineStr">
        <is>
          <t>STOCKHOLMS LÄN</t>
        </is>
      </c>
      <c r="E518" t="inlineStr">
        <is>
          <t>NORRTÄLJE</t>
        </is>
      </c>
      <c r="F518" t="inlineStr">
        <is>
          <t>Kommuner</t>
        </is>
      </c>
      <c r="G518" t="n">
        <v>2.1</v>
      </c>
      <c r="H518" t="n">
        <v>0</v>
      </c>
      <c r="I518" t="n">
        <v>0</v>
      </c>
      <c r="J518" t="n">
        <v>0</v>
      </c>
      <c r="K518" t="n">
        <v>0</v>
      </c>
      <c r="L518" t="n">
        <v>0</v>
      </c>
      <c r="M518" t="n">
        <v>0</v>
      </c>
      <c r="N518" t="n">
        <v>0</v>
      </c>
      <c r="O518" t="n">
        <v>0</v>
      </c>
      <c r="P518" t="n">
        <v>0</v>
      </c>
      <c r="Q518" t="n">
        <v>0</v>
      </c>
      <c r="R518" s="2" t="inlineStr"/>
    </row>
    <row r="519" ht="15" customHeight="1">
      <c r="A519" t="inlineStr">
        <is>
          <t>A 20073-2021</t>
        </is>
      </c>
      <c r="B519" s="1" t="n">
        <v>44314</v>
      </c>
      <c r="C519" s="1" t="n">
        <v>45583</v>
      </c>
      <c r="D519" t="inlineStr">
        <is>
          <t>STOCKHOLMS LÄN</t>
        </is>
      </c>
      <c r="E519" t="inlineStr">
        <is>
          <t>NORRTÄLJE</t>
        </is>
      </c>
      <c r="G519" t="n">
        <v>4.6</v>
      </c>
      <c r="H519" t="n">
        <v>0</v>
      </c>
      <c r="I519" t="n">
        <v>0</v>
      </c>
      <c r="J519" t="n">
        <v>0</v>
      </c>
      <c r="K519" t="n">
        <v>0</v>
      </c>
      <c r="L519" t="n">
        <v>0</v>
      </c>
      <c r="M519" t="n">
        <v>0</v>
      </c>
      <c r="N519" t="n">
        <v>0</v>
      </c>
      <c r="O519" t="n">
        <v>0</v>
      </c>
      <c r="P519" t="n">
        <v>0</v>
      </c>
      <c r="Q519" t="n">
        <v>0</v>
      </c>
      <c r="R519" s="2" t="inlineStr"/>
    </row>
    <row r="520" ht="15" customHeight="1">
      <c r="A520" t="inlineStr">
        <is>
          <t>A 20473-2021</t>
        </is>
      </c>
      <c r="B520" s="1" t="n">
        <v>44315</v>
      </c>
      <c r="C520" s="1" t="n">
        <v>45583</v>
      </c>
      <c r="D520" t="inlineStr">
        <is>
          <t>STOCKHOLMS LÄN</t>
        </is>
      </c>
      <c r="E520" t="inlineStr">
        <is>
          <t>NORRTÄLJE</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21291-2021</t>
        </is>
      </c>
      <c r="B521" s="1" t="n">
        <v>44319</v>
      </c>
      <c r="C521" s="1" t="n">
        <v>45583</v>
      </c>
      <c r="D521" t="inlineStr">
        <is>
          <t>STOCKHOLMS LÄN</t>
        </is>
      </c>
      <c r="E521" t="inlineStr">
        <is>
          <t>NORRTÄLJE</t>
        </is>
      </c>
      <c r="G521" t="n">
        <v>12.7</v>
      </c>
      <c r="H521" t="n">
        <v>0</v>
      </c>
      <c r="I521" t="n">
        <v>0</v>
      </c>
      <c r="J521" t="n">
        <v>0</v>
      </c>
      <c r="K521" t="n">
        <v>0</v>
      </c>
      <c r="L521" t="n">
        <v>0</v>
      </c>
      <c r="M521" t="n">
        <v>0</v>
      </c>
      <c r="N521" t="n">
        <v>0</v>
      </c>
      <c r="O521" t="n">
        <v>0</v>
      </c>
      <c r="P521" t="n">
        <v>0</v>
      </c>
      <c r="Q521" t="n">
        <v>0</v>
      </c>
      <c r="R521" s="2" t="inlineStr"/>
    </row>
    <row r="522" ht="15" customHeight="1">
      <c r="A522" t="inlineStr">
        <is>
          <t>A 21529-2021</t>
        </is>
      </c>
      <c r="B522" s="1" t="n">
        <v>44321</v>
      </c>
      <c r="C522" s="1" t="n">
        <v>45583</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22832-2021</t>
        </is>
      </c>
      <c r="B523" s="1" t="n">
        <v>44325</v>
      </c>
      <c r="C523" s="1" t="n">
        <v>45583</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22816-2021</t>
        </is>
      </c>
      <c r="B524" s="1" t="n">
        <v>44325</v>
      </c>
      <c r="C524" s="1" t="n">
        <v>45583</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22369-2021</t>
        </is>
      </c>
      <c r="B525" s="1" t="n">
        <v>44326</v>
      </c>
      <c r="C525" s="1" t="n">
        <v>45583</v>
      </c>
      <c r="D525" t="inlineStr">
        <is>
          <t>STOCKHOLMS LÄN</t>
        </is>
      </c>
      <c r="E525" t="inlineStr">
        <is>
          <t>NORRTÄLJE</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22421-2021</t>
        </is>
      </c>
      <c r="B526" s="1" t="n">
        <v>44326</v>
      </c>
      <c r="C526" s="1" t="n">
        <v>45583</v>
      </c>
      <c r="D526" t="inlineStr">
        <is>
          <t>STOCKHOLMS LÄN</t>
        </is>
      </c>
      <c r="E526" t="inlineStr">
        <is>
          <t>NORRTÄLJE</t>
        </is>
      </c>
      <c r="G526" t="n">
        <v>2.1</v>
      </c>
      <c r="H526" t="n">
        <v>0</v>
      </c>
      <c r="I526" t="n">
        <v>0</v>
      </c>
      <c r="J526" t="n">
        <v>0</v>
      </c>
      <c r="K526" t="n">
        <v>0</v>
      </c>
      <c r="L526" t="n">
        <v>0</v>
      </c>
      <c r="M526" t="n">
        <v>0</v>
      </c>
      <c r="N526" t="n">
        <v>0</v>
      </c>
      <c r="O526" t="n">
        <v>0</v>
      </c>
      <c r="P526" t="n">
        <v>0</v>
      </c>
      <c r="Q526" t="n">
        <v>0</v>
      </c>
      <c r="R526" s="2" t="inlineStr"/>
    </row>
    <row r="527" ht="15" customHeight="1">
      <c r="A527" t="inlineStr">
        <is>
          <t>A 22412-2021</t>
        </is>
      </c>
      <c r="B527" s="1" t="n">
        <v>44326</v>
      </c>
      <c r="C527" s="1" t="n">
        <v>45583</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45583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23096-2021</t>
        </is>
      </c>
      <c r="B529" s="1" t="n">
        <v>44330</v>
      </c>
      <c r="C529" s="1" t="n">
        <v>45583</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23122-2021</t>
        </is>
      </c>
      <c r="B530" s="1" t="n">
        <v>44330</v>
      </c>
      <c r="C530" s="1" t="n">
        <v>45583</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23453-2021</t>
        </is>
      </c>
      <c r="B531" s="1" t="n">
        <v>44333</v>
      </c>
      <c r="C531" s="1" t="n">
        <v>45583</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24082-2021</t>
        </is>
      </c>
      <c r="B532" s="1" t="n">
        <v>44336</v>
      </c>
      <c r="C532" s="1" t="n">
        <v>45583</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25463-2021</t>
        </is>
      </c>
      <c r="B533" s="1" t="n">
        <v>44342</v>
      </c>
      <c r="C533" s="1" t="n">
        <v>45583</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27217-2021</t>
        </is>
      </c>
      <c r="B534" s="1" t="n">
        <v>44350</v>
      </c>
      <c r="C534" s="1" t="n">
        <v>45583</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27214-2021</t>
        </is>
      </c>
      <c r="B535" s="1" t="n">
        <v>44350</v>
      </c>
      <c r="C535" s="1" t="n">
        <v>45583</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29357-2021</t>
        </is>
      </c>
      <c r="B536" s="1" t="n">
        <v>44361</v>
      </c>
      <c r="C536" s="1" t="n">
        <v>45583</v>
      </c>
      <c r="D536" t="inlineStr">
        <is>
          <t>STOCKHOLMS LÄN</t>
        </is>
      </c>
      <c r="E536" t="inlineStr">
        <is>
          <t>NORRTÄLJE</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29680-2021</t>
        </is>
      </c>
      <c r="B537" s="1" t="n">
        <v>44362</v>
      </c>
      <c r="C537" s="1" t="n">
        <v>45583</v>
      </c>
      <c r="D537" t="inlineStr">
        <is>
          <t>STOCKHOLMS LÄN</t>
        </is>
      </c>
      <c r="E537" t="inlineStr">
        <is>
          <t>NORRTÄLJE</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29684-2021</t>
        </is>
      </c>
      <c r="B538" s="1" t="n">
        <v>44362</v>
      </c>
      <c r="C538" s="1" t="n">
        <v>45583</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30129-2021</t>
        </is>
      </c>
      <c r="B539" s="1" t="n">
        <v>44363</v>
      </c>
      <c r="C539" s="1" t="n">
        <v>45583</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31688-2021</t>
        </is>
      </c>
      <c r="B540" s="1" t="n">
        <v>44369</v>
      </c>
      <c r="C540" s="1" t="n">
        <v>45583</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32002-2021</t>
        </is>
      </c>
      <c r="B541" s="1" t="n">
        <v>44370</v>
      </c>
      <c r="C541" s="1" t="n">
        <v>45583</v>
      </c>
      <c r="D541" t="inlineStr">
        <is>
          <t>STOCKHOLMS LÄN</t>
        </is>
      </c>
      <c r="E541" t="inlineStr">
        <is>
          <t>NORRTÄLJE</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32051-2021</t>
        </is>
      </c>
      <c r="B542" s="1" t="n">
        <v>44370</v>
      </c>
      <c r="C542" s="1" t="n">
        <v>45583</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32055-2021</t>
        </is>
      </c>
      <c r="B543" s="1" t="n">
        <v>44370</v>
      </c>
      <c r="C543" s="1" t="n">
        <v>45583</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32561-2021</t>
        </is>
      </c>
      <c r="B544" s="1" t="n">
        <v>44375</v>
      </c>
      <c r="C544" s="1" t="n">
        <v>45583</v>
      </c>
      <c r="D544" t="inlineStr">
        <is>
          <t>STOCKHOLMS LÄN</t>
        </is>
      </c>
      <c r="E544" t="inlineStr">
        <is>
          <t>NORRTÄLJE</t>
        </is>
      </c>
      <c r="G544" t="n">
        <v>3.4</v>
      </c>
      <c r="H544" t="n">
        <v>0</v>
      </c>
      <c r="I544" t="n">
        <v>0</v>
      </c>
      <c r="J544" t="n">
        <v>0</v>
      </c>
      <c r="K544" t="n">
        <v>0</v>
      </c>
      <c r="L544" t="n">
        <v>0</v>
      </c>
      <c r="M544" t="n">
        <v>0</v>
      </c>
      <c r="N544" t="n">
        <v>0</v>
      </c>
      <c r="O544" t="n">
        <v>0</v>
      </c>
      <c r="P544" t="n">
        <v>0</v>
      </c>
      <c r="Q544" t="n">
        <v>0</v>
      </c>
      <c r="R544" s="2" t="inlineStr"/>
    </row>
    <row r="545" ht="15" customHeight="1">
      <c r="A545" t="inlineStr">
        <is>
          <t>A 32857-2021</t>
        </is>
      </c>
      <c r="B545" s="1" t="n">
        <v>44375</v>
      </c>
      <c r="C545" s="1" t="n">
        <v>45583</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33053-2021</t>
        </is>
      </c>
      <c r="B546" s="1" t="n">
        <v>44376</v>
      </c>
      <c r="C546" s="1" t="n">
        <v>45583</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33046-2021</t>
        </is>
      </c>
      <c r="B547" s="1" t="n">
        <v>44376</v>
      </c>
      <c r="C547" s="1" t="n">
        <v>45583</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33040-2021</t>
        </is>
      </c>
      <c r="B548" s="1" t="n">
        <v>44376</v>
      </c>
      <c r="C548" s="1" t="n">
        <v>45583</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34520-2021</t>
        </is>
      </c>
      <c r="B549" s="1" t="n">
        <v>44379</v>
      </c>
      <c r="C549" s="1" t="n">
        <v>45583</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34432-2021</t>
        </is>
      </c>
      <c r="B550" s="1" t="n">
        <v>44380</v>
      </c>
      <c r="C550" s="1" t="n">
        <v>45583</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34431-2021</t>
        </is>
      </c>
      <c r="B551" s="1" t="n">
        <v>44380</v>
      </c>
      <c r="C551" s="1" t="n">
        <v>45583</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34436-2021</t>
        </is>
      </c>
      <c r="B552" s="1" t="n">
        <v>44380</v>
      </c>
      <c r="C552" s="1" t="n">
        <v>45583</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34731-2021</t>
        </is>
      </c>
      <c r="B553" s="1" t="n">
        <v>44382</v>
      </c>
      <c r="C553" s="1" t="n">
        <v>45583</v>
      </c>
      <c r="D553" t="inlineStr">
        <is>
          <t>STOCKHOLMS LÄN</t>
        </is>
      </c>
      <c r="E553" t="inlineStr">
        <is>
          <t>NORRTÄLJE</t>
        </is>
      </c>
      <c r="G553" t="n">
        <v>0.2</v>
      </c>
      <c r="H553" t="n">
        <v>0</v>
      </c>
      <c r="I553" t="n">
        <v>0</v>
      </c>
      <c r="J553" t="n">
        <v>0</v>
      </c>
      <c r="K553" t="n">
        <v>0</v>
      </c>
      <c r="L553" t="n">
        <v>0</v>
      </c>
      <c r="M553" t="n">
        <v>0</v>
      </c>
      <c r="N553" t="n">
        <v>0</v>
      </c>
      <c r="O553" t="n">
        <v>0</v>
      </c>
      <c r="P553" t="n">
        <v>0</v>
      </c>
      <c r="Q553" t="n">
        <v>0</v>
      </c>
      <c r="R553" s="2" t="inlineStr"/>
    </row>
    <row r="554" ht="15" customHeight="1">
      <c r="A554" t="inlineStr">
        <is>
          <t>A 34792-2021</t>
        </is>
      </c>
      <c r="B554" s="1" t="n">
        <v>44383</v>
      </c>
      <c r="C554" s="1" t="n">
        <v>45583</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36246-2021</t>
        </is>
      </c>
      <c r="B555" s="1" t="n">
        <v>44390</v>
      </c>
      <c r="C555" s="1" t="n">
        <v>45583</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36565-2021</t>
        </is>
      </c>
      <c r="B556" s="1" t="n">
        <v>44391</v>
      </c>
      <c r="C556" s="1" t="n">
        <v>45583</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37085-2021</t>
        </is>
      </c>
      <c r="B557" s="1" t="n">
        <v>44395</v>
      </c>
      <c r="C557" s="1" t="n">
        <v>45583</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37344-2021</t>
        </is>
      </c>
      <c r="B558" s="1" t="n">
        <v>44397</v>
      </c>
      <c r="C558" s="1" t="n">
        <v>45583</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37415-2021</t>
        </is>
      </c>
      <c r="B559" s="1" t="n">
        <v>44397</v>
      </c>
      <c r="C559" s="1" t="n">
        <v>45583</v>
      </c>
      <c r="D559" t="inlineStr">
        <is>
          <t>STOCKHOLMS LÄN</t>
        </is>
      </c>
      <c r="E559" t="inlineStr">
        <is>
          <t>NORRTÄLJE</t>
        </is>
      </c>
      <c r="F559" t="inlineStr">
        <is>
          <t>Övriga Aktiebolag</t>
        </is>
      </c>
      <c r="G559" t="n">
        <v>3</v>
      </c>
      <c r="H559" t="n">
        <v>0</v>
      </c>
      <c r="I559" t="n">
        <v>0</v>
      </c>
      <c r="J559" t="n">
        <v>0</v>
      </c>
      <c r="K559" t="n">
        <v>0</v>
      </c>
      <c r="L559" t="n">
        <v>0</v>
      </c>
      <c r="M559" t="n">
        <v>0</v>
      </c>
      <c r="N559" t="n">
        <v>0</v>
      </c>
      <c r="O559" t="n">
        <v>0</v>
      </c>
      <c r="P559" t="n">
        <v>0</v>
      </c>
      <c r="Q559" t="n">
        <v>0</v>
      </c>
      <c r="R559" s="2" t="inlineStr"/>
    </row>
    <row r="560" ht="15" customHeight="1">
      <c r="A560" t="inlineStr">
        <is>
          <t>A 37444-2021</t>
        </is>
      </c>
      <c r="B560" s="1" t="n">
        <v>44398</v>
      </c>
      <c r="C560" s="1" t="n">
        <v>45583</v>
      </c>
      <c r="D560" t="inlineStr">
        <is>
          <t>STOCKHOLMS LÄN</t>
        </is>
      </c>
      <c r="E560" t="inlineStr">
        <is>
          <t>NORRTÄLJE</t>
        </is>
      </c>
      <c r="F560" t="inlineStr">
        <is>
          <t>Holmen skog AB</t>
        </is>
      </c>
      <c r="G560" t="n">
        <v>3.2</v>
      </c>
      <c r="H560" t="n">
        <v>0</v>
      </c>
      <c r="I560" t="n">
        <v>0</v>
      </c>
      <c r="J560" t="n">
        <v>0</v>
      </c>
      <c r="K560" t="n">
        <v>0</v>
      </c>
      <c r="L560" t="n">
        <v>0</v>
      </c>
      <c r="M560" t="n">
        <v>0</v>
      </c>
      <c r="N560" t="n">
        <v>0</v>
      </c>
      <c r="O560" t="n">
        <v>0</v>
      </c>
      <c r="P560" t="n">
        <v>0</v>
      </c>
      <c r="Q560" t="n">
        <v>0</v>
      </c>
      <c r="R560" s="2" t="inlineStr"/>
    </row>
    <row r="561" ht="15" customHeight="1">
      <c r="A561" t="inlineStr">
        <is>
          <t>A 37462-2021</t>
        </is>
      </c>
      <c r="B561" s="1" t="n">
        <v>44398</v>
      </c>
      <c r="C561" s="1" t="n">
        <v>45583</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37530-2021</t>
        </is>
      </c>
      <c r="B562" s="1" t="n">
        <v>44399</v>
      </c>
      <c r="C562" s="1" t="n">
        <v>45583</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37522-2021</t>
        </is>
      </c>
      <c r="B563" s="1" t="n">
        <v>44399</v>
      </c>
      <c r="C563" s="1" t="n">
        <v>45583</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37525-2021</t>
        </is>
      </c>
      <c r="B564" s="1" t="n">
        <v>44399</v>
      </c>
      <c r="C564" s="1" t="n">
        <v>45583</v>
      </c>
      <c r="D564" t="inlineStr">
        <is>
          <t>STOCKHOLMS LÄN</t>
        </is>
      </c>
      <c r="E564" t="inlineStr">
        <is>
          <t>NORRTÄLJE</t>
        </is>
      </c>
      <c r="F564" t="inlineStr">
        <is>
          <t>Holmen skog AB</t>
        </is>
      </c>
      <c r="G564" t="n">
        <v>2.5</v>
      </c>
      <c r="H564" t="n">
        <v>0</v>
      </c>
      <c r="I564" t="n">
        <v>0</v>
      </c>
      <c r="J564" t="n">
        <v>0</v>
      </c>
      <c r="K564" t="n">
        <v>0</v>
      </c>
      <c r="L564" t="n">
        <v>0</v>
      </c>
      <c r="M564" t="n">
        <v>0</v>
      </c>
      <c r="N564" t="n">
        <v>0</v>
      </c>
      <c r="O564" t="n">
        <v>0</v>
      </c>
      <c r="P564" t="n">
        <v>0</v>
      </c>
      <c r="Q564" t="n">
        <v>0</v>
      </c>
      <c r="R564" s="2" t="inlineStr"/>
    </row>
    <row r="565" ht="15" customHeight="1">
      <c r="A565" t="inlineStr">
        <is>
          <t>A 37712-2021</t>
        </is>
      </c>
      <c r="B565" s="1" t="n">
        <v>44400</v>
      </c>
      <c r="C565" s="1" t="n">
        <v>45583</v>
      </c>
      <c r="D565" t="inlineStr">
        <is>
          <t>STOCKHOLMS LÄN</t>
        </is>
      </c>
      <c r="E565" t="inlineStr">
        <is>
          <t>NORRTÄLJE</t>
        </is>
      </c>
      <c r="G565" t="n">
        <v>22.9</v>
      </c>
      <c r="H565" t="n">
        <v>0</v>
      </c>
      <c r="I565" t="n">
        <v>0</v>
      </c>
      <c r="J565" t="n">
        <v>0</v>
      </c>
      <c r="K565" t="n">
        <v>0</v>
      </c>
      <c r="L565" t="n">
        <v>0</v>
      </c>
      <c r="M565" t="n">
        <v>0</v>
      </c>
      <c r="N565" t="n">
        <v>0</v>
      </c>
      <c r="O565" t="n">
        <v>0</v>
      </c>
      <c r="P565" t="n">
        <v>0</v>
      </c>
      <c r="Q565" t="n">
        <v>0</v>
      </c>
      <c r="R565" s="2" t="inlineStr"/>
    </row>
    <row r="566" ht="15" customHeight="1">
      <c r="A566" t="inlineStr">
        <is>
          <t>A 37859-2021</t>
        </is>
      </c>
      <c r="B566" s="1" t="n">
        <v>44403</v>
      </c>
      <c r="C566" s="1" t="n">
        <v>45583</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39157-2021</t>
        </is>
      </c>
      <c r="B567" s="1" t="n">
        <v>44412</v>
      </c>
      <c r="C567" s="1" t="n">
        <v>45583</v>
      </c>
      <c r="D567" t="inlineStr">
        <is>
          <t>STOCKHOLMS LÄN</t>
        </is>
      </c>
      <c r="E567" t="inlineStr">
        <is>
          <t>NORRTÄLJE</t>
        </is>
      </c>
      <c r="G567" t="n">
        <v>3.1</v>
      </c>
      <c r="H567" t="n">
        <v>0</v>
      </c>
      <c r="I567" t="n">
        <v>0</v>
      </c>
      <c r="J567" t="n">
        <v>0</v>
      </c>
      <c r="K567" t="n">
        <v>0</v>
      </c>
      <c r="L567" t="n">
        <v>0</v>
      </c>
      <c r="M567" t="n">
        <v>0</v>
      </c>
      <c r="N567" t="n">
        <v>0</v>
      </c>
      <c r="O567" t="n">
        <v>0</v>
      </c>
      <c r="P567" t="n">
        <v>0</v>
      </c>
      <c r="Q567" t="n">
        <v>0</v>
      </c>
      <c r="R567" s="2" t="inlineStr"/>
    </row>
    <row r="568" ht="15" customHeight="1">
      <c r="A568" t="inlineStr">
        <is>
          <t>A 39496-2021</t>
        </is>
      </c>
      <c r="B568" s="1" t="n">
        <v>44414</v>
      </c>
      <c r="C568" s="1" t="n">
        <v>45583</v>
      </c>
      <c r="D568" t="inlineStr">
        <is>
          <t>STOCKHOLMS LÄN</t>
        </is>
      </c>
      <c r="E568" t="inlineStr">
        <is>
          <t>NORRTÄLJE</t>
        </is>
      </c>
      <c r="G568" t="n">
        <v>4.6</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v>
      </c>
      <c r="C569" s="1" t="n">
        <v>45583</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40425-2021</t>
        </is>
      </c>
      <c r="B570" s="1" t="n">
        <v>44419</v>
      </c>
      <c r="C570" s="1" t="n">
        <v>45583</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40542-2021</t>
        </is>
      </c>
      <c r="B571" s="1" t="n">
        <v>44420</v>
      </c>
      <c r="C571" s="1" t="n">
        <v>45583</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40546-2021</t>
        </is>
      </c>
      <c r="B572" s="1" t="n">
        <v>44420</v>
      </c>
      <c r="C572" s="1" t="n">
        <v>45583</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41595-2021</t>
        </is>
      </c>
      <c r="B573" s="1" t="n">
        <v>44425</v>
      </c>
      <c r="C573" s="1" t="n">
        <v>45583</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41823-2021</t>
        </is>
      </c>
      <c r="B574" s="1" t="n">
        <v>44425</v>
      </c>
      <c r="C574" s="1" t="n">
        <v>45583</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41822-2021</t>
        </is>
      </c>
      <c r="B575" s="1" t="n">
        <v>44425</v>
      </c>
      <c r="C575" s="1" t="n">
        <v>45583</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42396-2021</t>
        </is>
      </c>
      <c r="B576" s="1" t="n">
        <v>44427</v>
      </c>
      <c r="C576" s="1" t="n">
        <v>45583</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43478-2021</t>
        </is>
      </c>
      <c r="B577" s="1" t="n">
        <v>44432</v>
      </c>
      <c r="C577" s="1" t="n">
        <v>45583</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44274-2021</t>
        </is>
      </c>
      <c r="B578" s="1" t="n">
        <v>44435</v>
      </c>
      <c r="C578" s="1" t="n">
        <v>45583</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47344-2021</t>
        </is>
      </c>
      <c r="B579" s="1" t="n">
        <v>44447</v>
      </c>
      <c r="C579" s="1" t="n">
        <v>45583</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47349-2021</t>
        </is>
      </c>
      <c r="B580" s="1" t="n">
        <v>44447</v>
      </c>
      <c r="C580" s="1" t="n">
        <v>45583</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47691-2021</t>
        </is>
      </c>
      <c r="B581" s="1" t="n">
        <v>44448</v>
      </c>
      <c r="C581" s="1" t="n">
        <v>45583</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48384-2021</t>
        </is>
      </c>
      <c r="B582" s="1" t="n">
        <v>44451</v>
      </c>
      <c r="C582" s="1" t="n">
        <v>45583</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48798-2021</t>
        </is>
      </c>
      <c r="B583" s="1" t="n">
        <v>44452</v>
      </c>
      <c r="C583" s="1" t="n">
        <v>45583</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48932-2021</t>
        </is>
      </c>
      <c r="B584" s="1" t="n">
        <v>44453</v>
      </c>
      <c r="C584" s="1" t="n">
        <v>45583</v>
      </c>
      <c r="D584" t="inlineStr">
        <is>
          <t>STOCKHOLMS LÄN</t>
        </is>
      </c>
      <c r="E584" t="inlineStr">
        <is>
          <t>NORRTÄLJE</t>
        </is>
      </c>
      <c r="G584" t="n">
        <v>11.2</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45583</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50038-2021</t>
        </is>
      </c>
      <c r="B586" s="1" t="n">
        <v>44456</v>
      </c>
      <c r="C586" s="1" t="n">
        <v>45583</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50108-2021</t>
        </is>
      </c>
      <c r="B587" s="1" t="n">
        <v>44456</v>
      </c>
      <c r="C587" s="1" t="n">
        <v>45583</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50252-2021</t>
        </is>
      </c>
      <c r="B588" s="1" t="n">
        <v>44458</v>
      </c>
      <c r="C588" s="1" t="n">
        <v>45583</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50602-2021</t>
        </is>
      </c>
      <c r="B589" s="1" t="n">
        <v>44459</v>
      </c>
      <c r="C589" s="1" t="n">
        <v>45583</v>
      </c>
      <c r="D589" t="inlineStr">
        <is>
          <t>STOCKHOLMS LÄN</t>
        </is>
      </c>
      <c r="E589" t="inlineStr">
        <is>
          <t>NORRTÄLJE</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51279-2021</t>
        </is>
      </c>
      <c r="B590" s="1" t="n">
        <v>44461</v>
      </c>
      <c r="C590" s="1" t="n">
        <v>45583</v>
      </c>
      <c r="D590" t="inlineStr">
        <is>
          <t>STOCKHOLMS LÄN</t>
        </is>
      </c>
      <c r="E590" t="inlineStr">
        <is>
          <t>NORRTÄLJE</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51315-2021</t>
        </is>
      </c>
      <c r="B591" s="1" t="n">
        <v>44461</v>
      </c>
      <c r="C591" s="1" t="n">
        <v>45583</v>
      </c>
      <c r="D591" t="inlineStr">
        <is>
          <t>STOCKHOLMS LÄN</t>
        </is>
      </c>
      <c r="E591" t="inlineStr">
        <is>
          <t>NORRTÄLJE</t>
        </is>
      </c>
      <c r="F591" t="inlineStr">
        <is>
          <t>Holmen skog AB</t>
        </is>
      </c>
      <c r="G591" t="n">
        <v>2.2</v>
      </c>
      <c r="H591" t="n">
        <v>0</v>
      </c>
      <c r="I591" t="n">
        <v>0</v>
      </c>
      <c r="J591" t="n">
        <v>0</v>
      </c>
      <c r="K591" t="n">
        <v>0</v>
      </c>
      <c r="L591" t="n">
        <v>0</v>
      </c>
      <c r="M591" t="n">
        <v>0</v>
      </c>
      <c r="N591" t="n">
        <v>0</v>
      </c>
      <c r="O591" t="n">
        <v>0</v>
      </c>
      <c r="P591" t="n">
        <v>0</v>
      </c>
      <c r="Q591" t="n">
        <v>0</v>
      </c>
      <c r="R591" s="2" t="inlineStr"/>
    </row>
    <row r="592" ht="15" customHeight="1">
      <c r="A592" t="inlineStr">
        <is>
          <t>A 52090-2021</t>
        </is>
      </c>
      <c r="B592" s="1" t="n">
        <v>44463</v>
      </c>
      <c r="C592" s="1" t="n">
        <v>45583</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52449-2021</t>
        </is>
      </c>
      <c r="B593" s="1" t="n">
        <v>44466</v>
      </c>
      <c r="C593" s="1" t="n">
        <v>45583</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54276-2021</t>
        </is>
      </c>
      <c r="B594" s="1" t="n">
        <v>44470</v>
      </c>
      <c r="C594" s="1" t="n">
        <v>45583</v>
      </c>
      <c r="D594" t="inlineStr">
        <is>
          <t>STOCKHOLMS LÄN</t>
        </is>
      </c>
      <c r="E594" t="inlineStr">
        <is>
          <t>NORRTÄLJE</t>
        </is>
      </c>
      <c r="G594" t="n">
        <v>7.3</v>
      </c>
      <c r="H594" t="n">
        <v>0</v>
      </c>
      <c r="I594" t="n">
        <v>0</v>
      </c>
      <c r="J594" t="n">
        <v>0</v>
      </c>
      <c r="K594" t="n">
        <v>0</v>
      </c>
      <c r="L594" t="n">
        <v>0</v>
      </c>
      <c r="M594" t="n">
        <v>0</v>
      </c>
      <c r="N594" t="n">
        <v>0</v>
      </c>
      <c r="O594" t="n">
        <v>0</v>
      </c>
      <c r="P594" t="n">
        <v>0</v>
      </c>
      <c r="Q594" t="n">
        <v>0</v>
      </c>
      <c r="R594" s="2" t="inlineStr"/>
    </row>
    <row r="595" ht="15" customHeight="1">
      <c r="A595" t="inlineStr">
        <is>
          <t>A 54273-2021</t>
        </is>
      </c>
      <c r="B595" s="1" t="n">
        <v>44470</v>
      </c>
      <c r="C595" s="1" t="n">
        <v>45583</v>
      </c>
      <c r="D595" t="inlineStr">
        <is>
          <t>STOCKHOLMS LÄN</t>
        </is>
      </c>
      <c r="E595" t="inlineStr">
        <is>
          <t>NORRTÄLJE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54272-2021</t>
        </is>
      </c>
      <c r="B596" s="1" t="n">
        <v>44470</v>
      </c>
      <c r="C596" s="1" t="n">
        <v>45583</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54396-2021</t>
        </is>
      </c>
      <c r="B597" s="1" t="n">
        <v>44472</v>
      </c>
      <c r="C597" s="1" t="n">
        <v>45583</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55058-2021</t>
        </is>
      </c>
      <c r="B598" s="1" t="n">
        <v>44474</v>
      </c>
      <c r="C598" s="1" t="n">
        <v>45583</v>
      </c>
      <c r="D598" t="inlineStr">
        <is>
          <t>STOCKHOLMS LÄN</t>
        </is>
      </c>
      <c r="E598" t="inlineStr">
        <is>
          <t>NORRTÄLJE</t>
        </is>
      </c>
      <c r="G598" t="n">
        <v>1.9</v>
      </c>
      <c r="H598" t="n">
        <v>0</v>
      </c>
      <c r="I598" t="n">
        <v>0</v>
      </c>
      <c r="J598" t="n">
        <v>0</v>
      </c>
      <c r="K598" t="n">
        <v>0</v>
      </c>
      <c r="L598" t="n">
        <v>0</v>
      </c>
      <c r="M598" t="n">
        <v>0</v>
      </c>
      <c r="N598" t="n">
        <v>0</v>
      </c>
      <c r="O598" t="n">
        <v>0</v>
      </c>
      <c r="P598" t="n">
        <v>0</v>
      </c>
      <c r="Q598" t="n">
        <v>0</v>
      </c>
      <c r="R598" s="2" t="inlineStr"/>
    </row>
    <row r="599" ht="15" customHeight="1">
      <c r="A599" t="inlineStr">
        <is>
          <t>A 56219-2021</t>
        </is>
      </c>
      <c r="B599" s="1" t="n">
        <v>44477</v>
      </c>
      <c r="C599" s="1" t="n">
        <v>45583</v>
      </c>
      <c r="D599" t="inlineStr">
        <is>
          <t>STOCKHOLMS LÄN</t>
        </is>
      </c>
      <c r="E599" t="inlineStr">
        <is>
          <t>NORRTÄLJE</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56225-2021</t>
        </is>
      </c>
      <c r="B600" s="1" t="n">
        <v>44478</v>
      </c>
      <c r="C600" s="1" t="n">
        <v>45583</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56878-2021</t>
        </is>
      </c>
      <c r="B601" s="1" t="n">
        <v>44481</v>
      </c>
      <c r="C601" s="1" t="n">
        <v>45583</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57442-2021</t>
        </is>
      </c>
      <c r="B602" s="1" t="n">
        <v>44483</v>
      </c>
      <c r="C602" s="1" t="n">
        <v>45583</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57507-2021</t>
        </is>
      </c>
      <c r="B603" s="1" t="n">
        <v>44483</v>
      </c>
      <c r="C603" s="1" t="n">
        <v>45583</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58989-2021</t>
        </is>
      </c>
      <c r="B604" s="1" t="n">
        <v>44490</v>
      </c>
      <c r="C604" s="1" t="n">
        <v>45583</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58990-2021</t>
        </is>
      </c>
      <c r="B605" s="1" t="n">
        <v>44490</v>
      </c>
      <c r="C605" s="1" t="n">
        <v>45583</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60217-2021</t>
        </is>
      </c>
      <c r="B606" s="1" t="n">
        <v>44495</v>
      </c>
      <c r="C606" s="1" t="n">
        <v>45583</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60184-2021</t>
        </is>
      </c>
      <c r="B607" s="1" t="n">
        <v>44495</v>
      </c>
      <c r="C607" s="1" t="n">
        <v>45583</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60186-2021</t>
        </is>
      </c>
      <c r="B608" s="1" t="n">
        <v>44495</v>
      </c>
      <c r="C608" s="1" t="n">
        <v>45583</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60209-2021</t>
        </is>
      </c>
      <c r="B609" s="1" t="n">
        <v>44495</v>
      </c>
      <c r="C609" s="1" t="n">
        <v>45583</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60671-2021</t>
        </is>
      </c>
      <c r="B610" s="1" t="n">
        <v>44496</v>
      </c>
      <c r="C610" s="1" t="n">
        <v>45583</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v>
      </c>
      <c r="C611" s="1" t="n">
        <v>45583</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60813-2021</t>
        </is>
      </c>
      <c r="B612" s="1" t="n">
        <v>44496</v>
      </c>
      <c r="C612" s="1" t="n">
        <v>45583</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60822-2021</t>
        </is>
      </c>
      <c r="B613" s="1" t="n">
        <v>44496</v>
      </c>
      <c r="C613" s="1" t="n">
        <v>45583</v>
      </c>
      <c r="D613" t="inlineStr">
        <is>
          <t>STOCKHOLMS LÄN</t>
        </is>
      </c>
      <c r="E613" t="inlineStr">
        <is>
          <t>NORRTÄLJE</t>
        </is>
      </c>
      <c r="G613" t="n">
        <v>7.6</v>
      </c>
      <c r="H613" t="n">
        <v>0</v>
      </c>
      <c r="I613" t="n">
        <v>0</v>
      </c>
      <c r="J613" t="n">
        <v>0</v>
      </c>
      <c r="K613" t="n">
        <v>0</v>
      </c>
      <c r="L613" t="n">
        <v>0</v>
      </c>
      <c r="M613" t="n">
        <v>0</v>
      </c>
      <c r="N613" t="n">
        <v>0</v>
      </c>
      <c r="O613" t="n">
        <v>0</v>
      </c>
      <c r="P613" t="n">
        <v>0</v>
      </c>
      <c r="Q613" t="n">
        <v>0</v>
      </c>
      <c r="R613" s="2" t="inlineStr"/>
    </row>
    <row r="614" ht="15" customHeight="1">
      <c r="A614" t="inlineStr">
        <is>
          <t>A 62030-2021</t>
        </is>
      </c>
      <c r="B614" s="1" t="n">
        <v>44502</v>
      </c>
      <c r="C614" s="1" t="n">
        <v>45583</v>
      </c>
      <c r="D614" t="inlineStr">
        <is>
          <t>STOCKHOLMS LÄN</t>
        </is>
      </c>
      <c r="E614" t="inlineStr">
        <is>
          <t>NORRTÄLJE</t>
        </is>
      </c>
      <c r="G614" t="n">
        <v>4.7</v>
      </c>
      <c r="H614" t="n">
        <v>0</v>
      </c>
      <c r="I614" t="n">
        <v>0</v>
      </c>
      <c r="J614" t="n">
        <v>0</v>
      </c>
      <c r="K614" t="n">
        <v>0</v>
      </c>
      <c r="L614" t="n">
        <v>0</v>
      </c>
      <c r="M614" t="n">
        <v>0</v>
      </c>
      <c r="N614" t="n">
        <v>0</v>
      </c>
      <c r="O614" t="n">
        <v>0</v>
      </c>
      <c r="P614" t="n">
        <v>0</v>
      </c>
      <c r="Q614" t="n">
        <v>0</v>
      </c>
      <c r="R614" s="2" t="inlineStr"/>
    </row>
    <row r="615" ht="15" customHeight="1">
      <c r="A615" t="inlineStr">
        <is>
          <t>A 63530-2021</t>
        </is>
      </c>
      <c r="B615" s="1" t="n">
        <v>44508</v>
      </c>
      <c r="C615" s="1" t="n">
        <v>45583</v>
      </c>
      <c r="D615" t="inlineStr">
        <is>
          <t>STOCKHOLMS LÄN</t>
        </is>
      </c>
      <c r="E615" t="inlineStr">
        <is>
          <t>NORRTÄLJE</t>
        </is>
      </c>
      <c r="G615" t="n">
        <v>8.9</v>
      </c>
      <c r="H615" t="n">
        <v>0</v>
      </c>
      <c r="I615" t="n">
        <v>0</v>
      </c>
      <c r="J615" t="n">
        <v>0</v>
      </c>
      <c r="K615" t="n">
        <v>0</v>
      </c>
      <c r="L615" t="n">
        <v>0</v>
      </c>
      <c r="M615" t="n">
        <v>0</v>
      </c>
      <c r="N615" t="n">
        <v>0</v>
      </c>
      <c r="O615" t="n">
        <v>0</v>
      </c>
      <c r="P615" t="n">
        <v>0</v>
      </c>
      <c r="Q615" t="n">
        <v>0</v>
      </c>
      <c r="R615" s="2" t="inlineStr"/>
    </row>
    <row r="616" ht="15" customHeight="1">
      <c r="A616" t="inlineStr">
        <is>
          <t>A 64137-2021</t>
        </is>
      </c>
      <c r="B616" s="1" t="n">
        <v>44510</v>
      </c>
      <c r="C616" s="1" t="n">
        <v>45583</v>
      </c>
      <c r="D616" t="inlineStr">
        <is>
          <t>STOCKHOLMS LÄN</t>
        </is>
      </c>
      <c r="E616" t="inlineStr">
        <is>
          <t>NORRTÄLJE</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45583</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64074-2021</t>
        </is>
      </c>
      <c r="B618" s="1" t="n">
        <v>44510</v>
      </c>
      <c r="C618" s="1" t="n">
        <v>45583</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64145-2021</t>
        </is>
      </c>
      <c r="B619" s="1" t="n">
        <v>44510</v>
      </c>
      <c r="C619" s="1" t="n">
        <v>45583</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64600-2021</t>
        </is>
      </c>
      <c r="B620" s="1" t="n">
        <v>44511</v>
      </c>
      <c r="C620" s="1" t="n">
        <v>45583</v>
      </c>
      <c r="D620" t="inlineStr">
        <is>
          <t>STOCKHOLMS LÄN</t>
        </is>
      </c>
      <c r="E620" t="inlineStr">
        <is>
          <t>NORRTÄLJE</t>
        </is>
      </c>
      <c r="G620" t="n">
        <v>6.2</v>
      </c>
      <c r="H620" t="n">
        <v>0</v>
      </c>
      <c r="I620" t="n">
        <v>0</v>
      </c>
      <c r="J620" t="n">
        <v>0</v>
      </c>
      <c r="K620" t="n">
        <v>0</v>
      </c>
      <c r="L620" t="n">
        <v>0</v>
      </c>
      <c r="M620" t="n">
        <v>0</v>
      </c>
      <c r="N620" t="n">
        <v>0</v>
      </c>
      <c r="O620" t="n">
        <v>0</v>
      </c>
      <c r="P620" t="n">
        <v>0</v>
      </c>
      <c r="Q620" t="n">
        <v>0</v>
      </c>
      <c r="R620" s="2" t="inlineStr"/>
    </row>
    <row r="621" ht="15" customHeight="1">
      <c r="A621" t="inlineStr">
        <is>
          <t>A 64599-2021</t>
        </is>
      </c>
      <c r="B621" s="1" t="n">
        <v>44511</v>
      </c>
      <c r="C621" s="1" t="n">
        <v>45583</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64628-2021</t>
        </is>
      </c>
      <c r="B622" s="1" t="n">
        <v>44511</v>
      </c>
      <c r="C622" s="1" t="n">
        <v>45583</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64915-2021</t>
        </is>
      </c>
      <c r="B623" s="1" t="n">
        <v>44512</v>
      </c>
      <c r="C623" s="1" t="n">
        <v>45583</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65359-2021</t>
        </is>
      </c>
      <c r="B624" s="1" t="n">
        <v>44515</v>
      </c>
      <c r="C624" s="1" t="n">
        <v>45583</v>
      </c>
      <c r="D624" t="inlineStr">
        <is>
          <t>STOCKHOLMS LÄN</t>
        </is>
      </c>
      <c r="E624" t="inlineStr">
        <is>
          <t>NORRTÄLJE</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45583</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65513-2021</t>
        </is>
      </c>
      <c r="B626" s="1" t="n">
        <v>44516</v>
      </c>
      <c r="C626" s="1" t="n">
        <v>45583</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65511-2021</t>
        </is>
      </c>
      <c r="B627" s="1" t="n">
        <v>44516</v>
      </c>
      <c r="C627" s="1" t="n">
        <v>45583</v>
      </c>
      <c r="D627" t="inlineStr">
        <is>
          <t>STOCKHOLMS LÄN</t>
        </is>
      </c>
      <c r="E627" t="inlineStr">
        <is>
          <t>NORRTÄLJE</t>
        </is>
      </c>
      <c r="F627" t="inlineStr">
        <is>
          <t>Kommuner</t>
        </is>
      </c>
      <c r="G627" t="n">
        <v>2.8</v>
      </c>
      <c r="H627" t="n">
        <v>0</v>
      </c>
      <c r="I627" t="n">
        <v>0</v>
      </c>
      <c r="J627" t="n">
        <v>0</v>
      </c>
      <c r="K627" t="n">
        <v>0</v>
      </c>
      <c r="L627" t="n">
        <v>0</v>
      </c>
      <c r="M627" t="n">
        <v>0</v>
      </c>
      <c r="N627" t="n">
        <v>0</v>
      </c>
      <c r="O627" t="n">
        <v>0</v>
      </c>
      <c r="P627" t="n">
        <v>0</v>
      </c>
      <c r="Q627" t="n">
        <v>0</v>
      </c>
      <c r="R627" s="2" t="inlineStr"/>
    </row>
    <row r="628" ht="15" customHeight="1">
      <c r="A628" t="inlineStr">
        <is>
          <t>A 65501-2021</t>
        </is>
      </c>
      <c r="B628" s="1" t="n">
        <v>44516</v>
      </c>
      <c r="C628" s="1" t="n">
        <v>45583</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65509-2021</t>
        </is>
      </c>
      <c r="B629" s="1" t="n">
        <v>44516</v>
      </c>
      <c r="C629" s="1" t="n">
        <v>45583</v>
      </c>
      <c r="D629" t="inlineStr">
        <is>
          <t>STOCKHOLMS LÄN</t>
        </is>
      </c>
      <c r="E629" t="inlineStr">
        <is>
          <t>NORRTÄLJE</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65611-2021</t>
        </is>
      </c>
      <c r="B630" s="1" t="n">
        <v>44516</v>
      </c>
      <c r="C630" s="1" t="n">
        <v>45583</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65737-2021</t>
        </is>
      </c>
      <c r="B631" s="1" t="n">
        <v>44516</v>
      </c>
      <c r="C631" s="1" t="n">
        <v>45583</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66450-2021</t>
        </is>
      </c>
      <c r="B632" s="1" t="n">
        <v>44518</v>
      </c>
      <c r="C632" s="1" t="n">
        <v>45583</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66608-2021</t>
        </is>
      </c>
      <c r="B633" s="1" t="n">
        <v>44519</v>
      </c>
      <c r="C633" s="1" t="n">
        <v>45583</v>
      </c>
      <c r="D633" t="inlineStr">
        <is>
          <t>STOCKHOLMS LÄN</t>
        </is>
      </c>
      <c r="E633" t="inlineStr">
        <is>
          <t>NORRTÄLJE</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66592-2021</t>
        </is>
      </c>
      <c r="B634" s="1" t="n">
        <v>44519</v>
      </c>
      <c r="C634" s="1" t="n">
        <v>45583</v>
      </c>
      <c r="D634" t="inlineStr">
        <is>
          <t>STOCKHOLMS LÄN</t>
        </is>
      </c>
      <c r="E634" t="inlineStr">
        <is>
          <t>NORRTÄLJE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66769-2021</t>
        </is>
      </c>
      <c r="B635" s="1" t="n">
        <v>44521</v>
      </c>
      <c r="C635" s="1" t="n">
        <v>45583</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67285-2021</t>
        </is>
      </c>
      <c r="B636" s="1" t="n">
        <v>44523</v>
      </c>
      <c r="C636" s="1" t="n">
        <v>45583</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67525-2021</t>
        </is>
      </c>
      <c r="B637" s="1" t="n">
        <v>44524</v>
      </c>
      <c r="C637" s="1" t="n">
        <v>45583</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67598-2021</t>
        </is>
      </c>
      <c r="B638" s="1" t="n">
        <v>44524</v>
      </c>
      <c r="C638" s="1" t="n">
        <v>45583</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67921-2021</t>
        </is>
      </c>
      <c r="B639" s="1" t="n">
        <v>44525</v>
      </c>
      <c r="C639" s="1" t="n">
        <v>45583</v>
      </c>
      <c r="D639" t="inlineStr">
        <is>
          <t>STOCKHOLMS LÄN</t>
        </is>
      </c>
      <c r="E639" t="inlineStr">
        <is>
          <t>NORRTÄLJE</t>
        </is>
      </c>
      <c r="G639" t="n">
        <v>6.3</v>
      </c>
      <c r="H639" t="n">
        <v>0</v>
      </c>
      <c r="I639" t="n">
        <v>0</v>
      </c>
      <c r="J639" t="n">
        <v>0</v>
      </c>
      <c r="K639" t="n">
        <v>0</v>
      </c>
      <c r="L639" t="n">
        <v>0</v>
      </c>
      <c r="M639" t="n">
        <v>0</v>
      </c>
      <c r="N639" t="n">
        <v>0</v>
      </c>
      <c r="O639" t="n">
        <v>0</v>
      </c>
      <c r="P639" t="n">
        <v>0</v>
      </c>
      <c r="Q639" t="n">
        <v>0</v>
      </c>
      <c r="R639" s="2" t="inlineStr"/>
    </row>
    <row r="640" ht="15" customHeight="1">
      <c r="A640" t="inlineStr">
        <is>
          <t>A 67990-2021</t>
        </is>
      </c>
      <c r="B640" s="1" t="n">
        <v>44525</v>
      </c>
      <c r="C640" s="1" t="n">
        <v>45583</v>
      </c>
      <c r="D640" t="inlineStr">
        <is>
          <t>STOCKHOLMS LÄN</t>
        </is>
      </c>
      <c r="E640" t="inlineStr">
        <is>
          <t>NORRTÄLJE</t>
        </is>
      </c>
      <c r="F640" t="inlineStr">
        <is>
          <t>Sveaskog</t>
        </is>
      </c>
      <c r="G640" t="n">
        <v>7.8</v>
      </c>
      <c r="H640" t="n">
        <v>0</v>
      </c>
      <c r="I640" t="n">
        <v>0</v>
      </c>
      <c r="J640" t="n">
        <v>0</v>
      </c>
      <c r="K640" t="n">
        <v>0</v>
      </c>
      <c r="L640" t="n">
        <v>0</v>
      </c>
      <c r="M640" t="n">
        <v>0</v>
      </c>
      <c r="N640" t="n">
        <v>0</v>
      </c>
      <c r="O640" t="n">
        <v>0</v>
      </c>
      <c r="P640" t="n">
        <v>0</v>
      </c>
      <c r="Q640" t="n">
        <v>0</v>
      </c>
      <c r="R640" s="2" t="inlineStr"/>
    </row>
    <row r="641" ht="15" customHeight="1">
      <c r="A641" t="inlineStr">
        <is>
          <t>A 67992-2021</t>
        </is>
      </c>
      <c r="B641" s="1" t="n">
        <v>44525</v>
      </c>
      <c r="C641" s="1" t="n">
        <v>45583</v>
      </c>
      <c r="D641" t="inlineStr">
        <is>
          <t>STOCKHOLMS LÄN</t>
        </is>
      </c>
      <c r="E641" t="inlineStr">
        <is>
          <t>NORRTÄLJE</t>
        </is>
      </c>
      <c r="F641" t="inlineStr">
        <is>
          <t>Sveaskog</t>
        </is>
      </c>
      <c r="G641" t="n">
        <v>4.6</v>
      </c>
      <c r="H641" t="n">
        <v>0</v>
      </c>
      <c r="I641" t="n">
        <v>0</v>
      </c>
      <c r="J641" t="n">
        <v>0</v>
      </c>
      <c r="K641" t="n">
        <v>0</v>
      </c>
      <c r="L641" t="n">
        <v>0</v>
      </c>
      <c r="M641" t="n">
        <v>0</v>
      </c>
      <c r="N641" t="n">
        <v>0</v>
      </c>
      <c r="O641" t="n">
        <v>0</v>
      </c>
      <c r="P641" t="n">
        <v>0</v>
      </c>
      <c r="Q641" t="n">
        <v>0</v>
      </c>
      <c r="R641" s="2" t="inlineStr"/>
    </row>
    <row r="642" ht="15" customHeight="1">
      <c r="A642" t="inlineStr">
        <is>
          <t>A 67993-2021</t>
        </is>
      </c>
      <c r="B642" s="1" t="n">
        <v>44525</v>
      </c>
      <c r="C642" s="1" t="n">
        <v>45583</v>
      </c>
      <c r="D642" t="inlineStr">
        <is>
          <t>STOCKHOLMS LÄN</t>
        </is>
      </c>
      <c r="E642" t="inlineStr">
        <is>
          <t>NORRTÄLJE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68273-2021</t>
        </is>
      </c>
      <c r="B643" s="1" t="n">
        <v>44526</v>
      </c>
      <c r="C643" s="1" t="n">
        <v>45583</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68361-2021</t>
        </is>
      </c>
      <c r="B644" s="1" t="n">
        <v>44528</v>
      </c>
      <c r="C644" s="1" t="n">
        <v>45583</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69034-2021</t>
        </is>
      </c>
      <c r="B645" s="1" t="n">
        <v>44529</v>
      </c>
      <c r="C645" s="1" t="n">
        <v>45583</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69539-2021</t>
        </is>
      </c>
      <c r="B646" s="1" t="n">
        <v>44531</v>
      </c>
      <c r="C646" s="1" t="n">
        <v>45583</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69723-2021</t>
        </is>
      </c>
      <c r="B647" s="1" t="n">
        <v>44532</v>
      </c>
      <c r="C647" s="1" t="n">
        <v>45583</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69816-2021</t>
        </is>
      </c>
      <c r="B648" s="1" t="n">
        <v>44532</v>
      </c>
      <c r="C648" s="1" t="n">
        <v>45583</v>
      </c>
      <c r="D648" t="inlineStr">
        <is>
          <t>STOCKHOLMS LÄN</t>
        </is>
      </c>
      <c r="E648" t="inlineStr">
        <is>
          <t>NORRTÄLJE</t>
        </is>
      </c>
      <c r="G648" t="n">
        <v>4.9</v>
      </c>
      <c r="H648" t="n">
        <v>0</v>
      </c>
      <c r="I648" t="n">
        <v>0</v>
      </c>
      <c r="J648" t="n">
        <v>0</v>
      </c>
      <c r="K648" t="n">
        <v>0</v>
      </c>
      <c r="L648" t="n">
        <v>0</v>
      </c>
      <c r="M648" t="n">
        <v>0</v>
      </c>
      <c r="N648" t="n">
        <v>0</v>
      </c>
      <c r="O648" t="n">
        <v>0</v>
      </c>
      <c r="P648" t="n">
        <v>0</v>
      </c>
      <c r="Q648" t="n">
        <v>0</v>
      </c>
      <c r="R648" s="2" t="inlineStr"/>
    </row>
    <row r="649" ht="15" customHeight="1">
      <c r="A649" t="inlineStr">
        <is>
          <t>A 70170-2021</t>
        </is>
      </c>
      <c r="B649" s="1" t="n">
        <v>44533</v>
      </c>
      <c r="C649" s="1" t="n">
        <v>45583</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69988-2021</t>
        </is>
      </c>
      <c r="B650" s="1" t="n">
        <v>44533</v>
      </c>
      <c r="C650" s="1" t="n">
        <v>45583</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70469-2021</t>
        </is>
      </c>
      <c r="B651" s="1" t="n">
        <v>44536</v>
      </c>
      <c r="C651" s="1" t="n">
        <v>45583</v>
      </c>
      <c r="D651" t="inlineStr">
        <is>
          <t>STOCKHOLMS LÄN</t>
        </is>
      </c>
      <c r="E651" t="inlineStr">
        <is>
          <t>NORRTÄLJE</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71325-2021</t>
        </is>
      </c>
      <c r="B652" s="1" t="n">
        <v>44539</v>
      </c>
      <c r="C652" s="1" t="n">
        <v>45583</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71552-2021</t>
        </is>
      </c>
      <c r="B653" s="1" t="n">
        <v>44540</v>
      </c>
      <c r="C653" s="1" t="n">
        <v>45583</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71479-2021</t>
        </is>
      </c>
      <c r="B654" s="1" t="n">
        <v>44540</v>
      </c>
      <c r="C654" s="1" t="n">
        <v>45583</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71543-2021</t>
        </is>
      </c>
      <c r="B655" s="1" t="n">
        <v>44540</v>
      </c>
      <c r="C655" s="1" t="n">
        <v>45583</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71873-2021</t>
        </is>
      </c>
      <c r="B656" s="1" t="n">
        <v>44543</v>
      </c>
      <c r="C656" s="1" t="n">
        <v>45583</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71876-2021</t>
        </is>
      </c>
      <c r="B657" s="1" t="n">
        <v>44543</v>
      </c>
      <c r="C657" s="1" t="n">
        <v>45583</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71880-2021</t>
        </is>
      </c>
      <c r="B658" s="1" t="n">
        <v>44543</v>
      </c>
      <c r="C658" s="1" t="n">
        <v>45583</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71871-2021</t>
        </is>
      </c>
      <c r="B659" s="1" t="n">
        <v>44543</v>
      </c>
      <c r="C659" s="1" t="n">
        <v>45583</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71878-2021</t>
        </is>
      </c>
      <c r="B660" s="1" t="n">
        <v>44543</v>
      </c>
      <c r="C660" s="1" t="n">
        <v>45583</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72085-2021</t>
        </is>
      </c>
      <c r="B661" s="1" t="n">
        <v>44544</v>
      </c>
      <c r="C661" s="1" t="n">
        <v>45583</v>
      </c>
      <c r="D661" t="inlineStr">
        <is>
          <t>STOCKHOLMS LÄN</t>
        </is>
      </c>
      <c r="E661" t="inlineStr">
        <is>
          <t>NORRTÄLJE</t>
        </is>
      </c>
      <c r="G661" t="n">
        <v>4.9</v>
      </c>
      <c r="H661" t="n">
        <v>0</v>
      </c>
      <c r="I661" t="n">
        <v>0</v>
      </c>
      <c r="J661" t="n">
        <v>0</v>
      </c>
      <c r="K661" t="n">
        <v>0</v>
      </c>
      <c r="L661" t="n">
        <v>0</v>
      </c>
      <c r="M661" t="n">
        <v>0</v>
      </c>
      <c r="N661" t="n">
        <v>0</v>
      </c>
      <c r="O661" t="n">
        <v>0</v>
      </c>
      <c r="P661" t="n">
        <v>0</v>
      </c>
      <c r="Q661" t="n">
        <v>0</v>
      </c>
      <c r="R661" s="2" t="inlineStr"/>
    </row>
    <row r="662" ht="15" customHeight="1">
      <c r="A662" t="inlineStr">
        <is>
          <t>A 72202-2021</t>
        </is>
      </c>
      <c r="B662" s="1" t="n">
        <v>44544</v>
      </c>
      <c r="C662" s="1" t="n">
        <v>45583</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72308-2021</t>
        </is>
      </c>
      <c r="B663" s="1" t="n">
        <v>44545</v>
      </c>
      <c r="C663" s="1" t="n">
        <v>45583</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72343-2021</t>
        </is>
      </c>
      <c r="B664" s="1" t="n">
        <v>44545</v>
      </c>
      <c r="C664" s="1" t="n">
        <v>45583</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45583</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72355-2021</t>
        </is>
      </c>
      <c r="B666" s="1" t="n">
        <v>44545</v>
      </c>
      <c r="C666" s="1" t="n">
        <v>45583</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72353-2021</t>
        </is>
      </c>
      <c r="B667" s="1" t="n">
        <v>44545</v>
      </c>
      <c r="C667" s="1" t="n">
        <v>45583</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72747-2021</t>
        </is>
      </c>
      <c r="B668" s="1" t="n">
        <v>44546</v>
      </c>
      <c r="C668" s="1" t="n">
        <v>45583</v>
      </c>
      <c r="D668" t="inlineStr">
        <is>
          <t>STOCKHOLMS LÄN</t>
        </is>
      </c>
      <c r="E668" t="inlineStr">
        <is>
          <t>NORRTÄLJE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72704-2021</t>
        </is>
      </c>
      <c r="B669" s="1" t="n">
        <v>44546</v>
      </c>
      <c r="C669" s="1" t="n">
        <v>45583</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72890-2021</t>
        </is>
      </c>
      <c r="B670" s="1" t="n">
        <v>44547</v>
      </c>
      <c r="C670" s="1" t="n">
        <v>45583</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73311-2021</t>
        </is>
      </c>
      <c r="B671" s="1" t="n">
        <v>44549</v>
      </c>
      <c r="C671" s="1" t="n">
        <v>45583</v>
      </c>
      <c r="D671" t="inlineStr">
        <is>
          <t>STOCKHOLMS LÄN</t>
        </is>
      </c>
      <c r="E671" t="inlineStr">
        <is>
          <t>NORRTÄLJE</t>
        </is>
      </c>
      <c r="G671" t="n">
        <v>5.2</v>
      </c>
      <c r="H671" t="n">
        <v>0</v>
      </c>
      <c r="I671" t="n">
        <v>0</v>
      </c>
      <c r="J671" t="n">
        <v>0</v>
      </c>
      <c r="K671" t="n">
        <v>0</v>
      </c>
      <c r="L671" t="n">
        <v>0</v>
      </c>
      <c r="M671" t="n">
        <v>0</v>
      </c>
      <c r="N671" t="n">
        <v>0</v>
      </c>
      <c r="O671" t="n">
        <v>0</v>
      </c>
      <c r="P671" t="n">
        <v>0</v>
      </c>
      <c r="Q671" t="n">
        <v>0</v>
      </c>
      <c r="R671" s="2" t="inlineStr"/>
    </row>
    <row r="672" ht="15" customHeight="1">
      <c r="A672" t="inlineStr">
        <is>
          <t>A 73307-2021</t>
        </is>
      </c>
      <c r="B672" s="1" t="n">
        <v>44549</v>
      </c>
      <c r="C672" s="1" t="n">
        <v>45583</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73271-2021</t>
        </is>
      </c>
      <c r="B673" s="1" t="n">
        <v>44550</v>
      </c>
      <c r="C673" s="1" t="n">
        <v>45583</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73504-2021</t>
        </is>
      </c>
      <c r="B674" s="1" t="n">
        <v>44551</v>
      </c>
      <c r="C674" s="1" t="n">
        <v>45583</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73855-2021</t>
        </is>
      </c>
      <c r="B675" s="1" t="n">
        <v>44552</v>
      </c>
      <c r="C675" s="1" t="n">
        <v>45583</v>
      </c>
      <c r="D675" t="inlineStr">
        <is>
          <t>STOCKHOLMS LÄN</t>
        </is>
      </c>
      <c r="E675" t="inlineStr">
        <is>
          <t>NORRTÄLJE</t>
        </is>
      </c>
      <c r="F675" t="inlineStr">
        <is>
          <t>Övriga Aktiebolag</t>
        </is>
      </c>
      <c r="G675" t="n">
        <v>4</v>
      </c>
      <c r="H675" t="n">
        <v>0</v>
      </c>
      <c r="I675" t="n">
        <v>0</v>
      </c>
      <c r="J675" t="n">
        <v>0</v>
      </c>
      <c r="K675" t="n">
        <v>0</v>
      </c>
      <c r="L675" t="n">
        <v>0</v>
      </c>
      <c r="M675" t="n">
        <v>0</v>
      </c>
      <c r="N675" t="n">
        <v>0</v>
      </c>
      <c r="O675" t="n">
        <v>0</v>
      </c>
      <c r="P675" t="n">
        <v>0</v>
      </c>
      <c r="Q675" t="n">
        <v>0</v>
      </c>
      <c r="R675" s="2" t="inlineStr"/>
    </row>
    <row r="676" ht="15" customHeight="1">
      <c r="A676" t="inlineStr">
        <is>
          <t>A 73992-2021</t>
        </is>
      </c>
      <c r="B676" s="1" t="n">
        <v>44556</v>
      </c>
      <c r="C676" s="1" t="n">
        <v>45583</v>
      </c>
      <c r="D676" t="inlineStr">
        <is>
          <t>STOCKHOLMS LÄN</t>
        </is>
      </c>
      <c r="E676" t="inlineStr">
        <is>
          <t>NORRTÄLJE</t>
        </is>
      </c>
      <c r="G676" t="n">
        <v>12.5</v>
      </c>
      <c r="H676" t="n">
        <v>0</v>
      </c>
      <c r="I676" t="n">
        <v>0</v>
      </c>
      <c r="J676" t="n">
        <v>0</v>
      </c>
      <c r="K676" t="n">
        <v>0</v>
      </c>
      <c r="L676" t="n">
        <v>0</v>
      </c>
      <c r="M676" t="n">
        <v>0</v>
      </c>
      <c r="N676" t="n">
        <v>0</v>
      </c>
      <c r="O676" t="n">
        <v>0</v>
      </c>
      <c r="P676" t="n">
        <v>0</v>
      </c>
      <c r="Q676" t="n">
        <v>0</v>
      </c>
      <c r="R676" s="2" t="inlineStr"/>
    </row>
    <row r="677" ht="15" customHeight="1">
      <c r="A677" t="inlineStr">
        <is>
          <t>A 73993-2021</t>
        </is>
      </c>
      <c r="B677" s="1" t="n">
        <v>44556</v>
      </c>
      <c r="C677" s="1" t="n">
        <v>45583</v>
      </c>
      <c r="D677" t="inlineStr">
        <is>
          <t>STOCKHOLMS LÄN</t>
        </is>
      </c>
      <c r="E677" t="inlineStr">
        <is>
          <t>NORRTÄLJE</t>
        </is>
      </c>
      <c r="G677" t="n">
        <v>5</v>
      </c>
      <c r="H677" t="n">
        <v>0</v>
      </c>
      <c r="I677" t="n">
        <v>0</v>
      </c>
      <c r="J677" t="n">
        <v>0</v>
      </c>
      <c r="K677" t="n">
        <v>0</v>
      </c>
      <c r="L677" t="n">
        <v>0</v>
      </c>
      <c r="M677" t="n">
        <v>0</v>
      </c>
      <c r="N677" t="n">
        <v>0</v>
      </c>
      <c r="O677" t="n">
        <v>0</v>
      </c>
      <c r="P677" t="n">
        <v>0</v>
      </c>
      <c r="Q677" t="n">
        <v>0</v>
      </c>
      <c r="R677" s="2" t="inlineStr"/>
    </row>
    <row r="678" ht="15" customHeight="1">
      <c r="A678" t="inlineStr">
        <is>
          <t>A 74468-2021</t>
        </is>
      </c>
      <c r="B678" s="1" t="n">
        <v>44560</v>
      </c>
      <c r="C678" s="1" t="n">
        <v>45583</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185-2022</t>
        </is>
      </c>
      <c r="B679" s="1" t="n">
        <v>44564</v>
      </c>
      <c r="C679" s="1" t="n">
        <v>45583</v>
      </c>
      <c r="D679" t="inlineStr">
        <is>
          <t>STOCKHOLMS LÄN</t>
        </is>
      </c>
      <c r="E679" t="inlineStr">
        <is>
          <t>NORRTÄLJE</t>
        </is>
      </c>
      <c r="G679" t="n">
        <v>3.8</v>
      </c>
      <c r="H679" t="n">
        <v>0</v>
      </c>
      <c r="I679" t="n">
        <v>0</v>
      </c>
      <c r="J679" t="n">
        <v>0</v>
      </c>
      <c r="K679" t="n">
        <v>0</v>
      </c>
      <c r="L679" t="n">
        <v>0</v>
      </c>
      <c r="M679" t="n">
        <v>0</v>
      </c>
      <c r="N679" t="n">
        <v>0</v>
      </c>
      <c r="O679" t="n">
        <v>0</v>
      </c>
      <c r="P679" t="n">
        <v>0</v>
      </c>
      <c r="Q679" t="n">
        <v>0</v>
      </c>
      <c r="R679" s="2" t="inlineStr"/>
    </row>
    <row r="680" ht="15" customHeight="1">
      <c r="A680" t="inlineStr">
        <is>
          <t>A 190-2022</t>
        </is>
      </c>
      <c r="B680" s="1" t="n">
        <v>44564</v>
      </c>
      <c r="C680" s="1" t="n">
        <v>45583</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187-2022</t>
        </is>
      </c>
      <c r="B681" s="1" t="n">
        <v>44564</v>
      </c>
      <c r="C681" s="1" t="n">
        <v>45583</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77-2022</t>
        </is>
      </c>
      <c r="B682" s="1" t="n">
        <v>44564</v>
      </c>
      <c r="C682" s="1" t="n">
        <v>45583</v>
      </c>
      <c r="D682" t="inlineStr">
        <is>
          <t>STOCKHOLMS LÄN</t>
        </is>
      </c>
      <c r="E682" t="inlineStr">
        <is>
          <t>NORRTÄLJE</t>
        </is>
      </c>
      <c r="G682" t="n">
        <v>4.1</v>
      </c>
      <c r="H682" t="n">
        <v>0</v>
      </c>
      <c r="I682" t="n">
        <v>0</v>
      </c>
      <c r="J682" t="n">
        <v>0</v>
      </c>
      <c r="K682" t="n">
        <v>0</v>
      </c>
      <c r="L682" t="n">
        <v>0</v>
      </c>
      <c r="M682" t="n">
        <v>0</v>
      </c>
      <c r="N682" t="n">
        <v>0</v>
      </c>
      <c r="O682" t="n">
        <v>0</v>
      </c>
      <c r="P682" t="n">
        <v>0</v>
      </c>
      <c r="Q682" t="n">
        <v>0</v>
      </c>
      <c r="R682" s="2" t="inlineStr"/>
    </row>
    <row r="683" ht="15" customHeight="1">
      <c r="A683" t="inlineStr">
        <is>
          <t>A 459-2022</t>
        </is>
      </c>
      <c r="B683" s="1" t="n">
        <v>44565</v>
      </c>
      <c r="C683" s="1" t="n">
        <v>45583</v>
      </c>
      <c r="D683" t="inlineStr">
        <is>
          <t>STOCKHOLMS LÄN</t>
        </is>
      </c>
      <c r="E683" t="inlineStr">
        <is>
          <t>NORRTÄLJE</t>
        </is>
      </c>
      <c r="F683" t="inlineStr">
        <is>
          <t>Övriga Aktiebolag</t>
        </is>
      </c>
      <c r="G683" t="n">
        <v>17.3</v>
      </c>
      <c r="H683" t="n">
        <v>0</v>
      </c>
      <c r="I683" t="n">
        <v>0</v>
      </c>
      <c r="J683" t="n">
        <v>0</v>
      </c>
      <c r="K683" t="n">
        <v>0</v>
      </c>
      <c r="L683" t="n">
        <v>0</v>
      </c>
      <c r="M683" t="n">
        <v>0</v>
      </c>
      <c r="N683" t="n">
        <v>0</v>
      </c>
      <c r="O683" t="n">
        <v>0</v>
      </c>
      <c r="P683" t="n">
        <v>0</v>
      </c>
      <c r="Q683" t="n">
        <v>0</v>
      </c>
      <c r="R683" s="2" t="inlineStr"/>
    </row>
    <row r="684" ht="15" customHeight="1">
      <c r="A684" t="inlineStr">
        <is>
          <t>A 1058-2022</t>
        </is>
      </c>
      <c r="B684" s="1" t="n">
        <v>44571</v>
      </c>
      <c r="C684" s="1" t="n">
        <v>45583</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1051-2022</t>
        </is>
      </c>
      <c r="B685" s="1" t="n">
        <v>44571</v>
      </c>
      <c r="C685" s="1" t="n">
        <v>45583</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1054-2022</t>
        </is>
      </c>
      <c r="B686" s="1" t="n">
        <v>44571</v>
      </c>
      <c r="C686" s="1" t="n">
        <v>45583</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1229-2022</t>
        </is>
      </c>
      <c r="B687" s="1" t="n">
        <v>44572</v>
      </c>
      <c r="C687" s="1" t="n">
        <v>45583</v>
      </c>
      <c r="D687" t="inlineStr">
        <is>
          <t>STOCKHOLMS LÄN</t>
        </is>
      </c>
      <c r="E687" t="inlineStr">
        <is>
          <t>NORRTÄLJE</t>
        </is>
      </c>
      <c r="G687" t="n">
        <v>11.5</v>
      </c>
      <c r="H687" t="n">
        <v>0</v>
      </c>
      <c r="I687" t="n">
        <v>0</v>
      </c>
      <c r="J687" t="n">
        <v>0</v>
      </c>
      <c r="K687" t="n">
        <v>0</v>
      </c>
      <c r="L687" t="n">
        <v>0</v>
      </c>
      <c r="M687" t="n">
        <v>0</v>
      </c>
      <c r="N687" t="n">
        <v>0</v>
      </c>
      <c r="O687" t="n">
        <v>0</v>
      </c>
      <c r="P687" t="n">
        <v>0</v>
      </c>
      <c r="Q687" t="n">
        <v>0</v>
      </c>
      <c r="R687" s="2" t="inlineStr"/>
    </row>
    <row r="688" ht="15" customHeight="1">
      <c r="A688" t="inlineStr">
        <is>
          <t>A 1704-2022</t>
        </is>
      </c>
      <c r="B688" s="1" t="n">
        <v>44574</v>
      </c>
      <c r="C688" s="1" t="n">
        <v>45583</v>
      </c>
      <c r="D688" t="inlineStr">
        <is>
          <t>STOCKHOLMS LÄN</t>
        </is>
      </c>
      <c r="E688" t="inlineStr">
        <is>
          <t>NORRTÄLJE</t>
        </is>
      </c>
      <c r="G688" t="n">
        <v>6.2</v>
      </c>
      <c r="H688" t="n">
        <v>0</v>
      </c>
      <c r="I688" t="n">
        <v>0</v>
      </c>
      <c r="J688" t="n">
        <v>0</v>
      </c>
      <c r="K688" t="n">
        <v>0</v>
      </c>
      <c r="L688" t="n">
        <v>0</v>
      </c>
      <c r="M688" t="n">
        <v>0</v>
      </c>
      <c r="N688" t="n">
        <v>0</v>
      </c>
      <c r="O688" t="n">
        <v>0</v>
      </c>
      <c r="P688" t="n">
        <v>0</v>
      </c>
      <c r="Q688" t="n">
        <v>0</v>
      </c>
      <c r="R688" s="2" t="inlineStr"/>
    </row>
    <row r="689" ht="15" customHeight="1">
      <c r="A689" t="inlineStr">
        <is>
          <t>A 1968-2022</t>
        </is>
      </c>
      <c r="B689" s="1" t="n">
        <v>44575</v>
      </c>
      <c r="C689" s="1" t="n">
        <v>45583</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2182-2022</t>
        </is>
      </c>
      <c r="B690" s="1" t="n">
        <v>44578</v>
      </c>
      <c r="C690" s="1" t="n">
        <v>45583</v>
      </c>
      <c r="D690" t="inlineStr">
        <is>
          <t>STOCKHOLMS LÄN</t>
        </is>
      </c>
      <c r="E690" t="inlineStr">
        <is>
          <t>NORRTÄLJE</t>
        </is>
      </c>
      <c r="G690" t="n">
        <v>7.2</v>
      </c>
      <c r="H690" t="n">
        <v>0</v>
      </c>
      <c r="I690" t="n">
        <v>0</v>
      </c>
      <c r="J690" t="n">
        <v>0</v>
      </c>
      <c r="K690" t="n">
        <v>0</v>
      </c>
      <c r="L690" t="n">
        <v>0</v>
      </c>
      <c r="M690" t="n">
        <v>0</v>
      </c>
      <c r="N690" t="n">
        <v>0</v>
      </c>
      <c r="O690" t="n">
        <v>0</v>
      </c>
      <c r="P690" t="n">
        <v>0</v>
      </c>
      <c r="Q690" t="n">
        <v>0</v>
      </c>
      <c r="R690" s="2" t="inlineStr"/>
    </row>
    <row r="691" ht="15" customHeight="1">
      <c r="A691" t="inlineStr">
        <is>
          <t>A 2549-2022</t>
        </is>
      </c>
      <c r="B691" s="1" t="n">
        <v>44580</v>
      </c>
      <c r="C691" s="1" t="n">
        <v>45583</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2732-2022</t>
        </is>
      </c>
      <c r="B692" s="1" t="n">
        <v>44580</v>
      </c>
      <c r="C692" s="1" t="n">
        <v>45583</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2888-2022</t>
        </is>
      </c>
      <c r="B693" s="1" t="n">
        <v>44581</v>
      </c>
      <c r="C693" s="1" t="n">
        <v>45583</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2977-2022</t>
        </is>
      </c>
      <c r="B694" s="1" t="n">
        <v>44581</v>
      </c>
      <c r="C694" s="1" t="n">
        <v>45583</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3300-2022</t>
        </is>
      </c>
      <c r="B695" s="1" t="n">
        <v>44584</v>
      </c>
      <c r="C695" s="1" t="n">
        <v>45583</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3310-2022</t>
        </is>
      </c>
      <c r="B696" s="1" t="n">
        <v>44584</v>
      </c>
      <c r="C696" s="1" t="n">
        <v>45583</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3396-2022</t>
        </is>
      </c>
      <c r="B697" s="1" t="n">
        <v>44585</v>
      </c>
      <c r="C697" s="1" t="n">
        <v>45583</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3509-2022</t>
        </is>
      </c>
      <c r="B698" s="1" t="n">
        <v>44585</v>
      </c>
      <c r="C698" s="1" t="n">
        <v>45583</v>
      </c>
      <c r="D698" t="inlineStr">
        <is>
          <t>STOCKHOLMS LÄN</t>
        </is>
      </c>
      <c r="E698" t="inlineStr">
        <is>
          <t>NORRTÄLJE</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4860-2022</t>
        </is>
      </c>
      <c r="B699" s="1" t="n">
        <v>44592</v>
      </c>
      <c r="C699" s="1" t="n">
        <v>45583</v>
      </c>
      <c r="D699" t="inlineStr">
        <is>
          <t>STOCKHOLMS LÄN</t>
        </is>
      </c>
      <c r="E699" t="inlineStr">
        <is>
          <t>NORRTÄLJE</t>
        </is>
      </c>
      <c r="G699" t="n">
        <v>22.3</v>
      </c>
      <c r="H699" t="n">
        <v>0</v>
      </c>
      <c r="I699" t="n">
        <v>0</v>
      </c>
      <c r="J699" t="n">
        <v>0</v>
      </c>
      <c r="K699" t="n">
        <v>0</v>
      </c>
      <c r="L699" t="n">
        <v>0</v>
      </c>
      <c r="M699" t="n">
        <v>0</v>
      </c>
      <c r="N699" t="n">
        <v>0</v>
      </c>
      <c r="O699" t="n">
        <v>0</v>
      </c>
      <c r="P699" t="n">
        <v>0</v>
      </c>
      <c r="Q699" t="n">
        <v>0</v>
      </c>
      <c r="R699" s="2" t="inlineStr"/>
    </row>
    <row r="700" ht="15" customHeight="1">
      <c r="A700" t="inlineStr">
        <is>
          <t>A 5351-2022</t>
        </is>
      </c>
      <c r="B700" s="1" t="n">
        <v>44594</v>
      </c>
      <c r="C700" s="1" t="n">
        <v>45583</v>
      </c>
      <c r="D700" t="inlineStr">
        <is>
          <t>STOCKHOLMS LÄN</t>
        </is>
      </c>
      <c r="E700" t="inlineStr">
        <is>
          <t>NORRTÄLJE</t>
        </is>
      </c>
      <c r="G700" t="n">
        <v>4</v>
      </c>
      <c r="H700" t="n">
        <v>0</v>
      </c>
      <c r="I700" t="n">
        <v>0</v>
      </c>
      <c r="J700" t="n">
        <v>0</v>
      </c>
      <c r="K700" t="n">
        <v>0</v>
      </c>
      <c r="L700" t="n">
        <v>0</v>
      </c>
      <c r="M700" t="n">
        <v>0</v>
      </c>
      <c r="N700" t="n">
        <v>0</v>
      </c>
      <c r="O700" t="n">
        <v>0</v>
      </c>
      <c r="P700" t="n">
        <v>0</v>
      </c>
      <c r="Q700" t="n">
        <v>0</v>
      </c>
      <c r="R700" s="2" t="inlineStr"/>
    </row>
    <row r="701" ht="15" customHeight="1">
      <c r="A701" t="inlineStr">
        <is>
          <t>A 5513-2022</t>
        </is>
      </c>
      <c r="B701" s="1" t="n">
        <v>44595</v>
      </c>
      <c r="C701" s="1" t="n">
        <v>45583</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5611-2022</t>
        </is>
      </c>
      <c r="B702" s="1" t="n">
        <v>44595</v>
      </c>
      <c r="C702" s="1" t="n">
        <v>45583</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5831-2022</t>
        </is>
      </c>
      <c r="B703" s="1" t="n">
        <v>44596</v>
      </c>
      <c r="C703" s="1" t="n">
        <v>45583</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5867-2022</t>
        </is>
      </c>
      <c r="B704" s="1" t="n">
        <v>44596</v>
      </c>
      <c r="C704" s="1" t="n">
        <v>45583</v>
      </c>
      <c r="D704" t="inlineStr">
        <is>
          <t>STOCKHOLMS LÄN</t>
        </is>
      </c>
      <c r="E704" t="inlineStr">
        <is>
          <t>NORRTÄLJE</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6070-2022</t>
        </is>
      </c>
      <c r="B705" s="1" t="n">
        <v>44599</v>
      </c>
      <c r="C705" s="1" t="n">
        <v>45583</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6332-2022</t>
        </is>
      </c>
      <c r="B706" s="1" t="n">
        <v>44600</v>
      </c>
      <c r="C706" s="1" t="n">
        <v>45583</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7301-2022</t>
        </is>
      </c>
      <c r="B707" s="1" t="n">
        <v>44606</v>
      </c>
      <c r="C707" s="1" t="n">
        <v>45583</v>
      </c>
      <c r="D707" t="inlineStr">
        <is>
          <t>STOCKHOLMS LÄN</t>
        </is>
      </c>
      <c r="E707" t="inlineStr">
        <is>
          <t>NORRTÄLJE</t>
        </is>
      </c>
      <c r="G707" t="n">
        <v>6.1</v>
      </c>
      <c r="H707" t="n">
        <v>0</v>
      </c>
      <c r="I707" t="n">
        <v>0</v>
      </c>
      <c r="J707" t="n">
        <v>0</v>
      </c>
      <c r="K707" t="n">
        <v>0</v>
      </c>
      <c r="L707" t="n">
        <v>0</v>
      </c>
      <c r="M707" t="n">
        <v>0</v>
      </c>
      <c r="N707" t="n">
        <v>0</v>
      </c>
      <c r="O707" t="n">
        <v>0</v>
      </c>
      <c r="P707" t="n">
        <v>0</v>
      </c>
      <c r="Q707" t="n">
        <v>0</v>
      </c>
      <c r="R707" s="2" t="inlineStr"/>
    </row>
    <row r="708" ht="15" customHeight="1">
      <c r="A708" t="inlineStr">
        <is>
          <t>A 7565-2022</t>
        </is>
      </c>
      <c r="B708" s="1" t="n">
        <v>44607</v>
      </c>
      <c r="C708" s="1" t="n">
        <v>45583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8024-2022</t>
        </is>
      </c>
      <c r="B709" s="1" t="n">
        <v>44609</v>
      </c>
      <c r="C709" s="1" t="n">
        <v>45583</v>
      </c>
      <c r="D709" t="inlineStr">
        <is>
          <t>STOCKHOLMS LÄN</t>
        </is>
      </c>
      <c r="E709" t="inlineStr">
        <is>
          <t>NORRTÄLJE</t>
        </is>
      </c>
      <c r="F709" t="inlineStr">
        <is>
          <t>Kyrkan</t>
        </is>
      </c>
      <c r="G709" t="n">
        <v>28.2</v>
      </c>
      <c r="H709" t="n">
        <v>0</v>
      </c>
      <c r="I709" t="n">
        <v>0</v>
      </c>
      <c r="J709" t="n">
        <v>0</v>
      </c>
      <c r="K709" t="n">
        <v>0</v>
      </c>
      <c r="L709" t="n">
        <v>0</v>
      </c>
      <c r="M709" t="n">
        <v>0</v>
      </c>
      <c r="N709" t="n">
        <v>0</v>
      </c>
      <c r="O709" t="n">
        <v>0</v>
      </c>
      <c r="P709" t="n">
        <v>0</v>
      </c>
      <c r="Q709" t="n">
        <v>0</v>
      </c>
      <c r="R709" s="2" t="inlineStr"/>
    </row>
    <row r="710" ht="15" customHeight="1">
      <c r="A710" t="inlineStr">
        <is>
          <t>A 8049-2022</t>
        </is>
      </c>
      <c r="B710" s="1" t="n">
        <v>44609</v>
      </c>
      <c r="C710" s="1" t="n">
        <v>45583</v>
      </c>
      <c r="D710" t="inlineStr">
        <is>
          <t>STOCKHOLMS LÄN</t>
        </is>
      </c>
      <c r="E710" t="inlineStr">
        <is>
          <t>NORRTÄLJE</t>
        </is>
      </c>
      <c r="F710" t="inlineStr">
        <is>
          <t>Holmen skog AB</t>
        </is>
      </c>
      <c r="G710" t="n">
        <v>3</v>
      </c>
      <c r="H710" t="n">
        <v>0</v>
      </c>
      <c r="I710" t="n">
        <v>0</v>
      </c>
      <c r="J710" t="n">
        <v>0</v>
      </c>
      <c r="K710" t="n">
        <v>0</v>
      </c>
      <c r="L710" t="n">
        <v>0</v>
      </c>
      <c r="M710" t="n">
        <v>0</v>
      </c>
      <c r="N710" t="n">
        <v>0</v>
      </c>
      <c r="O710" t="n">
        <v>0</v>
      </c>
      <c r="P710" t="n">
        <v>0</v>
      </c>
      <c r="Q710" t="n">
        <v>0</v>
      </c>
      <c r="R710" s="2" t="inlineStr"/>
    </row>
    <row r="711" ht="15" customHeight="1">
      <c r="A711" t="inlineStr">
        <is>
          <t>A 8160-2022</t>
        </is>
      </c>
      <c r="B711" s="1" t="n">
        <v>44609</v>
      </c>
      <c r="C711" s="1" t="n">
        <v>45583</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8433-2022</t>
        </is>
      </c>
      <c r="B712" s="1" t="n">
        <v>44611</v>
      </c>
      <c r="C712" s="1" t="n">
        <v>45583</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9668-2022</t>
        </is>
      </c>
      <c r="B713" s="1" t="n">
        <v>44617</v>
      </c>
      <c r="C713" s="1" t="n">
        <v>45583</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9654-2022</t>
        </is>
      </c>
      <c r="B714" s="1" t="n">
        <v>44617</v>
      </c>
      <c r="C714" s="1" t="n">
        <v>45583</v>
      </c>
      <c r="D714" t="inlineStr">
        <is>
          <t>STOCKHOLMS LÄN</t>
        </is>
      </c>
      <c r="E714" t="inlineStr">
        <is>
          <t>NORRTÄLJE</t>
        </is>
      </c>
      <c r="G714" t="n">
        <v>6.4</v>
      </c>
      <c r="H714" t="n">
        <v>0</v>
      </c>
      <c r="I714" t="n">
        <v>0</v>
      </c>
      <c r="J714" t="n">
        <v>0</v>
      </c>
      <c r="K714" t="n">
        <v>0</v>
      </c>
      <c r="L714" t="n">
        <v>0</v>
      </c>
      <c r="M714" t="n">
        <v>0</v>
      </c>
      <c r="N714" t="n">
        <v>0</v>
      </c>
      <c r="O714" t="n">
        <v>0</v>
      </c>
      <c r="P714" t="n">
        <v>0</v>
      </c>
      <c r="Q714" t="n">
        <v>0</v>
      </c>
      <c r="R714" s="2" t="inlineStr"/>
    </row>
    <row r="715" ht="15" customHeight="1">
      <c r="A715" t="inlineStr">
        <is>
          <t>A 9749-2022</t>
        </is>
      </c>
      <c r="B715" s="1" t="n">
        <v>44618</v>
      </c>
      <c r="C715" s="1" t="n">
        <v>45583</v>
      </c>
      <c r="D715" t="inlineStr">
        <is>
          <t>STOCKHOLMS LÄN</t>
        </is>
      </c>
      <c r="E715" t="inlineStr">
        <is>
          <t>NORRTÄLJE</t>
        </is>
      </c>
      <c r="G715" t="n">
        <v>7.2</v>
      </c>
      <c r="H715" t="n">
        <v>0</v>
      </c>
      <c r="I715" t="n">
        <v>0</v>
      </c>
      <c r="J715" t="n">
        <v>0</v>
      </c>
      <c r="K715" t="n">
        <v>0</v>
      </c>
      <c r="L715" t="n">
        <v>0</v>
      </c>
      <c r="M715" t="n">
        <v>0</v>
      </c>
      <c r="N715" t="n">
        <v>0</v>
      </c>
      <c r="O715" t="n">
        <v>0</v>
      </c>
      <c r="P715" t="n">
        <v>0</v>
      </c>
      <c r="Q715" t="n">
        <v>0</v>
      </c>
      <c r="R715" s="2" t="inlineStr"/>
    </row>
    <row r="716" ht="15" customHeight="1">
      <c r="A716" t="inlineStr">
        <is>
          <t>A 9988-2022</t>
        </is>
      </c>
      <c r="B716" s="1" t="n">
        <v>44621</v>
      </c>
      <c r="C716" s="1" t="n">
        <v>45583</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10090-2022</t>
        </is>
      </c>
      <c r="B717" s="1" t="n">
        <v>44621</v>
      </c>
      <c r="C717" s="1" t="n">
        <v>45583</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10098-2022</t>
        </is>
      </c>
      <c r="B718" s="1" t="n">
        <v>44621</v>
      </c>
      <c r="C718" s="1" t="n">
        <v>45583</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10521-2022</t>
        </is>
      </c>
      <c r="B719" s="1" t="n">
        <v>44623</v>
      </c>
      <c r="C719" s="1" t="n">
        <v>45583</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10653-2022</t>
        </is>
      </c>
      <c r="B720" s="1" t="n">
        <v>44624</v>
      </c>
      <c r="C720" s="1" t="n">
        <v>45583</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10710-2022</t>
        </is>
      </c>
      <c r="B721" s="1" t="n">
        <v>44626</v>
      </c>
      <c r="C721" s="1" t="n">
        <v>45583</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10711-2022</t>
        </is>
      </c>
      <c r="B722" s="1" t="n">
        <v>44626</v>
      </c>
      <c r="C722" s="1" t="n">
        <v>45583</v>
      </c>
      <c r="D722" t="inlineStr">
        <is>
          <t>STOCKHOLMS LÄN</t>
        </is>
      </c>
      <c r="E722" t="inlineStr">
        <is>
          <t>NORRTÄLJE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11150-2022</t>
        </is>
      </c>
      <c r="B723" s="1" t="n">
        <v>44629</v>
      </c>
      <c r="C723" s="1" t="n">
        <v>45583</v>
      </c>
      <c r="D723" t="inlineStr">
        <is>
          <t>STOCKHOLMS LÄN</t>
        </is>
      </c>
      <c r="E723" t="inlineStr">
        <is>
          <t>NORRTÄLJE</t>
        </is>
      </c>
      <c r="F723" t="inlineStr">
        <is>
          <t>Övriga Aktiebolag</t>
        </is>
      </c>
      <c r="G723" t="n">
        <v>6.5</v>
      </c>
      <c r="H723" t="n">
        <v>0</v>
      </c>
      <c r="I723" t="n">
        <v>0</v>
      </c>
      <c r="J723" t="n">
        <v>0</v>
      </c>
      <c r="K723" t="n">
        <v>0</v>
      </c>
      <c r="L723" t="n">
        <v>0</v>
      </c>
      <c r="M723" t="n">
        <v>0</v>
      </c>
      <c r="N723" t="n">
        <v>0</v>
      </c>
      <c r="O723" t="n">
        <v>0</v>
      </c>
      <c r="P723" t="n">
        <v>0</v>
      </c>
      <c r="Q723" t="n">
        <v>0</v>
      </c>
      <c r="R723" s="2" t="inlineStr"/>
    </row>
    <row r="724" ht="15" customHeight="1">
      <c r="A724" t="inlineStr">
        <is>
          <t>A 11229-2022</t>
        </is>
      </c>
      <c r="B724" s="1" t="n">
        <v>44629</v>
      </c>
      <c r="C724" s="1" t="n">
        <v>45583</v>
      </c>
      <c r="D724" t="inlineStr">
        <is>
          <t>STOCKHOLMS LÄN</t>
        </is>
      </c>
      <c r="E724" t="inlineStr">
        <is>
          <t>NORRTÄLJE</t>
        </is>
      </c>
      <c r="F724" t="inlineStr">
        <is>
          <t>Övriga Aktiebolag</t>
        </is>
      </c>
      <c r="G724" t="n">
        <v>4.1</v>
      </c>
      <c r="H724" t="n">
        <v>0</v>
      </c>
      <c r="I724" t="n">
        <v>0</v>
      </c>
      <c r="J724" t="n">
        <v>0</v>
      </c>
      <c r="K724" t="n">
        <v>0</v>
      </c>
      <c r="L724" t="n">
        <v>0</v>
      </c>
      <c r="M724" t="n">
        <v>0</v>
      </c>
      <c r="N724" t="n">
        <v>0</v>
      </c>
      <c r="O724" t="n">
        <v>0</v>
      </c>
      <c r="P724" t="n">
        <v>0</v>
      </c>
      <c r="Q724" t="n">
        <v>0</v>
      </c>
      <c r="R724" s="2" t="inlineStr"/>
    </row>
    <row r="725" ht="15" customHeight="1">
      <c r="A725" t="inlineStr">
        <is>
          <t>A 11533-2022</t>
        </is>
      </c>
      <c r="B725" s="1" t="n">
        <v>44631</v>
      </c>
      <c r="C725" s="1" t="n">
        <v>45583</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11821-2022</t>
        </is>
      </c>
      <c r="B726" s="1" t="n">
        <v>44634</v>
      </c>
      <c r="C726" s="1" t="n">
        <v>45583</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11900-2022</t>
        </is>
      </c>
      <c r="B727" s="1" t="n">
        <v>44635</v>
      </c>
      <c r="C727" s="1" t="n">
        <v>45583</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45583</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12270-2022</t>
        </is>
      </c>
      <c r="B729" s="1" t="n">
        <v>44637</v>
      </c>
      <c r="C729" s="1" t="n">
        <v>45583</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12314-2022</t>
        </is>
      </c>
      <c r="B730" s="1" t="n">
        <v>44637</v>
      </c>
      <c r="C730" s="1" t="n">
        <v>45583</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12268-2022</t>
        </is>
      </c>
      <c r="B731" s="1" t="n">
        <v>44637</v>
      </c>
      <c r="C731" s="1" t="n">
        <v>45583</v>
      </c>
      <c r="D731" t="inlineStr">
        <is>
          <t>STOCKHOLMS LÄN</t>
        </is>
      </c>
      <c r="E731" t="inlineStr">
        <is>
          <t>NORRTÄLJE</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12357-2022</t>
        </is>
      </c>
      <c r="B732" s="1" t="n">
        <v>44637</v>
      </c>
      <c r="C732" s="1" t="n">
        <v>45583</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62765-2022</t>
        </is>
      </c>
      <c r="B733" s="1" t="n">
        <v>44637</v>
      </c>
      <c r="C733" s="1" t="n">
        <v>45583</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12874-2022</t>
        </is>
      </c>
      <c r="B734" s="1" t="n">
        <v>44642</v>
      </c>
      <c r="C734" s="1" t="n">
        <v>45583</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12816-2022</t>
        </is>
      </c>
      <c r="B735" s="1" t="n">
        <v>44642</v>
      </c>
      <c r="C735" s="1" t="n">
        <v>45583</v>
      </c>
      <c r="D735" t="inlineStr">
        <is>
          <t>STOCKHOLMS LÄN</t>
        </is>
      </c>
      <c r="E735" t="inlineStr">
        <is>
          <t>NORRTÄLJE</t>
        </is>
      </c>
      <c r="G735" t="n">
        <v>4.4</v>
      </c>
      <c r="H735" t="n">
        <v>0</v>
      </c>
      <c r="I735" t="n">
        <v>0</v>
      </c>
      <c r="J735" t="n">
        <v>0</v>
      </c>
      <c r="K735" t="n">
        <v>0</v>
      </c>
      <c r="L735" t="n">
        <v>0</v>
      </c>
      <c r="M735" t="n">
        <v>0</v>
      </c>
      <c r="N735" t="n">
        <v>0</v>
      </c>
      <c r="O735" t="n">
        <v>0</v>
      </c>
      <c r="P735" t="n">
        <v>0</v>
      </c>
      <c r="Q735" t="n">
        <v>0</v>
      </c>
      <c r="R735" s="2" t="inlineStr"/>
    </row>
    <row r="736" ht="15" customHeight="1">
      <c r="A736" t="inlineStr">
        <is>
          <t>A 12877-2022</t>
        </is>
      </c>
      <c r="B736" s="1" t="n">
        <v>44642</v>
      </c>
      <c r="C736" s="1" t="n">
        <v>45583</v>
      </c>
      <c r="D736" t="inlineStr">
        <is>
          <t>STOCKHOLMS LÄN</t>
        </is>
      </c>
      <c r="E736" t="inlineStr">
        <is>
          <t>NORRTÄLJE</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12875-2022</t>
        </is>
      </c>
      <c r="B737" s="1" t="n">
        <v>44642</v>
      </c>
      <c r="C737" s="1" t="n">
        <v>45583</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13077-2022</t>
        </is>
      </c>
      <c r="B738" s="1" t="n">
        <v>44643</v>
      </c>
      <c r="C738" s="1" t="n">
        <v>45583</v>
      </c>
      <c r="D738" t="inlineStr">
        <is>
          <t>STOCKHOLMS LÄN</t>
        </is>
      </c>
      <c r="E738" t="inlineStr">
        <is>
          <t>NORRTÄLJE</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13053-2022</t>
        </is>
      </c>
      <c r="B739" s="1" t="n">
        <v>44643</v>
      </c>
      <c r="C739" s="1" t="n">
        <v>45583</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13089-2022</t>
        </is>
      </c>
      <c r="B740" s="1" t="n">
        <v>44643</v>
      </c>
      <c r="C740" s="1" t="n">
        <v>45583</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13106-2022</t>
        </is>
      </c>
      <c r="B741" s="1" t="n">
        <v>44644</v>
      </c>
      <c r="C741" s="1" t="n">
        <v>45583</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13278-2022</t>
        </is>
      </c>
      <c r="B742" s="1" t="n">
        <v>44644</v>
      </c>
      <c r="C742" s="1" t="n">
        <v>45583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13276-2022</t>
        </is>
      </c>
      <c r="B743" s="1" t="n">
        <v>44644</v>
      </c>
      <c r="C743" s="1" t="n">
        <v>45583</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13395-2022</t>
        </is>
      </c>
      <c r="B744" s="1" t="n">
        <v>44645</v>
      </c>
      <c r="C744" s="1" t="n">
        <v>45583</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13696-2022</t>
        </is>
      </c>
      <c r="B745" s="1" t="n">
        <v>44648</v>
      </c>
      <c r="C745" s="1" t="n">
        <v>45583</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13701-2022</t>
        </is>
      </c>
      <c r="B746" s="1" t="n">
        <v>44648</v>
      </c>
      <c r="C746" s="1" t="n">
        <v>45583</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13718-2022</t>
        </is>
      </c>
      <c r="B747" s="1" t="n">
        <v>44649</v>
      </c>
      <c r="C747" s="1" t="n">
        <v>45583</v>
      </c>
      <c r="D747" t="inlineStr">
        <is>
          <t>STOCKHOLMS LÄN</t>
        </is>
      </c>
      <c r="E747" t="inlineStr">
        <is>
          <t>NORRTÄLJE</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14036-2022</t>
        </is>
      </c>
      <c r="B748" s="1" t="n">
        <v>44650</v>
      </c>
      <c r="C748" s="1" t="n">
        <v>45583</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14033-2022</t>
        </is>
      </c>
      <c r="B749" s="1" t="n">
        <v>44650</v>
      </c>
      <c r="C749" s="1" t="n">
        <v>45583</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14034-2022</t>
        </is>
      </c>
      <c r="B750" s="1" t="n">
        <v>44650</v>
      </c>
      <c r="C750" s="1" t="n">
        <v>45583</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14051-2022</t>
        </is>
      </c>
      <c r="B751" s="1" t="n">
        <v>44651</v>
      </c>
      <c r="C751" s="1" t="n">
        <v>45583</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14166-2022</t>
        </is>
      </c>
      <c r="B752" s="1" t="n">
        <v>44651</v>
      </c>
      <c r="C752" s="1" t="n">
        <v>45583</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14543-2022</t>
        </is>
      </c>
      <c r="B753" s="1" t="n">
        <v>44655</v>
      </c>
      <c r="C753" s="1" t="n">
        <v>45583</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45583</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14716-2022</t>
        </is>
      </c>
      <c r="B755" s="1" t="n">
        <v>44656</v>
      </c>
      <c r="C755" s="1" t="n">
        <v>45583</v>
      </c>
      <c r="D755" t="inlineStr">
        <is>
          <t>STOCKHOLMS LÄN</t>
        </is>
      </c>
      <c r="E755" t="inlineStr">
        <is>
          <t>NORRTÄLJE</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14869-2022</t>
        </is>
      </c>
      <c r="B756" s="1" t="n">
        <v>44656</v>
      </c>
      <c r="C756" s="1" t="n">
        <v>45583</v>
      </c>
      <c r="D756" t="inlineStr">
        <is>
          <t>STOCKHOLMS LÄN</t>
        </is>
      </c>
      <c r="E756" t="inlineStr">
        <is>
          <t>NORRTÄLJE</t>
        </is>
      </c>
      <c r="F756" t="inlineStr">
        <is>
          <t>Holmen skog AB</t>
        </is>
      </c>
      <c r="G756" t="n">
        <v>9.1</v>
      </c>
      <c r="H756" t="n">
        <v>0</v>
      </c>
      <c r="I756" t="n">
        <v>0</v>
      </c>
      <c r="J756" t="n">
        <v>0</v>
      </c>
      <c r="K756" t="n">
        <v>0</v>
      </c>
      <c r="L756" t="n">
        <v>0</v>
      </c>
      <c r="M756" t="n">
        <v>0</v>
      </c>
      <c r="N756" t="n">
        <v>0</v>
      </c>
      <c r="O756" t="n">
        <v>0</v>
      </c>
      <c r="P756" t="n">
        <v>0</v>
      </c>
      <c r="Q756" t="n">
        <v>0</v>
      </c>
      <c r="R756" s="2" t="inlineStr"/>
    </row>
    <row r="757" ht="15" customHeight="1">
      <c r="A757" t="inlineStr">
        <is>
          <t>A 15225-2022</t>
        </is>
      </c>
      <c r="B757" s="1" t="n">
        <v>44658</v>
      </c>
      <c r="C757" s="1" t="n">
        <v>45583</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15226-2022</t>
        </is>
      </c>
      <c r="B758" s="1" t="n">
        <v>44658</v>
      </c>
      <c r="C758" s="1" t="n">
        <v>45583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15861-2022</t>
        </is>
      </c>
      <c r="B759" s="1" t="n">
        <v>44664</v>
      </c>
      <c r="C759" s="1" t="n">
        <v>45583</v>
      </c>
      <c r="D759" t="inlineStr">
        <is>
          <t>STOCKHOLMS LÄN</t>
        </is>
      </c>
      <c r="E759" t="inlineStr">
        <is>
          <t>NORRTÄLJE</t>
        </is>
      </c>
      <c r="G759" t="n">
        <v>10.2</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v>
      </c>
      <c r="C760" s="1" t="n">
        <v>45583</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16119-2022</t>
        </is>
      </c>
      <c r="B761" s="1" t="n">
        <v>44665</v>
      </c>
      <c r="C761" s="1" t="n">
        <v>45583</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16132-2022</t>
        </is>
      </c>
      <c r="B762" s="1" t="n">
        <v>44665</v>
      </c>
      <c r="C762" s="1" t="n">
        <v>45583</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16224-2022</t>
        </is>
      </c>
      <c r="B763" s="1" t="n">
        <v>44670</v>
      </c>
      <c r="C763" s="1" t="n">
        <v>45583</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16202-2022</t>
        </is>
      </c>
      <c r="B764" s="1" t="n">
        <v>44670</v>
      </c>
      <c r="C764" s="1" t="n">
        <v>45583</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16229-2022</t>
        </is>
      </c>
      <c r="B765" s="1" t="n">
        <v>44670</v>
      </c>
      <c r="C765" s="1" t="n">
        <v>45583</v>
      </c>
      <c r="D765" t="inlineStr">
        <is>
          <t>STOCKHOLMS LÄN</t>
        </is>
      </c>
      <c r="E765" t="inlineStr">
        <is>
          <t>NORRTÄLJE</t>
        </is>
      </c>
      <c r="G765" t="n">
        <v>7.4</v>
      </c>
      <c r="H765" t="n">
        <v>0</v>
      </c>
      <c r="I765" t="n">
        <v>0</v>
      </c>
      <c r="J765" t="n">
        <v>0</v>
      </c>
      <c r="K765" t="n">
        <v>0</v>
      </c>
      <c r="L765" t="n">
        <v>0</v>
      </c>
      <c r="M765" t="n">
        <v>0</v>
      </c>
      <c r="N765" t="n">
        <v>0</v>
      </c>
      <c r="O765" t="n">
        <v>0</v>
      </c>
      <c r="P765" t="n">
        <v>0</v>
      </c>
      <c r="Q765" t="n">
        <v>0</v>
      </c>
      <c r="R765" s="2" t="inlineStr"/>
    </row>
    <row r="766" ht="15" customHeight="1">
      <c r="A766" t="inlineStr">
        <is>
          <t>A 16442-2022</t>
        </is>
      </c>
      <c r="B766" s="1" t="n">
        <v>44671</v>
      </c>
      <c r="C766" s="1" t="n">
        <v>45583</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16534-2022</t>
        </is>
      </c>
      <c r="B767" s="1" t="n">
        <v>44672</v>
      </c>
      <c r="C767" s="1" t="n">
        <v>45583</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16835-2022</t>
        </is>
      </c>
      <c r="B768" s="1" t="n">
        <v>44673</v>
      </c>
      <c r="C768" s="1" t="n">
        <v>45583</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17391-2022</t>
        </is>
      </c>
      <c r="B769" s="1" t="n">
        <v>44678</v>
      </c>
      <c r="C769" s="1" t="n">
        <v>45583</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17388-2022</t>
        </is>
      </c>
      <c r="B770" s="1" t="n">
        <v>44678</v>
      </c>
      <c r="C770" s="1" t="n">
        <v>45583</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17390-2022</t>
        </is>
      </c>
      <c r="B771" s="1" t="n">
        <v>44678</v>
      </c>
      <c r="C771" s="1" t="n">
        <v>45583</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17612-2022</t>
        </is>
      </c>
      <c r="B772" s="1" t="n">
        <v>44680</v>
      </c>
      <c r="C772" s="1" t="n">
        <v>45583</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17629-2022</t>
        </is>
      </c>
      <c r="B773" s="1" t="n">
        <v>44680</v>
      </c>
      <c r="C773" s="1" t="n">
        <v>45583</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17771-2022</t>
        </is>
      </c>
      <c r="B774" s="1" t="n">
        <v>44682</v>
      </c>
      <c r="C774" s="1" t="n">
        <v>45583</v>
      </c>
      <c r="D774" t="inlineStr">
        <is>
          <t>STOCKHOLMS LÄN</t>
        </is>
      </c>
      <c r="E774" t="inlineStr">
        <is>
          <t>NORRTÄLJE</t>
        </is>
      </c>
      <c r="G774" t="n">
        <v>13.3</v>
      </c>
      <c r="H774" t="n">
        <v>0</v>
      </c>
      <c r="I774" t="n">
        <v>0</v>
      </c>
      <c r="J774" t="n">
        <v>0</v>
      </c>
      <c r="K774" t="n">
        <v>0</v>
      </c>
      <c r="L774" t="n">
        <v>0</v>
      </c>
      <c r="M774" t="n">
        <v>0</v>
      </c>
      <c r="N774" t="n">
        <v>0</v>
      </c>
      <c r="O774" t="n">
        <v>0</v>
      </c>
      <c r="P774" t="n">
        <v>0</v>
      </c>
      <c r="Q774" t="n">
        <v>0</v>
      </c>
      <c r="R774" s="2" t="inlineStr"/>
    </row>
    <row r="775" ht="15" customHeight="1">
      <c r="A775" t="inlineStr">
        <is>
          <t>A 17775-2022</t>
        </is>
      </c>
      <c r="B775" s="1" t="n">
        <v>44682</v>
      </c>
      <c r="C775" s="1" t="n">
        <v>45583</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v>
      </c>
      <c r="C776" s="1" t="n">
        <v>45583</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17772-2022</t>
        </is>
      </c>
      <c r="B777" s="1" t="n">
        <v>44682</v>
      </c>
      <c r="C777" s="1" t="n">
        <v>45583</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17777-2022</t>
        </is>
      </c>
      <c r="B778" s="1" t="n">
        <v>44682</v>
      </c>
      <c r="C778" s="1" t="n">
        <v>45583</v>
      </c>
      <c r="D778" t="inlineStr">
        <is>
          <t>STOCKHOLMS LÄN</t>
        </is>
      </c>
      <c r="E778" t="inlineStr">
        <is>
          <t>NORRTÄLJE</t>
        </is>
      </c>
      <c r="G778" t="n">
        <v>3.7</v>
      </c>
      <c r="H778" t="n">
        <v>0</v>
      </c>
      <c r="I778" t="n">
        <v>0</v>
      </c>
      <c r="J778" t="n">
        <v>0</v>
      </c>
      <c r="K778" t="n">
        <v>0</v>
      </c>
      <c r="L778" t="n">
        <v>0</v>
      </c>
      <c r="M778" t="n">
        <v>0</v>
      </c>
      <c r="N778" t="n">
        <v>0</v>
      </c>
      <c r="O778" t="n">
        <v>0</v>
      </c>
      <c r="P778" t="n">
        <v>0</v>
      </c>
      <c r="Q778" t="n">
        <v>0</v>
      </c>
      <c r="R778" s="2" t="inlineStr"/>
    </row>
    <row r="779" ht="15" customHeight="1">
      <c r="A779" t="inlineStr">
        <is>
          <t>A 17803-2022</t>
        </is>
      </c>
      <c r="B779" s="1" t="n">
        <v>44683</v>
      </c>
      <c r="C779" s="1" t="n">
        <v>45583</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17952-2022</t>
        </is>
      </c>
      <c r="B780" s="1" t="n">
        <v>44683</v>
      </c>
      <c r="C780" s="1" t="n">
        <v>45583</v>
      </c>
      <c r="D780" t="inlineStr">
        <is>
          <t>STOCKHOLMS LÄN</t>
        </is>
      </c>
      <c r="E780" t="inlineStr">
        <is>
          <t>NORRTÄLJE</t>
        </is>
      </c>
      <c r="G780" t="n">
        <v>51.1</v>
      </c>
      <c r="H780" t="n">
        <v>0</v>
      </c>
      <c r="I780" t="n">
        <v>0</v>
      </c>
      <c r="J780" t="n">
        <v>0</v>
      </c>
      <c r="K780" t="n">
        <v>0</v>
      </c>
      <c r="L780" t="n">
        <v>0</v>
      </c>
      <c r="M780" t="n">
        <v>0</v>
      </c>
      <c r="N780" t="n">
        <v>0</v>
      </c>
      <c r="O780" t="n">
        <v>0</v>
      </c>
      <c r="P780" t="n">
        <v>0</v>
      </c>
      <c r="Q780" t="n">
        <v>0</v>
      </c>
      <c r="R780" s="2" t="inlineStr"/>
    </row>
    <row r="781" ht="15" customHeight="1">
      <c r="A781" t="inlineStr">
        <is>
          <t>A 18092-2022</t>
        </is>
      </c>
      <c r="B781" s="1" t="n">
        <v>44684</v>
      </c>
      <c r="C781" s="1" t="n">
        <v>45583</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18103-2022</t>
        </is>
      </c>
      <c r="B782" s="1" t="n">
        <v>44684</v>
      </c>
      <c r="C782" s="1" t="n">
        <v>45583</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18350-2022</t>
        </is>
      </c>
      <c r="B783" s="1" t="n">
        <v>44685</v>
      </c>
      <c r="C783" s="1" t="n">
        <v>45583</v>
      </c>
      <c r="D783" t="inlineStr">
        <is>
          <t>STOCKHOLMS LÄN</t>
        </is>
      </c>
      <c r="E783" t="inlineStr">
        <is>
          <t>NORRTÄLJE</t>
        </is>
      </c>
      <c r="F783" t="inlineStr">
        <is>
          <t>Holmen skog AB</t>
        </is>
      </c>
      <c r="G783" t="n">
        <v>7.1</v>
      </c>
      <c r="H783" t="n">
        <v>0</v>
      </c>
      <c r="I783" t="n">
        <v>0</v>
      </c>
      <c r="J783" t="n">
        <v>0</v>
      </c>
      <c r="K783" t="n">
        <v>0</v>
      </c>
      <c r="L783" t="n">
        <v>0</v>
      </c>
      <c r="M783" t="n">
        <v>0</v>
      </c>
      <c r="N783" t="n">
        <v>0</v>
      </c>
      <c r="O783" t="n">
        <v>0</v>
      </c>
      <c r="P783" t="n">
        <v>0</v>
      </c>
      <c r="Q783" t="n">
        <v>0</v>
      </c>
      <c r="R783" s="2" t="inlineStr"/>
    </row>
    <row r="784" ht="15" customHeight="1">
      <c r="A784" t="inlineStr">
        <is>
          <t>A 18546-2022</t>
        </is>
      </c>
      <c r="B784" s="1" t="n">
        <v>44686</v>
      </c>
      <c r="C784" s="1" t="n">
        <v>45583</v>
      </c>
      <c r="D784" t="inlineStr">
        <is>
          <t>STOCKHOLMS LÄN</t>
        </is>
      </c>
      <c r="E784" t="inlineStr">
        <is>
          <t>NORRTÄLJE</t>
        </is>
      </c>
      <c r="G784" t="n">
        <v>15.2</v>
      </c>
      <c r="H784" t="n">
        <v>0</v>
      </c>
      <c r="I784" t="n">
        <v>0</v>
      </c>
      <c r="J784" t="n">
        <v>0</v>
      </c>
      <c r="K784" t="n">
        <v>0</v>
      </c>
      <c r="L784" t="n">
        <v>0</v>
      </c>
      <c r="M784" t="n">
        <v>0</v>
      </c>
      <c r="N784" t="n">
        <v>0</v>
      </c>
      <c r="O784" t="n">
        <v>0</v>
      </c>
      <c r="P784" t="n">
        <v>0</v>
      </c>
      <c r="Q784" t="n">
        <v>0</v>
      </c>
      <c r="R784" s="2" t="inlineStr"/>
    </row>
    <row r="785" ht="15" customHeight="1">
      <c r="A785" t="inlineStr">
        <is>
          <t>A 18665-2022</t>
        </is>
      </c>
      <c r="B785" s="1" t="n">
        <v>44687</v>
      </c>
      <c r="C785" s="1" t="n">
        <v>45583</v>
      </c>
      <c r="D785" t="inlineStr">
        <is>
          <t>STOCKHOLMS LÄN</t>
        </is>
      </c>
      <c r="E785" t="inlineStr">
        <is>
          <t>NORRTÄLJE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18787-2022</t>
        </is>
      </c>
      <c r="B786" s="1" t="n">
        <v>44687</v>
      </c>
      <c r="C786" s="1" t="n">
        <v>45583</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18846-2022</t>
        </is>
      </c>
      <c r="B787" s="1" t="n">
        <v>44690</v>
      </c>
      <c r="C787" s="1" t="n">
        <v>45583</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18905-2022</t>
        </is>
      </c>
      <c r="B788" s="1" t="n">
        <v>44690</v>
      </c>
      <c r="C788" s="1" t="n">
        <v>45583</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18894-2022</t>
        </is>
      </c>
      <c r="B789" s="1" t="n">
        <v>44690</v>
      </c>
      <c r="C789" s="1" t="n">
        <v>45583</v>
      </c>
      <c r="D789" t="inlineStr">
        <is>
          <t>STOCKHOLMS LÄN</t>
        </is>
      </c>
      <c r="E789" t="inlineStr">
        <is>
          <t>NORRTÄLJE</t>
        </is>
      </c>
      <c r="G789" t="n">
        <v>3.6</v>
      </c>
      <c r="H789" t="n">
        <v>0</v>
      </c>
      <c r="I789" t="n">
        <v>0</v>
      </c>
      <c r="J789" t="n">
        <v>0</v>
      </c>
      <c r="K789" t="n">
        <v>0</v>
      </c>
      <c r="L789" t="n">
        <v>0</v>
      </c>
      <c r="M789" t="n">
        <v>0</v>
      </c>
      <c r="N789" t="n">
        <v>0</v>
      </c>
      <c r="O789" t="n">
        <v>0</v>
      </c>
      <c r="P789" t="n">
        <v>0</v>
      </c>
      <c r="Q789" t="n">
        <v>0</v>
      </c>
      <c r="R789" s="2" t="inlineStr"/>
    </row>
    <row r="790" ht="15" customHeight="1">
      <c r="A790" t="inlineStr">
        <is>
          <t>A 19116-2022</t>
        </is>
      </c>
      <c r="B790" s="1" t="n">
        <v>44691</v>
      </c>
      <c r="C790" s="1" t="n">
        <v>45583</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19118-2022</t>
        </is>
      </c>
      <c r="B791" s="1" t="n">
        <v>44691</v>
      </c>
      <c r="C791" s="1" t="n">
        <v>45583</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19580-2022</t>
        </is>
      </c>
      <c r="B792" s="1" t="n">
        <v>44693</v>
      </c>
      <c r="C792" s="1" t="n">
        <v>45583</v>
      </c>
      <c r="D792" t="inlineStr">
        <is>
          <t>STOCKHOLMS LÄN</t>
        </is>
      </c>
      <c r="E792" t="inlineStr">
        <is>
          <t>NORRTÄLJE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19729-2022</t>
        </is>
      </c>
      <c r="B793" s="1" t="n">
        <v>44694</v>
      </c>
      <c r="C793" s="1" t="n">
        <v>45583</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19728-2022</t>
        </is>
      </c>
      <c r="B794" s="1" t="n">
        <v>44694</v>
      </c>
      <c r="C794" s="1" t="n">
        <v>45583</v>
      </c>
      <c r="D794" t="inlineStr">
        <is>
          <t>STOCKHOLMS LÄN</t>
        </is>
      </c>
      <c r="E794" t="inlineStr">
        <is>
          <t>NORRTÄLJE</t>
        </is>
      </c>
      <c r="G794" t="n">
        <v>3.3</v>
      </c>
      <c r="H794" t="n">
        <v>0</v>
      </c>
      <c r="I794" t="n">
        <v>0</v>
      </c>
      <c r="J794" t="n">
        <v>0</v>
      </c>
      <c r="K794" t="n">
        <v>0</v>
      </c>
      <c r="L794" t="n">
        <v>0</v>
      </c>
      <c r="M794" t="n">
        <v>0</v>
      </c>
      <c r="N794" t="n">
        <v>0</v>
      </c>
      <c r="O794" t="n">
        <v>0</v>
      </c>
      <c r="P794" t="n">
        <v>0</v>
      </c>
      <c r="Q794" t="n">
        <v>0</v>
      </c>
      <c r="R794" s="2" t="inlineStr"/>
    </row>
    <row r="795" ht="15" customHeight="1">
      <c r="A795" t="inlineStr">
        <is>
          <t>A 19982-2022</t>
        </is>
      </c>
      <c r="B795" s="1" t="n">
        <v>44697</v>
      </c>
      <c r="C795" s="1" t="n">
        <v>45583</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19983-2022</t>
        </is>
      </c>
      <c r="B796" s="1" t="n">
        <v>44697</v>
      </c>
      <c r="C796" s="1" t="n">
        <v>45583</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20121-2022</t>
        </is>
      </c>
      <c r="B797" s="1" t="n">
        <v>44698</v>
      </c>
      <c r="C797" s="1" t="n">
        <v>45583</v>
      </c>
      <c r="D797" t="inlineStr">
        <is>
          <t>STOCKHOLMS LÄN</t>
        </is>
      </c>
      <c r="E797" t="inlineStr">
        <is>
          <t>NORRTÄLJE</t>
        </is>
      </c>
      <c r="G797" t="n">
        <v>4.2</v>
      </c>
      <c r="H797" t="n">
        <v>0</v>
      </c>
      <c r="I797" t="n">
        <v>0</v>
      </c>
      <c r="J797" t="n">
        <v>0</v>
      </c>
      <c r="K797" t="n">
        <v>0</v>
      </c>
      <c r="L797" t="n">
        <v>0</v>
      </c>
      <c r="M797" t="n">
        <v>0</v>
      </c>
      <c r="N797" t="n">
        <v>0</v>
      </c>
      <c r="O797" t="n">
        <v>0</v>
      </c>
      <c r="P797" t="n">
        <v>0</v>
      </c>
      <c r="Q797" t="n">
        <v>0</v>
      </c>
      <c r="R797" s="2" t="inlineStr"/>
    </row>
    <row r="798" ht="15" customHeight="1">
      <c r="A798" t="inlineStr">
        <is>
          <t>A 20129-2022</t>
        </is>
      </c>
      <c r="B798" s="1" t="n">
        <v>44698</v>
      </c>
      <c r="C798" s="1" t="n">
        <v>45583</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20291-2022</t>
        </is>
      </c>
      <c r="B799" s="1" t="n">
        <v>44698</v>
      </c>
      <c r="C799" s="1" t="n">
        <v>45583</v>
      </c>
      <c r="D799" t="inlineStr">
        <is>
          <t>STOCKHOLMS LÄN</t>
        </is>
      </c>
      <c r="E799" t="inlineStr">
        <is>
          <t>NORRTÄLJE</t>
        </is>
      </c>
      <c r="F799" t="inlineStr">
        <is>
          <t>Naturvårdsverket</t>
        </is>
      </c>
      <c r="G799" t="n">
        <v>2</v>
      </c>
      <c r="H799" t="n">
        <v>0</v>
      </c>
      <c r="I799" t="n">
        <v>0</v>
      </c>
      <c r="J799" t="n">
        <v>0</v>
      </c>
      <c r="K799" t="n">
        <v>0</v>
      </c>
      <c r="L799" t="n">
        <v>0</v>
      </c>
      <c r="M799" t="n">
        <v>0</v>
      </c>
      <c r="N799" t="n">
        <v>0</v>
      </c>
      <c r="O799" t="n">
        <v>0</v>
      </c>
      <c r="P799" t="n">
        <v>0</v>
      </c>
      <c r="Q799" t="n">
        <v>0</v>
      </c>
      <c r="R799" s="2" t="inlineStr"/>
    </row>
    <row r="800" ht="15" customHeight="1">
      <c r="A800" t="inlineStr">
        <is>
          <t>A 20294-2022</t>
        </is>
      </c>
      <c r="B800" s="1" t="n">
        <v>44698</v>
      </c>
      <c r="C800" s="1" t="n">
        <v>45583</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20295-2022</t>
        </is>
      </c>
      <c r="B801" s="1" t="n">
        <v>44698</v>
      </c>
      <c r="C801" s="1" t="n">
        <v>45583</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20618-2022</t>
        </is>
      </c>
      <c r="B802" s="1" t="n">
        <v>44700</v>
      </c>
      <c r="C802" s="1" t="n">
        <v>45583</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21102-2022</t>
        </is>
      </c>
      <c r="B803" s="1" t="n">
        <v>44704</v>
      </c>
      <c r="C803" s="1" t="n">
        <v>45583</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21158-2022</t>
        </is>
      </c>
      <c r="B804" s="1" t="n">
        <v>44704</v>
      </c>
      <c r="C804" s="1" t="n">
        <v>45583</v>
      </c>
      <c r="D804" t="inlineStr">
        <is>
          <t>STOCKHOLMS LÄN</t>
        </is>
      </c>
      <c r="E804" t="inlineStr">
        <is>
          <t>NORRTÄLJE</t>
        </is>
      </c>
      <c r="G804" t="n">
        <v>17.8</v>
      </c>
      <c r="H804" t="n">
        <v>0</v>
      </c>
      <c r="I804" t="n">
        <v>0</v>
      </c>
      <c r="J804" t="n">
        <v>0</v>
      </c>
      <c r="K804" t="n">
        <v>0</v>
      </c>
      <c r="L804" t="n">
        <v>0</v>
      </c>
      <c r="M804" t="n">
        <v>0</v>
      </c>
      <c r="N804" t="n">
        <v>0</v>
      </c>
      <c r="O804" t="n">
        <v>0</v>
      </c>
      <c r="P804" t="n">
        <v>0</v>
      </c>
      <c r="Q804" t="n">
        <v>0</v>
      </c>
      <c r="R804" s="2" t="inlineStr"/>
    </row>
    <row r="805" ht="15" customHeight="1">
      <c r="A805" t="inlineStr">
        <is>
          <t>A 21174-2022</t>
        </is>
      </c>
      <c r="B805" s="1" t="n">
        <v>44704</v>
      </c>
      <c r="C805" s="1" t="n">
        <v>45583</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21480-2022</t>
        </is>
      </c>
      <c r="B806" s="1" t="n">
        <v>44704</v>
      </c>
      <c r="C806" s="1" t="n">
        <v>45583</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21178-2022</t>
        </is>
      </c>
      <c r="B807" s="1" t="n">
        <v>44704</v>
      </c>
      <c r="C807" s="1" t="n">
        <v>45583</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21329-2022</t>
        </is>
      </c>
      <c r="B808" s="1" t="n">
        <v>44705</v>
      </c>
      <c r="C808" s="1" t="n">
        <v>45583</v>
      </c>
      <c r="D808" t="inlineStr">
        <is>
          <t>STOCKHOLMS LÄN</t>
        </is>
      </c>
      <c r="E808" t="inlineStr">
        <is>
          <t>NORRTÄLJE</t>
        </is>
      </c>
      <c r="G808" t="n">
        <v>4.1</v>
      </c>
      <c r="H808" t="n">
        <v>0</v>
      </c>
      <c r="I808" t="n">
        <v>0</v>
      </c>
      <c r="J808" t="n">
        <v>0</v>
      </c>
      <c r="K808" t="n">
        <v>0</v>
      </c>
      <c r="L808" t="n">
        <v>0</v>
      </c>
      <c r="M808" t="n">
        <v>0</v>
      </c>
      <c r="N808" t="n">
        <v>0</v>
      </c>
      <c r="O808" t="n">
        <v>0</v>
      </c>
      <c r="P808" t="n">
        <v>0</v>
      </c>
      <c r="Q808" t="n">
        <v>0</v>
      </c>
      <c r="R808" s="2" t="inlineStr"/>
    </row>
    <row r="809" ht="15" customHeight="1">
      <c r="A809" t="inlineStr">
        <is>
          <t>A 21739-2022</t>
        </is>
      </c>
      <c r="B809" s="1" t="n">
        <v>44708</v>
      </c>
      <c r="C809" s="1" t="n">
        <v>45583</v>
      </c>
      <c r="D809" t="inlineStr">
        <is>
          <t>STOCKHOLMS LÄN</t>
        </is>
      </c>
      <c r="E809" t="inlineStr">
        <is>
          <t>NORRTÄLJE</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21723-2022</t>
        </is>
      </c>
      <c r="B810" s="1" t="n">
        <v>44708</v>
      </c>
      <c r="C810" s="1" t="n">
        <v>45583</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21726-2022</t>
        </is>
      </c>
      <c r="B811" s="1" t="n">
        <v>44708</v>
      </c>
      <c r="C811" s="1" t="n">
        <v>45583</v>
      </c>
      <c r="D811" t="inlineStr">
        <is>
          <t>STOCKHOLMS LÄN</t>
        </is>
      </c>
      <c r="E811" t="inlineStr">
        <is>
          <t>NORRTÄLJE</t>
        </is>
      </c>
      <c r="G811" t="n">
        <v>0.2</v>
      </c>
      <c r="H811" t="n">
        <v>0</v>
      </c>
      <c r="I811" t="n">
        <v>0</v>
      </c>
      <c r="J811" t="n">
        <v>0</v>
      </c>
      <c r="K811" t="n">
        <v>0</v>
      </c>
      <c r="L811" t="n">
        <v>0</v>
      </c>
      <c r="M811" t="n">
        <v>0</v>
      </c>
      <c r="N811" t="n">
        <v>0</v>
      </c>
      <c r="O811" t="n">
        <v>0</v>
      </c>
      <c r="P811" t="n">
        <v>0</v>
      </c>
      <c r="Q811" t="n">
        <v>0</v>
      </c>
      <c r="R811" s="2" t="inlineStr"/>
    </row>
    <row r="812" ht="15" customHeight="1">
      <c r="A812" t="inlineStr">
        <is>
          <t>A 21803-2022</t>
        </is>
      </c>
      <c r="B812" s="1" t="n">
        <v>44708</v>
      </c>
      <c r="C812" s="1" t="n">
        <v>45583</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21970-2022</t>
        </is>
      </c>
      <c r="B813" s="1" t="n">
        <v>44711</v>
      </c>
      <c r="C813" s="1" t="n">
        <v>45583</v>
      </c>
      <c r="D813" t="inlineStr">
        <is>
          <t>STOCKHOLMS LÄN</t>
        </is>
      </c>
      <c r="E813" t="inlineStr">
        <is>
          <t>NORRTÄLJE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22072-2022</t>
        </is>
      </c>
      <c r="B814" s="1" t="n">
        <v>44711</v>
      </c>
      <c r="C814" s="1" t="n">
        <v>45583</v>
      </c>
      <c r="D814" t="inlineStr">
        <is>
          <t>STOCKHOLMS LÄN</t>
        </is>
      </c>
      <c r="E814" t="inlineStr">
        <is>
          <t>NORRTÄLJE</t>
        </is>
      </c>
      <c r="G814" t="n">
        <v>9.6</v>
      </c>
      <c r="H814" t="n">
        <v>0</v>
      </c>
      <c r="I814" t="n">
        <v>0</v>
      </c>
      <c r="J814" t="n">
        <v>0</v>
      </c>
      <c r="K814" t="n">
        <v>0</v>
      </c>
      <c r="L814" t="n">
        <v>0</v>
      </c>
      <c r="M814" t="n">
        <v>0</v>
      </c>
      <c r="N814" t="n">
        <v>0</v>
      </c>
      <c r="O814" t="n">
        <v>0</v>
      </c>
      <c r="P814" t="n">
        <v>0</v>
      </c>
      <c r="Q814" t="n">
        <v>0</v>
      </c>
      <c r="R814" s="2" t="inlineStr"/>
    </row>
    <row r="815" ht="15" customHeight="1">
      <c r="A815" t="inlineStr">
        <is>
          <t>A 22071-2022</t>
        </is>
      </c>
      <c r="B815" s="1" t="n">
        <v>44711</v>
      </c>
      <c r="C815" s="1" t="n">
        <v>45583</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22269-2022</t>
        </is>
      </c>
      <c r="B816" s="1" t="n">
        <v>44712</v>
      </c>
      <c r="C816" s="1" t="n">
        <v>45583</v>
      </c>
      <c r="D816" t="inlineStr">
        <is>
          <t>STOCKHOLMS LÄN</t>
        </is>
      </c>
      <c r="E816" t="inlineStr">
        <is>
          <t>NORRTÄLJE</t>
        </is>
      </c>
      <c r="G816" t="n">
        <v>4.5</v>
      </c>
      <c r="H816" t="n">
        <v>0</v>
      </c>
      <c r="I816" t="n">
        <v>0</v>
      </c>
      <c r="J816" t="n">
        <v>0</v>
      </c>
      <c r="K816" t="n">
        <v>0</v>
      </c>
      <c r="L816" t="n">
        <v>0</v>
      </c>
      <c r="M816" t="n">
        <v>0</v>
      </c>
      <c r="N816" t="n">
        <v>0</v>
      </c>
      <c r="O816" t="n">
        <v>0</v>
      </c>
      <c r="P816" t="n">
        <v>0</v>
      </c>
      <c r="Q816" t="n">
        <v>0</v>
      </c>
      <c r="R816" s="2" t="inlineStr"/>
    </row>
    <row r="817" ht="15" customHeight="1">
      <c r="A817" t="inlineStr">
        <is>
          <t>A 22316-2022</t>
        </is>
      </c>
      <c r="B817" s="1" t="n">
        <v>44712</v>
      </c>
      <c r="C817" s="1" t="n">
        <v>45583</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22503-2022</t>
        </is>
      </c>
      <c r="B818" s="1" t="n">
        <v>44713</v>
      </c>
      <c r="C818" s="1" t="n">
        <v>45583</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22697-2022</t>
        </is>
      </c>
      <c r="B819" s="1" t="n">
        <v>44714</v>
      </c>
      <c r="C819" s="1" t="n">
        <v>45583</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22628-2022</t>
        </is>
      </c>
      <c r="B820" s="1" t="n">
        <v>44714</v>
      </c>
      <c r="C820" s="1" t="n">
        <v>45583</v>
      </c>
      <c r="D820" t="inlineStr">
        <is>
          <t>STOCKHOLMS LÄN</t>
        </is>
      </c>
      <c r="E820" t="inlineStr">
        <is>
          <t>NORRTÄLJE</t>
        </is>
      </c>
      <c r="G820" t="n">
        <v>11.4</v>
      </c>
      <c r="H820" t="n">
        <v>0</v>
      </c>
      <c r="I820" t="n">
        <v>0</v>
      </c>
      <c r="J820" t="n">
        <v>0</v>
      </c>
      <c r="K820" t="n">
        <v>0</v>
      </c>
      <c r="L820" t="n">
        <v>0</v>
      </c>
      <c r="M820" t="n">
        <v>0</v>
      </c>
      <c r="N820" t="n">
        <v>0</v>
      </c>
      <c r="O820" t="n">
        <v>0</v>
      </c>
      <c r="P820" t="n">
        <v>0</v>
      </c>
      <c r="Q820" t="n">
        <v>0</v>
      </c>
      <c r="R820" s="2" t="inlineStr"/>
    </row>
    <row r="821" ht="15" customHeight="1">
      <c r="A821" t="inlineStr">
        <is>
          <t>A 22636-2022</t>
        </is>
      </c>
      <c r="B821" s="1" t="n">
        <v>44714</v>
      </c>
      <c r="C821" s="1" t="n">
        <v>45583</v>
      </c>
      <c r="D821" t="inlineStr">
        <is>
          <t>STOCKHOLMS LÄN</t>
        </is>
      </c>
      <c r="E821" t="inlineStr">
        <is>
          <t>NORRTÄLJE</t>
        </is>
      </c>
      <c r="G821" t="n">
        <v>16.6</v>
      </c>
      <c r="H821" t="n">
        <v>0</v>
      </c>
      <c r="I821" t="n">
        <v>0</v>
      </c>
      <c r="J821" t="n">
        <v>0</v>
      </c>
      <c r="K821" t="n">
        <v>0</v>
      </c>
      <c r="L821" t="n">
        <v>0</v>
      </c>
      <c r="M821" t="n">
        <v>0</v>
      </c>
      <c r="N821" t="n">
        <v>0</v>
      </c>
      <c r="O821" t="n">
        <v>0</v>
      </c>
      <c r="P821" t="n">
        <v>0</v>
      </c>
      <c r="Q821" t="n">
        <v>0</v>
      </c>
      <c r="R821" s="2" t="inlineStr"/>
    </row>
    <row r="822" ht="15" customHeight="1">
      <c r="A822" t="inlineStr">
        <is>
          <t>A 22716-2022</t>
        </is>
      </c>
      <c r="B822" s="1" t="n">
        <v>44714</v>
      </c>
      <c r="C822" s="1" t="n">
        <v>45583</v>
      </c>
      <c r="D822" t="inlineStr">
        <is>
          <t>STOCKHOLMS LÄN</t>
        </is>
      </c>
      <c r="E822" t="inlineStr">
        <is>
          <t>NORRTÄLJE</t>
        </is>
      </c>
      <c r="G822" t="n">
        <v>13.5</v>
      </c>
      <c r="H822" t="n">
        <v>0</v>
      </c>
      <c r="I822" t="n">
        <v>0</v>
      </c>
      <c r="J822" t="n">
        <v>0</v>
      </c>
      <c r="K822" t="n">
        <v>0</v>
      </c>
      <c r="L822" t="n">
        <v>0</v>
      </c>
      <c r="M822" t="n">
        <v>0</v>
      </c>
      <c r="N822" t="n">
        <v>0</v>
      </c>
      <c r="O822" t="n">
        <v>0</v>
      </c>
      <c r="P822" t="n">
        <v>0</v>
      </c>
      <c r="Q822" t="n">
        <v>0</v>
      </c>
      <c r="R822" s="2" t="inlineStr"/>
    </row>
    <row r="823" ht="15" customHeight="1">
      <c r="A823" t="inlineStr">
        <is>
          <t>A 22756-2022</t>
        </is>
      </c>
      <c r="B823" s="1" t="n">
        <v>44715</v>
      </c>
      <c r="C823" s="1" t="n">
        <v>45583</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23125-2022</t>
        </is>
      </c>
      <c r="B824" s="1" t="n">
        <v>44719</v>
      </c>
      <c r="C824" s="1" t="n">
        <v>45583</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23770-2022</t>
        </is>
      </c>
      <c r="B825" s="1" t="n">
        <v>44722</v>
      </c>
      <c r="C825" s="1" t="n">
        <v>45583</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23801-2022</t>
        </is>
      </c>
      <c r="B826" s="1" t="n">
        <v>44722</v>
      </c>
      <c r="C826" s="1" t="n">
        <v>45583</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24101-2022</t>
        </is>
      </c>
      <c r="B827" s="1" t="n">
        <v>44725</v>
      </c>
      <c r="C827" s="1" t="n">
        <v>45583</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24162-2022</t>
        </is>
      </c>
      <c r="B828" s="1" t="n">
        <v>44725</v>
      </c>
      <c r="C828" s="1" t="n">
        <v>45583</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24167-2022</t>
        </is>
      </c>
      <c r="B829" s="1" t="n">
        <v>44725</v>
      </c>
      <c r="C829" s="1" t="n">
        <v>45583</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24152-2022</t>
        </is>
      </c>
      <c r="B830" s="1" t="n">
        <v>44725</v>
      </c>
      <c r="C830" s="1" t="n">
        <v>45583</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24534-2022</t>
        </is>
      </c>
      <c r="B831" s="1" t="n">
        <v>44727</v>
      </c>
      <c r="C831" s="1" t="n">
        <v>45583</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24977-2022</t>
        </is>
      </c>
      <c r="B832" s="1" t="n">
        <v>44728</v>
      </c>
      <c r="C832" s="1" t="n">
        <v>45583</v>
      </c>
      <c r="D832" t="inlineStr">
        <is>
          <t>STOCKHOLMS LÄN</t>
        </is>
      </c>
      <c r="E832" t="inlineStr">
        <is>
          <t>NORRTÄLJE</t>
        </is>
      </c>
      <c r="F832" t="inlineStr">
        <is>
          <t>Kyrkan</t>
        </is>
      </c>
      <c r="G832" t="n">
        <v>1</v>
      </c>
      <c r="H832" t="n">
        <v>0</v>
      </c>
      <c r="I832" t="n">
        <v>0</v>
      </c>
      <c r="J832" t="n">
        <v>0</v>
      </c>
      <c r="K832" t="n">
        <v>0</v>
      </c>
      <c r="L832" t="n">
        <v>0</v>
      </c>
      <c r="M832" t="n">
        <v>0</v>
      </c>
      <c r="N832" t="n">
        <v>0</v>
      </c>
      <c r="O832" t="n">
        <v>0</v>
      </c>
      <c r="P832" t="n">
        <v>0</v>
      </c>
      <c r="Q832" t="n">
        <v>0</v>
      </c>
      <c r="R832" s="2" t="inlineStr"/>
    </row>
    <row r="833" ht="15" customHeight="1">
      <c r="A833" t="inlineStr">
        <is>
          <t>A 25525-2022</t>
        </is>
      </c>
      <c r="B833" s="1" t="n">
        <v>44732</v>
      </c>
      <c r="C833" s="1" t="n">
        <v>45583</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25621-2022</t>
        </is>
      </c>
      <c r="B834" s="1" t="n">
        <v>44732</v>
      </c>
      <c r="C834" s="1" t="n">
        <v>45583</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25619-2022</t>
        </is>
      </c>
      <c r="B835" s="1" t="n">
        <v>44732</v>
      </c>
      <c r="C835" s="1" t="n">
        <v>45583</v>
      </c>
      <c r="D835" t="inlineStr">
        <is>
          <t>STOCKHOLMS LÄN</t>
        </is>
      </c>
      <c r="E835" t="inlineStr">
        <is>
          <t>NORRTÄLJE</t>
        </is>
      </c>
      <c r="G835" t="n">
        <v>3.9</v>
      </c>
      <c r="H835" t="n">
        <v>0</v>
      </c>
      <c r="I835" t="n">
        <v>0</v>
      </c>
      <c r="J835" t="n">
        <v>0</v>
      </c>
      <c r="K835" t="n">
        <v>0</v>
      </c>
      <c r="L835" t="n">
        <v>0</v>
      </c>
      <c r="M835" t="n">
        <v>0</v>
      </c>
      <c r="N835" t="n">
        <v>0</v>
      </c>
      <c r="O835" t="n">
        <v>0</v>
      </c>
      <c r="P835" t="n">
        <v>0</v>
      </c>
      <c r="Q835" t="n">
        <v>0</v>
      </c>
      <c r="R835" s="2" t="inlineStr"/>
    </row>
    <row r="836" ht="15" customHeight="1">
      <c r="A836" t="inlineStr">
        <is>
          <t>A 26328-2022</t>
        </is>
      </c>
      <c r="B836" s="1" t="n">
        <v>44735</v>
      </c>
      <c r="C836" s="1" t="n">
        <v>45583</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26335-2022</t>
        </is>
      </c>
      <c r="B837" s="1" t="n">
        <v>44735</v>
      </c>
      <c r="C837" s="1" t="n">
        <v>45583</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27538-2022</t>
        </is>
      </c>
      <c r="B838" s="1" t="n">
        <v>44742</v>
      </c>
      <c r="C838" s="1" t="n">
        <v>45583</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27715-2022</t>
        </is>
      </c>
      <c r="B839" s="1" t="n">
        <v>44743</v>
      </c>
      <c r="C839" s="1" t="n">
        <v>45583</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27827-2022</t>
        </is>
      </c>
      <c r="B840" s="1" t="n">
        <v>44743</v>
      </c>
      <c r="C840" s="1" t="n">
        <v>45583</v>
      </c>
      <c r="D840" t="inlineStr">
        <is>
          <t>STOCKHOLMS LÄN</t>
        </is>
      </c>
      <c r="E840" t="inlineStr">
        <is>
          <t>NORRTÄLJE</t>
        </is>
      </c>
      <c r="F840" t="inlineStr">
        <is>
          <t>Holmen skog AB</t>
        </is>
      </c>
      <c r="G840" t="n">
        <v>4.7</v>
      </c>
      <c r="H840" t="n">
        <v>0</v>
      </c>
      <c r="I840" t="n">
        <v>0</v>
      </c>
      <c r="J840" t="n">
        <v>0</v>
      </c>
      <c r="K840" t="n">
        <v>0</v>
      </c>
      <c r="L840" t="n">
        <v>0</v>
      </c>
      <c r="M840" t="n">
        <v>0</v>
      </c>
      <c r="N840" t="n">
        <v>0</v>
      </c>
      <c r="O840" t="n">
        <v>0</v>
      </c>
      <c r="P840" t="n">
        <v>0</v>
      </c>
      <c r="Q840" t="n">
        <v>0</v>
      </c>
      <c r="R840" s="2" t="inlineStr"/>
    </row>
    <row r="841" ht="15" customHeight="1">
      <c r="A841" t="inlineStr">
        <is>
          <t>A 27870-2022</t>
        </is>
      </c>
      <c r="B841" s="1" t="n">
        <v>44743</v>
      </c>
      <c r="C841" s="1" t="n">
        <v>45583</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27828-2022</t>
        </is>
      </c>
      <c r="B842" s="1" t="n">
        <v>44743</v>
      </c>
      <c r="C842" s="1" t="n">
        <v>45583</v>
      </c>
      <c r="D842" t="inlineStr">
        <is>
          <t>STOCKHOLMS LÄN</t>
        </is>
      </c>
      <c r="E842" t="inlineStr">
        <is>
          <t>NORRTÄLJE</t>
        </is>
      </c>
      <c r="F842" t="inlineStr">
        <is>
          <t>Kommuner</t>
        </is>
      </c>
      <c r="G842" t="n">
        <v>1.6</v>
      </c>
      <c r="H842" t="n">
        <v>0</v>
      </c>
      <c r="I842" t="n">
        <v>0</v>
      </c>
      <c r="J842" t="n">
        <v>0</v>
      </c>
      <c r="K842" t="n">
        <v>0</v>
      </c>
      <c r="L842" t="n">
        <v>0</v>
      </c>
      <c r="M842" t="n">
        <v>0</v>
      </c>
      <c r="N842" t="n">
        <v>0</v>
      </c>
      <c r="O842" t="n">
        <v>0</v>
      </c>
      <c r="P842" t="n">
        <v>0</v>
      </c>
      <c r="Q842" t="n">
        <v>0</v>
      </c>
      <c r="R842" s="2" t="inlineStr"/>
    </row>
    <row r="843" ht="15" customHeight="1">
      <c r="A843" t="inlineStr">
        <is>
          <t>A 27824-2022</t>
        </is>
      </c>
      <c r="B843" s="1" t="n">
        <v>44743</v>
      </c>
      <c r="C843" s="1" t="n">
        <v>45583</v>
      </c>
      <c r="D843" t="inlineStr">
        <is>
          <t>STOCKHOLMS LÄN</t>
        </is>
      </c>
      <c r="E843" t="inlineStr">
        <is>
          <t>NORRTÄLJE</t>
        </is>
      </c>
      <c r="F843" t="inlineStr">
        <is>
          <t>Kommuner</t>
        </is>
      </c>
      <c r="G843" t="n">
        <v>3.1</v>
      </c>
      <c r="H843" t="n">
        <v>0</v>
      </c>
      <c r="I843" t="n">
        <v>0</v>
      </c>
      <c r="J843" t="n">
        <v>0</v>
      </c>
      <c r="K843" t="n">
        <v>0</v>
      </c>
      <c r="L843" t="n">
        <v>0</v>
      </c>
      <c r="M843" t="n">
        <v>0</v>
      </c>
      <c r="N843" t="n">
        <v>0</v>
      </c>
      <c r="O843" t="n">
        <v>0</v>
      </c>
      <c r="P843" t="n">
        <v>0</v>
      </c>
      <c r="Q843" t="n">
        <v>0</v>
      </c>
      <c r="R843" s="2" t="inlineStr"/>
    </row>
    <row r="844" ht="15" customHeight="1">
      <c r="A844" t="inlineStr">
        <is>
          <t>A 27831-2022</t>
        </is>
      </c>
      <c r="B844" s="1" t="n">
        <v>44743</v>
      </c>
      <c r="C844" s="1" t="n">
        <v>45583</v>
      </c>
      <c r="D844" t="inlineStr">
        <is>
          <t>STOCKHOLMS LÄN</t>
        </is>
      </c>
      <c r="E844" t="inlineStr">
        <is>
          <t>NORRTÄLJE</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27885-2022</t>
        </is>
      </c>
      <c r="B845" s="1" t="n">
        <v>44743</v>
      </c>
      <c r="C845" s="1" t="n">
        <v>45583</v>
      </c>
      <c r="D845" t="inlineStr">
        <is>
          <t>STOCKHOLMS LÄN</t>
        </is>
      </c>
      <c r="E845" t="inlineStr">
        <is>
          <t>NORRTÄLJE</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27867-2022</t>
        </is>
      </c>
      <c r="B846" s="1" t="n">
        <v>44743</v>
      </c>
      <c r="C846" s="1" t="n">
        <v>45583</v>
      </c>
      <c r="D846" t="inlineStr">
        <is>
          <t>STOCKHOLMS LÄN</t>
        </is>
      </c>
      <c r="E846" t="inlineStr">
        <is>
          <t>NORRTÄLJE</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28042-2022</t>
        </is>
      </c>
      <c r="B847" s="1" t="n">
        <v>44744</v>
      </c>
      <c r="C847" s="1" t="n">
        <v>45583</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28100-2022</t>
        </is>
      </c>
      <c r="B848" s="1" t="n">
        <v>44746</v>
      </c>
      <c r="C848" s="1" t="n">
        <v>45583</v>
      </c>
      <c r="D848" t="inlineStr">
        <is>
          <t>STOCKHOLMS LÄN</t>
        </is>
      </c>
      <c r="E848" t="inlineStr">
        <is>
          <t>NORRTÄLJE</t>
        </is>
      </c>
      <c r="F848" t="inlineStr">
        <is>
          <t>Holmen skog AB</t>
        </is>
      </c>
      <c r="G848" t="n">
        <v>5.8</v>
      </c>
      <c r="H848" t="n">
        <v>0</v>
      </c>
      <c r="I848" t="n">
        <v>0</v>
      </c>
      <c r="J848" t="n">
        <v>0</v>
      </c>
      <c r="K848" t="n">
        <v>0</v>
      </c>
      <c r="L848" t="n">
        <v>0</v>
      </c>
      <c r="M848" t="n">
        <v>0</v>
      </c>
      <c r="N848" t="n">
        <v>0</v>
      </c>
      <c r="O848" t="n">
        <v>0</v>
      </c>
      <c r="P848" t="n">
        <v>0</v>
      </c>
      <c r="Q848" t="n">
        <v>0</v>
      </c>
      <c r="R848" s="2" t="inlineStr"/>
    </row>
    <row r="849" ht="15" customHeight="1">
      <c r="A849" t="inlineStr">
        <is>
          <t>A 28182-2022</t>
        </is>
      </c>
      <c r="B849" s="1" t="n">
        <v>44746</v>
      </c>
      <c r="C849" s="1" t="n">
        <v>45583</v>
      </c>
      <c r="D849" t="inlineStr">
        <is>
          <t>STOCKHOLMS LÄN</t>
        </is>
      </c>
      <c r="E849" t="inlineStr">
        <is>
          <t>NORRTÄLJE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28209-2022</t>
        </is>
      </c>
      <c r="B850" s="1" t="n">
        <v>44746</v>
      </c>
      <c r="C850" s="1" t="n">
        <v>45583</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28365-2022</t>
        </is>
      </c>
      <c r="B851" s="1" t="n">
        <v>44747</v>
      </c>
      <c r="C851" s="1" t="n">
        <v>45583</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28900-2022</t>
        </is>
      </c>
      <c r="B852" s="1" t="n">
        <v>44749</v>
      </c>
      <c r="C852" s="1" t="n">
        <v>45583</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28959-2022</t>
        </is>
      </c>
      <c r="B853" s="1" t="n">
        <v>44749</v>
      </c>
      <c r="C853" s="1" t="n">
        <v>45583</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29070-2022</t>
        </is>
      </c>
      <c r="B854" s="1" t="n">
        <v>44750</v>
      </c>
      <c r="C854" s="1" t="n">
        <v>45583</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29266-2022</t>
        </is>
      </c>
      <c r="B855" s="1" t="n">
        <v>44750</v>
      </c>
      <c r="C855" s="1" t="n">
        <v>45583</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29278-2022</t>
        </is>
      </c>
      <c r="B856" s="1" t="n">
        <v>44750</v>
      </c>
      <c r="C856" s="1" t="n">
        <v>45583</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29362-2022</t>
        </is>
      </c>
      <c r="B857" s="1" t="n">
        <v>44753</v>
      </c>
      <c r="C857" s="1" t="n">
        <v>45583</v>
      </c>
      <c r="D857" t="inlineStr">
        <is>
          <t>STOCKHOLMS LÄN</t>
        </is>
      </c>
      <c r="E857" t="inlineStr">
        <is>
          <t>NORRTÄLJE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29395-2022</t>
        </is>
      </c>
      <c r="B858" s="1" t="n">
        <v>44753</v>
      </c>
      <c r="C858" s="1" t="n">
        <v>45583</v>
      </c>
      <c r="D858" t="inlineStr">
        <is>
          <t>STOCKHOLMS LÄN</t>
        </is>
      </c>
      <c r="E858" t="inlineStr">
        <is>
          <t>NORRTÄLJE</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29868-2022</t>
        </is>
      </c>
      <c r="B859" s="1" t="n">
        <v>44756</v>
      </c>
      <c r="C859" s="1" t="n">
        <v>45583</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30151-2022</t>
        </is>
      </c>
      <c r="B860" s="1" t="n">
        <v>44757</v>
      </c>
      <c r="C860" s="1" t="n">
        <v>45583</v>
      </c>
      <c r="D860" t="inlineStr">
        <is>
          <t>STOCKHOLMS LÄN</t>
        </is>
      </c>
      <c r="E860" t="inlineStr">
        <is>
          <t>NORRTÄLJE</t>
        </is>
      </c>
      <c r="G860" t="n">
        <v>12.6</v>
      </c>
      <c r="H860" t="n">
        <v>0</v>
      </c>
      <c r="I860" t="n">
        <v>0</v>
      </c>
      <c r="J860" t="n">
        <v>0</v>
      </c>
      <c r="K860" t="n">
        <v>0</v>
      </c>
      <c r="L860" t="n">
        <v>0</v>
      </c>
      <c r="M860" t="n">
        <v>0</v>
      </c>
      <c r="N860" t="n">
        <v>0</v>
      </c>
      <c r="O860" t="n">
        <v>0</v>
      </c>
      <c r="P860" t="n">
        <v>0</v>
      </c>
      <c r="Q860" t="n">
        <v>0</v>
      </c>
      <c r="R860" s="2" t="inlineStr"/>
    </row>
    <row r="861" ht="15" customHeight="1">
      <c r="A861" t="inlineStr">
        <is>
          <t>A 30164-2022</t>
        </is>
      </c>
      <c r="B861" s="1" t="n">
        <v>44757</v>
      </c>
      <c r="C861" s="1" t="n">
        <v>45583</v>
      </c>
      <c r="D861" t="inlineStr">
        <is>
          <t>STOCKHOLMS LÄN</t>
        </is>
      </c>
      <c r="E861" t="inlineStr">
        <is>
          <t>NORRTÄLJE</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30171-2022</t>
        </is>
      </c>
      <c r="B862" s="1" t="n">
        <v>44757</v>
      </c>
      <c r="C862" s="1" t="n">
        <v>45583</v>
      </c>
      <c r="D862" t="inlineStr">
        <is>
          <t>STOCKHOLMS LÄN</t>
        </is>
      </c>
      <c r="E862" t="inlineStr">
        <is>
          <t>NORRTÄLJE</t>
        </is>
      </c>
      <c r="F862" t="inlineStr">
        <is>
          <t>Holmen skog AB</t>
        </is>
      </c>
      <c r="G862" t="n">
        <v>6.3</v>
      </c>
      <c r="H862" t="n">
        <v>0</v>
      </c>
      <c r="I862" t="n">
        <v>0</v>
      </c>
      <c r="J862" t="n">
        <v>0</v>
      </c>
      <c r="K862" t="n">
        <v>0</v>
      </c>
      <c r="L862" t="n">
        <v>0</v>
      </c>
      <c r="M862" t="n">
        <v>0</v>
      </c>
      <c r="N862" t="n">
        <v>0</v>
      </c>
      <c r="O862" t="n">
        <v>0</v>
      </c>
      <c r="P862" t="n">
        <v>0</v>
      </c>
      <c r="Q862" t="n">
        <v>0</v>
      </c>
      <c r="R862" s="2" t="inlineStr"/>
    </row>
    <row r="863" ht="15" customHeight="1">
      <c r="A863" t="inlineStr">
        <is>
          <t>A 30283-2022</t>
        </is>
      </c>
      <c r="B863" s="1" t="n">
        <v>44760</v>
      </c>
      <c r="C863" s="1" t="n">
        <v>45583</v>
      </c>
      <c r="D863" t="inlineStr">
        <is>
          <t>STOCKHOLMS LÄN</t>
        </is>
      </c>
      <c r="E863" t="inlineStr">
        <is>
          <t>NORRTÄLJE</t>
        </is>
      </c>
      <c r="G863" t="n">
        <v>6.2</v>
      </c>
      <c r="H863" t="n">
        <v>0</v>
      </c>
      <c r="I863" t="n">
        <v>0</v>
      </c>
      <c r="J863" t="n">
        <v>0</v>
      </c>
      <c r="K863" t="n">
        <v>0</v>
      </c>
      <c r="L863" t="n">
        <v>0</v>
      </c>
      <c r="M863" t="n">
        <v>0</v>
      </c>
      <c r="N863" t="n">
        <v>0</v>
      </c>
      <c r="O863" t="n">
        <v>0</v>
      </c>
      <c r="P863" t="n">
        <v>0</v>
      </c>
      <c r="Q863" t="n">
        <v>0</v>
      </c>
      <c r="R863" s="2" t="inlineStr"/>
    </row>
    <row r="864" ht="15" customHeight="1">
      <c r="A864" t="inlineStr">
        <is>
          <t>A 30338-2022</t>
        </is>
      </c>
      <c r="B864" s="1" t="n">
        <v>44760</v>
      </c>
      <c r="C864" s="1" t="n">
        <v>45583</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30286-2022</t>
        </is>
      </c>
      <c r="B865" s="1" t="n">
        <v>44760</v>
      </c>
      <c r="C865" s="1" t="n">
        <v>45583</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30290-2022</t>
        </is>
      </c>
      <c r="B866" s="1" t="n">
        <v>44760</v>
      </c>
      <c r="C866" s="1" t="n">
        <v>45583</v>
      </c>
      <c r="D866" t="inlineStr">
        <is>
          <t>STOCKHOLMS LÄN</t>
        </is>
      </c>
      <c r="E866" t="inlineStr">
        <is>
          <t>NORRTÄLJE</t>
        </is>
      </c>
      <c r="G866" t="n">
        <v>4.8</v>
      </c>
      <c r="H866" t="n">
        <v>0</v>
      </c>
      <c r="I866" t="n">
        <v>0</v>
      </c>
      <c r="J866" t="n">
        <v>0</v>
      </c>
      <c r="K866" t="n">
        <v>0</v>
      </c>
      <c r="L866" t="n">
        <v>0</v>
      </c>
      <c r="M866" t="n">
        <v>0</v>
      </c>
      <c r="N866" t="n">
        <v>0</v>
      </c>
      <c r="O866" t="n">
        <v>0</v>
      </c>
      <c r="P866" t="n">
        <v>0</v>
      </c>
      <c r="Q866" t="n">
        <v>0</v>
      </c>
      <c r="R866" s="2" t="inlineStr"/>
    </row>
    <row r="867" ht="15" customHeight="1">
      <c r="A867" t="inlineStr">
        <is>
          <t>A 30620-2022</t>
        </is>
      </c>
      <c r="B867" s="1" t="n">
        <v>44763</v>
      </c>
      <c r="C867" s="1" t="n">
        <v>45583</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30624-2022</t>
        </is>
      </c>
      <c r="B868" s="1" t="n">
        <v>44763</v>
      </c>
      <c r="C868" s="1" t="n">
        <v>45583</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30758-2022</t>
        </is>
      </c>
      <c r="B869" s="1" t="n">
        <v>44764</v>
      </c>
      <c r="C869" s="1" t="n">
        <v>45583</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30740-2022</t>
        </is>
      </c>
      <c r="B870" s="1" t="n">
        <v>44764</v>
      </c>
      <c r="C870" s="1" t="n">
        <v>45583</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30750-2022</t>
        </is>
      </c>
      <c r="B871" s="1" t="n">
        <v>44764</v>
      </c>
      <c r="C871" s="1" t="n">
        <v>45583</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30802-2022</t>
        </is>
      </c>
      <c r="B872" s="1" t="n">
        <v>44764</v>
      </c>
      <c r="C872" s="1" t="n">
        <v>45583</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30886-2022</t>
        </is>
      </c>
      <c r="B873" s="1" t="n">
        <v>44767</v>
      </c>
      <c r="C873" s="1" t="n">
        <v>45583</v>
      </c>
      <c r="D873" t="inlineStr">
        <is>
          <t>STOCKHOLMS LÄN</t>
        </is>
      </c>
      <c r="E873" t="inlineStr">
        <is>
          <t>NORRTÄLJE</t>
        </is>
      </c>
      <c r="G873" t="n">
        <v>2.6</v>
      </c>
      <c r="H873" t="n">
        <v>0</v>
      </c>
      <c r="I873" t="n">
        <v>0</v>
      </c>
      <c r="J873" t="n">
        <v>0</v>
      </c>
      <c r="K873" t="n">
        <v>0</v>
      </c>
      <c r="L873" t="n">
        <v>0</v>
      </c>
      <c r="M873" t="n">
        <v>0</v>
      </c>
      <c r="N873" t="n">
        <v>0</v>
      </c>
      <c r="O873" t="n">
        <v>0</v>
      </c>
      <c r="P873" t="n">
        <v>0</v>
      </c>
      <c r="Q873" t="n">
        <v>0</v>
      </c>
      <c r="R873" s="2" t="inlineStr"/>
    </row>
    <row r="874" ht="15" customHeight="1">
      <c r="A874" t="inlineStr">
        <is>
          <t>A 31102-2022</t>
        </is>
      </c>
      <c r="B874" s="1" t="n">
        <v>44769</v>
      </c>
      <c r="C874" s="1" t="n">
        <v>45583</v>
      </c>
      <c r="D874" t="inlineStr">
        <is>
          <t>STOCKHOLMS LÄN</t>
        </is>
      </c>
      <c r="E874" t="inlineStr">
        <is>
          <t>NORRTÄLJE</t>
        </is>
      </c>
      <c r="G874" t="n">
        <v>3.7</v>
      </c>
      <c r="H874" t="n">
        <v>0</v>
      </c>
      <c r="I874" t="n">
        <v>0</v>
      </c>
      <c r="J874" t="n">
        <v>0</v>
      </c>
      <c r="K874" t="n">
        <v>0</v>
      </c>
      <c r="L874" t="n">
        <v>0</v>
      </c>
      <c r="M874" t="n">
        <v>0</v>
      </c>
      <c r="N874" t="n">
        <v>0</v>
      </c>
      <c r="O874" t="n">
        <v>0</v>
      </c>
      <c r="P874" t="n">
        <v>0</v>
      </c>
      <c r="Q874" t="n">
        <v>0</v>
      </c>
      <c r="R874" s="2" t="inlineStr"/>
    </row>
    <row r="875" ht="15" customHeight="1">
      <c r="A875" t="inlineStr">
        <is>
          <t>A 31092-2022</t>
        </is>
      </c>
      <c r="B875" s="1" t="n">
        <v>44769</v>
      </c>
      <c r="C875" s="1" t="n">
        <v>45583</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31052-2022</t>
        </is>
      </c>
      <c r="B876" s="1" t="n">
        <v>44769</v>
      </c>
      <c r="C876" s="1" t="n">
        <v>45583</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31105-2022</t>
        </is>
      </c>
      <c r="B877" s="1" t="n">
        <v>44769</v>
      </c>
      <c r="C877" s="1" t="n">
        <v>45583</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v>
      </c>
      <c r="C878" s="1" t="n">
        <v>45583</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31057-2022</t>
        </is>
      </c>
      <c r="B879" s="1" t="n">
        <v>44769</v>
      </c>
      <c r="C879" s="1" t="n">
        <v>45583</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31236-2022</t>
        </is>
      </c>
      <c r="B880" s="1" t="n">
        <v>44771</v>
      </c>
      <c r="C880" s="1" t="n">
        <v>45583</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31281-2022</t>
        </is>
      </c>
      <c r="B881" s="1" t="n">
        <v>44771</v>
      </c>
      <c r="C881" s="1" t="n">
        <v>45583</v>
      </c>
      <c r="D881" t="inlineStr">
        <is>
          <t>STOCKHOLMS LÄN</t>
        </is>
      </c>
      <c r="E881" t="inlineStr">
        <is>
          <t>NORRTÄLJE</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31283-2022</t>
        </is>
      </c>
      <c r="B882" s="1" t="n">
        <v>44771</v>
      </c>
      <c r="C882" s="1" t="n">
        <v>45583</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31559-2022</t>
        </is>
      </c>
      <c r="B883" s="1" t="n">
        <v>44775</v>
      </c>
      <c r="C883" s="1" t="n">
        <v>45583</v>
      </c>
      <c r="D883" t="inlineStr">
        <is>
          <t>STOCKHOLMS LÄN</t>
        </is>
      </c>
      <c r="E883" t="inlineStr">
        <is>
          <t>NORRTÄLJE</t>
        </is>
      </c>
      <c r="G883" t="n">
        <v>5.6</v>
      </c>
      <c r="H883" t="n">
        <v>0</v>
      </c>
      <c r="I883" t="n">
        <v>0</v>
      </c>
      <c r="J883" t="n">
        <v>0</v>
      </c>
      <c r="K883" t="n">
        <v>0</v>
      </c>
      <c r="L883" t="n">
        <v>0</v>
      </c>
      <c r="M883" t="n">
        <v>0</v>
      </c>
      <c r="N883" t="n">
        <v>0</v>
      </c>
      <c r="O883" t="n">
        <v>0</v>
      </c>
      <c r="P883" t="n">
        <v>0</v>
      </c>
      <c r="Q883" t="n">
        <v>0</v>
      </c>
      <c r="R883" s="2" t="inlineStr"/>
    </row>
    <row r="884" ht="15" customHeight="1">
      <c r="A884" t="inlineStr">
        <is>
          <t>A 31807-2022</t>
        </is>
      </c>
      <c r="B884" s="1" t="n">
        <v>44776</v>
      </c>
      <c r="C884" s="1" t="n">
        <v>45583</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31938-2022</t>
        </is>
      </c>
      <c r="B885" s="1" t="n">
        <v>44777</v>
      </c>
      <c r="C885" s="1" t="n">
        <v>45583</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31936-2022</t>
        </is>
      </c>
      <c r="B886" s="1" t="n">
        <v>44777</v>
      </c>
      <c r="C886" s="1" t="n">
        <v>45583</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31924-2022</t>
        </is>
      </c>
      <c r="B887" s="1" t="n">
        <v>44777</v>
      </c>
      <c r="C887" s="1" t="n">
        <v>45583</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31939-2022</t>
        </is>
      </c>
      <c r="B888" s="1" t="n">
        <v>44777</v>
      </c>
      <c r="C888" s="1" t="n">
        <v>45583</v>
      </c>
      <c r="D888" t="inlineStr">
        <is>
          <t>STOCKHOLMS LÄN</t>
        </is>
      </c>
      <c r="E888" t="inlineStr">
        <is>
          <t>NORRTÄLJE</t>
        </is>
      </c>
      <c r="G888" t="n">
        <v>13.5</v>
      </c>
      <c r="H888" t="n">
        <v>0</v>
      </c>
      <c r="I888" t="n">
        <v>0</v>
      </c>
      <c r="J888" t="n">
        <v>0</v>
      </c>
      <c r="K888" t="n">
        <v>0</v>
      </c>
      <c r="L888" t="n">
        <v>0</v>
      </c>
      <c r="M888" t="n">
        <v>0</v>
      </c>
      <c r="N888" t="n">
        <v>0</v>
      </c>
      <c r="O888" t="n">
        <v>0</v>
      </c>
      <c r="P888" t="n">
        <v>0</v>
      </c>
      <c r="Q888" t="n">
        <v>0</v>
      </c>
      <c r="R888" s="2" t="inlineStr"/>
    </row>
    <row r="889" ht="15" customHeight="1">
      <c r="A889" t="inlineStr">
        <is>
          <t>A 31926-2022</t>
        </is>
      </c>
      <c r="B889" s="1" t="n">
        <v>44777</v>
      </c>
      <c r="C889" s="1" t="n">
        <v>45583</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31934-2022</t>
        </is>
      </c>
      <c r="B890" s="1" t="n">
        <v>44777</v>
      </c>
      <c r="C890" s="1" t="n">
        <v>45583</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32103-2022</t>
        </is>
      </c>
      <c r="B891" s="1" t="n">
        <v>44778</v>
      </c>
      <c r="C891" s="1" t="n">
        <v>45583</v>
      </c>
      <c r="D891" t="inlineStr">
        <is>
          <t>STOCKHOLMS LÄN</t>
        </is>
      </c>
      <c r="E891" t="inlineStr">
        <is>
          <t>NORRTÄLJE</t>
        </is>
      </c>
      <c r="G891" t="n">
        <v>3.4</v>
      </c>
      <c r="H891" t="n">
        <v>0</v>
      </c>
      <c r="I891" t="n">
        <v>0</v>
      </c>
      <c r="J891" t="n">
        <v>0</v>
      </c>
      <c r="K891" t="n">
        <v>0</v>
      </c>
      <c r="L891" t="n">
        <v>0</v>
      </c>
      <c r="M891" t="n">
        <v>0</v>
      </c>
      <c r="N891" t="n">
        <v>0</v>
      </c>
      <c r="O891" t="n">
        <v>0</v>
      </c>
      <c r="P891" t="n">
        <v>0</v>
      </c>
      <c r="Q891" t="n">
        <v>0</v>
      </c>
      <c r="R891" s="2" t="inlineStr"/>
    </row>
    <row r="892" ht="15" customHeight="1">
      <c r="A892" t="inlineStr">
        <is>
          <t>A 32111-2022</t>
        </is>
      </c>
      <c r="B892" s="1" t="n">
        <v>44779</v>
      </c>
      <c r="C892" s="1" t="n">
        <v>45583</v>
      </c>
      <c r="D892" t="inlineStr">
        <is>
          <t>STOCKHOLMS LÄN</t>
        </is>
      </c>
      <c r="E892" t="inlineStr">
        <is>
          <t>NORRTÄLJE</t>
        </is>
      </c>
      <c r="G892" t="n">
        <v>3.1</v>
      </c>
      <c r="H892" t="n">
        <v>0</v>
      </c>
      <c r="I892" t="n">
        <v>0</v>
      </c>
      <c r="J892" t="n">
        <v>0</v>
      </c>
      <c r="K892" t="n">
        <v>0</v>
      </c>
      <c r="L892" t="n">
        <v>0</v>
      </c>
      <c r="M892" t="n">
        <v>0</v>
      </c>
      <c r="N892" t="n">
        <v>0</v>
      </c>
      <c r="O892" t="n">
        <v>0</v>
      </c>
      <c r="P892" t="n">
        <v>0</v>
      </c>
      <c r="Q892" t="n">
        <v>0</v>
      </c>
      <c r="R892" s="2" t="inlineStr"/>
    </row>
    <row r="893" ht="15" customHeight="1">
      <c r="A893" t="inlineStr">
        <is>
          <t>A 32101-2022</t>
        </is>
      </c>
      <c r="B893" s="1" t="n">
        <v>44778</v>
      </c>
      <c r="C893" s="1" t="n">
        <v>45583</v>
      </c>
      <c r="D893" t="inlineStr">
        <is>
          <t>STOCKHOLMS LÄN</t>
        </is>
      </c>
      <c r="E893" t="inlineStr">
        <is>
          <t>NORRTÄLJE</t>
        </is>
      </c>
      <c r="G893" t="n">
        <v>4.4</v>
      </c>
      <c r="H893" t="n">
        <v>0</v>
      </c>
      <c r="I893" t="n">
        <v>0</v>
      </c>
      <c r="J893" t="n">
        <v>0</v>
      </c>
      <c r="K893" t="n">
        <v>0</v>
      </c>
      <c r="L893" t="n">
        <v>0</v>
      </c>
      <c r="M893" t="n">
        <v>0</v>
      </c>
      <c r="N893" t="n">
        <v>0</v>
      </c>
      <c r="O893" t="n">
        <v>0</v>
      </c>
      <c r="P893" t="n">
        <v>0</v>
      </c>
      <c r="Q893" t="n">
        <v>0</v>
      </c>
      <c r="R893" s="2" t="inlineStr"/>
    </row>
    <row r="894" ht="15" customHeight="1">
      <c r="A894" t="inlineStr">
        <is>
          <t>A 32100-2022</t>
        </is>
      </c>
      <c r="B894" s="1" t="n">
        <v>44778</v>
      </c>
      <c r="C894" s="1" t="n">
        <v>45583</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32102-2022</t>
        </is>
      </c>
      <c r="B895" s="1" t="n">
        <v>44778</v>
      </c>
      <c r="C895" s="1" t="n">
        <v>45583</v>
      </c>
      <c r="D895" t="inlineStr">
        <is>
          <t>STOCKHOLMS LÄN</t>
        </is>
      </c>
      <c r="E895" t="inlineStr">
        <is>
          <t>NORRTÄLJE</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32514-2022</t>
        </is>
      </c>
      <c r="B896" s="1" t="n">
        <v>44782</v>
      </c>
      <c r="C896" s="1" t="n">
        <v>45583</v>
      </c>
      <c r="D896" t="inlineStr">
        <is>
          <t>STOCKHOLMS LÄN</t>
        </is>
      </c>
      <c r="E896" t="inlineStr">
        <is>
          <t>NORRTÄLJE</t>
        </is>
      </c>
      <c r="G896" t="n">
        <v>5.1</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45583</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33055-2022</t>
        </is>
      </c>
      <c r="B898" s="1" t="n">
        <v>44785</v>
      </c>
      <c r="C898" s="1" t="n">
        <v>45583</v>
      </c>
      <c r="D898" t="inlineStr">
        <is>
          <t>STOCKHOLMS LÄN</t>
        </is>
      </c>
      <c r="E898" t="inlineStr">
        <is>
          <t>NORRTÄLJE</t>
        </is>
      </c>
      <c r="F898" t="inlineStr">
        <is>
          <t>Holmen skog AB</t>
        </is>
      </c>
      <c r="G898" t="n">
        <v>0.6</v>
      </c>
      <c r="H898" t="n">
        <v>0</v>
      </c>
      <c r="I898" t="n">
        <v>0</v>
      </c>
      <c r="J898" t="n">
        <v>0</v>
      </c>
      <c r="K898" t="n">
        <v>0</v>
      </c>
      <c r="L898" t="n">
        <v>0</v>
      </c>
      <c r="M898" t="n">
        <v>0</v>
      </c>
      <c r="N898" t="n">
        <v>0</v>
      </c>
      <c r="O898" t="n">
        <v>0</v>
      </c>
      <c r="P898" t="n">
        <v>0</v>
      </c>
      <c r="Q898" t="n">
        <v>0</v>
      </c>
      <c r="R898" s="2" t="inlineStr"/>
    </row>
    <row r="899" ht="15" customHeight="1">
      <c r="A899" t="inlineStr">
        <is>
          <t>A 33149-2022</t>
        </is>
      </c>
      <c r="B899" s="1" t="n">
        <v>44785</v>
      </c>
      <c r="C899" s="1" t="n">
        <v>45583</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33445-2022</t>
        </is>
      </c>
      <c r="B900" s="1" t="n">
        <v>44788</v>
      </c>
      <c r="C900" s="1" t="n">
        <v>45583</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33793-2022</t>
        </is>
      </c>
      <c r="B901" s="1" t="n">
        <v>44790</v>
      </c>
      <c r="C901" s="1" t="n">
        <v>45583</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33895-2022</t>
        </is>
      </c>
      <c r="B902" s="1" t="n">
        <v>44790</v>
      </c>
      <c r="C902" s="1" t="n">
        <v>45583</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34773-2022</t>
        </is>
      </c>
      <c r="B903" s="1" t="n">
        <v>44795</v>
      </c>
      <c r="C903" s="1" t="n">
        <v>45583</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35121-2022</t>
        </is>
      </c>
      <c r="B904" s="1" t="n">
        <v>44797</v>
      </c>
      <c r="C904" s="1" t="n">
        <v>45583</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35161-2022</t>
        </is>
      </c>
      <c r="B905" s="1" t="n">
        <v>44797</v>
      </c>
      <c r="C905" s="1" t="n">
        <v>45583</v>
      </c>
      <c r="D905" t="inlineStr">
        <is>
          <t>STOCKHOLMS LÄN</t>
        </is>
      </c>
      <c r="E905" t="inlineStr">
        <is>
          <t>NORRTÄLJE</t>
        </is>
      </c>
      <c r="G905" t="n">
        <v>6</v>
      </c>
      <c r="H905" t="n">
        <v>0</v>
      </c>
      <c r="I905" t="n">
        <v>0</v>
      </c>
      <c r="J905" t="n">
        <v>0</v>
      </c>
      <c r="K905" t="n">
        <v>0</v>
      </c>
      <c r="L905" t="n">
        <v>0</v>
      </c>
      <c r="M905" t="n">
        <v>0</v>
      </c>
      <c r="N905" t="n">
        <v>0</v>
      </c>
      <c r="O905" t="n">
        <v>0</v>
      </c>
      <c r="P905" t="n">
        <v>0</v>
      </c>
      <c r="Q905" t="n">
        <v>0</v>
      </c>
      <c r="R905" s="2" t="inlineStr"/>
    </row>
    <row r="906" ht="15" customHeight="1">
      <c r="A906" t="inlineStr">
        <is>
          <t>A 35156-2022</t>
        </is>
      </c>
      <c r="B906" s="1" t="n">
        <v>44797</v>
      </c>
      <c r="C906" s="1" t="n">
        <v>45583</v>
      </c>
      <c r="D906" t="inlineStr">
        <is>
          <t>STOCKHOLMS LÄN</t>
        </is>
      </c>
      <c r="E906" t="inlineStr">
        <is>
          <t>NORRTÄLJE</t>
        </is>
      </c>
      <c r="G906" t="n">
        <v>3.6</v>
      </c>
      <c r="H906" t="n">
        <v>0</v>
      </c>
      <c r="I906" t="n">
        <v>0</v>
      </c>
      <c r="J906" t="n">
        <v>0</v>
      </c>
      <c r="K906" t="n">
        <v>0</v>
      </c>
      <c r="L906" t="n">
        <v>0</v>
      </c>
      <c r="M906" t="n">
        <v>0</v>
      </c>
      <c r="N906" t="n">
        <v>0</v>
      </c>
      <c r="O906" t="n">
        <v>0</v>
      </c>
      <c r="P906" t="n">
        <v>0</v>
      </c>
      <c r="Q906" t="n">
        <v>0</v>
      </c>
      <c r="R906" s="2" t="inlineStr"/>
    </row>
    <row r="907" ht="15" customHeight="1">
      <c r="A907" t="inlineStr">
        <is>
          <t>A 35708-2022</t>
        </is>
      </c>
      <c r="B907" s="1" t="n">
        <v>44799</v>
      </c>
      <c r="C907" s="1" t="n">
        <v>45583</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36269-2022</t>
        </is>
      </c>
      <c r="B908" s="1" t="n">
        <v>44803</v>
      </c>
      <c r="C908" s="1" t="n">
        <v>45583</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36308-2022</t>
        </is>
      </c>
      <c r="B909" s="1" t="n">
        <v>44803</v>
      </c>
      <c r="C909" s="1" t="n">
        <v>45583</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36975-2022</t>
        </is>
      </c>
      <c r="B910" s="1" t="n">
        <v>44806</v>
      </c>
      <c r="C910" s="1" t="n">
        <v>45583</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37550-2022</t>
        </is>
      </c>
      <c r="B911" s="1" t="n">
        <v>44809</v>
      </c>
      <c r="C911" s="1" t="n">
        <v>45583</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37679-2022</t>
        </is>
      </c>
      <c r="B912" s="1" t="n">
        <v>44810</v>
      </c>
      <c r="C912" s="1" t="n">
        <v>45583</v>
      </c>
      <c r="D912" t="inlineStr">
        <is>
          <t>STOCKHOLMS LÄN</t>
        </is>
      </c>
      <c r="E912" t="inlineStr">
        <is>
          <t>NORRTÄLJE</t>
        </is>
      </c>
      <c r="G912" t="n">
        <v>3.1</v>
      </c>
      <c r="H912" t="n">
        <v>0</v>
      </c>
      <c r="I912" t="n">
        <v>0</v>
      </c>
      <c r="J912" t="n">
        <v>0</v>
      </c>
      <c r="K912" t="n">
        <v>0</v>
      </c>
      <c r="L912" t="n">
        <v>0</v>
      </c>
      <c r="M912" t="n">
        <v>0</v>
      </c>
      <c r="N912" t="n">
        <v>0</v>
      </c>
      <c r="O912" t="n">
        <v>0</v>
      </c>
      <c r="P912" t="n">
        <v>0</v>
      </c>
      <c r="Q912" t="n">
        <v>0</v>
      </c>
      <c r="R912" s="2" t="inlineStr"/>
    </row>
    <row r="913" ht="15" customHeight="1">
      <c r="A913" t="inlineStr">
        <is>
          <t>A 37815-2022</t>
        </is>
      </c>
      <c r="B913" s="1" t="n">
        <v>44810</v>
      </c>
      <c r="C913" s="1" t="n">
        <v>45583</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38449-2022</t>
        </is>
      </c>
      <c r="B914" s="1" t="n">
        <v>44813</v>
      </c>
      <c r="C914" s="1" t="n">
        <v>45583</v>
      </c>
      <c r="D914" t="inlineStr">
        <is>
          <t>STOCKHOLMS LÄN</t>
        </is>
      </c>
      <c r="E914" t="inlineStr">
        <is>
          <t>NORRTÄLJE</t>
        </is>
      </c>
      <c r="G914" t="n">
        <v>4.2</v>
      </c>
      <c r="H914" t="n">
        <v>0</v>
      </c>
      <c r="I914" t="n">
        <v>0</v>
      </c>
      <c r="J914" t="n">
        <v>0</v>
      </c>
      <c r="K914" t="n">
        <v>0</v>
      </c>
      <c r="L914" t="n">
        <v>0</v>
      </c>
      <c r="M914" t="n">
        <v>0</v>
      </c>
      <c r="N914" t="n">
        <v>0</v>
      </c>
      <c r="O914" t="n">
        <v>0</v>
      </c>
      <c r="P914" t="n">
        <v>0</v>
      </c>
      <c r="Q914" t="n">
        <v>0</v>
      </c>
      <c r="R914" s="2" t="inlineStr"/>
    </row>
    <row r="915" ht="15" customHeight="1">
      <c r="A915" t="inlineStr">
        <is>
          <t>A 38612-2022</t>
        </is>
      </c>
      <c r="B915" s="1" t="n">
        <v>44813</v>
      </c>
      <c r="C915" s="1" t="n">
        <v>45583</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38590-2022</t>
        </is>
      </c>
      <c r="B916" s="1" t="n">
        <v>44813</v>
      </c>
      <c r="C916" s="1" t="n">
        <v>45583</v>
      </c>
      <c r="D916" t="inlineStr">
        <is>
          <t>STOCKHOLMS LÄN</t>
        </is>
      </c>
      <c r="E916" t="inlineStr">
        <is>
          <t>NORRTÄLJE</t>
        </is>
      </c>
      <c r="G916" t="n">
        <v>5.9</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v>
      </c>
      <c r="C917" s="1" t="n">
        <v>45583</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38720-2022</t>
        </is>
      </c>
      <c r="B918" s="1" t="n">
        <v>44815</v>
      </c>
      <c r="C918" s="1" t="n">
        <v>45583</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38721-2022</t>
        </is>
      </c>
      <c r="B919" s="1" t="n">
        <v>44815</v>
      </c>
      <c r="C919" s="1" t="n">
        <v>45583</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38927-2022</t>
        </is>
      </c>
      <c r="B920" s="1" t="n">
        <v>44816</v>
      </c>
      <c r="C920" s="1" t="n">
        <v>45583</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38759-2022</t>
        </is>
      </c>
      <c r="B921" s="1" t="n">
        <v>44816</v>
      </c>
      <c r="C921" s="1" t="n">
        <v>45583</v>
      </c>
      <c r="D921" t="inlineStr">
        <is>
          <t>STOCKHOLMS LÄN</t>
        </is>
      </c>
      <c r="E921" t="inlineStr">
        <is>
          <t>NORRTÄLJE</t>
        </is>
      </c>
      <c r="G921" t="n">
        <v>2.8</v>
      </c>
      <c r="H921" t="n">
        <v>0</v>
      </c>
      <c r="I921" t="n">
        <v>0</v>
      </c>
      <c r="J921" t="n">
        <v>0</v>
      </c>
      <c r="K921" t="n">
        <v>0</v>
      </c>
      <c r="L921" t="n">
        <v>0</v>
      </c>
      <c r="M921" t="n">
        <v>0</v>
      </c>
      <c r="N921" t="n">
        <v>0</v>
      </c>
      <c r="O921" t="n">
        <v>0</v>
      </c>
      <c r="P921" t="n">
        <v>0</v>
      </c>
      <c r="Q921" t="n">
        <v>0</v>
      </c>
      <c r="R921" s="2" t="inlineStr"/>
    </row>
    <row r="922" ht="15" customHeight="1">
      <c r="A922" t="inlineStr">
        <is>
          <t>A 38990-2022</t>
        </is>
      </c>
      <c r="B922" s="1" t="n">
        <v>44816</v>
      </c>
      <c r="C922" s="1" t="n">
        <v>45583</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38991-2022</t>
        </is>
      </c>
      <c r="B923" s="1" t="n">
        <v>44816</v>
      </c>
      <c r="C923" s="1" t="n">
        <v>45583</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38985-2022</t>
        </is>
      </c>
      <c r="B924" s="1" t="n">
        <v>44816</v>
      </c>
      <c r="C924" s="1" t="n">
        <v>45583</v>
      </c>
      <c r="D924" t="inlineStr">
        <is>
          <t>STOCKHOLMS LÄN</t>
        </is>
      </c>
      <c r="E924" t="inlineStr">
        <is>
          <t>NORRTÄLJE</t>
        </is>
      </c>
      <c r="G924" t="n">
        <v>10.1</v>
      </c>
      <c r="H924" t="n">
        <v>0</v>
      </c>
      <c r="I924" t="n">
        <v>0</v>
      </c>
      <c r="J924" t="n">
        <v>0</v>
      </c>
      <c r="K924" t="n">
        <v>0</v>
      </c>
      <c r="L924" t="n">
        <v>0</v>
      </c>
      <c r="M924" t="n">
        <v>0</v>
      </c>
      <c r="N924" t="n">
        <v>0</v>
      </c>
      <c r="O924" t="n">
        <v>0</v>
      </c>
      <c r="P924" t="n">
        <v>0</v>
      </c>
      <c r="Q924" t="n">
        <v>0</v>
      </c>
      <c r="R924" s="2" t="inlineStr"/>
    </row>
    <row r="925" ht="15" customHeight="1">
      <c r="A925" t="inlineStr">
        <is>
          <t>A 38992-2022</t>
        </is>
      </c>
      <c r="B925" s="1" t="n">
        <v>44817</v>
      </c>
      <c r="C925" s="1" t="n">
        <v>45583</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39213-2022</t>
        </is>
      </c>
      <c r="B926" s="1" t="n">
        <v>44817</v>
      </c>
      <c r="C926" s="1" t="n">
        <v>45583</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39319-2022</t>
        </is>
      </c>
      <c r="B927" s="1" t="n">
        <v>44817</v>
      </c>
      <c r="C927" s="1" t="n">
        <v>45583</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39318-2022</t>
        </is>
      </c>
      <c r="B928" s="1" t="n">
        <v>44817</v>
      </c>
      <c r="C928" s="1" t="n">
        <v>45583</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39854-2022</t>
        </is>
      </c>
      <c r="B929" s="1" t="n">
        <v>44819</v>
      </c>
      <c r="C929" s="1" t="n">
        <v>45583</v>
      </c>
      <c r="D929" t="inlineStr">
        <is>
          <t>STOCKHOLMS LÄN</t>
        </is>
      </c>
      <c r="E929" t="inlineStr">
        <is>
          <t>NORRTÄLJE</t>
        </is>
      </c>
      <c r="G929" t="n">
        <v>4.4</v>
      </c>
      <c r="H929" t="n">
        <v>0</v>
      </c>
      <c r="I929" t="n">
        <v>0</v>
      </c>
      <c r="J929" t="n">
        <v>0</v>
      </c>
      <c r="K929" t="n">
        <v>0</v>
      </c>
      <c r="L929" t="n">
        <v>0</v>
      </c>
      <c r="M929" t="n">
        <v>0</v>
      </c>
      <c r="N929" t="n">
        <v>0</v>
      </c>
      <c r="O929" t="n">
        <v>0</v>
      </c>
      <c r="P929" t="n">
        <v>0</v>
      </c>
      <c r="Q929" t="n">
        <v>0</v>
      </c>
      <c r="R929" s="2" t="inlineStr"/>
    </row>
    <row r="930" ht="15" customHeight="1">
      <c r="A930" t="inlineStr">
        <is>
          <t>A 39869-2022</t>
        </is>
      </c>
      <c r="B930" s="1" t="n">
        <v>44819</v>
      </c>
      <c r="C930" s="1" t="n">
        <v>45583</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39867-2022</t>
        </is>
      </c>
      <c r="B931" s="1" t="n">
        <v>44819</v>
      </c>
      <c r="C931" s="1" t="n">
        <v>45583</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40504-2022</t>
        </is>
      </c>
      <c r="B932" s="1" t="n">
        <v>44823</v>
      </c>
      <c r="C932" s="1" t="n">
        <v>45583</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40503-2022</t>
        </is>
      </c>
      <c r="B933" s="1" t="n">
        <v>44823</v>
      </c>
      <c r="C933" s="1" t="n">
        <v>45583</v>
      </c>
      <c r="D933" t="inlineStr">
        <is>
          <t>STOCKHOLMS LÄN</t>
        </is>
      </c>
      <c r="E933" t="inlineStr">
        <is>
          <t>NORRTÄLJE</t>
        </is>
      </c>
      <c r="G933" t="n">
        <v>5.1</v>
      </c>
      <c r="H933" t="n">
        <v>0</v>
      </c>
      <c r="I933" t="n">
        <v>0</v>
      </c>
      <c r="J933" t="n">
        <v>0</v>
      </c>
      <c r="K933" t="n">
        <v>0</v>
      </c>
      <c r="L933" t="n">
        <v>0</v>
      </c>
      <c r="M933" t="n">
        <v>0</v>
      </c>
      <c r="N933" t="n">
        <v>0</v>
      </c>
      <c r="O933" t="n">
        <v>0</v>
      </c>
      <c r="P933" t="n">
        <v>0</v>
      </c>
      <c r="Q933" t="n">
        <v>0</v>
      </c>
      <c r="R933" s="2" t="inlineStr"/>
    </row>
    <row r="934" ht="15" customHeight="1">
      <c r="A934" t="inlineStr">
        <is>
          <t>A 40656-2022</t>
        </is>
      </c>
      <c r="B934" s="1" t="n">
        <v>44824</v>
      </c>
      <c r="C934" s="1" t="n">
        <v>45583</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40751-2022</t>
        </is>
      </c>
      <c r="B935" s="1" t="n">
        <v>44824</v>
      </c>
      <c r="C935" s="1" t="n">
        <v>45583</v>
      </c>
      <c r="D935" t="inlineStr">
        <is>
          <t>STOCKHOLMS LÄN</t>
        </is>
      </c>
      <c r="E935" t="inlineStr">
        <is>
          <t>NORRTÄLJE</t>
        </is>
      </c>
      <c r="G935" t="n">
        <v>6.1</v>
      </c>
      <c r="H935" t="n">
        <v>0</v>
      </c>
      <c r="I935" t="n">
        <v>0</v>
      </c>
      <c r="J935" t="n">
        <v>0</v>
      </c>
      <c r="K935" t="n">
        <v>0</v>
      </c>
      <c r="L935" t="n">
        <v>0</v>
      </c>
      <c r="M935" t="n">
        <v>0</v>
      </c>
      <c r="N935" t="n">
        <v>0</v>
      </c>
      <c r="O935" t="n">
        <v>0</v>
      </c>
      <c r="P935" t="n">
        <v>0</v>
      </c>
      <c r="Q935" t="n">
        <v>0</v>
      </c>
      <c r="R935" s="2" t="inlineStr"/>
    </row>
    <row r="936" ht="15" customHeight="1">
      <c r="A936" t="inlineStr">
        <is>
          <t>A 41398-2022</t>
        </is>
      </c>
      <c r="B936" s="1" t="n">
        <v>44826</v>
      </c>
      <c r="C936" s="1" t="n">
        <v>45583</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41320-2022</t>
        </is>
      </c>
      <c r="B937" s="1" t="n">
        <v>44826</v>
      </c>
      <c r="C937" s="1" t="n">
        <v>45583</v>
      </c>
      <c r="D937" t="inlineStr">
        <is>
          <t>STOCKHOLMS LÄN</t>
        </is>
      </c>
      <c r="E937" t="inlineStr">
        <is>
          <t>NORRTÄLJE</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42087-2022</t>
        </is>
      </c>
      <c r="B938" s="1" t="n">
        <v>44830</v>
      </c>
      <c r="C938" s="1" t="n">
        <v>45583</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42112-2022</t>
        </is>
      </c>
      <c r="B939" s="1" t="n">
        <v>44830</v>
      </c>
      <c r="C939" s="1" t="n">
        <v>45583</v>
      </c>
      <c r="D939" t="inlineStr">
        <is>
          <t>STOCKHOLMS LÄN</t>
        </is>
      </c>
      <c r="E939" t="inlineStr">
        <is>
          <t>NORRTÄLJE</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42126-2022</t>
        </is>
      </c>
      <c r="B940" s="1" t="n">
        <v>44830</v>
      </c>
      <c r="C940" s="1" t="n">
        <v>45583</v>
      </c>
      <c r="D940" t="inlineStr">
        <is>
          <t>STOCKHOLMS LÄN</t>
        </is>
      </c>
      <c r="E940" t="inlineStr">
        <is>
          <t>NORRTÄLJE</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42867-2022</t>
        </is>
      </c>
      <c r="B941" s="1" t="n">
        <v>44832</v>
      </c>
      <c r="C941" s="1" t="n">
        <v>45583</v>
      </c>
      <c r="D941" t="inlineStr">
        <is>
          <t>STOCKHOLMS LÄN</t>
        </is>
      </c>
      <c r="E941" t="inlineStr">
        <is>
          <t>NORRTÄLJE</t>
        </is>
      </c>
      <c r="G941" t="n">
        <v>6.4</v>
      </c>
      <c r="H941" t="n">
        <v>0</v>
      </c>
      <c r="I941" t="n">
        <v>0</v>
      </c>
      <c r="J941" t="n">
        <v>0</v>
      </c>
      <c r="K941" t="n">
        <v>0</v>
      </c>
      <c r="L941" t="n">
        <v>0</v>
      </c>
      <c r="M941" t="n">
        <v>0</v>
      </c>
      <c r="N941" t="n">
        <v>0</v>
      </c>
      <c r="O941" t="n">
        <v>0</v>
      </c>
      <c r="P941" t="n">
        <v>0</v>
      </c>
      <c r="Q941" t="n">
        <v>0</v>
      </c>
      <c r="R941" s="2" t="inlineStr"/>
    </row>
    <row r="942" ht="15" customHeight="1">
      <c r="A942" t="inlineStr">
        <is>
          <t>A 42955-2022</t>
        </is>
      </c>
      <c r="B942" s="1" t="n">
        <v>44833</v>
      </c>
      <c r="C942" s="1" t="n">
        <v>45583</v>
      </c>
      <c r="D942" t="inlineStr">
        <is>
          <t>STOCKHOLMS LÄN</t>
        </is>
      </c>
      <c r="E942" t="inlineStr">
        <is>
          <t>NORRTÄLJE</t>
        </is>
      </c>
      <c r="G942" t="n">
        <v>13.1</v>
      </c>
      <c r="H942" t="n">
        <v>0</v>
      </c>
      <c r="I942" t="n">
        <v>0</v>
      </c>
      <c r="J942" t="n">
        <v>0</v>
      </c>
      <c r="K942" t="n">
        <v>0</v>
      </c>
      <c r="L942" t="n">
        <v>0</v>
      </c>
      <c r="M942" t="n">
        <v>0</v>
      </c>
      <c r="N942" t="n">
        <v>0</v>
      </c>
      <c r="O942" t="n">
        <v>0</v>
      </c>
      <c r="P942" t="n">
        <v>0</v>
      </c>
      <c r="Q942" t="n">
        <v>0</v>
      </c>
      <c r="R942" s="2" t="inlineStr"/>
    </row>
    <row r="943" ht="15" customHeight="1">
      <c r="A943" t="inlineStr">
        <is>
          <t>A 43036-2022</t>
        </is>
      </c>
      <c r="B943" s="1" t="n">
        <v>44833</v>
      </c>
      <c r="C943" s="1" t="n">
        <v>45583</v>
      </c>
      <c r="D943" t="inlineStr">
        <is>
          <t>STOCKHOLMS LÄN</t>
        </is>
      </c>
      <c r="E943" t="inlineStr">
        <is>
          <t>NORRTÄLJE</t>
        </is>
      </c>
      <c r="F943" t="inlineStr">
        <is>
          <t>Kyrkan</t>
        </is>
      </c>
      <c r="G943" t="n">
        <v>1.7</v>
      </c>
      <c r="H943" t="n">
        <v>0</v>
      </c>
      <c r="I943" t="n">
        <v>0</v>
      </c>
      <c r="J943" t="n">
        <v>0</v>
      </c>
      <c r="K943" t="n">
        <v>0</v>
      </c>
      <c r="L943" t="n">
        <v>0</v>
      </c>
      <c r="M943" t="n">
        <v>0</v>
      </c>
      <c r="N943" t="n">
        <v>0</v>
      </c>
      <c r="O943" t="n">
        <v>0</v>
      </c>
      <c r="P943" t="n">
        <v>0</v>
      </c>
      <c r="Q943" t="n">
        <v>0</v>
      </c>
      <c r="R943" s="2" t="inlineStr"/>
    </row>
    <row r="944" ht="15" customHeight="1">
      <c r="A944" t="inlineStr">
        <is>
          <t>A 43212-2022</t>
        </is>
      </c>
      <c r="B944" s="1" t="n">
        <v>44834</v>
      </c>
      <c r="C944" s="1" t="n">
        <v>45583</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43374-2022</t>
        </is>
      </c>
      <c r="B945" s="1" t="n">
        <v>44834</v>
      </c>
      <c r="C945" s="1" t="n">
        <v>45583</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43972-2022</t>
        </is>
      </c>
      <c r="B946" s="1" t="n">
        <v>44838</v>
      </c>
      <c r="C946" s="1" t="n">
        <v>45583</v>
      </c>
      <c r="D946" t="inlineStr">
        <is>
          <t>STOCKHOLMS LÄN</t>
        </is>
      </c>
      <c r="E946" t="inlineStr">
        <is>
          <t>NORRTÄLJE</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44349-2022</t>
        </is>
      </c>
      <c r="B947" s="1" t="n">
        <v>44839</v>
      </c>
      <c r="C947" s="1" t="n">
        <v>45583</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45255-2022</t>
        </is>
      </c>
      <c r="B948" s="1" t="n">
        <v>44840</v>
      </c>
      <c r="C948" s="1" t="n">
        <v>45583</v>
      </c>
      <c r="D948" t="inlineStr">
        <is>
          <t>STOCKHOLMS LÄN</t>
        </is>
      </c>
      <c r="E948" t="inlineStr">
        <is>
          <t>NORRTÄLJE</t>
        </is>
      </c>
      <c r="G948" t="n">
        <v>4.1</v>
      </c>
      <c r="H948" t="n">
        <v>0</v>
      </c>
      <c r="I948" t="n">
        <v>0</v>
      </c>
      <c r="J948" t="n">
        <v>0</v>
      </c>
      <c r="K948" t="n">
        <v>0</v>
      </c>
      <c r="L948" t="n">
        <v>0</v>
      </c>
      <c r="M948" t="n">
        <v>0</v>
      </c>
      <c r="N948" t="n">
        <v>0</v>
      </c>
      <c r="O948" t="n">
        <v>0</v>
      </c>
      <c r="P948" t="n">
        <v>0</v>
      </c>
      <c r="Q948" t="n">
        <v>0</v>
      </c>
      <c r="R948" s="2" t="inlineStr"/>
    </row>
    <row r="949" ht="15" customHeight="1">
      <c r="A949" t="inlineStr">
        <is>
          <t>A 44917-2022</t>
        </is>
      </c>
      <c r="B949" s="1" t="n">
        <v>44841</v>
      </c>
      <c r="C949" s="1" t="n">
        <v>45583</v>
      </c>
      <c r="D949" t="inlineStr">
        <is>
          <t>STOCKHOLMS LÄN</t>
        </is>
      </c>
      <c r="E949" t="inlineStr">
        <is>
          <t>NORRTÄLJE</t>
        </is>
      </c>
      <c r="F949" t="inlineStr">
        <is>
          <t>Holmen skog AB</t>
        </is>
      </c>
      <c r="G949" t="n">
        <v>3.3</v>
      </c>
      <c r="H949" t="n">
        <v>0</v>
      </c>
      <c r="I949" t="n">
        <v>0</v>
      </c>
      <c r="J949" t="n">
        <v>0</v>
      </c>
      <c r="K949" t="n">
        <v>0</v>
      </c>
      <c r="L949" t="n">
        <v>0</v>
      </c>
      <c r="M949" t="n">
        <v>0</v>
      </c>
      <c r="N949" t="n">
        <v>0</v>
      </c>
      <c r="O949" t="n">
        <v>0</v>
      </c>
      <c r="P949" t="n">
        <v>0</v>
      </c>
      <c r="Q949" t="n">
        <v>0</v>
      </c>
      <c r="R949" s="2" t="inlineStr"/>
    </row>
    <row r="950" ht="15" customHeight="1">
      <c r="A950" t="inlineStr">
        <is>
          <t>A 45541-2022</t>
        </is>
      </c>
      <c r="B950" s="1" t="n">
        <v>44845</v>
      </c>
      <c r="C950" s="1" t="n">
        <v>45583</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45539-2022</t>
        </is>
      </c>
      <c r="B951" s="1" t="n">
        <v>44845</v>
      </c>
      <c r="C951" s="1" t="n">
        <v>45583</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45549-2022</t>
        </is>
      </c>
      <c r="B952" s="1" t="n">
        <v>44845</v>
      </c>
      <c r="C952" s="1" t="n">
        <v>45583</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46914-2022</t>
        </is>
      </c>
      <c r="B953" s="1" t="n">
        <v>44851</v>
      </c>
      <c r="C953" s="1" t="n">
        <v>45583</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47076-2022</t>
        </is>
      </c>
      <c r="B954" s="1" t="n">
        <v>44852</v>
      </c>
      <c r="C954" s="1" t="n">
        <v>45583</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47079-2022</t>
        </is>
      </c>
      <c r="B955" s="1" t="n">
        <v>44852</v>
      </c>
      <c r="C955" s="1" t="n">
        <v>45583</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47626-2022</t>
        </is>
      </c>
      <c r="B956" s="1" t="n">
        <v>44854</v>
      </c>
      <c r="C956" s="1" t="n">
        <v>45583</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48316-2022</t>
        </is>
      </c>
      <c r="B957" s="1" t="n">
        <v>44854</v>
      </c>
      <c r="C957" s="1" t="n">
        <v>45583</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47929-2022</t>
        </is>
      </c>
      <c r="B958" s="1" t="n">
        <v>44855</v>
      </c>
      <c r="C958" s="1" t="n">
        <v>45583</v>
      </c>
      <c r="D958" t="inlineStr">
        <is>
          <t>STOCKHOLMS LÄN</t>
        </is>
      </c>
      <c r="E958" t="inlineStr">
        <is>
          <t>NORRTÄLJE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48490-2022</t>
        </is>
      </c>
      <c r="B959" s="1" t="n">
        <v>44858</v>
      </c>
      <c r="C959" s="1" t="n">
        <v>45583</v>
      </c>
      <c r="D959" t="inlineStr">
        <is>
          <t>STOCKHOLMS LÄN</t>
        </is>
      </c>
      <c r="E959" t="inlineStr">
        <is>
          <t>NORRTÄLJE</t>
        </is>
      </c>
      <c r="G959" t="n">
        <v>15.8</v>
      </c>
      <c r="H959" t="n">
        <v>0</v>
      </c>
      <c r="I959" t="n">
        <v>0</v>
      </c>
      <c r="J959" t="n">
        <v>0</v>
      </c>
      <c r="K959" t="n">
        <v>0</v>
      </c>
      <c r="L959" t="n">
        <v>0</v>
      </c>
      <c r="M959" t="n">
        <v>0</v>
      </c>
      <c r="N959" t="n">
        <v>0</v>
      </c>
      <c r="O959" t="n">
        <v>0</v>
      </c>
      <c r="P959" t="n">
        <v>0</v>
      </c>
      <c r="Q959" t="n">
        <v>0</v>
      </c>
      <c r="R959" s="2" t="inlineStr"/>
    </row>
    <row r="960" ht="15" customHeight="1">
      <c r="A960" t="inlineStr">
        <is>
          <t>A 48161-2022</t>
        </is>
      </c>
      <c r="B960" s="1" t="n">
        <v>44858</v>
      </c>
      <c r="C960" s="1" t="n">
        <v>45583</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48453-2022</t>
        </is>
      </c>
      <c r="B961" s="1" t="n">
        <v>44858</v>
      </c>
      <c r="C961" s="1" t="n">
        <v>45583</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48492-2022</t>
        </is>
      </c>
      <c r="B962" s="1" t="n">
        <v>44858</v>
      </c>
      <c r="C962" s="1" t="n">
        <v>45583</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50065-2022</t>
        </is>
      </c>
      <c r="B963" s="1" t="n">
        <v>44865</v>
      </c>
      <c r="C963" s="1" t="n">
        <v>45583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50469-2022</t>
        </is>
      </c>
      <c r="B964" s="1" t="n">
        <v>44866</v>
      </c>
      <c r="C964" s="1" t="n">
        <v>45583</v>
      </c>
      <c r="D964" t="inlineStr">
        <is>
          <t>STOCKHOLMS LÄN</t>
        </is>
      </c>
      <c r="E964" t="inlineStr">
        <is>
          <t>NORRTÄLJE</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50481-2022</t>
        </is>
      </c>
      <c r="B965" s="1" t="n">
        <v>44866</v>
      </c>
      <c r="C965" s="1" t="n">
        <v>45583</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50465-2022</t>
        </is>
      </c>
      <c r="B966" s="1" t="n">
        <v>44866</v>
      </c>
      <c r="C966" s="1" t="n">
        <v>45583</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50488-2022</t>
        </is>
      </c>
      <c r="B967" s="1" t="n">
        <v>44866</v>
      </c>
      <c r="C967" s="1" t="n">
        <v>45583</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50563-2022</t>
        </is>
      </c>
      <c r="B968" s="1" t="n">
        <v>44866</v>
      </c>
      <c r="C968" s="1" t="n">
        <v>45583</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50569-2022</t>
        </is>
      </c>
      <c r="B969" s="1" t="n">
        <v>44866</v>
      </c>
      <c r="C969" s="1" t="n">
        <v>45583</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50484-2022</t>
        </is>
      </c>
      <c r="B970" s="1" t="n">
        <v>44866</v>
      </c>
      <c r="C970" s="1" t="n">
        <v>45583</v>
      </c>
      <c r="D970" t="inlineStr">
        <is>
          <t>STOCKHOLMS LÄN</t>
        </is>
      </c>
      <c r="E970" t="inlineStr">
        <is>
          <t>NORRTÄLJE</t>
        </is>
      </c>
      <c r="G970" t="n">
        <v>6.7</v>
      </c>
      <c r="H970" t="n">
        <v>0</v>
      </c>
      <c r="I970" t="n">
        <v>0</v>
      </c>
      <c r="J970" t="n">
        <v>0</v>
      </c>
      <c r="K970" t="n">
        <v>0</v>
      </c>
      <c r="L970" t="n">
        <v>0</v>
      </c>
      <c r="M970" t="n">
        <v>0</v>
      </c>
      <c r="N970" t="n">
        <v>0</v>
      </c>
      <c r="O970" t="n">
        <v>0</v>
      </c>
      <c r="P970" t="n">
        <v>0</v>
      </c>
      <c r="Q970" t="n">
        <v>0</v>
      </c>
      <c r="R970" s="2" t="inlineStr"/>
    </row>
    <row r="971" ht="15" customHeight="1">
      <c r="A971" t="inlineStr">
        <is>
          <t>A 50970-2022</t>
        </is>
      </c>
      <c r="B971" s="1" t="n">
        <v>44867</v>
      </c>
      <c r="C971" s="1" t="n">
        <v>45583</v>
      </c>
      <c r="D971" t="inlineStr">
        <is>
          <t>STOCKHOLMS LÄN</t>
        </is>
      </c>
      <c r="E971" t="inlineStr">
        <is>
          <t>NORRTÄLJE</t>
        </is>
      </c>
      <c r="G971" t="n">
        <v>9</v>
      </c>
      <c r="H971" t="n">
        <v>0</v>
      </c>
      <c r="I971" t="n">
        <v>0</v>
      </c>
      <c r="J971" t="n">
        <v>0</v>
      </c>
      <c r="K971" t="n">
        <v>0</v>
      </c>
      <c r="L971" t="n">
        <v>0</v>
      </c>
      <c r="M971" t="n">
        <v>0</v>
      </c>
      <c r="N971" t="n">
        <v>0</v>
      </c>
      <c r="O971" t="n">
        <v>0</v>
      </c>
      <c r="P971" t="n">
        <v>0</v>
      </c>
      <c r="Q971" t="n">
        <v>0</v>
      </c>
      <c r="R971" s="2" t="inlineStr"/>
    </row>
    <row r="972" ht="15" customHeight="1">
      <c r="A972" t="inlineStr">
        <is>
          <t>A 50983-2022</t>
        </is>
      </c>
      <c r="B972" s="1" t="n">
        <v>44867</v>
      </c>
      <c r="C972" s="1" t="n">
        <v>45583</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50907-2022</t>
        </is>
      </c>
      <c r="B973" s="1" t="n">
        <v>44867</v>
      </c>
      <c r="C973" s="1" t="n">
        <v>45583</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51653-2022</t>
        </is>
      </c>
      <c r="B974" s="1" t="n">
        <v>44867</v>
      </c>
      <c r="C974" s="1" t="n">
        <v>45583</v>
      </c>
      <c r="D974" t="inlineStr">
        <is>
          <t>STOCKHOLMS LÄN</t>
        </is>
      </c>
      <c r="E974" t="inlineStr">
        <is>
          <t>NORRTÄLJE</t>
        </is>
      </c>
      <c r="G974" t="n">
        <v>6.6</v>
      </c>
      <c r="H974" t="n">
        <v>0</v>
      </c>
      <c r="I974" t="n">
        <v>0</v>
      </c>
      <c r="J974" t="n">
        <v>0</v>
      </c>
      <c r="K974" t="n">
        <v>0</v>
      </c>
      <c r="L974" t="n">
        <v>0</v>
      </c>
      <c r="M974" t="n">
        <v>0</v>
      </c>
      <c r="N974" t="n">
        <v>0</v>
      </c>
      <c r="O974" t="n">
        <v>0</v>
      </c>
      <c r="P974" t="n">
        <v>0</v>
      </c>
      <c r="Q974" t="n">
        <v>0</v>
      </c>
      <c r="R974" s="2" t="inlineStr"/>
    </row>
    <row r="975" ht="15" customHeight="1">
      <c r="A975" t="inlineStr">
        <is>
          <t>A 51116-2022</t>
        </is>
      </c>
      <c r="B975" s="1" t="n">
        <v>44868</v>
      </c>
      <c r="C975" s="1" t="n">
        <v>45583</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51265-2022</t>
        </is>
      </c>
      <c r="B976" s="1" t="n">
        <v>44868</v>
      </c>
      <c r="C976" s="1" t="n">
        <v>45583</v>
      </c>
      <c r="D976" t="inlineStr">
        <is>
          <t>STOCKHOLMS LÄN</t>
        </is>
      </c>
      <c r="E976" t="inlineStr">
        <is>
          <t>NORRTÄLJE</t>
        </is>
      </c>
      <c r="G976" t="n">
        <v>3.1</v>
      </c>
      <c r="H976" t="n">
        <v>0</v>
      </c>
      <c r="I976" t="n">
        <v>0</v>
      </c>
      <c r="J976" t="n">
        <v>0</v>
      </c>
      <c r="K976" t="n">
        <v>0</v>
      </c>
      <c r="L976" t="n">
        <v>0</v>
      </c>
      <c r="M976" t="n">
        <v>0</v>
      </c>
      <c r="N976" t="n">
        <v>0</v>
      </c>
      <c r="O976" t="n">
        <v>0</v>
      </c>
      <c r="P976" t="n">
        <v>0</v>
      </c>
      <c r="Q976" t="n">
        <v>0</v>
      </c>
      <c r="R976" s="2" t="inlineStr"/>
    </row>
    <row r="977" ht="15" customHeight="1">
      <c r="A977" t="inlineStr">
        <is>
          <t>A 52139-2022</t>
        </is>
      </c>
      <c r="B977" s="1" t="n">
        <v>44868</v>
      </c>
      <c r="C977" s="1" t="n">
        <v>45583</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52133-2022</t>
        </is>
      </c>
      <c r="B978" s="1" t="n">
        <v>44868</v>
      </c>
      <c r="C978" s="1" t="n">
        <v>45583</v>
      </c>
      <c r="D978" t="inlineStr">
        <is>
          <t>STOCKHOLMS LÄN</t>
        </is>
      </c>
      <c r="E978" t="inlineStr">
        <is>
          <t>NORRTÄLJE</t>
        </is>
      </c>
      <c r="G978" t="n">
        <v>11.5</v>
      </c>
      <c r="H978" t="n">
        <v>0</v>
      </c>
      <c r="I978" t="n">
        <v>0</v>
      </c>
      <c r="J978" t="n">
        <v>0</v>
      </c>
      <c r="K978" t="n">
        <v>0</v>
      </c>
      <c r="L978" t="n">
        <v>0</v>
      </c>
      <c r="M978" t="n">
        <v>0</v>
      </c>
      <c r="N978" t="n">
        <v>0</v>
      </c>
      <c r="O978" t="n">
        <v>0</v>
      </c>
      <c r="P978" t="n">
        <v>0</v>
      </c>
      <c r="Q978" t="n">
        <v>0</v>
      </c>
      <c r="R978" s="2" t="inlineStr"/>
    </row>
    <row r="979" ht="15" customHeight="1">
      <c r="A979" t="inlineStr">
        <is>
          <t>A 52260-2022</t>
        </is>
      </c>
      <c r="B979" s="1" t="n">
        <v>44869</v>
      </c>
      <c r="C979" s="1" t="n">
        <v>45583</v>
      </c>
      <c r="D979" t="inlineStr">
        <is>
          <t>STOCKHOLMS LÄN</t>
        </is>
      </c>
      <c r="E979" t="inlineStr">
        <is>
          <t>NORRTÄLJE</t>
        </is>
      </c>
      <c r="G979" t="n">
        <v>3.1</v>
      </c>
      <c r="H979" t="n">
        <v>0</v>
      </c>
      <c r="I979" t="n">
        <v>0</v>
      </c>
      <c r="J979" t="n">
        <v>0</v>
      </c>
      <c r="K979" t="n">
        <v>0</v>
      </c>
      <c r="L979" t="n">
        <v>0</v>
      </c>
      <c r="M979" t="n">
        <v>0</v>
      </c>
      <c r="N979" t="n">
        <v>0</v>
      </c>
      <c r="O979" t="n">
        <v>0</v>
      </c>
      <c r="P979" t="n">
        <v>0</v>
      </c>
      <c r="Q979" t="n">
        <v>0</v>
      </c>
      <c r="R979" s="2" t="inlineStr"/>
    </row>
    <row r="980" ht="15" customHeight="1">
      <c r="A980" t="inlineStr">
        <is>
          <t>A 51984-2022</t>
        </is>
      </c>
      <c r="B980" s="1" t="n">
        <v>44872</v>
      </c>
      <c r="C980" s="1" t="n">
        <v>45583</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52322-2022</t>
        </is>
      </c>
      <c r="B981" s="1" t="n">
        <v>44873</v>
      </c>
      <c r="C981" s="1" t="n">
        <v>45583</v>
      </c>
      <c r="D981" t="inlineStr">
        <is>
          <t>STOCKHOLMS LÄN</t>
        </is>
      </c>
      <c r="E981" t="inlineStr">
        <is>
          <t>NORRTÄLJE</t>
        </is>
      </c>
      <c r="G981" t="n">
        <v>5.5</v>
      </c>
      <c r="H981" t="n">
        <v>0</v>
      </c>
      <c r="I981" t="n">
        <v>0</v>
      </c>
      <c r="J981" t="n">
        <v>0</v>
      </c>
      <c r="K981" t="n">
        <v>0</v>
      </c>
      <c r="L981" t="n">
        <v>0</v>
      </c>
      <c r="M981" t="n">
        <v>0</v>
      </c>
      <c r="N981" t="n">
        <v>0</v>
      </c>
      <c r="O981" t="n">
        <v>0</v>
      </c>
      <c r="P981" t="n">
        <v>0</v>
      </c>
      <c r="Q981" t="n">
        <v>0</v>
      </c>
      <c r="R981" s="2" t="inlineStr"/>
    </row>
    <row r="982" ht="15" customHeight="1">
      <c r="A982" t="inlineStr">
        <is>
          <t>A 53461-2022</t>
        </is>
      </c>
      <c r="B982" s="1" t="n">
        <v>44879</v>
      </c>
      <c r="C982" s="1" t="n">
        <v>45583</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53600-2022</t>
        </is>
      </c>
      <c r="B983" s="1" t="n">
        <v>44879</v>
      </c>
      <c r="C983" s="1" t="n">
        <v>45583</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53459-2022</t>
        </is>
      </c>
      <c r="B984" s="1" t="n">
        <v>44879</v>
      </c>
      <c r="C984" s="1" t="n">
        <v>45583</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53884-2022</t>
        </is>
      </c>
      <c r="B985" s="1" t="n">
        <v>44880</v>
      </c>
      <c r="C985" s="1" t="n">
        <v>45583</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54169-2022</t>
        </is>
      </c>
      <c r="B986" s="1" t="n">
        <v>44881</v>
      </c>
      <c r="C986" s="1" t="n">
        <v>45583</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54175-2022</t>
        </is>
      </c>
      <c r="B987" s="1" t="n">
        <v>44881</v>
      </c>
      <c r="C987" s="1" t="n">
        <v>45583</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54355-2022</t>
        </is>
      </c>
      <c r="B988" s="1" t="n">
        <v>44882</v>
      </c>
      <c r="C988" s="1" t="n">
        <v>45583</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54427-2022</t>
        </is>
      </c>
      <c r="B989" s="1" t="n">
        <v>44882</v>
      </c>
      <c r="C989" s="1" t="n">
        <v>45583</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54340-2022</t>
        </is>
      </c>
      <c r="B990" s="1" t="n">
        <v>44882</v>
      </c>
      <c r="C990" s="1" t="n">
        <v>45583</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54358-2022</t>
        </is>
      </c>
      <c r="B991" s="1" t="n">
        <v>44882</v>
      </c>
      <c r="C991" s="1" t="n">
        <v>45583</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54354-2022</t>
        </is>
      </c>
      <c r="B992" s="1" t="n">
        <v>44882</v>
      </c>
      <c r="C992" s="1" t="n">
        <v>45583</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55047-2022</t>
        </is>
      </c>
      <c r="B993" s="1" t="n">
        <v>44886</v>
      </c>
      <c r="C993" s="1" t="n">
        <v>45583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55696-2022</t>
        </is>
      </c>
      <c r="B994" s="1" t="n">
        <v>44888</v>
      </c>
      <c r="C994" s="1" t="n">
        <v>45583</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45583</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59767-2022</t>
        </is>
      </c>
      <c r="B996" s="1" t="n">
        <v>44900</v>
      </c>
      <c r="C996" s="1" t="n">
        <v>45583</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58302-2022</t>
        </is>
      </c>
      <c r="B997" s="1" t="n">
        <v>44901</v>
      </c>
      <c r="C997" s="1" t="n">
        <v>45583</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58492-2022</t>
        </is>
      </c>
      <c r="B998" s="1" t="n">
        <v>44902</v>
      </c>
      <c r="C998" s="1" t="n">
        <v>45583</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58543-2022</t>
        </is>
      </c>
      <c r="B999" s="1" t="n">
        <v>44902</v>
      </c>
      <c r="C999" s="1" t="n">
        <v>45583</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58993-2022</t>
        </is>
      </c>
      <c r="B1000" s="1" t="n">
        <v>44903</v>
      </c>
      <c r="C1000" s="1" t="n">
        <v>45583</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60525-2022</t>
        </is>
      </c>
      <c r="B1001" s="1" t="n">
        <v>44904</v>
      </c>
      <c r="C1001" s="1" t="n">
        <v>45583</v>
      </c>
      <c r="D1001" t="inlineStr">
        <is>
          <t>STOCKHOLMS LÄN</t>
        </is>
      </c>
      <c r="E1001" t="inlineStr">
        <is>
          <t>NORRTÄLJE</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59717-2022</t>
        </is>
      </c>
      <c r="B1002" s="1" t="n">
        <v>44908</v>
      </c>
      <c r="C1002" s="1" t="n">
        <v>45583</v>
      </c>
      <c r="D1002" t="inlineStr">
        <is>
          <t>STOCKHOLMS LÄN</t>
        </is>
      </c>
      <c r="E1002" t="inlineStr">
        <is>
          <t>NORRTÄLJE</t>
        </is>
      </c>
      <c r="F1002" t="inlineStr">
        <is>
          <t>Holmen skog AB</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59893-2022</t>
        </is>
      </c>
      <c r="B1003" s="1" t="n">
        <v>44908</v>
      </c>
      <c r="C1003" s="1" t="n">
        <v>45583</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59892-2022</t>
        </is>
      </c>
      <c r="B1004" s="1" t="n">
        <v>44908</v>
      </c>
      <c r="C1004" s="1" t="n">
        <v>45583</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60840-2022</t>
        </is>
      </c>
      <c r="B1005" s="1" t="n">
        <v>44914</v>
      </c>
      <c r="C1005" s="1" t="n">
        <v>45583</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61016-2022</t>
        </is>
      </c>
      <c r="B1006" s="1" t="n">
        <v>44914</v>
      </c>
      <c r="C1006" s="1" t="n">
        <v>45583</v>
      </c>
      <c r="D1006" t="inlineStr">
        <is>
          <t>STOCKHOLMS LÄN</t>
        </is>
      </c>
      <c r="E1006" t="inlineStr">
        <is>
          <t>NORRTÄLJE</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62206-2022</t>
        </is>
      </c>
      <c r="B1007" s="1" t="n">
        <v>44922</v>
      </c>
      <c r="C1007" s="1" t="n">
        <v>45583</v>
      </c>
      <c r="D1007" t="inlineStr">
        <is>
          <t>STOCKHOLMS LÄN</t>
        </is>
      </c>
      <c r="E1007" t="inlineStr">
        <is>
          <t>NORRTÄLJE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62398-2022</t>
        </is>
      </c>
      <c r="B1008" s="1" t="n">
        <v>44923</v>
      </c>
      <c r="C1008" s="1" t="n">
        <v>45583</v>
      </c>
      <c r="D1008" t="inlineStr">
        <is>
          <t>STOCKHOLMS LÄN</t>
        </is>
      </c>
      <c r="E1008" t="inlineStr">
        <is>
          <t>NORRTÄLJE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62593-2022</t>
        </is>
      </c>
      <c r="B1009" s="1" t="n">
        <v>44925</v>
      </c>
      <c r="C1009" s="1" t="n">
        <v>45583</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576-2023</t>
        </is>
      </c>
      <c r="B1010" s="1" t="n">
        <v>44925</v>
      </c>
      <c r="C1010" s="1" t="n">
        <v>45583</v>
      </c>
      <c r="D1010" t="inlineStr">
        <is>
          <t>STOCKHOLMS LÄN</t>
        </is>
      </c>
      <c r="E1010" t="inlineStr">
        <is>
          <t>NORRTÄLJE</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45583</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755-2023</t>
        </is>
      </c>
      <c r="B1012" s="1" t="n">
        <v>44931</v>
      </c>
      <c r="C1012" s="1" t="n">
        <v>45583</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875-2023</t>
        </is>
      </c>
      <c r="B1013" s="1" t="n">
        <v>44931</v>
      </c>
      <c r="C1013" s="1" t="n">
        <v>45583</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951-2023</t>
        </is>
      </c>
      <c r="B1014" s="1" t="n">
        <v>44934</v>
      </c>
      <c r="C1014" s="1" t="n">
        <v>45583</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1183-2023</t>
        </is>
      </c>
      <c r="B1015" s="1" t="n">
        <v>44935</v>
      </c>
      <c r="C1015" s="1" t="n">
        <v>45583</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1335-2023</t>
        </is>
      </c>
      <c r="B1016" s="1" t="n">
        <v>44936</v>
      </c>
      <c r="C1016" s="1" t="n">
        <v>45583</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1373-2023</t>
        </is>
      </c>
      <c r="B1017" s="1" t="n">
        <v>44936</v>
      </c>
      <c r="C1017" s="1" t="n">
        <v>45583</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1448-2023</t>
        </is>
      </c>
      <c r="B1018" s="1" t="n">
        <v>44937</v>
      </c>
      <c r="C1018" s="1" t="n">
        <v>45583</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1740-2023</t>
        </is>
      </c>
      <c r="B1019" s="1" t="n">
        <v>44938</v>
      </c>
      <c r="C1019" s="1" t="n">
        <v>45583</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1847-2023</t>
        </is>
      </c>
      <c r="B1020" s="1" t="n">
        <v>44938</v>
      </c>
      <c r="C1020" s="1" t="n">
        <v>45583</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2103-2023</t>
        </is>
      </c>
      <c r="B1021" s="1" t="n">
        <v>44939</v>
      </c>
      <c r="C1021" s="1" t="n">
        <v>45583</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2976-2023</t>
        </is>
      </c>
      <c r="B1022" s="1" t="n">
        <v>44945</v>
      </c>
      <c r="C1022" s="1" t="n">
        <v>45583</v>
      </c>
      <c r="D1022" t="inlineStr">
        <is>
          <t>STOCKHOLMS LÄN</t>
        </is>
      </c>
      <c r="E1022" t="inlineStr">
        <is>
          <t>NORRTÄLJE</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2890-2023</t>
        </is>
      </c>
      <c r="B1023" s="1" t="n">
        <v>44945</v>
      </c>
      <c r="C1023" s="1" t="n">
        <v>45583</v>
      </c>
      <c r="D1023" t="inlineStr">
        <is>
          <t>STOCKHOLMS LÄN</t>
        </is>
      </c>
      <c r="E1023" t="inlineStr">
        <is>
          <t>NORRTÄLJE</t>
        </is>
      </c>
      <c r="F1023" t="inlineStr">
        <is>
          <t>Holmen skog AB</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2982-2023</t>
        </is>
      </c>
      <c r="B1024" s="1" t="n">
        <v>44945</v>
      </c>
      <c r="C1024" s="1" t="n">
        <v>45583</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3383-2023</t>
        </is>
      </c>
      <c r="B1025" s="1" t="n">
        <v>44949</v>
      </c>
      <c r="C1025" s="1" t="n">
        <v>45583</v>
      </c>
      <c r="D1025" t="inlineStr">
        <is>
          <t>STOCKHOLMS LÄN</t>
        </is>
      </c>
      <c r="E1025" t="inlineStr">
        <is>
          <t>NORRTÄLJE</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3444-2023</t>
        </is>
      </c>
      <c r="B1026" s="1" t="n">
        <v>44949</v>
      </c>
      <c r="C1026" s="1" t="n">
        <v>45583</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4035-2023</t>
        </is>
      </c>
      <c r="B1027" s="1" t="n">
        <v>44952</v>
      </c>
      <c r="C1027" s="1" t="n">
        <v>45583</v>
      </c>
      <c r="D1027" t="inlineStr">
        <is>
          <t>STOCKHOLMS LÄN</t>
        </is>
      </c>
      <c r="E1027" t="inlineStr">
        <is>
          <t>NORRTÄLJE</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4058-2023</t>
        </is>
      </c>
      <c r="B1028" s="1" t="n">
        <v>44952</v>
      </c>
      <c r="C1028" s="1" t="n">
        <v>45583</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4194-2023</t>
        </is>
      </c>
      <c r="B1029" s="1" t="n">
        <v>44953</v>
      </c>
      <c r="C1029" s="1" t="n">
        <v>45583</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4168-2023</t>
        </is>
      </c>
      <c r="B1030" s="1" t="n">
        <v>44953</v>
      </c>
      <c r="C1030" s="1" t="n">
        <v>45583</v>
      </c>
      <c r="D1030" t="inlineStr">
        <is>
          <t>STOCKHOLMS LÄN</t>
        </is>
      </c>
      <c r="E1030" t="inlineStr">
        <is>
          <t>NORRTÄLJE</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4316-2023</t>
        </is>
      </c>
      <c r="B1031" s="1" t="n">
        <v>44953</v>
      </c>
      <c r="C1031" s="1" t="n">
        <v>45583</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4326-2023</t>
        </is>
      </c>
      <c r="B1032" s="1" t="n">
        <v>44953</v>
      </c>
      <c r="C1032" s="1" t="n">
        <v>45583</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4322-2023</t>
        </is>
      </c>
      <c r="B1033" s="1" t="n">
        <v>44953</v>
      </c>
      <c r="C1033" s="1" t="n">
        <v>45583</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4364-2023</t>
        </is>
      </c>
      <c r="B1034" s="1" t="n">
        <v>44954</v>
      </c>
      <c r="C1034" s="1" t="n">
        <v>45583</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4395-2023</t>
        </is>
      </c>
      <c r="B1035" s="1" t="n">
        <v>44956</v>
      </c>
      <c r="C1035" s="1" t="n">
        <v>45583</v>
      </c>
      <c r="D1035" t="inlineStr">
        <is>
          <t>STOCKHOLMS LÄN</t>
        </is>
      </c>
      <c r="E1035" t="inlineStr">
        <is>
          <t>NORRTÄLJE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4438-2023</t>
        </is>
      </c>
      <c r="B1036" s="1" t="n">
        <v>44956</v>
      </c>
      <c r="C1036" s="1" t="n">
        <v>45583</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4593-2023</t>
        </is>
      </c>
      <c r="B1037" s="1" t="n">
        <v>44956</v>
      </c>
      <c r="C1037" s="1" t="n">
        <v>45583</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4596-2023</t>
        </is>
      </c>
      <c r="B1038" s="1" t="n">
        <v>44956</v>
      </c>
      <c r="C1038" s="1" t="n">
        <v>45583</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4553-2023</t>
        </is>
      </c>
      <c r="B1039" s="1" t="n">
        <v>44956</v>
      </c>
      <c r="C1039" s="1" t="n">
        <v>45583</v>
      </c>
      <c r="D1039" t="inlineStr">
        <is>
          <t>STOCKHOLMS LÄN</t>
        </is>
      </c>
      <c r="E1039" t="inlineStr">
        <is>
          <t>NORRTÄLJE</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5137-2023</t>
        </is>
      </c>
      <c r="B1040" s="1" t="n">
        <v>44958</v>
      </c>
      <c r="C1040" s="1" t="n">
        <v>45583</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5207-2023</t>
        </is>
      </c>
      <c r="B1041" s="1" t="n">
        <v>44959</v>
      </c>
      <c r="C1041" s="1" t="n">
        <v>45583</v>
      </c>
      <c r="D1041" t="inlineStr">
        <is>
          <t>STOCKHOLMS LÄN</t>
        </is>
      </c>
      <c r="E1041" t="inlineStr">
        <is>
          <t>NORRTÄLJE</t>
        </is>
      </c>
      <c r="F1041" t="inlineStr">
        <is>
          <t>Holmen skog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5422-2023</t>
        </is>
      </c>
      <c r="B1042" s="1" t="n">
        <v>44959</v>
      </c>
      <c r="C1042" s="1" t="n">
        <v>45583</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5244-2023</t>
        </is>
      </c>
      <c r="B1043" s="1" t="n">
        <v>44959</v>
      </c>
      <c r="C1043" s="1" t="n">
        <v>45583</v>
      </c>
      <c r="D1043" t="inlineStr">
        <is>
          <t>STOCKHOLMS LÄN</t>
        </is>
      </c>
      <c r="E1043" t="inlineStr">
        <is>
          <t>NORRTÄLJE</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5423-2023</t>
        </is>
      </c>
      <c r="B1044" s="1" t="n">
        <v>44959</v>
      </c>
      <c r="C1044" s="1" t="n">
        <v>45583</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6312-2023</t>
        </is>
      </c>
      <c r="B1045" s="1" t="n">
        <v>44959</v>
      </c>
      <c r="C1045" s="1" t="n">
        <v>45583</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5645-2023</t>
        </is>
      </c>
      <c r="B1046" s="1" t="n">
        <v>44960</v>
      </c>
      <c r="C1046" s="1" t="n">
        <v>45583</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5501-2023</t>
        </is>
      </c>
      <c r="B1047" s="1" t="n">
        <v>44960</v>
      </c>
      <c r="C1047" s="1" t="n">
        <v>45583</v>
      </c>
      <c r="D1047" t="inlineStr">
        <is>
          <t>STOCKHOLMS LÄN</t>
        </is>
      </c>
      <c r="E1047" t="inlineStr">
        <is>
          <t>NORRTÄLJE</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6496-2023</t>
        </is>
      </c>
      <c r="B1048" s="1" t="n">
        <v>44960</v>
      </c>
      <c r="C1048" s="1" t="n">
        <v>45583</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5732-2023</t>
        </is>
      </c>
      <c r="B1049" s="1" t="n">
        <v>44962</v>
      </c>
      <c r="C1049" s="1" t="n">
        <v>45583</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5823-2023</t>
        </is>
      </c>
      <c r="B1050" s="1" t="n">
        <v>44963</v>
      </c>
      <c r="C1050" s="1" t="n">
        <v>45583</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5839-2023</t>
        </is>
      </c>
      <c r="B1051" s="1" t="n">
        <v>44963</v>
      </c>
      <c r="C1051" s="1" t="n">
        <v>45583</v>
      </c>
      <c r="D1051" t="inlineStr">
        <is>
          <t>STOCKHOLMS LÄN</t>
        </is>
      </c>
      <c r="E1051" t="inlineStr">
        <is>
          <t>NORRTÄLJE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6433-2023</t>
        </is>
      </c>
      <c r="B1052" s="1" t="n">
        <v>44965</v>
      </c>
      <c r="C1052" s="1" t="n">
        <v>45583</v>
      </c>
      <c r="D1052" t="inlineStr">
        <is>
          <t>STOCKHOLMS LÄN</t>
        </is>
      </c>
      <c r="E1052" t="inlineStr">
        <is>
          <t>NORRTÄLJE</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7230-2023</t>
        </is>
      </c>
      <c r="B1053" s="1" t="n">
        <v>44965</v>
      </c>
      <c r="C1053" s="1" t="n">
        <v>45583</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6437-2023</t>
        </is>
      </c>
      <c r="B1054" s="1" t="n">
        <v>44965</v>
      </c>
      <c r="C1054" s="1" t="n">
        <v>45583</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7093-2023</t>
        </is>
      </c>
      <c r="B1055" s="1" t="n">
        <v>44970</v>
      </c>
      <c r="C1055" s="1" t="n">
        <v>45583</v>
      </c>
      <c r="D1055" t="inlineStr">
        <is>
          <t>STOCKHOLMS LÄN</t>
        </is>
      </c>
      <c r="E1055" t="inlineStr">
        <is>
          <t>NORRTÄLJE</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7190-2023</t>
        </is>
      </c>
      <c r="B1056" s="1" t="n">
        <v>44970</v>
      </c>
      <c r="C1056" s="1" t="n">
        <v>45583</v>
      </c>
      <c r="D1056" t="inlineStr">
        <is>
          <t>STOCKHOLMS LÄN</t>
        </is>
      </c>
      <c r="E1056" t="inlineStr">
        <is>
          <t>NORRTÄLJE</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7120-2023</t>
        </is>
      </c>
      <c r="B1057" s="1" t="n">
        <v>44970</v>
      </c>
      <c r="C1057" s="1" t="n">
        <v>45583</v>
      </c>
      <c r="D1057" t="inlineStr">
        <is>
          <t>STOCKHOLMS LÄN</t>
        </is>
      </c>
      <c r="E1057" t="inlineStr">
        <is>
          <t>NORRTÄLJE</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7638-2023</t>
        </is>
      </c>
      <c r="B1058" s="1" t="n">
        <v>44972</v>
      </c>
      <c r="C1058" s="1" t="n">
        <v>45583</v>
      </c>
      <c r="D1058" t="inlineStr">
        <is>
          <t>STOCKHOLMS LÄN</t>
        </is>
      </c>
      <c r="E1058" t="inlineStr">
        <is>
          <t>NORRTÄLJE</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7966-2023</t>
        </is>
      </c>
      <c r="B1059" s="1" t="n">
        <v>44973</v>
      </c>
      <c r="C1059" s="1" t="n">
        <v>45583</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7974-2023</t>
        </is>
      </c>
      <c r="B1060" s="1" t="n">
        <v>44973</v>
      </c>
      <c r="C1060" s="1" t="n">
        <v>45583</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8296-2023</t>
        </is>
      </c>
      <c r="B1061" s="1" t="n">
        <v>44974</v>
      </c>
      <c r="C1061" s="1" t="n">
        <v>45583</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8586-2023</t>
        </is>
      </c>
      <c r="B1062" s="1" t="n">
        <v>44977</v>
      </c>
      <c r="C1062" s="1" t="n">
        <v>45583</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9401-2023</t>
        </is>
      </c>
      <c r="B1063" s="1" t="n">
        <v>44977</v>
      </c>
      <c r="C1063" s="1" t="n">
        <v>45583</v>
      </c>
      <c r="D1063" t="inlineStr">
        <is>
          <t>STOCKHOLMS LÄN</t>
        </is>
      </c>
      <c r="E1063" t="inlineStr">
        <is>
          <t>NORRTÄLJE</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8730-2023</t>
        </is>
      </c>
      <c r="B1064" s="1" t="n">
        <v>44978</v>
      </c>
      <c r="C1064" s="1" t="n">
        <v>45583</v>
      </c>
      <c r="D1064" t="inlineStr">
        <is>
          <t>STOCKHOLMS LÄN</t>
        </is>
      </c>
      <c r="E1064" t="inlineStr">
        <is>
          <t>NORRTÄLJE</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8762-2023</t>
        </is>
      </c>
      <c r="B1065" s="1" t="n">
        <v>44978</v>
      </c>
      <c r="C1065" s="1" t="n">
        <v>45583</v>
      </c>
      <c r="D1065" t="inlineStr">
        <is>
          <t>STOCKHOLMS LÄN</t>
        </is>
      </c>
      <c r="E1065" t="inlineStr">
        <is>
          <t>NORRTÄLJE</t>
        </is>
      </c>
      <c r="F1065" t="inlineStr">
        <is>
          <t>Holmen skog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8899-2023</t>
        </is>
      </c>
      <c r="B1066" s="1" t="n">
        <v>44979</v>
      </c>
      <c r="C1066" s="1" t="n">
        <v>45583</v>
      </c>
      <c r="D1066" t="inlineStr">
        <is>
          <t>STOCKHOLMS LÄN</t>
        </is>
      </c>
      <c r="E1066" t="inlineStr">
        <is>
          <t>NORRTÄLJE</t>
        </is>
      </c>
      <c r="F1066" t="inlineStr">
        <is>
          <t>Naturvårdsverket</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9189-2023</t>
        </is>
      </c>
      <c r="B1067" s="1" t="n">
        <v>44980</v>
      </c>
      <c r="C1067" s="1" t="n">
        <v>45583</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9184-2023</t>
        </is>
      </c>
      <c r="B1068" s="1" t="n">
        <v>44980</v>
      </c>
      <c r="C1068" s="1" t="n">
        <v>45583</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9255-2023</t>
        </is>
      </c>
      <c r="B1069" s="1" t="n">
        <v>44980</v>
      </c>
      <c r="C1069" s="1" t="n">
        <v>45583</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9329-2023</t>
        </is>
      </c>
      <c r="B1070" s="1" t="n">
        <v>44980</v>
      </c>
      <c r="C1070" s="1" t="n">
        <v>45583</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9793-2023</t>
        </is>
      </c>
      <c r="B1071" s="1" t="n">
        <v>44984</v>
      </c>
      <c r="C1071" s="1" t="n">
        <v>45583</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9914-2023</t>
        </is>
      </c>
      <c r="B1072" s="1" t="n">
        <v>44985</v>
      </c>
      <c r="C1072" s="1" t="n">
        <v>45583</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9965-2023</t>
        </is>
      </c>
      <c r="B1073" s="1" t="n">
        <v>44985</v>
      </c>
      <c r="C1073" s="1" t="n">
        <v>45583</v>
      </c>
      <c r="D1073" t="inlineStr">
        <is>
          <t>STOCKHOLMS LÄN</t>
        </is>
      </c>
      <c r="E1073" t="inlineStr">
        <is>
          <t>NORRTÄLJE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9995-2023</t>
        </is>
      </c>
      <c r="B1074" s="1" t="n">
        <v>44985</v>
      </c>
      <c r="C1074" s="1" t="n">
        <v>45583</v>
      </c>
      <c r="D1074" t="inlineStr">
        <is>
          <t>STOCKHOLMS LÄN</t>
        </is>
      </c>
      <c r="E1074" t="inlineStr">
        <is>
          <t>NORRTÄLJE</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10036-2023</t>
        </is>
      </c>
      <c r="B1075" s="1" t="n">
        <v>44985</v>
      </c>
      <c r="C1075" s="1" t="n">
        <v>45583</v>
      </c>
      <c r="D1075" t="inlineStr">
        <is>
          <t>STOCKHOLMS LÄN</t>
        </is>
      </c>
      <c r="E1075" t="inlineStr">
        <is>
          <t>NORRTÄLJE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10039-2023</t>
        </is>
      </c>
      <c r="B1076" s="1" t="n">
        <v>44985</v>
      </c>
      <c r="C1076" s="1" t="n">
        <v>45583</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9945-2023</t>
        </is>
      </c>
      <c r="B1077" s="1" t="n">
        <v>44985</v>
      </c>
      <c r="C1077" s="1" t="n">
        <v>45583</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10105-2023</t>
        </is>
      </c>
      <c r="B1078" s="1" t="n">
        <v>44986</v>
      </c>
      <c r="C1078" s="1" t="n">
        <v>45583</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10215-2023</t>
        </is>
      </c>
      <c r="B1079" s="1" t="n">
        <v>44986</v>
      </c>
      <c r="C1079" s="1" t="n">
        <v>45583</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11280-2023</t>
        </is>
      </c>
      <c r="B1080" s="1" t="n">
        <v>44992</v>
      </c>
      <c r="C1080" s="1" t="n">
        <v>45583</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11499-2023</t>
        </is>
      </c>
      <c r="B1081" s="1" t="n">
        <v>44993</v>
      </c>
      <c r="C1081" s="1" t="n">
        <v>45583</v>
      </c>
      <c r="D1081" t="inlineStr">
        <is>
          <t>STOCKHOLMS LÄN</t>
        </is>
      </c>
      <c r="E1081" t="inlineStr">
        <is>
          <t>NORRTÄLJE</t>
        </is>
      </c>
      <c r="F1081" t="inlineStr">
        <is>
          <t>Holmen skog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11844-2023</t>
        </is>
      </c>
      <c r="B1082" s="1" t="n">
        <v>44995</v>
      </c>
      <c r="C1082" s="1" t="n">
        <v>45583</v>
      </c>
      <c r="D1082" t="inlineStr">
        <is>
          <t>STOCKHOLMS LÄN</t>
        </is>
      </c>
      <c r="E1082" t="inlineStr">
        <is>
          <t>NORRTÄLJE</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11940-2023</t>
        </is>
      </c>
      <c r="B1083" s="1" t="n">
        <v>44995</v>
      </c>
      <c r="C1083" s="1" t="n">
        <v>45583</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11852-2023</t>
        </is>
      </c>
      <c r="B1084" s="1" t="n">
        <v>44995</v>
      </c>
      <c r="C1084" s="1" t="n">
        <v>45583</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12609-2023</t>
        </is>
      </c>
      <c r="B1085" s="1" t="n">
        <v>45000</v>
      </c>
      <c r="C1085" s="1" t="n">
        <v>45583</v>
      </c>
      <c r="D1085" t="inlineStr">
        <is>
          <t>STOCKHOLMS LÄN</t>
        </is>
      </c>
      <c r="E1085" t="inlineStr">
        <is>
          <t>NORRTÄLJE</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12756-2023</t>
        </is>
      </c>
      <c r="B1086" s="1" t="n">
        <v>45000</v>
      </c>
      <c r="C1086" s="1" t="n">
        <v>45583</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13072-2023</t>
        </is>
      </c>
      <c r="B1087" s="1" t="n">
        <v>45002</v>
      </c>
      <c r="C1087" s="1" t="n">
        <v>45583</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13354-2023</t>
        </is>
      </c>
      <c r="B1088" s="1" t="n">
        <v>45005</v>
      </c>
      <c r="C1088" s="1" t="n">
        <v>45583</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13360-2023</t>
        </is>
      </c>
      <c r="B1089" s="1" t="n">
        <v>45005</v>
      </c>
      <c r="C1089" s="1" t="n">
        <v>45583</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13860-2023</t>
        </is>
      </c>
      <c r="B1090" s="1" t="n">
        <v>45007</v>
      </c>
      <c r="C1090" s="1" t="n">
        <v>45583</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13957-2023</t>
        </is>
      </c>
      <c r="B1091" s="1" t="n">
        <v>45008</v>
      </c>
      <c r="C1091" s="1" t="n">
        <v>45583</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13947-2023</t>
        </is>
      </c>
      <c r="B1092" s="1" t="n">
        <v>45008</v>
      </c>
      <c r="C1092" s="1" t="n">
        <v>45583</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13977-2023</t>
        </is>
      </c>
      <c r="B1093" s="1" t="n">
        <v>45008</v>
      </c>
      <c r="C1093" s="1" t="n">
        <v>45583</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14135-2023</t>
        </is>
      </c>
      <c r="B1094" s="1" t="n">
        <v>45009</v>
      </c>
      <c r="C1094" s="1" t="n">
        <v>45583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15217-2023</t>
        </is>
      </c>
      <c r="B1095" s="1" t="n">
        <v>45019</v>
      </c>
      <c r="C1095" s="1" t="n">
        <v>45583</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15256-2023</t>
        </is>
      </c>
      <c r="B1096" s="1" t="n">
        <v>45019</v>
      </c>
      <c r="C1096" s="1" t="n">
        <v>45583</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45583</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15459-2023</t>
        </is>
      </c>
      <c r="B1098" s="1" t="n">
        <v>45020</v>
      </c>
      <c r="C1098" s="1" t="n">
        <v>45583</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15655-2023</t>
        </is>
      </c>
      <c r="B1099" s="1" t="n">
        <v>45021</v>
      </c>
      <c r="C1099" s="1" t="n">
        <v>45583</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15905-2023</t>
        </is>
      </c>
      <c r="B1100" s="1" t="n">
        <v>45022</v>
      </c>
      <c r="C1100" s="1" t="n">
        <v>45583</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15915-2023</t>
        </is>
      </c>
      <c r="B1101" s="1" t="n">
        <v>45022</v>
      </c>
      <c r="C1101" s="1" t="n">
        <v>45583</v>
      </c>
      <c r="D1101" t="inlineStr">
        <is>
          <t>STOCKHOLMS LÄN</t>
        </is>
      </c>
      <c r="E1101" t="inlineStr">
        <is>
          <t>NORRTÄLJE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15956-2023</t>
        </is>
      </c>
      <c r="B1102" s="1" t="n">
        <v>45022</v>
      </c>
      <c r="C1102" s="1" t="n">
        <v>45583</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15954-2023</t>
        </is>
      </c>
      <c r="B1103" s="1" t="n">
        <v>45022</v>
      </c>
      <c r="C1103" s="1" t="n">
        <v>45583</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16006-2023</t>
        </is>
      </c>
      <c r="B1104" s="1" t="n">
        <v>45025</v>
      </c>
      <c r="C1104" s="1" t="n">
        <v>45583</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16980-2023</t>
        </is>
      </c>
      <c r="B1105" s="1" t="n">
        <v>45033</v>
      </c>
      <c r="C1105" s="1" t="n">
        <v>45583</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16977-2023</t>
        </is>
      </c>
      <c r="B1106" s="1" t="n">
        <v>45033</v>
      </c>
      <c r="C1106" s="1" t="n">
        <v>45583</v>
      </c>
      <c r="D1106" t="inlineStr">
        <is>
          <t>STOCKHOLMS LÄN</t>
        </is>
      </c>
      <c r="E1106" t="inlineStr">
        <is>
          <t>NORRTÄLJE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17140-2023</t>
        </is>
      </c>
      <c r="B1107" s="1" t="n">
        <v>45034</v>
      </c>
      <c r="C1107" s="1" t="n">
        <v>45583</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17133-2023</t>
        </is>
      </c>
      <c r="B1108" s="1" t="n">
        <v>45034</v>
      </c>
      <c r="C1108" s="1" t="n">
        <v>45583</v>
      </c>
      <c r="D1108" t="inlineStr">
        <is>
          <t>STOCKHOLMS LÄN</t>
        </is>
      </c>
      <c r="E1108" t="inlineStr">
        <is>
          <t>NORRTÄLJE</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17919-2023</t>
        </is>
      </c>
      <c r="B1109" s="1" t="n">
        <v>45040</v>
      </c>
      <c r="C1109" s="1" t="n">
        <v>45583</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17939-2023</t>
        </is>
      </c>
      <c r="B1110" s="1" t="n">
        <v>45040</v>
      </c>
      <c r="C1110" s="1" t="n">
        <v>45583</v>
      </c>
      <c r="D1110" t="inlineStr">
        <is>
          <t>STOCKHOLMS LÄN</t>
        </is>
      </c>
      <c r="E1110" t="inlineStr">
        <is>
          <t>NORRTÄLJE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17930-2023</t>
        </is>
      </c>
      <c r="B1111" s="1" t="n">
        <v>45040</v>
      </c>
      <c r="C1111" s="1" t="n">
        <v>45583</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17984-2023</t>
        </is>
      </c>
      <c r="B1112" s="1" t="n">
        <v>45040</v>
      </c>
      <c r="C1112" s="1" t="n">
        <v>45583</v>
      </c>
      <c r="D1112" t="inlineStr">
        <is>
          <t>STOCKHOLMS LÄN</t>
        </is>
      </c>
      <c r="E1112" t="inlineStr">
        <is>
          <t>NORRTÄLJE</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18023-2023</t>
        </is>
      </c>
      <c r="B1113" s="1" t="n">
        <v>45040</v>
      </c>
      <c r="C1113" s="1" t="n">
        <v>45583</v>
      </c>
      <c r="D1113" t="inlineStr">
        <is>
          <t>STOCKHOLMS LÄN</t>
        </is>
      </c>
      <c r="E1113" t="inlineStr">
        <is>
          <t>NORRTÄLJE</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18541-2023</t>
        </is>
      </c>
      <c r="B1114" s="1" t="n">
        <v>45042</v>
      </c>
      <c r="C1114" s="1" t="n">
        <v>45583</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18540-2023</t>
        </is>
      </c>
      <c r="B1115" s="1" t="n">
        <v>45042</v>
      </c>
      <c r="C1115" s="1" t="n">
        <v>45583</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18895-2023</t>
        </is>
      </c>
      <c r="B1116" s="1" t="n">
        <v>45044</v>
      </c>
      <c r="C1116" s="1" t="n">
        <v>45583</v>
      </c>
      <c r="D1116" t="inlineStr">
        <is>
          <t>STOCKHOLMS LÄN</t>
        </is>
      </c>
      <c r="E1116" t="inlineStr">
        <is>
          <t>NORRTÄLJE</t>
        </is>
      </c>
      <c r="F1116" t="inlineStr">
        <is>
          <t>Kommuner</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19074-2023</t>
        </is>
      </c>
      <c r="B1117" s="1" t="n">
        <v>45048</v>
      </c>
      <c r="C1117" s="1" t="n">
        <v>45583</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19058-2023</t>
        </is>
      </c>
      <c r="B1118" s="1" t="n">
        <v>45048</v>
      </c>
      <c r="C1118" s="1" t="n">
        <v>45583</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19702-2023</t>
        </is>
      </c>
      <c r="B1119" s="1" t="n">
        <v>45051</v>
      </c>
      <c r="C1119" s="1" t="n">
        <v>45583</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19706-2023</t>
        </is>
      </c>
      <c r="B1120" s="1" t="n">
        <v>45051</v>
      </c>
      <c r="C1120" s="1" t="n">
        <v>45583</v>
      </c>
      <c r="D1120" t="inlineStr">
        <is>
          <t>STOCKHOLMS LÄN</t>
        </is>
      </c>
      <c r="E1120" t="inlineStr">
        <is>
          <t>NORRTÄLJE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19719-2023</t>
        </is>
      </c>
      <c r="B1121" s="1" t="n">
        <v>45051</v>
      </c>
      <c r="C1121" s="1" t="n">
        <v>45583</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19951-2023</t>
        </is>
      </c>
      <c r="B1122" s="1" t="n">
        <v>45054</v>
      </c>
      <c r="C1122" s="1" t="n">
        <v>45583</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19971-2023</t>
        </is>
      </c>
      <c r="B1123" s="1" t="n">
        <v>45054</v>
      </c>
      <c r="C1123" s="1" t="n">
        <v>45583</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19994-2023</t>
        </is>
      </c>
      <c r="B1124" s="1" t="n">
        <v>45054</v>
      </c>
      <c r="C1124" s="1" t="n">
        <v>45583</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19952-2023</t>
        </is>
      </c>
      <c r="B1125" s="1" t="n">
        <v>45054</v>
      </c>
      <c r="C1125" s="1" t="n">
        <v>45583</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20004-2023</t>
        </is>
      </c>
      <c r="B1126" s="1" t="n">
        <v>45054</v>
      </c>
      <c r="C1126" s="1" t="n">
        <v>45583</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20015-2023</t>
        </is>
      </c>
      <c r="B1127" s="1" t="n">
        <v>45054</v>
      </c>
      <c r="C1127" s="1" t="n">
        <v>45583</v>
      </c>
      <c r="D1127" t="inlineStr">
        <is>
          <t>STOCKHOLMS LÄN</t>
        </is>
      </c>
      <c r="E1127" t="inlineStr">
        <is>
          <t>NORRTÄLJE</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20144-2023</t>
        </is>
      </c>
      <c r="B1128" s="1" t="n">
        <v>45055</v>
      </c>
      <c r="C1128" s="1" t="n">
        <v>45583</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20304-2023</t>
        </is>
      </c>
      <c r="B1129" s="1" t="n">
        <v>45056</v>
      </c>
      <c r="C1129" s="1" t="n">
        <v>45583</v>
      </c>
      <c r="D1129" t="inlineStr">
        <is>
          <t>STOCKHOLMS LÄN</t>
        </is>
      </c>
      <c r="E1129" t="inlineStr">
        <is>
          <t>NORRTÄLJE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20535-2023</t>
        </is>
      </c>
      <c r="B1130" s="1" t="n">
        <v>45057</v>
      </c>
      <c r="C1130" s="1" t="n">
        <v>45583</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20852-2023</t>
        </is>
      </c>
      <c r="B1131" s="1" t="n">
        <v>45058</v>
      </c>
      <c r="C1131" s="1" t="n">
        <v>45583</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21237-2023</t>
        </is>
      </c>
      <c r="B1132" s="1" t="n">
        <v>45062</v>
      </c>
      <c r="C1132" s="1" t="n">
        <v>45583</v>
      </c>
      <c r="D1132" t="inlineStr">
        <is>
          <t>STOCKHOLMS LÄN</t>
        </is>
      </c>
      <c r="E1132" t="inlineStr">
        <is>
          <t>NORRTÄLJE</t>
        </is>
      </c>
      <c r="F1132" t="inlineStr">
        <is>
          <t>Övriga Aktiebolag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21386-2023</t>
        </is>
      </c>
      <c r="B1133" s="1" t="n">
        <v>45063</v>
      </c>
      <c r="C1133" s="1" t="n">
        <v>45583</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21435-2023</t>
        </is>
      </c>
      <c r="B1134" s="1" t="n">
        <v>45063</v>
      </c>
      <c r="C1134" s="1" t="n">
        <v>45583</v>
      </c>
      <c r="D1134" t="inlineStr">
        <is>
          <t>STOCKHOLMS LÄN</t>
        </is>
      </c>
      <c r="E1134" t="inlineStr">
        <is>
          <t>NORRTÄLJE</t>
        </is>
      </c>
      <c r="G1134" t="n">
        <v>19.1</v>
      </c>
      <c r="H1134" t="n">
        <v>0</v>
      </c>
      <c r="I1134" t="n">
        <v>0</v>
      </c>
      <c r="J1134" t="n">
        <v>0</v>
      </c>
      <c r="K1134" t="n">
        <v>0</v>
      </c>
      <c r="L1134" t="n">
        <v>0</v>
      </c>
      <c r="M1134" t="n">
        <v>0</v>
      </c>
      <c r="N1134" t="n">
        <v>0</v>
      </c>
      <c r="O1134" t="n">
        <v>0</v>
      </c>
      <c r="P1134" t="n">
        <v>0</v>
      </c>
      <c r="Q1134" t="n">
        <v>0</v>
      </c>
      <c r="R1134" s="2" t="inlineStr"/>
    </row>
    <row r="1135" ht="15" customHeight="1">
      <c r="A1135" t="inlineStr">
        <is>
          <t>A 21732-2023</t>
        </is>
      </c>
      <c r="B1135" s="1" t="n">
        <v>45063</v>
      </c>
      <c r="C1135" s="1" t="n">
        <v>45583</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21733-2023</t>
        </is>
      </c>
      <c r="B1136" s="1" t="n">
        <v>45063</v>
      </c>
      <c r="C1136" s="1" t="n">
        <v>45583</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21731-2023</t>
        </is>
      </c>
      <c r="B1137" s="1" t="n">
        <v>45063</v>
      </c>
      <c r="C1137" s="1" t="n">
        <v>45583</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21718-2023</t>
        </is>
      </c>
      <c r="B1138" s="1" t="n">
        <v>45065</v>
      </c>
      <c r="C1138" s="1" t="n">
        <v>45583</v>
      </c>
      <c r="D1138" t="inlineStr">
        <is>
          <t>STOCKHOLMS LÄN</t>
        </is>
      </c>
      <c r="E1138" t="inlineStr">
        <is>
          <t>NORRTÄLJE</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21719-2023</t>
        </is>
      </c>
      <c r="B1139" s="1" t="n">
        <v>45065</v>
      </c>
      <c r="C1139" s="1" t="n">
        <v>45583</v>
      </c>
      <c r="D1139" t="inlineStr">
        <is>
          <t>STOCKHOLMS LÄN</t>
        </is>
      </c>
      <c r="E1139" t="inlineStr">
        <is>
          <t>NORRTÄLJE</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21745-2023</t>
        </is>
      </c>
      <c r="B1140" s="1" t="n">
        <v>45065</v>
      </c>
      <c r="C1140" s="1" t="n">
        <v>45583</v>
      </c>
      <c r="D1140" t="inlineStr">
        <is>
          <t>STOCKHOLMS LÄN</t>
        </is>
      </c>
      <c r="E1140" t="inlineStr">
        <is>
          <t>NORRTÄLJE</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21720-2023</t>
        </is>
      </c>
      <c r="B1141" s="1" t="n">
        <v>45065</v>
      </c>
      <c r="C1141" s="1" t="n">
        <v>45583</v>
      </c>
      <c r="D1141" t="inlineStr">
        <is>
          <t>STOCKHOLMS LÄN</t>
        </is>
      </c>
      <c r="E1141" t="inlineStr">
        <is>
          <t>NORRTÄLJE</t>
        </is>
      </c>
      <c r="G1141" t="n">
        <v>13.6</v>
      </c>
      <c r="H1141" t="n">
        <v>0</v>
      </c>
      <c r="I1141" t="n">
        <v>0</v>
      </c>
      <c r="J1141" t="n">
        <v>0</v>
      </c>
      <c r="K1141" t="n">
        <v>0</v>
      </c>
      <c r="L1141" t="n">
        <v>0</v>
      </c>
      <c r="M1141" t="n">
        <v>0</v>
      </c>
      <c r="N1141" t="n">
        <v>0</v>
      </c>
      <c r="O1141" t="n">
        <v>0</v>
      </c>
      <c r="P1141" t="n">
        <v>0</v>
      </c>
      <c r="Q1141" t="n">
        <v>0</v>
      </c>
      <c r="R1141" s="2" t="inlineStr"/>
    </row>
    <row r="1142" ht="15" customHeight="1">
      <c r="A1142" t="inlineStr">
        <is>
          <t>A 21716-2023</t>
        </is>
      </c>
      <c r="B1142" s="1" t="n">
        <v>45065</v>
      </c>
      <c r="C1142" s="1" t="n">
        <v>45583</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21894-2023</t>
        </is>
      </c>
      <c r="B1143" s="1" t="n">
        <v>45068</v>
      </c>
      <c r="C1143" s="1" t="n">
        <v>45583</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21832-2023</t>
        </is>
      </c>
      <c r="B1144" s="1" t="n">
        <v>45068</v>
      </c>
      <c r="C1144" s="1" t="n">
        <v>45583</v>
      </c>
      <c r="D1144" t="inlineStr">
        <is>
          <t>STOCKHOLMS LÄN</t>
        </is>
      </c>
      <c r="E1144" t="inlineStr">
        <is>
          <t>NORRTÄLJE</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21825-2023</t>
        </is>
      </c>
      <c r="B1145" s="1" t="n">
        <v>45068</v>
      </c>
      <c r="C1145" s="1" t="n">
        <v>45583</v>
      </c>
      <c r="D1145" t="inlineStr">
        <is>
          <t>STOCKHOLMS LÄN</t>
        </is>
      </c>
      <c r="E1145" t="inlineStr">
        <is>
          <t>NORRTÄLJE</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21897-2023</t>
        </is>
      </c>
      <c r="B1146" s="1" t="n">
        <v>45068</v>
      </c>
      <c r="C1146" s="1" t="n">
        <v>45583</v>
      </c>
      <c r="D1146" t="inlineStr">
        <is>
          <t>STOCKHOLMS LÄN</t>
        </is>
      </c>
      <c r="E1146" t="inlineStr">
        <is>
          <t>NORRTÄLJE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21993-2023</t>
        </is>
      </c>
      <c r="B1147" s="1" t="n">
        <v>45068</v>
      </c>
      <c r="C1147" s="1" t="n">
        <v>45583</v>
      </c>
      <c r="D1147" t="inlineStr">
        <is>
          <t>STOCKHOLMS LÄN</t>
        </is>
      </c>
      <c r="E1147" t="inlineStr">
        <is>
          <t>NORRTÄLJE</t>
        </is>
      </c>
      <c r="G1147" t="n">
        <v>17.2</v>
      </c>
      <c r="H1147" t="n">
        <v>0</v>
      </c>
      <c r="I1147" t="n">
        <v>0</v>
      </c>
      <c r="J1147" t="n">
        <v>0</v>
      </c>
      <c r="K1147" t="n">
        <v>0</v>
      </c>
      <c r="L1147" t="n">
        <v>0</v>
      </c>
      <c r="M1147" t="n">
        <v>0</v>
      </c>
      <c r="N1147" t="n">
        <v>0</v>
      </c>
      <c r="O1147" t="n">
        <v>0</v>
      </c>
      <c r="P1147" t="n">
        <v>0</v>
      </c>
      <c r="Q1147" t="n">
        <v>0</v>
      </c>
      <c r="R1147" s="2" t="inlineStr"/>
    </row>
    <row r="1148" ht="15" customHeight="1">
      <c r="A1148" t="inlineStr">
        <is>
          <t>A 21961-2023</t>
        </is>
      </c>
      <c r="B1148" s="1" t="n">
        <v>45068</v>
      </c>
      <c r="C1148" s="1" t="n">
        <v>45583</v>
      </c>
      <c r="D1148" t="inlineStr">
        <is>
          <t>STOCKHOLMS LÄN</t>
        </is>
      </c>
      <c r="E1148" t="inlineStr">
        <is>
          <t>NORRTÄLJE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22157-2023</t>
        </is>
      </c>
      <c r="B1149" s="1" t="n">
        <v>45069</v>
      </c>
      <c r="C1149" s="1" t="n">
        <v>45583</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c r="U1149">
        <f>HYPERLINK("https://klasma.github.io/Logging_0188/knärot/A 22157-2023 karta knärot.png", "A 22157-2023")</f>
        <v/>
      </c>
      <c r="V1149">
        <f>HYPERLINK("https://klasma.github.io/Logging_0188/klagomål/A 22157-2023 FSC-klagomål.docx", "A 22157-2023")</f>
        <v/>
      </c>
      <c r="W1149">
        <f>HYPERLINK("https://klasma.github.io/Logging_0188/klagomålsmail/A 22157-2023 FSC-klagomål mail.docx", "A 22157-2023")</f>
        <v/>
      </c>
      <c r="X1149">
        <f>HYPERLINK("https://klasma.github.io/Logging_0188/tillsyn/A 22157-2023 tillsynsbegäran.docx", "A 22157-2023")</f>
        <v/>
      </c>
      <c r="Y1149">
        <f>HYPERLINK("https://klasma.github.io/Logging_0188/tillsynsmail/A 22157-2023 tillsynsbegäran mail.docx", "A 22157-2023")</f>
        <v/>
      </c>
    </row>
    <row r="1150" ht="15" customHeight="1">
      <c r="A1150" t="inlineStr">
        <is>
          <t>A 22175-2023</t>
        </is>
      </c>
      <c r="B1150" s="1" t="n">
        <v>45069</v>
      </c>
      <c r="C1150" s="1" t="n">
        <v>45583</v>
      </c>
      <c r="D1150" t="inlineStr">
        <is>
          <t>STOCKHOLMS LÄN</t>
        </is>
      </c>
      <c r="E1150" t="inlineStr">
        <is>
          <t>NORRTÄLJE</t>
        </is>
      </c>
      <c r="G1150" t="n">
        <v>32.7</v>
      </c>
      <c r="H1150" t="n">
        <v>0</v>
      </c>
      <c r="I1150" t="n">
        <v>0</v>
      </c>
      <c r="J1150" t="n">
        <v>0</v>
      </c>
      <c r="K1150" t="n">
        <v>0</v>
      </c>
      <c r="L1150" t="n">
        <v>0</v>
      </c>
      <c r="M1150" t="n">
        <v>0</v>
      </c>
      <c r="N1150" t="n">
        <v>0</v>
      </c>
      <c r="O1150" t="n">
        <v>0</v>
      </c>
      <c r="P1150" t="n">
        <v>0</v>
      </c>
      <c r="Q1150" t="n">
        <v>0</v>
      </c>
      <c r="R1150" s="2" t="inlineStr"/>
    </row>
    <row r="1151" ht="15" customHeight="1">
      <c r="A1151" t="inlineStr">
        <is>
          <t>A 22249-2023</t>
        </is>
      </c>
      <c r="B1151" s="1" t="n">
        <v>45070</v>
      </c>
      <c r="C1151" s="1" t="n">
        <v>45583</v>
      </c>
      <c r="D1151" t="inlineStr">
        <is>
          <t>STOCKHOLMS LÄN</t>
        </is>
      </c>
      <c r="E1151" t="inlineStr">
        <is>
          <t>NORRTÄLJE</t>
        </is>
      </c>
      <c r="F1151" t="inlineStr">
        <is>
          <t>Övriga Aktiebolag</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22398-2023</t>
        </is>
      </c>
      <c r="B1152" s="1" t="n">
        <v>45070</v>
      </c>
      <c r="C1152" s="1" t="n">
        <v>45583</v>
      </c>
      <c r="D1152" t="inlineStr">
        <is>
          <t>STOCKHOLMS LÄN</t>
        </is>
      </c>
      <c r="E1152" t="inlineStr">
        <is>
          <t>NORRTÄLJE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22376-2023</t>
        </is>
      </c>
      <c r="B1153" s="1" t="n">
        <v>45070</v>
      </c>
      <c r="C1153" s="1" t="n">
        <v>45583</v>
      </c>
      <c r="D1153" t="inlineStr">
        <is>
          <t>STOCKHOLMS LÄN</t>
        </is>
      </c>
      <c r="E1153" t="inlineStr">
        <is>
          <t>NORRTÄLJE</t>
        </is>
      </c>
      <c r="F1153" t="inlineStr">
        <is>
          <t>Kommuner</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22456-2023</t>
        </is>
      </c>
      <c r="B1154" s="1" t="n">
        <v>45070</v>
      </c>
      <c r="C1154" s="1" t="n">
        <v>45583</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22378-2023</t>
        </is>
      </c>
      <c r="B1155" s="1" t="n">
        <v>45070</v>
      </c>
      <c r="C1155" s="1" t="n">
        <v>45583</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22406-2023</t>
        </is>
      </c>
      <c r="B1156" s="1" t="n">
        <v>45070</v>
      </c>
      <c r="C1156" s="1" t="n">
        <v>45583</v>
      </c>
      <c r="D1156" t="inlineStr">
        <is>
          <t>STOCKHOLMS LÄN</t>
        </is>
      </c>
      <c r="E1156" t="inlineStr">
        <is>
          <t>NORRTÄLJE</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22553-2023</t>
        </is>
      </c>
      <c r="B1157" s="1" t="n">
        <v>45071</v>
      </c>
      <c r="C1157" s="1" t="n">
        <v>45583</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22962-2023</t>
        </is>
      </c>
      <c r="B1158" s="1" t="n">
        <v>45072</v>
      </c>
      <c r="C1158" s="1" t="n">
        <v>45583</v>
      </c>
      <c r="D1158" t="inlineStr">
        <is>
          <t>STOCKHOLMS LÄN</t>
        </is>
      </c>
      <c r="E1158" t="inlineStr">
        <is>
          <t>NORRTÄLJE</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23056-2023</t>
        </is>
      </c>
      <c r="B1159" s="1" t="n">
        <v>45075</v>
      </c>
      <c r="C1159" s="1" t="n">
        <v>45583</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23060-2023</t>
        </is>
      </c>
      <c r="B1160" s="1" t="n">
        <v>45075</v>
      </c>
      <c r="C1160" s="1" t="n">
        <v>45583</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23070-2023</t>
        </is>
      </c>
      <c r="B1161" s="1" t="n">
        <v>45075</v>
      </c>
      <c r="C1161" s="1" t="n">
        <v>45583</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23130-2023</t>
        </is>
      </c>
      <c r="B1162" s="1" t="n">
        <v>45075</v>
      </c>
      <c r="C1162" s="1" t="n">
        <v>45583</v>
      </c>
      <c r="D1162" t="inlineStr">
        <is>
          <t>STOCKHOLMS LÄN</t>
        </is>
      </c>
      <c r="E1162" t="inlineStr">
        <is>
          <t>NORRTÄLJE</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23265-2023</t>
        </is>
      </c>
      <c r="B1163" s="1" t="n">
        <v>45075</v>
      </c>
      <c r="C1163" s="1" t="n">
        <v>45583</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23269-2023</t>
        </is>
      </c>
      <c r="B1164" s="1" t="n">
        <v>45075</v>
      </c>
      <c r="C1164" s="1" t="n">
        <v>45583</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23273-2023</t>
        </is>
      </c>
      <c r="B1165" s="1" t="n">
        <v>45076</v>
      </c>
      <c r="C1165" s="1" t="n">
        <v>45583</v>
      </c>
      <c r="D1165" t="inlineStr">
        <is>
          <t>STOCKHOLMS LÄN</t>
        </is>
      </c>
      <c r="E1165" t="inlineStr">
        <is>
          <t>NORRTÄLJE</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23134-2023</t>
        </is>
      </c>
      <c r="B1166" s="1" t="n">
        <v>45075</v>
      </c>
      <c r="C1166" s="1" t="n">
        <v>45583</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23263-2023</t>
        </is>
      </c>
      <c r="B1167" s="1" t="n">
        <v>45075</v>
      </c>
      <c r="C1167" s="1" t="n">
        <v>45583</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23267-2023</t>
        </is>
      </c>
      <c r="B1168" s="1" t="n">
        <v>45075</v>
      </c>
      <c r="C1168" s="1" t="n">
        <v>45583</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23271-2023</t>
        </is>
      </c>
      <c r="B1169" s="1" t="n">
        <v>45075</v>
      </c>
      <c r="C1169" s="1" t="n">
        <v>45583</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23264-2023</t>
        </is>
      </c>
      <c r="B1170" s="1" t="n">
        <v>45075</v>
      </c>
      <c r="C1170" s="1" t="n">
        <v>45583</v>
      </c>
      <c r="D1170" t="inlineStr">
        <is>
          <t>STOCKHOLMS LÄN</t>
        </is>
      </c>
      <c r="E1170" t="inlineStr">
        <is>
          <t>NORRTÄLJE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23268-2023</t>
        </is>
      </c>
      <c r="B1171" s="1" t="n">
        <v>45075</v>
      </c>
      <c r="C1171" s="1" t="n">
        <v>45583</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23272-2023</t>
        </is>
      </c>
      <c r="B1172" s="1" t="n">
        <v>45075</v>
      </c>
      <c r="C1172" s="1" t="n">
        <v>45583</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23262-2023</t>
        </is>
      </c>
      <c r="B1173" s="1" t="n">
        <v>45075</v>
      </c>
      <c r="C1173" s="1" t="n">
        <v>45583</v>
      </c>
      <c r="D1173" t="inlineStr">
        <is>
          <t>STOCKHOLMS LÄN</t>
        </is>
      </c>
      <c r="E1173" t="inlineStr">
        <is>
          <t>NORRTÄLJE</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23266-2023</t>
        </is>
      </c>
      <c r="B1174" s="1" t="n">
        <v>45075</v>
      </c>
      <c r="C1174" s="1" t="n">
        <v>45583</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23270-2023</t>
        </is>
      </c>
      <c r="B1175" s="1" t="n">
        <v>45075</v>
      </c>
      <c r="C1175" s="1" t="n">
        <v>45583</v>
      </c>
      <c r="D1175" t="inlineStr">
        <is>
          <t>STOCKHOLMS LÄN</t>
        </is>
      </c>
      <c r="E1175" t="inlineStr">
        <is>
          <t>NORRTÄLJE</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23274-2023</t>
        </is>
      </c>
      <c r="B1176" s="1" t="n">
        <v>45076</v>
      </c>
      <c r="C1176" s="1" t="n">
        <v>45583</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23699-2023</t>
        </is>
      </c>
      <c r="B1177" s="1" t="n">
        <v>45077</v>
      </c>
      <c r="C1177" s="1" t="n">
        <v>45583</v>
      </c>
      <c r="D1177" t="inlineStr">
        <is>
          <t>STOCKHOLMS LÄN</t>
        </is>
      </c>
      <c r="E1177" t="inlineStr">
        <is>
          <t>NORRTÄLJE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24129-2023</t>
        </is>
      </c>
      <c r="B1178" s="1" t="n">
        <v>45079</v>
      </c>
      <c r="C1178" s="1" t="n">
        <v>45583</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24330-2023</t>
        </is>
      </c>
      <c r="B1179" s="1" t="n">
        <v>45081</v>
      </c>
      <c r="C1179" s="1" t="n">
        <v>45583</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24520-2023</t>
        </is>
      </c>
      <c r="B1180" s="1" t="n">
        <v>45082</v>
      </c>
      <c r="C1180" s="1" t="n">
        <v>45583</v>
      </c>
      <c r="D1180" t="inlineStr">
        <is>
          <t>STOCKHOLMS LÄN</t>
        </is>
      </c>
      <c r="E1180" t="inlineStr">
        <is>
          <t>NORRTÄLJE</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24501-2023</t>
        </is>
      </c>
      <c r="B1181" s="1" t="n">
        <v>45082</v>
      </c>
      <c r="C1181" s="1" t="n">
        <v>45583</v>
      </c>
      <c r="D1181" t="inlineStr">
        <is>
          <t>STOCKHOLMS LÄN</t>
        </is>
      </c>
      <c r="E1181" t="inlineStr">
        <is>
          <t>NORRTÄLJE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24522-2023</t>
        </is>
      </c>
      <c r="B1182" s="1" t="n">
        <v>45082</v>
      </c>
      <c r="C1182" s="1" t="n">
        <v>45583</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24705-2023</t>
        </is>
      </c>
      <c r="B1183" s="1" t="n">
        <v>45084</v>
      </c>
      <c r="C1183" s="1" t="n">
        <v>45583</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24727-2023</t>
        </is>
      </c>
      <c r="B1184" s="1" t="n">
        <v>45084</v>
      </c>
      <c r="C1184" s="1" t="n">
        <v>45583</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24788-2023</t>
        </is>
      </c>
      <c r="B1185" s="1" t="n">
        <v>45084</v>
      </c>
      <c r="C1185" s="1" t="n">
        <v>45583</v>
      </c>
      <c r="D1185" t="inlineStr">
        <is>
          <t>STOCKHOLMS LÄN</t>
        </is>
      </c>
      <c r="E1185" t="inlineStr">
        <is>
          <t>NORRTÄLJE</t>
        </is>
      </c>
      <c r="F1185" t="inlineStr">
        <is>
          <t>Sveaskog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24789-2023</t>
        </is>
      </c>
      <c r="B1186" s="1" t="n">
        <v>45084</v>
      </c>
      <c r="C1186" s="1" t="n">
        <v>45583</v>
      </c>
      <c r="D1186" t="inlineStr">
        <is>
          <t>STOCKHOLMS LÄN</t>
        </is>
      </c>
      <c r="E1186" t="inlineStr">
        <is>
          <t>NORRTÄLJE</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24887-2023</t>
        </is>
      </c>
      <c r="B1187" s="1" t="n">
        <v>45085</v>
      </c>
      <c r="C1187" s="1" t="n">
        <v>45583</v>
      </c>
      <c r="D1187" t="inlineStr">
        <is>
          <t>STOCKHOLMS LÄN</t>
        </is>
      </c>
      <c r="E1187" t="inlineStr">
        <is>
          <t>NORRTÄLJE</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24933-2023</t>
        </is>
      </c>
      <c r="B1188" s="1" t="n">
        <v>45085</v>
      </c>
      <c r="C1188" s="1" t="n">
        <v>45583</v>
      </c>
      <c r="D1188" t="inlineStr">
        <is>
          <t>STOCKHOLMS LÄN</t>
        </is>
      </c>
      <c r="E1188" t="inlineStr">
        <is>
          <t>NORRTÄLJE</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25174-2023</t>
        </is>
      </c>
      <c r="B1189" s="1" t="n">
        <v>45086</v>
      </c>
      <c r="C1189" s="1" t="n">
        <v>45583</v>
      </c>
      <c r="D1189" t="inlineStr">
        <is>
          <t>STOCKHOLMS LÄN</t>
        </is>
      </c>
      <c r="E1189" t="inlineStr">
        <is>
          <t>NORRTÄLJE</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25094-2023</t>
        </is>
      </c>
      <c r="B1190" s="1" t="n">
        <v>45086</v>
      </c>
      <c r="C1190" s="1" t="n">
        <v>45583</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25257-2023</t>
        </is>
      </c>
      <c r="B1191" s="1" t="n">
        <v>45086</v>
      </c>
      <c r="C1191" s="1" t="n">
        <v>45583</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25614-2023</t>
        </is>
      </c>
      <c r="B1192" s="1" t="n">
        <v>45089</v>
      </c>
      <c r="C1192" s="1" t="n">
        <v>45583</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25625-2023</t>
        </is>
      </c>
      <c r="B1193" s="1" t="n">
        <v>45089</v>
      </c>
      <c r="C1193" s="1" t="n">
        <v>45583</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25557-2023</t>
        </is>
      </c>
      <c r="B1194" s="1" t="n">
        <v>45089</v>
      </c>
      <c r="C1194" s="1" t="n">
        <v>45583</v>
      </c>
      <c r="D1194" t="inlineStr">
        <is>
          <t>STOCKHOLMS LÄN</t>
        </is>
      </c>
      <c r="E1194" t="inlineStr">
        <is>
          <t>NORRTÄLJE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25609-2023</t>
        </is>
      </c>
      <c r="B1195" s="1" t="n">
        <v>45089</v>
      </c>
      <c r="C1195" s="1" t="n">
        <v>45583</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25618-2023</t>
        </is>
      </c>
      <c r="B1196" s="1" t="n">
        <v>45089</v>
      </c>
      <c r="C1196" s="1" t="n">
        <v>45583</v>
      </c>
      <c r="D1196" t="inlineStr">
        <is>
          <t>STOCKHOLMS LÄN</t>
        </is>
      </c>
      <c r="E1196" t="inlineStr">
        <is>
          <t>NORRTÄLJE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25656-2023</t>
        </is>
      </c>
      <c r="B1197" s="1" t="n">
        <v>45089</v>
      </c>
      <c r="C1197" s="1" t="n">
        <v>45583</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25654-2023</t>
        </is>
      </c>
      <c r="B1198" s="1" t="n">
        <v>45089</v>
      </c>
      <c r="C1198" s="1" t="n">
        <v>45583</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25831-2023</t>
        </is>
      </c>
      <c r="B1199" s="1" t="n">
        <v>45090</v>
      </c>
      <c r="C1199" s="1" t="n">
        <v>45583</v>
      </c>
      <c r="D1199" t="inlineStr">
        <is>
          <t>STOCKHOLMS LÄN</t>
        </is>
      </c>
      <c r="E1199" t="inlineStr">
        <is>
          <t>NORRTÄLJE</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25915-2023</t>
        </is>
      </c>
      <c r="B1200" s="1" t="n">
        <v>45090</v>
      </c>
      <c r="C1200" s="1" t="n">
        <v>45583</v>
      </c>
      <c r="D1200" t="inlineStr">
        <is>
          <t>STOCKHOLMS LÄN</t>
        </is>
      </c>
      <c r="E1200" t="inlineStr">
        <is>
          <t>NORRTÄLJE</t>
        </is>
      </c>
      <c r="F1200" t="inlineStr">
        <is>
          <t>Naturvårdsverket</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26065-2023</t>
        </is>
      </c>
      <c r="B1201" s="1" t="n">
        <v>45091</v>
      </c>
      <c r="C1201" s="1" t="n">
        <v>45583</v>
      </c>
      <c r="D1201" t="inlineStr">
        <is>
          <t>STOCKHOLMS LÄN</t>
        </is>
      </c>
      <c r="E1201" t="inlineStr">
        <is>
          <t>NORRTÄLJE</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26315-2023</t>
        </is>
      </c>
      <c r="B1202" s="1" t="n">
        <v>45091</v>
      </c>
      <c r="C1202" s="1" t="n">
        <v>45583</v>
      </c>
      <c r="D1202" t="inlineStr">
        <is>
          <t>STOCKHOLMS LÄN</t>
        </is>
      </c>
      <c r="E1202" t="inlineStr">
        <is>
          <t>NORRTÄLJE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26570-2023</t>
        </is>
      </c>
      <c r="B1203" s="1" t="n">
        <v>45092</v>
      </c>
      <c r="C1203" s="1" t="n">
        <v>45583</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26636-2023</t>
        </is>
      </c>
      <c r="B1204" s="1" t="n">
        <v>45092</v>
      </c>
      <c r="C1204" s="1" t="n">
        <v>45583</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26640-2023</t>
        </is>
      </c>
      <c r="B1205" s="1" t="n">
        <v>45092</v>
      </c>
      <c r="C1205" s="1" t="n">
        <v>45583</v>
      </c>
      <c r="D1205" t="inlineStr">
        <is>
          <t>STOCKHOLMS LÄN</t>
        </is>
      </c>
      <c r="E1205" t="inlineStr">
        <is>
          <t>NORRTÄLJE</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26637-2023</t>
        </is>
      </c>
      <c r="B1206" s="1" t="n">
        <v>45092</v>
      </c>
      <c r="C1206" s="1" t="n">
        <v>45583</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26639-2023</t>
        </is>
      </c>
      <c r="B1207" s="1" t="n">
        <v>45092</v>
      </c>
      <c r="C1207" s="1" t="n">
        <v>45583</v>
      </c>
      <c r="D1207" t="inlineStr">
        <is>
          <t>STOCKHOLMS LÄN</t>
        </is>
      </c>
      <c r="E1207" t="inlineStr">
        <is>
          <t>NORRTÄLJE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27651-2023</t>
        </is>
      </c>
      <c r="B1208" s="1" t="n">
        <v>45097</v>
      </c>
      <c r="C1208" s="1" t="n">
        <v>45583</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28281-2023</t>
        </is>
      </c>
      <c r="B1209" s="1" t="n">
        <v>45099</v>
      </c>
      <c r="C1209" s="1" t="n">
        <v>45583</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28820-2023</t>
        </is>
      </c>
      <c r="B1210" s="1" t="n">
        <v>45104</v>
      </c>
      <c r="C1210" s="1" t="n">
        <v>45583</v>
      </c>
      <c r="D1210" t="inlineStr">
        <is>
          <t>STOCKHOLMS LÄN</t>
        </is>
      </c>
      <c r="E1210" t="inlineStr">
        <is>
          <t>NORRTÄLJE</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28813-2023</t>
        </is>
      </c>
      <c r="B1211" s="1" t="n">
        <v>45104</v>
      </c>
      <c r="C1211" s="1" t="n">
        <v>45583</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29003-2023</t>
        </is>
      </c>
      <c r="B1212" s="1" t="n">
        <v>45104</v>
      </c>
      <c r="C1212" s="1" t="n">
        <v>45583</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28816-2023</t>
        </is>
      </c>
      <c r="B1213" s="1" t="n">
        <v>45104</v>
      </c>
      <c r="C1213" s="1" t="n">
        <v>45583</v>
      </c>
      <c r="D1213" t="inlineStr">
        <is>
          <t>STOCKHOLMS LÄN</t>
        </is>
      </c>
      <c r="E1213" t="inlineStr">
        <is>
          <t>NORRTÄLJE</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28809-2023</t>
        </is>
      </c>
      <c r="B1214" s="1" t="n">
        <v>45104</v>
      </c>
      <c r="C1214" s="1" t="n">
        <v>45583</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29254-2023</t>
        </is>
      </c>
      <c r="B1215" s="1" t="n">
        <v>45105</v>
      </c>
      <c r="C1215" s="1" t="n">
        <v>45583</v>
      </c>
      <c r="D1215" t="inlineStr">
        <is>
          <t>STOCKHOLMS LÄN</t>
        </is>
      </c>
      <c r="E1215" t="inlineStr">
        <is>
          <t>NORRTÄLJE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29433-2023</t>
        </is>
      </c>
      <c r="B1216" s="1" t="n">
        <v>45106</v>
      </c>
      <c r="C1216" s="1" t="n">
        <v>45583</v>
      </c>
      <c r="D1216" t="inlineStr">
        <is>
          <t>STOCKHOLMS LÄN</t>
        </is>
      </c>
      <c r="E1216" t="inlineStr">
        <is>
          <t>NORRTÄLJE</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29681-2023</t>
        </is>
      </c>
      <c r="B1217" s="1" t="n">
        <v>45107</v>
      </c>
      <c r="C1217" s="1" t="n">
        <v>45583</v>
      </c>
      <c r="D1217" t="inlineStr">
        <is>
          <t>STOCKHOLMS LÄN</t>
        </is>
      </c>
      <c r="E1217" t="inlineStr">
        <is>
          <t>NORRTÄLJE</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29710-2023</t>
        </is>
      </c>
      <c r="B1218" s="1" t="n">
        <v>45107</v>
      </c>
      <c r="C1218" s="1" t="n">
        <v>45583</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29714-2023</t>
        </is>
      </c>
      <c r="B1219" s="1" t="n">
        <v>45107</v>
      </c>
      <c r="C1219" s="1" t="n">
        <v>45583</v>
      </c>
      <c r="D1219" t="inlineStr">
        <is>
          <t>STOCKHOLMS LÄN</t>
        </is>
      </c>
      <c r="E1219" t="inlineStr">
        <is>
          <t>NORRTÄLJE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30116-2023</t>
        </is>
      </c>
      <c r="B1220" s="1" t="n">
        <v>45110</v>
      </c>
      <c r="C1220" s="1" t="n">
        <v>45583</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30281-2023</t>
        </is>
      </c>
      <c r="B1221" s="1" t="n">
        <v>45110</v>
      </c>
      <c r="C1221" s="1" t="n">
        <v>45583</v>
      </c>
      <c r="D1221" t="inlineStr">
        <is>
          <t>STOCKHOLMS LÄN</t>
        </is>
      </c>
      <c r="E1221" t="inlineStr">
        <is>
          <t>NORRTÄLJE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30508-2023</t>
        </is>
      </c>
      <c r="B1222" s="1" t="n">
        <v>45111</v>
      </c>
      <c r="C1222" s="1" t="n">
        <v>45583</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30496-2023</t>
        </is>
      </c>
      <c r="B1223" s="1" t="n">
        <v>45111</v>
      </c>
      <c r="C1223" s="1" t="n">
        <v>45583</v>
      </c>
      <c r="D1223" t="inlineStr">
        <is>
          <t>STOCKHOLMS LÄN</t>
        </is>
      </c>
      <c r="E1223" t="inlineStr">
        <is>
          <t>NORRTÄLJE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30516-2023</t>
        </is>
      </c>
      <c r="B1224" s="1" t="n">
        <v>45111</v>
      </c>
      <c r="C1224" s="1" t="n">
        <v>45583</v>
      </c>
      <c r="D1224" t="inlineStr">
        <is>
          <t>STOCKHOLMS LÄN</t>
        </is>
      </c>
      <c r="E1224" t="inlineStr">
        <is>
          <t>NORRTÄLJE</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30525-2023</t>
        </is>
      </c>
      <c r="B1225" s="1" t="n">
        <v>45111</v>
      </c>
      <c r="C1225" s="1" t="n">
        <v>45583</v>
      </c>
      <c r="D1225" t="inlineStr">
        <is>
          <t>STOCKHOLMS LÄN</t>
        </is>
      </c>
      <c r="E1225" t="inlineStr">
        <is>
          <t>NORRTÄLJE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30424-2023</t>
        </is>
      </c>
      <c r="B1226" s="1" t="n">
        <v>45111</v>
      </c>
      <c r="C1226" s="1" t="n">
        <v>45583</v>
      </c>
      <c r="D1226" t="inlineStr">
        <is>
          <t>STOCKHOLMS LÄN</t>
        </is>
      </c>
      <c r="E1226" t="inlineStr">
        <is>
          <t>NORRTÄLJE</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30425-2023</t>
        </is>
      </c>
      <c r="B1227" s="1" t="n">
        <v>45111</v>
      </c>
      <c r="C1227" s="1" t="n">
        <v>45583</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30731-2023</t>
        </is>
      </c>
      <c r="B1228" s="1" t="n">
        <v>45112</v>
      </c>
      <c r="C1228" s="1" t="n">
        <v>45583</v>
      </c>
      <c r="D1228" t="inlineStr">
        <is>
          <t>STOCKHOLMS LÄN</t>
        </is>
      </c>
      <c r="E1228" t="inlineStr">
        <is>
          <t>NORRTÄLJE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30663-2023</t>
        </is>
      </c>
      <c r="B1229" s="1" t="n">
        <v>45112</v>
      </c>
      <c r="C1229" s="1" t="n">
        <v>45583</v>
      </c>
      <c r="D1229" t="inlineStr">
        <is>
          <t>STOCKHOLMS LÄN</t>
        </is>
      </c>
      <c r="E1229" t="inlineStr">
        <is>
          <t>NORRTÄLJE</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30780-2023</t>
        </is>
      </c>
      <c r="B1230" s="1" t="n">
        <v>45112</v>
      </c>
      <c r="C1230" s="1" t="n">
        <v>45583</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30773-2023</t>
        </is>
      </c>
      <c r="B1231" s="1" t="n">
        <v>45112</v>
      </c>
      <c r="C1231" s="1" t="n">
        <v>45583</v>
      </c>
      <c r="D1231" t="inlineStr">
        <is>
          <t>STOCKHOLMS LÄN</t>
        </is>
      </c>
      <c r="E1231" t="inlineStr">
        <is>
          <t>NORRTÄLJE</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30924-2023</t>
        </is>
      </c>
      <c r="B1232" s="1" t="n">
        <v>45113</v>
      </c>
      <c r="C1232" s="1" t="n">
        <v>45583</v>
      </c>
      <c r="D1232" t="inlineStr">
        <is>
          <t>STOCKHOLMS LÄN</t>
        </is>
      </c>
      <c r="E1232" t="inlineStr">
        <is>
          <t>NORRTÄLJE</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30923-2023</t>
        </is>
      </c>
      <c r="B1233" s="1" t="n">
        <v>45113</v>
      </c>
      <c r="C1233" s="1" t="n">
        <v>45583</v>
      </c>
      <c r="D1233" t="inlineStr">
        <is>
          <t>STOCKHOLMS LÄN</t>
        </is>
      </c>
      <c r="E1233" t="inlineStr">
        <is>
          <t>NORRTÄLJE</t>
        </is>
      </c>
      <c r="F1233" t="inlineStr">
        <is>
          <t>Sveaskog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31140-2023</t>
        </is>
      </c>
      <c r="B1234" s="1" t="n">
        <v>45113</v>
      </c>
      <c r="C1234" s="1" t="n">
        <v>45583</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30921-2023</t>
        </is>
      </c>
      <c r="B1235" s="1" t="n">
        <v>45113</v>
      </c>
      <c r="C1235" s="1" t="n">
        <v>45583</v>
      </c>
      <c r="D1235" t="inlineStr">
        <is>
          <t>STOCKHOLMS LÄN</t>
        </is>
      </c>
      <c r="E1235" t="inlineStr">
        <is>
          <t>NORRTÄLJE</t>
        </is>
      </c>
      <c r="F1235" t="inlineStr">
        <is>
          <t>Sveaskog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31149-2023</t>
        </is>
      </c>
      <c r="B1236" s="1" t="n">
        <v>45113</v>
      </c>
      <c r="C1236" s="1" t="n">
        <v>45583</v>
      </c>
      <c r="D1236" t="inlineStr">
        <is>
          <t>STOCKHOLMS LÄN</t>
        </is>
      </c>
      <c r="E1236" t="inlineStr">
        <is>
          <t>NORRTÄLJE</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31153-2023</t>
        </is>
      </c>
      <c r="B1237" s="1" t="n">
        <v>45113</v>
      </c>
      <c r="C1237" s="1" t="n">
        <v>45583</v>
      </c>
      <c r="D1237" t="inlineStr">
        <is>
          <t>STOCKHOLMS LÄN</t>
        </is>
      </c>
      <c r="E1237" t="inlineStr">
        <is>
          <t>NORRTÄLJE</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31827-2023</t>
        </is>
      </c>
      <c r="B1238" s="1" t="n">
        <v>45118</v>
      </c>
      <c r="C1238" s="1" t="n">
        <v>45583</v>
      </c>
      <c r="D1238" t="inlineStr">
        <is>
          <t>STOCKHOLMS LÄN</t>
        </is>
      </c>
      <c r="E1238" t="inlineStr">
        <is>
          <t>NORRTÄLJE</t>
        </is>
      </c>
      <c r="F1238" t="inlineStr">
        <is>
          <t>Kyrkan</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31832-2023</t>
        </is>
      </c>
      <c r="B1239" s="1" t="n">
        <v>45118</v>
      </c>
      <c r="C1239" s="1" t="n">
        <v>45583</v>
      </c>
      <c r="D1239" t="inlineStr">
        <is>
          <t>STOCKHOLMS LÄN</t>
        </is>
      </c>
      <c r="E1239" t="inlineStr">
        <is>
          <t>NORRTÄLJE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32071-2023</t>
        </is>
      </c>
      <c r="B1240" s="1" t="n">
        <v>45119</v>
      </c>
      <c r="C1240" s="1" t="n">
        <v>45583</v>
      </c>
      <c r="D1240" t="inlineStr">
        <is>
          <t>STOCKHOLMS LÄN</t>
        </is>
      </c>
      <c r="E1240" t="inlineStr">
        <is>
          <t>NORRTÄLJE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32621-2023</t>
        </is>
      </c>
      <c r="B1241" s="1" t="n">
        <v>45121</v>
      </c>
      <c r="C1241" s="1" t="n">
        <v>45583</v>
      </c>
      <c r="D1241" t="inlineStr">
        <is>
          <t>STOCKHOLMS LÄN</t>
        </is>
      </c>
      <c r="E1241" t="inlineStr">
        <is>
          <t>NORRTÄLJE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32595-2023</t>
        </is>
      </c>
      <c r="B1242" s="1" t="n">
        <v>45121</v>
      </c>
      <c r="C1242" s="1" t="n">
        <v>45583</v>
      </c>
      <c r="D1242" t="inlineStr">
        <is>
          <t>STOCKHOLMS LÄN</t>
        </is>
      </c>
      <c r="E1242" t="inlineStr">
        <is>
          <t>NORRTÄLJE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32948-2023</t>
        </is>
      </c>
      <c r="B1243" s="1" t="n">
        <v>45125</v>
      </c>
      <c r="C1243" s="1" t="n">
        <v>45583</v>
      </c>
      <c r="D1243" t="inlineStr">
        <is>
          <t>STOCKHOLMS LÄN</t>
        </is>
      </c>
      <c r="E1243" t="inlineStr">
        <is>
          <t>NORRTÄLJE</t>
        </is>
      </c>
      <c r="F1243" t="inlineStr">
        <is>
          <t>Holmen skog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33025-2023</t>
        </is>
      </c>
      <c r="B1244" s="1" t="n">
        <v>45125</v>
      </c>
      <c r="C1244" s="1" t="n">
        <v>45583</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33130-2023</t>
        </is>
      </c>
      <c r="B1245" s="1" t="n">
        <v>45126</v>
      </c>
      <c r="C1245" s="1" t="n">
        <v>45583</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33295-2023</t>
        </is>
      </c>
      <c r="B1246" s="1" t="n">
        <v>45127</v>
      </c>
      <c r="C1246" s="1" t="n">
        <v>45583</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33270-2023</t>
        </is>
      </c>
      <c r="B1247" s="1" t="n">
        <v>45127</v>
      </c>
      <c r="C1247" s="1" t="n">
        <v>45583</v>
      </c>
      <c r="D1247" t="inlineStr">
        <is>
          <t>STOCKHOLMS LÄN</t>
        </is>
      </c>
      <c r="E1247" t="inlineStr">
        <is>
          <t>NORRTÄLJE</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33226-2023</t>
        </is>
      </c>
      <c r="B1248" s="1" t="n">
        <v>45127</v>
      </c>
      <c r="C1248" s="1" t="n">
        <v>45583</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33243-2023</t>
        </is>
      </c>
      <c r="B1249" s="1" t="n">
        <v>45127</v>
      </c>
      <c r="C1249" s="1" t="n">
        <v>45583</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33291-2023</t>
        </is>
      </c>
      <c r="B1250" s="1" t="n">
        <v>45127</v>
      </c>
      <c r="C1250" s="1" t="n">
        <v>45583</v>
      </c>
      <c r="D1250" t="inlineStr">
        <is>
          <t>STOCKHOLMS LÄN</t>
        </is>
      </c>
      <c r="E1250" t="inlineStr">
        <is>
          <t>NORRTÄLJE</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33353-2023</t>
        </is>
      </c>
      <c r="B1251" s="1" t="n">
        <v>45128</v>
      </c>
      <c r="C1251" s="1" t="n">
        <v>45583</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33569-2023</t>
        </is>
      </c>
      <c r="B1252" s="1" t="n">
        <v>45131</v>
      </c>
      <c r="C1252" s="1" t="n">
        <v>45583</v>
      </c>
      <c r="D1252" t="inlineStr">
        <is>
          <t>STOCKHOLMS LÄN</t>
        </is>
      </c>
      <c r="E1252" t="inlineStr">
        <is>
          <t>NORRTÄLJE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33646-2023</t>
        </is>
      </c>
      <c r="B1253" s="1" t="n">
        <v>45132</v>
      </c>
      <c r="C1253" s="1" t="n">
        <v>45583</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33641-2023</t>
        </is>
      </c>
      <c r="B1254" s="1" t="n">
        <v>45132</v>
      </c>
      <c r="C1254" s="1" t="n">
        <v>45583</v>
      </c>
      <c r="D1254" t="inlineStr">
        <is>
          <t>STOCKHOLMS LÄN</t>
        </is>
      </c>
      <c r="E1254" t="inlineStr">
        <is>
          <t>NORRTÄLJE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34085-2023</t>
        </is>
      </c>
      <c r="B1255" s="1" t="n">
        <v>45135</v>
      </c>
      <c r="C1255" s="1" t="n">
        <v>45583</v>
      </c>
      <c r="D1255" t="inlineStr">
        <is>
          <t>STOCKHOLMS LÄN</t>
        </is>
      </c>
      <c r="E1255" t="inlineStr">
        <is>
          <t>NORRTÄLJE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34084-2023</t>
        </is>
      </c>
      <c r="B1256" s="1" t="n">
        <v>45135</v>
      </c>
      <c r="C1256" s="1" t="n">
        <v>45583</v>
      </c>
      <c r="D1256" t="inlineStr">
        <is>
          <t>STOCKHOLMS LÄN</t>
        </is>
      </c>
      <c r="E1256" t="inlineStr">
        <is>
          <t>NORRTÄLJE</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34132-2023</t>
        </is>
      </c>
      <c r="B1257" s="1" t="n">
        <v>45135</v>
      </c>
      <c r="C1257" s="1" t="n">
        <v>45583</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34391-2023</t>
        </is>
      </c>
      <c r="B1258" s="1" t="n">
        <v>45139</v>
      </c>
      <c r="C1258" s="1" t="n">
        <v>45583</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34461-2023</t>
        </is>
      </c>
      <c r="B1259" s="1" t="n">
        <v>45139</v>
      </c>
      <c r="C1259" s="1" t="n">
        <v>45583</v>
      </c>
      <c r="D1259" t="inlineStr">
        <is>
          <t>STOCKHOLMS LÄN</t>
        </is>
      </c>
      <c r="E1259" t="inlineStr">
        <is>
          <t>NORRTÄLJE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34462-2023</t>
        </is>
      </c>
      <c r="B1260" s="1" t="n">
        <v>45139</v>
      </c>
      <c r="C1260" s="1" t="n">
        <v>45583</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34825-2023</t>
        </is>
      </c>
      <c r="B1261" s="1" t="n">
        <v>45141</v>
      </c>
      <c r="C1261" s="1" t="n">
        <v>45583</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35215-2023</t>
        </is>
      </c>
      <c r="B1262" s="1" t="n">
        <v>45145</v>
      </c>
      <c r="C1262" s="1" t="n">
        <v>45583</v>
      </c>
      <c r="D1262" t="inlineStr">
        <is>
          <t>STOCKHOLMS LÄN</t>
        </is>
      </c>
      <c r="E1262" t="inlineStr">
        <is>
          <t>NORRTÄLJE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35219-2023</t>
        </is>
      </c>
      <c r="B1263" s="1" t="n">
        <v>45145</v>
      </c>
      <c r="C1263" s="1" t="n">
        <v>45583</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35127-2023</t>
        </is>
      </c>
      <c r="B1264" s="1" t="n">
        <v>45145</v>
      </c>
      <c r="C1264" s="1" t="n">
        <v>45583</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35131-2023</t>
        </is>
      </c>
      <c r="B1265" s="1" t="n">
        <v>45145</v>
      </c>
      <c r="C1265" s="1" t="n">
        <v>45583</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35128-2023</t>
        </is>
      </c>
      <c r="B1266" s="1" t="n">
        <v>45145</v>
      </c>
      <c r="C1266" s="1" t="n">
        <v>45583</v>
      </c>
      <c r="D1266" t="inlineStr">
        <is>
          <t>STOCKHOLMS LÄN</t>
        </is>
      </c>
      <c r="E1266" t="inlineStr">
        <is>
          <t>NORRTÄLJE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35210-2023</t>
        </is>
      </c>
      <c r="B1267" s="1" t="n">
        <v>45145</v>
      </c>
      <c r="C1267" s="1" t="n">
        <v>45583</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35438-2023</t>
        </is>
      </c>
      <c r="B1268" s="1" t="n">
        <v>45146</v>
      </c>
      <c r="C1268" s="1" t="n">
        <v>45583</v>
      </c>
      <c r="D1268" t="inlineStr">
        <is>
          <t>STOCKHOLMS LÄN</t>
        </is>
      </c>
      <c r="E1268" t="inlineStr">
        <is>
          <t>NORRTÄLJE</t>
        </is>
      </c>
      <c r="F1268" t="inlineStr">
        <is>
          <t>Kommuner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35698-2023</t>
        </is>
      </c>
      <c r="B1269" s="1" t="n">
        <v>45147</v>
      </c>
      <c r="C1269" s="1" t="n">
        <v>45583</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35702-2023</t>
        </is>
      </c>
      <c r="B1270" s="1" t="n">
        <v>45147</v>
      </c>
      <c r="C1270" s="1" t="n">
        <v>45583</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35691-2023</t>
        </is>
      </c>
      <c r="B1271" s="1" t="n">
        <v>45147</v>
      </c>
      <c r="C1271" s="1" t="n">
        <v>45583</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35695-2023</t>
        </is>
      </c>
      <c r="B1272" s="1" t="n">
        <v>45147</v>
      </c>
      <c r="C1272" s="1" t="n">
        <v>45583</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35696-2023</t>
        </is>
      </c>
      <c r="B1273" s="1" t="n">
        <v>45147</v>
      </c>
      <c r="C1273" s="1" t="n">
        <v>45583</v>
      </c>
      <c r="D1273" t="inlineStr">
        <is>
          <t>STOCKHOLMS LÄN</t>
        </is>
      </c>
      <c r="E1273" t="inlineStr">
        <is>
          <t>NORRTÄLJE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35700-2023</t>
        </is>
      </c>
      <c r="B1274" s="1" t="n">
        <v>45147</v>
      </c>
      <c r="C1274" s="1" t="n">
        <v>45583</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35704-2023</t>
        </is>
      </c>
      <c r="B1275" s="1" t="n">
        <v>45147</v>
      </c>
      <c r="C1275" s="1" t="n">
        <v>45583</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35693-2023</t>
        </is>
      </c>
      <c r="B1276" s="1" t="n">
        <v>45147</v>
      </c>
      <c r="C1276" s="1" t="n">
        <v>45583</v>
      </c>
      <c r="D1276" t="inlineStr">
        <is>
          <t>STOCKHOLMS LÄN</t>
        </is>
      </c>
      <c r="E1276" t="inlineStr">
        <is>
          <t>NORRTÄLJE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35701-2023</t>
        </is>
      </c>
      <c r="B1277" s="1" t="n">
        <v>45147</v>
      </c>
      <c r="C1277" s="1" t="n">
        <v>45583</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35823-2023</t>
        </is>
      </c>
      <c r="B1278" s="1" t="n">
        <v>45148</v>
      </c>
      <c r="C1278" s="1" t="n">
        <v>45583</v>
      </c>
      <c r="D1278" t="inlineStr">
        <is>
          <t>STOCKHOLMS LÄN</t>
        </is>
      </c>
      <c r="E1278" t="inlineStr">
        <is>
          <t>NORRTÄLJE</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36253-2023</t>
        </is>
      </c>
      <c r="B1279" s="1" t="n">
        <v>45151</v>
      </c>
      <c r="C1279" s="1" t="n">
        <v>45583</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36257-2023</t>
        </is>
      </c>
      <c r="B1280" s="1" t="n">
        <v>45151</v>
      </c>
      <c r="C1280" s="1" t="n">
        <v>45583</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36259-2023</t>
        </is>
      </c>
      <c r="B1281" s="1" t="n">
        <v>45151</v>
      </c>
      <c r="C1281" s="1" t="n">
        <v>45583</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36254-2023</t>
        </is>
      </c>
      <c r="B1282" s="1" t="n">
        <v>45151</v>
      </c>
      <c r="C1282" s="1" t="n">
        <v>45583</v>
      </c>
      <c r="D1282" t="inlineStr">
        <is>
          <t>STOCKHOLMS LÄN</t>
        </is>
      </c>
      <c r="E1282" t="inlineStr">
        <is>
          <t>NORRTÄLJE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36258-2023</t>
        </is>
      </c>
      <c r="B1283" s="1" t="n">
        <v>45151</v>
      </c>
      <c r="C1283" s="1" t="n">
        <v>45583</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36689-2023</t>
        </is>
      </c>
      <c r="B1284" s="1" t="n">
        <v>45152</v>
      </c>
      <c r="C1284" s="1" t="n">
        <v>45583</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36865-2023</t>
        </is>
      </c>
      <c r="B1285" s="1" t="n">
        <v>45154</v>
      </c>
      <c r="C1285" s="1" t="n">
        <v>45583</v>
      </c>
      <c r="D1285" t="inlineStr">
        <is>
          <t>STOCKHOLMS LÄN</t>
        </is>
      </c>
      <c r="E1285" t="inlineStr">
        <is>
          <t>NORRTÄLJE</t>
        </is>
      </c>
      <c r="F1285" t="inlineStr">
        <is>
          <t>Kyrkan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37139-2023</t>
        </is>
      </c>
      <c r="B1286" s="1" t="n">
        <v>45155</v>
      </c>
      <c r="C1286" s="1" t="n">
        <v>45583</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37136-2023</t>
        </is>
      </c>
      <c r="B1287" s="1" t="n">
        <v>45155</v>
      </c>
      <c r="C1287" s="1" t="n">
        <v>45583</v>
      </c>
      <c r="D1287" t="inlineStr">
        <is>
          <t>STOCKHOLMS LÄN</t>
        </is>
      </c>
      <c r="E1287" t="inlineStr">
        <is>
          <t>NORRTÄLJE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37147-2023</t>
        </is>
      </c>
      <c r="B1288" s="1" t="n">
        <v>45155</v>
      </c>
      <c r="C1288" s="1" t="n">
        <v>45583</v>
      </c>
      <c r="D1288" t="inlineStr">
        <is>
          <t>STOCKHOLMS LÄN</t>
        </is>
      </c>
      <c r="E1288" t="inlineStr">
        <is>
          <t>NORRTÄLJE</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37670-2023</t>
        </is>
      </c>
      <c r="B1289" s="1" t="n">
        <v>45159</v>
      </c>
      <c r="C1289" s="1" t="n">
        <v>45583</v>
      </c>
      <c r="D1289" t="inlineStr">
        <is>
          <t>STOCKHOLMS LÄN</t>
        </is>
      </c>
      <c r="E1289" t="inlineStr">
        <is>
          <t>NORRTÄLJE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38049-2023</t>
        </is>
      </c>
      <c r="B1290" s="1" t="n">
        <v>45159</v>
      </c>
      <c r="C1290" s="1" t="n">
        <v>45583</v>
      </c>
      <c r="D1290" t="inlineStr">
        <is>
          <t>STOCKHOLMS LÄN</t>
        </is>
      </c>
      <c r="E1290" t="inlineStr">
        <is>
          <t>NORRTÄLJE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38022-2023</t>
        </is>
      </c>
      <c r="B1291" s="1" t="n">
        <v>45160</v>
      </c>
      <c r="C1291" s="1" t="n">
        <v>45583</v>
      </c>
      <c r="D1291" t="inlineStr">
        <is>
          <t>STOCKHOLMS LÄN</t>
        </is>
      </c>
      <c r="E1291" t="inlineStr">
        <is>
          <t>NORRTÄLJE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38482-2023</t>
        </is>
      </c>
      <c r="B1292" s="1" t="n">
        <v>45162</v>
      </c>
      <c r="C1292" s="1" t="n">
        <v>45583</v>
      </c>
      <c r="D1292" t="inlineStr">
        <is>
          <t>STOCKHOLMS LÄN</t>
        </is>
      </c>
      <c r="E1292" t="inlineStr">
        <is>
          <t>NORRTÄLJE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38487-2023</t>
        </is>
      </c>
      <c r="B1293" s="1" t="n">
        <v>45162</v>
      </c>
      <c r="C1293" s="1" t="n">
        <v>45583</v>
      </c>
      <c r="D1293" t="inlineStr">
        <is>
          <t>STOCKHOLMS LÄN</t>
        </is>
      </c>
      <c r="E1293" t="inlineStr">
        <is>
          <t>NORRTÄLJE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38591-2023</t>
        </is>
      </c>
      <c r="B1294" s="1" t="n">
        <v>45162</v>
      </c>
      <c r="C1294" s="1" t="n">
        <v>45583</v>
      </c>
      <c r="D1294" t="inlineStr">
        <is>
          <t>STOCKHOLMS LÄN</t>
        </is>
      </c>
      <c r="E1294" t="inlineStr">
        <is>
          <t>NORRTÄLJE</t>
        </is>
      </c>
      <c r="F1294" t="inlineStr">
        <is>
          <t>Övriga Aktiebolag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39229-2023</t>
        </is>
      </c>
      <c r="B1295" s="1" t="n">
        <v>45166</v>
      </c>
      <c r="C1295" s="1" t="n">
        <v>45583</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39879-2023</t>
        </is>
      </c>
      <c r="B1296" s="1" t="n">
        <v>45168</v>
      </c>
      <c r="C1296" s="1" t="n">
        <v>45583</v>
      </c>
      <c r="D1296" t="inlineStr">
        <is>
          <t>STOCKHOLMS LÄN</t>
        </is>
      </c>
      <c r="E1296" t="inlineStr">
        <is>
          <t>NORRTÄLJE</t>
        </is>
      </c>
      <c r="F1296" t="inlineStr">
        <is>
          <t>Holmen skog AB</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39905-2023</t>
        </is>
      </c>
      <c r="B1297" s="1" t="n">
        <v>45168</v>
      </c>
      <c r="C1297" s="1" t="n">
        <v>45583</v>
      </c>
      <c r="D1297" t="inlineStr">
        <is>
          <t>STOCKHOLMS LÄN</t>
        </is>
      </c>
      <c r="E1297" t="inlineStr">
        <is>
          <t>NORRTÄLJE</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40139-2023</t>
        </is>
      </c>
      <c r="B1298" s="1" t="n">
        <v>45169</v>
      </c>
      <c r="C1298" s="1" t="n">
        <v>45583</v>
      </c>
      <c r="D1298" t="inlineStr">
        <is>
          <t>STOCKHOLMS LÄN</t>
        </is>
      </c>
      <c r="E1298" t="inlineStr">
        <is>
          <t>NORRTÄLJE</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40192-2023</t>
        </is>
      </c>
      <c r="B1299" s="1" t="n">
        <v>45169</v>
      </c>
      <c r="C1299" s="1" t="n">
        <v>45583</v>
      </c>
      <c r="D1299" t="inlineStr">
        <is>
          <t>STOCKHOLMS LÄN</t>
        </is>
      </c>
      <c r="E1299" t="inlineStr">
        <is>
          <t>NORRTÄLJE</t>
        </is>
      </c>
      <c r="F1299" t="inlineStr">
        <is>
          <t>Kyrkan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40161-2023</t>
        </is>
      </c>
      <c r="B1300" s="1" t="n">
        <v>45169</v>
      </c>
      <c r="C1300" s="1" t="n">
        <v>45583</v>
      </c>
      <c r="D1300" t="inlineStr">
        <is>
          <t>STOCKHOLMS LÄN</t>
        </is>
      </c>
      <c r="E1300" t="inlineStr">
        <is>
          <t>NORRTÄLJE</t>
        </is>
      </c>
      <c r="F1300" t="inlineStr">
        <is>
          <t>Kyrkan</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40190-2023</t>
        </is>
      </c>
      <c r="B1301" s="1" t="n">
        <v>45169</v>
      </c>
      <c r="C1301" s="1" t="n">
        <v>45583</v>
      </c>
      <c r="D1301" t="inlineStr">
        <is>
          <t>STOCKHOLMS LÄN</t>
        </is>
      </c>
      <c r="E1301" t="inlineStr">
        <is>
          <t>NORRTÄLJE</t>
        </is>
      </c>
      <c r="F1301" t="inlineStr">
        <is>
          <t>Kyrkan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40379-2023</t>
        </is>
      </c>
      <c r="B1302" s="1" t="n">
        <v>45169</v>
      </c>
      <c r="C1302" s="1" t="n">
        <v>45583</v>
      </c>
      <c r="D1302" t="inlineStr">
        <is>
          <t>STOCKHOLMS LÄN</t>
        </is>
      </c>
      <c r="E1302" t="inlineStr">
        <is>
          <t>NORRTÄLJE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41172-2023</t>
        </is>
      </c>
      <c r="B1303" s="1" t="n">
        <v>45170</v>
      </c>
      <c r="C1303" s="1" t="n">
        <v>45583</v>
      </c>
      <c r="D1303" t="inlineStr">
        <is>
          <t>STOCKHOLMS LÄN</t>
        </is>
      </c>
      <c r="E1303" t="inlineStr">
        <is>
          <t>NORRTÄLJE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40995-2023</t>
        </is>
      </c>
      <c r="B1304" s="1" t="n">
        <v>45173</v>
      </c>
      <c r="C1304" s="1" t="n">
        <v>45583</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41335-2023</t>
        </is>
      </c>
      <c r="B1305" s="1" t="n">
        <v>45174</v>
      </c>
      <c r="C1305" s="1" t="n">
        <v>45583</v>
      </c>
      <c r="D1305" t="inlineStr">
        <is>
          <t>STOCKHOLMS LÄN</t>
        </is>
      </c>
      <c r="E1305" t="inlineStr">
        <is>
          <t>NORRTÄLJE</t>
        </is>
      </c>
      <c r="F1305" t="inlineStr">
        <is>
          <t>Holmen skog AB</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41587-2023</t>
        </is>
      </c>
      <c r="B1306" s="1" t="n">
        <v>45175</v>
      </c>
      <c r="C1306" s="1" t="n">
        <v>45583</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41716-2023</t>
        </is>
      </c>
      <c r="B1307" s="1" t="n">
        <v>45176</v>
      </c>
      <c r="C1307" s="1" t="n">
        <v>45583</v>
      </c>
      <c r="D1307" t="inlineStr">
        <is>
          <t>STOCKHOLMS LÄN</t>
        </is>
      </c>
      <c r="E1307" t="inlineStr">
        <is>
          <t>NORRTÄLJE</t>
        </is>
      </c>
      <c r="F1307" t="inlineStr">
        <is>
          <t>Kyrkan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41715-2023</t>
        </is>
      </c>
      <c r="B1308" s="1" t="n">
        <v>45176</v>
      </c>
      <c r="C1308" s="1" t="n">
        <v>45583</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41880-2023</t>
        </is>
      </c>
      <c r="B1309" s="1" t="n">
        <v>45176</v>
      </c>
      <c r="C1309" s="1" t="n">
        <v>45583</v>
      </c>
      <c r="D1309" t="inlineStr">
        <is>
          <t>STOCKHOLMS LÄN</t>
        </is>
      </c>
      <c r="E1309" t="inlineStr">
        <is>
          <t>NORRTÄLJE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42094-2023</t>
        </is>
      </c>
      <c r="B1310" s="1" t="n">
        <v>45177</v>
      </c>
      <c r="C1310" s="1" t="n">
        <v>45583</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42075-2023</t>
        </is>
      </c>
      <c r="B1311" s="1" t="n">
        <v>45177</v>
      </c>
      <c r="C1311" s="1" t="n">
        <v>45583</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42199-2023</t>
        </is>
      </c>
      <c r="B1312" s="1" t="n">
        <v>45179</v>
      </c>
      <c r="C1312" s="1" t="n">
        <v>45583</v>
      </c>
      <c r="D1312" t="inlineStr">
        <is>
          <t>STOCKHOLMS LÄN</t>
        </is>
      </c>
      <c r="E1312" t="inlineStr">
        <is>
          <t>NORRTÄLJE</t>
        </is>
      </c>
      <c r="F1312" t="inlineStr">
        <is>
          <t>Sveaskog</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42200-2023</t>
        </is>
      </c>
      <c r="B1313" s="1" t="n">
        <v>45179</v>
      </c>
      <c r="C1313" s="1" t="n">
        <v>45583</v>
      </c>
      <c r="D1313" t="inlineStr">
        <is>
          <t>STOCKHOLMS LÄN</t>
        </is>
      </c>
      <c r="E1313" t="inlineStr">
        <is>
          <t>NORRTÄLJE</t>
        </is>
      </c>
      <c r="F1313" t="inlineStr">
        <is>
          <t>Sveaskog</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42765-2023</t>
        </is>
      </c>
      <c r="B1314" s="1" t="n">
        <v>45181</v>
      </c>
      <c r="C1314" s="1" t="n">
        <v>45583</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42775-2023</t>
        </is>
      </c>
      <c r="B1315" s="1" t="n">
        <v>45181</v>
      </c>
      <c r="C1315" s="1" t="n">
        <v>45583</v>
      </c>
      <c r="D1315" t="inlineStr">
        <is>
          <t>STOCKHOLMS LÄN</t>
        </is>
      </c>
      <c r="E1315" t="inlineStr">
        <is>
          <t>NORRTÄLJE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42948-2023</t>
        </is>
      </c>
      <c r="B1316" s="1" t="n">
        <v>45182</v>
      </c>
      <c r="C1316" s="1" t="n">
        <v>45583</v>
      </c>
      <c r="D1316" t="inlineStr">
        <is>
          <t>STOCKHOLMS LÄN</t>
        </is>
      </c>
      <c r="E1316" t="inlineStr">
        <is>
          <t>NORRTÄLJE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42977-2023</t>
        </is>
      </c>
      <c r="B1317" s="1" t="n">
        <v>45182</v>
      </c>
      <c r="C1317" s="1" t="n">
        <v>45583</v>
      </c>
      <c r="D1317" t="inlineStr">
        <is>
          <t>STOCKHOLMS LÄN</t>
        </is>
      </c>
      <c r="E1317" t="inlineStr">
        <is>
          <t>NORRTÄLJE</t>
        </is>
      </c>
      <c r="F1317" t="inlineStr">
        <is>
          <t>Sveaskog</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43140-2023</t>
        </is>
      </c>
      <c r="B1318" s="1" t="n">
        <v>45183</v>
      </c>
      <c r="C1318" s="1" t="n">
        <v>45583</v>
      </c>
      <c r="D1318" t="inlineStr">
        <is>
          <t>STOCKHOLMS LÄN</t>
        </is>
      </c>
      <c r="E1318" t="inlineStr">
        <is>
          <t>NORRTÄLJE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43207-2023</t>
        </is>
      </c>
      <c r="B1319" s="1" t="n">
        <v>45183</v>
      </c>
      <c r="C1319" s="1" t="n">
        <v>45583</v>
      </c>
      <c r="D1319" t="inlineStr">
        <is>
          <t>STOCKHOLMS LÄN</t>
        </is>
      </c>
      <c r="E1319" t="inlineStr">
        <is>
          <t>NORRTÄLJE</t>
        </is>
      </c>
      <c r="F1319" t="inlineStr">
        <is>
          <t>Kyrkan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43150-2023</t>
        </is>
      </c>
      <c r="B1320" s="1" t="n">
        <v>45183</v>
      </c>
      <c r="C1320" s="1" t="n">
        <v>45583</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43170-2023</t>
        </is>
      </c>
      <c r="B1321" s="1" t="n">
        <v>45183</v>
      </c>
      <c r="C1321" s="1" t="n">
        <v>45583</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43289-2023</t>
        </is>
      </c>
      <c r="B1322" s="1" t="n">
        <v>45183</v>
      </c>
      <c r="C1322" s="1" t="n">
        <v>45583</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43300-2023</t>
        </is>
      </c>
      <c r="B1323" s="1" t="n">
        <v>45183</v>
      </c>
      <c r="C1323" s="1" t="n">
        <v>45583</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43638-2023</t>
        </is>
      </c>
      <c r="B1324" s="1" t="n">
        <v>45186</v>
      </c>
      <c r="C1324" s="1" t="n">
        <v>45583</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43684-2023</t>
        </is>
      </c>
      <c r="B1325" s="1" t="n">
        <v>45187</v>
      </c>
      <c r="C1325" s="1" t="n">
        <v>45583</v>
      </c>
      <c r="D1325" t="inlineStr">
        <is>
          <t>STOCKHOLMS LÄN</t>
        </is>
      </c>
      <c r="E1325" t="inlineStr">
        <is>
          <t>NORRTÄLJE</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43836-2023</t>
        </is>
      </c>
      <c r="B1326" s="1" t="n">
        <v>45187</v>
      </c>
      <c r="C1326" s="1" t="n">
        <v>45583</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43710-2023</t>
        </is>
      </c>
      <c r="B1327" s="1" t="n">
        <v>45187</v>
      </c>
      <c r="C1327" s="1" t="n">
        <v>45583</v>
      </c>
      <c r="D1327" t="inlineStr">
        <is>
          <t>STOCKHOLMS LÄN</t>
        </is>
      </c>
      <c r="E1327" t="inlineStr">
        <is>
          <t>NORRTÄLJE</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44891-2023</t>
        </is>
      </c>
      <c r="B1328" s="1" t="n">
        <v>45187</v>
      </c>
      <c r="C1328" s="1" t="n">
        <v>45583</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44885-2023</t>
        </is>
      </c>
      <c r="B1329" s="1" t="n">
        <v>45187</v>
      </c>
      <c r="C1329" s="1" t="n">
        <v>45583</v>
      </c>
      <c r="D1329" t="inlineStr">
        <is>
          <t>STOCKHOLMS LÄN</t>
        </is>
      </c>
      <c r="E1329" t="inlineStr">
        <is>
          <t>NORRTÄLJE</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44075-2023</t>
        </is>
      </c>
      <c r="B1330" s="1" t="n">
        <v>45188</v>
      </c>
      <c r="C1330" s="1" t="n">
        <v>45583</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44154-2023</t>
        </is>
      </c>
      <c r="B1331" s="1" t="n">
        <v>45188</v>
      </c>
      <c r="C1331" s="1" t="n">
        <v>45583</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44571-2023</t>
        </is>
      </c>
      <c r="B1332" s="1" t="n">
        <v>45189</v>
      </c>
      <c r="C1332" s="1" t="n">
        <v>45583</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44836-2023</t>
        </is>
      </c>
      <c r="B1333" s="1" t="n">
        <v>45190</v>
      </c>
      <c r="C1333" s="1" t="n">
        <v>45583</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45173-2023</t>
        </is>
      </c>
      <c r="B1334" s="1" t="n">
        <v>45191</v>
      </c>
      <c r="C1334" s="1" t="n">
        <v>45583</v>
      </c>
      <c r="D1334" t="inlineStr">
        <is>
          <t>STOCKHOLMS LÄN</t>
        </is>
      </c>
      <c r="E1334" t="inlineStr">
        <is>
          <t>NORRTÄLJE</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45174-2023</t>
        </is>
      </c>
      <c r="B1335" s="1" t="n">
        <v>45191</v>
      </c>
      <c r="C1335" s="1" t="n">
        <v>45583</v>
      </c>
      <c r="D1335" t="inlineStr">
        <is>
          <t>STOCKHOLMS LÄN</t>
        </is>
      </c>
      <c r="E1335" t="inlineStr">
        <is>
          <t>NORRTÄLJE</t>
        </is>
      </c>
      <c r="F1335" t="inlineStr">
        <is>
          <t>Sveaskog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46161-2023</t>
        </is>
      </c>
      <c r="B1336" s="1" t="n">
        <v>45196</v>
      </c>
      <c r="C1336" s="1" t="n">
        <v>45583</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46155-2023</t>
        </is>
      </c>
      <c r="B1337" s="1" t="n">
        <v>45196</v>
      </c>
      <c r="C1337" s="1" t="n">
        <v>45583</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46621-2023</t>
        </is>
      </c>
      <c r="B1338" s="1" t="n">
        <v>45198</v>
      </c>
      <c r="C1338" s="1" t="n">
        <v>45583</v>
      </c>
      <c r="D1338" t="inlineStr">
        <is>
          <t>STOCKHOLMS LÄN</t>
        </is>
      </c>
      <c r="E1338" t="inlineStr">
        <is>
          <t>NORRTÄLJE</t>
        </is>
      </c>
      <c r="F1338" t="inlineStr">
        <is>
          <t>Holmen skog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47419-2023</t>
        </is>
      </c>
      <c r="B1339" s="1" t="n">
        <v>45202</v>
      </c>
      <c r="C1339" s="1" t="n">
        <v>45583</v>
      </c>
      <c r="D1339" t="inlineStr">
        <is>
          <t>STOCKHOLMS LÄN</t>
        </is>
      </c>
      <c r="E1339" t="inlineStr">
        <is>
          <t>NORRTÄLJE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47431-2023</t>
        </is>
      </c>
      <c r="B1340" s="1" t="n">
        <v>45202</v>
      </c>
      <c r="C1340" s="1" t="n">
        <v>45583</v>
      </c>
      <c r="D1340" t="inlineStr">
        <is>
          <t>STOCKHOLMS LÄN</t>
        </is>
      </c>
      <c r="E1340" t="inlineStr">
        <is>
          <t>NORRTÄLJE</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47325-2023</t>
        </is>
      </c>
      <c r="B1341" s="1" t="n">
        <v>45202</v>
      </c>
      <c r="C1341" s="1" t="n">
        <v>45583</v>
      </c>
      <c r="D1341" t="inlineStr">
        <is>
          <t>STOCKHOLMS LÄN</t>
        </is>
      </c>
      <c r="E1341" t="inlineStr">
        <is>
          <t>NORRTÄLJE</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47433-2023</t>
        </is>
      </c>
      <c r="B1342" s="1" t="n">
        <v>45202</v>
      </c>
      <c r="C1342" s="1" t="n">
        <v>45583</v>
      </c>
      <c r="D1342" t="inlineStr">
        <is>
          <t>STOCKHOLMS LÄN</t>
        </is>
      </c>
      <c r="E1342" t="inlineStr">
        <is>
          <t>NORRTÄLJE</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47388-2023</t>
        </is>
      </c>
      <c r="B1343" s="1" t="n">
        <v>45202</v>
      </c>
      <c r="C1343" s="1" t="n">
        <v>45583</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47430-2023</t>
        </is>
      </c>
      <c r="B1344" s="1" t="n">
        <v>45202</v>
      </c>
      <c r="C1344" s="1" t="n">
        <v>45583</v>
      </c>
      <c r="D1344" t="inlineStr">
        <is>
          <t>STOCKHOLMS LÄN</t>
        </is>
      </c>
      <c r="E1344" t="inlineStr">
        <is>
          <t>NORRTÄLJE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49775-2023</t>
        </is>
      </c>
      <c r="B1345" s="1" t="n">
        <v>45202</v>
      </c>
      <c r="C1345" s="1" t="n">
        <v>45583</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48578-2023</t>
        </is>
      </c>
      <c r="B1346" s="1" t="n">
        <v>45202</v>
      </c>
      <c r="C1346" s="1" t="n">
        <v>45583</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49774-2023</t>
        </is>
      </c>
      <c r="B1347" s="1" t="n">
        <v>45202</v>
      </c>
      <c r="C1347" s="1" t="n">
        <v>45583</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47672-2023</t>
        </is>
      </c>
      <c r="B1348" s="1" t="n">
        <v>45203</v>
      </c>
      <c r="C1348" s="1" t="n">
        <v>45583</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47694-2023</t>
        </is>
      </c>
      <c r="B1349" s="1" t="n">
        <v>45203</v>
      </c>
      <c r="C1349" s="1" t="n">
        <v>45583</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47708-2023</t>
        </is>
      </c>
      <c r="B1350" s="1" t="n">
        <v>45203</v>
      </c>
      <c r="C1350" s="1" t="n">
        <v>45583</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47758-2023</t>
        </is>
      </c>
      <c r="B1351" s="1" t="n">
        <v>45203</v>
      </c>
      <c r="C1351" s="1" t="n">
        <v>45583</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47699-2023</t>
        </is>
      </c>
      <c r="B1352" s="1" t="n">
        <v>45203</v>
      </c>
      <c r="C1352" s="1" t="n">
        <v>45583</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47735-2023</t>
        </is>
      </c>
      <c r="B1353" s="1" t="n">
        <v>45203</v>
      </c>
      <c r="C1353" s="1" t="n">
        <v>45583</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48167-2023</t>
        </is>
      </c>
      <c r="B1354" s="1" t="n">
        <v>45205</v>
      </c>
      <c r="C1354" s="1" t="n">
        <v>45583</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48180-2023</t>
        </is>
      </c>
      <c r="B1355" s="1" t="n">
        <v>45205</v>
      </c>
      <c r="C1355" s="1" t="n">
        <v>45583</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48185-2023</t>
        </is>
      </c>
      <c r="B1356" s="1" t="n">
        <v>45205</v>
      </c>
      <c r="C1356" s="1" t="n">
        <v>45583</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48302-2023</t>
        </is>
      </c>
      <c r="B1357" s="1" t="n">
        <v>45205</v>
      </c>
      <c r="C1357" s="1" t="n">
        <v>45583</v>
      </c>
      <c r="D1357" t="inlineStr">
        <is>
          <t>STOCKHOLMS LÄN</t>
        </is>
      </c>
      <c r="E1357" t="inlineStr">
        <is>
          <t>NORRTÄLJE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48333-2023</t>
        </is>
      </c>
      <c r="B1358" s="1" t="n">
        <v>45205</v>
      </c>
      <c r="C1358" s="1" t="n">
        <v>45583</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48541-2023</t>
        </is>
      </c>
      <c r="B1359" s="1" t="n">
        <v>45208</v>
      </c>
      <c r="C1359" s="1" t="n">
        <v>45583</v>
      </c>
      <c r="D1359" t="inlineStr">
        <is>
          <t>STOCKHOLMS LÄN</t>
        </is>
      </c>
      <c r="E1359" t="inlineStr">
        <is>
          <t>NORRTÄLJE</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48552-2023</t>
        </is>
      </c>
      <c r="B1360" s="1" t="n">
        <v>45208</v>
      </c>
      <c r="C1360" s="1" t="n">
        <v>45583</v>
      </c>
      <c r="D1360" t="inlineStr">
        <is>
          <t>STOCKHOLMS LÄN</t>
        </is>
      </c>
      <c r="E1360" t="inlineStr">
        <is>
          <t>NORRTÄLJE</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48587-2023</t>
        </is>
      </c>
      <c r="B1361" s="1" t="n">
        <v>45208</v>
      </c>
      <c r="C1361" s="1" t="n">
        <v>45583</v>
      </c>
      <c r="D1361" t="inlineStr">
        <is>
          <t>STOCKHOLMS LÄN</t>
        </is>
      </c>
      <c r="E1361" t="inlineStr">
        <is>
          <t>NORRTÄLJE</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48633-2023</t>
        </is>
      </c>
      <c r="B1362" s="1" t="n">
        <v>45208</v>
      </c>
      <c r="C1362" s="1" t="n">
        <v>45583</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48641-2023</t>
        </is>
      </c>
      <c r="B1363" s="1" t="n">
        <v>45208</v>
      </c>
      <c r="C1363" s="1" t="n">
        <v>45583</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48686-2023</t>
        </is>
      </c>
      <c r="B1364" s="1" t="n">
        <v>45208</v>
      </c>
      <c r="C1364" s="1" t="n">
        <v>45583</v>
      </c>
      <c r="D1364" t="inlineStr">
        <is>
          <t>STOCKHOLMS LÄN</t>
        </is>
      </c>
      <c r="E1364" t="inlineStr">
        <is>
          <t>NORRTÄLJE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48629-2023</t>
        </is>
      </c>
      <c r="B1365" s="1" t="n">
        <v>45208</v>
      </c>
      <c r="C1365" s="1" t="n">
        <v>45583</v>
      </c>
      <c r="D1365" t="inlineStr">
        <is>
          <t>STOCKHOLMS LÄN</t>
        </is>
      </c>
      <c r="E1365" t="inlineStr">
        <is>
          <t>NORRTÄLJE</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48668-2023</t>
        </is>
      </c>
      <c r="B1366" s="1" t="n">
        <v>45208</v>
      </c>
      <c r="C1366" s="1" t="n">
        <v>45583</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48685-2023</t>
        </is>
      </c>
      <c r="B1367" s="1" t="n">
        <v>45208</v>
      </c>
      <c r="C1367" s="1" t="n">
        <v>45583</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48691-2023</t>
        </is>
      </c>
      <c r="B1368" s="1" t="n">
        <v>45208</v>
      </c>
      <c r="C1368" s="1" t="n">
        <v>45583</v>
      </c>
      <c r="D1368" t="inlineStr">
        <is>
          <t>STOCKHOLMS LÄN</t>
        </is>
      </c>
      <c r="E1368" t="inlineStr">
        <is>
          <t>NORRTÄLJE</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48701-2023</t>
        </is>
      </c>
      <c r="B1369" s="1" t="n">
        <v>45208</v>
      </c>
      <c r="C1369" s="1" t="n">
        <v>45583</v>
      </c>
      <c r="D1369" t="inlineStr">
        <is>
          <t>STOCKHOLMS LÄN</t>
        </is>
      </c>
      <c r="E1369" t="inlineStr">
        <is>
          <t>NORRTÄLJE</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48716-2023</t>
        </is>
      </c>
      <c r="B1370" s="1" t="n">
        <v>45208</v>
      </c>
      <c r="C1370" s="1" t="n">
        <v>45583</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48709-2023</t>
        </is>
      </c>
      <c r="B1371" s="1" t="n">
        <v>45208</v>
      </c>
      <c r="C1371" s="1" t="n">
        <v>45583</v>
      </c>
      <c r="D1371" t="inlineStr">
        <is>
          <t>STOCKHOLMS LÄN</t>
        </is>
      </c>
      <c r="E1371" t="inlineStr">
        <is>
          <t>NORRTÄLJE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48722-2023</t>
        </is>
      </c>
      <c r="B1372" s="1" t="n">
        <v>45208</v>
      </c>
      <c r="C1372" s="1" t="n">
        <v>45583</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48726-2023</t>
        </is>
      </c>
      <c r="B1373" s="1" t="n">
        <v>45208</v>
      </c>
      <c r="C1373" s="1" t="n">
        <v>45583</v>
      </c>
      <c r="D1373" t="inlineStr">
        <is>
          <t>STOCKHOLMS LÄN</t>
        </is>
      </c>
      <c r="E1373" t="inlineStr">
        <is>
          <t>NORRTÄLJE</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49169-2023</t>
        </is>
      </c>
      <c r="B1374" s="1" t="n">
        <v>45210</v>
      </c>
      <c r="C1374" s="1" t="n">
        <v>45583</v>
      </c>
      <c r="D1374" t="inlineStr">
        <is>
          <t>STOCKHOLMS LÄN</t>
        </is>
      </c>
      <c r="E1374" t="inlineStr">
        <is>
          <t>NORRTÄLJE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49176-2023</t>
        </is>
      </c>
      <c r="B1375" s="1" t="n">
        <v>45210</v>
      </c>
      <c r="C1375" s="1" t="n">
        <v>45583</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49224-2023</t>
        </is>
      </c>
      <c r="B1376" s="1" t="n">
        <v>45210</v>
      </c>
      <c r="C1376" s="1" t="n">
        <v>45583</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49696-2023</t>
        </is>
      </c>
      <c r="B1377" s="1" t="n">
        <v>45212</v>
      </c>
      <c r="C1377" s="1" t="n">
        <v>45583</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49700-2023</t>
        </is>
      </c>
      <c r="B1378" s="1" t="n">
        <v>45212</v>
      </c>
      <c r="C1378" s="1" t="n">
        <v>45583</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49694-2023</t>
        </is>
      </c>
      <c r="B1379" s="1" t="n">
        <v>45212</v>
      </c>
      <c r="C1379" s="1" t="n">
        <v>45583</v>
      </c>
      <c r="D1379" t="inlineStr">
        <is>
          <t>STOCKHOLMS LÄN</t>
        </is>
      </c>
      <c r="E1379" t="inlineStr">
        <is>
          <t>NORRTÄLJE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50143-2023</t>
        </is>
      </c>
      <c r="B1380" s="1" t="n">
        <v>45215</v>
      </c>
      <c r="C1380" s="1" t="n">
        <v>45583</v>
      </c>
      <c r="D1380" t="inlineStr">
        <is>
          <t>STOCKHOLMS LÄN</t>
        </is>
      </c>
      <c r="E1380" t="inlineStr">
        <is>
          <t>NORRTÄLJE</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50107-2023</t>
        </is>
      </c>
      <c r="B1381" s="1" t="n">
        <v>45215</v>
      </c>
      <c r="C1381" s="1" t="n">
        <v>45583</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50033-2023</t>
        </is>
      </c>
      <c r="B1382" s="1" t="n">
        <v>45215</v>
      </c>
      <c r="C1382" s="1" t="n">
        <v>45583</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50136-2023</t>
        </is>
      </c>
      <c r="B1383" s="1" t="n">
        <v>45215</v>
      </c>
      <c r="C1383" s="1" t="n">
        <v>45583</v>
      </c>
      <c r="D1383" t="inlineStr">
        <is>
          <t>STOCKHOLMS LÄN</t>
        </is>
      </c>
      <c r="E1383" t="inlineStr">
        <is>
          <t>NORRTÄLJE</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50150-2023</t>
        </is>
      </c>
      <c r="B1384" s="1" t="n">
        <v>45215</v>
      </c>
      <c r="C1384" s="1" t="n">
        <v>45583</v>
      </c>
      <c r="D1384" t="inlineStr">
        <is>
          <t>STOCKHOLMS LÄN</t>
        </is>
      </c>
      <c r="E1384" t="inlineStr">
        <is>
          <t>NORRTÄLJE</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50289-2023</t>
        </is>
      </c>
      <c r="B1385" s="1" t="n">
        <v>45216</v>
      </c>
      <c r="C1385" s="1" t="n">
        <v>45583</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50436-2023</t>
        </is>
      </c>
      <c r="B1386" s="1" t="n">
        <v>45216</v>
      </c>
      <c r="C1386" s="1" t="n">
        <v>45583</v>
      </c>
      <c r="D1386" t="inlineStr">
        <is>
          <t>STOCKHOLMS LÄN</t>
        </is>
      </c>
      <c r="E1386" t="inlineStr">
        <is>
          <t>NORRTÄLJE</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50690-2023</t>
        </is>
      </c>
      <c r="B1387" s="1" t="n">
        <v>45217</v>
      </c>
      <c r="C1387" s="1" t="n">
        <v>45583</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51049-2023</t>
        </is>
      </c>
      <c r="B1388" s="1" t="n">
        <v>45218</v>
      </c>
      <c r="C1388" s="1" t="n">
        <v>45583</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51063-2023</t>
        </is>
      </c>
      <c r="B1389" s="1" t="n">
        <v>45218</v>
      </c>
      <c r="C1389" s="1" t="n">
        <v>45583</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50880-2023</t>
        </is>
      </c>
      <c r="B1390" s="1" t="n">
        <v>45218</v>
      </c>
      <c r="C1390" s="1" t="n">
        <v>45583</v>
      </c>
      <c r="D1390" t="inlineStr">
        <is>
          <t>STOCKHOLMS LÄN</t>
        </is>
      </c>
      <c r="E1390" t="inlineStr">
        <is>
          <t>NORRTÄLJE</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51046-2023</t>
        </is>
      </c>
      <c r="B1391" s="1" t="n">
        <v>45218</v>
      </c>
      <c r="C1391" s="1" t="n">
        <v>45583</v>
      </c>
      <c r="D1391" t="inlineStr">
        <is>
          <t>STOCKHOLMS LÄN</t>
        </is>
      </c>
      <c r="E1391" t="inlineStr">
        <is>
          <t>NORRTÄLJE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51043-2023</t>
        </is>
      </c>
      <c r="B1392" s="1" t="n">
        <v>45218</v>
      </c>
      <c r="C1392" s="1" t="n">
        <v>45583</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51061-2023</t>
        </is>
      </c>
      <c r="B1393" s="1" t="n">
        <v>45218</v>
      </c>
      <c r="C1393" s="1" t="n">
        <v>45583</v>
      </c>
      <c r="D1393" t="inlineStr">
        <is>
          <t>STOCKHOLMS LÄN</t>
        </is>
      </c>
      <c r="E1393" t="inlineStr">
        <is>
          <t>NORRTÄLJE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51325-2023</t>
        </is>
      </c>
      <c r="B1394" s="1" t="n">
        <v>45219</v>
      </c>
      <c r="C1394" s="1" t="n">
        <v>45583</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51312-2023</t>
        </is>
      </c>
      <c r="B1395" s="1" t="n">
        <v>45219</v>
      </c>
      <c r="C1395" s="1" t="n">
        <v>45583</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51597-2023</t>
        </is>
      </c>
      <c r="B1396" s="1" t="n">
        <v>45222</v>
      </c>
      <c r="C1396" s="1" t="n">
        <v>45583</v>
      </c>
      <c r="D1396" t="inlineStr">
        <is>
          <t>STOCKHOLMS LÄN</t>
        </is>
      </c>
      <c r="E1396" t="inlineStr">
        <is>
          <t>NORRTÄLJE</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51657-2023</t>
        </is>
      </c>
      <c r="B1397" s="1" t="n">
        <v>45222</v>
      </c>
      <c r="C1397" s="1" t="n">
        <v>45583</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51903-2023</t>
        </is>
      </c>
      <c r="B1398" s="1" t="n">
        <v>45223</v>
      </c>
      <c r="C1398" s="1" t="n">
        <v>45583</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52095-2023</t>
        </is>
      </c>
      <c r="B1399" s="1" t="n">
        <v>45223</v>
      </c>
      <c r="C1399" s="1" t="n">
        <v>45583</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51978-2023</t>
        </is>
      </c>
      <c r="B1400" s="1" t="n">
        <v>45223</v>
      </c>
      <c r="C1400" s="1" t="n">
        <v>45583</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51997-2023</t>
        </is>
      </c>
      <c r="B1401" s="1" t="n">
        <v>45223</v>
      </c>
      <c r="C1401" s="1" t="n">
        <v>45583</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52001-2023</t>
        </is>
      </c>
      <c r="B1402" s="1" t="n">
        <v>45223</v>
      </c>
      <c r="C1402" s="1" t="n">
        <v>45583</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52096-2023</t>
        </is>
      </c>
      <c r="B1403" s="1" t="n">
        <v>45223</v>
      </c>
      <c r="C1403" s="1" t="n">
        <v>45583</v>
      </c>
      <c r="D1403" t="inlineStr">
        <is>
          <t>STOCKHOLMS LÄN</t>
        </is>
      </c>
      <c r="E1403" t="inlineStr">
        <is>
          <t>NORRTÄLJE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53362-2023</t>
        </is>
      </c>
      <c r="B1404" s="1" t="n">
        <v>45223</v>
      </c>
      <c r="C1404" s="1" t="n">
        <v>45583</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53372-2023</t>
        </is>
      </c>
      <c r="B1405" s="1" t="n">
        <v>45223</v>
      </c>
      <c r="C1405" s="1" t="n">
        <v>45583</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52221-2023</t>
        </is>
      </c>
      <c r="B1406" s="1" t="n">
        <v>45224</v>
      </c>
      <c r="C1406" s="1" t="n">
        <v>45583</v>
      </c>
      <c r="D1406" t="inlineStr">
        <is>
          <t>STOCKHOLMS LÄN</t>
        </is>
      </c>
      <c r="E1406" t="inlineStr">
        <is>
          <t>NORRTÄLJE</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53561-2023</t>
        </is>
      </c>
      <c r="B1407" s="1" t="n">
        <v>45224</v>
      </c>
      <c r="C1407" s="1" t="n">
        <v>45583</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53556-2023</t>
        </is>
      </c>
      <c r="B1408" s="1" t="n">
        <v>45224</v>
      </c>
      <c r="C1408" s="1" t="n">
        <v>45583</v>
      </c>
      <c r="D1408" t="inlineStr">
        <is>
          <t>STOCKHOLMS LÄN</t>
        </is>
      </c>
      <c r="E1408" t="inlineStr">
        <is>
          <t>NORRTÄLJE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52570-2023</t>
        </is>
      </c>
      <c r="B1409" s="1" t="n">
        <v>45225</v>
      </c>
      <c r="C1409" s="1" t="n">
        <v>45583</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52619-2023</t>
        </is>
      </c>
      <c r="B1410" s="1" t="n">
        <v>45225</v>
      </c>
      <c r="C1410" s="1" t="n">
        <v>45583</v>
      </c>
      <c r="D1410" t="inlineStr">
        <is>
          <t>STOCKHOLMS LÄN</t>
        </is>
      </c>
      <c r="E1410" t="inlineStr">
        <is>
          <t>NORRTÄLJE</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52875-2023</t>
        </is>
      </c>
      <c r="B1411" s="1" t="n">
        <v>45226</v>
      </c>
      <c r="C1411" s="1" t="n">
        <v>45583</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52899-2023</t>
        </is>
      </c>
      <c r="B1412" s="1" t="n">
        <v>45226</v>
      </c>
      <c r="C1412" s="1" t="n">
        <v>45583</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53563-2023</t>
        </is>
      </c>
      <c r="B1413" s="1" t="n">
        <v>45230</v>
      </c>
      <c r="C1413" s="1" t="n">
        <v>45583</v>
      </c>
      <c r="D1413" t="inlineStr">
        <is>
          <t>STOCKHOLMS LÄN</t>
        </is>
      </c>
      <c r="E1413" t="inlineStr">
        <is>
          <t>NORRTÄLJE</t>
        </is>
      </c>
      <c r="G1413" t="n">
        <v>17.2</v>
      </c>
      <c r="H1413" t="n">
        <v>0</v>
      </c>
      <c r="I1413" t="n">
        <v>0</v>
      </c>
      <c r="J1413" t="n">
        <v>0</v>
      </c>
      <c r="K1413" t="n">
        <v>0</v>
      </c>
      <c r="L1413" t="n">
        <v>0</v>
      </c>
      <c r="M1413" t="n">
        <v>0</v>
      </c>
      <c r="N1413" t="n">
        <v>0</v>
      </c>
      <c r="O1413" t="n">
        <v>0</v>
      </c>
      <c r="P1413" t="n">
        <v>0</v>
      </c>
      <c r="Q1413" t="n">
        <v>0</v>
      </c>
      <c r="R1413" s="2" t="inlineStr"/>
    </row>
    <row r="1414" ht="15" customHeight="1">
      <c r="A1414" t="inlineStr">
        <is>
          <t>A 53718-2023</t>
        </is>
      </c>
      <c r="B1414" s="1" t="n">
        <v>45230</v>
      </c>
      <c r="C1414" s="1" t="n">
        <v>45583</v>
      </c>
      <c r="D1414" t="inlineStr">
        <is>
          <t>STOCKHOLMS LÄN</t>
        </is>
      </c>
      <c r="E1414" t="inlineStr">
        <is>
          <t>NORRTÄLJE</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53787-2023</t>
        </is>
      </c>
      <c r="B1415" s="1" t="n">
        <v>45231</v>
      </c>
      <c r="C1415" s="1" t="n">
        <v>45583</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53792-2023</t>
        </is>
      </c>
      <c r="B1416" s="1" t="n">
        <v>45231</v>
      </c>
      <c r="C1416" s="1" t="n">
        <v>45583</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55518-2023</t>
        </is>
      </c>
      <c r="B1417" s="1" t="n">
        <v>45231</v>
      </c>
      <c r="C1417" s="1" t="n">
        <v>45583</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55533-2023</t>
        </is>
      </c>
      <c r="B1418" s="1" t="n">
        <v>45231</v>
      </c>
      <c r="C1418" s="1" t="n">
        <v>45583</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54259-2023</t>
        </is>
      </c>
      <c r="B1419" s="1" t="n">
        <v>45232</v>
      </c>
      <c r="C1419" s="1" t="n">
        <v>45583</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54546-2023</t>
        </is>
      </c>
      <c r="B1420" s="1" t="n">
        <v>45233</v>
      </c>
      <c r="C1420" s="1" t="n">
        <v>45583</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54776-2023</t>
        </is>
      </c>
      <c r="B1421" s="1" t="n">
        <v>45236</v>
      </c>
      <c r="C1421" s="1" t="n">
        <v>45583</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55038-2023</t>
        </is>
      </c>
      <c r="B1422" s="1" t="n">
        <v>45237</v>
      </c>
      <c r="C1422" s="1" t="n">
        <v>45583</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55243-2023</t>
        </is>
      </c>
      <c r="B1423" s="1" t="n">
        <v>45237</v>
      </c>
      <c r="C1423" s="1" t="n">
        <v>45583</v>
      </c>
      <c r="D1423" t="inlineStr">
        <is>
          <t>STOCKHOLMS LÄN</t>
        </is>
      </c>
      <c r="E1423" t="inlineStr">
        <is>
          <t>NORRTÄLJE</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55369-2023</t>
        </is>
      </c>
      <c r="B1424" s="1" t="n">
        <v>45238</v>
      </c>
      <c r="C1424" s="1" t="n">
        <v>45583</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55755-2023</t>
        </is>
      </c>
      <c r="B1425" s="1" t="n">
        <v>45239</v>
      </c>
      <c r="C1425" s="1" t="n">
        <v>45583</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56428-2023</t>
        </is>
      </c>
      <c r="B1426" s="1" t="n">
        <v>45243</v>
      </c>
      <c r="C1426" s="1" t="n">
        <v>45583</v>
      </c>
      <c r="D1426" t="inlineStr">
        <is>
          <t>STOCKHOLMS LÄN</t>
        </is>
      </c>
      <c r="E1426" t="inlineStr">
        <is>
          <t>NORRTÄLJE</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56439-2023</t>
        </is>
      </c>
      <c r="B1427" s="1" t="n">
        <v>45243</v>
      </c>
      <c r="C1427" s="1" t="n">
        <v>45583</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56445-2023</t>
        </is>
      </c>
      <c r="B1428" s="1" t="n">
        <v>45243</v>
      </c>
      <c r="C1428" s="1" t="n">
        <v>45583</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56577-2023</t>
        </is>
      </c>
      <c r="B1429" s="1" t="n">
        <v>45243</v>
      </c>
      <c r="C1429" s="1" t="n">
        <v>45583</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56593-2023</t>
        </is>
      </c>
      <c r="B1430" s="1" t="n">
        <v>45243</v>
      </c>
      <c r="C1430" s="1" t="n">
        <v>45583</v>
      </c>
      <c r="D1430" t="inlineStr">
        <is>
          <t>STOCKHOLMS LÄN</t>
        </is>
      </c>
      <c r="E1430" t="inlineStr">
        <is>
          <t>NORRTÄLJE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56819-2023</t>
        </is>
      </c>
      <c r="B1431" s="1" t="n">
        <v>45244</v>
      </c>
      <c r="C1431" s="1" t="n">
        <v>45583</v>
      </c>
      <c r="D1431" t="inlineStr">
        <is>
          <t>STOCKHOLMS LÄN</t>
        </is>
      </c>
      <c r="E1431" t="inlineStr">
        <is>
          <t>NORRTÄLJE</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58261-2023</t>
        </is>
      </c>
      <c r="B1432" s="1" t="n">
        <v>45245</v>
      </c>
      <c r="C1432" s="1" t="n">
        <v>45583</v>
      </c>
      <c r="D1432" t="inlineStr">
        <is>
          <t>STOCKHOLMS LÄN</t>
        </is>
      </c>
      <c r="E1432" t="inlineStr">
        <is>
          <t>NORRTÄLJE</t>
        </is>
      </c>
      <c r="G1432" t="n">
        <v>53.5</v>
      </c>
      <c r="H1432" t="n">
        <v>0</v>
      </c>
      <c r="I1432" t="n">
        <v>0</v>
      </c>
      <c r="J1432" t="n">
        <v>0</v>
      </c>
      <c r="K1432" t="n">
        <v>0</v>
      </c>
      <c r="L1432" t="n">
        <v>0</v>
      </c>
      <c r="M1432" t="n">
        <v>0</v>
      </c>
      <c r="N1432" t="n">
        <v>0</v>
      </c>
      <c r="O1432" t="n">
        <v>0</v>
      </c>
      <c r="P1432" t="n">
        <v>0</v>
      </c>
      <c r="Q1432" t="n">
        <v>0</v>
      </c>
      <c r="R1432" s="2" t="inlineStr"/>
    </row>
    <row r="1433" ht="15" customHeight="1">
      <c r="A1433" t="inlineStr">
        <is>
          <t>A 58209-2023</t>
        </is>
      </c>
      <c r="B1433" s="1" t="n">
        <v>45245</v>
      </c>
      <c r="C1433" s="1" t="n">
        <v>45583</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58227-2023</t>
        </is>
      </c>
      <c r="B1434" s="1" t="n">
        <v>45245</v>
      </c>
      <c r="C1434" s="1" t="n">
        <v>45583</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58291-2023</t>
        </is>
      </c>
      <c r="B1435" s="1" t="n">
        <v>45245</v>
      </c>
      <c r="C1435" s="1" t="n">
        <v>45583</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58277-2023</t>
        </is>
      </c>
      <c r="B1436" s="1" t="n">
        <v>45245</v>
      </c>
      <c r="C1436" s="1" t="n">
        <v>45583</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58213-2023</t>
        </is>
      </c>
      <c r="B1437" s="1" t="n">
        <v>45245</v>
      </c>
      <c r="C1437" s="1" t="n">
        <v>45583</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58311-2023</t>
        </is>
      </c>
      <c r="B1438" s="1" t="n">
        <v>45245</v>
      </c>
      <c r="C1438" s="1" t="n">
        <v>45583</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58300-2023</t>
        </is>
      </c>
      <c r="B1439" s="1" t="n">
        <v>45245</v>
      </c>
      <c r="C1439" s="1" t="n">
        <v>45583</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58260-2023</t>
        </is>
      </c>
      <c r="B1440" s="1" t="n">
        <v>45245</v>
      </c>
      <c r="C1440" s="1" t="n">
        <v>45583</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58297-2023</t>
        </is>
      </c>
      <c r="B1441" s="1" t="n">
        <v>45245</v>
      </c>
      <c r="C1441" s="1" t="n">
        <v>45583</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58306-2023</t>
        </is>
      </c>
      <c r="B1442" s="1" t="n">
        <v>45245</v>
      </c>
      <c r="C1442" s="1" t="n">
        <v>45583</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58404-2023</t>
        </is>
      </c>
      <c r="B1443" s="1" t="n">
        <v>45245</v>
      </c>
      <c r="C1443" s="1" t="n">
        <v>45583</v>
      </c>
      <c r="D1443" t="inlineStr">
        <is>
          <t>STOCKHOLMS LÄN</t>
        </is>
      </c>
      <c r="E1443" t="inlineStr">
        <is>
          <t>NORRTÄLJE</t>
        </is>
      </c>
      <c r="G1443" t="n">
        <v>53.5</v>
      </c>
      <c r="H1443" t="n">
        <v>0</v>
      </c>
      <c r="I1443" t="n">
        <v>0</v>
      </c>
      <c r="J1443" t="n">
        <v>0</v>
      </c>
      <c r="K1443" t="n">
        <v>0</v>
      </c>
      <c r="L1443" t="n">
        <v>0</v>
      </c>
      <c r="M1443" t="n">
        <v>0</v>
      </c>
      <c r="N1443" t="n">
        <v>0</v>
      </c>
      <c r="O1443" t="n">
        <v>0</v>
      </c>
      <c r="P1443" t="n">
        <v>0</v>
      </c>
      <c r="Q1443" t="n">
        <v>0</v>
      </c>
      <c r="R1443" s="2" t="inlineStr"/>
    </row>
    <row r="1444" ht="15" customHeight="1">
      <c r="A1444" t="inlineStr">
        <is>
          <t>A 58191-2023</t>
        </is>
      </c>
      <c r="B1444" s="1" t="n">
        <v>45250</v>
      </c>
      <c r="C1444" s="1" t="n">
        <v>45583</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58186-2023</t>
        </is>
      </c>
      <c r="B1445" s="1" t="n">
        <v>45250</v>
      </c>
      <c r="C1445" s="1" t="n">
        <v>45583</v>
      </c>
      <c r="D1445" t="inlineStr">
        <is>
          <t>STOCKHOLMS LÄN</t>
        </is>
      </c>
      <c r="E1445" t="inlineStr">
        <is>
          <t>NORRTÄLJE</t>
        </is>
      </c>
      <c r="F1445" t="inlineStr">
        <is>
          <t>Kyrkan</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58981-2023</t>
        </is>
      </c>
      <c r="B1446" s="1" t="n">
        <v>45250</v>
      </c>
      <c r="C1446" s="1" t="n">
        <v>45583</v>
      </c>
      <c r="D1446" t="inlineStr">
        <is>
          <t>STOCKHOLMS LÄN</t>
        </is>
      </c>
      <c r="E1446" t="inlineStr">
        <is>
          <t>NORRTÄLJE</t>
        </is>
      </c>
      <c r="F1446" t="inlineStr">
        <is>
          <t>Övriga statliga verk och myndigheter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58601-2023</t>
        </is>
      </c>
      <c r="B1447" s="1" t="n">
        <v>45251</v>
      </c>
      <c r="C1447" s="1" t="n">
        <v>45583</v>
      </c>
      <c r="D1447" t="inlineStr">
        <is>
          <t>STOCKHOLMS LÄN</t>
        </is>
      </c>
      <c r="E1447" t="inlineStr">
        <is>
          <t>NORRTÄLJE</t>
        </is>
      </c>
      <c r="F1447" t="inlineStr">
        <is>
          <t>Holmen skog AB</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59310-2023</t>
        </is>
      </c>
      <c r="B1448" s="1" t="n">
        <v>45253</v>
      </c>
      <c r="C1448" s="1" t="n">
        <v>45583</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59326-2023</t>
        </is>
      </c>
      <c r="B1449" s="1" t="n">
        <v>45253</v>
      </c>
      <c r="C1449" s="1" t="n">
        <v>45583</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59212-2023</t>
        </is>
      </c>
      <c r="B1450" s="1" t="n">
        <v>45253</v>
      </c>
      <c r="C1450" s="1" t="n">
        <v>45583</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59276-2023</t>
        </is>
      </c>
      <c r="B1451" s="1" t="n">
        <v>45253</v>
      </c>
      <c r="C1451" s="1" t="n">
        <v>45583</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59468-2023</t>
        </is>
      </c>
      <c r="B1452" s="1" t="n">
        <v>45254</v>
      </c>
      <c r="C1452" s="1" t="n">
        <v>45583</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59499-2023</t>
        </is>
      </c>
      <c r="B1453" s="1" t="n">
        <v>45254</v>
      </c>
      <c r="C1453" s="1" t="n">
        <v>45583</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59504-2023</t>
        </is>
      </c>
      <c r="B1454" s="1" t="n">
        <v>45254</v>
      </c>
      <c r="C1454" s="1" t="n">
        <v>45583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59676-2023</t>
        </is>
      </c>
      <c r="B1455" s="1" t="n">
        <v>45255</v>
      </c>
      <c r="C1455" s="1" t="n">
        <v>45583</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59904-2023</t>
        </is>
      </c>
      <c r="B1456" s="1" t="n">
        <v>45257</v>
      </c>
      <c r="C1456" s="1" t="n">
        <v>45583</v>
      </c>
      <c r="D1456" t="inlineStr">
        <is>
          <t>STOCKHOLMS LÄN</t>
        </is>
      </c>
      <c r="E1456" t="inlineStr">
        <is>
          <t>NORRTÄLJE</t>
        </is>
      </c>
      <c r="G1456" t="n">
        <v>17.4</v>
      </c>
      <c r="H1456" t="n">
        <v>0</v>
      </c>
      <c r="I1456" t="n">
        <v>0</v>
      </c>
      <c r="J1456" t="n">
        <v>0</v>
      </c>
      <c r="K1456" t="n">
        <v>0</v>
      </c>
      <c r="L1456" t="n">
        <v>0</v>
      </c>
      <c r="M1456" t="n">
        <v>0</v>
      </c>
      <c r="N1456" t="n">
        <v>0</v>
      </c>
      <c r="O1456" t="n">
        <v>0</v>
      </c>
      <c r="P1456" t="n">
        <v>0</v>
      </c>
      <c r="Q1456" t="n">
        <v>0</v>
      </c>
      <c r="R1456" s="2" t="inlineStr"/>
    </row>
    <row r="1457" ht="15" customHeight="1">
      <c r="A1457" t="inlineStr">
        <is>
          <t>A 59906-2023</t>
        </is>
      </c>
      <c r="B1457" s="1" t="n">
        <v>45257</v>
      </c>
      <c r="C1457" s="1" t="n">
        <v>45583</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59992-2023</t>
        </is>
      </c>
      <c r="B1458" s="1" t="n">
        <v>45257</v>
      </c>
      <c r="C1458" s="1" t="n">
        <v>45583</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60224-2023</t>
        </is>
      </c>
      <c r="B1459" s="1" t="n">
        <v>45257</v>
      </c>
      <c r="C1459" s="1" t="n">
        <v>45583</v>
      </c>
      <c r="D1459" t="inlineStr">
        <is>
          <t>STOCKHOLMS LÄN</t>
        </is>
      </c>
      <c r="E1459" t="inlineStr">
        <is>
          <t>NORRTÄLJE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60073-2023</t>
        </is>
      </c>
      <c r="B1460" s="1" t="n">
        <v>45258</v>
      </c>
      <c r="C1460" s="1" t="n">
        <v>45583</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60492-2023</t>
        </is>
      </c>
      <c r="B1461" s="1" t="n">
        <v>45259</v>
      </c>
      <c r="C1461" s="1" t="n">
        <v>45583</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60529-2023</t>
        </is>
      </c>
      <c r="B1462" s="1" t="n">
        <v>45259</v>
      </c>
      <c r="C1462" s="1" t="n">
        <v>45583</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60822-2023</t>
        </is>
      </c>
      <c r="B1463" s="1" t="n">
        <v>45259</v>
      </c>
      <c r="C1463" s="1" t="n">
        <v>45583</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60654-2023</t>
        </is>
      </c>
      <c r="B1464" s="1" t="n">
        <v>45260</v>
      </c>
      <c r="C1464" s="1" t="n">
        <v>45583</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60640-2023</t>
        </is>
      </c>
      <c r="B1465" s="1" t="n">
        <v>45260</v>
      </c>
      <c r="C1465" s="1" t="n">
        <v>45583</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60672-2023</t>
        </is>
      </c>
      <c r="B1466" s="1" t="n">
        <v>45260</v>
      </c>
      <c r="C1466" s="1" t="n">
        <v>45583</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60823-2023</t>
        </is>
      </c>
      <c r="B1467" s="1" t="n">
        <v>45260</v>
      </c>
      <c r="C1467" s="1" t="n">
        <v>45583</v>
      </c>
      <c r="D1467" t="inlineStr">
        <is>
          <t>STOCKHOLMS LÄN</t>
        </is>
      </c>
      <c r="E1467" t="inlineStr">
        <is>
          <t>NORRTÄLJE</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60656-2023</t>
        </is>
      </c>
      <c r="B1468" s="1" t="n">
        <v>45260</v>
      </c>
      <c r="C1468" s="1" t="n">
        <v>45583</v>
      </c>
      <c r="D1468" t="inlineStr">
        <is>
          <t>STOCKHOLMS LÄN</t>
        </is>
      </c>
      <c r="E1468" t="inlineStr">
        <is>
          <t>NORRTÄLJE</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60765-2023</t>
        </is>
      </c>
      <c r="B1469" s="1" t="n">
        <v>45260</v>
      </c>
      <c r="C1469" s="1" t="n">
        <v>45583</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61113-2023</t>
        </is>
      </c>
      <c r="B1470" s="1" t="n">
        <v>45261</v>
      </c>
      <c r="C1470" s="1" t="n">
        <v>45583</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62644-2023</t>
        </is>
      </c>
      <c r="B1471" s="1" t="n">
        <v>45271</v>
      </c>
      <c r="C1471" s="1" t="n">
        <v>45583</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62998-2023</t>
        </is>
      </c>
      <c r="B1472" s="1" t="n">
        <v>45272</v>
      </c>
      <c r="C1472" s="1" t="n">
        <v>45583</v>
      </c>
      <c r="D1472" t="inlineStr">
        <is>
          <t>STOCKHOLMS LÄN</t>
        </is>
      </c>
      <c r="E1472" t="inlineStr">
        <is>
          <t>NORRTÄLJE</t>
        </is>
      </c>
      <c r="G1472" t="n">
        <v>16.3</v>
      </c>
      <c r="H1472" t="n">
        <v>0</v>
      </c>
      <c r="I1472" t="n">
        <v>0</v>
      </c>
      <c r="J1472" t="n">
        <v>0</v>
      </c>
      <c r="K1472" t="n">
        <v>0</v>
      </c>
      <c r="L1472" t="n">
        <v>0</v>
      </c>
      <c r="M1472" t="n">
        <v>0</v>
      </c>
      <c r="N1472" t="n">
        <v>0</v>
      </c>
      <c r="O1472" t="n">
        <v>0</v>
      </c>
      <c r="P1472" t="n">
        <v>0</v>
      </c>
      <c r="Q1472" t="n">
        <v>0</v>
      </c>
      <c r="R1472" s="2" t="inlineStr"/>
    </row>
    <row r="1473" ht="15" customHeight="1">
      <c r="A1473" t="inlineStr">
        <is>
          <t>A 63015-2023</t>
        </is>
      </c>
      <c r="B1473" s="1" t="n">
        <v>45272</v>
      </c>
      <c r="C1473" s="1" t="n">
        <v>45583</v>
      </c>
      <c r="D1473" t="inlineStr">
        <is>
          <t>STOCKHOLMS LÄN</t>
        </is>
      </c>
      <c r="E1473" t="inlineStr">
        <is>
          <t>NORRTÄLJE</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62971-2023</t>
        </is>
      </c>
      <c r="B1474" s="1" t="n">
        <v>45272</v>
      </c>
      <c r="C1474" s="1" t="n">
        <v>45583</v>
      </c>
      <c r="D1474" t="inlineStr">
        <is>
          <t>STOCKHOLMS LÄN</t>
        </is>
      </c>
      <c r="E1474" t="inlineStr">
        <is>
          <t>NORRTÄLJE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63013-2023</t>
        </is>
      </c>
      <c r="B1475" s="1" t="n">
        <v>45272</v>
      </c>
      <c r="C1475" s="1" t="n">
        <v>45583</v>
      </c>
      <c r="D1475" t="inlineStr">
        <is>
          <t>STOCKHOLMS LÄN</t>
        </is>
      </c>
      <c r="E1475" t="inlineStr">
        <is>
          <t>NORRTÄLJE</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63161-2023</t>
        </is>
      </c>
      <c r="B1476" s="1" t="n">
        <v>45273</v>
      </c>
      <c r="C1476" s="1" t="n">
        <v>45583</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63655-2023</t>
        </is>
      </c>
      <c r="B1477" s="1" t="n">
        <v>45275</v>
      </c>
      <c r="C1477" s="1" t="n">
        <v>45583</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64902-2023</t>
        </is>
      </c>
      <c r="B1478" s="1" t="n">
        <v>45282</v>
      </c>
      <c r="C1478" s="1" t="n">
        <v>45583</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64899-2023</t>
        </is>
      </c>
      <c r="B1479" s="1" t="n">
        <v>45282</v>
      </c>
      <c r="C1479" s="1" t="n">
        <v>45583</v>
      </c>
      <c r="D1479" t="inlineStr">
        <is>
          <t>STOCKHOLMS LÄN</t>
        </is>
      </c>
      <c r="E1479" t="inlineStr">
        <is>
          <t>NORRTÄLJE</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9-2024</t>
        </is>
      </c>
      <c r="B1480" s="1" t="n">
        <v>45293</v>
      </c>
      <c r="C1480" s="1" t="n">
        <v>45583</v>
      </c>
      <c r="D1480" t="inlineStr">
        <is>
          <t>STOCKHOLMS LÄN</t>
        </is>
      </c>
      <c r="E1480" t="inlineStr">
        <is>
          <t>NORRTÄLJE</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13-2024</t>
        </is>
      </c>
      <c r="B1481" s="1" t="n">
        <v>45293</v>
      </c>
      <c r="C1481" s="1" t="n">
        <v>45583</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11-2024</t>
        </is>
      </c>
      <c r="B1482" s="1" t="n">
        <v>45293</v>
      </c>
      <c r="C1482" s="1" t="n">
        <v>45583</v>
      </c>
      <c r="D1482" t="inlineStr">
        <is>
          <t>STOCKHOLMS LÄN</t>
        </is>
      </c>
      <c r="E1482" t="inlineStr">
        <is>
          <t>NORRTÄLJE</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19-2024</t>
        </is>
      </c>
      <c r="B1483" s="1" t="n">
        <v>45293</v>
      </c>
      <c r="C1483" s="1" t="n">
        <v>45583</v>
      </c>
      <c r="D1483" t="inlineStr">
        <is>
          <t>STOCKHOLMS LÄN</t>
        </is>
      </c>
      <c r="E1483" t="inlineStr">
        <is>
          <t>NORRTÄLJE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329-2024</t>
        </is>
      </c>
      <c r="B1484" s="1" t="n">
        <v>45295</v>
      </c>
      <c r="C1484" s="1" t="n">
        <v>45583</v>
      </c>
      <c r="D1484" t="inlineStr">
        <is>
          <t>STOCKHOLMS LÄN</t>
        </is>
      </c>
      <c r="E1484" t="inlineStr">
        <is>
          <t>NORRTÄLJE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498-2024</t>
        </is>
      </c>
      <c r="B1485" s="1" t="n">
        <v>45299</v>
      </c>
      <c r="C1485" s="1" t="n">
        <v>45583</v>
      </c>
      <c r="D1485" t="inlineStr">
        <is>
          <t>STOCKHOLMS LÄN</t>
        </is>
      </c>
      <c r="E1485" t="inlineStr">
        <is>
          <t>NORRTÄLJE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577-2024</t>
        </is>
      </c>
      <c r="B1486" s="1" t="n">
        <v>45299</v>
      </c>
      <c r="C1486" s="1" t="n">
        <v>45583</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1372-2024</t>
        </is>
      </c>
      <c r="B1487" s="1" t="n">
        <v>45303</v>
      </c>
      <c r="C1487" s="1" t="n">
        <v>45583</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1996-2024</t>
        </is>
      </c>
      <c r="B1488" s="1" t="n">
        <v>45308</v>
      </c>
      <c r="C1488" s="1" t="n">
        <v>45583</v>
      </c>
      <c r="D1488" t="inlineStr">
        <is>
          <t>STOCKHOLMS LÄN</t>
        </is>
      </c>
      <c r="E1488" t="inlineStr">
        <is>
          <t>NORRTÄLJE</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2287-2024</t>
        </is>
      </c>
      <c r="B1489" s="1" t="n">
        <v>45310</v>
      </c>
      <c r="C1489" s="1" t="n">
        <v>45583</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2281-2024</t>
        </is>
      </c>
      <c r="B1490" s="1" t="n">
        <v>45310</v>
      </c>
      <c r="C1490" s="1" t="n">
        <v>45583</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2613-2024</t>
        </is>
      </c>
      <c r="B1491" s="1" t="n">
        <v>45313</v>
      </c>
      <c r="C1491" s="1" t="n">
        <v>45583</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2611-2024</t>
        </is>
      </c>
      <c r="B1492" s="1" t="n">
        <v>45313</v>
      </c>
      <c r="C1492" s="1" t="n">
        <v>45583</v>
      </c>
      <c r="D1492" t="inlineStr">
        <is>
          <t>STOCKHOLMS LÄN</t>
        </is>
      </c>
      <c r="E1492" t="inlineStr">
        <is>
          <t>NORRTÄLJE</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3084-2024</t>
        </is>
      </c>
      <c r="B1493" s="1" t="n">
        <v>45316</v>
      </c>
      <c r="C1493" s="1" t="n">
        <v>45583</v>
      </c>
      <c r="D1493" t="inlineStr">
        <is>
          <t>STOCKHOLMS LÄN</t>
        </is>
      </c>
      <c r="E1493" t="inlineStr">
        <is>
          <t>NORRTÄLJE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3152-2024</t>
        </is>
      </c>
      <c r="B1494" s="1" t="n">
        <v>45316</v>
      </c>
      <c r="C1494" s="1" t="n">
        <v>45583</v>
      </c>
      <c r="D1494" t="inlineStr">
        <is>
          <t>STOCKHOLMS LÄN</t>
        </is>
      </c>
      <c r="E1494" t="inlineStr">
        <is>
          <t>NORRTÄLJE</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3381-2024</t>
        </is>
      </c>
      <c r="B1495" s="1" t="n">
        <v>45317</v>
      </c>
      <c r="C1495" s="1" t="n">
        <v>45583</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3942-2024</t>
        </is>
      </c>
      <c r="B1496" s="1" t="n">
        <v>45322</v>
      </c>
      <c r="C1496" s="1" t="n">
        <v>45583</v>
      </c>
      <c r="D1496" t="inlineStr">
        <is>
          <t>STOCKHOLMS LÄN</t>
        </is>
      </c>
      <c r="E1496" t="inlineStr">
        <is>
          <t>NORRTÄLJE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3966-2024</t>
        </is>
      </c>
      <c r="B1497" s="1" t="n">
        <v>45322</v>
      </c>
      <c r="C1497" s="1" t="n">
        <v>45583</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4051-2024</t>
        </is>
      </c>
      <c r="B1498" s="1" t="n">
        <v>45323</v>
      </c>
      <c r="C1498" s="1" t="n">
        <v>45583</v>
      </c>
      <c r="D1498" t="inlineStr">
        <is>
          <t>STOCKHOLMS LÄN</t>
        </is>
      </c>
      <c r="E1498" t="inlineStr">
        <is>
          <t>NORRTÄLJE</t>
        </is>
      </c>
      <c r="F1498" t="inlineStr">
        <is>
          <t>Kyrkan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4542-2024</t>
        </is>
      </c>
      <c r="B1499" s="1" t="n">
        <v>45327</v>
      </c>
      <c r="C1499" s="1" t="n">
        <v>45583</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4658-2024</t>
        </is>
      </c>
      <c r="B1500" s="1" t="n">
        <v>45328</v>
      </c>
      <c r="C1500" s="1" t="n">
        <v>45583</v>
      </c>
      <c r="D1500" t="inlineStr">
        <is>
          <t>STOCKHOLMS LÄN</t>
        </is>
      </c>
      <c r="E1500" t="inlineStr">
        <is>
          <t>NORRTÄLJE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4730-2024</t>
        </is>
      </c>
      <c r="B1501" s="1" t="n">
        <v>45328</v>
      </c>
      <c r="C1501" s="1" t="n">
        <v>45583</v>
      </c>
      <c r="D1501" t="inlineStr">
        <is>
          <t>STOCKHOLMS LÄN</t>
        </is>
      </c>
      <c r="E1501" t="inlineStr">
        <is>
          <t>NORRTÄLJE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5158-2024</t>
        </is>
      </c>
      <c r="B1502" s="1" t="n">
        <v>45330</v>
      </c>
      <c r="C1502" s="1" t="n">
        <v>45583</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5670-2024</t>
        </is>
      </c>
      <c r="B1503" s="1" t="n">
        <v>45334</v>
      </c>
      <c r="C1503" s="1" t="n">
        <v>45583</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5664-2024</t>
        </is>
      </c>
      <c r="B1504" s="1" t="n">
        <v>45334</v>
      </c>
      <c r="C1504" s="1" t="n">
        <v>45583</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5683-2024</t>
        </is>
      </c>
      <c r="B1505" s="1" t="n">
        <v>45334</v>
      </c>
      <c r="C1505" s="1" t="n">
        <v>45583</v>
      </c>
      <c r="D1505" t="inlineStr">
        <is>
          <t>STOCKHOLMS LÄN</t>
        </is>
      </c>
      <c r="E1505" t="inlineStr">
        <is>
          <t>NORRTÄLJE</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5625-2024</t>
        </is>
      </c>
      <c r="B1506" s="1" t="n">
        <v>45334</v>
      </c>
      <c r="C1506" s="1" t="n">
        <v>45583</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5862-2024</t>
        </is>
      </c>
      <c r="B1507" s="1" t="n">
        <v>45335</v>
      </c>
      <c r="C1507" s="1" t="n">
        <v>45583</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5831-2024</t>
        </is>
      </c>
      <c r="B1508" s="1" t="n">
        <v>45335</v>
      </c>
      <c r="C1508" s="1" t="n">
        <v>45583</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5894-2024</t>
        </is>
      </c>
      <c r="B1509" s="1" t="n">
        <v>45335</v>
      </c>
      <c r="C1509" s="1" t="n">
        <v>45583</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6401-2024</t>
        </is>
      </c>
      <c r="B1510" s="1" t="n">
        <v>45338</v>
      </c>
      <c r="C1510" s="1" t="n">
        <v>45583</v>
      </c>
      <c r="D1510" t="inlineStr">
        <is>
          <t>STOCKHOLMS LÄN</t>
        </is>
      </c>
      <c r="E1510" t="inlineStr">
        <is>
          <t>NORRTÄLJE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6537-2024</t>
        </is>
      </c>
      <c r="B1511" s="1" t="n">
        <v>45341</v>
      </c>
      <c r="C1511" s="1" t="n">
        <v>45583</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7009-2024</t>
        </is>
      </c>
      <c r="B1512" s="1" t="n">
        <v>45343</v>
      </c>
      <c r="C1512" s="1" t="n">
        <v>45583</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7186-2024</t>
        </is>
      </c>
      <c r="B1513" s="1" t="n">
        <v>45344</v>
      </c>
      <c r="C1513" s="1" t="n">
        <v>45583</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7408-2024</t>
        </is>
      </c>
      <c r="B1514" s="1" t="n">
        <v>45345</v>
      </c>
      <c r="C1514" s="1" t="n">
        <v>45583</v>
      </c>
      <c r="D1514" t="inlineStr">
        <is>
          <t>STOCKHOLMS LÄN</t>
        </is>
      </c>
      <c r="E1514" t="inlineStr">
        <is>
          <t>NORRTÄLJE</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7573-2024</t>
        </is>
      </c>
      <c r="B1515" s="1" t="n">
        <v>45345</v>
      </c>
      <c r="C1515" s="1" t="n">
        <v>45583</v>
      </c>
      <c r="D1515" t="inlineStr">
        <is>
          <t>STOCKHOLMS LÄN</t>
        </is>
      </c>
      <c r="E1515" t="inlineStr">
        <is>
          <t>NORRTÄLJE</t>
        </is>
      </c>
      <c r="F1515" t="inlineStr">
        <is>
          <t>Övriga Aktiebolag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7425-2024</t>
        </is>
      </c>
      <c r="B1516" s="1" t="n">
        <v>45345</v>
      </c>
      <c r="C1516" s="1" t="n">
        <v>45583</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7413-2024</t>
        </is>
      </c>
      <c r="B1517" s="1" t="n">
        <v>45345</v>
      </c>
      <c r="C1517" s="1" t="n">
        <v>45583</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7385-2024</t>
        </is>
      </c>
      <c r="B1518" s="1" t="n">
        <v>45345</v>
      </c>
      <c r="C1518" s="1" t="n">
        <v>45583</v>
      </c>
      <c r="D1518" t="inlineStr">
        <is>
          <t>STOCKHOLMS LÄN</t>
        </is>
      </c>
      <c r="E1518" t="inlineStr">
        <is>
          <t>NORRTÄLJE</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7329-2024</t>
        </is>
      </c>
      <c r="B1519" s="1" t="n">
        <v>45345</v>
      </c>
      <c r="C1519" s="1" t="n">
        <v>45583</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7483-2024</t>
        </is>
      </c>
      <c r="B1520" s="1" t="n">
        <v>45346</v>
      </c>
      <c r="C1520" s="1" t="n">
        <v>45583</v>
      </c>
      <c r="D1520" t="inlineStr">
        <is>
          <t>STOCKHOLMS LÄN</t>
        </is>
      </c>
      <c r="E1520" t="inlineStr">
        <is>
          <t>NORRTÄLJE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7571-2024</t>
        </is>
      </c>
      <c r="B1521" s="1" t="n">
        <v>45348</v>
      </c>
      <c r="C1521" s="1" t="n">
        <v>45583</v>
      </c>
      <c r="D1521" t="inlineStr">
        <is>
          <t>STOCKHOLMS LÄN</t>
        </is>
      </c>
      <c r="E1521" t="inlineStr">
        <is>
          <t>NORRTÄLJE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8270-2024</t>
        </is>
      </c>
      <c r="B1522" s="1" t="n">
        <v>45352</v>
      </c>
      <c r="C1522" s="1" t="n">
        <v>45583</v>
      </c>
      <c r="D1522" t="inlineStr">
        <is>
          <t>STOCKHOLMS LÄN</t>
        </is>
      </c>
      <c r="E1522" t="inlineStr">
        <is>
          <t>NORRTÄLJE</t>
        </is>
      </c>
      <c r="F1522" t="inlineStr">
        <is>
          <t>Kyrkan</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8399-2024</t>
        </is>
      </c>
      <c r="B1523" s="1" t="n">
        <v>45352</v>
      </c>
      <c r="C1523" s="1" t="n">
        <v>45583</v>
      </c>
      <c r="D1523" t="inlineStr">
        <is>
          <t>STOCKHOLMS LÄN</t>
        </is>
      </c>
      <c r="E1523" t="inlineStr">
        <is>
          <t>NORRTÄLJE</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8365-2024</t>
        </is>
      </c>
      <c r="B1524" s="1" t="n">
        <v>45352</v>
      </c>
      <c r="C1524" s="1" t="n">
        <v>45583</v>
      </c>
      <c r="D1524" t="inlineStr">
        <is>
          <t>STOCKHOLMS LÄN</t>
        </is>
      </c>
      <c r="E1524" t="inlineStr">
        <is>
          <t>NORRTÄLJE</t>
        </is>
      </c>
      <c r="F1524" t="inlineStr">
        <is>
          <t>Naturvårdsverket</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8400-2024</t>
        </is>
      </c>
      <c r="B1525" s="1" t="n">
        <v>45352</v>
      </c>
      <c r="C1525" s="1" t="n">
        <v>45583</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8401-2024</t>
        </is>
      </c>
      <c r="B1526" s="1" t="n">
        <v>45352</v>
      </c>
      <c r="C1526" s="1" t="n">
        <v>45583</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8739-2024</t>
        </is>
      </c>
      <c r="B1527" s="1" t="n">
        <v>45356</v>
      </c>
      <c r="C1527" s="1" t="n">
        <v>45583</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8736-2024</t>
        </is>
      </c>
      <c r="B1528" s="1" t="n">
        <v>45356</v>
      </c>
      <c r="C1528" s="1" t="n">
        <v>45583</v>
      </c>
      <c r="D1528" t="inlineStr">
        <is>
          <t>STOCKHOLMS LÄN</t>
        </is>
      </c>
      <c r="E1528" t="inlineStr">
        <is>
          <t>NORRTÄLJE</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9246-2024</t>
        </is>
      </c>
      <c r="B1529" s="1" t="n">
        <v>45357</v>
      </c>
      <c r="C1529" s="1" t="n">
        <v>45583</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9300-2024</t>
        </is>
      </c>
      <c r="B1530" s="1" t="n">
        <v>45358</v>
      </c>
      <c r="C1530" s="1" t="n">
        <v>45583</v>
      </c>
      <c r="D1530" t="inlineStr">
        <is>
          <t>STOCKHOLMS LÄN</t>
        </is>
      </c>
      <c r="E1530" t="inlineStr">
        <is>
          <t>NORRTÄLJE</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9297-2024</t>
        </is>
      </c>
      <c r="B1531" s="1" t="n">
        <v>45358</v>
      </c>
      <c r="C1531" s="1" t="n">
        <v>45583</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9301-2024</t>
        </is>
      </c>
      <c r="B1532" s="1" t="n">
        <v>45358</v>
      </c>
      <c r="C1532" s="1" t="n">
        <v>45583</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9305-2024</t>
        </is>
      </c>
      <c r="B1533" s="1" t="n">
        <v>45358</v>
      </c>
      <c r="C1533" s="1" t="n">
        <v>45583</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9765-2024</t>
        </is>
      </c>
      <c r="B1534" s="1" t="n">
        <v>45362</v>
      </c>
      <c r="C1534" s="1" t="n">
        <v>45583</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9959-2024</t>
        </is>
      </c>
      <c r="B1535" s="1" t="n">
        <v>45363</v>
      </c>
      <c r="C1535" s="1" t="n">
        <v>45583</v>
      </c>
      <c r="D1535" t="inlineStr">
        <is>
          <t>STOCKHOLMS LÄN</t>
        </is>
      </c>
      <c r="E1535" t="inlineStr">
        <is>
          <t>NORRTÄLJE</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10258-2024</t>
        </is>
      </c>
      <c r="B1536" s="1" t="n">
        <v>45365</v>
      </c>
      <c r="C1536" s="1" t="n">
        <v>45583</v>
      </c>
      <c r="D1536" t="inlineStr">
        <is>
          <t>STOCKHOLMS LÄN</t>
        </is>
      </c>
      <c r="E1536" t="inlineStr">
        <is>
          <t>NORRTÄLJE</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10279-2024</t>
        </is>
      </c>
      <c r="B1537" s="1" t="n">
        <v>45365</v>
      </c>
      <c r="C1537" s="1" t="n">
        <v>45583</v>
      </c>
      <c r="D1537" t="inlineStr">
        <is>
          <t>STOCKHOLMS LÄN</t>
        </is>
      </c>
      <c r="E1537" t="inlineStr">
        <is>
          <t>NORRTÄLJE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10643-2024</t>
        </is>
      </c>
      <c r="B1538" s="1" t="n">
        <v>45367</v>
      </c>
      <c r="C1538" s="1" t="n">
        <v>45583</v>
      </c>
      <c r="D1538" t="inlineStr">
        <is>
          <t>STOCKHOLMS LÄN</t>
        </is>
      </c>
      <c r="E1538" t="inlineStr">
        <is>
          <t>NORRTÄLJE</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10840-2024</t>
        </is>
      </c>
      <c r="B1539" s="1" t="n">
        <v>45369</v>
      </c>
      <c r="C1539" s="1" t="n">
        <v>45583</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10810-2024</t>
        </is>
      </c>
      <c r="B1540" s="1" t="n">
        <v>45369</v>
      </c>
      <c r="C1540" s="1" t="n">
        <v>45583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10930-2024</t>
        </is>
      </c>
      <c r="B1541" s="1" t="n">
        <v>45370</v>
      </c>
      <c r="C1541" s="1" t="n">
        <v>45583</v>
      </c>
      <c r="D1541" t="inlineStr">
        <is>
          <t>STOCKHOLMS LÄN</t>
        </is>
      </c>
      <c r="E1541" t="inlineStr">
        <is>
          <t>NORRTÄLJE</t>
        </is>
      </c>
      <c r="G1541" t="n">
        <v>8.699999999999999</v>
      </c>
      <c r="H1541" t="n">
        <v>0</v>
      </c>
      <c r="I1541" t="n">
        <v>0</v>
      </c>
      <c r="J1541" t="n">
        <v>0</v>
      </c>
      <c r="K1541" t="n">
        <v>0</v>
      </c>
      <c r="L1541" t="n">
        <v>0</v>
      </c>
      <c r="M1541" t="n">
        <v>0</v>
      </c>
      <c r="N1541" t="n">
        <v>0</v>
      </c>
      <c r="O1541" t="n">
        <v>0</v>
      </c>
      <c r="P1541" t="n">
        <v>0</v>
      </c>
      <c r="Q1541" t="n">
        <v>0</v>
      </c>
      <c r="R1541" s="2" t="inlineStr"/>
      <c r="U1541">
        <f>HYPERLINK("https://klasma.github.io/Logging_0188/knärot/A 10930-2024 karta knärot.png", "A 10930-2024")</f>
        <v/>
      </c>
      <c r="V1541">
        <f>HYPERLINK("https://klasma.github.io/Logging_0188/klagomål/A 10930-2024 FSC-klagomål.docx", "A 10930-2024")</f>
        <v/>
      </c>
      <c r="W1541">
        <f>HYPERLINK("https://klasma.github.io/Logging_0188/klagomålsmail/A 10930-2024 FSC-klagomål mail.docx", "A 10930-2024")</f>
        <v/>
      </c>
      <c r="X1541">
        <f>HYPERLINK("https://klasma.github.io/Logging_0188/tillsyn/A 10930-2024 tillsynsbegäran.docx", "A 10930-2024")</f>
        <v/>
      </c>
      <c r="Y1541">
        <f>HYPERLINK("https://klasma.github.io/Logging_0188/tillsynsmail/A 10930-2024 tillsynsbegäran mail.docx", "A 10930-2024")</f>
        <v/>
      </c>
    </row>
    <row r="1542" ht="15" customHeight="1">
      <c r="A1542" t="inlineStr">
        <is>
          <t>A 11062-2024</t>
        </is>
      </c>
      <c r="B1542" s="1" t="n">
        <v>45370</v>
      </c>
      <c r="C1542" s="1" t="n">
        <v>45583</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10968-2024</t>
        </is>
      </c>
      <c r="B1543" s="1" t="n">
        <v>45370</v>
      </c>
      <c r="C1543" s="1" t="n">
        <v>45583</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11902-2024</t>
        </is>
      </c>
      <c r="B1544" s="1" t="n">
        <v>45376</v>
      </c>
      <c r="C1544" s="1" t="n">
        <v>45583</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11926-2024</t>
        </is>
      </c>
      <c r="B1545" s="1" t="n">
        <v>45376</v>
      </c>
      <c r="C1545" s="1" t="n">
        <v>45583</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11896-2024</t>
        </is>
      </c>
      <c r="B1546" s="1" t="n">
        <v>45376</v>
      </c>
      <c r="C1546" s="1" t="n">
        <v>45583</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11900-2024</t>
        </is>
      </c>
      <c r="B1547" s="1" t="n">
        <v>45376</v>
      </c>
      <c r="C1547" s="1" t="n">
        <v>45583</v>
      </c>
      <c r="D1547" t="inlineStr">
        <is>
          <t>STOCKHOLMS LÄN</t>
        </is>
      </c>
      <c r="E1547" t="inlineStr">
        <is>
          <t>NORRTÄLJE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11924-2024</t>
        </is>
      </c>
      <c r="B1548" s="1" t="n">
        <v>45376</v>
      </c>
      <c r="C1548" s="1" t="n">
        <v>45583</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11893-2024</t>
        </is>
      </c>
      <c r="B1549" s="1" t="n">
        <v>45376</v>
      </c>
      <c r="C1549" s="1" t="n">
        <v>45583</v>
      </c>
      <c r="D1549" t="inlineStr">
        <is>
          <t>STOCKHOLMS LÄN</t>
        </is>
      </c>
      <c r="E1549" t="inlineStr">
        <is>
          <t>NORRTÄLJE</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11901-2024</t>
        </is>
      </c>
      <c r="B1550" s="1" t="n">
        <v>45376</v>
      </c>
      <c r="C1550" s="1" t="n">
        <v>45583</v>
      </c>
      <c r="D1550" t="inlineStr">
        <is>
          <t>STOCKHOLMS LÄN</t>
        </is>
      </c>
      <c r="E1550" t="inlineStr">
        <is>
          <t>NORRTÄLJE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11929-2024</t>
        </is>
      </c>
      <c r="B1551" s="1" t="n">
        <v>45376</v>
      </c>
      <c r="C1551" s="1" t="n">
        <v>45583</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11996-2024</t>
        </is>
      </c>
      <c r="B1552" s="1" t="n">
        <v>45376</v>
      </c>
      <c r="C1552" s="1" t="n">
        <v>45583</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11997-2024</t>
        </is>
      </c>
      <c r="B1553" s="1" t="n">
        <v>45377</v>
      </c>
      <c r="C1553" s="1" t="n">
        <v>45583</v>
      </c>
      <c r="D1553" t="inlineStr">
        <is>
          <t>STOCKHOLMS LÄN</t>
        </is>
      </c>
      <c r="E1553" t="inlineStr">
        <is>
          <t>NORRTÄLJE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12135-2024</t>
        </is>
      </c>
      <c r="B1554" s="1" t="n">
        <v>45377</v>
      </c>
      <c r="C1554" s="1" t="n">
        <v>45583</v>
      </c>
      <c r="D1554" t="inlineStr">
        <is>
          <t>STOCKHOLMS LÄN</t>
        </is>
      </c>
      <c r="E1554" t="inlineStr">
        <is>
          <t>NORRTÄLJE</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12022-2024</t>
        </is>
      </c>
      <c r="B1555" s="1" t="n">
        <v>45377</v>
      </c>
      <c r="C1555" s="1" t="n">
        <v>45583</v>
      </c>
      <c r="D1555" t="inlineStr">
        <is>
          <t>STOCKHOLMS LÄN</t>
        </is>
      </c>
      <c r="E1555" t="inlineStr">
        <is>
          <t>NORRTÄLJE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12323-2024</t>
        </is>
      </c>
      <c r="B1556" s="1" t="n">
        <v>45378</v>
      </c>
      <c r="C1556" s="1" t="n">
        <v>45583</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12470-2024</t>
        </is>
      </c>
      <c r="B1557" s="1" t="n">
        <v>45379</v>
      </c>
      <c r="C1557" s="1" t="n">
        <v>45583</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12560-2024</t>
        </is>
      </c>
      <c r="B1558" s="1" t="n">
        <v>45379</v>
      </c>
      <c r="C1558" s="1" t="n">
        <v>45583</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12629-2024</t>
        </is>
      </c>
      <c r="B1559" s="1" t="n">
        <v>45383</v>
      </c>
      <c r="C1559" s="1" t="n">
        <v>45583</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12896-2024</t>
        </is>
      </c>
      <c r="B1560" s="1" t="n">
        <v>45385</v>
      </c>
      <c r="C1560" s="1" t="n">
        <v>45583</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12904-2024</t>
        </is>
      </c>
      <c r="B1561" s="1" t="n">
        <v>45385</v>
      </c>
      <c r="C1561" s="1" t="n">
        <v>45583</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12901-2024</t>
        </is>
      </c>
      <c r="B1562" s="1" t="n">
        <v>45385</v>
      </c>
      <c r="C1562" s="1" t="n">
        <v>45583</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12890-2024</t>
        </is>
      </c>
      <c r="B1563" s="1" t="n">
        <v>45385</v>
      </c>
      <c r="C1563" s="1" t="n">
        <v>45583</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12902-2024</t>
        </is>
      </c>
      <c r="B1564" s="1" t="n">
        <v>45385</v>
      </c>
      <c r="C1564" s="1" t="n">
        <v>45583</v>
      </c>
      <c r="D1564" t="inlineStr">
        <is>
          <t>STOCKHOLMS LÄN</t>
        </is>
      </c>
      <c r="E1564" t="inlineStr">
        <is>
          <t>NORRTÄLJE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13115-2024</t>
        </is>
      </c>
      <c r="B1565" s="1" t="n">
        <v>45385</v>
      </c>
      <c r="C1565" s="1" t="n">
        <v>45583</v>
      </c>
      <c r="D1565" t="inlineStr">
        <is>
          <t>STOCKHOLMS LÄN</t>
        </is>
      </c>
      <c r="E1565" t="inlineStr">
        <is>
          <t>NORRTÄLJE</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13137-2024</t>
        </is>
      </c>
      <c r="B1566" s="1" t="n">
        <v>45386</v>
      </c>
      <c r="C1566" s="1" t="n">
        <v>45583</v>
      </c>
      <c r="D1566" t="inlineStr">
        <is>
          <t>STOCKHOLMS LÄN</t>
        </is>
      </c>
      <c r="E1566" t="inlineStr">
        <is>
          <t>NORRTÄLJE</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13241-2024</t>
        </is>
      </c>
      <c r="B1567" s="1" t="n">
        <v>45386</v>
      </c>
      <c r="C1567" s="1" t="n">
        <v>45583</v>
      </c>
      <c r="D1567" t="inlineStr">
        <is>
          <t>STOCKHOLMS LÄN</t>
        </is>
      </c>
      <c r="E1567" t="inlineStr">
        <is>
          <t>NORRTÄLJE</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13391-2024</t>
        </is>
      </c>
      <c r="B1568" s="1" t="n">
        <v>45387</v>
      </c>
      <c r="C1568" s="1" t="n">
        <v>45583</v>
      </c>
      <c r="D1568" t="inlineStr">
        <is>
          <t>STOCKHOLMS LÄN</t>
        </is>
      </c>
      <c r="E1568" t="inlineStr">
        <is>
          <t>NORRTÄLJE</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13785-2024</t>
        </is>
      </c>
      <c r="B1569" s="1" t="n">
        <v>45391</v>
      </c>
      <c r="C1569" s="1" t="n">
        <v>45583</v>
      </c>
      <c r="D1569" t="inlineStr">
        <is>
          <t>STOCKHOLMS LÄN</t>
        </is>
      </c>
      <c r="E1569" t="inlineStr">
        <is>
          <t>NORRTÄLJE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14530-2024</t>
        </is>
      </c>
      <c r="B1570" s="1" t="n">
        <v>45394</v>
      </c>
      <c r="C1570" s="1" t="n">
        <v>45583</v>
      </c>
      <c r="D1570" t="inlineStr">
        <is>
          <t>STOCKHOLMS LÄN</t>
        </is>
      </c>
      <c r="E1570" t="inlineStr">
        <is>
          <t>NORRTÄLJE</t>
        </is>
      </c>
      <c r="F1570" t="inlineStr">
        <is>
          <t>Kyrkan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14498-2024</t>
        </is>
      </c>
      <c r="B1571" s="1" t="n">
        <v>45394</v>
      </c>
      <c r="C1571" s="1" t="n">
        <v>45583</v>
      </c>
      <c r="D1571" t="inlineStr">
        <is>
          <t>STOCKHOLMS LÄN</t>
        </is>
      </c>
      <c r="E1571" t="inlineStr">
        <is>
          <t>NORRTÄLJE</t>
        </is>
      </c>
      <c r="F1571" t="inlineStr">
        <is>
          <t>Kyrkan</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14559-2024</t>
        </is>
      </c>
      <c r="B1572" s="1" t="n">
        <v>45394</v>
      </c>
      <c r="C1572" s="1" t="n">
        <v>45583</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14751-2024</t>
        </is>
      </c>
      <c r="B1573" s="1" t="n">
        <v>45397</v>
      </c>
      <c r="C1573" s="1" t="n">
        <v>45583</v>
      </c>
      <c r="D1573" t="inlineStr">
        <is>
          <t>STOCKHOLMS LÄN</t>
        </is>
      </c>
      <c r="E1573" t="inlineStr">
        <is>
          <t>NORRTÄLJE</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14762-2024</t>
        </is>
      </c>
      <c r="B1574" s="1" t="n">
        <v>45397</v>
      </c>
      <c r="C1574" s="1" t="n">
        <v>45583</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15278-2024</t>
        </is>
      </c>
      <c r="B1575" s="1" t="n">
        <v>45400</v>
      </c>
      <c r="C1575" s="1" t="n">
        <v>45583</v>
      </c>
      <c r="D1575" t="inlineStr">
        <is>
          <t>STOCKHOLMS LÄN</t>
        </is>
      </c>
      <c r="E1575" t="inlineStr">
        <is>
          <t>NORRTÄLJE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15347-2024</t>
        </is>
      </c>
      <c r="B1576" s="1" t="n">
        <v>45400</v>
      </c>
      <c r="C1576" s="1" t="n">
        <v>45583</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15317-2024</t>
        </is>
      </c>
      <c r="B1577" s="1" t="n">
        <v>45400</v>
      </c>
      <c r="C1577" s="1" t="n">
        <v>45583</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15429-2024</t>
        </is>
      </c>
      <c r="B1578" s="1" t="n">
        <v>45401</v>
      </c>
      <c r="C1578" s="1" t="n">
        <v>45583</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15422-2024</t>
        </is>
      </c>
      <c r="B1579" s="1" t="n">
        <v>45401</v>
      </c>
      <c r="C1579" s="1" t="n">
        <v>45583</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15470-2024</t>
        </is>
      </c>
      <c r="B1580" s="1" t="n">
        <v>45401</v>
      </c>
      <c r="C1580" s="1" t="n">
        <v>45583</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15428-2024</t>
        </is>
      </c>
      <c r="B1581" s="1" t="n">
        <v>45401</v>
      </c>
      <c r="C1581" s="1" t="n">
        <v>45583</v>
      </c>
      <c r="D1581" t="inlineStr">
        <is>
          <t>STOCKHOLMS LÄN</t>
        </is>
      </c>
      <c r="E1581" t="inlineStr">
        <is>
          <t>NORRTÄLJE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15415-2024</t>
        </is>
      </c>
      <c r="B1582" s="1" t="n">
        <v>45401</v>
      </c>
      <c r="C1582" s="1" t="n">
        <v>45583</v>
      </c>
      <c r="D1582" t="inlineStr">
        <is>
          <t>STOCKHOLMS LÄN</t>
        </is>
      </c>
      <c r="E1582" t="inlineStr">
        <is>
          <t>NORRTÄLJE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15956-2024</t>
        </is>
      </c>
      <c r="B1583" s="1" t="n">
        <v>45405</v>
      </c>
      <c r="C1583" s="1" t="n">
        <v>45583</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15978-2024</t>
        </is>
      </c>
      <c r="B1584" s="1" t="n">
        <v>45405</v>
      </c>
      <c r="C1584" s="1" t="n">
        <v>45583</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16072-2024</t>
        </is>
      </c>
      <c r="B1585" s="1" t="n">
        <v>45406</v>
      </c>
      <c r="C1585" s="1" t="n">
        <v>45583</v>
      </c>
      <c r="D1585" t="inlineStr">
        <is>
          <t>STOCKHOLMS LÄN</t>
        </is>
      </c>
      <c r="E1585" t="inlineStr">
        <is>
          <t>NORRTÄLJE</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16071-2024</t>
        </is>
      </c>
      <c r="B1586" s="1" t="n">
        <v>45406</v>
      </c>
      <c r="C1586" s="1" t="n">
        <v>45583</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16075-2024</t>
        </is>
      </c>
      <c r="B1587" s="1" t="n">
        <v>45406</v>
      </c>
      <c r="C1587" s="1" t="n">
        <v>45583</v>
      </c>
      <c r="D1587" t="inlineStr">
        <is>
          <t>STOCKHOLMS LÄN</t>
        </is>
      </c>
      <c r="E1587" t="inlineStr">
        <is>
          <t>NORRTÄLJE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16620-2024</t>
        </is>
      </c>
      <c r="B1588" s="1" t="n">
        <v>45408</v>
      </c>
      <c r="C1588" s="1" t="n">
        <v>45583</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16852-2024</t>
        </is>
      </c>
      <c r="B1589" s="1" t="n">
        <v>45411</v>
      </c>
      <c r="C1589" s="1" t="n">
        <v>45583</v>
      </c>
      <c r="D1589" t="inlineStr">
        <is>
          <t>STOCKHOLMS LÄN</t>
        </is>
      </c>
      <c r="E1589" t="inlineStr">
        <is>
          <t>NORRTÄLJE</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17013-2024</t>
        </is>
      </c>
      <c r="B1590" s="1" t="n">
        <v>45412</v>
      </c>
      <c r="C1590" s="1" t="n">
        <v>45583</v>
      </c>
      <c r="D1590" t="inlineStr">
        <is>
          <t>STOCKHOLMS LÄN</t>
        </is>
      </c>
      <c r="E1590" t="inlineStr">
        <is>
          <t>NORRTÄLJE</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17039-2024</t>
        </is>
      </c>
      <c r="B1591" s="1" t="n">
        <v>45412</v>
      </c>
      <c r="C1591" s="1" t="n">
        <v>45583</v>
      </c>
      <c r="D1591" t="inlineStr">
        <is>
          <t>STOCKHOLMS LÄN</t>
        </is>
      </c>
      <c r="E1591" t="inlineStr">
        <is>
          <t>NORRTÄLJE</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17348-2024</t>
        </is>
      </c>
      <c r="B1592" s="1" t="n">
        <v>45414</v>
      </c>
      <c r="C1592" s="1" t="n">
        <v>45583</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17304-2024</t>
        </is>
      </c>
      <c r="B1593" s="1" t="n">
        <v>45414</v>
      </c>
      <c r="C1593" s="1" t="n">
        <v>45583</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17354-2024</t>
        </is>
      </c>
      <c r="B1594" s="1" t="n">
        <v>45414</v>
      </c>
      <c r="C1594" s="1" t="n">
        <v>45583</v>
      </c>
      <c r="D1594" t="inlineStr">
        <is>
          <t>STOCKHOLMS LÄN</t>
        </is>
      </c>
      <c r="E1594" t="inlineStr">
        <is>
          <t>NORRTÄLJE</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17385-2024</t>
        </is>
      </c>
      <c r="B1595" s="1" t="n">
        <v>45414</v>
      </c>
      <c r="C1595" s="1" t="n">
        <v>45583</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17382-2024</t>
        </is>
      </c>
      <c r="B1596" s="1" t="n">
        <v>45414</v>
      </c>
      <c r="C1596" s="1" t="n">
        <v>45583</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17397-2024</t>
        </is>
      </c>
      <c r="B1597" s="1" t="n">
        <v>45414</v>
      </c>
      <c r="C1597" s="1" t="n">
        <v>45583</v>
      </c>
      <c r="D1597" t="inlineStr">
        <is>
          <t>STOCKHOLMS LÄN</t>
        </is>
      </c>
      <c r="E1597" t="inlineStr">
        <is>
          <t>NORRTÄLJE</t>
        </is>
      </c>
      <c r="F1597" t="inlineStr">
        <is>
          <t>Holmen skog AB</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17554-2024</t>
        </is>
      </c>
      <c r="B1598" s="1" t="n">
        <v>45415</v>
      </c>
      <c r="C1598" s="1" t="n">
        <v>45583</v>
      </c>
      <c r="D1598" t="inlineStr">
        <is>
          <t>STOCKHOLMS LÄN</t>
        </is>
      </c>
      <c r="E1598" t="inlineStr">
        <is>
          <t>NORRTÄLJE</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17775-2024</t>
        </is>
      </c>
      <c r="B1599" s="1" t="n">
        <v>45418</v>
      </c>
      <c r="C1599" s="1" t="n">
        <v>45583</v>
      </c>
      <c r="D1599" t="inlineStr">
        <is>
          <t>STOCKHOLMS LÄN</t>
        </is>
      </c>
      <c r="E1599" t="inlineStr">
        <is>
          <t>NORRTÄLJE</t>
        </is>
      </c>
      <c r="F1599" t="inlineStr">
        <is>
          <t>Holmen skog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17785-2024</t>
        </is>
      </c>
      <c r="B1600" s="1" t="n">
        <v>45418</v>
      </c>
      <c r="C1600" s="1" t="n">
        <v>45583</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17843-2024</t>
        </is>
      </c>
      <c r="B1601" s="1" t="n">
        <v>45418</v>
      </c>
      <c r="C1601" s="1" t="n">
        <v>45583</v>
      </c>
      <c r="D1601" t="inlineStr">
        <is>
          <t>STOCKHOLMS LÄN</t>
        </is>
      </c>
      <c r="E1601" t="inlineStr">
        <is>
          <t>NORRTÄLJE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18331-2024</t>
        </is>
      </c>
      <c r="B1602" s="1" t="n">
        <v>45422</v>
      </c>
      <c r="C1602" s="1" t="n">
        <v>45583</v>
      </c>
      <c r="D1602" t="inlineStr">
        <is>
          <t>STOCKHOLMS LÄN</t>
        </is>
      </c>
      <c r="E1602" t="inlineStr">
        <is>
          <t>NORRTÄLJE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18285-2024</t>
        </is>
      </c>
      <c r="B1603" s="1" t="n">
        <v>45422</v>
      </c>
      <c r="C1603" s="1" t="n">
        <v>45583</v>
      </c>
      <c r="D1603" t="inlineStr">
        <is>
          <t>STOCKHOLMS LÄN</t>
        </is>
      </c>
      <c r="E1603" t="inlineStr">
        <is>
          <t>NORRTÄLJE</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18287-2024</t>
        </is>
      </c>
      <c r="B1604" s="1" t="n">
        <v>45422</v>
      </c>
      <c r="C1604" s="1" t="n">
        <v>45583</v>
      </c>
      <c r="D1604" t="inlineStr">
        <is>
          <t>STOCKHOLMS LÄN</t>
        </is>
      </c>
      <c r="E1604" t="inlineStr">
        <is>
          <t>NORRTÄLJE</t>
        </is>
      </c>
      <c r="F1604" t="inlineStr">
        <is>
          <t>Sveaskog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19058-2024</t>
        </is>
      </c>
      <c r="B1605" s="1" t="n">
        <v>45427</v>
      </c>
      <c r="C1605" s="1" t="n">
        <v>45583</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19057-2024</t>
        </is>
      </c>
      <c r="B1606" s="1" t="n">
        <v>45427</v>
      </c>
      <c r="C1606" s="1" t="n">
        <v>45583</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19150-2024</t>
        </is>
      </c>
      <c r="B1607" s="1" t="n">
        <v>45428</v>
      </c>
      <c r="C1607" s="1" t="n">
        <v>45583</v>
      </c>
      <c r="D1607" t="inlineStr">
        <is>
          <t>STOCKHOLMS LÄN</t>
        </is>
      </c>
      <c r="E1607" t="inlineStr">
        <is>
          <t>NORRTÄLJE</t>
        </is>
      </c>
      <c r="F1607" t="inlineStr">
        <is>
          <t>Holmen skog AB</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19915-2024</t>
        </is>
      </c>
      <c r="B1608" s="1" t="n">
        <v>45433</v>
      </c>
      <c r="C1608" s="1" t="n">
        <v>45583</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19919-2024</t>
        </is>
      </c>
      <c r="B1609" s="1" t="n">
        <v>45433</v>
      </c>
      <c r="C1609" s="1" t="n">
        <v>45583</v>
      </c>
      <c r="D1609" t="inlineStr">
        <is>
          <t>STOCKHOLMS LÄN</t>
        </is>
      </c>
      <c r="E1609" t="inlineStr">
        <is>
          <t>NORRTÄLJE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20336-2024</t>
        </is>
      </c>
      <c r="B1610" s="1" t="n">
        <v>45435</v>
      </c>
      <c r="C1610" s="1" t="n">
        <v>45583</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20345-2024</t>
        </is>
      </c>
      <c r="B1611" s="1" t="n">
        <v>45435</v>
      </c>
      <c r="C1611" s="1" t="n">
        <v>45583</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20343-2024</t>
        </is>
      </c>
      <c r="B1612" s="1" t="n">
        <v>45435</v>
      </c>
      <c r="C1612" s="1" t="n">
        <v>45583</v>
      </c>
      <c r="D1612" t="inlineStr">
        <is>
          <t>STOCKHOLMS LÄN</t>
        </is>
      </c>
      <c r="E1612" t="inlineStr">
        <is>
          <t>NORRTÄLJE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20393-2024</t>
        </is>
      </c>
      <c r="B1613" s="1" t="n">
        <v>45435</v>
      </c>
      <c r="C1613" s="1" t="n">
        <v>45583</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20445-2024</t>
        </is>
      </c>
      <c r="B1614" s="1" t="n">
        <v>45435</v>
      </c>
      <c r="C1614" s="1" t="n">
        <v>45583</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20428-2024</t>
        </is>
      </c>
      <c r="B1615" s="1" t="n">
        <v>45435</v>
      </c>
      <c r="C1615" s="1" t="n">
        <v>45583</v>
      </c>
      <c r="D1615" t="inlineStr">
        <is>
          <t>STOCKHOLMS LÄN</t>
        </is>
      </c>
      <c r="E1615" t="inlineStr">
        <is>
          <t>NORRTÄLJE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20460-2024</t>
        </is>
      </c>
      <c r="B1616" s="1" t="n">
        <v>45435</v>
      </c>
      <c r="C1616" s="1" t="n">
        <v>45583</v>
      </c>
      <c r="D1616" t="inlineStr">
        <is>
          <t>STOCKHOLMS LÄN</t>
        </is>
      </c>
      <c r="E1616" t="inlineStr">
        <is>
          <t>NORRTÄLJE</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20464-2024</t>
        </is>
      </c>
      <c r="B1617" s="1" t="n">
        <v>45435</v>
      </c>
      <c r="C1617" s="1" t="n">
        <v>45583</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20431-2024</t>
        </is>
      </c>
      <c r="B1618" s="1" t="n">
        <v>45435</v>
      </c>
      <c r="C1618" s="1" t="n">
        <v>45583</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20680-2024</t>
        </is>
      </c>
      <c r="B1619" s="1" t="n">
        <v>45436</v>
      </c>
      <c r="C1619" s="1" t="n">
        <v>45583</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20698-2024</t>
        </is>
      </c>
      <c r="B1620" s="1" t="n">
        <v>45436</v>
      </c>
      <c r="C1620" s="1" t="n">
        <v>45583</v>
      </c>
      <c r="D1620" t="inlineStr">
        <is>
          <t>STOCKHOLMS LÄN</t>
        </is>
      </c>
      <c r="E1620" t="inlineStr">
        <is>
          <t>NORRTÄLJE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20730-2024</t>
        </is>
      </c>
      <c r="B1621" s="1" t="n">
        <v>45436</v>
      </c>
      <c r="C1621" s="1" t="n">
        <v>45583</v>
      </c>
      <c r="D1621" t="inlineStr">
        <is>
          <t>STOCKHOLMS LÄN</t>
        </is>
      </c>
      <c r="E1621" t="inlineStr">
        <is>
          <t>NORRTÄLJE</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20825-2024</t>
        </is>
      </c>
      <c r="B1622" s="1" t="n">
        <v>45439</v>
      </c>
      <c r="C1622" s="1" t="n">
        <v>45583</v>
      </c>
      <c r="D1622" t="inlineStr">
        <is>
          <t>STOCKHOLMS LÄN</t>
        </is>
      </c>
      <c r="E1622" t="inlineStr">
        <is>
          <t>NORRTÄLJE</t>
        </is>
      </c>
      <c r="F1622" t="inlineStr">
        <is>
          <t>Holmen skog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20836-2024</t>
        </is>
      </c>
      <c r="B1623" s="1" t="n">
        <v>45439</v>
      </c>
      <c r="C1623" s="1" t="n">
        <v>45583</v>
      </c>
      <c r="D1623" t="inlineStr">
        <is>
          <t>STOCKHOLMS LÄN</t>
        </is>
      </c>
      <c r="E1623" t="inlineStr">
        <is>
          <t>NORRTÄLJE</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21066-2024</t>
        </is>
      </c>
      <c r="B1624" s="1" t="n">
        <v>45439</v>
      </c>
      <c r="C1624" s="1" t="n">
        <v>45583</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21729-2024</t>
        </is>
      </c>
      <c r="B1625" s="1" t="n">
        <v>45442</v>
      </c>
      <c r="C1625" s="1" t="n">
        <v>45583</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21696-2024</t>
        </is>
      </c>
      <c r="B1626" s="1" t="n">
        <v>45442</v>
      </c>
      <c r="C1626" s="1" t="n">
        <v>45583</v>
      </c>
      <c r="D1626" t="inlineStr">
        <is>
          <t>STOCKHOLMS LÄN</t>
        </is>
      </c>
      <c r="E1626" t="inlineStr">
        <is>
          <t>NORRTÄLJE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22008-2024</t>
        </is>
      </c>
      <c r="B1627" s="1" t="n">
        <v>45443</v>
      </c>
      <c r="C1627" s="1" t="n">
        <v>45583</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22232-2024</t>
        </is>
      </c>
      <c r="B1628" s="1" t="n">
        <v>45446</v>
      </c>
      <c r="C1628" s="1" t="n">
        <v>45583</v>
      </c>
      <c r="D1628" t="inlineStr">
        <is>
          <t>STOCKHOLMS LÄN</t>
        </is>
      </c>
      <c r="E1628" t="inlineStr">
        <is>
          <t>NORRTÄLJE</t>
        </is>
      </c>
      <c r="G1628" t="n">
        <v>12.8</v>
      </c>
      <c r="H1628" t="n">
        <v>0</v>
      </c>
      <c r="I1628" t="n">
        <v>0</v>
      </c>
      <c r="J1628" t="n">
        <v>0</v>
      </c>
      <c r="K1628" t="n">
        <v>0</v>
      </c>
      <c r="L1628" t="n">
        <v>0</v>
      </c>
      <c r="M1628" t="n">
        <v>0</v>
      </c>
      <c r="N1628" t="n">
        <v>0</v>
      </c>
      <c r="O1628" t="n">
        <v>0</v>
      </c>
      <c r="P1628" t="n">
        <v>0</v>
      </c>
      <c r="Q1628" t="n">
        <v>0</v>
      </c>
      <c r="R1628" s="2" t="inlineStr"/>
    </row>
    <row r="1629" ht="15" customHeight="1">
      <c r="A1629" t="inlineStr">
        <is>
          <t>A 22190-2024</t>
        </is>
      </c>
      <c r="B1629" s="1" t="n">
        <v>45446</v>
      </c>
      <c r="C1629" s="1" t="n">
        <v>45583</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22231-2024</t>
        </is>
      </c>
      <c r="B1630" s="1" t="n">
        <v>45446</v>
      </c>
      <c r="C1630" s="1" t="n">
        <v>45583</v>
      </c>
      <c r="D1630" t="inlineStr">
        <is>
          <t>STOCKHOLMS LÄN</t>
        </is>
      </c>
      <c r="E1630" t="inlineStr">
        <is>
          <t>NORRTÄLJE</t>
        </is>
      </c>
      <c r="F1630" t="inlineStr">
        <is>
          <t>Holmen skog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22833-2024</t>
        </is>
      </c>
      <c r="B1631" s="1" t="n">
        <v>45448</v>
      </c>
      <c r="C1631" s="1" t="n">
        <v>45583</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23018-2024</t>
        </is>
      </c>
      <c r="B1632" s="1" t="n">
        <v>45450</v>
      </c>
      <c r="C1632" s="1" t="n">
        <v>45583</v>
      </c>
      <c r="D1632" t="inlineStr">
        <is>
          <t>STOCKHOLMS LÄN</t>
        </is>
      </c>
      <c r="E1632" t="inlineStr">
        <is>
          <t>NORRTÄLJE</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23149-2024</t>
        </is>
      </c>
      <c r="B1633" s="1" t="n">
        <v>45450</v>
      </c>
      <c r="C1633" s="1" t="n">
        <v>45583</v>
      </c>
      <c r="D1633" t="inlineStr">
        <is>
          <t>STOCKHOLMS LÄN</t>
        </is>
      </c>
      <c r="E1633" t="inlineStr">
        <is>
          <t>NORRTÄLJE</t>
        </is>
      </c>
      <c r="F1633" t="inlineStr">
        <is>
          <t>Kommuner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23150-2024</t>
        </is>
      </c>
      <c r="B1634" s="1" t="n">
        <v>45450</v>
      </c>
      <c r="C1634" s="1" t="n">
        <v>45583</v>
      </c>
      <c r="D1634" t="inlineStr">
        <is>
          <t>STOCKHOLMS LÄN</t>
        </is>
      </c>
      <c r="E1634" t="inlineStr">
        <is>
          <t>NORRTÄLJE</t>
        </is>
      </c>
      <c r="F1634" t="inlineStr">
        <is>
          <t>Kommuner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23151-2024</t>
        </is>
      </c>
      <c r="B1635" s="1" t="n">
        <v>45450</v>
      </c>
      <c r="C1635" s="1" t="n">
        <v>45583</v>
      </c>
      <c r="D1635" t="inlineStr">
        <is>
          <t>STOCKHOLMS LÄN</t>
        </is>
      </c>
      <c r="E1635" t="inlineStr">
        <is>
          <t>NORRTÄLJE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23307-2024</t>
        </is>
      </c>
      <c r="B1636" s="1" t="n">
        <v>45453</v>
      </c>
      <c r="C1636" s="1" t="n">
        <v>45583</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23583-2024</t>
        </is>
      </c>
      <c r="B1637" s="1" t="n">
        <v>45454</v>
      </c>
      <c r="C1637" s="1" t="n">
        <v>45583</v>
      </c>
      <c r="D1637" t="inlineStr">
        <is>
          <t>STOCKHOLMS LÄN</t>
        </is>
      </c>
      <c r="E1637" t="inlineStr">
        <is>
          <t>NORRTÄLJE</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23683-2024</t>
        </is>
      </c>
      <c r="B1638" s="1" t="n">
        <v>45454</v>
      </c>
      <c r="C1638" s="1" t="n">
        <v>45583</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23692-2024</t>
        </is>
      </c>
      <c r="B1639" s="1" t="n">
        <v>45454</v>
      </c>
      <c r="C1639" s="1" t="n">
        <v>45583</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23572-2024</t>
        </is>
      </c>
      <c r="B1640" s="1" t="n">
        <v>45454</v>
      </c>
      <c r="C1640" s="1" t="n">
        <v>45583</v>
      </c>
      <c r="D1640" t="inlineStr">
        <is>
          <t>STOCKHOLMS LÄN</t>
        </is>
      </c>
      <c r="E1640" t="inlineStr">
        <is>
          <t>NORRTÄLJE</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23749-2024</t>
        </is>
      </c>
      <c r="B1641" s="1" t="n">
        <v>45455</v>
      </c>
      <c r="C1641" s="1" t="n">
        <v>45583</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23755-2024</t>
        </is>
      </c>
      <c r="B1642" s="1" t="n">
        <v>45455</v>
      </c>
      <c r="C1642" s="1" t="n">
        <v>45583</v>
      </c>
      <c r="D1642" t="inlineStr">
        <is>
          <t>STOCKHOLMS LÄN</t>
        </is>
      </c>
      <c r="E1642" t="inlineStr">
        <is>
          <t>NORRTÄLJE</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23998-2024</t>
        </is>
      </c>
      <c r="B1643" s="1" t="n">
        <v>45456</v>
      </c>
      <c r="C1643" s="1" t="n">
        <v>45583</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24027-2024</t>
        </is>
      </c>
      <c r="B1644" s="1" t="n">
        <v>45456</v>
      </c>
      <c r="C1644" s="1" t="n">
        <v>45583</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24024-2024</t>
        </is>
      </c>
      <c r="B1645" s="1" t="n">
        <v>45456</v>
      </c>
      <c r="C1645" s="1" t="n">
        <v>45583</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23991-2024</t>
        </is>
      </c>
      <c r="B1646" s="1" t="n">
        <v>45456</v>
      </c>
      <c r="C1646" s="1" t="n">
        <v>45583</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24021-2024</t>
        </is>
      </c>
      <c r="B1647" s="1" t="n">
        <v>45456</v>
      </c>
      <c r="C1647" s="1" t="n">
        <v>45583</v>
      </c>
      <c r="D1647" t="inlineStr">
        <is>
          <t>STOCKHOLMS LÄN</t>
        </is>
      </c>
      <c r="E1647" t="inlineStr">
        <is>
          <t>NORRTÄLJE</t>
        </is>
      </c>
      <c r="G1647" t="n">
        <v>17.5</v>
      </c>
      <c r="H1647" t="n">
        <v>0</v>
      </c>
      <c r="I1647" t="n">
        <v>0</v>
      </c>
      <c r="J1647" t="n">
        <v>0</v>
      </c>
      <c r="K1647" t="n">
        <v>0</v>
      </c>
      <c r="L1647" t="n">
        <v>0</v>
      </c>
      <c r="M1647" t="n">
        <v>0</v>
      </c>
      <c r="N1647" t="n">
        <v>0</v>
      </c>
      <c r="O1647" t="n">
        <v>0</v>
      </c>
      <c r="P1647" t="n">
        <v>0</v>
      </c>
      <c r="Q1647" t="n">
        <v>0</v>
      </c>
      <c r="R1647" s="2" t="inlineStr"/>
    </row>
    <row r="1648" ht="15" customHeight="1">
      <c r="A1648" t="inlineStr">
        <is>
          <t>A 24022-2024</t>
        </is>
      </c>
      <c r="B1648" s="1" t="n">
        <v>45456</v>
      </c>
      <c r="C1648" s="1" t="n">
        <v>45583</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24245-2024</t>
        </is>
      </c>
      <c r="B1649" s="1" t="n">
        <v>45457</v>
      </c>
      <c r="C1649" s="1" t="n">
        <v>45583</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24357-2024</t>
        </is>
      </c>
      <c r="B1650" s="1" t="n">
        <v>45457</v>
      </c>
      <c r="C1650" s="1" t="n">
        <v>45583</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24731-2024</t>
        </is>
      </c>
      <c r="B1651" s="1" t="n">
        <v>45460</v>
      </c>
      <c r="C1651" s="1" t="n">
        <v>45583</v>
      </c>
      <c r="D1651" t="inlineStr">
        <is>
          <t>STOCKHOLMS LÄN</t>
        </is>
      </c>
      <c r="E1651" t="inlineStr">
        <is>
          <t>NORRTÄLJE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24575-2024</t>
        </is>
      </c>
      <c r="B1652" s="1" t="n">
        <v>45460</v>
      </c>
      <c r="C1652" s="1" t="n">
        <v>45583</v>
      </c>
      <c r="D1652" t="inlineStr">
        <is>
          <t>STOCKHOLMS LÄN</t>
        </is>
      </c>
      <c r="E1652" t="inlineStr">
        <is>
          <t>NORRTÄLJE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24563-2024</t>
        </is>
      </c>
      <c r="B1653" s="1" t="n">
        <v>45460</v>
      </c>
      <c r="C1653" s="1" t="n">
        <v>45583</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24610-2024</t>
        </is>
      </c>
      <c r="B1654" s="1" t="n">
        <v>45460</v>
      </c>
      <c r="C1654" s="1" t="n">
        <v>45583</v>
      </c>
      <c r="D1654" t="inlineStr">
        <is>
          <t>STOCKHOLMS LÄN</t>
        </is>
      </c>
      <c r="E1654" t="inlineStr">
        <is>
          <t>NORRTÄLJE</t>
        </is>
      </c>
      <c r="G1654" t="n">
        <v>18.4</v>
      </c>
      <c r="H1654" t="n">
        <v>0</v>
      </c>
      <c r="I1654" t="n">
        <v>0</v>
      </c>
      <c r="J1654" t="n">
        <v>0</v>
      </c>
      <c r="K1654" t="n">
        <v>0</v>
      </c>
      <c r="L1654" t="n">
        <v>0</v>
      </c>
      <c r="M1654" t="n">
        <v>0</v>
      </c>
      <c r="N1654" t="n">
        <v>0</v>
      </c>
      <c r="O1654" t="n">
        <v>0</v>
      </c>
      <c r="P1654" t="n">
        <v>0</v>
      </c>
      <c r="Q1654" t="n">
        <v>0</v>
      </c>
      <c r="R1654" s="2" t="inlineStr"/>
    </row>
    <row r="1655" ht="15" customHeight="1">
      <c r="A1655" t="inlineStr">
        <is>
          <t>A 24730-2024</t>
        </is>
      </c>
      <c r="B1655" s="1" t="n">
        <v>45460</v>
      </c>
      <c r="C1655" s="1" t="n">
        <v>45583</v>
      </c>
      <c r="D1655" t="inlineStr">
        <is>
          <t>STOCKHOLMS LÄN</t>
        </is>
      </c>
      <c r="E1655" t="inlineStr">
        <is>
          <t>NORRTÄLJE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25301-2024</t>
        </is>
      </c>
      <c r="B1656" s="1" t="n">
        <v>45462</v>
      </c>
      <c r="C1656" s="1" t="n">
        <v>45583</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25055-2024</t>
        </is>
      </c>
      <c r="B1657" s="1" t="n">
        <v>45462</v>
      </c>
      <c r="C1657" s="1" t="n">
        <v>45583</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25565-2024</t>
        </is>
      </c>
      <c r="B1658" s="1" t="n">
        <v>45463</v>
      </c>
      <c r="C1658" s="1" t="n">
        <v>45583</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25681-2024</t>
        </is>
      </c>
      <c r="B1659" s="1" t="n">
        <v>45463</v>
      </c>
      <c r="C1659" s="1" t="n">
        <v>45583</v>
      </c>
      <c r="D1659" t="inlineStr">
        <is>
          <t>STOCKHOLMS LÄN</t>
        </is>
      </c>
      <c r="E1659" t="inlineStr">
        <is>
          <t>NORRTÄLJE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25817-2024</t>
        </is>
      </c>
      <c r="B1660" s="1" t="n">
        <v>45467</v>
      </c>
      <c r="C1660" s="1" t="n">
        <v>45583</v>
      </c>
      <c r="D1660" t="inlineStr">
        <is>
          <t>STOCKHOLMS LÄN</t>
        </is>
      </c>
      <c r="E1660" t="inlineStr">
        <is>
          <t>NORRTÄLJE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26116-2024</t>
        </is>
      </c>
      <c r="B1661" s="1" t="n">
        <v>45468</v>
      </c>
      <c r="C1661" s="1" t="n">
        <v>45583</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26115-2024</t>
        </is>
      </c>
      <c r="B1662" s="1" t="n">
        <v>45468</v>
      </c>
      <c r="C1662" s="1" t="n">
        <v>45583</v>
      </c>
      <c r="D1662" t="inlineStr">
        <is>
          <t>STOCKHOLMS LÄN</t>
        </is>
      </c>
      <c r="E1662" t="inlineStr">
        <is>
          <t>NORRTÄLJE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26067-2024</t>
        </is>
      </c>
      <c r="B1663" s="1" t="n">
        <v>45468</v>
      </c>
      <c r="C1663" s="1" t="n">
        <v>45583</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26117-2024</t>
        </is>
      </c>
      <c r="B1664" s="1" t="n">
        <v>45468</v>
      </c>
      <c r="C1664" s="1" t="n">
        <v>45583</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26113-2024</t>
        </is>
      </c>
      <c r="B1665" s="1" t="n">
        <v>45468</v>
      </c>
      <c r="C1665" s="1" t="n">
        <v>45583</v>
      </c>
      <c r="D1665" t="inlineStr">
        <is>
          <t>STOCKHOLMS LÄN</t>
        </is>
      </c>
      <c r="E1665" t="inlineStr">
        <is>
          <t>NORRTÄLJE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26090-2024</t>
        </is>
      </c>
      <c r="B1666" s="1" t="n">
        <v>45468</v>
      </c>
      <c r="C1666" s="1" t="n">
        <v>45583</v>
      </c>
      <c r="D1666" t="inlineStr">
        <is>
          <t>STOCKHOLMS LÄN</t>
        </is>
      </c>
      <c r="E1666" t="inlineStr">
        <is>
          <t>NORRTÄLJE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26355-2024</t>
        </is>
      </c>
      <c r="B1667" s="1" t="n">
        <v>45469</v>
      </c>
      <c r="C1667" s="1" t="n">
        <v>45583</v>
      </c>
      <c r="D1667" t="inlineStr">
        <is>
          <t>STOCKHOLMS LÄN</t>
        </is>
      </c>
      <c r="E1667" t="inlineStr">
        <is>
          <t>NORRTÄLJE</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26359-2024</t>
        </is>
      </c>
      <c r="B1668" s="1" t="n">
        <v>45469</v>
      </c>
      <c r="C1668" s="1" t="n">
        <v>45583</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26365-2024</t>
        </is>
      </c>
      <c r="B1669" s="1" t="n">
        <v>45469</v>
      </c>
      <c r="C1669" s="1" t="n">
        <v>45583</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26526-2024</t>
        </is>
      </c>
      <c r="B1670" s="1" t="n">
        <v>45469</v>
      </c>
      <c r="C1670" s="1" t="n">
        <v>45583</v>
      </c>
      <c r="D1670" t="inlineStr">
        <is>
          <t>STOCKHOLMS LÄN</t>
        </is>
      </c>
      <c r="E1670" t="inlineStr">
        <is>
          <t>NORRTÄLJE</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26407-2024</t>
        </is>
      </c>
      <c r="B1671" s="1" t="n">
        <v>45469</v>
      </c>
      <c r="C1671" s="1" t="n">
        <v>45583</v>
      </c>
      <c r="D1671" t="inlineStr">
        <is>
          <t>STOCKHOLMS LÄN</t>
        </is>
      </c>
      <c r="E1671" t="inlineStr">
        <is>
          <t>NORRTÄLJE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26600-2024</t>
        </is>
      </c>
      <c r="B1672" s="1" t="n">
        <v>45469</v>
      </c>
      <c r="C1672" s="1" t="n">
        <v>45583</v>
      </c>
      <c r="D1672" t="inlineStr">
        <is>
          <t>STOCKHOLMS LÄN</t>
        </is>
      </c>
      <c r="E1672" t="inlineStr">
        <is>
          <t>NORRTÄLJE</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26612-2024</t>
        </is>
      </c>
      <c r="B1673" s="1" t="n">
        <v>45469</v>
      </c>
      <c r="C1673" s="1" t="n">
        <v>45583</v>
      </c>
      <c r="D1673" t="inlineStr">
        <is>
          <t>STOCKHOLMS LÄN</t>
        </is>
      </c>
      <c r="E1673" t="inlineStr">
        <is>
          <t>NORRTÄLJE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26644-2024</t>
        </is>
      </c>
      <c r="B1674" s="1" t="n">
        <v>45469</v>
      </c>
      <c r="C1674" s="1" t="n">
        <v>45583</v>
      </c>
      <c r="D1674" t="inlineStr">
        <is>
          <t>STOCKHOLMS LÄN</t>
        </is>
      </c>
      <c r="E1674" t="inlineStr">
        <is>
          <t>NORRTÄLJE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26668-2024</t>
        </is>
      </c>
      <c r="B1675" s="1" t="n">
        <v>45469</v>
      </c>
      <c r="C1675" s="1" t="n">
        <v>45583</v>
      </c>
      <c r="D1675" t="inlineStr">
        <is>
          <t>STOCKHOLMS LÄN</t>
        </is>
      </c>
      <c r="E1675" t="inlineStr">
        <is>
          <t>NORRTÄLJE</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26698-2024</t>
        </is>
      </c>
      <c r="B1676" s="1" t="n">
        <v>45470</v>
      </c>
      <c r="C1676" s="1" t="n">
        <v>45583</v>
      </c>
      <c r="D1676" t="inlineStr">
        <is>
          <t>STOCKHOLMS LÄN</t>
        </is>
      </c>
      <c r="E1676" t="inlineStr">
        <is>
          <t>NORRTÄLJE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27059-2024</t>
        </is>
      </c>
      <c r="B1677" s="1" t="n">
        <v>45471</v>
      </c>
      <c r="C1677" s="1" t="n">
        <v>45583</v>
      </c>
      <c r="D1677" t="inlineStr">
        <is>
          <t>STOCKHOLMS LÄN</t>
        </is>
      </c>
      <c r="E1677" t="inlineStr">
        <is>
          <t>NORRTÄLJE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27248-2024</t>
        </is>
      </c>
      <c r="B1678" s="1" t="n">
        <v>45471</v>
      </c>
      <c r="C1678" s="1" t="n">
        <v>45583</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27381-2024</t>
        </is>
      </c>
      <c r="B1679" s="1" t="n">
        <v>45474</v>
      </c>
      <c r="C1679" s="1" t="n">
        <v>45583</v>
      </c>
      <c r="D1679" t="inlineStr">
        <is>
          <t>STOCKHOLMS LÄN</t>
        </is>
      </c>
      <c r="E1679" t="inlineStr">
        <is>
          <t>NORRTÄLJE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27831-2024</t>
        </is>
      </c>
      <c r="B1680" s="1" t="n">
        <v>45475</v>
      </c>
      <c r="C1680" s="1" t="n">
        <v>45583</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28190-2024</t>
        </is>
      </c>
      <c r="B1681" s="1" t="n">
        <v>45477</v>
      </c>
      <c r="C1681" s="1" t="n">
        <v>45583</v>
      </c>
      <c r="D1681" t="inlineStr">
        <is>
          <t>STOCKHOLMS LÄN</t>
        </is>
      </c>
      <c r="E1681" t="inlineStr">
        <is>
          <t>NORRTÄLJE</t>
        </is>
      </c>
      <c r="F1681" t="inlineStr">
        <is>
          <t>Kyrkan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28245-2024</t>
        </is>
      </c>
      <c r="B1682" s="1" t="n">
        <v>45477</v>
      </c>
      <c r="C1682" s="1" t="n">
        <v>45583</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28200-2024</t>
        </is>
      </c>
      <c r="B1683" s="1" t="n">
        <v>45477</v>
      </c>
      <c r="C1683" s="1" t="n">
        <v>45583</v>
      </c>
      <c r="D1683" t="inlineStr">
        <is>
          <t>STOCKHOLMS LÄN</t>
        </is>
      </c>
      <c r="E1683" t="inlineStr">
        <is>
          <t>NORRTÄLJE</t>
        </is>
      </c>
      <c r="F1683" t="inlineStr">
        <is>
          <t>Kyrkan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28603-2024</t>
        </is>
      </c>
      <c r="B1684" s="1" t="n">
        <v>45478</v>
      </c>
      <c r="C1684" s="1" t="n">
        <v>45583</v>
      </c>
      <c r="D1684" t="inlineStr">
        <is>
          <t>STOCKHOLMS LÄN</t>
        </is>
      </c>
      <c r="E1684" t="inlineStr">
        <is>
          <t>NORRTÄLJE</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28764-2024</t>
        </is>
      </c>
      <c r="B1685" s="1" t="n">
        <v>45478</v>
      </c>
      <c r="C1685" s="1" t="n">
        <v>45583</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29210-2024</t>
        </is>
      </c>
      <c r="B1686" s="1" t="n">
        <v>45482</v>
      </c>
      <c r="C1686" s="1" t="n">
        <v>45583</v>
      </c>
      <c r="D1686" t="inlineStr">
        <is>
          <t>STOCKHOLMS LÄN</t>
        </is>
      </c>
      <c r="E1686" t="inlineStr">
        <is>
          <t>NORRTÄLJE</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29176-2024</t>
        </is>
      </c>
      <c r="B1687" s="1" t="n">
        <v>45482</v>
      </c>
      <c r="C1687" s="1" t="n">
        <v>45583</v>
      </c>
      <c r="D1687" t="inlineStr">
        <is>
          <t>STOCKHOLMS LÄN</t>
        </is>
      </c>
      <c r="E1687" t="inlineStr">
        <is>
          <t>NORRTÄLJE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29369-2024</t>
        </is>
      </c>
      <c r="B1688" s="1" t="n">
        <v>45483</v>
      </c>
      <c r="C1688" s="1" t="n">
        <v>45583</v>
      </c>
      <c r="D1688" t="inlineStr">
        <is>
          <t>STOCKHOLMS LÄN</t>
        </is>
      </c>
      <c r="E1688" t="inlineStr">
        <is>
          <t>NORRTÄLJE</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29419-2024</t>
        </is>
      </c>
      <c r="B1689" s="1" t="n">
        <v>45483</v>
      </c>
      <c r="C1689" s="1" t="n">
        <v>45583</v>
      </c>
      <c r="D1689" t="inlineStr">
        <is>
          <t>STOCKHOLMS LÄN</t>
        </is>
      </c>
      <c r="E1689" t="inlineStr">
        <is>
          <t>NORRTÄLJE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29504-2024</t>
        </is>
      </c>
      <c r="B1690" s="1" t="n">
        <v>45484</v>
      </c>
      <c r="C1690" s="1" t="n">
        <v>45583</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29589-2024</t>
        </is>
      </c>
      <c r="B1691" s="1" t="n">
        <v>45484</v>
      </c>
      <c r="C1691" s="1" t="n">
        <v>45583</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29583-2024</t>
        </is>
      </c>
      <c r="B1692" s="1" t="n">
        <v>45484</v>
      </c>
      <c r="C1692" s="1" t="n">
        <v>45583</v>
      </c>
      <c r="D1692" t="inlineStr">
        <is>
          <t>STOCKHOLMS LÄN</t>
        </is>
      </c>
      <c r="E1692" t="inlineStr">
        <is>
          <t>NORRTÄLJE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29578-2024</t>
        </is>
      </c>
      <c r="B1693" s="1" t="n">
        <v>45484</v>
      </c>
      <c r="C1693" s="1" t="n">
        <v>45583</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29505-2024</t>
        </is>
      </c>
      <c r="B1694" s="1" t="n">
        <v>45484</v>
      </c>
      <c r="C1694" s="1" t="n">
        <v>45583</v>
      </c>
      <c r="D1694" t="inlineStr">
        <is>
          <t>STOCKHOLMS LÄN</t>
        </is>
      </c>
      <c r="E1694" t="inlineStr">
        <is>
          <t>NORRTÄLJE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29972-2024</t>
        </is>
      </c>
      <c r="B1695" s="1" t="n">
        <v>45485</v>
      </c>
      <c r="C1695" s="1" t="n">
        <v>45583</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29841-2024</t>
        </is>
      </c>
      <c r="B1696" s="1" t="n">
        <v>45485</v>
      </c>
      <c r="C1696" s="1" t="n">
        <v>45583</v>
      </c>
      <c r="D1696" t="inlineStr">
        <is>
          <t>STOCKHOLMS LÄN</t>
        </is>
      </c>
      <c r="E1696" t="inlineStr">
        <is>
          <t>NORRTÄLJE</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30108-2024</t>
        </is>
      </c>
      <c r="B1697" s="1" t="n">
        <v>45487</v>
      </c>
      <c r="C1697" s="1" t="n">
        <v>45583</v>
      </c>
      <c r="D1697" t="inlineStr">
        <is>
          <t>STOCKHOLMS LÄN</t>
        </is>
      </c>
      <c r="E1697" t="inlineStr">
        <is>
          <t>NORRTÄLJE</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30033-2024</t>
        </is>
      </c>
      <c r="B1698" s="1" t="n">
        <v>45488</v>
      </c>
      <c r="C1698" s="1" t="n">
        <v>45583</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29994-2024</t>
        </is>
      </c>
      <c r="B1699" s="1" t="n">
        <v>45488</v>
      </c>
      <c r="C1699" s="1" t="n">
        <v>45583</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30096-2024</t>
        </is>
      </c>
      <c r="B1700" s="1" t="n">
        <v>45489</v>
      </c>
      <c r="C1700" s="1" t="n">
        <v>45583</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30221-2024</t>
        </is>
      </c>
      <c r="B1701" s="1" t="n">
        <v>45490</v>
      </c>
      <c r="C1701" s="1" t="n">
        <v>45583</v>
      </c>
      <c r="D1701" t="inlineStr">
        <is>
          <t>STOCKHOLMS LÄN</t>
        </is>
      </c>
      <c r="E1701" t="inlineStr">
        <is>
          <t>NORRTÄLJE</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30268-2024</t>
        </is>
      </c>
      <c r="B1702" s="1" t="n">
        <v>45490</v>
      </c>
      <c r="C1702" s="1" t="n">
        <v>45583</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30323-2024</t>
        </is>
      </c>
      <c r="B1703" s="1" t="n">
        <v>45490</v>
      </c>
      <c r="C1703" s="1" t="n">
        <v>45583</v>
      </c>
      <c r="D1703" t="inlineStr">
        <is>
          <t>STOCKHOLMS LÄN</t>
        </is>
      </c>
      <c r="E1703" t="inlineStr">
        <is>
          <t>NORRTÄLJE</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30396-2024</t>
        </is>
      </c>
      <c r="B1704" s="1" t="n">
        <v>45491</v>
      </c>
      <c r="C1704" s="1" t="n">
        <v>45583</v>
      </c>
      <c r="D1704" t="inlineStr">
        <is>
          <t>STOCKHOLMS LÄN</t>
        </is>
      </c>
      <c r="E1704" t="inlineStr">
        <is>
          <t>NORRTÄLJE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30553-2024</t>
        </is>
      </c>
      <c r="B1705" s="1" t="n">
        <v>45492</v>
      </c>
      <c r="C1705" s="1" t="n">
        <v>45583</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30666-2024</t>
        </is>
      </c>
      <c r="B1706" s="1" t="n">
        <v>45495</v>
      </c>
      <c r="C1706" s="1" t="n">
        <v>45583</v>
      </c>
      <c r="D1706" t="inlineStr">
        <is>
          <t>STOCKHOLMS LÄN</t>
        </is>
      </c>
      <c r="E1706" t="inlineStr">
        <is>
          <t>NORRTÄLJE</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30963-2024</t>
        </is>
      </c>
      <c r="B1707" s="1" t="n">
        <v>45499</v>
      </c>
      <c r="C1707" s="1" t="n">
        <v>45583</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30995-2024</t>
        </is>
      </c>
      <c r="B1708" s="1" t="n">
        <v>45499</v>
      </c>
      <c r="C1708" s="1" t="n">
        <v>45583</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31027-2024</t>
        </is>
      </c>
      <c r="B1709" s="1" t="n">
        <v>45501</v>
      </c>
      <c r="C1709" s="1" t="n">
        <v>45583</v>
      </c>
      <c r="D1709" t="inlineStr">
        <is>
          <t>STOCKHOLMS LÄN</t>
        </is>
      </c>
      <c r="E1709" t="inlineStr">
        <is>
          <t>NORRTÄLJE</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31228-2024</t>
        </is>
      </c>
      <c r="B1710" s="1" t="n">
        <v>45503</v>
      </c>
      <c r="C1710" s="1" t="n">
        <v>45583</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31232-2024</t>
        </is>
      </c>
      <c r="B1711" s="1" t="n">
        <v>45503</v>
      </c>
      <c r="C1711" s="1" t="n">
        <v>45583</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31343-2024</t>
        </is>
      </c>
      <c r="B1712" s="1" t="n">
        <v>45504</v>
      </c>
      <c r="C1712" s="1" t="n">
        <v>45583</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31311-2024</t>
        </is>
      </c>
      <c r="B1713" s="1" t="n">
        <v>45504</v>
      </c>
      <c r="C1713" s="1" t="n">
        <v>45583</v>
      </c>
      <c r="D1713" t="inlineStr">
        <is>
          <t>STOCKHOLMS LÄN</t>
        </is>
      </c>
      <c r="E1713" t="inlineStr">
        <is>
          <t>NORRTÄLJE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31279-2024</t>
        </is>
      </c>
      <c r="B1714" s="1" t="n">
        <v>45504</v>
      </c>
      <c r="C1714" s="1" t="n">
        <v>45583</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32874-2024</t>
        </is>
      </c>
      <c r="B1715" s="1" t="n">
        <v>45516</v>
      </c>
      <c r="C1715" s="1" t="n">
        <v>45583</v>
      </c>
      <c r="D1715" t="inlineStr">
        <is>
          <t>STOCKHOLMS LÄN</t>
        </is>
      </c>
      <c r="E1715" t="inlineStr">
        <is>
          <t>NORRTÄLJE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32706-2024</t>
        </is>
      </c>
      <c r="B1716" s="1" t="n">
        <v>45516</v>
      </c>
      <c r="C1716" s="1" t="n">
        <v>45583</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33173-2024</t>
        </is>
      </c>
      <c r="B1717" s="1" t="n">
        <v>45518</v>
      </c>
      <c r="C1717" s="1" t="n">
        <v>45583</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33226-2024</t>
        </is>
      </c>
      <c r="B1718" s="1" t="n">
        <v>45518</v>
      </c>
      <c r="C1718" s="1" t="n">
        <v>45583</v>
      </c>
      <c r="D1718" t="inlineStr">
        <is>
          <t>STOCKHOLMS LÄN</t>
        </is>
      </c>
      <c r="E1718" t="inlineStr">
        <is>
          <t>NORRTÄLJE</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33175-2024</t>
        </is>
      </c>
      <c r="B1719" s="1" t="n">
        <v>45518</v>
      </c>
      <c r="C1719" s="1" t="n">
        <v>45583</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33385-2024</t>
        </is>
      </c>
      <c r="B1720" s="1" t="n">
        <v>45519</v>
      </c>
      <c r="C1720" s="1" t="n">
        <v>45583</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33592-2024</t>
        </is>
      </c>
      <c r="B1721" s="1" t="n">
        <v>45520</v>
      </c>
      <c r="C1721" s="1" t="n">
        <v>45583</v>
      </c>
      <c r="D1721" t="inlineStr">
        <is>
          <t>STOCKHOLMS LÄN</t>
        </is>
      </c>
      <c r="E1721" t="inlineStr">
        <is>
          <t>NORRTÄLJE</t>
        </is>
      </c>
      <c r="F1721" t="inlineStr">
        <is>
          <t>Kyrkan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33878-2024</t>
        </is>
      </c>
      <c r="B1722" s="1" t="n">
        <v>45522</v>
      </c>
      <c r="C1722" s="1" t="n">
        <v>45583</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34295-2024</t>
        </is>
      </c>
      <c r="B1723" s="1" t="n">
        <v>45524</v>
      </c>
      <c r="C1723" s="1" t="n">
        <v>45583</v>
      </c>
      <c r="D1723" t="inlineStr">
        <is>
          <t>STOCKHOLMS LÄN</t>
        </is>
      </c>
      <c r="E1723" t="inlineStr">
        <is>
          <t>NORRTÄLJE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34444-2024</t>
        </is>
      </c>
      <c r="B1724" s="1" t="n">
        <v>45525</v>
      </c>
      <c r="C1724" s="1" t="n">
        <v>45583</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34547-2024</t>
        </is>
      </c>
      <c r="B1725" s="1" t="n">
        <v>45525</v>
      </c>
      <c r="C1725" s="1" t="n">
        <v>45583</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34583-2024</t>
        </is>
      </c>
      <c r="B1726" s="1" t="n">
        <v>45526</v>
      </c>
      <c r="C1726" s="1" t="n">
        <v>45583</v>
      </c>
      <c r="D1726" t="inlineStr">
        <is>
          <t>STOCKHOLMS LÄN</t>
        </is>
      </c>
      <c r="E1726" t="inlineStr">
        <is>
          <t>NORRTÄLJE</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35239-2024</t>
        </is>
      </c>
      <c r="B1727" s="1" t="n">
        <v>45530</v>
      </c>
      <c r="C1727" s="1" t="n">
        <v>45583</v>
      </c>
      <c r="D1727" t="inlineStr">
        <is>
          <t>STOCKHOLMS LÄN</t>
        </is>
      </c>
      <c r="E1727" t="inlineStr">
        <is>
          <t>NORRTÄLJE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35235-2024</t>
        </is>
      </c>
      <c r="B1728" s="1" t="n">
        <v>45530</v>
      </c>
      <c r="C1728" s="1" t="n">
        <v>45583</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35532-2024</t>
        </is>
      </c>
      <c r="B1729" s="1" t="n">
        <v>45531</v>
      </c>
      <c r="C1729" s="1" t="n">
        <v>45583</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35467-2024</t>
        </is>
      </c>
      <c r="B1730" s="1" t="n">
        <v>45531</v>
      </c>
      <c r="C1730" s="1" t="n">
        <v>45583</v>
      </c>
      <c r="D1730" t="inlineStr">
        <is>
          <t>STOCKHOLMS LÄN</t>
        </is>
      </c>
      <c r="E1730" t="inlineStr">
        <is>
          <t>NORRTÄLJE</t>
        </is>
      </c>
      <c r="F1730" t="inlineStr">
        <is>
          <t>Holmen skog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35640-2024</t>
        </is>
      </c>
      <c r="B1731" s="1" t="n">
        <v>45531</v>
      </c>
      <c r="C1731" s="1" t="n">
        <v>45583</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35719-2024</t>
        </is>
      </c>
      <c r="B1732" s="1" t="n">
        <v>45532</v>
      </c>
      <c r="C1732" s="1" t="n">
        <v>45583</v>
      </c>
      <c r="D1732" t="inlineStr">
        <is>
          <t>STOCKHOLMS LÄN</t>
        </is>
      </c>
      <c r="E1732" t="inlineStr">
        <is>
          <t>NORRTÄLJE</t>
        </is>
      </c>
      <c r="F1732" t="inlineStr">
        <is>
          <t>Holmen skog AB</t>
        </is>
      </c>
      <c r="G1732" t="n">
        <v>15.2</v>
      </c>
      <c r="H1732" t="n">
        <v>0</v>
      </c>
      <c r="I1732" t="n">
        <v>0</v>
      </c>
      <c r="J1732" t="n">
        <v>0</v>
      </c>
      <c r="K1732" t="n">
        <v>0</v>
      </c>
      <c r="L1732" t="n">
        <v>0</v>
      </c>
      <c r="M1732" t="n">
        <v>0</v>
      </c>
      <c r="N1732" t="n">
        <v>0</v>
      </c>
      <c r="O1732" t="n">
        <v>0</v>
      </c>
      <c r="P1732" t="n">
        <v>0</v>
      </c>
      <c r="Q1732" t="n">
        <v>0</v>
      </c>
      <c r="R1732" s="2" t="inlineStr"/>
    </row>
    <row r="1733" ht="15" customHeight="1">
      <c r="A1733" t="inlineStr">
        <is>
          <t>A 35782-2024</t>
        </is>
      </c>
      <c r="B1733" s="1" t="n">
        <v>45532</v>
      </c>
      <c r="C1733" s="1" t="n">
        <v>45583</v>
      </c>
      <c r="D1733" t="inlineStr">
        <is>
          <t>STOCKHOLMS LÄN</t>
        </is>
      </c>
      <c r="E1733" t="inlineStr">
        <is>
          <t>NORRTÄLJE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35647-2024</t>
        </is>
      </c>
      <c r="B1734" s="1" t="n">
        <v>45532</v>
      </c>
      <c r="C1734" s="1" t="n">
        <v>45583</v>
      </c>
      <c r="D1734" t="inlineStr">
        <is>
          <t>STOCKHOLMS LÄN</t>
        </is>
      </c>
      <c r="E1734" t="inlineStr">
        <is>
          <t>NORRTÄLJE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35916-2024</t>
        </is>
      </c>
      <c r="B1735" s="1" t="n">
        <v>45533</v>
      </c>
      <c r="C1735" s="1" t="n">
        <v>45583</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36157-2024</t>
        </is>
      </c>
      <c r="B1736" s="1" t="n">
        <v>45534</v>
      </c>
      <c r="C1736" s="1" t="n">
        <v>45583</v>
      </c>
      <c r="D1736" t="inlineStr">
        <is>
          <t>STOCKHOLMS LÄN</t>
        </is>
      </c>
      <c r="E1736" t="inlineStr">
        <is>
          <t>NORRTÄLJE</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36430-2024</t>
        </is>
      </c>
      <c r="B1737" s="1" t="n">
        <v>45536</v>
      </c>
      <c r="C1737" s="1" t="n">
        <v>45583</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36556-2024</t>
        </is>
      </c>
      <c r="B1738" s="1" t="n">
        <v>45537</v>
      </c>
      <c r="C1738" s="1" t="n">
        <v>45583</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36625-2024</t>
        </is>
      </c>
      <c r="B1739" s="1" t="n">
        <v>45537</v>
      </c>
      <c r="C1739" s="1" t="n">
        <v>45583</v>
      </c>
      <c r="D1739" t="inlineStr">
        <is>
          <t>STOCKHOLMS LÄN</t>
        </is>
      </c>
      <c r="E1739" t="inlineStr">
        <is>
          <t>NORRTÄLJE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37273-2024</t>
        </is>
      </c>
      <c r="B1740" s="1" t="n">
        <v>45540</v>
      </c>
      <c r="C1740" s="1" t="n">
        <v>45583</v>
      </c>
      <c r="D1740" t="inlineStr">
        <is>
          <t>STOCKHOLMS LÄN</t>
        </is>
      </c>
      <c r="E1740" t="inlineStr">
        <is>
          <t>NORRTÄLJE</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37663-2024</t>
        </is>
      </c>
      <c r="B1741" s="1" t="n">
        <v>45541</v>
      </c>
      <c r="C1741" s="1" t="n">
        <v>45583</v>
      </c>
      <c r="D1741" t="inlineStr">
        <is>
          <t>STOCKHOLMS LÄN</t>
        </is>
      </c>
      <c r="E1741" t="inlineStr">
        <is>
          <t>NORRTÄLJE</t>
        </is>
      </c>
      <c r="F1741" t="inlineStr">
        <is>
          <t>Holmen skog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37684-2024</t>
        </is>
      </c>
      <c r="B1742" s="1" t="n">
        <v>45541</v>
      </c>
      <c r="C1742" s="1" t="n">
        <v>45583</v>
      </c>
      <c r="D1742" t="inlineStr">
        <is>
          <t>STOCKHOLMS LÄN</t>
        </is>
      </c>
      <c r="E1742" t="inlineStr">
        <is>
          <t>NORRTÄLJE</t>
        </is>
      </c>
      <c r="F1742" t="inlineStr">
        <is>
          <t>Holmen skog AB</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37980-2024</t>
        </is>
      </c>
      <c r="B1743" s="1" t="n">
        <v>45544</v>
      </c>
      <c r="C1743" s="1" t="n">
        <v>45583</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38073-2024</t>
        </is>
      </c>
      <c r="B1744" s="1" t="n">
        <v>45544</v>
      </c>
      <c r="C1744" s="1" t="n">
        <v>45583</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38878-2024</t>
        </is>
      </c>
      <c r="B1745" s="1" t="n">
        <v>45547</v>
      </c>
      <c r="C1745" s="1" t="n">
        <v>45583</v>
      </c>
      <c r="D1745" t="inlineStr">
        <is>
          <t>STOCKHOLMS LÄN</t>
        </is>
      </c>
      <c r="E1745" t="inlineStr">
        <is>
          <t>NORRTÄLJE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38889-2024</t>
        </is>
      </c>
      <c r="B1746" s="1" t="n">
        <v>45547</v>
      </c>
      <c r="C1746" s="1" t="n">
        <v>45583</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39203-2024</t>
        </is>
      </c>
      <c r="B1747" s="1" t="n">
        <v>45548</v>
      </c>
      <c r="C1747" s="1" t="n">
        <v>45583</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39202-2024</t>
        </is>
      </c>
      <c r="B1748" s="1" t="n">
        <v>45548</v>
      </c>
      <c r="C1748" s="1" t="n">
        <v>45583</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39238-2024</t>
        </is>
      </c>
      <c r="B1749" s="1" t="n">
        <v>45549</v>
      </c>
      <c r="C1749" s="1" t="n">
        <v>45583</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39237-2024</t>
        </is>
      </c>
      <c r="B1750" s="1" t="n">
        <v>45549</v>
      </c>
      <c r="C1750" s="1" t="n">
        <v>45583</v>
      </c>
      <c r="D1750" t="inlineStr">
        <is>
          <t>STOCKHOLMS LÄN</t>
        </is>
      </c>
      <c r="E1750" t="inlineStr">
        <is>
          <t>NORRTÄLJE</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45583</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39667-2024</t>
        </is>
      </c>
      <c r="B1752" s="1" t="n">
        <v>45552</v>
      </c>
      <c r="C1752" s="1" t="n">
        <v>45583</v>
      </c>
      <c r="D1752" t="inlineStr">
        <is>
          <t>STOCKHOLMS LÄN</t>
        </is>
      </c>
      <c r="E1752" t="inlineStr">
        <is>
          <t>NORRTÄLJE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39913-2024</t>
        </is>
      </c>
      <c r="B1753" s="1" t="n">
        <v>45553</v>
      </c>
      <c r="C1753" s="1" t="n">
        <v>45583</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40175-2024</t>
        </is>
      </c>
      <c r="B1754" s="1" t="n">
        <v>45554</v>
      </c>
      <c r="C1754" s="1" t="n">
        <v>45583</v>
      </c>
      <c r="D1754" t="inlineStr">
        <is>
          <t>STOCKHOLMS LÄN</t>
        </is>
      </c>
      <c r="E1754" t="inlineStr">
        <is>
          <t>NORRTÄLJE</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40761-2024</t>
        </is>
      </c>
      <c r="B1755" s="1" t="n">
        <v>45558</v>
      </c>
      <c r="C1755" s="1" t="n">
        <v>45583</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41253-2024</t>
        </is>
      </c>
      <c r="B1756" s="1" t="n">
        <v>45559</v>
      </c>
      <c r="C1756" s="1" t="n">
        <v>45583</v>
      </c>
      <c r="D1756" t="inlineStr">
        <is>
          <t>STOCKHOLMS LÄN</t>
        </is>
      </c>
      <c r="E1756" t="inlineStr">
        <is>
          <t>NORRTÄLJE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41219-2024</t>
        </is>
      </c>
      <c r="B1757" s="1" t="n">
        <v>45559</v>
      </c>
      <c r="C1757" s="1" t="n">
        <v>45583</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45583</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45583</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41310-2024</t>
        </is>
      </c>
      <c r="B1760" s="1" t="n">
        <v>45559</v>
      </c>
      <c r="C1760" s="1" t="n">
        <v>45583</v>
      </c>
      <c r="D1760" t="inlineStr">
        <is>
          <t>STOCKHOLMS LÄN</t>
        </is>
      </c>
      <c r="E1760" t="inlineStr">
        <is>
          <t>NORRTÄLJE</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41342-2024</t>
        </is>
      </c>
      <c r="B1761" s="1" t="n">
        <v>45559</v>
      </c>
      <c r="C1761" s="1" t="n">
        <v>45583</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41976-2024</t>
        </is>
      </c>
      <c r="B1762" s="1" t="n">
        <v>45561</v>
      </c>
      <c r="C1762" s="1" t="n">
        <v>45583</v>
      </c>
      <c r="D1762" t="inlineStr">
        <is>
          <t>STOCKHOLMS LÄN</t>
        </is>
      </c>
      <c r="E1762" t="inlineStr">
        <is>
          <t>NORRTÄLJE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44032-2024</t>
        </is>
      </c>
      <c r="B1763" s="1" t="n">
        <v>45572</v>
      </c>
      <c r="C1763" s="1" t="n">
        <v>45583</v>
      </c>
      <c r="D1763" t="inlineStr">
        <is>
          <t>STOCKHOLMS LÄN</t>
        </is>
      </c>
      <c r="E1763" t="inlineStr">
        <is>
          <t>NORRTÄLJE</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45583</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45583</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45583</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45583</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45583</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45583</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45739-2024</t>
        </is>
      </c>
      <c r="B1770" s="1" t="n">
        <v>45579</v>
      </c>
      <c r="C1770" s="1" t="n">
        <v>45583</v>
      </c>
      <c r="D1770" t="inlineStr">
        <is>
          <t>STOCKHOLMS LÄN</t>
        </is>
      </c>
      <c r="E1770" t="inlineStr">
        <is>
          <t>NORRTÄLJE</t>
        </is>
      </c>
      <c r="G1770" t="n">
        <v>21.9</v>
      </c>
      <c r="H1770" t="n">
        <v>0</v>
      </c>
      <c r="I1770" t="n">
        <v>0</v>
      </c>
      <c r="J1770" t="n">
        <v>0</v>
      </c>
      <c r="K1770" t="n">
        <v>0</v>
      </c>
      <c r="L1770" t="n">
        <v>0</v>
      </c>
      <c r="M1770" t="n">
        <v>0</v>
      </c>
      <c r="N1770" t="n">
        <v>0</v>
      </c>
      <c r="O1770" t="n">
        <v>0</v>
      </c>
      <c r="P1770" t="n">
        <v>0</v>
      </c>
      <c r="Q1770" t="n">
        <v>0</v>
      </c>
      <c r="R1770" s="2" t="inlineStr"/>
    </row>
    <row r="1771" ht="15" customHeight="1">
      <c r="A1771" t="inlineStr">
        <is>
          <t>A 45746-2024</t>
        </is>
      </c>
      <c r="B1771" s="1" t="n">
        <v>45579</v>
      </c>
      <c r="C1771" s="1" t="n">
        <v>45583</v>
      </c>
      <c r="D1771" t="inlineStr">
        <is>
          <t>STOCKHOLMS LÄN</t>
        </is>
      </c>
      <c r="E1771" t="inlineStr">
        <is>
          <t>NORRTÄLJE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46073-2024</t>
        </is>
      </c>
      <c r="B1772" s="1" t="n">
        <v>45581</v>
      </c>
      <c r="C1772" s="1" t="n">
        <v>45583</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46333-2024</t>
        </is>
      </c>
      <c r="B1773" s="1" t="n">
        <v>45581</v>
      </c>
      <c r="C1773" s="1" t="n">
        <v>45583</v>
      </c>
      <c r="D1773" t="inlineStr">
        <is>
          <t>STOCKHOLMS LÄN</t>
        </is>
      </c>
      <c r="E1773" t="inlineStr">
        <is>
          <t>NORRTÄLJE</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46326-2024</t>
        </is>
      </c>
      <c r="B1774" s="1" t="n">
        <v>45581</v>
      </c>
      <c r="C1774" s="1" t="n">
        <v>45583</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46071-2024</t>
        </is>
      </c>
      <c r="B1775" s="1" t="n">
        <v>45581</v>
      </c>
      <c r="C1775" s="1" t="n">
        <v>45583</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c r="A1776" t="inlineStr">
        <is>
          <t>A 46448-2024</t>
        </is>
      </c>
      <c r="B1776" s="1" t="n">
        <v>45582</v>
      </c>
      <c r="C1776" s="1" t="n">
        <v>45583</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2024-10-18T13:08:39Z</dcterms:created>
  <dcterms:modified xmlns:dcterms="http://purl.org/dc/terms/" xmlns:xsi="http://www.w3.org/2001/XMLSchema-instance" xsi:type="dcterms:W3CDTF">2024-10-18T13:08:40Z</dcterms:modified>
</cp:coreProperties>
</file>