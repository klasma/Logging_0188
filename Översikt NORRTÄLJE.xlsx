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45645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45645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45645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45645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45645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45645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45645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45645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45645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45645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45645</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45645</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45645</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45645</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45645</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45645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45645</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45645</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45645</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45645</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45645</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45645</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45645</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45645</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45645</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45645</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45645</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45645</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45645</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45645</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45645</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45645</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45645</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45645</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45645</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45645</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45645</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45645</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45645</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45645</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45645</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45645</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45645</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45645</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45645</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45645</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60084-2024</t>
        </is>
      </c>
      <c r="B49" s="1" t="n">
        <v>45642</v>
      </c>
      <c r="C49" s="1" t="n">
        <v>45645</v>
      </c>
      <c r="D49" t="inlineStr">
        <is>
          <t>STOCKHOLMS LÄN</t>
        </is>
      </c>
      <c r="E49" t="inlineStr">
        <is>
          <t>NORRTÄLJE</t>
        </is>
      </c>
      <c r="G49" t="n">
        <v>5.3</v>
      </c>
      <c r="H49" t="n">
        <v>1</v>
      </c>
      <c r="I49" t="n">
        <v>4</v>
      </c>
      <c r="J49" t="n">
        <v>1</v>
      </c>
      <c r="K49" t="n">
        <v>0</v>
      </c>
      <c r="L49" t="n">
        <v>0</v>
      </c>
      <c r="M49" t="n">
        <v>1</v>
      </c>
      <c r="N49" t="n">
        <v>0</v>
      </c>
      <c r="O49" t="n">
        <v>2</v>
      </c>
      <c r="P49" t="n">
        <v>1</v>
      </c>
      <c r="Q49" t="n">
        <v>7</v>
      </c>
      <c r="R49" s="2" t="inlineStr">
        <is>
          <t>Skogsalm
Granticka
Fjällig taggsvamp s.str.
Rödgul trumpetsvamp
Skarp dropptaggsvamp
Svavelriska
Blåsippa</t>
        </is>
      </c>
      <c r="S49">
        <f>HYPERLINK("https://klasma.github.io/Logging_0188/artfynd/A 60084-2024 artfynd.xlsx", "A 60084-2024")</f>
        <v/>
      </c>
      <c r="T49">
        <f>HYPERLINK("https://klasma.github.io/Logging_0188/kartor/A 60084-2024 karta.png", "A 60084-2024")</f>
        <v/>
      </c>
      <c r="V49">
        <f>HYPERLINK("https://klasma.github.io/Logging_0188/klagomål/A 60084-2024 FSC-klagomål.docx", "A 60084-2024")</f>
        <v/>
      </c>
      <c r="W49">
        <f>HYPERLINK("https://klasma.github.io/Logging_0188/klagomålsmail/A 60084-2024 FSC-klagomål mail.docx", "A 60084-2024")</f>
        <v/>
      </c>
      <c r="X49">
        <f>HYPERLINK("https://klasma.github.io/Logging_0188/tillsyn/A 60084-2024 tillsynsbegäran.docx", "A 60084-2024")</f>
        <v/>
      </c>
      <c r="Y49">
        <f>HYPERLINK("https://klasma.github.io/Logging_0188/tillsynsmail/A 60084-2024 tillsynsbegäran mail.docx", "A 60084-2024")</f>
        <v/>
      </c>
    </row>
    <row r="50" ht="15" customHeight="1">
      <c r="A50" t="inlineStr">
        <is>
          <t>A 18284-2019</t>
        </is>
      </c>
      <c r="B50" s="1" t="n">
        <v>43558</v>
      </c>
      <c r="C50" s="1" t="n">
        <v>45645</v>
      </c>
      <c r="D50" t="inlineStr">
        <is>
          <t>STOCKHOLMS LÄN</t>
        </is>
      </c>
      <c r="E50" t="inlineStr">
        <is>
          <t>NORRTÄLJE</t>
        </is>
      </c>
      <c r="G50" t="n">
        <v>20.4</v>
      </c>
      <c r="H50" t="n">
        <v>0</v>
      </c>
      <c r="I50" t="n">
        <v>2</v>
      </c>
      <c r="J50" t="n">
        <v>3</v>
      </c>
      <c r="K50" t="n">
        <v>1</v>
      </c>
      <c r="L50" t="n">
        <v>0</v>
      </c>
      <c r="M50" t="n">
        <v>0</v>
      </c>
      <c r="N50" t="n">
        <v>0</v>
      </c>
      <c r="O50" t="n">
        <v>4</v>
      </c>
      <c r="P50" t="n">
        <v>1</v>
      </c>
      <c r="Q50" t="n">
        <v>6</v>
      </c>
      <c r="R50" s="2" t="inlineStr">
        <is>
          <t>Grangråticka
Motaggsvamp
Orange taggsvamp
Vedtrappmossa
Rödgul trumpetsvamp
Skarp dropptaggsvamp</t>
        </is>
      </c>
      <c r="S50">
        <f>HYPERLINK("https://klasma.github.io/Logging_0188/artfynd/A 18284-2019 artfynd.xlsx", "A 18284-2019")</f>
        <v/>
      </c>
      <c r="T50">
        <f>HYPERLINK("https://klasma.github.io/Logging_0188/kartor/A 18284-2019 karta.png", "A 18284-2019")</f>
        <v/>
      </c>
      <c r="V50">
        <f>HYPERLINK("https://klasma.github.io/Logging_0188/klagomål/A 18284-2019 FSC-klagomål.docx", "A 18284-2019")</f>
        <v/>
      </c>
      <c r="W50">
        <f>HYPERLINK("https://klasma.github.io/Logging_0188/klagomålsmail/A 18284-2019 FSC-klagomål mail.docx", "A 18284-2019")</f>
        <v/>
      </c>
      <c r="X50">
        <f>HYPERLINK("https://klasma.github.io/Logging_0188/tillsyn/A 18284-2019 tillsynsbegäran.docx", "A 18284-2019")</f>
        <v/>
      </c>
      <c r="Y50">
        <f>HYPERLINK("https://klasma.github.io/Logging_0188/tillsynsmail/A 18284-2019 tillsynsbegäran mail.docx", "A 18284-2019")</f>
        <v/>
      </c>
    </row>
    <row r="51" ht="15" customHeight="1">
      <c r="A51" t="inlineStr">
        <is>
          <t>A 20255-2019</t>
        </is>
      </c>
      <c r="B51" s="1" t="n">
        <v>43571</v>
      </c>
      <c r="C51" s="1" t="n">
        <v>45645</v>
      </c>
      <c r="D51" t="inlineStr">
        <is>
          <t>STOCKHOLMS LÄN</t>
        </is>
      </c>
      <c r="E51" t="inlineStr">
        <is>
          <t>NORRTÄLJE</t>
        </is>
      </c>
      <c r="F51" t="inlineStr">
        <is>
          <t>Kommuner</t>
        </is>
      </c>
      <c r="G51" t="n">
        <v>6.2</v>
      </c>
      <c r="H51" t="n">
        <v>3</v>
      </c>
      <c r="I51" t="n">
        <v>3</v>
      </c>
      <c r="J51" t="n">
        <v>1</v>
      </c>
      <c r="K51" t="n">
        <v>1</v>
      </c>
      <c r="L51" t="n">
        <v>0</v>
      </c>
      <c r="M51" t="n">
        <v>0</v>
      </c>
      <c r="N51" t="n">
        <v>0</v>
      </c>
      <c r="O51" t="n">
        <v>2</v>
      </c>
      <c r="P51" t="n">
        <v>1</v>
      </c>
      <c r="Q51" t="n">
        <v>6</v>
      </c>
      <c r="R51" s="2" t="inlineStr">
        <is>
          <t>Violettfläckig spindling
Kråka
Nästrot
Svart trolldruva
Underviol
Blåsippa</t>
        </is>
      </c>
      <c r="S51">
        <f>HYPERLINK("https://klasma.github.io/Logging_0188/artfynd/A 20255-2019 artfynd.xlsx", "A 20255-2019")</f>
        <v/>
      </c>
      <c r="T51">
        <f>HYPERLINK("https://klasma.github.io/Logging_0188/kartor/A 20255-2019 karta.png", "A 20255-2019")</f>
        <v/>
      </c>
      <c r="V51">
        <f>HYPERLINK("https://klasma.github.io/Logging_0188/klagomål/A 20255-2019 FSC-klagomål.docx", "A 20255-2019")</f>
        <v/>
      </c>
      <c r="W51">
        <f>HYPERLINK("https://klasma.github.io/Logging_0188/klagomålsmail/A 20255-2019 FSC-klagomål mail.docx", "A 20255-2019")</f>
        <v/>
      </c>
      <c r="X51">
        <f>HYPERLINK("https://klasma.github.io/Logging_0188/tillsyn/A 20255-2019 tillsynsbegäran.docx", "A 20255-2019")</f>
        <v/>
      </c>
      <c r="Y51">
        <f>HYPERLINK("https://klasma.github.io/Logging_0188/tillsynsmail/A 20255-2019 tillsynsbegäran mail.docx", "A 20255-2019")</f>
        <v/>
      </c>
      <c r="Z51">
        <f>HYPERLINK("https://klasma.github.io/Logging_0188/fåglar/A 20255-2019 prioriterade fågelarter.docx", "A 20255-2019")</f>
        <v/>
      </c>
    </row>
    <row r="52" ht="15" customHeight="1">
      <c r="A52" t="inlineStr">
        <is>
          <t>A 59328-2019</t>
        </is>
      </c>
      <c r="B52" s="1" t="n">
        <v>43775</v>
      </c>
      <c r="C52" s="1" t="n">
        <v>45645</v>
      </c>
      <c r="D52" t="inlineStr">
        <is>
          <t>STOCKHOLMS LÄN</t>
        </is>
      </c>
      <c r="E52" t="inlineStr">
        <is>
          <t>NORRTÄLJE</t>
        </is>
      </c>
      <c r="G52" t="n">
        <v>1.2</v>
      </c>
      <c r="H52" t="n">
        <v>0</v>
      </c>
      <c r="I52" t="n">
        <v>3</v>
      </c>
      <c r="J52" t="n">
        <v>1</v>
      </c>
      <c r="K52" t="n">
        <v>2</v>
      </c>
      <c r="L52" t="n">
        <v>0</v>
      </c>
      <c r="M52" t="n">
        <v>0</v>
      </c>
      <c r="N52" t="n">
        <v>0</v>
      </c>
      <c r="O52" t="n">
        <v>3</v>
      </c>
      <c r="P52" t="n">
        <v>2</v>
      </c>
      <c r="Q52" t="n">
        <v>6</v>
      </c>
      <c r="R52" s="2" t="inlineStr">
        <is>
          <t>Koppartaggsvamp
Violgubbe
Orange taggsvamp
Blåmossa
Bronshjon
Kattfotslav</t>
        </is>
      </c>
      <c r="S52">
        <f>HYPERLINK("https://klasma.github.io/Logging_0188/artfynd/A 59328-2019 artfynd.xlsx", "A 59328-2019")</f>
        <v/>
      </c>
      <c r="T52">
        <f>HYPERLINK("https://klasma.github.io/Logging_0188/kartor/A 59328-2019 karta.png", "A 59328-2019")</f>
        <v/>
      </c>
      <c r="V52">
        <f>HYPERLINK("https://klasma.github.io/Logging_0188/klagomål/A 59328-2019 FSC-klagomål.docx", "A 59328-2019")</f>
        <v/>
      </c>
      <c r="W52">
        <f>HYPERLINK("https://klasma.github.io/Logging_0188/klagomålsmail/A 59328-2019 FSC-klagomål mail.docx", "A 59328-2019")</f>
        <v/>
      </c>
      <c r="X52">
        <f>HYPERLINK("https://klasma.github.io/Logging_0188/tillsyn/A 59328-2019 tillsynsbegäran.docx", "A 59328-2019")</f>
        <v/>
      </c>
      <c r="Y52">
        <f>HYPERLINK("https://klasma.github.io/Logging_0188/tillsynsmail/A 59328-2019 tillsynsbegäran mail.docx", "A 59328-2019")</f>
        <v/>
      </c>
    </row>
    <row r="53" ht="15" customHeight="1">
      <c r="A53" t="inlineStr">
        <is>
          <t>A 21729-2023</t>
        </is>
      </c>
      <c r="B53" s="1" t="n">
        <v>45063</v>
      </c>
      <c r="C53" s="1" t="n">
        <v>45645</v>
      </c>
      <c r="D53" t="inlineStr">
        <is>
          <t>STOCKHOLMS LÄN</t>
        </is>
      </c>
      <c r="E53" t="inlineStr">
        <is>
          <t>NORRTÄLJE</t>
        </is>
      </c>
      <c r="G53" t="n">
        <v>17.2</v>
      </c>
      <c r="H53" t="n">
        <v>1</v>
      </c>
      <c r="I53" t="n">
        <v>0</v>
      </c>
      <c r="J53" t="n">
        <v>5</v>
      </c>
      <c r="K53" t="n">
        <v>0</v>
      </c>
      <c r="L53" t="n">
        <v>0</v>
      </c>
      <c r="M53" t="n">
        <v>0</v>
      </c>
      <c r="N53" t="n">
        <v>0</v>
      </c>
      <c r="O53" t="n">
        <v>5</v>
      </c>
      <c r="P53" t="n">
        <v>0</v>
      </c>
      <c r="Q53" t="n">
        <v>6</v>
      </c>
      <c r="R53" s="2" t="inlineStr">
        <is>
          <t>Backklöver
Gullklöver
Klofibbla
Pilblad
Slåtterfibbla
Adam och eva</t>
        </is>
      </c>
      <c r="S53">
        <f>HYPERLINK("https://klasma.github.io/Logging_0188/artfynd/A 21729-2023 artfynd.xlsx", "A 21729-2023")</f>
        <v/>
      </c>
      <c r="T53">
        <f>HYPERLINK("https://klasma.github.io/Logging_0188/kartor/A 21729-2023 karta.png", "A 21729-2023")</f>
        <v/>
      </c>
      <c r="V53">
        <f>HYPERLINK("https://klasma.github.io/Logging_0188/klagomål/A 21729-2023 FSC-klagomål.docx", "A 21729-2023")</f>
        <v/>
      </c>
      <c r="W53">
        <f>HYPERLINK("https://klasma.github.io/Logging_0188/klagomålsmail/A 21729-2023 FSC-klagomål mail.docx", "A 21729-2023")</f>
        <v/>
      </c>
      <c r="X53">
        <f>HYPERLINK("https://klasma.github.io/Logging_0188/tillsyn/A 21729-2023 tillsynsbegäran.docx", "A 21729-2023")</f>
        <v/>
      </c>
      <c r="Y53">
        <f>HYPERLINK("https://klasma.github.io/Logging_0188/tillsynsmail/A 21729-2023 tillsynsbegäran mail.docx", "A 21729-2023")</f>
        <v/>
      </c>
    </row>
    <row r="54" ht="15" customHeight="1">
      <c r="A54" t="inlineStr">
        <is>
          <t>A 34394-2023</t>
        </is>
      </c>
      <c r="B54" s="1" t="n">
        <v>45139</v>
      </c>
      <c r="C54" s="1" t="n">
        <v>45645</v>
      </c>
      <c r="D54" t="inlineStr">
        <is>
          <t>STOCKHOLMS LÄN</t>
        </is>
      </c>
      <c r="E54" t="inlineStr">
        <is>
          <t>NORRTÄLJE</t>
        </is>
      </c>
      <c r="G54" t="n">
        <v>8.5</v>
      </c>
      <c r="H54" t="n">
        <v>1</v>
      </c>
      <c r="I54" t="n">
        <v>2</v>
      </c>
      <c r="J54" t="n">
        <v>3</v>
      </c>
      <c r="K54" t="n">
        <v>0</v>
      </c>
      <c r="L54" t="n">
        <v>0</v>
      </c>
      <c r="M54" t="n">
        <v>0</v>
      </c>
      <c r="N54" t="n">
        <v>0</v>
      </c>
      <c r="O54" t="n">
        <v>3</v>
      </c>
      <c r="P54" t="n">
        <v>0</v>
      </c>
      <c r="Q54" t="n">
        <v>6</v>
      </c>
      <c r="R54" s="2" t="inlineStr">
        <is>
          <t>Grantaggsvamp
Motaggsvamp
Orange taggsvamp
Granriska
Grönpyrola
Blåsippa</t>
        </is>
      </c>
      <c r="S54">
        <f>HYPERLINK("https://klasma.github.io/Logging_0188/artfynd/A 34394-2023 artfynd.xlsx", "A 34394-2023")</f>
        <v/>
      </c>
      <c r="T54">
        <f>HYPERLINK("https://klasma.github.io/Logging_0188/kartor/A 34394-2023 karta.png", "A 34394-2023")</f>
        <v/>
      </c>
      <c r="V54">
        <f>HYPERLINK("https://klasma.github.io/Logging_0188/klagomål/A 34394-2023 FSC-klagomål.docx", "A 34394-2023")</f>
        <v/>
      </c>
      <c r="W54">
        <f>HYPERLINK("https://klasma.github.io/Logging_0188/klagomålsmail/A 34394-2023 FSC-klagomål mail.docx", "A 34394-2023")</f>
        <v/>
      </c>
      <c r="X54">
        <f>HYPERLINK("https://klasma.github.io/Logging_0188/tillsyn/A 34394-2023 tillsynsbegäran.docx", "A 34394-2023")</f>
        <v/>
      </c>
      <c r="Y54">
        <f>HYPERLINK("https://klasma.github.io/Logging_0188/tillsynsmail/A 34394-2023 tillsynsbegäran mail.docx", "A 34394-2023")</f>
        <v/>
      </c>
    </row>
    <row r="55" ht="15" customHeight="1">
      <c r="A55" t="inlineStr">
        <is>
          <t>A 51476-2023</t>
        </is>
      </c>
      <c r="B55" s="1" t="n">
        <v>45221</v>
      </c>
      <c r="C55" s="1" t="n">
        <v>45645</v>
      </c>
      <c r="D55" t="inlineStr">
        <is>
          <t>STOCKHOLMS LÄN</t>
        </is>
      </c>
      <c r="E55" t="inlineStr">
        <is>
          <t>NORRTÄLJE</t>
        </is>
      </c>
      <c r="G55" t="n">
        <v>4.6</v>
      </c>
      <c r="H55" t="n">
        <v>3</v>
      </c>
      <c r="I55" t="n">
        <v>3</v>
      </c>
      <c r="J55" t="n">
        <v>1</v>
      </c>
      <c r="K55" t="n">
        <v>1</v>
      </c>
      <c r="L55" t="n">
        <v>0</v>
      </c>
      <c r="M55" t="n">
        <v>0</v>
      </c>
      <c r="N55" t="n">
        <v>0</v>
      </c>
      <c r="O55" t="n">
        <v>2</v>
      </c>
      <c r="P55" t="n">
        <v>1</v>
      </c>
      <c r="Q55" t="n">
        <v>6</v>
      </c>
      <c r="R55" s="2" t="inlineStr">
        <is>
          <t>Knärot
Spillkråka
Grönpyrola
Rödgul trumpetsvamp
Vågbandad barkbock
Kungsfågel</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45469-2019</t>
        </is>
      </c>
      <c r="B56" s="1" t="n">
        <v>43714</v>
      </c>
      <c r="C56" s="1" t="n">
        <v>45645</v>
      </c>
      <c r="D56" t="inlineStr">
        <is>
          <t>STOCKHOLMS LÄN</t>
        </is>
      </c>
      <c r="E56" t="inlineStr">
        <is>
          <t>NORRTÄLJE</t>
        </is>
      </c>
      <c r="F56" t="inlineStr">
        <is>
          <t>Övriga statliga verk och myndigheter</t>
        </is>
      </c>
      <c r="G56" t="n">
        <v>10.6</v>
      </c>
      <c r="H56" t="n">
        <v>2</v>
      </c>
      <c r="I56" t="n">
        <v>3</v>
      </c>
      <c r="J56" t="n">
        <v>0</v>
      </c>
      <c r="K56" t="n">
        <v>0</v>
      </c>
      <c r="L56" t="n">
        <v>1</v>
      </c>
      <c r="M56" t="n">
        <v>0</v>
      </c>
      <c r="N56" t="n">
        <v>0</v>
      </c>
      <c r="O56" t="n">
        <v>1</v>
      </c>
      <c r="P56" t="n">
        <v>1</v>
      </c>
      <c r="Q56" t="n">
        <v>5</v>
      </c>
      <c r="R56" s="2" t="inlineStr">
        <is>
          <t>Ask
Hasselticka
Sårläka
Tvåblad
Blåsippa</t>
        </is>
      </c>
      <c r="S56">
        <f>HYPERLINK("https://klasma.github.io/Logging_0188/artfynd/A 45469-2019 artfynd.xlsx", "A 45469-2019")</f>
        <v/>
      </c>
      <c r="T56">
        <f>HYPERLINK("https://klasma.github.io/Logging_0188/kartor/A 45469-2019 karta.png", "A 45469-2019")</f>
        <v/>
      </c>
      <c r="V56">
        <f>HYPERLINK("https://klasma.github.io/Logging_0188/klagomål/A 45469-2019 FSC-klagomål.docx", "A 45469-2019")</f>
        <v/>
      </c>
      <c r="W56">
        <f>HYPERLINK("https://klasma.github.io/Logging_0188/klagomålsmail/A 45469-2019 FSC-klagomål mail.docx", "A 45469-2019")</f>
        <v/>
      </c>
      <c r="X56">
        <f>HYPERLINK("https://klasma.github.io/Logging_0188/tillsyn/A 45469-2019 tillsynsbegäran.docx", "A 45469-2019")</f>
        <v/>
      </c>
      <c r="Y56">
        <f>HYPERLINK("https://klasma.github.io/Logging_0188/tillsynsmail/A 45469-2019 tillsynsbegäran mail.docx", "A 45469-2019")</f>
        <v/>
      </c>
    </row>
    <row r="57" ht="15" customHeight="1">
      <c r="A57" t="inlineStr">
        <is>
          <t>A 42457-2020</t>
        </is>
      </c>
      <c r="B57" s="1" t="n">
        <v>44076</v>
      </c>
      <c r="C57" s="1" t="n">
        <v>45645</v>
      </c>
      <c r="D57" t="inlineStr">
        <is>
          <t>STOCKHOLMS LÄN</t>
        </is>
      </c>
      <c r="E57" t="inlineStr">
        <is>
          <t>NORRTÄLJE</t>
        </is>
      </c>
      <c r="F57" t="inlineStr">
        <is>
          <t>Kommuner</t>
        </is>
      </c>
      <c r="G57" t="n">
        <v>3.1</v>
      </c>
      <c r="H57" t="n">
        <v>2</v>
      </c>
      <c r="I57" t="n">
        <v>3</v>
      </c>
      <c r="J57" t="n">
        <v>1</v>
      </c>
      <c r="K57" t="n">
        <v>0</v>
      </c>
      <c r="L57" t="n">
        <v>0</v>
      </c>
      <c r="M57" t="n">
        <v>0</v>
      </c>
      <c r="N57" t="n">
        <v>0</v>
      </c>
      <c r="O57" t="n">
        <v>1</v>
      </c>
      <c r="P57" t="n">
        <v>0</v>
      </c>
      <c r="Q57" t="n">
        <v>5</v>
      </c>
      <c r="R57" s="2" t="inlineStr">
        <is>
          <t>Spillkråka
Granbräken
Jättesvampmal
Thomsons trägnagare
Blåsippa</t>
        </is>
      </c>
      <c r="S57">
        <f>HYPERLINK("https://klasma.github.io/Logging_0188/artfynd/A 42457-2020 artfynd.xlsx", "A 42457-2020")</f>
        <v/>
      </c>
      <c r="T57">
        <f>HYPERLINK("https://klasma.github.io/Logging_0188/kartor/A 42457-2020 karta.png", "A 42457-2020")</f>
        <v/>
      </c>
      <c r="V57">
        <f>HYPERLINK("https://klasma.github.io/Logging_0188/klagomål/A 42457-2020 FSC-klagomål.docx", "A 42457-2020")</f>
        <v/>
      </c>
      <c r="W57">
        <f>HYPERLINK("https://klasma.github.io/Logging_0188/klagomålsmail/A 42457-2020 FSC-klagomål mail.docx", "A 42457-2020")</f>
        <v/>
      </c>
      <c r="X57">
        <f>HYPERLINK("https://klasma.github.io/Logging_0188/tillsyn/A 42457-2020 tillsynsbegäran.docx", "A 42457-2020")</f>
        <v/>
      </c>
      <c r="Y57">
        <f>HYPERLINK("https://klasma.github.io/Logging_0188/tillsynsmail/A 42457-2020 tillsynsbegäran mail.docx", "A 42457-2020")</f>
        <v/>
      </c>
      <c r="Z57">
        <f>HYPERLINK("https://klasma.github.io/Logging_0188/fåglar/A 42457-2020 prioriterade fågelarter.docx", "A 42457-2020")</f>
        <v/>
      </c>
    </row>
    <row r="58" ht="15" customHeight="1">
      <c r="A58" t="inlineStr">
        <is>
          <t>A 72111-2021</t>
        </is>
      </c>
      <c r="B58" s="1" t="n">
        <v>44544</v>
      </c>
      <c r="C58" s="1" t="n">
        <v>45645</v>
      </c>
      <c r="D58" t="inlineStr">
        <is>
          <t>STOCKHOLMS LÄN</t>
        </is>
      </c>
      <c r="E58" t="inlineStr">
        <is>
          <t>NORRTÄLJE</t>
        </is>
      </c>
      <c r="G58" t="n">
        <v>5.1</v>
      </c>
      <c r="H58" t="n">
        <v>1</v>
      </c>
      <c r="I58" t="n">
        <v>3</v>
      </c>
      <c r="J58" t="n">
        <v>1</v>
      </c>
      <c r="K58" t="n">
        <v>0</v>
      </c>
      <c r="L58" t="n">
        <v>0</v>
      </c>
      <c r="M58" t="n">
        <v>0</v>
      </c>
      <c r="N58" t="n">
        <v>0</v>
      </c>
      <c r="O58" t="n">
        <v>1</v>
      </c>
      <c r="P58" t="n">
        <v>0</v>
      </c>
      <c r="Q58" t="n">
        <v>5</v>
      </c>
      <c r="R58" s="2" t="inlineStr">
        <is>
          <t>Lunglav
Scharlakansvårskål agg.
Sårläka
Vårärt
Blåsippa</t>
        </is>
      </c>
      <c r="S58">
        <f>HYPERLINK("https://klasma.github.io/Logging_0188/artfynd/A 72111-2021 artfynd.xlsx", "A 72111-2021")</f>
        <v/>
      </c>
      <c r="T58">
        <f>HYPERLINK("https://klasma.github.io/Logging_0188/kartor/A 72111-2021 karta.png", "A 72111-2021")</f>
        <v/>
      </c>
      <c r="V58">
        <f>HYPERLINK("https://klasma.github.io/Logging_0188/klagomål/A 72111-2021 FSC-klagomål.docx", "A 72111-2021")</f>
        <v/>
      </c>
      <c r="W58">
        <f>HYPERLINK("https://klasma.github.io/Logging_0188/klagomålsmail/A 72111-2021 FSC-klagomål mail.docx", "A 72111-2021")</f>
        <v/>
      </c>
      <c r="X58">
        <f>HYPERLINK("https://klasma.github.io/Logging_0188/tillsyn/A 72111-2021 tillsynsbegäran.docx", "A 72111-2021")</f>
        <v/>
      </c>
      <c r="Y58">
        <f>HYPERLINK("https://klasma.github.io/Logging_0188/tillsynsmail/A 72111-2021 tillsynsbegäran mail.docx", "A 72111-2021")</f>
        <v/>
      </c>
    </row>
    <row r="59" ht="15" customHeight="1">
      <c r="A59" t="inlineStr">
        <is>
          <t>A 21922-2023</t>
        </is>
      </c>
      <c r="B59" s="1" t="n">
        <v>45068</v>
      </c>
      <c r="C59" s="1" t="n">
        <v>45645</v>
      </c>
      <c r="D59" t="inlineStr">
        <is>
          <t>STOCKHOLMS LÄN</t>
        </is>
      </c>
      <c r="E59" t="inlineStr">
        <is>
          <t>NORRTÄLJE</t>
        </is>
      </c>
      <c r="G59" t="n">
        <v>4.9</v>
      </c>
      <c r="H59" t="n">
        <v>2</v>
      </c>
      <c r="I59" t="n">
        <v>2</v>
      </c>
      <c r="J59" t="n">
        <v>1</v>
      </c>
      <c r="K59" t="n">
        <v>0</v>
      </c>
      <c r="L59" t="n">
        <v>0</v>
      </c>
      <c r="M59" t="n">
        <v>0</v>
      </c>
      <c r="N59" t="n">
        <v>0</v>
      </c>
      <c r="O59" t="n">
        <v>1</v>
      </c>
      <c r="P59" t="n">
        <v>0</v>
      </c>
      <c r="Q59" t="n">
        <v>5</v>
      </c>
      <c r="R59" s="2" t="inlineStr">
        <is>
          <t>Asppraktbagge
Stor aspticka
Svavelriska
Blåsippa
Gullviva</t>
        </is>
      </c>
      <c r="S59">
        <f>HYPERLINK("https://klasma.github.io/Logging_0188/artfynd/A 21922-2023 artfynd.xlsx", "A 21922-2023")</f>
        <v/>
      </c>
      <c r="T59">
        <f>HYPERLINK("https://klasma.github.io/Logging_0188/kartor/A 21922-2023 karta.png", "A 21922-2023")</f>
        <v/>
      </c>
      <c r="V59">
        <f>HYPERLINK("https://klasma.github.io/Logging_0188/klagomål/A 21922-2023 FSC-klagomål.docx", "A 21922-2023")</f>
        <v/>
      </c>
      <c r="W59">
        <f>HYPERLINK("https://klasma.github.io/Logging_0188/klagomålsmail/A 21922-2023 FSC-klagomål mail.docx", "A 21922-2023")</f>
        <v/>
      </c>
      <c r="X59">
        <f>HYPERLINK("https://klasma.github.io/Logging_0188/tillsyn/A 21922-2023 tillsynsbegäran.docx", "A 21922-2023")</f>
        <v/>
      </c>
      <c r="Y59">
        <f>HYPERLINK("https://klasma.github.io/Logging_0188/tillsynsmail/A 21922-2023 tillsynsbegäran mail.docx", "A 21922-2023")</f>
        <v/>
      </c>
    </row>
    <row r="60" ht="15" customHeight="1">
      <c r="A60" t="inlineStr">
        <is>
          <t>A 21927-2023</t>
        </is>
      </c>
      <c r="B60" s="1" t="n">
        <v>45068</v>
      </c>
      <c r="C60" s="1" t="n">
        <v>45645</v>
      </c>
      <c r="D60" t="inlineStr">
        <is>
          <t>STOCKHOLMS LÄN</t>
        </is>
      </c>
      <c r="E60" t="inlineStr">
        <is>
          <t>NORRTÄLJE</t>
        </is>
      </c>
      <c r="G60" t="n">
        <v>1.4</v>
      </c>
      <c r="H60" t="n">
        <v>4</v>
      </c>
      <c r="I60" t="n">
        <v>2</v>
      </c>
      <c r="J60" t="n">
        <v>1</v>
      </c>
      <c r="K60" t="n">
        <v>0</v>
      </c>
      <c r="L60" t="n">
        <v>0</v>
      </c>
      <c r="M60" t="n">
        <v>0</v>
      </c>
      <c r="N60" t="n">
        <v>0</v>
      </c>
      <c r="O60" t="n">
        <v>1</v>
      </c>
      <c r="P60" t="n">
        <v>0</v>
      </c>
      <c r="Q60" t="n">
        <v>5</v>
      </c>
      <c r="R60" s="2" t="inlineStr">
        <is>
          <t>Slåtterfibbla
Skogsknipprot
Tvåblad
Blåsippa
Gullviva</t>
        </is>
      </c>
      <c r="S60">
        <f>HYPERLINK("https://klasma.github.io/Logging_0188/artfynd/A 21927-2023 artfynd.xlsx", "A 21927-2023")</f>
        <v/>
      </c>
      <c r="T60">
        <f>HYPERLINK("https://klasma.github.io/Logging_0188/kartor/A 21927-2023 karta.png", "A 21927-2023")</f>
        <v/>
      </c>
      <c r="V60">
        <f>HYPERLINK("https://klasma.github.io/Logging_0188/klagomål/A 21927-2023 FSC-klagomål.docx", "A 21927-2023")</f>
        <v/>
      </c>
      <c r="W60">
        <f>HYPERLINK("https://klasma.github.io/Logging_0188/klagomålsmail/A 21927-2023 FSC-klagomål mail.docx", "A 21927-2023")</f>
        <v/>
      </c>
      <c r="X60">
        <f>HYPERLINK("https://klasma.github.io/Logging_0188/tillsyn/A 21927-2023 tillsynsbegäran.docx", "A 21927-2023")</f>
        <v/>
      </c>
      <c r="Y60">
        <f>HYPERLINK("https://klasma.github.io/Logging_0188/tillsynsmail/A 21927-2023 tillsynsbegäran mail.docx", "A 21927-2023")</f>
        <v/>
      </c>
    </row>
    <row r="61" ht="15" customHeight="1">
      <c r="A61" t="inlineStr">
        <is>
          <t>A 28298-2024</t>
        </is>
      </c>
      <c r="B61" s="1" t="n">
        <v>45477</v>
      </c>
      <c r="C61" s="1" t="n">
        <v>45645</v>
      </c>
      <c r="D61" t="inlineStr">
        <is>
          <t>STOCKHOLMS LÄN</t>
        </is>
      </c>
      <c r="E61" t="inlineStr">
        <is>
          <t>NORRTÄLJE</t>
        </is>
      </c>
      <c r="G61" t="n">
        <v>4.4</v>
      </c>
      <c r="H61" t="n">
        <v>3</v>
      </c>
      <c r="I61" t="n">
        <v>1</v>
      </c>
      <c r="J61" t="n">
        <v>1</v>
      </c>
      <c r="K61" t="n">
        <v>1</v>
      </c>
      <c r="L61" t="n">
        <v>0</v>
      </c>
      <c r="M61" t="n">
        <v>0</v>
      </c>
      <c r="N61" t="n">
        <v>0</v>
      </c>
      <c r="O61" t="n">
        <v>2</v>
      </c>
      <c r="P61" t="n">
        <v>1</v>
      </c>
      <c r="Q61" t="n">
        <v>5</v>
      </c>
      <c r="R61" s="2" t="inlineStr">
        <is>
          <t>Tallbit
Mindre bastardsvärmare
Vätteros
Adam och eva
Gullviva</t>
        </is>
      </c>
      <c r="S61">
        <f>HYPERLINK("https://klasma.github.io/Logging_0188/artfynd/A 28298-2024 artfynd.xlsx", "A 28298-2024")</f>
        <v/>
      </c>
      <c r="T61">
        <f>HYPERLINK("https://klasma.github.io/Logging_0188/kartor/A 28298-2024 karta.png", "A 28298-2024")</f>
        <v/>
      </c>
      <c r="V61">
        <f>HYPERLINK("https://klasma.github.io/Logging_0188/klagomål/A 28298-2024 FSC-klagomål.docx", "A 28298-2024")</f>
        <v/>
      </c>
      <c r="W61">
        <f>HYPERLINK("https://klasma.github.io/Logging_0188/klagomålsmail/A 28298-2024 FSC-klagomål mail.docx", "A 28298-2024")</f>
        <v/>
      </c>
      <c r="X61">
        <f>HYPERLINK("https://klasma.github.io/Logging_0188/tillsyn/A 28298-2024 tillsynsbegäran.docx", "A 28298-2024")</f>
        <v/>
      </c>
      <c r="Y61">
        <f>HYPERLINK("https://klasma.github.io/Logging_0188/tillsynsmail/A 28298-2024 tillsynsbegäran mail.docx", "A 28298-2024")</f>
        <v/>
      </c>
      <c r="Z61">
        <f>HYPERLINK("https://klasma.github.io/Logging_0188/fåglar/A 28298-2024 prioriterade fågelarter.docx", "A 28298-2024")</f>
        <v/>
      </c>
    </row>
    <row r="62" ht="15" customHeight="1">
      <c r="A62" t="inlineStr">
        <is>
          <t>A 46807-2024</t>
        </is>
      </c>
      <c r="B62" s="1" t="n">
        <v>45583</v>
      </c>
      <c r="C62" s="1" t="n">
        <v>45645</v>
      </c>
      <c r="D62" t="inlineStr">
        <is>
          <t>STOCKHOLMS LÄN</t>
        </is>
      </c>
      <c r="E62" t="inlineStr">
        <is>
          <t>NORRTÄLJE</t>
        </is>
      </c>
      <c r="G62" t="n">
        <v>6.5</v>
      </c>
      <c r="H62" t="n">
        <v>2</v>
      </c>
      <c r="I62" t="n">
        <v>2</v>
      </c>
      <c r="J62" t="n">
        <v>2</v>
      </c>
      <c r="K62" t="n">
        <v>0</v>
      </c>
      <c r="L62" t="n">
        <v>0</v>
      </c>
      <c r="M62" t="n">
        <v>0</v>
      </c>
      <c r="N62" t="n">
        <v>0</v>
      </c>
      <c r="O62" t="n">
        <v>2</v>
      </c>
      <c r="P62" t="n">
        <v>0</v>
      </c>
      <c r="Q62" t="n">
        <v>5</v>
      </c>
      <c r="R62" s="2" t="inlineStr">
        <is>
          <t>Loppstarr
Talltita
Rödgul trumpetsvamp
Zontaggsvamp
Blåsippa</t>
        </is>
      </c>
      <c r="S62">
        <f>HYPERLINK("https://klasma.github.io/Logging_0188/artfynd/A 46807-2024 artfynd.xlsx", "A 46807-2024")</f>
        <v/>
      </c>
      <c r="T62">
        <f>HYPERLINK("https://klasma.github.io/Logging_0188/kartor/A 46807-2024 karta.png", "A 46807-2024")</f>
        <v/>
      </c>
      <c r="V62">
        <f>HYPERLINK("https://klasma.github.io/Logging_0188/klagomål/A 46807-2024 FSC-klagomål.docx", "A 46807-2024")</f>
        <v/>
      </c>
      <c r="W62">
        <f>HYPERLINK("https://klasma.github.io/Logging_0188/klagomålsmail/A 46807-2024 FSC-klagomål mail.docx", "A 46807-2024")</f>
        <v/>
      </c>
      <c r="X62">
        <f>HYPERLINK("https://klasma.github.io/Logging_0188/tillsyn/A 46807-2024 tillsynsbegäran.docx", "A 46807-2024")</f>
        <v/>
      </c>
      <c r="Y62">
        <f>HYPERLINK("https://klasma.github.io/Logging_0188/tillsynsmail/A 46807-2024 tillsynsbegäran mail.docx", "A 46807-2024")</f>
        <v/>
      </c>
      <c r="Z62">
        <f>HYPERLINK("https://klasma.github.io/Logging_0188/fåglar/A 46807-2024 prioriterade fågelarter.docx", "A 46807-2024")</f>
        <v/>
      </c>
    </row>
    <row r="63" ht="15" customHeight="1">
      <c r="A63" t="inlineStr">
        <is>
          <t>A 25507-2019</t>
        </is>
      </c>
      <c r="B63" s="1" t="n">
        <v>43606</v>
      </c>
      <c r="C63" s="1" t="n">
        <v>45645</v>
      </c>
      <c r="D63" t="inlineStr">
        <is>
          <t>STOCKHOLMS LÄN</t>
        </is>
      </c>
      <c r="E63" t="inlineStr">
        <is>
          <t>NORRTÄLJE</t>
        </is>
      </c>
      <c r="G63" t="n">
        <v>3.1</v>
      </c>
      <c r="H63" t="n">
        <v>1</v>
      </c>
      <c r="I63" t="n">
        <v>2</v>
      </c>
      <c r="J63" t="n">
        <v>0</v>
      </c>
      <c r="K63" t="n">
        <v>0</v>
      </c>
      <c r="L63" t="n">
        <v>1</v>
      </c>
      <c r="M63" t="n">
        <v>0</v>
      </c>
      <c r="N63" t="n">
        <v>0</v>
      </c>
      <c r="O63" t="n">
        <v>1</v>
      </c>
      <c r="P63" t="n">
        <v>1</v>
      </c>
      <c r="Q63" t="n">
        <v>4</v>
      </c>
      <c r="R63" s="2" t="inlineStr">
        <is>
          <t>Ask
Tibast
Vårärt
Blåsippa</t>
        </is>
      </c>
      <c r="S63">
        <f>HYPERLINK("https://klasma.github.io/Logging_0188/artfynd/A 25507-2019 artfynd.xlsx", "A 25507-2019")</f>
        <v/>
      </c>
      <c r="T63">
        <f>HYPERLINK("https://klasma.github.io/Logging_0188/kartor/A 25507-2019 karta.png", "A 25507-2019")</f>
        <v/>
      </c>
      <c r="V63">
        <f>HYPERLINK("https://klasma.github.io/Logging_0188/klagomål/A 25507-2019 FSC-klagomål.docx", "A 25507-2019")</f>
        <v/>
      </c>
      <c r="W63">
        <f>HYPERLINK("https://klasma.github.io/Logging_0188/klagomålsmail/A 25507-2019 FSC-klagomål mail.docx", "A 25507-2019")</f>
        <v/>
      </c>
      <c r="X63">
        <f>HYPERLINK("https://klasma.github.io/Logging_0188/tillsyn/A 25507-2019 tillsynsbegäran.docx", "A 25507-2019")</f>
        <v/>
      </c>
      <c r="Y63">
        <f>HYPERLINK("https://klasma.github.io/Logging_0188/tillsynsmail/A 25507-2019 tillsynsbegäran mail.docx", "A 25507-2019")</f>
        <v/>
      </c>
    </row>
    <row r="64" ht="15" customHeight="1">
      <c r="A64" t="inlineStr">
        <is>
          <t>A 28408-2019</t>
        </is>
      </c>
      <c r="B64" s="1" t="n">
        <v>43626</v>
      </c>
      <c r="C64" s="1" t="n">
        <v>45645</v>
      </c>
      <c r="D64" t="inlineStr">
        <is>
          <t>STOCKHOLMS LÄN</t>
        </is>
      </c>
      <c r="E64" t="inlineStr">
        <is>
          <t>NORRTÄLJE</t>
        </is>
      </c>
      <c r="G64" t="n">
        <v>1.1</v>
      </c>
      <c r="H64" t="n">
        <v>2</v>
      </c>
      <c r="I64" t="n">
        <v>2</v>
      </c>
      <c r="J64" t="n">
        <v>1</v>
      </c>
      <c r="K64" t="n">
        <v>1</v>
      </c>
      <c r="L64" t="n">
        <v>0</v>
      </c>
      <c r="M64" t="n">
        <v>0</v>
      </c>
      <c r="N64" t="n">
        <v>0</v>
      </c>
      <c r="O64" t="n">
        <v>2</v>
      </c>
      <c r="P64" t="n">
        <v>1</v>
      </c>
      <c r="Q64" t="n">
        <v>4</v>
      </c>
      <c r="R64" s="2" t="inlineStr">
        <is>
          <t>Knärot
Granticka
Grönpyrola
Nästrot</t>
        </is>
      </c>
      <c r="S64">
        <f>HYPERLINK("https://klasma.github.io/Logging_0188/artfynd/A 28408-2019 artfynd.xlsx", "A 28408-2019")</f>
        <v/>
      </c>
      <c r="T64">
        <f>HYPERLINK("https://klasma.github.io/Logging_0188/kartor/A 28408-2019 karta.png", "A 28408-2019")</f>
        <v/>
      </c>
      <c r="U64">
        <f>HYPERLINK("https://klasma.github.io/Logging_0188/knärot/A 28408-2019 karta knärot.png", "A 28408-2019")</f>
        <v/>
      </c>
      <c r="V64">
        <f>HYPERLINK("https://klasma.github.io/Logging_0188/klagomål/A 28408-2019 FSC-klagomål.docx", "A 28408-2019")</f>
        <v/>
      </c>
      <c r="W64">
        <f>HYPERLINK("https://klasma.github.io/Logging_0188/klagomålsmail/A 28408-2019 FSC-klagomål mail.docx", "A 28408-2019")</f>
        <v/>
      </c>
      <c r="X64">
        <f>HYPERLINK("https://klasma.github.io/Logging_0188/tillsyn/A 28408-2019 tillsynsbegäran.docx", "A 28408-2019")</f>
        <v/>
      </c>
      <c r="Y64">
        <f>HYPERLINK("https://klasma.github.io/Logging_0188/tillsynsmail/A 28408-2019 tillsynsbegäran mail.docx", "A 28408-2019")</f>
        <v/>
      </c>
    </row>
    <row r="65" ht="15" customHeight="1">
      <c r="A65" t="inlineStr">
        <is>
          <t>A 2803-2020</t>
        </is>
      </c>
      <c r="B65" s="1" t="n">
        <v>43850</v>
      </c>
      <c r="C65" s="1" t="n">
        <v>45645</v>
      </c>
      <c r="D65" t="inlineStr">
        <is>
          <t>STOCKHOLMS LÄN</t>
        </is>
      </c>
      <c r="E65" t="inlineStr">
        <is>
          <t>NORRTÄLJE</t>
        </is>
      </c>
      <c r="G65" t="n">
        <v>1.2</v>
      </c>
      <c r="H65" t="n">
        <v>2</v>
      </c>
      <c r="I65" t="n">
        <v>2</v>
      </c>
      <c r="J65" t="n">
        <v>0</v>
      </c>
      <c r="K65" t="n">
        <v>1</v>
      </c>
      <c r="L65" t="n">
        <v>0</v>
      </c>
      <c r="M65" t="n">
        <v>0</v>
      </c>
      <c r="N65" t="n">
        <v>0</v>
      </c>
      <c r="O65" t="n">
        <v>1</v>
      </c>
      <c r="P65" t="n">
        <v>1</v>
      </c>
      <c r="Q65" t="n">
        <v>4</v>
      </c>
      <c r="R65" s="2" t="inlineStr">
        <is>
          <t>Knärot
Brandticka
Tibast
Tjäder</t>
        </is>
      </c>
      <c r="S65">
        <f>HYPERLINK("https://klasma.github.io/Logging_0188/artfynd/A 2803-2020 artfynd.xlsx", "A 2803-2020")</f>
        <v/>
      </c>
      <c r="T65">
        <f>HYPERLINK("https://klasma.github.io/Logging_0188/kartor/A 2803-2020 karta.png", "A 2803-2020")</f>
        <v/>
      </c>
      <c r="U65">
        <f>HYPERLINK("https://klasma.github.io/Logging_0188/knärot/A 2803-2020 karta knärot.png", "A 2803-2020")</f>
        <v/>
      </c>
      <c r="V65">
        <f>HYPERLINK("https://klasma.github.io/Logging_0188/klagomål/A 2803-2020 FSC-klagomål.docx", "A 2803-2020")</f>
        <v/>
      </c>
      <c r="W65">
        <f>HYPERLINK("https://klasma.github.io/Logging_0188/klagomålsmail/A 2803-2020 FSC-klagomål mail.docx", "A 2803-2020")</f>
        <v/>
      </c>
      <c r="X65">
        <f>HYPERLINK("https://klasma.github.io/Logging_0188/tillsyn/A 2803-2020 tillsynsbegäran.docx", "A 2803-2020")</f>
        <v/>
      </c>
      <c r="Y65">
        <f>HYPERLINK("https://klasma.github.io/Logging_0188/tillsynsmail/A 2803-2020 tillsynsbegäran mail.docx", "A 2803-2020")</f>
        <v/>
      </c>
      <c r="Z65">
        <f>HYPERLINK("https://klasma.github.io/Logging_0188/fåglar/A 2803-2020 prioriterade fågelarter.docx", "A 2803-2020")</f>
        <v/>
      </c>
    </row>
    <row r="66" ht="15" customHeight="1">
      <c r="A66" t="inlineStr">
        <is>
          <t>A 5732-2020</t>
        </is>
      </c>
      <c r="B66" s="1" t="n">
        <v>43863</v>
      </c>
      <c r="C66" s="1" t="n">
        <v>45645</v>
      </c>
      <c r="D66" t="inlineStr">
        <is>
          <t>STOCKHOLMS LÄN</t>
        </is>
      </c>
      <c r="E66" t="inlineStr">
        <is>
          <t>NORRTÄLJE</t>
        </is>
      </c>
      <c r="G66" t="n">
        <v>1.8</v>
      </c>
      <c r="H66" t="n">
        <v>0</v>
      </c>
      <c r="I66" t="n">
        <v>2</v>
      </c>
      <c r="J66" t="n">
        <v>2</v>
      </c>
      <c r="K66" t="n">
        <v>0</v>
      </c>
      <c r="L66" t="n">
        <v>0</v>
      </c>
      <c r="M66" t="n">
        <v>0</v>
      </c>
      <c r="N66" t="n">
        <v>0</v>
      </c>
      <c r="O66" t="n">
        <v>2</v>
      </c>
      <c r="P66" t="n">
        <v>0</v>
      </c>
      <c r="Q66" t="n">
        <v>4</v>
      </c>
      <c r="R66" s="2" t="inlineStr">
        <is>
          <t>Svart taggsvamp
Äggspindling
Kryddspindling
Strimspindling</t>
        </is>
      </c>
      <c r="S66">
        <f>HYPERLINK("https://klasma.github.io/Logging_0188/artfynd/A 5732-2020 artfynd.xlsx", "A 5732-2020")</f>
        <v/>
      </c>
      <c r="T66">
        <f>HYPERLINK("https://klasma.github.io/Logging_0188/kartor/A 5732-2020 karta.png", "A 5732-2020")</f>
        <v/>
      </c>
      <c r="V66">
        <f>HYPERLINK("https://klasma.github.io/Logging_0188/klagomål/A 5732-2020 FSC-klagomål.docx", "A 5732-2020")</f>
        <v/>
      </c>
      <c r="W66">
        <f>HYPERLINK("https://klasma.github.io/Logging_0188/klagomålsmail/A 5732-2020 FSC-klagomål mail.docx", "A 5732-2020")</f>
        <v/>
      </c>
      <c r="X66">
        <f>HYPERLINK("https://klasma.github.io/Logging_0188/tillsyn/A 5732-2020 tillsynsbegäran.docx", "A 5732-2020")</f>
        <v/>
      </c>
      <c r="Y66">
        <f>HYPERLINK("https://klasma.github.io/Logging_0188/tillsynsmail/A 5732-2020 tillsynsbegäran mail.docx", "A 5732-2020")</f>
        <v/>
      </c>
    </row>
    <row r="67" ht="15" customHeight="1">
      <c r="A67" t="inlineStr">
        <is>
          <t>A 24052-2021</t>
        </is>
      </c>
      <c r="B67" s="1" t="n">
        <v>44336</v>
      </c>
      <c r="C67" s="1" t="n">
        <v>45645</v>
      </c>
      <c r="D67" t="inlineStr">
        <is>
          <t>STOCKHOLMS LÄN</t>
        </is>
      </c>
      <c r="E67" t="inlineStr">
        <is>
          <t>NORRTÄLJE</t>
        </is>
      </c>
      <c r="G67" t="n">
        <v>8.6</v>
      </c>
      <c r="H67" t="n">
        <v>4</v>
      </c>
      <c r="I67" t="n">
        <v>0</v>
      </c>
      <c r="J67" t="n">
        <v>2</v>
      </c>
      <c r="K67" t="n">
        <v>0</v>
      </c>
      <c r="L67" t="n">
        <v>0</v>
      </c>
      <c r="M67" t="n">
        <v>0</v>
      </c>
      <c r="N67" t="n">
        <v>0</v>
      </c>
      <c r="O67" t="n">
        <v>2</v>
      </c>
      <c r="P67" t="n">
        <v>0</v>
      </c>
      <c r="Q67" t="n">
        <v>4</v>
      </c>
      <c r="R67" s="2" t="inlineStr">
        <is>
          <t>Brunlångöra
Nordfladdermus
Dvärgpipistrell
Större brunfladdermus</t>
        </is>
      </c>
      <c r="S67">
        <f>HYPERLINK("https://klasma.github.io/Logging_0188/artfynd/A 24052-2021 artfynd.xlsx", "A 24052-2021")</f>
        <v/>
      </c>
      <c r="T67">
        <f>HYPERLINK("https://klasma.github.io/Logging_0188/kartor/A 24052-2021 karta.png", "A 24052-2021")</f>
        <v/>
      </c>
      <c r="V67">
        <f>HYPERLINK("https://klasma.github.io/Logging_0188/klagomål/A 24052-2021 FSC-klagomål.docx", "A 24052-2021")</f>
        <v/>
      </c>
      <c r="W67">
        <f>HYPERLINK("https://klasma.github.io/Logging_0188/klagomålsmail/A 24052-2021 FSC-klagomål mail.docx", "A 24052-2021")</f>
        <v/>
      </c>
      <c r="X67">
        <f>HYPERLINK("https://klasma.github.io/Logging_0188/tillsyn/A 24052-2021 tillsynsbegäran.docx", "A 24052-2021")</f>
        <v/>
      </c>
      <c r="Y67">
        <f>HYPERLINK("https://klasma.github.io/Logging_0188/tillsynsmail/A 24052-2021 tillsynsbegäran mail.docx", "A 24052-2021")</f>
        <v/>
      </c>
    </row>
    <row r="68" ht="15" customHeight="1">
      <c r="A68" t="inlineStr">
        <is>
          <t>A 72305-2021</t>
        </is>
      </c>
      <c r="B68" s="1" t="n">
        <v>44545</v>
      </c>
      <c r="C68" s="1" t="n">
        <v>45645</v>
      </c>
      <c r="D68" t="inlineStr">
        <is>
          <t>STOCKHOLMS LÄN</t>
        </is>
      </c>
      <c r="E68" t="inlineStr">
        <is>
          <t>NORRTÄLJE</t>
        </is>
      </c>
      <c r="G68" t="n">
        <v>1.5</v>
      </c>
      <c r="H68" t="n">
        <v>1</v>
      </c>
      <c r="I68" t="n">
        <v>3</v>
      </c>
      <c r="J68" t="n">
        <v>0</v>
      </c>
      <c r="K68" t="n">
        <v>0</v>
      </c>
      <c r="L68" t="n">
        <v>0</v>
      </c>
      <c r="M68" t="n">
        <v>0</v>
      </c>
      <c r="N68" t="n">
        <v>0</v>
      </c>
      <c r="O68" t="n">
        <v>0</v>
      </c>
      <c r="P68" t="n">
        <v>0</v>
      </c>
      <c r="Q68" t="n">
        <v>4</v>
      </c>
      <c r="R68" s="2" t="inlineStr">
        <is>
          <t>Svart trolldruva
Sårläka
Vårärt
Blåsippa</t>
        </is>
      </c>
      <c r="S68">
        <f>HYPERLINK("https://klasma.github.io/Logging_0188/artfynd/A 72305-2021 artfynd.xlsx", "A 72305-2021")</f>
        <v/>
      </c>
      <c r="T68">
        <f>HYPERLINK("https://klasma.github.io/Logging_0188/kartor/A 72305-2021 karta.png", "A 72305-2021")</f>
        <v/>
      </c>
      <c r="V68">
        <f>HYPERLINK("https://klasma.github.io/Logging_0188/klagomål/A 72305-2021 FSC-klagomål.docx", "A 72305-2021")</f>
        <v/>
      </c>
      <c r="W68">
        <f>HYPERLINK("https://klasma.github.io/Logging_0188/klagomålsmail/A 72305-2021 FSC-klagomål mail.docx", "A 72305-2021")</f>
        <v/>
      </c>
      <c r="X68">
        <f>HYPERLINK("https://klasma.github.io/Logging_0188/tillsyn/A 72305-2021 tillsynsbegäran.docx", "A 72305-2021")</f>
        <v/>
      </c>
      <c r="Y68">
        <f>HYPERLINK("https://klasma.github.io/Logging_0188/tillsynsmail/A 72305-2021 tillsynsbegäran mail.docx", "A 72305-2021")</f>
        <v/>
      </c>
    </row>
    <row r="69" ht="15" customHeight="1">
      <c r="A69" t="inlineStr">
        <is>
          <t>A 56785-2023</t>
        </is>
      </c>
      <c r="B69" s="1" t="n">
        <v>45244</v>
      </c>
      <c r="C69" s="1" t="n">
        <v>45645</v>
      </c>
      <c r="D69" t="inlineStr">
        <is>
          <t>STOCKHOLMS LÄN</t>
        </is>
      </c>
      <c r="E69" t="inlineStr">
        <is>
          <t>NORRTÄLJE</t>
        </is>
      </c>
      <c r="G69" t="n">
        <v>7.7</v>
      </c>
      <c r="H69" t="n">
        <v>0</v>
      </c>
      <c r="I69" t="n">
        <v>1</v>
      </c>
      <c r="J69" t="n">
        <v>3</v>
      </c>
      <c r="K69" t="n">
        <v>0</v>
      </c>
      <c r="L69" t="n">
        <v>0</v>
      </c>
      <c r="M69" t="n">
        <v>0</v>
      </c>
      <c r="N69" t="n">
        <v>0</v>
      </c>
      <c r="O69" t="n">
        <v>3</v>
      </c>
      <c r="P69" t="n">
        <v>0</v>
      </c>
      <c r="Q69" t="n">
        <v>4</v>
      </c>
      <c r="R69" s="2" t="inlineStr">
        <is>
          <t>Plattad lövvedborre
Skeppsvarvsfluga
Triplax rufipes
Dorcatoma chrysomelina</t>
        </is>
      </c>
      <c r="S69">
        <f>HYPERLINK("https://klasma.github.io/Logging_0188/artfynd/A 56785-2023 artfynd.xlsx", "A 56785-2023")</f>
        <v/>
      </c>
      <c r="T69">
        <f>HYPERLINK("https://klasma.github.io/Logging_0188/kartor/A 56785-2023 karta.png", "A 56785-2023")</f>
        <v/>
      </c>
      <c r="V69">
        <f>HYPERLINK("https://klasma.github.io/Logging_0188/klagomål/A 56785-2023 FSC-klagomål.docx", "A 56785-2023")</f>
        <v/>
      </c>
      <c r="W69">
        <f>HYPERLINK("https://klasma.github.io/Logging_0188/klagomålsmail/A 56785-2023 FSC-klagomål mail.docx", "A 56785-2023")</f>
        <v/>
      </c>
      <c r="X69">
        <f>HYPERLINK("https://klasma.github.io/Logging_0188/tillsyn/A 56785-2023 tillsynsbegäran.docx", "A 56785-2023")</f>
        <v/>
      </c>
      <c r="Y69">
        <f>HYPERLINK("https://klasma.github.io/Logging_0188/tillsynsmail/A 56785-2023 tillsynsbegäran mail.docx", "A 56785-2023")</f>
        <v/>
      </c>
    </row>
    <row r="70" ht="15" customHeight="1">
      <c r="A70" t="inlineStr">
        <is>
          <t>A 19617-2019</t>
        </is>
      </c>
      <c r="B70" s="1" t="n">
        <v>43566</v>
      </c>
      <c r="C70" s="1" t="n">
        <v>45645</v>
      </c>
      <c r="D70" t="inlineStr">
        <is>
          <t>STOCKHOLMS LÄN</t>
        </is>
      </c>
      <c r="E70" t="inlineStr">
        <is>
          <t>NORRTÄLJE</t>
        </is>
      </c>
      <c r="G70" t="n">
        <v>16.1</v>
      </c>
      <c r="H70" t="n">
        <v>2</v>
      </c>
      <c r="I70" t="n">
        <v>1</v>
      </c>
      <c r="J70" t="n">
        <v>1</v>
      </c>
      <c r="K70" t="n">
        <v>0</v>
      </c>
      <c r="L70" t="n">
        <v>0</v>
      </c>
      <c r="M70" t="n">
        <v>0</v>
      </c>
      <c r="N70" t="n">
        <v>0</v>
      </c>
      <c r="O70" t="n">
        <v>1</v>
      </c>
      <c r="P70" t="n">
        <v>0</v>
      </c>
      <c r="Q70" t="n">
        <v>3</v>
      </c>
      <c r="R70" s="2" t="inlineStr">
        <is>
          <t>Havsörn
Myskbock
Blåsippa</t>
        </is>
      </c>
      <c r="S70">
        <f>HYPERLINK("https://klasma.github.io/Logging_0188/artfynd/A 19617-2019 artfynd.xlsx", "A 19617-2019")</f>
        <v/>
      </c>
      <c r="T70">
        <f>HYPERLINK("https://klasma.github.io/Logging_0188/kartor/A 19617-2019 karta.png", "A 19617-2019")</f>
        <v/>
      </c>
      <c r="V70">
        <f>HYPERLINK("https://klasma.github.io/Logging_0188/klagomål/A 19617-2019 FSC-klagomål.docx", "A 19617-2019")</f>
        <v/>
      </c>
      <c r="W70">
        <f>HYPERLINK("https://klasma.github.io/Logging_0188/klagomålsmail/A 19617-2019 FSC-klagomål mail.docx", "A 19617-2019")</f>
        <v/>
      </c>
      <c r="X70">
        <f>HYPERLINK("https://klasma.github.io/Logging_0188/tillsyn/A 19617-2019 tillsynsbegäran.docx", "A 19617-2019")</f>
        <v/>
      </c>
      <c r="Y70">
        <f>HYPERLINK("https://klasma.github.io/Logging_0188/tillsynsmail/A 19617-2019 tillsynsbegäran mail.docx", "A 19617-2019")</f>
        <v/>
      </c>
      <c r="Z70">
        <f>HYPERLINK("https://klasma.github.io/Logging_0188/fåglar/A 19617-2019 prioriterade fågelarter.docx", "A 19617-2019")</f>
        <v/>
      </c>
    </row>
    <row r="71" ht="15" customHeight="1">
      <c r="A71" t="inlineStr">
        <is>
          <t>A 28495-2020</t>
        </is>
      </c>
      <c r="B71" s="1" t="n">
        <v>43999</v>
      </c>
      <c r="C71" s="1" t="n">
        <v>45645</v>
      </c>
      <c r="D71" t="inlineStr">
        <is>
          <t>STOCKHOLMS LÄN</t>
        </is>
      </c>
      <c r="E71" t="inlineStr">
        <is>
          <t>NORRTÄLJE</t>
        </is>
      </c>
      <c r="G71" t="n">
        <v>0.5</v>
      </c>
      <c r="H71" t="n">
        <v>1</v>
      </c>
      <c r="I71" t="n">
        <v>0</v>
      </c>
      <c r="J71" t="n">
        <v>2</v>
      </c>
      <c r="K71" t="n">
        <v>0</v>
      </c>
      <c r="L71" t="n">
        <v>0</v>
      </c>
      <c r="M71" t="n">
        <v>0</v>
      </c>
      <c r="N71" t="n">
        <v>0</v>
      </c>
      <c r="O71" t="n">
        <v>2</v>
      </c>
      <c r="P71" t="n">
        <v>0</v>
      </c>
      <c r="Q71" t="n">
        <v>3</v>
      </c>
      <c r="R71" s="2" t="inlineStr">
        <is>
          <t>Backklöver
Slåtterfibbla
Grönvit nattviol</t>
        </is>
      </c>
      <c r="S71">
        <f>HYPERLINK("https://klasma.github.io/Logging_0188/artfynd/A 28495-2020 artfynd.xlsx", "A 28495-2020")</f>
        <v/>
      </c>
      <c r="T71">
        <f>HYPERLINK("https://klasma.github.io/Logging_0188/kartor/A 28495-2020 karta.png", "A 28495-2020")</f>
        <v/>
      </c>
      <c r="V71">
        <f>HYPERLINK("https://klasma.github.io/Logging_0188/klagomål/A 28495-2020 FSC-klagomål.docx", "A 28495-2020")</f>
        <v/>
      </c>
      <c r="W71">
        <f>HYPERLINK("https://klasma.github.io/Logging_0188/klagomålsmail/A 28495-2020 FSC-klagomål mail.docx", "A 28495-2020")</f>
        <v/>
      </c>
      <c r="X71">
        <f>HYPERLINK("https://klasma.github.io/Logging_0188/tillsyn/A 28495-2020 tillsynsbegäran.docx", "A 28495-2020")</f>
        <v/>
      </c>
      <c r="Y71">
        <f>HYPERLINK("https://klasma.github.io/Logging_0188/tillsynsmail/A 28495-2020 tillsynsbegäran mail.docx", "A 28495-2020")</f>
        <v/>
      </c>
    </row>
    <row r="72" ht="15" customHeight="1">
      <c r="A72" t="inlineStr">
        <is>
          <t>A 14560-2021</t>
        </is>
      </c>
      <c r="B72" s="1" t="n">
        <v>44279</v>
      </c>
      <c r="C72" s="1" t="n">
        <v>45645</v>
      </c>
      <c r="D72" t="inlineStr">
        <is>
          <t>STOCKHOLMS LÄN</t>
        </is>
      </c>
      <c r="E72" t="inlineStr">
        <is>
          <t>NORRTÄLJE</t>
        </is>
      </c>
      <c r="G72" t="n">
        <v>1.8</v>
      </c>
      <c r="H72" t="n">
        <v>0</v>
      </c>
      <c r="I72" t="n">
        <v>2</v>
      </c>
      <c r="J72" t="n">
        <v>1</v>
      </c>
      <c r="K72" t="n">
        <v>0</v>
      </c>
      <c r="L72" t="n">
        <v>0</v>
      </c>
      <c r="M72" t="n">
        <v>0</v>
      </c>
      <c r="N72" t="n">
        <v>0</v>
      </c>
      <c r="O72" t="n">
        <v>1</v>
      </c>
      <c r="P72" t="n">
        <v>0</v>
      </c>
      <c r="Q72" t="n">
        <v>3</v>
      </c>
      <c r="R72" s="2" t="inlineStr">
        <is>
          <t>Vit vedfingersvamp
Stor aspticka
Vedticka</t>
        </is>
      </c>
      <c r="S72">
        <f>HYPERLINK("https://klasma.github.io/Logging_0188/artfynd/A 14560-2021 artfynd.xlsx", "A 14560-2021")</f>
        <v/>
      </c>
      <c r="T72">
        <f>HYPERLINK("https://klasma.github.io/Logging_0188/kartor/A 14560-2021 karta.png", "A 14560-2021")</f>
        <v/>
      </c>
      <c r="V72">
        <f>HYPERLINK("https://klasma.github.io/Logging_0188/klagomål/A 14560-2021 FSC-klagomål.docx", "A 14560-2021")</f>
        <v/>
      </c>
      <c r="W72">
        <f>HYPERLINK("https://klasma.github.io/Logging_0188/klagomålsmail/A 14560-2021 FSC-klagomål mail.docx", "A 14560-2021")</f>
        <v/>
      </c>
      <c r="X72">
        <f>HYPERLINK("https://klasma.github.io/Logging_0188/tillsyn/A 14560-2021 tillsynsbegäran.docx", "A 14560-2021")</f>
        <v/>
      </c>
      <c r="Y72">
        <f>HYPERLINK("https://klasma.github.io/Logging_0188/tillsynsmail/A 14560-2021 tillsynsbegäran mail.docx", "A 14560-2021")</f>
        <v/>
      </c>
    </row>
    <row r="73" ht="15" customHeight="1">
      <c r="A73" t="inlineStr">
        <is>
          <t>A 17673-2021</t>
        </is>
      </c>
      <c r="B73" s="1" t="n">
        <v>44300</v>
      </c>
      <c r="C73" s="1" t="n">
        <v>45645</v>
      </c>
      <c r="D73" t="inlineStr">
        <is>
          <t>STOCKHOLMS LÄN</t>
        </is>
      </c>
      <c r="E73" t="inlineStr">
        <is>
          <t>NORRTÄLJE</t>
        </is>
      </c>
      <c r="G73" t="n">
        <v>10.4</v>
      </c>
      <c r="H73" t="n">
        <v>3</v>
      </c>
      <c r="I73" t="n">
        <v>0</v>
      </c>
      <c r="J73" t="n">
        <v>2</v>
      </c>
      <c r="K73" t="n">
        <v>0</v>
      </c>
      <c r="L73" t="n">
        <v>0</v>
      </c>
      <c r="M73" t="n">
        <v>0</v>
      </c>
      <c r="N73" t="n">
        <v>0</v>
      </c>
      <c r="O73" t="n">
        <v>2</v>
      </c>
      <c r="P73" t="n">
        <v>0</v>
      </c>
      <c r="Q73" t="n">
        <v>3</v>
      </c>
      <c r="R73" s="2" t="inlineStr">
        <is>
          <t>Grönsångare
Havsörn
Blåsippa</t>
        </is>
      </c>
      <c r="S73">
        <f>HYPERLINK("https://klasma.github.io/Logging_0188/artfynd/A 17673-2021 artfynd.xlsx", "A 17673-2021")</f>
        <v/>
      </c>
      <c r="T73">
        <f>HYPERLINK("https://klasma.github.io/Logging_0188/kartor/A 17673-2021 karta.png", "A 17673-2021")</f>
        <v/>
      </c>
      <c r="V73">
        <f>HYPERLINK("https://klasma.github.io/Logging_0188/klagomål/A 17673-2021 FSC-klagomål.docx", "A 17673-2021")</f>
        <v/>
      </c>
      <c r="W73">
        <f>HYPERLINK("https://klasma.github.io/Logging_0188/klagomålsmail/A 17673-2021 FSC-klagomål mail.docx", "A 17673-2021")</f>
        <v/>
      </c>
      <c r="X73">
        <f>HYPERLINK("https://klasma.github.io/Logging_0188/tillsyn/A 17673-2021 tillsynsbegäran.docx", "A 17673-2021")</f>
        <v/>
      </c>
      <c r="Y73">
        <f>HYPERLINK("https://klasma.github.io/Logging_0188/tillsynsmail/A 17673-2021 tillsynsbegäran mail.docx", "A 17673-2021")</f>
        <v/>
      </c>
      <c r="Z73">
        <f>HYPERLINK("https://klasma.github.io/Logging_0188/fåglar/A 17673-2021 prioriterade fågelarter.docx", "A 17673-2021")</f>
        <v/>
      </c>
    </row>
    <row r="74" ht="15" customHeight="1">
      <c r="A74" t="inlineStr">
        <is>
          <t>A 65629-2021</t>
        </is>
      </c>
      <c r="B74" s="1" t="n">
        <v>44516</v>
      </c>
      <c r="C74" s="1" t="n">
        <v>45645</v>
      </c>
      <c r="D74" t="inlineStr">
        <is>
          <t>STOCKHOLMS LÄN</t>
        </is>
      </c>
      <c r="E74" t="inlineStr">
        <is>
          <t>NORRTÄLJE</t>
        </is>
      </c>
      <c r="G74" t="n">
        <v>3</v>
      </c>
      <c r="H74" t="n">
        <v>0</v>
      </c>
      <c r="I74" t="n">
        <v>1</v>
      </c>
      <c r="J74" t="n">
        <v>2</v>
      </c>
      <c r="K74" t="n">
        <v>0</v>
      </c>
      <c r="L74" t="n">
        <v>0</v>
      </c>
      <c r="M74" t="n">
        <v>0</v>
      </c>
      <c r="N74" t="n">
        <v>0</v>
      </c>
      <c r="O74" t="n">
        <v>2</v>
      </c>
      <c r="P74" t="n">
        <v>0</v>
      </c>
      <c r="Q74" t="n">
        <v>3</v>
      </c>
      <c r="R74" s="2" t="inlineStr">
        <is>
          <t>Granticka
Ullticka
Granbarkgnagare</t>
        </is>
      </c>
      <c r="S74">
        <f>HYPERLINK("https://klasma.github.io/Logging_0188/artfynd/A 65629-2021 artfynd.xlsx", "A 65629-2021")</f>
        <v/>
      </c>
      <c r="T74">
        <f>HYPERLINK("https://klasma.github.io/Logging_0188/kartor/A 65629-2021 karta.png", "A 65629-2021")</f>
        <v/>
      </c>
      <c r="V74">
        <f>HYPERLINK("https://klasma.github.io/Logging_0188/klagomål/A 65629-2021 FSC-klagomål.docx", "A 65629-2021")</f>
        <v/>
      </c>
      <c r="W74">
        <f>HYPERLINK("https://klasma.github.io/Logging_0188/klagomålsmail/A 65629-2021 FSC-klagomål mail.docx", "A 65629-2021")</f>
        <v/>
      </c>
      <c r="X74">
        <f>HYPERLINK("https://klasma.github.io/Logging_0188/tillsyn/A 65629-2021 tillsynsbegäran.docx", "A 65629-2021")</f>
        <v/>
      </c>
      <c r="Y74">
        <f>HYPERLINK("https://klasma.github.io/Logging_0188/tillsynsmail/A 65629-2021 tillsynsbegäran mail.docx", "A 65629-2021")</f>
        <v/>
      </c>
    </row>
    <row r="75" ht="15" customHeight="1">
      <c r="A75" t="inlineStr">
        <is>
          <t>A 12215-2022</t>
        </is>
      </c>
      <c r="B75" s="1" t="n">
        <v>44637</v>
      </c>
      <c r="C75" s="1" t="n">
        <v>45645</v>
      </c>
      <c r="D75" t="inlineStr">
        <is>
          <t>STOCKHOLMS LÄN</t>
        </is>
      </c>
      <c r="E75" t="inlineStr">
        <is>
          <t>NORRTÄLJE</t>
        </is>
      </c>
      <c r="G75" t="n">
        <v>3.1</v>
      </c>
      <c r="H75" t="n">
        <v>3</v>
      </c>
      <c r="I75" t="n">
        <v>3</v>
      </c>
      <c r="J75" t="n">
        <v>0</v>
      </c>
      <c r="K75" t="n">
        <v>0</v>
      </c>
      <c r="L75" t="n">
        <v>0</v>
      </c>
      <c r="M75" t="n">
        <v>0</v>
      </c>
      <c r="N75" t="n">
        <v>0</v>
      </c>
      <c r="O75" t="n">
        <v>0</v>
      </c>
      <c r="P75" t="n">
        <v>0</v>
      </c>
      <c r="Q75" t="n">
        <v>3</v>
      </c>
      <c r="R75" s="2" t="inlineStr">
        <is>
          <t>Guckusko
Skogsknipprot
Tvåblad</t>
        </is>
      </c>
      <c r="S75">
        <f>HYPERLINK("https://klasma.github.io/Logging_0188/artfynd/A 12215-2022 artfynd.xlsx", "A 12215-2022")</f>
        <v/>
      </c>
      <c r="T75">
        <f>HYPERLINK("https://klasma.github.io/Logging_0188/kartor/A 12215-2022 karta.png", "A 12215-2022")</f>
        <v/>
      </c>
      <c r="V75">
        <f>HYPERLINK("https://klasma.github.io/Logging_0188/klagomål/A 12215-2022 FSC-klagomål.docx", "A 12215-2022")</f>
        <v/>
      </c>
      <c r="W75">
        <f>HYPERLINK("https://klasma.github.io/Logging_0188/klagomålsmail/A 12215-2022 FSC-klagomål mail.docx", "A 12215-2022")</f>
        <v/>
      </c>
      <c r="X75">
        <f>HYPERLINK("https://klasma.github.io/Logging_0188/tillsyn/A 12215-2022 tillsynsbegäran.docx", "A 12215-2022")</f>
        <v/>
      </c>
      <c r="Y75">
        <f>HYPERLINK("https://klasma.github.io/Logging_0188/tillsynsmail/A 12215-2022 tillsynsbegäran mail.docx", "A 12215-2022")</f>
        <v/>
      </c>
    </row>
    <row r="76" ht="15" customHeight="1">
      <c r="A76" t="inlineStr">
        <is>
          <t>A 20185-2022</t>
        </is>
      </c>
      <c r="B76" s="1" t="n">
        <v>44698</v>
      </c>
      <c r="C76" s="1" t="n">
        <v>45645</v>
      </c>
      <c r="D76" t="inlineStr">
        <is>
          <t>STOCKHOLMS LÄN</t>
        </is>
      </c>
      <c r="E76" t="inlineStr">
        <is>
          <t>NORRTÄLJE</t>
        </is>
      </c>
      <c r="G76" t="n">
        <v>8.4</v>
      </c>
      <c r="H76" t="n">
        <v>1</v>
      </c>
      <c r="I76" t="n">
        <v>2</v>
      </c>
      <c r="J76" t="n">
        <v>0</v>
      </c>
      <c r="K76" t="n">
        <v>1</v>
      </c>
      <c r="L76" t="n">
        <v>0</v>
      </c>
      <c r="M76" t="n">
        <v>0</v>
      </c>
      <c r="N76" t="n">
        <v>0</v>
      </c>
      <c r="O76" t="n">
        <v>1</v>
      </c>
      <c r="P76" t="n">
        <v>1</v>
      </c>
      <c r="Q76" t="n">
        <v>3</v>
      </c>
      <c r="R76" s="2" t="inlineStr">
        <is>
          <t>Tallbit
Gullgröppa
Vedticka</t>
        </is>
      </c>
      <c r="S76">
        <f>HYPERLINK("https://klasma.github.io/Logging_0188/artfynd/A 20185-2022 artfynd.xlsx", "A 20185-2022")</f>
        <v/>
      </c>
      <c r="T76">
        <f>HYPERLINK("https://klasma.github.io/Logging_0188/kartor/A 20185-2022 karta.png", "A 20185-2022")</f>
        <v/>
      </c>
      <c r="V76">
        <f>HYPERLINK("https://klasma.github.io/Logging_0188/klagomål/A 20185-2022 FSC-klagomål.docx", "A 20185-2022")</f>
        <v/>
      </c>
      <c r="W76">
        <f>HYPERLINK("https://klasma.github.io/Logging_0188/klagomålsmail/A 20185-2022 FSC-klagomål mail.docx", "A 20185-2022")</f>
        <v/>
      </c>
      <c r="X76">
        <f>HYPERLINK("https://klasma.github.io/Logging_0188/tillsyn/A 20185-2022 tillsynsbegäran.docx", "A 20185-2022")</f>
        <v/>
      </c>
      <c r="Y76">
        <f>HYPERLINK("https://klasma.github.io/Logging_0188/tillsynsmail/A 20185-2022 tillsynsbegäran mail.docx", "A 20185-2022")</f>
        <v/>
      </c>
      <c r="Z76">
        <f>HYPERLINK("https://klasma.github.io/Logging_0188/fåglar/A 20185-2022 prioriterade fågelarter.docx", "A 20185-2022")</f>
        <v/>
      </c>
    </row>
    <row r="77" ht="15" customHeight="1">
      <c r="A77" t="inlineStr">
        <is>
          <t>A 28836-2022</t>
        </is>
      </c>
      <c r="B77" s="1" t="n">
        <v>44749</v>
      </c>
      <c r="C77" s="1" t="n">
        <v>45645</v>
      </c>
      <c r="D77" t="inlineStr">
        <is>
          <t>STOCKHOLMS LÄN</t>
        </is>
      </c>
      <c r="E77" t="inlineStr">
        <is>
          <t>NORRTÄLJE</t>
        </is>
      </c>
      <c r="G77" t="n">
        <v>25</v>
      </c>
      <c r="H77" t="n">
        <v>2</v>
      </c>
      <c r="I77" t="n">
        <v>0</v>
      </c>
      <c r="J77" t="n">
        <v>2</v>
      </c>
      <c r="K77" t="n">
        <v>0</v>
      </c>
      <c r="L77" t="n">
        <v>0</v>
      </c>
      <c r="M77" t="n">
        <v>0</v>
      </c>
      <c r="N77" t="n">
        <v>0</v>
      </c>
      <c r="O77" t="n">
        <v>2</v>
      </c>
      <c r="P77" t="n">
        <v>0</v>
      </c>
      <c r="Q77" t="n">
        <v>3</v>
      </c>
      <c r="R77" s="2" t="inlineStr">
        <is>
          <t>Backklöver
Svartvit flugsnappare
Skogsödla</t>
        </is>
      </c>
      <c r="S77">
        <f>HYPERLINK("https://klasma.github.io/Logging_0188/artfynd/A 28836-2022 artfynd.xlsx", "A 28836-2022")</f>
        <v/>
      </c>
      <c r="T77">
        <f>HYPERLINK("https://klasma.github.io/Logging_0188/kartor/A 28836-2022 karta.png", "A 28836-2022")</f>
        <v/>
      </c>
      <c r="V77">
        <f>HYPERLINK("https://klasma.github.io/Logging_0188/klagomål/A 28836-2022 FSC-klagomål.docx", "A 28836-2022")</f>
        <v/>
      </c>
      <c r="W77">
        <f>HYPERLINK("https://klasma.github.io/Logging_0188/klagomålsmail/A 28836-2022 FSC-klagomål mail.docx", "A 28836-2022")</f>
        <v/>
      </c>
      <c r="X77">
        <f>HYPERLINK("https://klasma.github.io/Logging_0188/tillsyn/A 28836-2022 tillsynsbegäran.docx", "A 28836-2022")</f>
        <v/>
      </c>
      <c r="Y77">
        <f>HYPERLINK("https://klasma.github.io/Logging_0188/tillsynsmail/A 28836-2022 tillsynsbegäran mail.docx", "A 28836-2022")</f>
        <v/>
      </c>
      <c r="Z77">
        <f>HYPERLINK("https://klasma.github.io/Logging_0188/fåglar/A 28836-2022 prioriterade fågelarter.docx", "A 28836-2022")</f>
        <v/>
      </c>
    </row>
    <row r="78" ht="15" customHeight="1">
      <c r="A78" t="inlineStr">
        <is>
          <t>A 45113-2022</t>
        </is>
      </c>
      <c r="B78" s="1" t="n">
        <v>44843</v>
      </c>
      <c r="C78" s="1" t="n">
        <v>45645</v>
      </c>
      <c r="D78" t="inlineStr">
        <is>
          <t>STOCKHOLMS LÄN</t>
        </is>
      </c>
      <c r="E78" t="inlineStr">
        <is>
          <t>NORRTÄLJE</t>
        </is>
      </c>
      <c r="G78" t="n">
        <v>1.7</v>
      </c>
      <c r="H78" t="n">
        <v>0</v>
      </c>
      <c r="I78" t="n">
        <v>1</v>
      </c>
      <c r="J78" t="n">
        <v>1</v>
      </c>
      <c r="K78" t="n">
        <v>1</v>
      </c>
      <c r="L78" t="n">
        <v>0</v>
      </c>
      <c r="M78" t="n">
        <v>0</v>
      </c>
      <c r="N78" t="n">
        <v>0</v>
      </c>
      <c r="O78" t="n">
        <v>2</v>
      </c>
      <c r="P78" t="n">
        <v>1</v>
      </c>
      <c r="Q78" t="n">
        <v>3</v>
      </c>
      <c r="R78" s="2" t="inlineStr">
        <is>
          <t>Violett fingersvamp
Kandelabersvamp
Slät lönnlav</t>
        </is>
      </c>
      <c r="S78">
        <f>HYPERLINK("https://klasma.github.io/Logging_0188/artfynd/A 45113-2022 artfynd.xlsx", "A 45113-2022")</f>
        <v/>
      </c>
      <c r="T78">
        <f>HYPERLINK("https://klasma.github.io/Logging_0188/kartor/A 45113-2022 karta.png", "A 45113-2022")</f>
        <v/>
      </c>
      <c r="V78">
        <f>HYPERLINK("https://klasma.github.io/Logging_0188/klagomål/A 45113-2022 FSC-klagomål.docx", "A 45113-2022")</f>
        <v/>
      </c>
      <c r="W78">
        <f>HYPERLINK("https://klasma.github.io/Logging_0188/klagomålsmail/A 45113-2022 FSC-klagomål mail.docx", "A 45113-2022")</f>
        <v/>
      </c>
      <c r="X78">
        <f>HYPERLINK("https://klasma.github.io/Logging_0188/tillsyn/A 45113-2022 tillsynsbegäran.docx", "A 45113-2022")</f>
        <v/>
      </c>
      <c r="Y78">
        <f>HYPERLINK("https://klasma.github.io/Logging_0188/tillsynsmail/A 45113-2022 tillsynsbegäran mail.docx", "A 45113-2022")</f>
        <v/>
      </c>
    </row>
    <row r="79" ht="15" customHeight="1">
      <c r="A79" t="inlineStr">
        <is>
          <t>A 50618-2022</t>
        </is>
      </c>
      <c r="B79" s="1" t="n">
        <v>44866</v>
      </c>
      <c r="C79" s="1" t="n">
        <v>45645</v>
      </c>
      <c r="D79" t="inlineStr">
        <is>
          <t>STOCKHOLMS LÄN</t>
        </is>
      </c>
      <c r="E79" t="inlineStr">
        <is>
          <t>NORRTÄLJE</t>
        </is>
      </c>
      <c r="G79" t="n">
        <v>7.8</v>
      </c>
      <c r="H79" t="n">
        <v>2</v>
      </c>
      <c r="I79" t="n">
        <v>2</v>
      </c>
      <c r="J79" t="n">
        <v>0</v>
      </c>
      <c r="K79" t="n">
        <v>0</v>
      </c>
      <c r="L79" t="n">
        <v>0</v>
      </c>
      <c r="M79" t="n">
        <v>0</v>
      </c>
      <c r="N79" t="n">
        <v>0</v>
      </c>
      <c r="O79" t="n">
        <v>0</v>
      </c>
      <c r="P79" t="n">
        <v>0</v>
      </c>
      <c r="Q79" t="n">
        <v>3</v>
      </c>
      <c r="R79" s="2" t="inlineStr">
        <is>
          <t>Skogsknipprot
Vårärt
Blåsippa</t>
        </is>
      </c>
      <c r="S79">
        <f>HYPERLINK("https://klasma.github.io/Logging_0188/artfynd/A 50618-2022 artfynd.xlsx", "A 50618-2022")</f>
        <v/>
      </c>
      <c r="T79">
        <f>HYPERLINK("https://klasma.github.io/Logging_0188/kartor/A 50618-2022 karta.png", "A 50618-2022")</f>
        <v/>
      </c>
      <c r="V79">
        <f>HYPERLINK("https://klasma.github.io/Logging_0188/klagomål/A 50618-2022 FSC-klagomål.docx", "A 50618-2022")</f>
        <v/>
      </c>
      <c r="W79">
        <f>HYPERLINK("https://klasma.github.io/Logging_0188/klagomålsmail/A 50618-2022 FSC-klagomål mail.docx", "A 50618-2022")</f>
        <v/>
      </c>
      <c r="X79">
        <f>HYPERLINK("https://klasma.github.io/Logging_0188/tillsyn/A 50618-2022 tillsynsbegäran.docx", "A 50618-2022")</f>
        <v/>
      </c>
      <c r="Y79">
        <f>HYPERLINK("https://klasma.github.io/Logging_0188/tillsynsmail/A 50618-2022 tillsynsbegäran mail.docx", "A 50618-2022")</f>
        <v/>
      </c>
    </row>
    <row r="80" ht="15" customHeight="1">
      <c r="A80" t="inlineStr">
        <is>
          <t>A 2851-2023</t>
        </is>
      </c>
      <c r="B80" s="1" t="n">
        <v>44945</v>
      </c>
      <c r="C80" s="1" t="n">
        <v>45645</v>
      </c>
      <c r="D80" t="inlineStr">
        <is>
          <t>STOCKHOLMS LÄN</t>
        </is>
      </c>
      <c r="E80" t="inlineStr">
        <is>
          <t>NORRTÄLJE</t>
        </is>
      </c>
      <c r="G80" t="n">
        <v>5.8</v>
      </c>
      <c r="H80" t="n">
        <v>1</v>
      </c>
      <c r="I80" t="n">
        <v>1</v>
      </c>
      <c r="J80" t="n">
        <v>2</v>
      </c>
      <c r="K80" t="n">
        <v>0</v>
      </c>
      <c r="L80" t="n">
        <v>0</v>
      </c>
      <c r="M80" t="n">
        <v>0</v>
      </c>
      <c r="N80" t="n">
        <v>0</v>
      </c>
      <c r="O80" t="n">
        <v>2</v>
      </c>
      <c r="P80" t="n">
        <v>0</v>
      </c>
      <c r="Q80" t="n">
        <v>3</v>
      </c>
      <c r="R80" s="2" t="inlineStr">
        <is>
          <t>Gulsparv
Vedflikmossa
Terpentinmossa</t>
        </is>
      </c>
      <c r="S80">
        <f>HYPERLINK("https://klasma.github.io/Logging_0188/artfynd/A 2851-2023 artfynd.xlsx", "A 2851-2023")</f>
        <v/>
      </c>
      <c r="T80">
        <f>HYPERLINK("https://klasma.github.io/Logging_0188/kartor/A 2851-2023 karta.png", "A 2851-2023")</f>
        <v/>
      </c>
      <c r="V80">
        <f>HYPERLINK("https://klasma.github.io/Logging_0188/klagomål/A 2851-2023 FSC-klagomål.docx", "A 2851-2023")</f>
        <v/>
      </c>
      <c r="W80">
        <f>HYPERLINK("https://klasma.github.io/Logging_0188/klagomålsmail/A 2851-2023 FSC-klagomål mail.docx", "A 2851-2023")</f>
        <v/>
      </c>
      <c r="X80">
        <f>HYPERLINK("https://klasma.github.io/Logging_0188/tillsyn/A 2851-2023 tillsynsbegäran.docx", "A 2851-2023")</f>
        <v/>
      </c>
      <c r="Y80">
        <f>HYPERLINK("https://klasma.github.io/Logging_0188/tillsynsmail/A 2851-2023 tillsynsbegäran mail.docx", "A 2851-2023")</f>
        <v/>
      </c>
      <c r="Z80">
        <f>HYPERLINK("https://klasma.github.io/Logging_0188/fåglar/A 2851-2023 prioriterade fågelarter.docx", "A 2851-2023")</f>
        <v/>
      </c>
    </row>
    <row r="81" ht="15" customHeight="1">
      <c r="A81" t="inlineStr">
        <is>
          <t>A 17916-2023</t>
        </is>
      </c>
      <c r="B81" s="1" t="n">
        <v>45040</v>
      </c>
      <c r="C81" s="1" t="n">
        <v>45645</v>
      </c>
      <c r="D81" t="inlineStr">
        <is>
          <t>STOCKHOLMS LÄN</t>
        </is>
      </c>
      <c r="E81" t="inlineStr">
        <is>
          <t>NORRTÄLJE</t>
        </is>
      </c>
      <c r="G81" t="n">
        <v>9.1</v>
      </c>
      <c r="H81" t="n">
        <v>1</v>
      </c>
      <c r="I81" t="n">
        <v>2</v>
      </c>
      <c r="J81" t="n">
        <v>0</v>
      </c>
      <c r="K81" t="n">
        <v>0</v>
      </c>
      <c r="L81" t="n">
        <v>0</v>
      </c>
      <c r="M81" t="n">
        <v>0</v>
      </c>
      <c r="N81" t="n">
        <v>0</v>
      </c>
      <c r="O81" t="n">
        <v>0</v>
      </c>
      <c r="P81" t="n">
        <v>0</v>
      </c>
      <c r="Q81" t="n">
        <v>3</v>
      </c>
      <c r="R81" s="2" t="inlineStr">
        <is>
          <t>Skarp dropptaggsvamp
Sårläka
Blåsippa</t>
        </is>
      </c>
      <c r="S81">
        <f>HYPERLINK("https://klasma.github.io/Logging_0188/artfynd/A 17916-2023 artfynd.xlsx", "A 17916-2023")</f>
        <v/>
      </c>
      <c r="T81">
        <f>HYPERLINK("https://klasma.github.io/Logging_0188/kartor/A 17916-2023 karta.png", "A 17916-2023")</f>
        <v/>
      </c>
      <c r="V81">
        <f>HYPERLINK("https://klasma.github.io/Logging_0188/klagomål/A 17916-2023 FSC-klagomål.docx", "A 17916-2023")</f>
        <v/>
      </c>
      <c r="W81">
        <f>HYPERLINK("https://klasma.github.io/Logging_0188/klagomålsmail/A 17916-2023 FSC-klagomål mail.docx", "A 17916-2023")</f>
        <v/>
      </c>
      <c r="X81">
        <f>HYPERLINK("https://klasma.github.io/Logging_0188/tillsyn/A 17916-2023 tillsynsbegäran.docx", "A 17916-2023")</f>
        <v/>
      </c>
      <c r="Y81">
        <f>HYPERLINK("https://klasma.github.io/Logging_0188/tillsynsmail/A 17916-2023 tillsynsbegäran mail.docx", "A 17916-2023")</f>
        <v/>
      </c>
    </row>
    <row r="82" ht="15" customHeight="1">
      <c r="A82" t="inlineStr">
        <is>
          <t>A 36662-2023</t>
        </is>
      </c>
      <c r="B82" s="1" t="n">
        <v>45153</v>
      </c>
      <c r="C82" s="1" t="n">
        <v>45645</v>
      </c>
      <c r="D82" t="inlineStr">
        <is>
          <t>STOCKHOLMS LÄN</t>
        </is>
      </c>
      <c r="E82" t="inlineStr">
        <is>
          <t>NORRTÄLJE</t>
        </is>
      </c>
      <c r="G82" t="n">
        <v>3.1</v>
      </c>
      <c r="H82" t="n">
        <v>1</v>
      </c>
      <c r="I82" t="n">
        <v>2</v>
      </c>
      <c r="J82" t="n">
        <v>1</v>
      </c>
      <c r="K82" t="n">
        <v>0</v>
      </c>
      <c r="L82" t="n">
        <v>0</v>
      </c>
      <c r="M82" t="n">
        <v>0</v>
      </c>
      <c r="N82" t="n">
        <v>0</v>
      </c>
      <c r="O82" t="n">
        <v>1</v>
      </c>
      <c r="P82" t="n">
        <v>0</v>
      </c>
      <c r="Q82" t="n">
        <v>3</v>
      </c>
      <c r="R82" s="2" t="inlineStr">
        <is>
          <t>Svartvit taggsvamp
Skogsknipprot
Svavelriska</t>
        </is>
      </c>
      <c r="S82">
        <f>HYPERLINK("https://klasma.github.io/Logging_0188/artfynd/A 36662-2023 artfynd.xlsx", "A 36662-2023")</f>
        <v/>
      </c>
      <c r="T82">
        <f>HYPERLINK("https://klasma.github.io/Logging_0188/kartor/A 36662-2023 karta.png", "A 36662-2023")</f>
        <v/>
      </c>
      <c r="V82">
        <f>HYPERLINK("https://klasma.github.io/Logging_0188/klagomål/A 36662-2023 FSC-klagomål.docx", "A 36662-2023")</f>
        <v/>
      </c>
      <c r="W82">
        <f>HYPERLINK("https://klasma.github.io/Logging_0188/klagomålsmail/A 36662-2023 FSC-klagomål mail.docx", "A 36662-2023")</f>
        <v/>
      </c>
      <c r="X82">
        <f>HYPERLINK("https://klasma.github.io/Logging_0188/tillsyn/A 36662-2023 tillsynsbegäran.docx", "A 36662-2023")</f>
        <v/>
      </c>
      <c r="Y82">
        <f>HYPERLINK("https://klasma.github.io/Logging_0188/tillsynsmail/A 36662-2023 tillsynsbegäran mail.docx", "A 36662-2023")</f>
        <v/>
      </c>
    </row>
    <row r="83" ht="15" customHeight="1">
      <c r="A83" t="inlineStr">
        <is>
          <t>A 43304-2023</t>
        </is>
      </c>
      <c r="B83" s="1" t="n">
        <v>45183</v>
      </c>
      <c r="C83" s="1" t="n">
        <v>45645</v>
      </c>
      <c r="D83" t="inlineStr">
        <is>
          <t>STOCKHOLMS LÄN</t>
        </is>
      </c>
      <c r="E83" t="inlineStr">
        <is>
          <t>NORRTÄLJE</t>
        </is>
      </c>
      <c r="G83" t="n">
        <v>1.5</v>
      </c>
      <c r="H83" t="n">
        <v>0</v>
      </c>
      <c r="I83" t="n">
        <v>0</v>
      </c>
      <c r="J83" t="n">
        <v>2</v>
      </c>
      <c r="K83" t="n">
        <v>1</v>
      </c>
      <c r="L83" t="n">
        <v>0</v>
      </c>
      <c r="M83" t="n">
        <v>0</v>
      </c>
      <c r="N83" t="n">
        <v>0</v>
      </c>
      <c r="O83" t="n">
        <v>3</v>
      </c>
      <c r="P83" t="n">
        <v>1</v>
      </c>
      <c r="Q83" t="n">
        <v>3</v>
      </c>
      <c r="R83" s="2" t="inlineStr">
        <is>
          <t>Spricktaggsvamp
Kungsspindling
Persiljespindling</t>
        </is>
      </c>
      <c r="S83">
        <f>HYPERLINK("https://klasma.github.io/Logging_0188/artfynd/A 43304-2023 artfynd.xlsx", "A 43304-2023")</f>
        <v/>
      </c>
      <c r="T83">
        <f>HYPERLINK("https://klasma.github.io/Logging_0188/kartor/A 43304-2023 karta.png", "A 43304-2023")</f>
        <v/>
      </c>
      <c r="V83">
        <f>HYPERLINK("https://klasma.github.io/Logging_0188/klagomål/A 43304-2023 FSC-klagomål.docx", "A 43304-2023")</f>
        <v/>
      </c>
      <c r="W83">
        <f>HYPERLINK("https://klasma.github.io/Logging_0188/klagomålsmail/A 43304-2023 FSC-klagomål mail.docx", "A 43304-2023")</f>
        <v/>
      </c>
      <c r="X83">
        <f>HYPERLINK("https://klasma.github.io/Logging_0188/tillsyn/A 43304-2023 tillsynsbegäran.docx", "A 43304-2023")</f>
        <v/>
      </c>
      <c r="Y83">
        <f>HYPERLINK("https://klasma.github.io/Logging_0188/tillsynsmail/A 43304-2023 tillsynsbegäran mail.docx", "A 43304-2023")</f>
        <v/>
      </c>
    </row>
    <row r="84" ht="15" customHeight="1">
      <c r="A84" t="inlineStr">
        <is>
          <t>A 52011-2023</t>
        </is>
      </c>
      <c r="B84" s="1" t="n">
        <v>45223</v>
      </c>
      <c r="C84" s="1" t="n">
        <v>45645</v>
      </c>
      <c r="D84" t="inlineStr">
        <is>
          <t>STOCKHOLMS LÄN</t>
        </is>
      </c>
      <c r="E84" t="inlineStr">
        <is>
          <t>NORRTÄLJE</t>
        </is>
      </c>
      <c r="F84" t="inlineStr">
        <is>
          <t>Övriga Aktiebolag</t>
        </is>
      </c>
      <c r="G84" t="n">
        <v>16.6</v>
      </c>
      <c r="H84" t="n">
        <v>0</v>
      </c>
      <c r="I84" t="n">
        <v>2</v>
      </c>
      <c r="J84" t="n">
        <v>1</v>
      </c>
      <c r="K84" t="n">
        <v>0</v>
      </c>
      <c r="L84" t="n">
        <v>0</v>
      </c>
      <c r="M84" t="n">
        <v>0</v>
      </c>
      <c r="N84" t="n">
        <v>0</v>
      </c>
      <c r="O84" t="n">
        <v>1</v>
      </c>
      <c r="P84" t="n">
        <v>0</v>
      </c>
      <c r="Q84" t="n">
        <v>3</v>
      </c>
      <c r="R84" s="2" t="inlineStr">
        <is>
          <t>Vedtrappmossa
Mörk husmossa
Skogshakmossa</t>
        </is>
      </c>
      <c r="S84">
        <f>HYPERLINK("https://klasma.github.io/Logging_0188/artfynd/A 52011-2023 artfynd.xlsx", "A 52011-2023")</f>
        <v/>
      </c>
      <c r="T84">
        <f>HYPERLINK("https://klasma.github.io/Logging_0188/kartor/A 52011-2023 karta.png", "A 52011-2023")</f>
        <v/>
      </c>
      <c r="V84">
        <f>HYPERLINK("https://klasma.github.io/Logging_0188/klagomål/A 52011-2023 FSC-klagomål.docx", "A 52011-2023")</f>
        <v/>
      </c>
      <c r="W84">
        <f>HYPERLINK("https://klasma.github.io/Logging_0188/klagomålsmail/A 52011-2023 FSC-klagomål mail.docx", "A 52011-2023")</f>
        <v/>
      </c>
      <c r="X84">
        <f>HYPERLINK("https://klasma.github.io/Logging_0188/tillsyn/A 52011-2023 tillsynsbegäran.docx", "A 52011-2023")</f>
        <v/>
      </c>
      <c r="Y84">
        <f>HYPERLINK("https://klasma.github.io/Logging_0188/tillsynsmail/A 52011-2023 tillsynsbegäran mail.docx", "A 52011-2023")</f>
        <v/>
      </c>
    </row>
    <row r="85" ht="15" customHeight="1">
      <c r="A85" t="inlineStr">
        <is>
          <t>A 53065-2024</t>
        </is>
      </c>
      <c r="B85" s="1" t="n">
        <v>45611</v>
      </c>
      <c r="C85" s="1" t="n">
        <v>45645</v>
      </c>
      <c r="D85" t="inlineStr">
        <is>
          <t>STOCKHOLMS LÄN</t>
        </is>
      </c>
      <c r="E85" t="inlineStr">
        <is>
          <t>NORRTÄLJE</t>
        </is>
      </c>
      <c r="G85" t="n">
        <v>12.3</v>
      </c>
      <c r="H85" t="n">
        <v>0</v>
      </c>
      <c r="I85" t="n">
        <v>1</v>
      </c>
      <c r="J85" t="n">
        <v>1</v>
      </c>
      <c r="K85" t="n">
        <v>1</v>
      </c>
      <c r="L85" t="n">
        <v>0</v>
      </c>
      <c r="M85" t="n">
        <v>0</v>
      </c>
      <c r="N85" t="n">
        <v>0</v>
      </c>
      <c r="O85" t="n">
        <v>2</v>
      </c>
      <c r="P85" t="n">
        <v>1</v>
      </c>
      <c r="Q85" t="n">
        <v>3</v>
      </c>
      <c r="R85" s="2" t="inlineStr">
        <is>
          <t>Aspsplintbock
Grön aspvedbock
Gulröd blankbock</t>
        </is>
      </c>
      <c r="S85">
        <f>HYPERLINK("https://klasma.github.io/Logging_0188/artfynd/A 53065-2024 artfynd.xlsx", "A 53065-2024")</f>
        <v/>
      </c>
      <c r="T85">
        <f>HYPERLINK("https://klasma.github.io/Logging_0188/kartor/A 53065-2024 karta.png", "A 53065-2024")</f>
        <v/>
      </c>
      <c r="V85">
        <f>HYPERLINK("https://klasma.github.io/Logging_0188/klagomål/A 53065-2024 FSC-klagomål.docx", "A 53065-2024")</f>
        <v/>
      </c>
      <c r="W85">
        <f>HYPERLINK("https://klasma.github.io/Logging_0188/klagomålsmail/A 53065-2024 FSC-klagomål mail.docx", "A 53065-2024")</f>
        <v/>
      </c>
      <c r="X85">
        <f>HYPERLINK("https://klasma.github.io/Logging_0188/tillsyn/A 53065-2024 tillsynsbegäran.docx", "A 53065-2024")</f>
        <v/>
      </c>
      <c r="Y85">
        <f>HYPERLINK("https://klasma.github.io/Logging_0188/tillsynsmail/A 53065-2024 tillsynsbegäran mail.docx", "A 53065-2024")</f>
        <v/>
      </c>
    </row>
    <row r="86" ht="15" customHeight="1">
      <c r="A86" t="inlineStr">
        <is>
          <t>A 54110-2024</t>
        </is>
      </c>
      <c r="B86" s="1" t="n">
        <v>45616</v>
      </c>
      <c r="C86" s="1" t="n">
        <v>45645</v>
      </c>
      <c r="D86" t="inlineStr">
        <is>
          <t>STOCKHOLMS LÄN</t>
        </is>
      </c>
      <c r="E86" t="inlineStr">
        <is>
          <t>NORRTÄLJE</t>
        </is>
      </c>
      <c r="G86" t="n">
        <v>6.7</v>
      </c>
      <c r="H86" t="n">
        <v>2</v>
      </c>
      <c r="I86" t="n">
        <v>0</v>
      </c>
      <c r="J86" t="n">
        <v>1</v>
      </c>
      <c r="K86" t="n">
        <v>0</v>
      </c>
      <c r="L86" t="n">
        <v>0</v>
      </c>
      <c r="M86" t="n">
        <v>0</v>
      </c>
      <c r="N86" t="n">
        <v>0</v>
      </c>
      <c r="O86" t="n">
        <v>1</v>
      </c>
      <c r="P86" t="n">
        <v>0</v>
      </c>
      <c r="Q86" t="n">
        <v>3</v>
      </c>
      <c r="R86" s="2" t="inlineStr">
        <is>
          <t>Klasefibbla
Nattviol
Gullviva</t>
        </is>
      </c>
      <c r="S86">
        <f>HYPERLINK("https://klasma.github.io/Logging_0188/artfynd/A 54110-2024 artfynd.xlsx", "A 54110-2024")</f>
        <v/>
      </c>
      <c r="T86">
        <f>HYPERLINK("https://klasma.github.io/Logging_0188/kartor/A 54110-2024 karta.png", "A 54110-2024")</f>
        <v/>
      </c>
      <c r="V86">
        <f>HYPERLINK("https://klasma.github.io/Logging_0188/klagomål/A 54110-2024 FSC-klagomål.docx", "A 54110-2024")</f>
        <v/>
      </c>
      <c r="W86">
        <f>HYPERLINK("https://klasma.github.io/Logging_0188/klagomålsmail/A 54110-2024 FSC-klagomål mail.docx", "A 54110-2024")</f>
        <v/>
      </c>
      <c r="X86">
        <f>HYPERLINK("https://klasma.github.io/Logging_0188/tillsyn/A 54110-2024 tillsynsbegäran.docx", "A 54110-2024")</f>
        <v/>
      </c>
      <c r="Y86">
        <f>HYPERLINK("https://klasma.github.io/Logging_0188/tillsynsmail/A 54110-2024 tillsynsbegäran mail.docx", "A 54110-2024")</f>
        <v/>
      </c>
    </row>
    <row r="87" ht="15" customHeight="1">
      <c r="A87" t="inlineStr">
        <is>
          <t>A 23830-2019</t>
        </is>
      </c>
      <c r="B87" s="1" t="n">
        <v>43595</v>
      </c>
      <c r="C87" s="1" t="n">
        <v>45645</v>
      </c>
      <c r="D87" t="inlineStr">
        <is>
          <t>STOCKHOLMS LÄN</t>
        </is>
      </c>
      <c r="E87" t="inlineStr">
        <is>
          <t>NORRTÄLJE</t>
        </is>
      </c>
      <c r="G87" t="n">
        <v>3</v>
      </c>
      <c r="H87" t="n">
        <v>2</v>
      </c>
      <c r="I87" t="n">
        <v>1</v>
      </c>
      <c r="J87" t="n">
        <v>0</v>
      </c>
      <c r="K87" t="n">
        <v>0</v>
      </c>
      <c r="L87" t="n">
        <v>0</v>
      </c>
      <c r="M87" t="n">
        <v>0</v>
      </c>
      <c r="N87" t="n">
        <v>0</v>
      </c>
      <c r="O87" t="n">
        <v>0</v>
      </c>
      <c r="P87" t="n">
        <v>0</v>
      </c>
      <c r="Q87" t="n">
        <v>2</v>
      </c>
      <c r="R87" s="2" t="inlineStr">
        <is>
          <t>Guckusko
Grönvit nattviol</t>
        </is>
      </c>
      <c r="S87">
        <f>HYPERLINK("https://klasma.github.io/Logging_0188/artfynd/A 23830-2019 artfynd.xlsx", "A 23830-2019")</f>
        <v/>
      </c>
      <c r="T87">
        <f>HYPERLINK("https://klasma.github.io/Logging_0188/kartor/A 23830-2019 karta.png", "A 23830-2019")</f>
        <v/>
      </c>
      <c r="V87">
        <f>HYPERLINK("https://klasma.github.io/Logging_0188/klagomål/A 23830-2019 FSC-klagomål.docx", "A 23830-2019")</f>
        <v/>
      </c>
      <c r="W87">
        <f>HYPERLINK("https://klasma.github.io/Logging_0188/klagomålsmail/A 23830-2019 FSC-klagomål mail.docx", "A 23830-2019")</f>
        <v/>
      </c>
      <c r="X87">
        <f>HYPERLINK("https://klasma.github.io/Logging_0188/tillsyn/A 23830-2019 tillsynsbegäran.docx", "A 23830-2019")</f>
        <v/>
      </c>
      <c r="Y87">
        <f>HYPERLINK("https://klasma.github.io/Logging_0188/tillsynsmail/A 23830-2019 tillsynsbegäran mail.docx", "A 23830-2019")</f>
        <v/>
      </c>
    </row>
    <row r="88" ht="15" customHeight="1">
      <c r="A88" t="inlineStr">
        <is>
          <t>A 47875-2019</t>
        </is>
      </c>
      <c r="B88" s="1" t="n">
        <v>43725</v>
      </c>
      <c r="C88" s="1" t="n">
        <v>45645</v>
      </c>
      <c r="D88" t="inlineStr">
        <is>
          <t>STOCKHOLMS LÄN</t>
        </is>
      </c>
      <c r="E88" t="inlineStr">
        <is>
          <t>NORRTÄLJE</t>
        </is>
      </c>
      <c r="G88" t="n">
        <v>10.9</v>
      </c>
      <c r="H88" t="n">
        <v>1</v>
      </c>
      <c r="I88" t="n">
        <v>0</v>
      </c>
      <c r="J88" t="n">
        <v>1</v>
      </c>
      <c r="K88" t="n">
        <v>0</v>
      </c>
      <c r="L88" t="n">
        <v>0</v>
      </c>
      <c r="M88" t="n">
        <v>0</v>
      </c>
      <c r="N88" t="n">
        <v>0</v>
      </c>
      <c r="O88" t="n">
        <v>1</v>
      </c>
      <c r="P88" t="n">
        <v>0</v>
      </c>
      <c r="Q88" t="n">
        <v>2</v>
      </c>
      <c r="R88" s="2" t="inlineStr">
        <is>
          <t>Vippärt
Mattlummer</t>
        </is>
      </c>
      <c r="S88">
        <f>HYPERLINK("https://klasma.github.io/Logging_0188/artfynd/A 47875-2019 artfynd.xlsx", "A 47875-2019")</f>
        <v/>
      </c>
      <c r="T88">
        <f>HYPERLINK("https://klasma.github.io/Logging_0188/kartor/A 47875-2019 karta.png", "A 47875-2019")</f>
        <v/>
      </c>
      <c r="V88">
        <f>HYPERLINK("https://klasma.github.io/Logging_0188/klagomål/A 47875-2019 FSC-klagomål.docx", "A 47875-2019")</f>
        <v/>
      </c>
      <c r="W88">
        <f>HYPERLINK("https://klasma.github.io/Logging_0188/klagomålsmail/A 47875-2019 FSC-klagomål mail.docx", "A 47875-2019")</f>
        <v/>
      </c>
      <c r="X88">
        <f>HYPERLINK("https://klasma.github.io/Logging_0188/tillsyn/A 47875-2019 tillsynsbegäran.docx", "A 47875-2019")</f>
        <v/>
      </c>
      <c r="Y88">
        <f>HYPERLINK("https://klasma.github.io/Logging_0188/tillsynsmail/A 47875-2019 tillsynsbegäran mail.docx", "A 47875-2019")</f>
        <v/>
      </c>
    </row>
    <row r="89" ht="15" customHeight="1">
      <c r="A89" t="inlineStr">
        <is>
          <t>A 2810-2020</t>
        </is>
      </c>
      <c r="B89" s="1" t="n">
        <v>43850</v>
      </c>
      <c r="C89" s="1" t="n">
        <v>45645</v>
      </c>
      <c r="D89" t="inlineStr">
        <is>
          <t>STOCKHOLMS LÄN</t>
        </is>
      </c>
      <c r="E89" t="inlineStr">
        <is>
          <t>NORRTÄLJE</t>
        </is>
      </c>
      <c r="G89" t="n">
        <v>0.9</v>
      </c>
      <c r="H89" t="n">
        <v>1</v>
      </c>
      <c r="I89" t="n">
        <v>1</v>
      </c>
      <c r="J89" t="n">
        <v>0</v>
      </c>
      <c r="K89" t="n">
        <v>1</v>
      </c>
      <c r="L89" t="n">
        <v>0</v>
      </c>
      <c r="M89" t="n">
        <v>0</v>
      </c>
      <c r="N89" t="n">
        <v>0</v>
      </c>
      <c r="O89" t="n">
        <v>1</v>
      </c>
      <c r="P89" t="n">
        <v>1</v>
      </c>
      <c r="Q89" t="n">
        <v>2</v>
      </c>
      <c r="R89" s="2" t="inlineStr">
        <is>
          <t>Knärot
Grönpyrola</t>
        </is>
      </c>
      <c r="S89">
        <f>HYPERLINK("https://klasma.github.io/Logging_0188/artfynd/A 2810-2020 artfynd.xlsx", "A 2810-2020")</f>
        <v/>
      </c>
      <c r="T89">
        <f>HYPERLINK("https://klasma.github.io/Logging_0188/kartor/A 2810-2020 karta.png", "A 2810-2020")</f>
        <v/>
      </c>
      <c r="U89">
        <f>HYPERLINK("https://klasma.github.io/Logging_0188/knärot/A 2810-2020 karta knärot.png", "A 2810-2020")</f>
        <v/>
      </c>
      <c r="V89">
        <f>HYPERLINK("https://klasma.github.io/Logging_0188/klagomål/A 2810-2020 FSC-klagomål.docx", "A 2810-2020")</f>
        <v/>
      </c>
      <c r="W89">
        <f>HYPERLINK("https://klasma.github.io/Logging_0188/klagomålsmail/A 2810-2020 FSC-klagomål mail.docx", "A 2810-2020")</f>
        <v/>
      </c>
      <c r="X89">
        <f>HYPERLINK("https://klasma.github.io/Logging_0188/tillsyn/A 2810-2020 tillsynsbegäran.docx", "A 2810-2020")</f>
        <v/>
      </c>
      <c r="Y89">
        <f>HYPERLINK("https://klasma.github.io/Logging_0188/tillsynsmail/A 2810-2020 tillsynsbegäran mail.docx", "A 2810-2020")</f>
        <v/>
      </c>
    </row>
    <row r="90" ht="15" customHeight="1">
      <c r="A90" t="inlineStr">
        <is>
          <t>A 6272-2020</t>
        </is>
      </c>
      <c r="B90" s="1" t="n">
        <v>43866</v>
      </c>
      <c r="C90" s="1" t="n">
        <v>45645</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14565-2020</t>
        </is>
      </c>
      <c r="B91" s="1" t="n">
        <v>43908</v>
      </c>
      <c r="C91" s="1" t="n">
        <v>45645</v>
      </c>
      <c r="D91" t="inlineStr">
        <is>
          <t>STOCKHOLMS LÄN</t>
        </is>
      </c>
      <c r="E91" t="inlineStr">
        <is>
          <t>NORRTÄLJE</t>
        </is>
      </c>
      <c r="G91" t="n">
        <v>3.4</v>
      </c>
      <c r="H91" t="n">
        <v>2</v>
      </c>
      <c r="I91" t="n">
        <v>0</v>
      </c>
      <c r="J91" t="n">
        <v>0</v>
      </c>
      <c r="K91" t="n">
        <v>0</v>
      </c>
      <c r="L91" t="n">
        <v>0</v>
      </c>
      <c r="M91" t="n">
        <v>0</v>
      </c>
      <c r="N91" t="n">
        <v>0</v>
      </c>
      <c r="O91" t="n">
        <v>0</v>
      </c>
      <c r="P91" t="n">
        <v>0</v>
      </c>
      <c r="Q91" t="n">
        <v>2</v>
      </c>
      <c r="R91" s="2" t="inlineStr">
        <is>
          <t>Mindre vattensalamander
Vanlig groda</t>
        </is>
      </c>
      <c r="S91">
        <f>HYPERLINK("https://klasma.github.io/Logging_0188/artfynd/A 14565-2020 artfynd.xlsx", "A 14565-2020")</f>
        <v/>
      </c>
      <c r="T91">
        <f>HYPERLINK("https://klasma.github.io/Logging_0188/kartor/A 14565-2020 karta.png", "A 14565-2020")</f>
        <v/>
      </c>
      <c r="V91">
        <f>HYPERLINK("https://klasma.github.io/Logging_0188/klagomål/A 14565-2020 FSC-klagomål.docx", "A 14565-2020")</f>
        <v/>
      </c>
      <c r="W91">
        <f>HYPERLINK("https://klasma.github.io/Logging_0188/klagomålsmail/A 14565-2020 FSC-klagomål mail.docx", "A 14565-2020")</f>
        <v/>
      </c>
      <c r="X91">
        <f>HYPERLINK("https://klasma.github.io/Logging_0188/tillsyn/A 14565-2020 tillsynsbegäran.docx", "A 14565-2020")</f>
        <v/>
      </c>
      <c r="Y91">
        <f>HYPERLINK("https://klasma.github.io/Logging_0188/tillsynsmail/A 14565-2020 tillsynsbegäran mail.docx", "A 14565-2020")</f>
        <v/>
      </c>
    </row>
    <row r="92" ht="15" customHeight="1">
      <c r="A92" t="inlineStr">
        <is>
          <t>A 19565-2020</t>
        </is>
      </c>
      <c r="B92" s="1" t="n">
        <v>43936</v>
      </c>
      <c r="C92" s="1" t="n">
        <v>45645</v>
      </c>
      <c r="D92" t="inlineStr">
        <is>
          <t>STOCKHOLMS LÄN</t>
        </is>
      </c>
      <c r="E92" t="inlineStr">
        <is>
          <t>NORRTÄLJE</t>
        </is>
      </c>
      <c r="G92" t="n">
        <v>2.4</v>
      </c>
      <c r="H92" t="n">
        <v>0</v>
      </c>
      <c r="I92" t="n">
        <v>2</v>
      </c>
      <c r="J92" t="n">
        <v>0</v>
      </c>
      <c r="K92" t="n">
        <v>0</v>
      </c>
      <c r="L92" t="n">
        <v>0</v>
      </c>
      <c r="M92" t="n">
        <v>0</v>
      </c>
      <c r="N92" t="n">
        <v>0</v>
      </c>
      <c r="O92" t="n">
        <v>0</v>
      </c>
      <c r="P92" t="n">
        <v>0</v>
      </c>
      <c r="Q92" t="n">
        <v>2</v>
      </c>
      <c r="R92" s="2" t="inlineStr">
        <is>
          <t>Mörk husmossa
Rödgul trumpetsvamp</t>
        </is>
      </c>
      <c r="S92">
        <f>HYPERLINK("https://klasma.github.io/Logging_0188/artfynd/A 19565-2020 artfynd.xlsx", "A 19565-2020")</f>
        <v/>
      </c>
      <c r="T92">
        <f>HYPERLINK("https://klasma.github.io/Logging_0188/kartor/A 19565-2020 karta.png", "A 19565-2020")</f>
        <v/>
      </c>
      <c r="V92">
        <f>HYPERLINK("https://klasma.github.io/Logging_0188/klagomål/A 19565-2020 FSC-klagomål.docx", "A 19565-2020")</f>
        <v/>
      </c>
      <c r="W92">
        <f>HYPERLINK("https://klasma.github.io/Logging_0188/klagomålsmail/A 19565-2020 FSC-klagomål mail.docx", "A 19565-2020")</f>
        <v/>
      </c>
      <c r="X92">
        <f>HYPERLINK("https://klasma.github.io/Logging_0188/tillsyn/A 19565-2020 tillsynsbegäran.docx", "A 19565-2020")</f>
        <v/>
      </c>
      <c r="Y92">
        <f>HYPERLINK("https://klasma.github.io/Logging_0188/tillsynsmail/A 19565-2020 tillsynsbegäran mail.docx", "A 19565-2020")</f>
        <v/>
      </c>
    </row>
    <row r="93" ht="15" customHeight="1">
      <c r="A93" t="inlineStr">
        <is>
          <t>A 31803-2021</t>
        </is>
      </c>
      <c r="B93" s="1" t="n">
        <v>44370</v>
      </c>
      <c r="C93" s="1" t="n">
        <v>45645</v>
      </c>
      <c r="D93" t="inlineStr">
        <is>
          <t>STOCKHOLMS LÄN</t>
        </is>
      </c>
      <c r="E93" t="inlineStr">
        <is>
          <t>NORRTÄLJE</t>
        </is>
      </c>
      <c r="G93" t="n">
        <v>4.6</v>
      </c>
      <c r="H93" t="n">
        <v>0</v>
      </c>
      <c r="I93" t="n">
        <v>1</v>
      </c>
      <c r="J93" t="n">
        <v>1</v>
      </c>
      <c r="K93" t="n">
        <v>0</v>
      </c>
      <c r="L93" t="n">
        <v>0</v>
      </c>
      <c r="M93" t="n">
        <v>0</v>
      </c>
      <c r="N93" t="n">
        <v>0</v>
      </c>
      <c r="O93" t="n">
        <v>1</v>
      </c>
      <c r="P93" t="n">
        <v>0</v>
      </c>
      <c r="Q93" t="n">
        <v>2</v>
      </c>
      <c r="R93" s="2" t="inlineStr">
        <is>
          <t>Slåtterfibbla
Vårärt</t>
        </is>
      </c>
      <c r="S93">
        <f>HYPERLINK("https://klasma.github.io/Logging_0188/artfynd/A 31803-2021 artfynd.xlsx", "A 31803-2021")</f>
        <v/>
      </c>
      <c r="T93">
        <f>HYPERLINK("https://klasma.github.io/Logging_0188/kartor/A 31803-2021 karta.png", "A 31803-2021")</f>
        <v/>
      </c>
      <c r="V93">
        <f>HYPERLINK("https://klasma.github.io/Logging_0188/klagomål/A 31803-2021 FSC-klagomål.docx", "A 31803-2021")</f>
        <v/>
      </c>
      <c r="W93">
        <f>HYPERLINK("https://klasma.github.io/Logging_0188/klagomålsmail/A 31803-2021 FSC-klagomål mail.docx", "A 31803-2021")</f>
        <v/>
      </c>
      <c r="X93">
        <f>HYPERLINK("https://klasma.github.io/Logging_0188/tillsyn/A 31803-2021 tillsynsbegäran.docx", "A 31803-2021")</f>
        <v/>
      </c>
      <c r="Y93">
        <f>HYPERLINK("https://klasma.github.io/Logging_0188/tillsynsmail/A 31803-2021 tillsynsbegäran mail.docx", "A 31803-2021")</f>
        <v/>
      </c>
    </row>
    <row r="94" ht="15" customHeight="1">
      <c r="A94" t="inlineStr">
        <is>
          <t>A 40072-2021</t>
        </is>
      </c>
      <c r="B94" s="1" t="n">
        <v>44418</v>
      </c>
      <c r="C94" s="1" t="n">
        <v>45645</v>
      </c>
      <c r="D94" t="inlineStr">
        <is>
          <t>STOCKHOLMS LÄN</t>
        </is>
      </c>
      <c r="E94" t="inlineStr">
        <is>
          <t>NORRTÄLJE</t>
        </is>
      </c>
      <c r="G94" t="n">
        <v>1.1</v>
      </c>
      <c r="H94" t="n">
        <v>2</v>
      </c>
      <c r="I94" t="n">
        <v>0</v>
      </c>
      <c r="J94" t="n">
        <v>2</v>
      </c>
      <c r="K94" t="n">
        <v>0</v>
      </c>
      <c r="L94" t="n">
        <v>0</v>
      </c>
      <c r="M94" t="n">
        <v>0</v>
      </c>
      <c r="N94" t="n">
        <v>0</v>
      </c>
      <c r="O94" t="n">
        <v>2</v>
      </c>
      <c r="P94" t="n">
        <v>0</v>
      </c>
      <c r="Q94" t="n">
        <v>2</v>
      </c>
      <c r="R94" s="2" t="inlineStr">
        <is>
          <t>Rördrom
Slaguggla</t>
        </is>
      </c>
      <c r="S94">
        <f>HYPERLINK("https://klasma.github.io/Logging_0188/artfynd/A 40072-2021 artfynd.xlsx", "A 40072-2021")</f>
        <v/>
      </c>
      <c r="T94">
        <f>HYPERLINK("https://klasma.github.io/Logging_0188/kartor/A 40072-2021 karta.png", "A 40072-2021")</f>
        <v/>
      </c>
      <c r="V94">
        <f>HYPERLINK("https://klasma.github.io/Logging_0188/klagomål/A 40072-2021 FSC-klagomål.docx", "A 40072-2021")</f>
        <v/>
      </c>
      <c r="W94">
        <f>HYPERLINK("https://klasma.github.io/Logging_0188/klagomålsmail/A 40072-2021 FSC-klagomål mail.docx", "A 40072-2021")</f>
        <v/>
      </c>
      <c r="X94">
        <f>HYPERLINK("https://klasma.github.io/Logging_0188/tillsyn/A 40072-2021 tillsynsbegäran.docx", "A 40072-2021")</f>
        <v/>
      </c>
      <c r="Y94">
        <f>HYPERLINK("https://klasma.github.io/Logging_0188/tillsynsmail/A 40072-2021 tillsynsbegäran mail.docx", "A 40072-2021")</f>
        <v/>
      </c>
      <c r="Z94">
        <f>HYPERLINK("https://klasma.github.io/Logging_0188/fåglar/A 40072-2021 prioriterade fågelarter.docx", "A 40072-2021")</f>
        <v/>
      </c>
    </row>
    <row r="95" ht="15" customHeight="1">
      <c r="A95" t="inlineStr">
        <is>
          <t>A 58676-2021</t>
        </is>
      </c>
      <c r="B95" s="1" t="n">
        <v>44489</v>
      </c>
      <c r="C95" s="1" t="n">
        <v>45645</v>
      </c>
      <c r="D95" t="inlineStr">
        <is>
          <t>STOCKHOLMS LÄN</t>
        </is>
      </c>
      <c r="E95" t="inlineStr">
        <is>
          <t>NORRTÄLJE</t>
        </is>
      </c>
      <c r="G95" t="n">
        <v>0.6</v>
      </c>
      <c r="H95" t="n">
        <v>2</v>
      </c>
      <c r="I95" t="n">
        <v>0</v>
      </c>
      <c r="J95" t="n">
        <v>0</v>
      </c>
      <c r="K95" t="n">
        <v>0</v>
      </c>
      <c r="L95" t="n">
        <v>0</v>
      </c>
      <c r="M95" t="n">
        <v>0</v>
      </c>
      <c r="N95" t="n">
        <v>0</v>
      </c>
      <c r="O95" t="n">
        <v>0</v>
      </c>
      <c r="P95" t="n">
        <v>0</v>
      </c>
      <c r="Q95" t="n">
        <v>2</v>
      </c>
      <c r="R95" s="2" t="inlineStr">
        <is>
          <t>Nattviol
Blåsippa</t>
        </is>
      </c>
      <c r="S95">
        <f>HYPERLINK("https://klasma.github.io/Logging_0188/artfynd/A 58676-2021 artfynd.xlsx", "A 58676-2021")</f>
        <v/>
      </c>
      <c r="T95">
        <f>HYPERLINK("https://klasma.github.io/Logging_0188/kartor/A 58676-2021 karta.png", "A 58676-2021")</f>
        <v/>
      </c>
      <c r="V95">
        <f>HYPERLINK("https://klasma.github.io/Logging_0188/klagomål/A 58676-2021 FSC-klagomål.docx", "A 58676-2021")</f>
        <v/>
      </c>
      <c r="W95">
        <f>HYPERLINK("https://klasma.github.io/Logging_0188/klagomålsmail/A 58676-2021 FSC-klagomål mail.docx", "A 58676-2021")</f>
        <v/>
      </c>
      <c r="X95">
        <f>HYPERLINK("https://klasma.github.io/Logging_0188/tillsyn/A 58676-2021 tillsynsbegäran.docx", "A 58676-2021")</f>
        <v/>
      </c>
      <c r="Y95">
        <f>HYPERLINK("https://klasma.github.io/Logging_0188/tillsynsmail/A 58676-2021 tillsynsbegäran mail.docx", "A 58676-2021")</f>
        <v/>
      </c>
    </row>
    <row r="96" ht="15" customHeight="1">
      <c r="A96" t="inlineStr">
        <is>
          <t>A 16260-2022</t>
        </is>
      </c>
      <c r="B96" s="1" t="n">
        <v>44670</v>
      </c>
      <c r="C96" s="1" t="n">
        <v>45645</v>
      </c>
      <c r="D96" t="inlineStr">
        <is>
          <t>STOCKHOLMS LÄN</t>
        </is>
      </c>
      <c r="E96" t="inlineStr">
        <is>
          <t>NORRTÄLJE</t>
        </is>
      </c>
      <c r="G96" t="n">
        <v>6.6</v>
      </c>
      <c r="H96" t="n">
        <v>1</v>
      </c>
      <c r="I96" t="n">
        <v>2</v>
      </c>
      <c r="J96" t="n">
        <v>0</v>
      </c>
      <c r="K96" t="n">
        <v>0</v>
      </c>
      <c r="L96" t="n">
        <v>0</v>
      </c>
      <c r="M96" t="n">
        <v>0</v>
      </c>
      <c r="N96" t="n">
        <v>0</v>
      </c>
      <c r="O96" t="n">
        <v>0</v>
      </c>
      <c r="P96" t="n">
        <v>0</v>
      </c>
      <c r="Q96" t="n">
        <v>2</v>
      </c>
      <c r="R96" s="2" t="inlineStr">
        <is>
          <t>Nästrot
Vårärt</t>
        </is>
      </c>
      <c r="S96">
        <f>HYPERLINK("https://klasma.github.io/Logging_0188/artfynd/A 16260-2022 artfynd.xlsx", "A 16260-2022")</f>
        <v/>
      </c>
      <c r="T96">
        <f>HYPERLINK("https://klasma.github.io/Logging_0188/kartor/A 16260-2022 karta.png", "A 16260-2022")</f>
        <v/>
      </c>
      <c r="V96">
        <f>HYPERLINK("https://klasma.github.io/Logging_0188/klagomål/A 16260-2022 FSC-klagomål.docx", "A 16260-2022")</f>
        <v/>
      </c>
      <c r="W96">
        <f>HYPERLINK("https://klasma.github.io/Logging_0188/klagomålsmail/A 16260-2022 FSC-klagomål mail.docx", "A 16260-2022")</f>
        <v/>
      </c>
      <c r="X96">
        <f>HYPERLINK("https://klasma.github.io/Logging_0188/tillsyn/A 16260-2022 tillsynsbegäran.docx", "A 16260-2022")</f>
        <v/>
      </c>
      <c r="Y96">
        <f>HYPERLINK("https://klasma.github.io/Logging_0188/tillsynsmail/A 16260-2022 tillsynsbegäran mail.docx", "A 16260-2022")</f>
        <v/>
      </c>
    </row>
    <row r="97" ht="15" customHeight="1">
      <c r="A97" t="inlineStr">
        <is>
          <t>A 19862-2022</t>
        </is>
      </c>
      <c r="B97" s="1" t="n">
        <v>44696</v>
      </c>
      <c r="C97" s="1" t="n">
        <v>45645</v>
      </c>
      <c r="D97" t="inlineStr">
        <is>
          <t>STOCKHOLMS LÄN</t>
        </is>
      </c>
      <c r="E97" t="inlineStr">
        <is>
          <t>NORRTÄLJE</t>
        </is>
      </c>
      <c r="G97" t="n">
        <v>6</v>
      </c>
      <c r="H97" t="n">
        <v>1</v>
      </c>
      <c r="I97" t="n">
        <v>0</v>
      </c>
      <c r="J97" t="n">
        <v>1</v>
      </c>
      <c r="K97" t="n">
        <v>0</v>
      </c>
      <c r="L97" t="n">
        <v>0</v>
      </c>
      <c r="M97" t="n">
        <v>0</v>
      </c>
      <c r="N97" t="n">
        <v>0</v>
      </c>
      <c r="O97" t="n">
        <v>1</v>
      </c>
      <c r="P97" t="n">
        <v>0</v>
      </c>
      <c r="Q97" t="n">
        <v>2</v>
      </c>
      <c r="R97" s="2" t="inlineStr">
        <is>
          <t>Granticka
Blåsippa</t>
        </is>
      </c>
      <c r="S97">
        <f>HYPERLINK("https://klasma.github.io/Logging_0188/artfynd/A 19862-2022 artfynd.xlsx", "A 19862-2022")</f>
        <v/>
      </c>
      <c r="T97">
        <f>HYPERLINK("https://klasma.github.io/Logging_0188/kartor/A 19862-2022 karta.png", "A 19862-2022")</f>
        <v/>
      </c>
      <c r="V97">
        <f>HYPERLINK("https://klasma.github.io/Logging_0188/klagomål/A 19862-2022 FSC-klagomål.docx", "A 19862-2022")</f>
        <v/>
      </c>
      <c r="W97">
        <f>HYPERLINK("https://klasma.github.io/Logging_0188/klagomålsmail/A 19862-2022 FSC-klagomål mail.docx", "A 19862-2022")</f>
        <v/>
      </c>
      <c r="X97">
        <f>HYPERLINK("https://klasma.github.io/Logging_0188/tillsyn/A 19862-2022 tillsynsbegäran.docx", "A 19862-2022")</f>
        <v/>
      </c>
      <c r="Y97">
        <f>HYPERLINK("https://klasma.github.io/Logging_0188/tillsynsmail/A 19862-2022 tillsynsbegäran mail.docx", "A 19862-2022")</f>
        <v/>
      </c>
    </row>
    <row r="98" ht="15" customHeight="1">
      <c r="A98" t="inlineStr">
        <is>
          <t>A 27742-2022</t>
        </is>
      </c>
      <c r="B98" s="1" t="n">
        <v>44743</v>
      </c>
      <c r="C98" s="1" t="n">
        <v>45645</v>
      </c>
      <c r="D98" t="inlineStr">
        <is>
          <t>STOCKHOLMS LÄN</t>
        </is>
      </c>
      <c r="E98" t="inlineStr">
        <is>
          <t>NORRTÄLJE</t>
        </is>
      </c>
      <c r="G98" t="n">
        <v>3.9</v>
      </c>
      <c r="H98" t="n">
        <v>1</v>
      </c>
      <c r="I98" t="n">
        <v>1</v>
      </c>
      <c r="J98" t="n">
        <v>0</v>
      </c>
      <c r="K98" t="n">
        <v>0</v>
      </c>
      <c r="L98" t="n">
        <v>0</v>
      </c>
      <c r="M98" t="n">
        <v>0</v>
      </c>
      <c r="N98" t="n">
        <v>0</v>
      </c>
      <c r="O98" t="n">
        <v>0</v>
      </c>
      <c r="P98" t="n">
        <v>0</v>
      </c>
      <c r="Q98" t="n">
        <v>2</v>
      </c>
      <c r="R98" s="2" t="inlineStr">
        <is>
          <t>Svavelriska
Blåsippa</t>
        </is>
      </c>
      <c r="S98">
        <f>HYPERLINK("https://klasma.github.io/Logging_0188/artfynd/A 27742-2022 artfynd.xlsx", "A 27742-2022")</f>
        <v/>
      </c>
      <c r="T98">
        <f>HYPERLINK("https://klasma.github.io/Logging_0188/kartor/A 27742-2022 karta.png", "A 27742-2022")</f>
        <v/>
      </c>
      <c r="V98">
        <f>HYPERLINK("https://klasma.github.io/Logging_0188/klagomål/A 27742-2022 FSC-klagomål.docx", "A 27742-2022")</f>
        <v/>
      </c>
      <c r="W98">
        <f>HYPERLINK("https://klasma.github.io/Logging_0188/klagomålsmail/A 27742-2022 FSC-klagomål mail.docx", "A 27742-2022")</f>
        <v/>
      </c>
      <c r="X98">
        <f>HYPERLINK("https://klasma.github.io/Logging_0188/tillsyn/A 27742-2022 tillsynsbegäran.docx", "A 27742-2022")</f>
        <v/>
      </c>
      <c r="Y98">
        <f>HYPERLINK("https://klasma.github.io/Logging_0188/tillsynsmail/A 27742-2022 tillsynsbegäran mail.docx", "A 27742-2022")</f>
        <v/>
      </c>
    </row>
    <row r="99" ht="15" customHeight="1">
      <c r="A99" t="inlineStr">
        <is>
          <t>A 30693-2022</t>
        </is>
      </c>
      <c r="B99" s="1" t="n">
        <v>44763</v>
      </c>
      <c r="C99" s="1" t="n">
        <v>45645</v>
      </c>
      <c r="D99" t="inlineStr">
        <is>
          <t>STOCKHOLMS LÄN</t>
        </is>
      </c>
      <c r="E99" t="inlineStr">
        <is>
          <t>NORRTÄLJE</t>
        </is>
      </c>
      <c r="F99" t="inlineStr">
        <is>
          <t>Sveaskog</t>
        </is>
      </c>
      <c r="G99" t="n">
        <v>3.4</v>
      </c>
      <c r="H99" t="n">
        <v>2</v>
      </c>
      <c r="I99" t="n">
        <v>0</v>
      </c>
      <c r="J99" t="n">
        <v>1</v>
      </c>
      <c r="K99" t="n">
        <v>0</v>
      </c>
      <c r="L99" t="n">
        <v>0</v>
      </c>
      <c r="M99" t="n">
        <v>0</v>
      </c>
      <c r="N99" t="n">
        <v>0</v>
      </c>
      <c r="O99" t="n">
        <v>1</v>
      </c>
      <c r="P99" t="n">
        <v>0</v>
      </c>
      <c r="Q99" t="n">
        <v>2</v>
      </c>
      <c r="R99" s="2" t="inlineStr">
        <is>
          <t>Gulsparv
Gullviva</t>
        </is>
      </c>
      <c r="S99">
        <f>HYPERLINK("https://klasma.github.io/Logging_0188/artfynd/A 30693-2022 artfynd.xlsx", "A 30693-2022")</f>
        <v/>
      </c>
      <c r="T99">
        <f>HYPERLINK("https://klasma.github.io/Logging_0188/kartor/A 30693-2022 karta.png", "A 30693-2022")</f>
        <v/>
      </c>
      <c r="V99">
        <f>HYPERLINK("https://klasma.github.io/Logging_0188/klagomål/A 30693-2022 FSC-klagomål.docx", "A 30693-2022")</f>
        <v/>
      </c>
      <c r="W99">
        <f>HYPERLINK("https://klasma.github.io/Logging_0188/klagomålsmail/A 30693-2022 FSC-klagomål mail.docx", "A 30693-2022")</f>
        <v/>
      </c>
      <c r="X99">
        <f>HYPERLINK("https://klasma.github.io/Logging_0188/tillsyn/A 30693-2022 tillsynsbegäran.docx", "A 30693-2022")</f>
        <v/>
      </c>
      <c r="Y99">
        <f>HYPERLINK("https://klasma.github.io/Logging_0188/tillsynsmail/A 30693-2022 tillsynsbegäran mail.docx", "A 30693-2022")</f>
        <v/>
      </c>
      <c r="Z99">
        <f>HYPERLINK("https://klasma.github.io/Logging_0188/fåglar/A 30693-2022 prioriterade fågelarter.docx", "A 30693-2022")</f>
        <v/>
      </c>
    </row>
    <row r="100" ht="15" customHeight="1">
      <c r="A100" t="inlineStr">
        <is>
          <t>A 38597-2022</t>
        </is>
      </c>
      <c r="B100" s="1" t="n">
        <v>44813</v>
      </c>
      <c r="C100" s="1" t="n">
        <v>45645</v>
      </c>
      <c r="D100" t="inlineStr">
        <is>
          <t>STOCKHOLMS LÄN</t>
        </is>
      </c>
      <c r="E100" t="inlineStr">
        <is>
          <t>NORRTÄLJE</t>
        </is>
      </c>
      <c r="G100" t="n">
        <v>13.2</v>
      </c>
      <c r="H100" t="n">
        <v>1</v>
      </c>
      <c r="I100" t="n">
        <v>1</v>
      </c>
      <c r="J100" t="n">
        <v>0</v>
      </c>
      <c r="K100" t="n">
        <v>0</v>
      </c>
      <c r="L100" t="n">
        <v>1</v>
      </c>
      <c r="M100" t="n">
        <v>0</v>
      </c>
      <c r="N100" t="n">
        <v>0</v>
      </c>
      <c r="O100" t="n">
        <v>1</v>
      </c>
      <c r="P100" t="n">
        <v>1</v>
      </c>
      <c r="Q100" t="n">
        <v>2</v>
      </c>
      <c r="R100" s="2" t="inlineStr">
        <is>
          <t>Asknätfjäril
Scharlakansvårskål agg.</t>
        </is>
      </c>
      <c r="S100">
        <f>HYPERLINK("https://klasma.github.io/Logging_0188/artfynd/A 38597-2022 artfynd.xlsx", "A 38597-2022")</f>
        <v/>
      </c>
      <c r="T100">
        <f>HYPERLINK("https://klasma.github.io/Logging_0188/kartor/A 38597-2022 karta.png", "A 38597-2022")</f>
        <v/>
      </c>
      <c r="V100">
        <f>HYPERLINK("https://klasma.github.io/Logging_0188/klagomål/A 38597-2022 FSC-klagomål.docx", "A 38597-2022")</f>
        <v/>
      </c>
      <c r="W100">
        <f>HYPERLINK("https://klasma.github.io/Logging_0188/klagomålsmail/A 38597-2022 FSC-klagomål mail.docx", "A 38597-2022")</f>
        <v/>
      </c>
      <c r="X100">
        <f>HYPERLINK("https://klasma.github.io/Logging_0188/tillsyn/A 38597-2022 tillsynsbegäran.docx", "A 38597-2022")</f>
        <v/>
      </c>
      <c r="Y100">
        <f>HYPERLINK("https://klasma.github.io/Logging_0188/tillsynsmail/A 38597-2022 tillsynsbegäran mail.docx", "A 38597-2022")</f>
        <v/>
      </c>
    </row>
    <row r="101" ht="15" customHeight="1">
      <c r="A101" t="inlineStr">
        <is>
          <t>A 52124-2022</t>
        </is>
      </c>
      <c r="B101" s="1" t="n">
        <v>44868</v>
      </c>
      <c r="C101" s="1" t="n">
        <v>45645</v>
      </c>
      <c r="D101" t="inlineStr">
        <is>
          <t>STOCKHOLMS LÄN</t>
        </is>
      </c>
      <c r="E101" t="inlineStr">
        <is>
          <t>NORRTÄLJE</t>
        </is>
      </c>
      <c r="G101" t="n">
        <v>4.8</v>
      </c>
      <c r="H101" t="n">
        <v>1</v>
      </c>
      <c r="I101" t="n">
        <v>0</v>
      </c>
      <c r="J101" t="n">
        <v>1</v>
      </c>
      <c r="K101" t="n">
        <v>0</v>
      </c>
      <c r="L101" t="n">
        <v>0</v>
      </c>
      <c r="M101" t="n">
        <v>0</v>
      </c>
      <c r="N101" t="n">
        <v>0</v>
      </c>
      <c r="O101" t="n">
        <v>1</v>
      </c>
      <c r="P101" t="n">
        <v>0</v>
      </c>
      <c r="Q101" t="n">
        <v>2</v>
      </c>
      <c r="R101" s="2" t="inlineStr">
        <is>
          <t>Kandelabersvamp
Blåsippa</t>
        </is>
      </c>
      <c r="S101">
        <f>HYPERLINK("https://klasma.github.io/Logging_0188/artfynd/A 52124-2022 artfynd.xlsx", "A 52124-2022")</f>
        <v/>
      </c>
      <c r="T101">
        <f>HYPERLINK("https://klasma.github.io/Logging_0188/kartor/A 52124-2022 karta.png", "A 52124-2022")</f>
        <v/>
      </c>
      <c r="V101">
        <f>HYPERLINK("https://klasma.github.io/Logging_0188/klagomål/A 52124-2022 FSC-klagomål.docx", "A 52124-2022")</f>
        <v/>
      </c>
      <c r="W101">
        <f>HYPERLINK("https://klasma.github.io/Logging_0188/klagomålsmail/A 52124-2022 FSC-klagomål mail.docx", "A 52124-2022")</f>
        <v/>
      </c>
      <c r="X101">
        <f>HYPERLINK("https://klasma.github.io/Logging_0188/tillsyn/A 52124-2022 tillsynsbegäran.docx", "A 52124-2022")</f>
        <v/>
      </c>
      <c r="Y101">
        <f>HYPERLINK("https://klasma.github.io/Logging_0188/tillsynsmail/A 52124-2022 tillsynsbegäran mail.docx", "A 52124-2022")</f>
        <v/>
      </c>
    </row>
    <row r="102" ht="15" customHeight="1">
      <c r="A102" t="inlineStr">
        <is>
          <t>A 51980-2022</t>
        </is>
      </c>
      <c r="B102" s="1" t="n">
        <v>44872</v>
      </c>
      <c r="C102" s="1" t="n">
        <v>45645</v>
      </c>
      <c r="D102" t="inlineStr">
        <is>
          <t>STOCKHOLMS LÄN</t>
        </is>
      </c>
      <c r="E102" t="inlineStr">
        <is>
          <t>NORRTÄLJE</t>
        </is>
      </c>
      <c r="G102" t="n">
        <v>7.9</v>
      </c>
      <c r="H102" t="n">
        <v>1</v>
      </c>
      <c r="I102" t="n">
        <v>2</v>
      </c>
      <c r="J102" t="n">
        <v>0</v>
      </c>
      <c r="K102" t="n">
        <v>0</v>
      </c>
      <c r="L102" t="n">
        <v>0</v>
      </c>
      <c r="M102" t="n">
        <v>0</v>
      </c>
      <c r="N102" t="n">
        <v>0</v>
      </c>
      <c r="O102" t="n">
        <v>0</v>
      </c>
      <c r="P102" t="n">
        <v>0</v>
      </c>
      <c r="Q102" t="n">
        <v>2</v>
      </c>
      <c r="R102" s="2" t="inlineStr">
        <is>
          <t>Rödgul trumpetsvamp
Skogsknipprot</t>
        </is>
      </c>
      <c r="S102">
        <f>HYPERLINK("https://klasma.github.io/Logging_0188/artfynd/A 51980-2022 artfynd.xlsx", "A 51980-2022")</f>
        <v/>
      </c>
      <c r="T102">
        <f>HYPERLINK("https://klasma.github.io/Logging_0188/kartor/A 51980-2022 karta.png", "A 51980-2022")</f>
        <v/>
      </c>
      <c r="V102">
        <f>HYPERLINK("https://klasma.github.io/Logging_0188/klagomål/A 51980-2022 FSC-klagomål.docx", "A 51980-2022")</f>
        <v/>
      </c>
      <c r="W102">
        <f>HYPERLINK("https://klasma.github.io/Logging_0188/klagomålsmail/A 51980-2022 FSC-klagomål mail.docx", "A 51980-2022")</f>
        <v/>
      </c>
      <c r="X102">
        <f>HYPERLINK("https://klasma.github.io/Logging_0188/tillsyn/A 51980-2022 tillsynsbegäran.docx", "A 51980-2022")</f>
        <v/>
      </c>
      <c r="Y102">
        <f>HYPERLINK("https://klasma.github.io/Logging_0188/tillsynsmail/A 51980-2022 tillsynsbegäran mail.docx", "A 51980-2022")</f>
        <v/>
      </c>
    </row>
    <row r="103" ht="15" customHeight="1">
      <c r="A103" t="inlineStr">
        <is>
          <t>A 7341-2023</t>
        </is>
      </c>
      <c r="B103" s="1" t="n">
        <v>44971</v>
      </c>
      <c r="C103" s="1" t="n">
        <v>45645</v>
      </c>
      <c r="D103" t="inlineStr">
        <is>
          <t>STOCKHOLMS LÄN</t>
        </is>
      </c>
      <c r="E103" t="inlineStr">
        <is>
          <t>NORRTÄLJE</t>
        </is>
      </c>
      <c r="F103" t="inlineStr">
        <is>
          <t>Holmen skog AB</t>
        </is>
      </c>
      <c r="G103" t="n">
        <v>10.7</v>
      </c>
      <c r="H103" t="n">
        <v>0</v>
      </c>
      <c r="I103" t="n">
        <v>0</v>
      </c>
      <c r="J103" t="n">
        <v>2</v>
      </c>
      <c r="K103" t="n">
        <v>0</v>
      </c>
      <c r="L103" t="n">
        <v>0</v>
      </c>
      <c r="M103" t="n">
        <v>0</v>
      </c>
      <c r="N103" t="n">
        <v>0</v>
      </c>
      <c r="O103" t="n">
        <v>2</v>
      </c>
      <c r="P103" t="n">
        <v>0</v>
      </c>
      <c r="Q103" t="n">
        <v>2</v>
      </c>
      <c r="R103" s="2" t="inlineStr">
        <is>
          <t>Mindre bastardsvärmare
Smalsprötad bastardsvärmare</t>
        </is>
      </c>
      <c r="S103">
        <f>HYPERLINK("https://klasma.github.io/Logging_0188/artfynd/A 7341-2023 artfynd.xlsx", "A 7341-2023")</f>
        <v/>
      </c>
      <c r="T103">
        <f>HYPERLINK("https://klasma.github.io/Logging_0188/kartor/A 7341-2023 karta.png", "A 7341-2023")</f>
        <v/>
      </c>
      <c r="V103">
        <f>HYPERLINK("https://klasma.github.io/Logging_0188/klagomål/A 7341-2023 FSC-klagomål.docx", "A 7341-2023")</f>
        <v/>
      </c>
      <c r="W103">
        <f>HYPERLINK("https://klasma.github.io/Logging_0188/klagomålsmail/A 7341-2023 FSC-klagomål mail.docx", "A 7341-2023")</f>
        <v/>
      </c>
      <c r="X103">
        <f>HYPERLINK("https://klasma.github.io/Logging_0188/tillsyn/A 7341-2023 tillsynsbegäran.docx", "A 7341-2023")</f>
        <v/>
      </c>
      <c r="Y103">
        <f>HYPERLINK("https://klasma.github.io/Logging_0188/tillsynsmail/A 7341-2023 tillsynsbegäran mail.docx", "A 7341-2023")</f>
        <v/>
      </c>
    </row>
    <row r="104" ht="15" customHeight="1">
      <c r="A104" t="inlineStr">
        <is>
          <t>A 10136-2023</t>
        </is>
      </c>
      <c r="B104" s="1" t="n">
        <v>44986</v>
      </c>
      <c r="C104" s="1" t="n">
        <v>45645</v>
      </c>
      <c r="D104" t="inlineStr">
        <is>
          <t>STOCKHOLMS LÄN</t>
        </is>
      </c>
      <c r="E104" t="inlineStr">
        <is>
          <t>NORRTÄLJE</t>
        </is>
      </c>
      <c r="F104" t="inlineStr">
        <is>
          <t>Övriga statliga verk och myndigheter</t>
        </is>
      </c>
      <c r="G104" t="n">
        <v>3.6</v>
      </c>
      <c r="H104" t="n">
        <v>0</v>
      </c>
      <c r="I104" t="n">
        <v>0</v>
      </c>
      <c r="J104" t="n">
        <v>1</v>
      </c>
      <c r="K104" t="n">
        <v>1</v>
      </c>
      <c r="L104" t="n">
        <v>0</v>
      </c>
      <c r="M104" t="n">
        <v>0</v>
      </c>
      <c r="N104" t="n">
        <v>0</v>
      </c>
      <c r="O104" t="n">
        <v>2</v>
      </c>
      <c r="P104" t="n">
        <v>1</v>
      </c>
      <c r="Q104" t="n">
        <v>2</v>
      </c>
      <c r="R104" s="2" t="inlineStr">
        <is>
          <t>Svartfjällig musseron
Persiljespindling</t>
        </is>
      </c>
      <c r="S104">
        <f>HYPERLINK("https://klasma.github.io/Logging_0188/artfynd/A 10136-2023 artfynd.xlsx", "A 10136-2023")</f>
        <v/>
      </c>
      <c r="T104">
        <f>HYPERLINK("https://klasma.github.io/Logging_0188/kartor/A 10136-2023 karta.png", "A 10136-2023")</f>
        <v/>
      </c>
      <c r="V104">
        <f>HYPERLINK("https://klasma.github.io/Logging_0188/klagomål/A 10136-2023 FSC-klagomål.docx", "A 10136-2023")</f>
        <v/>
      </c>
      <c r="W104">
        <f>HYPERLINK("https://klasma.github.io/Logging_0188/klagomålsmail/A 10136-2023 FSC-klagomål mail.docx", "A 10136-2023")</f>
        <v/>
      </c>
      <c r="X104">
        <f>HYPERLINK("https://klasma.github.io/Logging_0188/tillsyn/A 10136-2023 tillsynsbegäran.docx", "A 10136-2023")</f>
        <v/>
      </c>
      <c r="Y104">
        <f>HYPERLINK("https://klasma.github.io/Logging_0188/tillsynsmail/A 10136-2023 tillsynsbegäran mail.docx", "A 10136-2023")</f>
        <v/>
      </c>
    </row>
    <row r="105" ht="15" customHeight="1">
      <c r="A105" t="inlineStr">
        <is>
          <t>A 21748-2023</t>
        </is>
      </c>
      <c r="B105" s="1" t="n">
        <v>45065</v>
      </c>
      <c r="C105" s="1" t="n">
        <v>45645</v>
      </c>
      <c r="D105" t="inlineStr">
        <is>
          <t>STOCKHOLMS LÄN</t>
        </is>
      </c>
      <c r="E105" t="inlineStr">
        <is>
          <t>NORRTÄLJE</t>
        </is>
      </c>
      <c r="F105" t="inlineStr">
        <is>
          <t>Holmen skog AB</t>
        </is>
      </c>
      <c r="G105" t="n">
        <v>2.4</v>
      </c>
      <c r="H105" t="n">
        <v>0</v>
      </c>
      <c r="I105" t="n">
        <v>2</v>
      </c>
      <c r="J105" t="n">
        <v>0</v>
      </c>
      <c r="K105" t="n">
        <v>0</v>
      </c>
      <c r="L105" t="n">
        <v>0</v>
      </c>
      <c r="M105" t="n">
        <v>0</v>
      </c>
      <c r="N105" t="n">
        <v>0</v>
      </c>
      <c r="O105" t="n">
        <v>0</v>
      </c>
      <c r="P105" t="n">
        <v>0</v>
      </c>
      <c r="Q105" t="n">
        <v>2</v>
      </c>
      <c r="R105" s="2" t="inlineStr">
        <is>
          <t>Aspvedgnagare
Tibast</t>
        </is>
      </c>
      <c r="S105">
        <f>HYPERLINK("https://klasma.github.io/Logging_0188/artfynd/A 21748-2023 artfynd.xlsx", "A 21748-2023")</f>
        <v/>
      </c>
      <c r="T105">
        <f>HYPERLINK("https://klasma.github.io/Logging_0188/kartor/A 21748-2023 karta.png", "A 21748-2023")</f>
        <v/>
      </c>
      <c r="V105">
        <f>HYPERLINK("https://klasma.github.io/Logging_0188/klagomål/A 21748-2023 FSC-klagomål.docx", "A 21748-2023")</f>
        <v/>
      </c>
      <c r="W105">
        <f>HYPERLINK("https://klasma.github.io/Logging_0188/klagomålsmail/A 21748-2023 FSC-klagomål mail.docx", "A 21748-2023")</f>
        <v/>
      </c>
      <c r="X105">
        <f>HYPERLINK("https://klasma.github.io/Logging_0188/tillsyn/A 21748-2023 tillsynsbegäran.docx", "A 21748-2023")</f>
        <v/>
      </c>
      <c r="Y105">
        <f>HYPERLINK("https://klasma.github.io/Logging_0188/tillsynsmail/A 21748-2023 tillsynsbegäran mail.docx", "A 21748-2023")</f>
        <v/>
      </c>
    </row>
    <row r="106" ht="15" customHeight="1">
      <c r="A106" t="inlineStr">
        <is>
          <t>A 23861-2023</t>
        </is>
      </c>
      <c r="B106" s="1" t="n">
        <v>45078</v>
      </c>
      <c r="C106" s="1" t="n">
        <v>45645</v>
      </c>
      <c r="D106" t="inlineStr">
        <is>
          <t>STOCKHOLMS LÄN</t>
        </is>
      </c>
      <c r="E106" t="inlineStr">
        <is>
          <t>NORRTÄLJE</t>
        </is>
      </c>
      <c r="G106" t="n">
        <v>3.3</v>
      </c>
      <c r="H106" t="n">
        <v>1</v>
      </c>
      <c r="I106" t="n">
        <v>1</v>
      </c>
      <c r="J106" t="n">
        <v>0</v>
      </c>
      <c r="K106" t="n">
        <v>0</v>
      </c>
      <c r="L106" t="n">
        <v>0</v>
      </c>
      <c r="M106" t="n">
        <v>0</v>
      </c>
      <c r="N106" t="n">
        <v>0</v>
      </c>
      <c r="O106" t="n">
        <v>0</v>
      </c>
      <c r="P106" t="n">
        <v>0</v>
      </c>
      <c r="Q106" t="n">
        <v>2</v>
      </c>
      <c r="R106" s="2" t="inlineStr">
        <is>
          <t>Tibast
Blåsippa</t>
        </is>
      </c>
      <c r="S106">
        <f>HYPERLINK("https://klasma.github.io/Logging_0188/artfynd/A 23861-2023 artfynd.xlsx", "A 23861-2023")</f>
        <v/>
      </c>
      <c r="T106">
        <f>HYPERLINK("https://klasma.github.io/Logging_0188/kartor/A 23861-2023 karta.png", "A 23861-2023")</f>
        <v/>
      </c>
      <c r="V106">
        <f>HYPERLINK("https://klasma.github.io/Logging_0188/klagomål/A 23861-2023 FSC-klagomål.docx", "A 23861-2023")</f>
        <v/>
      </c>
      <c r="W106">
        <f>HYPERLINK("https://klasma.github.io/Logging_0188/klagomålsmail/A 23861-2023 FSC-klagomål mail.docx", "A 23861-2023")</f>
        <v/>
      </c>
      <c r="X106">
        <f>HYPERLINK("https://klasma.github.io/Logging_0188/tillsyn/A 23861-2023 tillsynsbegäran.docx", "A 23861-2023")</f>
        <v/>
      </c>
      <c r="Y106">
        <f>HYPERLINK("https://klasma.github.io/Logging_0188/tillsynsmail/A 23861-2023 tillsynsbegäran mail.docx", "A 23861-2023")</f>
        <v/>
      </c>
    </row>
    <row r="107" ht="15" customHeight="1">
      <c r="A107" t="inlineStr">
        <is>
          <t>A 33287-2023</t>
        </is>
      </c>
      <c r="B107" s="1" t="n">
        <v>45127</v>
      </c>
      <c r="C107" s="1" t="n">
        <v>45645</v>
      </c>
      <c r="D107" t="inlineStr">
        <is>
          <t>STOCKHOLMS LÄN</t>
        </is>
      </c>
      <c r="E107" t="inlineStr">
        <is>
          <t>NORRTÄLJE</t>
        </is>
      </c>
      <c r="F107" t="inlineStr">
        <is>
          <t>Holmen skog AB</t>
        </is>
      </c>
      <c r="G107" t="n">
        <v>3.3</v>
      </c>
      <c r="H107" t="n">
        <v>0</v>
      </c>
      <c r="I107" t="n">
        <v>0</v>
      </c>
      <c r="J107" t="n">
        <v>2</v>
      </c>
      <c r="K107" t="n">
        <v>0</v>
      </c>
      <c r="L107" t="n">
        <v>0</v>
      </c>
      <c r="M107" t="n">
        <v>0</v>
      </c>
      <c r="N107" t="n">
        <v>0</v>
      </c>
      <c r="O107" t="n">
        <v>2</v>
      </c>
      <c r="P107" t="n">
        <v>0</v>
      </c>
      <c r="Q107" t="n">
        <v>2</v>
      </c>
      <c r="R107" s="2" t="inlineStr">
        <is>
          <t>Smalsprötad bastardsvärmare
Violettkantad guldvinge</t>
        </is>
      </c>
      <c r="S107">
        <f>HYPERLINK("https://klasma.github.io/Logging_0188/artfynd/A 33287-2023 artfynd.xlsx", "A 33287-2023")</f>
        <v/>
      </c>
      <c r="T107">
        <f>HYPERLINK("https://klasma.github.io/Logging_0188/kartor/A 33287-2023 karta.png", "A 33287-2023")</f>
        <v/>
      </c>
      <c r="V107">
        <f>HYPERLINK("https://klasma.github.io/Logging_0188/klagomål/A 33287-2023 FSC-klagomål.docx", "A 33287-2023")</f>
        <v/>
      </c>
      <c r="W107">
        <f>HYPERLINK("https://klasma.github.io/Logging_0188/klagomålsmail/A 33287-2023 FSC-klagomål mail.docx", "A 33287-2023")</f>
        <v/>
      </c>
      <c r="X107">
        <f>HYPERLINK("https://klasma.github.io/Logging_0188/tillsyn/A 33287-2023 tillsynsbegäran.docx", "A 33287-2023")</f>
        <v/>
      </c>
      <c r="Y107">
        <f>HYPERLINK("https://klasma.github.io/Logging_0188/tillsynsmail/A 33287-2023 tillsynsbegäran mail.docx", "A 33287-2023")</f>
        <v/>
      </c>
    </row>
    <row r="108" ht="15" customHeight="1">
      <c r="A108" t="inlineStr">
        <is>
          <t>A 51220-2023</t>
        </is>
      </c>
      <c r="B108" s="1" t="n">
        <v>45219</v>
      </c>
      <c r="C108" s="1" t="n">
        <v>45645</v>
      </c>
      <c r="D108" t="inlineStr">
        <is>
          <t>STOCKHOLMS LÄN</t>
        </is>
      </c>
      <c r="E108" t="inlineStr">
        <is>
          <t>NORRTÄLJE</t>
        </is>
      </c>
      <c r="G108" t="n">
        <v>7.7</v>
      </c>
      <c r="H108" t="n">
        <v>1</v>
      </c>
      <c r="I108" t="n">
        <v>0</v>
      </c>
      <c r="J108" t="n">
        <v>1</v>
      </c>
      <c r="K108" t="n">
        <v>0</v>
      </c>
      <c r="L108" t="n">
        <v>0</v>
      </c>
      <c r="M108" t="n">
        <v>0</v>
      </c>
      <c r="N108" t="n">
        <v>0</v>
      </c>
      <c r="O108" t="n">
        <v>1</v>
      </c>
      <c r="P108" t="n">
        <v>0</v>
      </c>
      <c r="Q108" t="n">
        <v>2</v>
      </c>
      <c r="R108" s="2" t="inlineStr">
        <is>
          <t>Ullticka
Blåsippa</t>
        </is>
      </c>
      <c r="S108">
        <f>HYPERLINK("https://klasma.github.io/Logging_0188/artfynd/A 51220-2023 artfynd.xlsx", "A 51220-2023")</f>
        <v/>
      </c>
      <c r="T108">
        <f>HYPERLINK("https://klasma.github.io/Logging_0188/kartor/A 51220-2023 karta.png", "A 51220-2023")</f>
        <v/>
      </c>
      <c r="V108">
        <f>HYPERLINK("https://klasma.github.io/Logging_0188/klagomål/A 51220-2023 FSC-klagomål.docx", "A 51220-2023")</f>
        <v/>
      </c>
      <c r="W108">
        <f>HYPERLINK("https://klasma.github.io/Logging_0188/klagomålsmail/A 51220-2023 FSC-klagomål mail.docx", "A 51220-2023")</f>
        <v/>
      </c>
      <c r="X108">
        <f>HYPERLINK("https://klasma.github.io/Logging_0188/tillsyn/A 51220-2023 tillsynsbegäran.docx", "A 51220-2023")</f>
        <v/>
      </c>
      <c r="Y108">
        <f>HYPERLINK("https://klasma.github.io/Logging_0188/tillsynsmail/A 51220-2023 tillsynsbegäran mail.docx", "A 51220-2023")</f>
        <v/>
      </c>
    </row>
    <row r="109" ht="15" customHeight="1">
      <c r="A109" t="inlineStr">
        <is>
          <t>A 52825-2023</t>
        </is>
      </c>
      <c r="B109" s="1" t="n">
        <v>45226</v>
      </c>
      <c r="C109" s="1" t="n">
        <v>45645</v>
      </c>
      <c r="D109" t="inlineStr">
        <is>
          <t>STOCKHOLMS LÄN</t>
        </is>
      </c>
      <c r="E109" t="inlineStr">
        <is>
          <t>NORRTÄLJE</t>
        </is>
      </c>
      <c r="G109" t="n">
        <v>1</v>
      </c>
      <c r="H109" t="n">
        <v>0</v>
      </c>
      <c r="I109" t="n">
        <v>2</v>
      </c>
      <c r="J109" t="n">
        <v>0</v>
      </c>
      <c r="K109" t="n">
        <v>0</v>
      </c>
      <c r="L109" t="n">
        <v>0</v>
      </c>
      <c r="M109" t="n">
        <v>0</v>
      </c>
      <c r="N109" t="n">
        <v>0</v>
      </c>
      <c r="O109" t="n">
        <v>0</v>
      </c>
      <c r="P109" t="n">
        <v>0</v>
      </c>
      <c r="Q109" t="n">
        <v>2</v>
      </c>
      <c r="R109" s="2" t="inlineStr">
        <is>
          <t>Fjällig taggsvamp s.str.
Strimspindling</t>
        </is>
      </c>
      <c r="S109">
        <f>HYPERLINK("https://klasma.github.io/Logging_0188/artfynd/A 52825-2023 artfynd.xlsx", "A 52825-2023")</f>
        <v/>
      </c>
      <c r="T109">
        <f>HYPERLINK("https://klasma.github.io/Logging_0188/kartor/A 52825-2023 karta.png", "A 52825-2023")</f>
        <v/>
      </c>
      <c r="V109">
        <f>HYPERLINK("https://klasma.github.io/Logging_0188/klagomål/A 52825-2023 FSC-klagomål.docx", "A 52825-2023")</f>
        <v/>
      </c>
      <c r="W109">
        <f>HYPERLINK("https://klasma.github.io/Logging_0188/klagomålsmail/A 52825-2023 FSC-klagomål mail.docx", "A 52825-2023")</f>
        <v/>
      </c>
      <c r="X109">
        <f>HYPERLINK("https://klasma.github.io/Logging_0188/tillsyn/A 52825-2023 tillsynsbegäran.docx", "A 52825-2023")</f>
        <v/>
      </c>
      <c r="Y109">
        <f>HYPERLINK("https://klasma.github.io/Logging_0188/tillsynsmail/A 52825-2023 tillsynsbegäran mail.docx", "A 52825-2023")</f>
        <v/>
      </c>
    </row>
    <row r="110" ht="15" customHeight="1">
      <c r="A110" t="inlineStr">
        <is>
          <t>A 4909-2024</t>
        </is>
      </c>
      <c r="B110" s="1" t="n">
        <v>45329</v>
      </c>
      <c r="C110" s="1" t="n">
        <v>45645</v>
      </c>
      <c r="D110" t="inlineStr">
        <is>
          <t>STOCKHOLMS LÄN</t>
        </is>
      </c>
      <c r="E110" t="inlineStr">
        <is>
          <t>NORRTÄLJE</t>
        </is>
      </c>
      <c r="G110" t="n">
        <v>4.1</v>
      </c>
      <c r="H110" t="n">
        <v>0</v>
      </c>
      <c r="I110" t="n">
        <v>2</v>
      </c>
      <c r="J110" t="n">
        <v>0</v>
      </c>
      <c r="K110" t="n">
        <v>0</v>
      </c>
      <c r="L110" t="n">
        <v>0</v>
      </c>
      <c r="M110" t="n">
        <v>0</v>
      </c>
      <c r="N110" t="n">
        <v>0</v>
      </c>
      <c r="O110" t="n">
        <v>0</v>
      </c>
      <c r="P110" t="n">
        <v>0</v>
      </c>
      <c r="Q110" t="n">
        <v>2</v>
      </c>
      <c r="R110" s="2" t="inlineStr">
        <is>
          <t>Fjällig taggsvamp s.str.
Rödgul trumpetsvamp</t>
        </is>
      </c>
      <c r="S110">
        <f>HYPERLINK("https://klasma.github.io/Logging_0188/artfynd/A 4909-2024 artfynd.xlsx", "A 4909-2024")</f>
        <v/>
      </c>
      <c r="T110">
        <f>HYPERLINK("https://klasma.github.io/Logging_0188/kartor/A 4909-2024 karta.png", "A 4909-2024")</f>
        <v/>
      </c>
      <c r="V110">
        <f>HYPERLINK("https://klasma.github.io/Logging_0188/klagomål/A 4909-2024 FSC-klagomål.docx", "A 4909-2024")</f>
        <v/>
      </c>
      <c r="W110">
        <f>HYPERLINK("https://klasma.github.io/Logging_0188/klagomålsmail/A 4909-2024 FSC-klagomål mail.docx", "A 4909-2024")</f>
        <v/>
      </c>
      <c r="X110">
        <f>HYPERLINK("https://klasma.github.io/Logging_0188/tillsyn/A 4909-2024 tillsynsbegäran.docx", "A 4909-2024")</f>
        <v/>
      </c>
      <c r="Y110">
        <f>HYPERLINK("https://klasma.github.io/Logging_0188/tillsynsmail/A 4909-2024 tillsynsbegäran mail.docx", "A 4909-2024")</f>
        <v/>
      </c>
    </row>
    <row r="111" ht="15" customHeight="1">
      <c r="A111" t="inlineStr">
        <is>
          <t>A 11995-2024</t>
        </is>
      </c>
      <c r="B111" s="1" t="n">
        <v>45377</v>
      </c>
      <c r="C111" s="1" t="n">
        <v>45645</v>
      </c>
      <c r="D111" t="inlineStr">
        <is>
          <t>STOCKHOLMS LÄN</t>
        </is>
      </c>
      <c r="E111" t="inlineStr">
        <is>
          <t>NORRTÄLJE</t>
        </is>
      </c>
      <c r="G111" t="n">
        <v>4.7</v>
      </c>
      <c r="H111" t="n">
        <v>0</v>
      </c>
      <c r="I111" t="n">
        <v>1</v>
      </c>
      <c r="J111" t="n">
        <v>1</v>
      </c>
      <c r="K111" t="n">
        <v>0</v>
      </c>
      <c r="L111" t="n">
        <v>0</v>
      </c>
      <c r="M111" t="n">
        <v>0</v>
      </c>
      <c r="N111" t="n">
        <v>0</v>
      </c>
      <c r="O111" t="n">
        <v>1</v>
      </c>
      <c r="P111" t="n">
        <v>0</v>
      </c>
      <c r="Q111" t="n">
        <v>2</v>
      </c>
      <c r="R111" s="2" t="inlineStr">
        <is>
          <t>Tallticka
Svavelriska</t>
        </is>
      </c>
      <c r="S111">
        <f>HYPERLINK("https://klasma.github.io/Logging_0188/artfynd/A 11995-2024 artfynd.xlsx", "A 11995-2024")</f>
        <v/>
      </c>
      <c r="T111">
        <f>HYPERLINK("https://klasma.github.io/Logging_0188/kartor/A 11995-2024 karta.png", "A 11995-2024")</f>
        <v/>
      </c>
      <c r="V111">
        <f>HYPERLINK("https://klasma.github.io/Logging_0188/klagomål/A 11995-2024 FSC-klagomål.docx", "A 11995-2024")</f>
        <v/>
      </c>
      <c r="W111">
        <f>HYPERLINK("https://klasma.github.io/Logging_0188/klagomålsmail/A 11995-2024 FSC-klagomål mail.docx", "A 11995-2024")</f>
        <v/>
      </c>
      <c r="X111">
        <f>HYPERLINK("https://klasma.github.io/Logging_0188/tillsyn/A 11995-2024 tillsynsbegäran.docx", "A 11995-2024")</f>
        <v/>
      </c>
      <c r="Y111">
        <f>HYPERLINK("https://klasma.github.io/Logging_0188/tillsynsmail/A 11995-2024 tillsynsbegäran mail.docx", "A 11995-2024")</f>
        <v/>
      </c>
    </row>
    <row r="112" ht="15" customHeight="1">
      <c r="A112" t="inlineStr">
        <is>
          <t>A 13150-2024</t>
        </is>
      </c>
      <c r="B112" s="1" t="n">
        <v>45386</v>
      </c>
      <c r="C112" s="1" t="n">
        <v>45645</v>
      </c>
      <c r="D112" t="inlineStr">
        <is>
          <t>STOCKHOLMS LÄN</t>
        </is>
      </c>
      <c r="E112" t="inlineStr">
        <is>
          <t>NORRTÄLJE</t>
        </is>
      </c>
      <c r="G112" t="n">
        <v>7.4</v>
      </c>
      <c r="H112" t="n">
        <v>0</v>
      </c>
      <c r="I112" t="n">
        <v>1</v>
      </c>
      <c r="J112" t="n">
        <v>1</v>
      </c>
      <c r="K112" t="n">
        <v>0</v>
      </c>
      <c r="L112" t="n">
        <v>0</v>
      </c>
      <c r="M112" t="n">
        <v>0</v>
      </c>
      <c r="N112" t="n">
        <v>0</v>
      </c>
      <c r="O112" t="n">
        <v>1</v>
      </c>
      <c r="P112" t="n">
        <v>0</v>
      </c>
      <c r="Q112" t="n">
        <v>2</v>
      </c>
      <c r="R112" s="2" t="inlineStr">
        <is>
          <t>Orange taggsvamp
Mönjevaxskivling</t>
        </is>
      </c>
      <c r="S112">
        <f>HYPERLINK("https://klasma.github.io/Logging_0188/artfynd/A 13150-2024 artfynd.xlsx", "A 13150-2024")</f>
        <v/>
      </c>
      <c r="T112">
        <f>HYPERLINK("https://klasma.github.io/Logging_0188/kartor/A 13150-2024 karta.png", "A 13150-2024")</f>
        <v/>
      </c>
      <c r="V112">
        <f>HYPERLINK("https://klasma.github.io/Logging_0188/klagomål/A 13150-2024 FSC-klagomål.docx", "A 13150-2024")</f>
        <v/>
      </c>
      <c r="W112">
        <f>HYPERLINK("https://klasma.github.io/Logging_0188/klagomålsmail/A 13150-2024 FSC-klagomål mail.docx", "A 13150-2024")</f>
        <v/>
      </c>
      <c r="X112">
        <f>HYPERLINK("https://klasma.github.io/Logging_0188/tillsyn/A 13150-2024 tillsynsbegäran.docx", "A 13150-2024")</f>
        <v/>
      </c>
      <c r="Y112">
        <f>HYPERLINK("https://klasma.github.io/Logging_0188/tillsynsmail/A 13150-2024 tillsynsbegäran mail.docx", "A 13150-2024")</f>
        <v/>
      </c>
    </row>
    <row r="113" ht="15" customHeight="1">
      <c r="A113" t="inlineStr">
        <is>
          <t>A 24025-2024</t>
        </is>
      </c>
      <c r="B113" s="1" t="n">
        <v>45456</v>
      </c>
      <c r="C113" s="1" t="n">
        <v>45645</v>
      </c>
      <c r="D113" t="inlineStr">
        <is>
          <t>STOCKHOLMS LÄN</t>
        </is>
      </c>
      <c r="E113" t="inlineStr">
        <is>
          <t>NORRTÄLJE</t>
        </is>
      </c>
      <c r="G113" t="n">
        <v>6</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HYPERLINK("https://klasma.github.io/Logging_0188/artfynd/A 24025-2024 artfynd.xlsx", "A 24025-2024")</f>
        <v/>
      </c>
      <c r="T113">
        <f>HYPERLINK("https://klasma.github.io/Logging_0188/kartor/A 24025-2024 karta.png", "A 24025-2024")</f>
        <v/>
      </c>
      <c r="V113">
        <f>HYPERLINK("https://klasma.github.io/Logging_0188/klagomål/A 24025-2024 FSC-klagomål.docx", "A 24025-2024")</f>
        <v/>
      </c>
      <c r="W113">
        <f>HYPERLINK("https://klasma.github.io/Logging_0188/klagomålsmail/A 24025-2024 FSC-klagomål mail.docx", "A 24025-2024")</f>
        <v/>
      </c>
      <c r="X113">
        <f>HYPERLINK("https://klasma.github.io/Logging_0188/tillsyn/A 24025-2024 tillsynsbegäran.docx", "A 24025-2024")</f>
        <v/>
      </c>
      <c r="Y113">
        <f>HYPERLINK("https://klasma.github.io/Logging_0188/tillsynsmail/A 24025-2024 tillsynsbegäran mail.docx", "A 24025-2024")</f>
        <v/>
      </c>
    </row>
    <row r="114" ht="15" customHeight="1">
      <c r="A114" t="inlineStr">
        <is>
          <t>A 50326-2024</t>
        </is>
      </c>
      <c r="B114" s="1" t="n">
        <v>45600</v>
      </c>
      <c r="C114" s="1" t="n">
        <v>45645</v>
      </c>
      <c r="D114" t="inlineStr">
        <is>
          <t>STOCKHOLMS LÄN</t>
        </is>
      </c>
      <c r="E114" t="inlineStr">
        <is>
          <t>NORRTÄLJE</t>
        </is>
      </c>
      <c r="G114" t="n">
        <v>23.9</v>
      </c>
      <c r="H114" t="n">
        <v>1</v>
      </c>
      <c r="I114" t="n">
        <v>1</v>
      </c>
      <c r="J114" t="n">
        <v>1</v>
      </c>
      <c r="K114" t="n">
        <v>0</v>
      </c>
      <c r="L114" t="n">
        <v>0</v>
      </c>
      <c r="M114" t="n">
        <v>0</v>
      </c>
      <c r="N114" t="n">
        <v>0</v>
      </c>
      <c r="O114" t="n">
        <v>1</v>
      </c>
      <c r="P114" t="n">
        <v>0</v>
      </c>
      <c r="Q114" t="n">
        <v>2</v>
      </c>
      <c r="R114" s="2" t="inlineStr">
        <is>
          <t>Sommarfibbla
Nästrot</t>
        </is>
      </c>
      <c r="S114">
        <f>HYPERLINK("https://klasma.github.io/Logging_0188/artfynd/A 50326-2024 artfynd.xlsx", "A 50326-2024")</f>
        <v/>
      </c>
      <c r="T114">
        <f>HYPERLINK("https://klasma.github.io/Logging_0188/kartor/A 50326-2024 karta.png", "A 50326-2024")</f>
        <v/>
      </c>
      <c r="V114">
        <f>HYPERLINK("https://klasma.github.io/Logging_0188/klagomål/A 50326-2024 FSC-klagomål.docx", "A 50326-2024")</f>
        <v/>
      </c>
      <c r="W114">
        <f>HYPERLINK("https://klasma.github.io/Logging_0188/klagomålsmail/A 50326-2024 FSC-klagomål mail.docx", "A 50326-2024")</f>
        <v/>
      </c>
      <c r="X114">
        <f>HYPERLINK("https://klasma.github.io/Logging_0188/tillsyn/A 50326-2024 tillsynsbegäran.docx", "A 50326-2024")</f>
        <v/>
      </c>
      <c r="Y114">
        <f>HYPERLINK("https://klasma.github.io/Logging_0188/tillsynsmail/A 50326-2024 tillsynsbegäran mail.docx", "A 50326-2024")</f>
        <v/>
      </c>
    </row>
    <row r="115" ht="15" customHeight="1">
      <c r="A115" t="inlineStr">
        <is>
          <t>A 52360-2024</t>
        </is>
      </c>
      <c r="B115" s="1" t="n">
        <v>45609</v>
      </c>
      <c r="C115" s="1" t="n">
        <v>45645</v>
      </c>
      <c r="D115" t="inlineStr">
        <is>
          <t>STOCKHOLMS LÄN</t>
        </is>
      </c>
      <c r="E115" t="inlineStr">
        <is>
          <t>NORRTÄLJE</t>
        </is>
      </c>
      <c r="G115" t="n">
        <v>2.2</v>
      </c>
      <c r="H115" t="n">
        <v>1</v>
      </c>
      <c r="I115" t="n">
        <v>1</v>
      </c>
      <c r="J115" t="n">
        <v>0</v>
      </c>
      <c r="K115" t="n">
        <v>0</v>
      </c>
      <c r="L115" t="n">
        <v>0</v>
      </c>
      <c r="M115" t="n">
        <v>0</v>
      </c>
      <c r="N115" t="n">
        <v>0</v>
      </c>
      <c r="O115" t="n">
        <v>0</v>
      </c>
      <c r="P115" t="n">
        <v>0</v>
      </c>
      <c r="Q115" t="n">
        <v>2</v>
      </c>
      <c r="R115" s="2" t="inlineStr">
        <is>
          <t>Brandticka
Blåsippa</t>
        </is>
      </c>
      <c r="S115">
        <f>HYPERLINK("https://klasma.github.io/Logging_0188/artfynd/A 52360-2024 artfynd.xlsx", "A 52360-2024")</f>
        <v/>
      </c>
      <c r="T115">
        <f>HYPERLINK("https://klasma.github.io/Logging_0188/kartor/A 52360-2024 karta.png", "A 52360-2024")</f>
        <v/>
      </c>
      <c r="V115">
        <f>HYPERLINK("https://klasma.github.io/Logging_0188/klagomål/A 52360-2024 FSC-klagomål.docx", "A 52360-2024")</f>
        <v/>
      </c>
      <c r="W115">
        <f>HYPERLINK("https://klasma.github.io/Logging_0188/klagomålsmail/A 52360-2024 FSC-klagomål mail.docx", "A 52360-2024")</f>
        <v/>
      </c>
      <c r="X115">
        <f>HYPERLINK("https://klasma.github.io/Logging_0188/tillsyn/A 52360-2024 tillsynsbegäran.docx", "A 52360-2024")</f>
        <v/>
      </c>
      <c r="Y115">
        <f>HYPERLINK("https://klasma.github.io/Logging_0188/tillsynsmail/A 52360-2024 tillsynsbegäran mail.docx", "A 52360-2024")</f>
        <v/>
      </c>
    </row>
    <row r="116" ht="15" customHeight="1">
      <c r="A116" t="inlineStr">
        <is>
          <t>A 59582-2024</t>
        </is>
      </c>
      <c r="B116" s="1" t="n">
        <v>45638</v>
      </c>
      <c r="C116" s="1" t="n">
        <v>45645</v>
      </c>
      <c r="D116" t="inlineStr">
        <is>
          <t>STOCKHOLMS LÄN</t>
        </is>
      </c>
      <c r="E116" t="inlineStr">
        <is>
          <t>NORRTÄLJE</t>
        </is>
      </c>
      <c r="F116" t="inlineStr">
        <is>
          <t>Holmen skog AB</t>
        </is>
      </c>
      <c r="G116" t="n">
        <v>2.7</v>
      </c>
      <c r="H116" t="n">
        <v>0</v>
      </c>
      <c r="I116" t="n">
        <v>2</v>
      </c>
      <c r="J116" t="n">
        <v>0</v>
      </c>
      <c r="K116" t="n">
        <v>0</v>
      </c>
      <c r="L116" t="n">
        <v>0</v>
      </c>
      <c r="M116" t="n">
        <v>0</v>
      </c>
      <c r="N116" t="n">
        <v>0</v>
      </c>
      <c r="O116" t="n">
        <v>0</v>
      </c>
      <c r="P116" t="n">
        <v>0</v>
      </c>
      <c r="Q116" t="n">
        <v>2</v>
      </c>
      <c r="R116" s="2" t="inlineStr">
        <is>
          <t>Granbräken
Spädstarr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row>
    <row r="117" ht="15" customHeight="1">
      <c r="A117" t="inlineStr">
        <is>
          <t>A 20740-2019</t>
        </is>
      </c>
      <c r="B117" s="1" t="n">
        <v>43573</v>
      </c>
      <c r="C117" s="1" t="n">
        <v>45645</v>
      </c>
      <c r="D117" t="inlineStr">
        <is>
          <t>STOCKHOLMS LÄN</t>
        </is>
      </c>
      <c r="E117" t="inlineStr">
        <is>
          <t>NORRTÄLJE</t>
        </is>
      </c>
      <c r="G117" t="n">
        <v>1.6</v>
      </c>
      <c r="H117" t="n">
        <v>0</v>
      </c>
      <c r="I117" t="n">
        <v>0</v>
      </c>
      <c r="J117" t="n">
        <v>1</v>
      </c>
      <c r="K117" t="n">
        <v>0</v>
      </c>
      <c r="L117" t="n">
        <v>0</v>
      </c>
      <c r="M117" t="n">
        <v>0</v>
      </c>
      <c r="N117" t="n">
        <v>0</v>
      </c>
      <c r="O117" t="n">
        <v>1</v>
      </c>
      <c r="P117" t="n">
        <v>0</v>
      </c>
      <c r="Q117" t="n">
        <v>1</v>
      </c>
      <c r="R117" s="2" t="inlineStr">
        <is>
          <t>Slåtterfibbla</t>
        </is>
      </c>
      <c r="S117">
        <f>HYPERLINK("https://klasma.github.io/Logging_0188/artfynd/A 20740-2019 artfynd.xlsx", "A 20740-2019")</f>
        <v/>
      </c>
      <c r="T117">
        <f>HYPERLINK("https://klasma.github.io/Logging_0188/kartor/A 20740-2019 karta.png", "A 20740-2019")</f>
        <v/>
      </c>
      <c r="V117">
        <f>HYPERLINK("https://klasma.github.io/Logging_0188/klagomål/A 20740-2019 FSC-klagomål.docx", "A 20740-2019")</f>
        <v/>
      </c>
      <c r="W117">
        <f>HYPERLINK("https://klasma.github.io/Logging_0188/klagomålsmail/A 20740-2019 FSC-klagomål mail.docx", "A 20740-2019")</f>
        <v/>
      </c>
      <c r="X117">
        <f>HYPERLINK("https://klasma.github.io/Logging_0188/tillsyn/A 20740-2019 tillsynsbegäran.docx", "A 20740-2019")</f>
        <v/>
      </c>
      <c r="Y117">
        <f>HYPERLINK("https://klasma.github.io/Logging_0188/tillsynsmail/A 20740-2019 tillsynsbegäran mail.docx", "A 20740-2019")</f>
        <v/>
      </c>
    </row>
    <row r="118" ht="15" customHeight="1">
      <c r="A118" t="inlineStr">
        <is>
          <t>A 26275-2019</t>
        </is>
      </c>
      <c r="B118" s="1" t="n">
        <v>43611</v>
      </c>
      <c r="C118" s="1" t="n">
        <v>45645</v>
      </c>
      <c r="D118" t="inlineStr">
        <is>
          <t>STOCKHOLMS LÄN</t>
        </is>
      </c>
      <c r="E118" t="inlineStr">
        <is>
          <t>NORRTÄLJE</t>
        </is>
      </c>
      <c r="G118" t="n">
        <v>0.5</v>
      </c>
      <c r="H118" t="n">
        <v>0</v>
      </c>
      <c r="I118" t="n">
        <v>1</v>
      </c>
      <c r="J118" t="n">
        <v>0</v>
      </c>
      <c r="K118" t="n">
        <v>0</v>
      </c>
      <c r="L118" t="n">
        <v>0</v>
      </c>
      <c r="M118" t="n">
        <v>0</v>
      </c>
      <c r="N118" t="n">
        <v>0</v>
      </c>
      <c r="O118" t="n">
        <v>0</v>
      </c>
      <c r="P118" t="n">
        <v>0</v>
      </c>
      <c r="Q118" t="n">
        <v>1</v>
      </c>
      <c r="R118" s="2" t="inlineStr">
        <is>
          <t>Blåmossa</t>
        </is>
      </c>
      <c r="S118">
        <f>HYPERLINK("https://klasma.github.io/Logging_0188/artfynd/A 26275-2019 artfynd.xlsx", "A 26275-2019")</f>
        <v/>
      </c>
      <c r="T118">
        <f>HYPERLINK("https://klasma.github.io/Logging_0188/kartor/A 26275-2019 karta.png", "A 26275-2019")</f>
        <v/>
      </c>
      <c r="V118">
        <f>HYPERLINK("https://klasma.github.io/Logging_0188/klagomål/A 26275-2019 FSC-klagomål.docx", "A 26275-2019")</f>
        <v/>
      </c>
      <c r="W118">
        <f>HYPERLINK("https://klasma.github.io/Logging_0188/klagomålsmail/A 26275-2019 FSC-klagomål mail.docx", "A 26275-2019")</f>
        <v/>
      </c>
      <c r="X118">
        <f>HYPERLINK("https://klasma.github.io/Logging_0188/tillsyn/A 26275-2019 tillsynsbegäran.docx", "A 26275-2019")</f>
        <v/>
      </c>
      <c r="Y118">
        <f>HYPERLINK("https://klasma.github.io/Logging_0188/tillsynsmail/A 26275-2019 tillsynsbegäran mail.docx", "A 26275-2019")</f>
        <v/>
      </c>
    </row>
    <row r="119" ht="15" customHeight="1">
      <c r="A119" t="inlineStr">
        <is>
          <t>A 30011-2019</t>
        </is>
      </c>
      <c r="B119" s="1" t="n">
        <v>43633</v>
      </c>
      <c r="C119" s="1" t="n">
        <v>45645</v>
      </c>
      <c r="D119" t="inlineStr">
        <is>
          <t>STOCKHOLMS LÄN</t>
        </is>
      </c>
      <c r="E119" t="inlineStr">
        <is>
          <t>NORRTÄLJE</t>
        </is>
      </c>
      <c r="G119" t="n">
        <v>2.6</v>
      </c>
      <c r="H119" t="n">
        <v>0</v>
      </c>
      <c r="I119" t="n">
        <v>1</v>
      </c>
      <c r="J119" t="n">
        <v>0</v>
      </c>
      <c r="K119" t="n">
        <v>0</v>
      </c>
      <c r="L119" t="n">
        <v>0</v>
      </c>
      <c r="M119" t="n">
        <v>0</v>
      </c>
      <c r="N119" t="n">
        <v>0</v>
      </c>
      <c r="O119" t="n">
        <v>0</v>
      </c>
      <c r="P119" t="n">
        <v>0</v>
      </c>
      <c r="Q119" t="n">
        <v>1</v>
      </c>
      <c r="R119" s="2" t="inlineStr">
        <is>
          <t>Tibast</t>
        </is>
      </c>
      <c r="S119">
        <f>HYPERLINK("https://klasma.github.io/Logging_0188/artfynd/A 30011-2019 artfynd.xlsx", "A 30011-2019")</f>
        <v/>
      </c>
      <c r="T119">
        <f>HYPERLINK("https://klasma.github.io/Logging_0188/kartor/A 30011-2019 karta.png", "A 30011-2019")</f>
        <v/>
      </c>
      <c r="V119">
        <f>HYPERLINK("https://klasma.github.io/Logging_0188/klagomål/A 30011-2019 FSC-klagomål.docx", "A 30011-2019")</f>
        <v/>
      </c>
      <c r="W119">
        <f>HYPERLINK("https://klasma.github.io/Logging_0188/klagomålsmail/A 30011-2019 FSC-klagomål mail.docx", "A 30011-2019")</f>
        <v/>
      </c>
      <c r="X119">
        <f>HYPERLINK("https://klasma.github.io/Logging_0188/tillsyn/A 30011-2019 tillsynsbegäran.docx", "A 30011-2019")</f>
        <v/>
      </c>
      <c r="Y119">
        <f>HYPERLINK("https://klasma.github.io/Logging_0188/tillsynsmail/A 30011-2019 tillsynsbegäran mail.docx", "A 30011-2019")</f>
        <v/>
      </c>
    </row>
    <row r="120" ht="15" customHeight="1">
      <c r="A120" t="inlineStr">
        <is>
          <t>A 38137-2019</t>
        </is>
      </c>
      <c r="B120" s="1" t="n">
        <v>43684</v>
      </c>
      <c r="C120" s="1" t="n">
        <v>45645</v>
      </c>
      <c r="D120" t="inlineStr">
        <is>
          <t>STOCKHOLMS LÄN</t>
        </is>
      </c>
      <c r="E120" t="inlineStr">
        <is>
          <t>NORRTÄLJE</t>
        </is>
      </c>
      <c r="G120" t="n">
        <v>12.9</v>
      </c>
      <c r="H120" t="n">
        <v>0</v>
      </c>
      <c r="I120" t="n">
        <v>0</v>
      </c>
      <c r="J120" t="n">
        <v>1</v>
      </c>
      <c r="K120" t="n">
        <v>0</v>
      </c>
      <c r="L120" t="n">
        <v>0</v>
      </c>
      <c r="M120" t="n">
        <v>0</v>
      </c>
      <c r="N120" t="n">
        <v>0</v>
      </c>
      <c r="O120" t="n">
        <v>1</v>
      </c>
      <c r="P120" t="n">
        <v>0</v>
      </c>
      <c r="Q120" t="n">
        <v>1</v>
      </c>
      <c r="R120" s="2" t="inlineStr">
        <is>
          <t>Rutskinn</t>
        </is>
      </c>
      <c r="S120">
        <f>HYPERLINK("https://klasma.github.io/Logging_0188/artfynd/A 38137-2019 artfynd.xlsx", "A 38137-2019")</f>
        <v/>
      </c>
      <c r="T120">
        <f>HYPERLINK("https://klasma.github.io/Logging_0188/kartor/A 38137-2019 karta.png", "A 38137-2019")</f>
        <v/>
      </c>
      <c r="V120">
        <f>HYPERLINK("https://klasma.github.io/Logging_0188/klagomål/A 38137-2019 FSC-klagomål.docx", "A 38137-2019")</f>
        <v/>
      </c>
      <c r="W120">
        <f>HYPERLINK("https://klasma.github.io/Logging_0188/klagomålsmail/A 38137-2019 FSC-klagomål mail.docx", "A 38137-2019")</f>
        <v/>
      </c>
      <c r="X120">
        <f>HYPERLINK("https://klasma.github.io/Logging_0188/tillsyn/A 38137-2019 tillsynsbegäran.docx", "A 38137-2019")</f>
        <v/>
      </c>
      <c r="Y120">
        <f>HYPERLINK("https://klasma.github.io/Logging_0188/tillsynsmail/A 38137-2019 tillsynsbegäran mail.docx", "A 38137-2019")</f>
        <v/>
      </c>
    </row>
    <row r="121" ht="15" customHeight="1">
      <c r="A121" t="inlineStr">
        <is>
          <t>A 62848-2019</t>
        </is>
      </c>
      <c r="B121" s="1" t="n">
        <v>43790</v>
      </c>
      <c r="C121" s="1" t="n">
        <v>45645</v>
      </c>
      <c r="D121" t="inlineStr">
        <is>
          <t>STOCKHOLMS LÄN</t>
        </is>
      </c>
      <c r="E121" t="inlineStr">
        <is>
          <t>NORRTÄLJE</t>
        </is>
      </c>
      <c r="F121" t="inlineStr">
        <is>
          <t>Holmen skog AB</t>
        </is>
      </c>
      <c r="G121" t="n">
        <v>6.6</v>
      </c>
      <c r="H121" t="n">
        <v>1</v>
      </c>
      <c r="I121" t="n">
        <v>0</v>
      </c>
      <c r="J121" t="n">
        <v>0</v>
      </c>
      <c r="K121" t="n">
        <v>0</v>
      </c>
      <c r="L121" t="n">
        <v>1</v>
      </c>
      <c r="M121" t="n">
        <v>0</v>
      </c>
      <c r="N121" t="n">
        <v>0</v>
      </c>
      <c r="O121" t="n">
        <v>1</v>
      </c>
      <c r="P121" t="n">
        <v>1</v>
      </c>
      <c r="Q121" t="n">
        <v>1</v>
      </c>
      <c r="R121" s="2" t="inlineStr">
        <is>
          <t>Asknätfjäril</t>
        </is>
      </c>
      <c r="S121">
        <f>HYPERLINK("https://klasma.github.io/Logging_0188/artfynd/A 62848-2019 artfynd.xlsx", "A 62848-2019")</f>
        <v/>
      </c>
      <c r="T121">
        <f>HYPERLINK("https://klasma.github.io/Logging_0188/kartor/A 62848-2019 karta.png", "A 62848-2019")</f>
        <v/>
      </c>
      <c r="V121">
        <f>HYPERLINK("https://klasma.github.io/Logging_0188/klagomål/A 62848-2019 FSC-klagomål.docx", "A 62848-2019")</f>
        <v/>
      </c>
      <c r="W121">
        <f>HYPERLINK("https://klasma.github.io/Logging_0188/klagomålsmail/A 62848-2019 FSC-klagomål mail.docx", "A 62848-2019")</f>
        <v/>
      </c>
      <c r="X121">
        <f>HYPERLINK("https://klasma.github.io/Logging_0188/tillsyn/A 62848-2019 tillsynsbegäran.docx", "A 62848-2019")</f>
        <v/>
      </c>
      <c r="Y121">
        <f>HYPERLINK("https://klasma.github.io/Logging_0188/tillsynsmail/A 62848-2019 tillsynsbegäran mail.docx", "A 62848-2019")</f>
        <v/>
      </c>
    </row>
    <row r="122" ht="15" customHeight="1">
      <c r="A122" t="inlineStr">
        <is>
          <t>A 64849-2019</t>
        </is>
      </c>
      <c r="B122" s="1" t="n">
        <v>43801</v>
      </c>
      <c r="C122" s="1" t="n">
        <v>45645</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Skogsklocka</t>
        </is>
      </c>
      <c r="S122">
        <f>HYPERLINK("https://klasma.github.io/Logging_0188/artfynd/A 64849-2019 artfynd.xlsx", "A 64849-2019")</f>
        <v/>
      </c>
      <c r="T122">
        <f>HYPERLINK("https://klasma.github.io/Logging_0188/kartor/A 64849-2019 karta.png", "A 64849-2019")</f>
        <v/>
      </c>
      <c r="V122">
        <f>HYPERLINK("https://klasma.github.io/Logging_0188/klagomål/A 64849-2019 FSC-klagomål.docx", "A 64849-2019")</f>
        <v/>
      </c>
      <c r="W122">
        <f>HYPERLINK("https://klasma.github.io/Logging_0188/klagomålsmail/A 64849-2019 FSC-klagomål mail.docx", "A 64849-2019")</f>
        <v/>
      </c>
      <c r="X122">
        <f>HYPERLINK("https://klasma.github.io/Logging_0188/tillsyn/A 64849-2019 tillsynsbegäran.docx", "A 64849-2019")</f>
        <v/>
      </c>
      <c r="Y122">
        <f>HYPERLINK("https://klasma.github.io/Logging_0188/tillsynsmail/A 64849-2019 tillsynsbegäran mail.docx", "A 64849-2019")</f>
        <v/>
      </c>
    </row>
    <row r="123" ht="15" customHeight="1">
      <c r="A123" t="inlineStr">
        <is>
          <t>A 2808-2020</t>
        </is>
      </c>
      <c r="B123" s="1" t="n">
        <v>43850</v>
      </c>
      <c r="C123" s="1" t="n">
        <v>45645</v>
      </c>
      <c r="D123" t="inlineStr">
        <is>
          <t>STOCKHOLMS LÄN</t>
        </is>
      </c>
      <c r="E123" t="inlineStr">
        <is>
          <t>NORRTÄLJE</t>
        </is>
      </c>
      <c r="G123" t="n">
        <v>1</v>
      </c>
      <c r="H123" t="n">
        <v>1</v>
      </c>
      <c r="I123" t="n">
        <v>0</v>
      </c>
      <c r="J123" t="n">
        <v>0</v>
      </c>
      <c r="K123" t="n">
        <v>1</v>
      </c>
      <c r="L123" t="n">
        <v>0</v>
      </c>
      <c r="M123" t="n">
        <v>0</v>
      </c>
      <c r="N123" t="n">
        <v>0</v>
      </c>
      <c r="O123" t="n">
        <v>1</v>
      </c>
      <c r="P123" t="n">
        <v>1</v>
      </c>
      <c r="Q123" t="n">
        <v>1</v>
      </c>
      <c r="R123" s="2" t="inlineStr">
        <is>
          <t>Knärot</t>
        </is>
      </c>
      <c r="S123">
        <f>HYPERLINK("https://klasma.github.io/Logging_0188/artfynd/A 2808-2020 artfynd.xlsx", "A 2808-2020")</f>
        <v/>
      </c>
      <c r="T123">
        <f>HYPERLINK("https://klasma.github.io/Logging_0188/kartor/A 2808-2020 karta.png", "A 2808-2020")</f>
        <v/>
      </c>
      <c r="U123">
        <f>HYPERLINK("https://klasma.github.io/Logging_0188/knärot/A 2808-2020 karta knärot.png", "A 2808-2020")</f>
        <v/>
      </c>
      <c r="V123">
        <f>HYPERLINK("https://klasma.github.io/Logging_0188/klagomål/A 2808-2020 FSC-klagomål.docx", "A 2808-2020")</f>
        <v/>
      </c>
      <c r="W123">
        <f>HYPERLINK("https://klasma.github.io/Logging_0188/klagomålsmail/A 2808-2020 FSC-klagomål mail.docx", "A 2808-2020")</f>
        <v/>
      </c>
      <c r="X123">
        <f>HYPERLINK("https://klasma.github.io/Logging_0188/tillsyn/A 2808-2020 tillsynsbegäran.docx", "A 2808-2020")</f>
        <v/>
      </c>
      <c r="Y123">
        <f>HYPERLINK("https://klasma.github.io/Logging_0188/tillsynsmail/A 2808-2020 tillsynsbegäran mail.docx", "A 2808-2020")</f>
        <v/>
      </c>
    </row>
    <row r="124" ht="15" customHeight="1">
      <c r="A124" t="inlineStr">
        <is>
          <t>A 2796-2020</t>
        </is>
      </c>
      <c r="B124" s="1" t="n">
        <v>43850</v>
      </c>
      <c r="C124" s="1" t="n">
        <v>45645</v>
      </c>
      <c r="D124" t="inlineStr">
        <is>
          <t>STOCKHOLMS LÄN</t>
        </is>
      </c>
      <c r="E124" t="inlineStr">
        <is>
          <t>NORRTÄLJE</t>
        </is>
      </c>
      <c r="G124" t="n">
        <v>5.6</v>
      </c>
      <c r="H124" t="n">
        <v>1</v>
      </c>
      <c r="I124" t="n">
        <v>1</v>
      </c>
      <c r="J124" t="n">
        <v>0</v>
      </c>
      <c r="K124" t="n">
        <v>0</v>
      </c>
      <c r="L124" t="n">
        <v>0</v>
      </c>
      <c r="M124" t="n">
        <v>0</v>
      </c>
      <c r="N124" t="n">
        <v>0</v>
      </c>
      <c r="O124" t="n">
        <v>0</v>
      </c>
      <c r="P124" t="n">
        <v>0</v>
      </c>
      <c r="Q124" t="n">
        <v>1</v>
      </c>
      <c r="R124" s="2" t="inlineStr">
        <is>
          <t>Spindelblomster</t>
        </is>
      </c>
      <c r="S124">
        <f>HYPERLINK("https://klasma.github.io/Logging_0188/artfynd/A 2796-2020 artfynd.xlsx", "A 2796-2020")</f>
        <v/>
      </c>
      <c r="T124">
        <f>HYPERLINK("https://klasma.github.io/Logging_0188/kartor/A 2796-2020 karta.png", "A 2796-2020")</f>
        <v/>
      </c>
      <c r="V124">
        <f>HYPERLINK("https://klasma.github.io/Logging_0188/klagomål/A 2796-2020 FSC-klagomål.docx", "A 2796-2020")</f>
        <v/>
      </c>
      <c r="W124">
        <f>HYPERLINK("https://klasma.github.io/Logging_0188/klagomålsmail/A 2796-2020 FSC-klagomål mail.docx", "A 2796-2020")</f>
        <v/>
      </c>
      <c r="X124">
        <f>HYPERLINK("https://klasma.github.io/Logging_0188/tillsyn/A 2796-2020 tillsynsbegäran.docx", "A 2796-2020")</f>
        <v/>
      </c>
      <c r="Y124">
        <f>HYPERLINK("https://klasma.github.io/Logging_0188/tillsynsmail/A 2796-2020 tillsynsbegäran mail.docx", "A 2796-2020")</f>
        <v/>
      </c>
    </row>
    <row r="125" ht="15" customHeight="1">
      <c r="A125" t="inlineStr">
        <is>
          <t>A 9051-2020</t>
        </is>
      </c>
      <c r="B125" s="1" t="n">
        <v>43879</v>
      </c>
      <c r="C125" s="1" t="n">
        <v>45645</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9051-2020 artfynd.xlsx", "A 9051-2020")</f>
        <v/>
      </c>
      <c r="T125">
        <f>HYPERLINK("https://klasma.github.io/Logging_0188/kartor/A 9051-2020 karta.png", "A 9051-2020")</f>
        <v/>
      </c>
      <c r="V125">
        <f>HYPERLINK("https://klasma.github.io/Logging_0188/klagomål/A 9051-2020 FSC-klagomål.docx", "A 9051-2020")</f>
        <v/>
      </c>
      <c r="W125">
        <f>HYPERLINK("https://klasma.github.io/Logging_0188/klagomålsmail/A 9051-2020 FSC-klagomål mail.docx", "A 9051-2020")</f>
        <v/>
      </c>
      <c r="X125">
        <f>HYPERLINK("https://klasma.github.io/Logging_0188/tillsyn/A 9051-2020 tillsynsbegäran.docx", "A 9051-2020")</f>
        <v/>
      </c>
      <c r="Y125">
        <f>HYPERLINK("https://klasma.github.io/Logging_0188/tillsynsmail/A 9051-2020 tillsynsbegäran mail.docx", "A 9051-2020")</f>
        <v/>
      </c>
    </row>
    <row r="126" ht="15" customHeight="1">
      <c r="A126" t="inlineStr">
        <is>
          <t>A 12843-2020</t>
        </is>
      </c>
      <c r="B126" s="1" t="n">
        <v>43899</v>
      </c>
      <c r="C126" s="1" t="n">
        <v>45645</v>
      </c>
      <c r="D126" t="inlineStr">
        <is>
          <t>STOCKHOLMS LÄN</t>
        </is>
      </c>
      <c r="E126" t="inlineStr">
        <is>
          <t>NORRTÄLJE</t>
        </is>
      </c>
      <c r="G126" t="n">
        <v>7.5</v>
      </c>
      <c r="H126" t="n">
        <v>1</v>
      </c>
      <c r="I126" t="n">
        <v>0</v>
      </c>
      <c r="J126" t="n">
        <v>1</v>
      </c>
      <c r="K126" t="n">
        <v>0</v>
      </c>
      <c r="L126" t="n">
        <v>0</v>
      </c>
      <c r="M126" t="n">
        <v>0</v>
      </c>
      <c r="N126" t="n">
        <v>0</v>
      </c>
      <c r="O126" t="n">
        <v>1</v>
      </c>
      <c r="P126" t="n">
        <v>0</v>
      </c>
      <c r="Q126" t="n">
        <v>1</v>
      </c>
      <c r="R126" s="2" t="inlineStr">
        <is>
          <t>Talltita</t>
        </is>
      </c>
      <c r="S126">
        <f>HYPERLINK("https://klasma.github.io/Logging_0188/artfynd/A 12843-2020 artfynd.xlsx", "A 12843-2020")</f>
        <v/>
      </c>
      <c r="T126">
        <f>HYPERLINK("https://klasma.github.io/Logging_0188/kartor/A 12843-2020 karta.png", "A 12843-2020")</f>
        <v/>
      </c>
      <c r="V126">
        <f>HYPERLINK("https://klasma.github.io/Logging_0188/klagomål/A 12843-2020 FSC-klagomål.docx", "A 12843-2020")</f>
        <v/>
      </c>
      <c r="W126">
        <f>HYPERLINK("https://klasma.github.io/Logging_0188/klagomålsmail/A 12843-2020 FSC-klagomål mail.docx", "A 12843-2020")</f>
        <v/>
      </c>
      <c r="X126">
        <f>HYPERLINK("https://klasma.github.io/Logging_0188/tillsyn/A 12843-2020 tillsynsbegäran.docx", "A 12843-2020")</f>
        <v/>
      </c>
      <c r="Y126">
        <f>HYPERLINK("https://klasma.github.io/Logging_0188/tillsynsmail/A 12843-2020 tillsynsbegäran mail.docx", "A 12843-2020")</f>
        <v/>
      </c>
      <c r="Z126">
        <f>HYPERLINK("https://klasma.github.io/Logging_0188/fåglar/A 12843-2020 prioriterade fågelarter.docx", "A 12843-2020")</f>
        <v/>
      </c>
    </row>
    <row r="127" ht="15" customHeight="1">
      <c r="A127" t="inlineStr">
        <is>
          <t>A 28380-2020</t>
        </is>
      </c>
      <c r="B127" s="1" t="n">
        <v>43998</v>
      </c>
      <c r="C127" s="1" t="n">
        <v>45645</v>
      </c>
      <c r="D127" t="inlineStr">
        <is>
          <t>STOCKHOLMS LÄN</t>
        </is>
      </c>
      <c r="E127" t="inlineStr">
        <is>
          <t>NORRTÄLJE</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28380-2020 artfynd.xlsx", "A 28380-2020")</f>
        <v/>
      </c>
      <c r="T127">
        <f>HYPERLINK("https://klasma.github.io/Logging_0188/kartor/A 28380-2020 karta.png", "A 28380-2020")</f>
        <v/>
      </c>
      <c r="V127">
        <f>HYPERLINK("https://klasma.github.io/Logging_0188/klagomål/A 28380-2020 FSC-klagomål.docx", "A 28380-2020")</f>
        <v/>
      </c>
      <c r="W127">
        <f>HYPERLINK("https://klasma.github.io/Logging_0188/klagomålsmail/A 28380-2020 FSC-klagomål mail.docx", "A 28380-2020")</f>
        <v/>
      </c>
      <c r="X127">
        <f>HYPERLINK("https://klasma.github.io/Logging_0188/tillsyn/A 28380-2020 tillsynsbegäran.docx", "A 28380-2020")</f>
        <v/>
      </c>
      <c r="Y127">
        <f>HYPERLINK("https://klasma.github.io/Logging_0188/tillsynsmail/A 28380-2020 tillsynsbegäran mail.docx", "A 28380-2020")</f>
        <v/>
      </c>
    </row>
    <row r="128" ht="15" customHeight="1">
      <c r="A128" t="inlineStr">
        <is>
          <t>A 48288-2020</t>
        </is>
      </c>
      <c r="B128" s="1" t="n">
        <v>44102</v>
      </c>
      <c r="C128" s="1" t="n">
        <v>45645</v>
      </c>
      <c r="D128" t="inlineStr">
        <is>
          <t>STOCKHOLMS LÄN</t>
        </is>
      </c>
      <c r="E128" t="inlineStr">
        <is>
          <t>NORRTÄLJE</t>
        </is>
      </c>
      <c r="F128" t="inlineStr">
        <is>
          <t>Holmen skog AB</t>
        </is>
      </c>
      <c r="G128" t="n">
        <v>2.9</v>
      </c>
      <c r="H128" t="n">
        <v>1</v>
      </c>
      <c r="I128" t="n">
        <v>0</v>
      </c>
      <c r="J128" t="n">
        <v>0</v>
      </c>
      <c r="K128" t="n">
        <v>0</v>
      </c>
      <c r="L128" t="n">
        <v>1</v>
      </c>
      <c r="M128" t="n">
        <v>0</v>
      </c>
      <c r="N128" t="n">
        <v>0</v>
      </c>
      <c r="O128" t="n">
        <v>1</v>
      </c>
      <c r="P128" t="n">
        <v>1</v>
      </c>
      <c r="Q128" t="n">
        <v>1</v>
      </c>
      <c r="R128" s="2" t="inlineStr">
        <is>
          <t>Asknätfjäril</t>
        </is>
      </c>
      <c r="S128">
        <f>HYPERLINK("https://klasma.github.io/Logging_0188/artfynd/A 48288-2020 artfynd.xlsx", "A 48288-2020")</f>
        <v/>
      </c>
      <c r="T128">
        <f>HYPERLINK("https://klasma.github.io/Logging_0188/kartor/A 48288-2020 karta.png", "A 48288-2020")</f>
        <v/>
      </c>
      <c r="V128">
        <f>HYPERLINK("https://klasma.github.io/Logging_0188/klagomål/A 48288-2020 FSC-klagomål.docx", "A 48288-2020")</f>
        <v/>
      </c>
      <c r="W128">
        <f>HYPERLINK("https://klasma.github.io/Logging_0188/klagomålsmail/A 48288-2020 FSC-klagomål mail.docx", "A 48288-2020")</f>
        <v/>
      </c>
      <c r="X128">
        <f>HYPERLINK("https://klasma.github.io/Logging_0188/tillsyn/A 48288-2020 tillsynsbegäran.docx", "A 48288-2020")</f>
        <v/>
      </c>
      <c r="Y128">
        <f>HYPERLINK("https://klasma.github.io/Logging_0188/tillsynsmail/A 48288-2020 tillsynsbegäran mail.docx", "A 48288-2020")</f>
        <v/>
      </c>
    </row>
    <row r="129" ht="15" customHeight="1">
      <c r="A129" t="inlineStr">
        <is>
          <t>A 62846-2020</t>
        </is>
      </c>
      <c r="B129" s="1" t="n">
        <v>44161</v>
      </c>
      <c r="C129" s="1" t="n">
        <v>45645</v>
      </c>
      <c r="D129" t="inlineStr">
        <is>
          <t>STOCKHOLMS LÄN</t>
        </is>
      </c>
      <c r="E129" t="inlineStr">
        <is>
          <t>NORRTÄLJE</t>
        </is>
      </c>
      <c r="G129" t="n">
        <v>1.4</v>
      </c>
      <c r="H129" t="n">
        <v>1</v>
      </c>
      <c r="I129" t="n">
        <v>0</v>
      </c>
      <c r="J129" t="n">
        <v>0</v>
      </c>
      <c r="K129" t="n">
        <v>0</v>
      </c>
      <c r="L129" t="n">
        <v>0</v>
      </c>
      <c r="M129" t="n">
        <v>0</v>
      </c>
      <c r="N129" t="n">
        <v>0</v>
      </c>
      <c r="O129" t="n">
        <v>0</v>
      </c>
      <c r="P129" t="n">
        <v>0</v>
      </c>
      <c r="Q129" t="n">
        <v>1</v>
      </c>
      <c r="R129" s="2" t="inlineStr">
        <is>
          <t>Fläcknycklar</t>
        </is>
      </c>
      <c r="S129">
        <f>HYPERLINK("https://klasma.github.io/Logging_0188/artfynd/A 62846-2020 artfynd.xlsx", "A 62846-2020")</f>
        <v/>
      </c>
      <c r="T129">
        <f>HYPERLINK("https://klasma.github.io/Logging_0188/kartor/A 62846-2020 karta.png", "A 62846-2020")</f>
        <v/>
      </c>
      <c r="V129">
        <f>HYPERLINK("https://klasma.github.io/Logging_0188/klagomål/A 62846-2020 FSC-klagomål.docx", "A 62846-2020")</f>
        <v/>
      </c>
      <c r="W129">
        <f>HYPERLINK("https://klasma.github.io/Logging_0188/klagomålsmail/A 62846-2020 FSC-klagomål mail.docx", "A 62846-2020")</f>
        <v/>
      </c>
      <c r="X129">
        <f>HYPERLINK("https://klasma.github.io/Logging_0188/tillsyn/A 62846-2020 tillsynsbegäran.docx", "A 62846-2020")</f>
        <v/>
      </c>
      <c r="Y129">
        <f>HYPERLINK("https://klasma.github.io/Logging_0188/tillsynsmail/A 62846-2020 tillsynsbegäran mail.docx", "A 62846-2020")</f>
        <v/>
      </c>
    </row>
    <row r="130" ht="15" customHeight="1">
      <c r="A130" t="inlineStr">
        <is>
          <t>A 1162-2021</t>
        </is>
      </c>
      <c r="B130" s="1" t="n">
        <v>44207</v>
      </c>
      <c r="C130" s="1" t="n">
        <v>45645</v>
      </c>
      <c r="D130" t="inlineStr">
        <is>
          <t>STOCKHOLMS LÄN</t>
        </is>
      </c>
      <c r="E130" t="inlineStr">
        <is>
          <t>NORRTÄLJE</t>
        </is>
      </c>
      <c r="G130" t="n">
        <v>2.2</v>
      </c>
      <c r="H130" t="n">
        <v>1</v>
      </c>
      <c r="I130" t="n">
        <v>0</v>
      </c>
      <c r="J130" t="n">
        <v>0</v>
      </c>
      <c r="K130" t="n">
        <v>1</v>
      </c>
      <c r="L130" t="n">
        <v>0</v>
      </c>
      <c r="M130" t="n">
        <v>0</v>
      </c>
      <c r="N130" t="n">
        <v>0</v>
      </c>
      <c r="O130" t="n">
        <v>1</v>
      </c>
      <c r="P130" t="n">
        <v>1</v>
      </c>
      <c r="Q130" t="n">
        <v>1</v>
      </c>
      <c r="R130" s="2" t="inlineStr">
        <is>
          <t>Hällebräcka</t>
        </is>
      </c>
      <c r="S130">
        <f>HYPERLINK("https://klasma.github.io/Logging_0188/artfynd/A 1162-2021 artfynd.xlsx", "A 1162-2021")</f>
        <v/>
      </c>
      <c r="T130">
        <f>HYPERLINK("https://klasma.github.io/Logging_0188/kartor/A 1162-2021 karta.png", "A 1162-2021")</f>
        <v/>
      </c>
      <c r="V130">
        <f>HYPERLINK("https://klasma.github.io/Logging_0188/klagomål/A 1162-2021 FSC-klagomål.docx", "A 1162-2021")</f>
        <v/>
      </c>
      <c r="W130">
        <f>HYPERLINK("https://klasma.github.io/Logging_0188/klagomålsmail/A 1162-2021 FSC-klagomål mail.docx", "A 1162-2021")</f>
        <v/>
      </c>
      <c r="X130">
        <f>HYPERLINK("https://klasma.github.io/Logging_0188/tillsyn/A 1162-2021 tillsynsbegäran.docx", "A 1162-2021")</f>
        <v/>
      </c>
      <c r="Y130">
        <f>HYPERLINK("https://klasma.github.io/Logging_0188/tillsynsmail/A 1162-2021 tillsynsbegäran mail.docx", "A 1162-2021")</f>
        <v/>
      </c>
    </row>
    <row r="131" ht="15" customHeight="1">
      <c r="A131" t="inlineStr">
        <is>
          <t>A 30138-2021</t>
        </is>
      </c>
      <c r="B131" s="1" t="n">
        <v>44363</v>
      </c>
      <c r="C131" s="1" t="n">
        <v>45645</v>
      </c>
      <c r="D131" t="inlineStr">
        <is>
          <t>STOCKHOLMS LÄN</t>
        </is>
      </c>
      <c r="E131" t="inlineStr">
        <is>
          <t>NORRTÄLJE</t>
        </is>
      </c>
      <c r="G131" t="n">
        <v>4.5</v>
      </c>
      <c r="H131" t="n">
        <v>0</v>
      </c>
      <c r="I131" t="n">
        <v>1</v>
      </c>
      <c r="J131" t="n">
        <v>0</v>
      </c>
      <c r="K131" t="n">
        <v>0</v>
      </c>
      <c r="L131" t="n">
        <v>0</v>
      </c>
      <c r="M131" t="n">
        <v>0</v>
      </c>
      <c r="N131" t="n">
        <v>0</v>
      </c>
      <c r="O131" t="n">
        <v>0</v>
      </c>
      <c r="P131" t="n">
        <v>0</v>
      </c>
      <c r="Q131" t="n">
        <v>1</v>
      </c>
      <c r="R131" s="2" t="inlineStr">
        <is>
          <t>Vårärt</t>
        </is>
      </c>
      <c r="S131">
        <f>HYPERLINK("https://klasma.github.io/Logging_0188/artfynd/A 30138-2021 artfynd.xlsx", "A 30138-2021")</f>
        <v/>
      </c>
      <c r="T131">
        <f>HYPERLINK("https://klasma.github.io/Logging_0188/kartor/A 30138-2021 karta.png", "A 30138-2021")</f>
        <v/>
      </c>
      <c r="V131">
        <f>HYPERLINK("https://klasma.github.io/Logging_0188/klagomål/A 30138-2021 FSC-klagomål.docx", "A 30138-2021")</f>
        <v/>
      </c>
      <c r="W131">
        <f>HYPERLINK("https://klasma.github.io/Logging_0188/klagomålsmail/A 30138-2021 FSC-klagomål mail.docx", "A 30138-2021")</f>
        <v/>
      </c>
      <c r="X131">
        <f>HYPERLINK("https://klasma.github.io/Logging_0188/tillsyn/A 30138-2021 tillsynsbegäran.docx", "A 30138-2021")</f>
        <v/>
      </c>
      <c r="Y131">
        <f>HYPERLINK("https://klasma.github.io/Logging_0188/tillsynsmail/A 30138-2021 tillsynsbegäran mail.docx", "A 30138-2021")</f>
        <v/>
      </c>
    </row>
    <row r="132" ht="15" customHeight="1">
      <c r="A132" t="inlineStr">
        <is>
          <t>A 33302-2021</t>
        </is>
      </c>
      <c r="B132" s="1" t="n">
        <v>44377</v>
      </c>
      <c r="C132" s="1" t="n">
        <v>45645</v>
      </c>
      <c r="D132" t="inlineStr">
        <is>
          <t>STOCKHOLMS LÄN</t>
        </is>
      </c>
      <c r="E132" t="inlineStr">
        <is>
          <t>NORRTÄLJE</t>
        </is>
      </c>
      <c r="G132" t="n">
        <v>12.5</v>
      </c>
      <c r="H132" t="n">
        <v>1</v>
      </c>
      <c r="I132" t="n">
        <v>0</v>
      </c>
      <c r="J132" t="n">
        <v>1</v>
      </c>
      <c r="K132" t="n">
        <v>0</v>
      </c>
      <c r="L132" t="n">
        <v>0</v>
      </c>
      <c r="M132" t="n">
        <v>0</v>
      </c>
      <c r="N132" t="n">
        <v>0</v>
      </c>
      <c r="O132" t="n">
        <v>1</v>
      </c>
      <c r="P132" t="n">
        <v>0</v>
      </c>
      <c r="Q132" t="n">
        <v>1</v>
      </c>
      <c r="R132" s="2" t="inlineStr">
        <is>
          <t>Spillkråka</t>
        </is>
      </c>
      <c r="S132">
        <f>HYPERLINK("https://klasma.github.io/Logging_0188/artfynd/A 33302-2021 artfynd.xlsx", "A 33302-2021")</f>
        <v/>
      </c>
      <c r="T132">
        <f>HYPERLINK("https://klasma.github.io/Logging_0188/kartor/A 33302-2021 karta.png", "A 33302-2021")</f>
        <v/>
      </c>
      <c r="V132">
        <f>HYPERLINK("https://klasma.github.io/Logging_0188/klagomål/A 33302-2021 FSC-klagomål.docx", "A 33302-2021")</f>
        <v/>
      </c>
      <c r="W132">
        <f>HYPERLINK("https://klasma.github.io/Logging_0188/klagomålsmail/A 33302-2021 FSC-klagomål mail.docx", "A 33302-2021")</f>
        <v/>
      </c>
      <c r="X132">
        <f>HYPERLINK("https://klasma.github.io/Logging_0188/tillsyn/A 33302-2021 tillsynsbegäran.docx", "A 33302-2021")</f>
        <v/>
      </c>
      <c r="Y132">
        <f>HYPERLINK("https://klasma.github.io/Logging_0188/tillsynsmail/A 33302-2021 tillsynsbegäran mail.docx", "A 33302-2021")</f>
        <v/>
      </c>
      <c r="Z132">
        <f>HYPERLINK("https://klasma.github.io/Logging_0188/fåglar/A 33302-2021 prioriterade fågelarter.docx", "A 33302-2021")</f>
        <v/>
      </c>
    </row>
    <row r="133" ht="15" customHeight="1">
      <c r="A133" t="inlineStr">
        <is>
          <t>A 58888-2021</t>
        </is>
      </c>
      <c r="B133" s="1" t="n">
        <v>44489</v>
      </c>
      <c r="C133" s="1" t="n">
        <v>45645</v>
      </c>
      <c r="D133" t="inlineStr">
        <is>
          <t>STOCKHOLMS LÄN</t>
        </is>
      </c>
      <c r="E133" t="inlineStr">
        <is>
          <t>NORRTÄLJE</t>
        </is>
      </c>
      <c r="F133" t="inlineStr">
        <is>
          <t>Holmen skog AB</t>
        </is>
      </c>
      <c r="G133" t="n">
        <v>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58888-2021 artfynd.xlsx", "A 58888-2021")</f>
        <v/>
      </c>
      <c r="T133">
        <f>HYPERLINK("https://klasma.github.io/Logging_0188/kartor/A 58888-2021 karta.png", "A 58888-2021")</f>
        <v/>
      </c>
      <c r="V133">
        <f>HYPERLINK("https://klasma.github.io/Logging_0188/klagomål/A 58888-2021 FSC-klagomål.docx", "A 58888-2021")</f>
        <v/>
      </c>
      <c r="W133">
        <f>HYPERLINK("https://klasma.github.io/Logging_0188/klagomålsmail/A 58888-2021 FSC-klagomål mail.docx", "A 58888-2021")</f>
        <v/>
      </c>
      <c r="X133">
        <f>HYPERLINK("https://klasma.github.io/Logging_0188/tillsyn/A 58888-2021 tillsynsbegäran.docx", "A 58888-2021")</f>
        <v/>
      </c>
      <c r="Y133">
        <f>HYPERLINK("https://klasma.github.io/Logging_0188/tillsynsmail/A 58888-2021 tillsynsbegäran mail.docx", "A 58888-2021")</f>
        <v/>
      </c>
    </row>
    <row r="134" ht="15" customHeight="1">
      <c r="A134" t="inlineStr">
        <is>
          <t>A 68692-2021</t>
        </is>
      </c>
      <c r="B134" s="1" t="n">
        <v>44529</v>
      </c>
      <c r="C134" s="1" t="n">
        <v>45645</v>
      </c>
      <c r="D134" t="inlineStr">
        <is>
          <t>STOCKHOLMS LÄN</t>
        </is>
      </c>
      <c r="E134" t="inlineStr">
        <is>
          <t>NORRTÄLJE</t>
        </is>
      </c>
      <c r="F134" t="inlineStr">
        <is>
          <t>Holmen skog AB</t>
        </is>
      </c>
      <c r="G134" t="n">
        <v>0.7</v>
      </c>
      <c r="H134" t="n">
        <v>1</v>
      </c>
      <c r="I134" t="n">
        <v>0</v>
      </c>
      <c r="J134" t="n">
        <v>0</v>
      </c>
      <c r="K134" t="n">
        <v>0</v>
      </c>
      <c r="L134" t="n">
        <v>1</v>
      </c>
      <c r="M134" t="n">
        <v>0</v>
      </c>
      <c r="N134" t="n">
        <v>0</v>
      </c>
      <c r="O134" t="n">
        <v>1</v>
      </c>
      <c r="P134" t="n">
        <v>1</v>
      </c>
      <c r="Q134" t="n">
        <v>1</v>
      </c>
      <c r="R134" s="2" t="inlineStr">
        <is>
          <t>Asknätfjäril</t>
        </is>
      </c>
      <c r="S134">
        <f>HYPERLINK("https://klasma.github.io/Logging_0188/artfynd/A 68692-2021 artfynd.xlsx", "A 68692-2021")</f>
        <v/>
      </c>
      <c r="T134">
        <f>HYPERLINK("https://klasma.github.io/Logging_0188/kartor/A 68692-2021 karta.png", "A 68692-2021")</f>
        <v/>
      </c>
      <c r="V134">
        <f>HYPERLINK("https://klasma.github.io/Logging_0188/klagomål/A 68692-2021 FSC-klagomål.docx", "A 68692-2021")</f>
        <v/>
      </c>
      <c r="W134">
        <f>HYPERLINK("https://klasma.github.io/Logging_0188/klagomålsmail/A 68692-2021 FSC-klagomål mail.docx", "A 68692-2021")</f>
        <v/>
      </c>
      <c r="X134">
        <f>HYPERLINK("https://klasma.github.io/Logging_0188/tillsyn/A 68692-2021 tillsynsbegäran.docx", "A 68692-2021")</f>
        <v/>
      </c>
      <c r="Y134">
        <f>HYPERLINK("https://klasma.github.io/Logging_0188/tillsynsmail/A 68692-2021 tillsynsbegäran mail.docx", "A 68692-2021")</f>
        <v/>
      </c>
    </row>
    <row r="135" ht="15" customHeight="1">
      <c r="A135" t="inlineStr">
        <is>
          <t>A 188-2022</t>
        </is>
      </c>
      <c r="B135" s="1" t="n">
        <v>44564</v>
      </c>
      <c r="C135" s="1" t="n">
        <v>45645</v>
      </c>
      <c r="D135" t="inlineStr">
        <is>
          <t>STOCKHOLMS LÄN</t>
        </is>
      </c>
      <c r="E135" t="inlineStr">
        <is>
          <t>NORRTÄLJE</t>
        </is>
      </c>
      <c r="G135" t="n">
        <v>4.1</v>
      </c>
      <c r="H135" t="n">
        <v>0</v>
      </c>
      <c r="I135" t="n">
        <v>1</v>
      </c>
      <c r="J135" t="n">
        <v>0</v>
      </c>
      <c r="K135" t="n">
        <v>0</v>
      </c>
      <c r="L135" t="n">
        <v>0</v>
      </c>
      <c r="M135" t="n">
        <v>0</v>
      </c>
      <c r="N135" t="n">
        <v>0</v>
      </c>
      <c r="O135" t="n">
        <v>0</v>
      </c>
      <c r="P135" t="n">
        <v>0</v>
      </c>
      <c r="Q135" t="n">
        <v>1</v>
      </c>
      <c r="R135" s="2" t="inlineStr">
        <is>
          <t>Svart trolldruva</t>
        </is>
      </c>
      <c r="S135">
        <f>HYPERLINK("https://klasma.github.io/Logging_0188/artfynd/A 188-2022 artfynd.xlsx", "A 188-2022")</f>
        <v/>
      </c>
      <c r="T135">
        <f>HYPERLINK("https://klasma.github.io/Logging_0188/kartor/A 188-2022 karta.png", "A 188-2022")</f>
        <v/>
      </c>
      <c r="V135">
        <f>HYPERLINK("https://klasma.github.io/Logging_0188/klagomål/A 188-2022 FSC-klagomål.docx", "A 188-2022")</f>
        <v/>
      </c>
      <c r="W135">
        <f>HYPERLINK("https://klasma.github.io/Logging_0188/klagomålsmail/A 188-2022 FSC-klagomål mail.docx", "A 188-2022")</f>
        <v/>
      </c>
      <c r="X135">
        <f>HYPERLINK("https://klasma.github.io/Logging_0188/tillsyn/A 188-2022 tillsynsbegäran.docx", "A 188-2022")</f>
        <v/>
      </c>
      <c r="Y135">
        <f>HYPERLINK("https://klasma.github.io/Logging_0188/tillsynsmail/A 188-2022 tillsynsbegäran mail.docx", "A 188-2022")</f>
        <v/>
      </c>
    </row>
    <row r="136" ht="15" customHeight="1">
      <c r="A136" t="inlineStr">
        <is>
          <t>A 1547-2022</t>
        </is>
      </c>
      <c r="B136" s="1" t="n">
        <v>44573</v>
      </c>
      <c r="C136" s="1" t="n">
        <v>45645</v>
      </c>
      <c r="D136" t="inlineStr">
        <is>
          <t>STOCKHOLMS LÄN</t>
        </is>
      </c>
      <c r="E136" t="inlineStr">
        <is>
          <t>NORRTÄLJE</t>
        </is>
      </c>
      <c r="G136" t="n">
        <v>1.8</v>
      </c>
      <c r="H136" t="n">
        <v>1</v>
      </c>
      <c r="I136" t="n">
        <v>0</v>
      </c>
      <c r="J136" t="n">
        <v>0</v>
      </c>
      <c r="K136" t="n">
        <v>1</v>
      </c>
      <c r="L136" t="n">
        <v>0</v>
      </c>
      <c r="M136" t="n">
        <v>0</v>
      </c>
      <c r="N136" t="n">
        <v>0</v>
      </c>
      <c r="O136" t="n">
        <v>1</v>
      </c>
      <c r="P136" t="n">
        <v>1</v>
      </c>
      <c r="Q136" t="n">
        <v>1</v>
      </c>
      <c r="R136" s="2" t="inlineStr">
        <is>
          <t>Hällebräcka</t>
        </is>
      </c>
      <c r="S136">
        <f>HYPERLINK("https://klasma.github.io/Logging_0188/artfynd/A 1547-2022 artfynd.xlsx", "A 1547-2022")</f>
        <v/>
      </c>
      <c r="T136">
        <f>HYPERLINK("https://klasma.github.io/Logging_0188/kartor/A 1547-2022 karta.png", "A 1547-2022")</f>
        <v/>
      </c>
      <c r="V136">
        <f>HYPERLINK("https://klasma.github.io/Logging_0188/klagomål/A 1547-2022 FSC-klagomål.docx", "A 1547-2022")</f>
        <v/>
      </c>
      <c r="W136">
        <f>HYPERLINK("https://klasma.github.io/Logging_0188/klagomålsmail/A 1547-2022 FSC-klagomål mail.docx", "A 1547-2022")</f>
        <v/>
      </c>
      <c r="X136">
        <f>HYPERLINK("https://klasma.github.io/Logging_0188/tillsyn/A 1547-2022 tillsynsbegäran.docx", "A 1547-2022")</f>
        <v/>
      </c>
      <c r="Y136">
        <f>HYPERLINK("https://klasma.github.io/Logging_0188/tillsynsmail/A 1547-2022 tillsynsbegäran mail.docx", "A 1547-2022")</f>
        <v/>
      </c>
    </row>
    <row r="137" ht="15" customHeight="1">
      <c r="A137" t="inlineStr">
        <is>
          <t>A 7172-2022</t>
        </is>
      </c>
      <c r="B137" s="1" t="n">
        <v>44604</v>
      </c>
      <c r="C137" s="1" t="n">
        <v>45645</v>
      </c>
      <c r="D137" t="inlineStr">
        <is>
          <t>STOCKHOLMS LÄN</t>
        </is>
      </c>
      <c r="E137" t="inlineStr">
        <is>
          <t>NORRTÄLJE</t>
        </is>
      </c>
      <c r="G137" t="n">
        <v>4.8</v>
      </c>
      <c r="H137" t="n">
        <v>0</v>
      </c>
      <c r="I137" t="n">
        <v>1</v>
      </c>
      <c r="J137" t="n">
        <v>0</v>
      </c>
      <c r="K137" t="n">
        <v>0</v>
      </c>
      <c r="L137" t="n">
        <v>0</v>
      </c>
      <c r="M137" t="n">
        <v>0</v>
      </c>
      <c r="N137" t="n">
        <v>0</v>
      </c>
      <c r="O137" t="n">
        <v>0</v>
      </c>
      <c r="P137" t="n">
        <v>0</v>
      </c>
      <c r="Q137" t="n">
        <v>1</v>
      </c>
      <c r="R137" s="2" t="inlineStr">
        <is>
          <t>Trådticka</t>
        </is>
      </c>
      <c r="S137">
        <f>HYPERLINK("https://klasma.github.io/Logging_0188/artfynd/A 7172-2022 artfynd.xlsx", "A 7172-2022")</f>
        <v/>
      </c>
      <c r="T137">
        <f>HYPERLINK("https://klasma.github.io/Logging_0188/kartor/A 7172-2022 karta.png", "A 7172-2022")</f>
        <v/>
      </c>
      <c r="U137">
        <f>HYPERLINK("https://klasma.github.io/Logging_0188/knärot/A 7172-2022 karta knärot.png", "A 7172-2022")</f>
        <v/>
      </c>
      <c r="V137">
        <f>HYPERLINK("https://klasma.github.io/Logging_0188/klagomål/A 7172-2022 FSC-klagomål.docx", "A 7172-2022")</f>
        <v/>
      </c>
      <c r="W137">
        <f>HYPERLINK("https://klasma.github.io/Logging_0188/klagomålsmail/A 7172-2022 FSC-klagomål mail.docx", "A 7172-2022")</f>
        <v/>
      </c>
      <c r="X137">
        <f>HYPERLINK("https://klasma.github.io/Logging_0188/tillsyn/A 7172-2022 tillsynsbegäran.docx", "A 7172-2022")</f>
        <v/>
      </c>
      <c r="Y137">
        <f>HYPERLINK("https://klasma.github.io/Logging_0188/tillsynsmail/A 7172-2022 tillsynsbegäran mail.docx", "A 7172-2022")</f>
        <v/>
      </c>
    </row>
    <row r="138" ht="15" customHeight="1">
      <c r="A138" t="inlineStr">
        <is>
          <t>A 9955-2022</t>
        </is>
      </c>
      <c r="B138" s="1" t="n">
        <v>44620</v>
      </c>
      <c r="C138" s="1" t="n">
        <v>45645</v>
      </c>
      <c r="D138" t="inlineStr">
        <is>
          <t>STOCKHOLMS LÄN</t>
        </is>
      </c>
      <c r="E138" t="inlineStr">
        <is>
          <t>NORRTÄLJE</t>
        </is>
      </c>
      <c r="G138" t="n">
        <v>7.8</v>
      </c>
      <c r="H138" t="n">
        <v>1</v>
      </c>
      <c r="I138" t="n">
        <v>0</v>
      </c>
      <c r="J138" t="n">
        <v>0</v>
      </c>
      <c r="K138" t="n">
        <v>0</v>
      </c>
      <c r="L138" t="n">
        <v>0</v>
      </c>
      <c r="M138" t="n">
        <v>0</v>
      </c>
      <c r="N138" t="n">
        <v>0</v>
      </c>
      <c r="O138" t="n">
        <v>0</v>
      </c>
      <c r="P138" t="n">
        <v>0</v>
      </c>
      <c r="Q138" t="n">
        <v>1</v>
      </c>
      <c r="R138" s="2" t="inlineStr">
        <is>
          <t>Åkergroda</t>
        </is>
      </c>
      <c r="S138">
        <f>HYPERLINK("https://klasma.github.io/Logging_0188/artfynd/A 9955-2022 artfynd.xlsx", "A 9955-2022")</f>
        <v/>
      </c>
      <c r="T138">
        <f>HYPERLINK("https://klasma.github.io/Logging_0188/kartor/A 9955-2022 karta.png", "A 9955-2022")</f>
        <v/>
      </c>
      <c r="V138">
        <f>HYPERLINK("https://klasma.github.io/Logging_0188/klagomål/A 9955-2022 FSC-klagomål.docx", "A 9955-2022")</f>
        <v/>
      </c>
      <c r="W138">
        <f>HYPERLINK("https://klasma.github.io/Logging_0188/klagomålsmail/A 9955-2022 FSC-klagomål mail.docx", "A 9955-2022")</f>
        <v/>
      </c>
      <c r="X138">
        <f>HYPERLINK("https://klasma.github.io/Logging_0188/tillsyn/A 9955-2022 tillsynsbegäran.docx", "A 9955-2022")</f>
        <v/>
      </c>
      <c r="Y138">
        <f>HYPERLINK("https://klasma.github.io/Logging_0188/tillsynsmail/A 9955-2022 tillsynsbegäran mail.docx", "A 9955-2022")</f>
        <v/>
      </c>
    </row>
    <row r="139" ht="15" customHeight="1">
      <c r="A139" t="inlineStr">
        <is>
          <t>A 10712-2022</t>
        </is>
      </c>
      <c r="B139" s="1" t="n">
        <v>44626</v>
      </c>
      <c r="C139" s="1" t="n">
        <v>45645</v>
      </c>
      <c r="D139" t="inlineStr">
        <is>
          <t>STOCKHOLMS LÄN</t>
        </is>
      </c>
      <c r="E139" t="inlineStr">
        <is>
          <t>NORRTÄLJE</t>
        </is>
      </c>
      <c r="G139" t="n">
        <v>4.5</v>
      </c>
      <c r="H139" t="n">
        <v>1</v>
      </c>
      <c r="I139" t="n">
        <v>0</v>
      </c>
      <c r="J139" t="n">
        <v>0</v>
      </c>
      <c r="K139" t="n">
        <v>0</v>
      </c>
      <c r="L139" t="n">
        <v>0</v>
      </c>
      <c r="M139" t="n">
        <v>0</v>
      </c>
      <c r="N139" t="n">
        <v>0</v>
      </c>
      <c r="O139" t="n">
        <v>0</v>
      </c>
      <c r="P139" t="n">
        <v>0</v>
      </c>
      <c r="Q139" t="n">
        <v>1</v>
      </c>
      <c r="R139" s="2" t="inlineStr">
        <is>
          <t>Åkergroda</t>
        </is>
      </c>
      <c r="S139">
        <f>HYPERLINK("https://klasma.github.io/Logging_0188/artfynd/A 10712-2022 artfynd.xlsx", "A 10712-2022")</f>
        <v/>
      </c>
      <c r="T139">
        <f>HYPERLINK("https://klasma.github.io/Logging_0188/kartor/A 10712-2022 karta.png", "A 10712-2022")</f>
        <v/>
      </c>
      <c r="V139">
        <f>HYPERLINK("https://klasma.github.io/Logging_0188/klagomål/A 10712-2022 FSC-klagomål.docx", "A 10712-2022")</f>
        <v/>
      </c>
      <c r="W139">
        <f>HYPERLINK("https://klasma.github.io/Logging_0188/klagomålsmail/A 10712-2022 FSC-klagomål mail.docx", "A 10712-2022")</f>
        <v/>
      </c>
      <c r="X139">
        <f>HYPERLINK("https://klasma.github.io/Logging_0188/tillsyn/A 10712-2022 tillsynsbegäran.docx", "A 10712-2022")</f>
        <v/>
      </c>
      <c r="Y139">
        <f>HYPERLINK("https://klasma.github.io/Logging_0188/tillsynsmail/A 10712-2022 tillsynsbegäran mail.docx", "A 10712-2022")</f>
        <v/>
      </c>
    </row>
    <row r="140" ht="15" customHeight="1">
      <c r="A140" t="inlineStr">
        <is>
          <t>A 14720-2022</t>
        </is>
      </c>
      <c r="B140" s="1" t="n">
        <v>44656</v>
      </c>
      <c r="C140" s="1" t="n">
        <v>45645</v>
      </c>
      <c r="D140" t="inlineStr">
        <is>
          <t>STOCKHOLMS LÄN</t>
        </is>
      </c>
      <c r="E140" t="inlineStr">
        <is>
          <t>NORRTÄLJE</t>
        </is>
      </c>
      <c r="F140" t="inlineStr">
        <is>
          <t>Sveaskog</t>
        </is>
      </c>
      <c r="G140" t="n">
        <v>5.1</v>
      </c>
      <c r="H140" t="n">
        <v>0</v>
      </c>
      <c r="I140" t="n">
        <v>0</v>
      </c>
      <c r="J140" t="n">
        <v>1</v>
      </c>
      <c r="K140" t="n">
        <v>0</v>
      </c>
      <c r="L140" t="n">
        <v>0</v>
      </c>
      <c r="M140" t="n">
        <v>0</v>
      </c>
      <c r="N140" t="n">
        <v>0</v>
      </c>
      <c r="O140" t="n">
        <v>1</v>
      </c>
      <c r="P140" t="n">
        <v>0</v>
      </c>
      <c r="Q140" t="n">
        <v>1</v>
      </c>
      <c r="R140" s="2" t="inlineStr">
        <is>
          <t>Loppstarr</t>
        </is>
      </c>
      <c r="S140">
        <f>HYPERLINK("https://klasma.github.io/Logging_0188/artfynd/A 14720-2022 artfynd.xlsx", "A 14720-2022")</f>
        <v/>
      </c>
      <c r="T140">
        <f>HYPERLINK("https://klasma.github.io/Logging_0188/kartor/A 14720-2022 karta.png", "A 14720-2022")</f>
        <v/>
      </c>
      <c r="V140">
        <f>HYPERLINK("https://klasma.github.io/Logging_0188/klagomål/A 14720-2022 FSC-klagomål.docx", "A 14720-2022")</f>
        <v/>
      </c>
      <c r="W140">
        <f>HYPERLINK("https://klasma.github.io/Logging_0188/klagomålsmail/A 14720-2022 FSC-klagomål mail.docx", "A 14720-2022")</f>
        <v/>
      </c>
      <c r="X140">
        <f>HYPERLINK("https://klasma.github.io/Logging_0188/tillsyn/A 14720-2022 tillsynsbegäran.docx", "A 14720-2022")</f>
        <v/>
      </c>
      <c r="Y140">
        <f>HYPERLINK("https://klasma.github.io/Logging_0188/tillsynsmail/A 14720-2022 tillsynsbegäran mail.docx", "A 14720-2022")</f>
        <v/>
      </c>
    </row>
    <row r="141" ht="15" customHeight="1">
      <c r="A141" t="inlineStr">
        <is>
          <t>A 16539-2022</t>
        </is>
      </c>
      <c r="B141" s="1" t="n">
        <v>44672</v>
      </c>
      <c r="C141" s="1" t="n">
        <v>45645</v>
      </c>
      <c r="D141" t="inlineStr">
        <is>
          <t>STOCKHOLMS LÄN</t>
        </is>
      </c>
      <c r="E141" t="inlineStr">
        <is>
          <t>NORRTÄLJE</t>
        </is>
      </c>
      <c r="G141" t="n">
        <v>8.6</v>
      </c>
      <c r="H141" t="n">
        <v>1</v>
      </c>
      <c r="I141" t="n">
        <v>1</v>
      </c>
      <c r="J141" t="n">
        <v>0</v>
      </c>
      <c r="K141" t="n">
        <v>0</v>
      </c>
      <c r="L141" t="n">
        <v>0</v>
      </c>
      <c r="M141" t="n">
        <v>0</v>
      </c>
      <c r="N141" t="n">
        <v>0</v>
      </c>
      <c r="O141" t="n">
        <v>0</v>
      </c>
      <c r="P141" t="n">
        <v>0</v>
      </c>
      <c r="Q141" t="n">
        <v>1</v>
      </c>
      <c r="R141" s="2" t="inlineStr">
        <is>
          <t>Nästrot</t>
        </is>
      </c>
      <c r="S141">
        <f>HYPERLINK("https://klasma.github.io/Logging_0188/artfynd/A 16539-2022 artfynd.xlsx", "A 16539-2022")</f>
        <v/>
      </c>
      <c r="T141">
        <f>HYPERLINK("https://klasma.github.io/Logging_0188/kartor/A 16539-2022 karta.png", "A 16539-2022")</f>
        <v/>
      </c>
      <c r="V141">
        <f>HYPERLINK("https://klasma.github.io/Logging_0188/klagomål/A 16539-2022 FSC-klagomål.docx", "A 16539-2022")</f>
        <v/>
      </c>
      <c r="W141">
        <f>HYPERLINK("https://klasma.github.io/Logging_0188/klagomålsmail/A 16539-2022 FSC-klagomål mail.docx", "A 16539-2022")</f>
        <v/>
      </c>
      <c r="X141">
        <f>HYPERLINK("https://klasma.github.io/Logging_0188/tillsyn/A 16539-2022 tillsynsbegäran.docx", "A 16539-2022")</f>
        <v/>
      </c>
      <c r="Y141">
        <f>HYPERLINK("https://klasma.github.io/Logging_0188/tillsynsmail/A 16539-2022 tillsynsbegäran mail.docx", "A 16539-2022")</f>
        <v/>
      </c>
    </row>
    <row r="142" ht="15" customHeight="1">
      <c r="A142" t="inlineStr">
        <is>
          <t>A 19829-2022</t>
        </is>
      </c>
      <c r="B142" s="1" t="n">
        <v>44695</v>
      </c>
      <c r="C142" s="1" t="n">
        <v>45645</v>
      </c>
      <c r="D142" t="inlineStr">
        <is>
          <t>STOCKHOLMS LÄN</t>
        </is>
      </c>
      <c r="E142" t="inlineStr">
        <is>
          <t>NORRTÄLJE</t>
        </is>
      </c>
      <c r="G142" t="n">
        <v>2</v>
      </c>
      <c r="H142" t="n">
        <v>1</v>
      </c>
      <c r="I142" t="n">
        <v>1</v>
      </c>
      <c r="J142" t="n">
        <v>0</v>
      </c>
      <c r="K142" t="n">
        <v>0</v>
      </c>
      <c r="L142" t="n">
        <v>0</v>
      </c>
      <c r="M142" t="n">
        <v>0</v>
      </c>
      <c r="N142" t="n">
        <v>0</v>
      </c>
      <c r="O142" t="n">
        <v>0</v>
      </c>
      <c r="P142" t="n">
        <v>0</v>
      </c>
      <c r="Q142" t="n">
        <v>1</v>
      </c>
      <c r="R142" s="2" t="inlineStr">
        <is>
          <t>Guckusko</t>
        </is>
      </c>
      <c r="S142">
        <f>HYPERLINK("https://klasma.github.io/Logging_0188/artfynd/A 19829-2022 artfynd.xlsx", "A 19829-2022")</f>
        <v/>
      </c>
      <c r="T142">
        <f>HYPERLINK("https://klasma.github.io/Logging_0188/kartor/A 19829-2022 karta.png", "A 19829-2022")</f>
        <v/>
      </c>
      <c r="V142">
        <f>HYPERLINK("https://klasma.github.io/Logging_0188/klagomål/A 19829-2022 FSC-klagomål.docx", "A 19829-2022")</f>
        <v/>
      </c>
      <c r="W142">
        <f>HYPERLINK("https://klasma.github.io/Logging_0188/klagomålsmail/A 19829-2022 FSC-klagomål mail.docx", "A 19829-2022")</f>
        <v/>
      </c>
      <c r="X142">
        <f>HYPERLINK("https://klasma.github.io/Logging_0188/tillsyn/A 19829-2022 tillsynsbegäran.docx", "A 19829-2022")</f>
        <v/>
      </c>
      <c r="Y142">
        <f>HYPERLINK("https://klasma.github.io/Logging_0188/tillsynsmail/A 19829-2022 tillsynsbegäran mail.docx", "A 19829-2022")</f>
        <v/>
      </c>
    </row>
    <row r="143" ht="15" customHeight="1">
      <c r="A143" t="inlineStr">
        <is>
          <t>A 21150-2022</t>
        </is>
      </c>
      <c r="B143" s="1" t="n">
        <v>44704</v>
      </c>
      <c r="C143" s="1" t="n">
        <v>45645</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31194-2022</t>
        </is>
      </c>
      <c r="B144" s="1" t="n">
        <v>44770</v>
      </c>
      <c r="C144" s="1" t="n">
        <v>45645</v>
      </c>
      <c r="D144" t="inlineStr">
        <is>
          <t>STOCKHOLMS LÄN</t>
        </is>
      </c>
      <c r="E144" t="inlineStr">
        <is>
          <t>NORRTÄLJE</t>
        </is>
      </c>
      <c r="G144" t="n">
        <v>2.7</v>
      </c>
      <c r="H144" t="n">
        <v>1</v>
      </c>
      <c r="I144" t="n">
        <v>0</v>
      </c>
      <c r="J144" t="n">
        <v>0</v>
      </c>
      <c r="K144" t="n">
        <v>0</v>
      </c>
      <c r="L144" t="n">
        <v>1</v>
      </c>
      <c r="M144" t="n">
        <v>0</v>
      </c>
      <c r="N144" t="n">
        <v>0</v>
      </c>
      <c r="O144" t="n">
        <v>1</v>
      </c>
      <c r="P144" t="n">
        <v>1</v>
      </c>
      <c r="Q144" t="n">
        <v>1</v>
      </c>
      <c r="R144" s="2" t="inlineStr">
        <is>
          <t>Asknätfjäril</t>
        </is>
      </c>
      <c r="S144">
        <f>HYPERLINK("https://klasma.github.io/Logging_0188/artfynd/A 31194-2022 artfynd.xlsx", "A 31194-2022")</f>
        <v/>
      </c>
      <c r="T144">
        <f>HYPERLINK("https://klasma.github.io/Logging_0188/kartor/A 31194-2022 karta.png", "A 31194-2022")</f>
        <v/>
      </c>
      <c r="V144">
        <f>HYPERLINK("https://klasma.github.io/Logging_0188/klagomål/A 31194-2022 FSC-klagomål.docx", "A 31194-2022")</f>
        <v/>
      </c>
      <c r="W144">
        <f>HYPERLINK("https://klasma.github.io/Logging_0188/klagomålsmail/A 31194-2022 FSC-klagomål mail.docx", "A 31194-2022")</f>
        <v/>
      </c>
      <c r="X144">
        <f>HYPERLINK("https://klasma.github.io/Logging_0188/tillsyn/A 31194-2022 tillsynsbegäran.docx", "A 31194-2022")</f>
        <v/>
      </c>
      <c r="Y144">
        <f>HYPERLINK("https://klasma.github.io/Logging_0188/tillsynsmail/A 31194-2022 tillsynsbegäran mail.docx", "A 31194-2022")</f>
        <v/>
      </c>
    </row>
    <row r="145" ht="15" customHeight="1">
      <c r="A145" t="inlineStr">
        <is>
          <t>A 33477-2022</t>
        </is>
      </c>
      <c r="B145" s="1" t="n">
        <v>44788</v>
      </c>
      <c r="C145" s="1" t="n">
        <v>45645</v>
      </c>
      <c r="D145" t="inlineStr">
        <is>
          <t>STOCKHOLMS LÄN</t>
        </is>
      </c>
      <c r="E145" t="inlineStr">
        <is>
          <t>NORRTÄLJE</t>
        </is>
      </c>
      <c r="G145" t="n">
        <v>5.7</v>
      </c>
      <c r="H145" t="n">
        <v>1</v>
      </c>
      <c r="I145" t="n">
        <v>1</v>
      </c>
      <c r="J145" t="n">
        <v>0</v>
      </c>
      <c r="K145" t="n">
        <v>0</v>
      </c>
      <c r="L145" t="n">
        <v>0</v>
      </c>
      <c r="M145" t="n">
        <v>0</v>
      </c>
      <c r="N145" t="n">
        <v>0</v>
      </c>
      <c r="O145" t="n">
        <v>0</v>
      </c>
      <c r="P145" t="n">
        <v>0</v>
      </c>
      <c r="Q145" t="n">
        <v>1</v>
      </c>
      <c r="R145" s="2" t="inlineStr">
        <is>
          <t>Nästrot</t>
        </is>
      </c>
      <c r="S145">
        <f>HYPERLINK("https://klasma.github.io/Logging_0188/artfynd/A 33477-2022 artfynd.xlsx", "A 33477-2022")</f>
        <v/>
      </c>
      <c r="T145">
        <f>HYPERLINK("https://klasma.github.io/Logging_0188/kartor/A 33477-2022 karta.png", "A 33477-2022")</f>
        <v/>
      </c>
      <c r="V145">
        <f>HYPERLINK("https://klasma.github.io/Logging_0188/klagomål/A 33477-2022 FSC-klagomål.docx", "A 33477-2022")</f>
        <v/>
      </c>
      <c r="W145">
        <f>HYPERLINK("https://klasma.github.io/Logging_0188/klagomålsmail/A 33477-2022 FSC-klagomål mail.docx", "A 33477-2022")</f>
        <v/>
      </c>
      <c r="X145">
        <f>HYPERLINK("https://klasma.github.io/Logging_0188/tillsyn/A 33477-2022 tillsynsbegäran.docx", "A 33477-2022")</f>
        <v/>
      </c>
      <c r="Y145">
        <f>HYPERLINK("https://klasma.github.io/Logging_0188/tillsynsmail/A 33477-2022 tillsynsbegäran mail.docx", "A 33477-2022")</f>
        <v/>
      </c>
    </row>
    <row r="146" ht="15" customHeight="1">
      <c r="A146" t="inlineStr">
        <is>
          <t>A 37522-2022</t>
        </is>
      </c>
      <c r="B146" s="1" t="n">
        <v>44809</v>
      </c>
      <c r="C146" s="1" t="n">
        <v>45645</v>
      </c>
      <c r="D146" t="inlineStr">
        <is>
          <t>STOCKHOLMS LÄN</t>
        </is>
      </c>
      <c r="E146" t="inlineStr">
        <is>
          <t>NORRTÄLJE</t>
        </is>
      </c>
      <c r="G146" t="n">
        <v>2.4</v>
      </c>
      <c r="H146" t="n">
        <v>1</v>
      </c>
      <c r="I146" t="n">
        <v>0</v>
      </c>
      <c r="J146" t="n">
        <v>0</v>
      </c>
      <c r="K146" t="n">
        <v>0</v>
      </c>
      <c r="L146" t="n">
        <v>0</v>
      </c>
      <c r="M146" t="n">
        <v>0</v>
      </c>
      <c r="N146" t="n">
        <v>0</v>
      </c>
      <c r="O146" t="n">
        <v>0</v>
      </c>
      <c r="P146" t="n">
        <v>0</v>
      </c>
      <c r="Q146" t="n">
        <v>1</v>
      </c>
      <c r="R146" s="2" t="inlineStr">
        <is>
          <t>Blåsippa</t>
        </is>
      </c>
      <c r="S146">
        <f>HYPERLINK("https://klasma.github.io/Logging_0188/artfynd/A 37522-2022 artfynd.xlsx", "A 37522-2022")</f>
        <v/>
      </c>
      <c r="T146">
        <f>HYPERLINK("https://klasma.github.io/Logging_0188/kartor/A 37522-2022 karta.png", "A 37522-2022")</f>
        <v/>
      </c>
      <c r="V146">
        <f>HYPERLINK("https://klasma.github.io/Logging_0188/klagomål/A 37522-2022 FSC-klagomål.docx", "A 37522-2022")</f>
        <v/>
      </c>
      <c r="W146">
        <f>HYPERLINK("https://klasma.github.io/Logging_0188/klagomålsmail/A 37522-2022 FSC-klagomål mail.docx", "A 37522-2022")</f>
        <v/>
      </c>
      <c r="X146">
        <f>HYPERLINK("https://klasma.github.io/Logging_0188/tillsyn/A 37522-2022 tillsynsbegäran.docx", "A 37522-2022")</f>
        <v/>
      </c>
      <c r="Y146">
        <f>HYPERLINK("https://klasma.github.io/Logging_0188/tillsynsmail/A 37522-2022 tillsynsbegäran mail.docx", "A 37522-2022")</f>
        <v/>
      </c>
    </row>
    <row r="147" ht="15" customHeight="1">
      <c r="A147" t="inlineStr">
        <is>
          <t>A 39318-2022</t>
        </is>
      </c>
      <c r="B147" s="1" t="n">
        <v>44817</v>
      </c>
      <c r="C147" s="1" t="n">
        <v>45645</v>
      </c>
      <c r="D147" t="inlineStr">
        <is>
          <t>STOCKHOLMS LÄN</t>
        </is>
      </c>
      <c r="E147" t="inlineStr">
        <is>
          <t>NORRTÄLJE</t>
        </is>
      </c>
      <c r="G147" t="n">
        <v>2.4</v>
      </c>
      <c r="H147" t="n">
        <v>1</v>
      </c>
      <c r="I147" t="n">
        <v>0</v>
      </c>
      <c r="J147" t="n">
        <v>0</v>
      </c>
      <c r="K147" t="n">
        <v>1</v>
      </c>
      <c r="L147" t="n">
        <v>0</v>
      </c>
      <c r="M147" t="n">
        <v>0</v>
      </c>
      <c r="N147" t="n">
        <v>0</v>
      </c>
      <c r="O147" t="n">
        <v>1</v>
      </c>
      <c r="P147" t="n">
        <v>1</v>
      </c>
      <c r="Q147" t="n">
        <v>1</v>
      </c>
      <c r="R147" s="2" t="inlineStr">
        <is>
          <t>Stare</t>
        </is>
      </c>
      <c r="S147">
        <f>HYPERLINK("https://klasma.github.io/Logging_0188/artfynd/A 39318-2022 artfynd.xlsx", "A 39318-2022")</f>
        <v/>
      </c>
      <c r="T147">
        <f>HYPERLINK("https://klasma.github.io/Logging_0188/kartor/A 39318-2022 karta.png", "A 39318-2022")</f>
        <v/>
      </c>
      <c r="V147">
        <f>HYPERLINK("https://klasma.github.io/Logging_0188/klagomål/A 39318-2022 FSC-klagomål.docx", "A 39318-2022")</f>
        <v/>
      </c>
      <c r="W147">
        <f>HYPERLINK("https://klasma.github.io/Logging_0188/klagomålsmail/A 39318-2022 FSC-klagomål mail.docx", "A 39318-2022")</f>
        <v/>
      </c>
      <c r="X147">
        <f>HYPERLINK("https://klasma.github.io/Logging_0188/tillsyn/A 39318-2022 tillsynsbegäran.docx", "A 39318-2022")</f>
        <v/>
      </c>
      <c r="Y147">
        <f>HYPERLINK("https://klasma.github.io/Logging_0188/tillsynsmail/A 39318-2022 tillsynsbegäran mail.docx", "A 39318-2022")</f>
        <v/>
      </c>
    </row>
    <row r="148" ht="15" customHeight="1">
      <c r="A148" t="inlineStr">
        <is>
          <t>A 40672-2022</t>
        </is>
      </c>
      <c r="B148" s="1" t="n">
        <v>44824</v>
      </c>
      <c r="C148" s="1" t="n">
        <v>45645</v>
      </c>
      <c r="D148" t="inlineStr">
        <is>
          <t>STOCKHOLMS LÄN</t>
        </is>
      </c>
      <c r="E148" t="inlineStr">
        <is>
          <t>NORRTÄLJE</t>
        </is>
      </c>
      <c r="F148" t="inlineStr">
        <is>
          <t>Övriga Aktiebolag</t>
        </is>
      </c>
      <c r="G148" t="n">
        <v>1.3</v>
      </c>
      <c r="H148" t="n">
        <v>0</v>
      </c>
      <c r="I148" t="n">
        <v>0</v>
      </c>
      <c r="J148" t="n">
        <v>1</v>
      </c>
      <c r="K148" t="n">
        <v>0</v>
      </c>
      <c r="L148" t="n">
        <v>0</v>
      </c>
      <c r="M148" t="n">
        <v>0</v>
      </c>
      <c r="N148" t="n">
        <v>0</v>
      </c>
      <c r="O148" t="n">
        <v>1</v>
      </c>
      <c r="P148" t="n">
        <v>0</v>
      </c>
      <c r="Q148" t="n">
        <v>1</v>
      </c>
      <c r="R148" s="2" t="inlineStr">
        <is>
          <t>Månlåsbräken</t>
        </is>
      </c>
      <c r="S148">
        <f>HYPERLINK("https://klasma.github.io/Logging_0188/artfynd/A 40672-2022 artfynd.xlsx", "A 40672-2022")</f>
        <v/>
      </c>
      <c r="T148">
        <f>HYPERLINK("https://klasma.github.io/Logging_0188/kartor/A 40672-2022 karta.png", "A 40672-2022")</f>
        <v/>
      </c>
      <c r="V148">
        <f>HYPERLINK("https://klasma.github.io/Logging_0188/klagomål/A 40672-2022 FSC-klagomål.docx", "A 40672-2022")</f>
        <v/>
      </c>
      <c r="W148">
        <f>HYPERLINK("https://klasma.github.io/Logging_0188/klagomålsmail/A 40672-2022 FSC-klagomål mail.docx", "A 40672-2022")</f>
        <v/>
      </c>
      <c r="X148">
        <f>HYPERLINK("https://klasma.github.io/Logging_0188/tillsyn/A 40672-2022 tillsynsbegäran.docx", "A 40672-2022")</f>
        <v/>
      </c>
      <c r="Y148">
        <f>HYPERLINK("https://klasma.github.io/Logging_0188/tillsynsmail/A 40672-2022 tillsynsbegäran mail.docx", "A 40672-2022")</f>
        <v/>
      </c>
    </row>
    <row r="149" ht="15" customHeight="1">
      <c r="A149" t="inlineStr">
        <is>
          <t>A 44709-2022</t>
        </is>
      </c>
      <c r="B149" s="1" t="n">
        <v>44839</v>
      </c>
      <c r="C149" s="1" t="n">
        <v>45645</v>
      </c>
      <c r="D149" t="inlineStr">
        <is>
          <t>STOCKHOLMS LÄN</t>
        </is>
      </c>
      <c r="E149" t="inlineStr">
        <is>
          <t>NORRTÄLJE</t>
        </is>
      </c>
      <c r="G149" t="n">
        <v>16.3</v>
      </c>
      <c r="H149" t="n">
        <v>0</v>
      </c>
      <c r="I149" t="n">
        <v>0</v>
      </c>
      <c r="J149" t="n">
        <v>1</v>
      </c>
      <c r="K149" t="n">
        <v>0</v>
      </c>
      <c r="L149" t="n">
        <v>0</v>
      </c>
      <c r="M149" t="n">
        <v>0</v>
      </c>
      <c r="N149" t="n">
        <v>0</v>
      </c>
      <c r="O149" t="n">
        <v>1</v>
      </c>
      <c r="P149" t="n">
        <v>0</v>
      </c>
      <c r="Q149" t="n">
        <v>1</v>
      </c>
      <c r="R149" s="2" t="inlineStr">
        <is>
          <t>Asppraktbagge</t>
        </is>
      </c>
      <c r="S149">
        <f>HYPERLINK("https://klasma.github.io/Logging_0188/artfynd/A 44709-2022 artfynd.xlsx", "A 44709-2022")</f>
        <v/>
      </c>
      <c r="T149">
        <f>HYPERLINK("https://klasma.github.io/Logging_0188/kartor/A 44709-2022 karta.png", "A 44709-2022")</f>
        <v/>
      </c>
      <c r="V149">
        <f>HYPERLINK("https://klasma.github.io/Logging_0188/klagomål/A 44709-2022 FSC-klagomål.docx", "A 44709-2022")</f>
        <v/>
      </c>
      <c r="W149">
        <f>HYPERLINK("https://klasma.github.io/Logging_0188/klagomålsmail/A 44709-2022 FSC-klagomål mail.docx", "A 44709-2022")</f>
        <v/>
      </c>
      <c r="X149">
        <f>HYPERLINK("https://klasma.github.io/Logging_0188/tillsyn/A 44709-2022 tillsynsbegäran.docx", "A 44709-2022")</f>
        <v/>
      </c>
      <c r="Y149">
        <f>HYPERLINK("https://klasma.github.io/Logging_0188/tillsynsmail/A 44709-2022 tillsynsbegäran mail.docx", "A 44709-2022")</f>
        <v/>
      </c>
    </row>
    <row r="150" ht="15" customHeight="1">
      <c r="A150" t="inlineStr">
        <is>
          <t>A 47898-2022</t>
        </is>
      </c>
      <c r="B150" s="1" t="n">
        <v>44855</v>
      </c>
      <c r="C150" s="1" t="n">
        <v>45645</v>
      </c>
      <c r="D150" t="inlineStr">
        <is>
          <t>STOCKHOLMS LÄN</t>
        </is>
      </c>
      <c r="E150" t="inlineStr">
        <is>
          <t>NORRTÄLJE</t>
        </is>
      </c>
      <c r="G150" t="n">
        <v>6.7</v>
      </c>
      <c r="H150" t="n">
        <v>1</v>
      </c>
      <c r="I150" t="n">
        <v>1</v>
      </c>
      <c r="J150" t="n">
        <v>0</v>
      </c>
      <c r="K150" t="n">
        <v>0</v>
      </c>
      <c r="L150" t="n">
        <v>0</v>
      </c>
      <c r="M150" t="n">
        <v>0</v>
      </c>
      <c r="N150" t="n">
        <v>0</v>
      </c>
      <c r="O150" t="n">
        <v>0</v>
      </c>
      <c r="P150" t="n">
        <v>0</v>
      </c>
      <c r="Q150" t="n">
        <v>1</v>
      </c>
      <c r="R150" s="2" t="inlineStr">
        <is>
          <t>Guckusko</t>
        </is>
      </c>
      <c r="S150">
        <f>HYPERLINK("https://klasma.github.io/Logging_0188/artfynd/A 47898-2022 artfynd.xlsx", "A 47898-2022")</f>
        <v/>
      </c>
      <c r="T150">
        <f>HYPERLINK("https://klasma.github.io/Logging_0188/kartor/A 47898-2022 karta.png", "A 47898-2022")</f>
        <v/>
      </c>
      <c r="V150">
        <f>HYPERLINK("https://klasma.github.io/Logging_0188/klagomål/A 47898-2022 FSC-klagomål.docx", "A 47898-2022")</f>
        <v/>
      </c>
      <c r="W150">
        <f>HYPERLINK("https://klasma.github.io/Logging_0188/klagomålsmail/A 47898-2022 FSC-klagomål mail.docx", "A 47898-2022")</f>
        <v/>
      </c>
      <c r="X150">
        <f>HYPERLINK("https://klasma.github.io/Logging_0188/tillsyn/A 47898-2022 tillsynsbegäran.docx", "A 47898-2022")</f>
        <v/>
      </c>
      <c r="Y150">
        <f>HYPERLINK("https://klasma.github.io/Logging_0188/tillsynsmail/A 47898-2022 tillsynsbegäran mail.docx", "A 47898-2022")</f>
        <v/>
      </c>
    </row>
    <row r="151" ht="15" customHeight="1">
      <c r="A151" t="inlineStr">
        <is>
          <t>A 50854-2022</t>
        </is>
      </c>
      <c r="B151" s="1" t="n">
        <v>44863</v>
      </c>
      <c r="C151" s="1" t="n">
        <v>45645</v>
      </c>
      <c r="D151" t="inlineStr">
        <is>
          <t>STOCKHOLMS LÄN</t>
        </is>
      </c>
      <c r="E151" t="inlineStr">
        <is>
          <t>NORRTÄLJE</t>
        </is>
      </c>
      <c r="G151" t="n">
        <v>2.9</v>
      </c>
      <c r="H151" t="n">
        <v>0</v>
      </c>
      <c r="I151" t="n">
        <v>1</v>
      </c>
      <c r="J151" t="n">
        <v>0</v>
      </c>
      <c r="K151" t="n">
        <v>0</v>
      </c>
      <c r="L151" t="n">
        <v>0</v>
      </c>
      <c r="M151" t="n">
        <v>0</v>
      </c>
      <c r="N151" t="n">
        <v>0</v>
      </c>
      <c r="O151" t="n">
        <v>0</v>
      </c>
      <c r="P151" t="n">
        <v>0</v>
      </c>
      <c r="Q151" t="n">
        <v>1</v>
      </c>
      <c r="R151" s="2" t="inlineStr">
        <is>
          <t>Tibast</t>
        </is>
      </c>
      <c r="S151">
        <f>HYPERLINK("https://klasma.github.io/Logging_0188/artfynd/A 50854-2022 artfynd.xlsx", "A 50854-2022")</f>
        <v/>
      </c>
      <c r="T151">
        <f>HYPERLINK("https://klasma.github.io/Logging_0188/kartor/A 50854-2022 karta.png", "A 50854-2022")</f>
        <v/>
      </c>
      <c r="V151">
        <f>HYPERLINK("https://klasma.github.io/Logging_0188/klagomål/A 50854-2022 FSC-klagomål.docx", "A 50854-2022")</f>
        <v/>
      </c>
      <c r="W151">
        <f>HYPERLINK("https://klasma.github.io/Logging_0188/klagomålsmail/A 50854-2022 FSC-klagomål mail.docx", "A 50854-2022")</f>
        <v/>
      </c>
      <c r="X151">
        <f>HYPERLINK("https://klasma.github.io/Logging_0188/tillsyn/A 50854-2022 tillsynsbegäran.docx", "A 50854-2022")</f>
        <v/>
      </c>
      <c r="Y151">
        <f>HYPERLINK("https://klasma.github.io/Logging_0188/tillsynsmail/A 50854-2022 tillsynsbegäran mail.docx", "A 50854-2022")</f>
        <v/>
      </c>
    </row>
    <row r="152" ht="15" customHeight="1">
      <c r="A152" t="inlineStr">
        <is>
          <t>A 52130-2022</t>
        </is>
      </c>
      <c r="B152" s="1" t="n">
        <v>44868</v>
      </c>
      <c r="C152" s="1" t="n">
        <v>45645</v>
      </c>
      <c r="D152" t="inlineStr">
        <is>
          <t>STOCKHOLMS LÄN</t>
        </is>
      </c>
      <c r="E152" t="inlineStr">
        <is>
          <t>NORRTÄLJE</t>
        </is>
      </c>
      <c r="G152" t="n">
        <v>3.7</v>
      </c>
      <c r="H152" t="n">
        <v>0</v>
      </c>
      <c r="I152" t="n">
        <v>0</v>
      </c>
      <c r="J152" t="n">
        <v>1</v>
      </c>
      <c r="K152" t="n">
        <v>0</v>
      </c>
      <c r="L152" t="n">
        <v>0</v>
      </c>
      <c r="M152" t="n">
        <v>0</v>
      </c>
      <c r="N152" t="n">
        <v>0</v>
      </c>
      <c r="O152" t="n">
        <v>1</v>
      </c>
      <c r="P152" t="n">
        <v>0</v>
      </c>
      <c r="Q152" t="n">
        <v>1</v>
      </c>
      <c r="R152" s="2" t="inlineStr">
        <is>
          <t>Flattoppad klubbsvamp</t>
        </is>
      </c>
      <c r="S152">
        <f>HYPERLINK("https://klasma.github.io/Logging_0188/artfynd/A 52130-2022 artfynd.xlsx", "A 52130-2022")</f>
        <v/>
      </c>
      <c r="T152">
        <f>HYPERLINK("https://klasma.github.io/Logging_0188/kartor/A 52130-2022 karta.png", "A 52130-2022")</f>
        <v/>
      </c>
      <c r="V152">
        <f>HYPERLINK("https://klasma.github.io/Logging_0188/klagomål/A 52130-2022 FSC-klagomål.docx", "A 52130-2022")</f>
        <v/>
      </c>
      <c r="W152">
        <f>HYPERLINK("https://klasma.github.io/Logging_0188/klagomålsmail/A 52130-2022 FSC-klagomål mail.docx", "A 52130-2022")</f>
        <v/>
      </c>
      <c r="X152">
        <f>HYPERLINK("https://klasma.github.io/Logging_0188/tillsyn/A 52130-2022 tillsynsbegäran.docx", "A 52130-2022")</f>
        <v/>
      </c>
      <c r="Y152">
        <f>HYPERLINK("https://klasma.github.io/Logging_0188/tillsynsmail/A 52130-2022 tillsynsbegäran mail.docx", "A 52130-2022")</f>
        <v/>
      </c>
    </row>
    <row r="153" ht="15" customHeight="1">
      <c r="A153" t="inlineStr">
        <is>
          <t>A 61011-2022</t>
        </is>
      </c>
      <c r="B153" s="1" t="n">
        <v>44914</v>
      </c>
      <c r="C153" s="1" t="n">
        <v>45645</v>
      </c>
      <c r="D153" t="inlineStr">
        <is>
          <t>STOCKHOLMS LÄN</t>
        </is>
      </c>
      <c r="E153" t="inlineStr">
        <is>
          <t>NORRTÄLJE</t>
        </is>
      </c>
      <c r="G153" t="n">
        <v>2.2</v>
      </c>
      <c r="H153" t="n">
        <v>0</v>
      </c>
      <c r="I153" t="n">
        <v>0</v>
      </c>
      <c r="J153" t="n">
        <v>1</v>
      </c>
      <c r="K153" t="n">
        <v>0</v>
      </c>
      <c r="L153" t="n">
        <v>0</v>
      </c>
      <c r="M153" t="n">
        <v>0</v>
      </c>
      <c r="N153" t="n">
        <v>0</v>
      </c>
      <c r="O153" t="n">
        <v>1</v>
      </c>
      <c r="P153" t="n">
        <v>0</v>
      </c>
      <c r="Q153" t="n">
        <v>1</v>
      </c>
      <c r="R153" s="2" t="inlineStr">
        <is>
          <t>Orange taggsvamp</t>
        </is>
      </c>
      <c r="S153">
        <f>HYPERLINK("https://klasma.github.io/Logging_0188/artfynd/A 61011-2022 artfynd.xlsx", "A 61011-2022")</f>
        <v/>
      </c>
      <c r="T153">
        <f>HYPERLINK("https://klasma.github.io/Logging_0188/kartor/A 61011-2022 karta.png", "A 61011-2022")</f>
        <v/>
      </c>
      <c r="V153">
        <f>HYPERLINK("https://klasma.github.io/Logging_0188/klagomål/A 61011-2022 FSC-klagomål.docx", "A 61011-2022")</f>
        <v/>
      </c>
      <c r="W153">
        <f>HYPERLINK("https://klasma.github.io/Logging_0188/klagomålsmail/A 61011-2022 FSC-klagomål mail.docx", "A 61011-2022")</f>
        <v/>
      </c>
      <c r="X153">
        <f>HYPERLINK("https://klasma.github.io/Logging_0188/tillsyn/A 61011-2022 tillsynsbegäran.docx", "A 61011-2022")</f>
        <v/>
      </c>
      <c r="Y153">
        <f>HYPERLINK("https://klasma.github.io/Logging_0188/tillsynsmail/A 61011-2022 tillsynsbegäran mail.docx", "A 61011-2022")</f>
        <v/>
      </c>
    </row>
    <row r="154" ht="15" customHeight="1">
      <c r="A154" t="inlineStr">
        <is>
          <t>A 4385-2023</t>
        </is>
      </c>
      <c r="B154" s="1" t="n">
        <v>44955</v>
      </c>
      <c r="C154" s="1" t="n">
        <v>45645</v>
      </c>
      <c r="D154" t="inlineStr">
        <is>
          <t>STOCKHOLMS LÄN</t>
        </is>
      </c>
      <c r="E154" t="inlineStr">
        <is>
          <t>NORRTÄLJE</t>
        </is>
      </c>
      <c r="G154" t="n">
        <v>7.8</v>
      </c>
      <c r="H154" t="n">
        <v>1</v>
      </c>
      <c r="I154" t="n">
        <v>1</v>
      </c>
      <c r="J154" t="n">
        <v>0</v>
      </c>
      <c r="K154" t="n">
        <v>0</v>
      </c>
      <c r="L154" t="n">
        <v>0</v>
      </c>
      <c r="M154" t="n">
        <v>0</v>
      </c>
      <c r="N154" t="n">
        <v>0</v>
      </c>
      <c r="O154" t="n">
        <v>0</v>
      </c>
      <c r="P154" t="n">
        <v>0</v>
      </c>
      <c r="Q154" t="n">
        <v>1</v>
      </c>
      <c r="R154" s="2" t="inlineStr">
        <is>
          <t>Skogsknipprot</t>
        </is>
      </c>
      <c r="S154">
        <f>HYPERLINK("https://klasma.github.io/Logging_0188/artfynd/A 4385-2023 artfynd.xlsx", "A 4385-2023")</f>
        <v/>
      </c>
      <c r="T154">
        <f>HYPERLINK("https://klasma.github.io/Logging_0188/kartor/A 4385-2023 karta.png", "A 4385-2023")</f>
        <v/>
      </c>
      <c r="V154">
        <f>HYPERLINK("https://klasma.github.io/Logging_0188/klagomål/A 4385-2023 FSC-klagomål.docx", "A 4385-2023")</f>
        <v/>
      </c>
      <c r="W154">
        <f>HYPERLINK("https://klasma.github.io/Logging_0188/klagomålsmail/A 4385-2023 FSC-klagomål mail.docx", "A 4385-2023")</f>
        <v/>
      </c>
      <c r="X154">
        <f>HYPERLINK("https://klasma.github.io/Logging_0188/tillsyn/A 4385-2023 tillsynsbegäran.docx", "A 4385-2023")</f>
        <v/>
      </c>
      <c r="Y154">
        <f>HYPERLINK("https://klasma.github.io/Logging_0188/tillsynsmail/A 4385-2023 tillsynsbegäran mail.docx", "A 4385-2023")</f>
        <v/>
      </c>
    </row>
    <row r="155" ht="15" customHeight="1">
      <c r="A155" t="inlineStr">
        <is>
          <t>A 4595-2023</t>
        </is>
      </c>
      <c r="B155" s="1" t="n">
        <v>44956</v>
      </c>
      <c r="C155" s="1" t="n">
        <v>45645</v>
      </c>
      <c r="D155" t="inlineStr">
        <is>
          <t>STOCKHOLMS LÄN</t>
        </is>
      </c>
      <c r="E155" t="inlineStr">
        <is>
          <t>NORRTÄLJE</t>
        </is>
      </c>
      <c r="G155" t="n">
        <v>0.6</v>
      </c>
      <c r="H155" t="n">
        <v>1</v>
      </c>
      <c r="I155" t="n">
        <v>0</v>
      </c>
      <c r="J155" t="n">
        <v>0</v>
      </c>
      <c r="K155" t="n">
        <v>0</v>
      </c>
      <c r="L155" t="n">
        <v>0</v>
      </c>
      <c r="M155" t="n">
        <v>0</v>
      </c>
      <c r="N155" t="n">
        <v>0</v>
      </c>
      <c r="O155" t="n">
        <v>0</v>
      </c>
      <c r="P155" t="n">
        <v>0</v>
      </c>
      <c r="Q155" t="n">
        <v>1</v>
      </c>
      <c r="R155" s="2" t="inlineStr">
        <is>
          <t>Blåsippa</t>
        </is>
      </c>
      <c r="S155">
        <f>HYPERLINK("https://klasma.github.io/Logging_0188/artfynd/A 4595-2023 artfynd.xlsx", "A 4595-2023")</f>
        <v/>
      </c>
      <c r="T155">
        <f>HYPERLINK("https://klasma.github.io/Logging_0188/kartor/A 4595-2023 karta.png", "A 4595-2023")</f>
        <v/>
      </c>
      <c r="V155">
        <f>HYPERLINK("https://klasma.github.io/Logging_0188/klagomål/A 4595-2023 FSC-klagomål.docx", "A 4595-2023")</f>
        <v/>
      </c>
      <c r="W155">
        <f>HYPERLINK("https://klasma.github.io/Logging_0188/klagomålsmail/A 4595-2023 FSC-klagomål mail.docx", "A 4595-2023")</f>
        <v/>
      </c>
      <c r="X155">
        <f>HYPERLINK("https://klasma.github.io/Logging_0188/tillsyn/A 4595-2023 tillsynsbegäran.docx", "A 4595-2023")</f>
        <v/>
      </c>
      <c r="Y155">
        <f>HYPERLINK("https://klasma.github.io/Logging_0188/tillsynsmail/A 4595-2023 tillsynsbegäran mail.docx", "A 4595-2023")</f>
        <v/>
      </c>
    </row>
    <row r="156" ht="15" customHeight="1">
      <c r="A156" t="inlineStr">
        <is>
          <t>A 6381-2023</t>
        </is>
      </c>
      <c r="B156" s="1" t="n">
        <v>44965</v>
      </c>
      <c r="C156" s="1" t="n">
        <v>45645</v>
      </c>
      <c r="D156" t="inlineStr">
        <is>
          <t>STOCKHOLMS LÄN</t>
        </is>
      </c>
      <c r="E156" t="inlineStr">
        <is>
          <t>NORRTÄLJE</t>
        </is>
      </c>
      <c r="G156" t="n">
        <v>3.5</v>
      </c>
      <c r="H156" t="n">
        <v>1</v>
      </c>
      <c r="I156" t="n">
        <v>1</v>
      </c>
      <c r="J156" t="n">
        <v>0</v>
      </c>
      <c r="K156" t="n">
        <v>0</v>
      </c>
      <c r="L156" t="n">
        <v>0</v>
      </c>
      <c r="M156" t="n">
        <v>0</v>
      </c>
      <c r="N156" t="n">
        <v>0</v>
      </c>
      <c r="O156" t="n">
        <v>0</v>
      </c>
      <c r="P156" t="n">
        <v>0</v>
      </c>
      <c r="Q156" t="n">
        <v>1</v>
      </c>
      <c r="R156" s="2" t="inlineStr">
        <is>
          <t>Guckusko</t>
        </is>
      </c>
      <c r="S156">
        <f>HYPERLINK("https://klasma.github.io/Logging_0188/artfynd/A 6381-2023 artfynd.xlsx", "A 6381-2023")</f>
        <v/>
      </c>
      <c r="T156">
        <f>HYPERLINK("https://klasma.github.io/Logging_0188/kartor/A 6381-2023 karta.png", "A 6381-2023")</f>
        <v/>
      </c>
      <c r="V156">
        <f>HYPERLINK("https://klasma.github.io/Logging_0188/klagomål/A 6381-2023 FSC-klagomål.docx", "A 6381-2023")</f>
        <v/>
      </c>
      <c r="W156">
        <f>HYPERLINK("https://klasma.github.io/Logging_0188/klagomålsmail/A 6381-2023 FSC-klagomål mail.docx", "A 6381-2023")</f>
        <v/>
      </c>
      <c r="X156">
        <f>HYPERLINK("https://klasma.github.io/Logging_0188/tillsyn/A 6381-2023 tillsynsbegäran.docx", "A 6381-2023")</f>
        <v/>
      </c>
      <c r="Y156">
        <f>HYPERLINK("https://klasma.github.io/Logging_0188/tillsynsmail/A 6381-2023 tillsynsbegäran mail.docx", "A 6381-2023")</f>
        <v/>
      </c>
    </row>
    <row r="157" ht="15" customHeight="1">
      <c r="A157" t="inlineStr">
        <is>
          <t>A 9214-2023</t>
        </is>
      </c>
      <c r="B157" s="1" t="n">
        <v>44980</v>
      </c>
      <c r="C157" s="1" t="n">
        <v>45645</v>
      </c>
      <c r="D157" t="inlineStr">
        <is>
          <t>STOCKHOLMS LÄN</t>
        </is>
      </c>
      <c r="E157" t="inlineStr">
        <is>
          <t>NORRTÄLJE</t>
        </is>
      </c>
      <c r="G157" t="n">
        <v>10.6</v>
      </c>
      <c r="H157" t="n">
        <v>1</v>
      </c>
      <c r="I157" t="n">
        <v>1</v>
      </c>
      <c r="J157" t="n">
        <v>0</v>
      </c>
      <c r="K157" t="n">
        <v>0</v>
      </c>
      <c r="L157" t="n">
        <v>0</v>
      </c>
      <c r="M157" t="n">
        <v>0</v>
      </c>
      <c r="N157" t="n">
        <v>0</v>
      </c>
      <c r="O157" t="n">
        <v>0</v>
      </c>
      <c r="P157" t="n">
        <v>0</v>
      </c>
      <c r="Q157" t="n">
        <v>1</v>
      </c>
      <c r="R157" s="2" t="inlineStr">
        <is>
          <t>Guckusko</t>
        </is>
      </c>
      <c r="S157">
        <f>HYPERLINK("https://klasma.github.io/Logging_0188/artfynd/A 9214-2023 artfynd.xlsx", "A 9214-2023")</f>
        <v/>
      </c>
      <c r="T157">
        <f>HYPERLINK("https://klasma.github.io/Logging_0188/kartor/A 9214-2023 karta.png", "A 9214-2023")</f>
        <v/>
      </c>
      <c r="V157">
        <f>HYPERLINK("https://klasma.github.io/Logging_0188/klagomål/A 9214-2023 FSC-klagomål.docx", "A 9214-2023")</f>
        <v/>
      </c>
      <c r="W157">
        <f>HYPERLINK("https://klasma.github.io/Logging_0188/klagomålsmail/A 9214-2023 FSC-klagomål mail.docx", "A 9214-2023")</f>
        <v/>
      </c>
      <c r="X157">
        <f>HYPERLINK("https://klasma.github.io/Logging_0188/tillsyn/A 9214-2023 tillsynsbegäran.docx", "A 9214-2023")</f>
        <v/>
      </c>
      <c r="Y157">
        <f>HYPERLINK("https://klasma.github.io/Logging_0188/tillsynsmail/A 9214-2023 tillsynsbegäran mail.docx", "A 9214-2023")</f>
        <v/>
      </c>
    </row>
    <row r="158" ht="15" customHeight="1">
      <c r="A158" t="inlineStr">
        <is>
          <t>A 9271-2023</t>
        </is>
      </c>
      <c r="B158" s="1" t="n">
        <v>44980</v>
      </c>
      <c r="C158" s="1" t="n">
        <v>45645</v>
      </c>
      <c r="D158" t="inlineStr">
        <is>
          <t>STOCKHOLMS LÄN</t>
        </is>
      </c>
      <c r="E158" t="inlineStr">
        <is>
          <t>NORRTÄLJE</t>
        </is>
      </c>
      <c r="G158" t="n">
        <v>5.3</v>
      </c>
      <c r="H158" t="n">
        <v>1</v>
      </c>
      <c r="I158" t="n">
        <v>0</v>
      </c>
      <c r="J158" t="n">
        <v>0</v>
      </c>
      <c r="K158" t="n">
        <v>1</v>
      </c>
      <c r="L158" t="n">
        <v>0</v>
      </c>
      <c r="M158" t="n">
        <v>0</v>
      </c>
      <c r="N158" t="n">
        <v>0</v>
      </c>
      <c r="O158" t="n">
        <v>1</v>
      </c>
      <c r="P158" t="n">
        <v>1</v>
      </c>
      <c r="Q158" t="n">
        <v>1</v>
      </c>
      <c r="R158" s="2" t="inlineStr">
        <is>
          <t>Hällebräcka</t>
        </is>
      </c>
      <c r="S158">
        <f>HYPERLINK("https://klasma.github.io/Logging_0188/artfynd/A 9271-2023 artfynd.xlsx", "A 9271-2023")</f>
        <v/>
      </c>
      <c r="T158">
        <f>HYPERLINK("https://klasma.github.io/Logging_0188/kartor/A 9271-2023 karta.png", "A 9271-2023")</f>
        <v/>
      </c>
      <c r="V158">
        <f>HYPERLINK("https://klasma.github.io/Logging_0188/klagomål/A 9271-2023 FSC-klagomål.docx", "A 9271-2023")</f>
        <v/>
      </c>
      <c r="W158">
        <f>HYPERLINK("https://klasma.github.io/Logging_0188/klagomålsmail/A 9271-2023 FSC-klagomål mail.docx", "A 9271-2023")</f>
        <v/>
      </c>
      <c r="X158">
        <f>HYPERLINK("https://klasma.github.io/Logging_0188/tillsyn/A 9271-2023 tillsynsbegäran.docx", "A 9271-2023")</f>
        <v/>
      </c>
      <c r="Y158">
        <f>HYPERLINK("https://klasma.github.io/Logging_0188/tillsynsmail/A 9271-2023 tillsynsbegäran mail.docx", "A 9271-2023")</f>
        <v/>
      </c>
    </row>
    <row r="159" ht="15" customHeight="1">
      <c r="A159" t="inlineStr">
        <is>
          <t>A 9522-2023</t>
        </is>
      </c>
      <c r="B159" s="1" t="n">
        <v>44981</v>
      </c>
      <c r="C159" s="1" t="n">
        <v>45645</v>
      </c>
      <c r="D159" t="inlineStr">
        <is>
          <t>STOCKHOLMS LÄN</t>
        </is>
      </c>
      <c r="E159" t="inlineStr">
        <is>
          <t>NORRTÄLJE</t>
        </is>
      </c>
      <c r="F159" t="inlineStr">
        <is>
          <t>Holmen skog AB</t>
        </is>
      </c>
      <c r="G159" t="n">
        <v>7.5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9522-2023 artfynd.xlsx", "A 9522-2023")</f>
        <v/>
      </c>
      <c r="T159">
        <f>HYPERLINK("https://klasma.github.io/Logging_0188/kartor/A 9522-2023 karta.png", "A 9522-2023")</f>
        <v/>
      </c>
      <c r="V159">
        <f>HYPERLINK("https://klasma.github.io/Logging_0188/klagomål/A 9522-2023 FSC-klagomål.docx", "A 9522-2023")</f>
        <v/>
      </c>
      <c r="W159">
        <f>HYPERLINK("https://klasma.github.io/Logging_0188/klagomålsmail/A 9522-2023 FSC-klagomål mail.docx", "A 9522-2023")</f>
        <v/>
      </c>
      <c r="X159">
        <f>HYPERLINK("https://klasma.github.io/Logging_0188/tillsyn/A 9522-2023 tillsynsbegäran.docx", "A 9522-2023")</f>
        <v/>
      </c>
      <c r="Y159">
        <f>HYPERLINK("https://klasma.github.io/Logging_0188/tillsynsmail/A 9522-2023 tillsynsbegäran mail.docx", "A 9522-2023")</f>
        <v/>
      </c>
    </row>
    <row r="160" ht="15" customHeight="1">
      <c r="A160" t="inlineStr">
        <is>
          <t>A 10019-2023</t>
        </is>
      </c>
      <c r="B160" s="1" t="n">
        <v>44985</v>
      </c>
      <c r="C160" s="1" t="n">
        <v>45645</v>
      </c>
      <c r="D160" t="inlineStr">
        <is>
          <t>STOCKHOLMS LÄN</t>
        </is>
      </c>
      <c r="E160" t="inlineStr">
        <is>
          <t>NORRTÄLJE</t>
        </is>
      </c>
      <c r="G160" t="n">
        <v>8.4</v>
      </c>
      <c r="H160" t="n">
        <v>0</v>
      </c>
      <c r="I160" t="n">
        <v>1</v>
      </c>
      <c r="J160" t="n">
        <v>0</v>
      </c>
      <c r="K160" t="n">
        <v>0</v>
      </c>
      <c r="L160" t="n">
        <v>0</v>
      </c>
      <c r="M160" t="n">
        <v>0</v>
      </c>
      <c r="N160" t="n">
        <v>0</v>
      </c>
      <c r="O160" t="n">
        <v>0</v>
      </c>
      <c r="P160" t="n">
        <v>0</v>
      </c>
      <c r="Q160" t="n">
        <v>1</v>
      </c>
      <c r="R160" s="2" t="inlineStr">
        <is>
          <t>Underviol</t>
        </is>
      </c>
      <c r="S160">
        <f>HYPERLINK("https://klasma.github.io/Logging_0188/artfynd/A 10019-2023 artfynd.xlsx", "A 10019-2023")</f>
        <v/>
      </c>
      <c r="T160">
        <f>HYPERLINK("https://klasma.github.io/Logging_0188/kartor/A 10019-2023 karta.png", "A 10019-2023")</f>
        <v/>
      </c>
      <c r="V160">
        <f>HYPERLINK("https://klasma.github.io/Logging_0188/klagomål/A 10019-2023 FSC-klagomål.docx", "A 10019-2023")</f>
        <v/>
      </c>
      <c r="W160">
        <f>HYPERLINK("https://klasma.github.io/Logging_0188/klagomålsmail/A 10019-2023 FSC-klagomål mail.docx", "A 10019-2023")</f>
        <v/>
      </c>
      <c r="X160">
        <f>HYPERLINK("https://klasma.github.io/Logging_0188/tillsyn/A 10019-2023 tillsynsbegäran.docx", "A 10019-2023")</f>
        <v/>
      </c>
      <c r="Y160">
        <f>HYPERLINK("https://klasma.github.io/Logging_0188/tillsynsmail/A 10019-2023 tillsynsbegäran mail.docx", "A 10019-2023")</f>
        <v/>
      </c>
    </row>
    <row r="161" ht="15" customHeight="1">
      <c r="A161" t="inlineStr">
        <is>
          <t>A 11429-2023</t>
        </is>
      </c>
      <c r="B161" s="1" t="n">
        <v>44993</v>
      </c>
      <c r="C161" s="1" t="n">
        <v>45645</v>
      </c>
      <c r="D161" t="inlineStr">
        <is>
          <t>STOCKHOLMS LÄN</t>
        </is>
      </c>
      <c r="E161" t="inlineStr">
        <is>
          <t>NORRTÄLJE</t>
        </is>
      </c>
      <c r="G161" t="n">
        <v>2</v>
      </c>
      <c r="H161" t="n">
        <v>0</v>
      </c>
      <c r="I161" t="n">
        <v>0</v>
      </c>
      <c r="J161" t="n">
        <v>1</v>
      </c>
      <c r="K161" t="n">
        <v>0</v>
      </c>
      <c r="L161" t="n">
        <v>0</v>
      </c>
      <c r="M161" t="n">
        <v>0</v>
      </c>
      <c r="N161" t="n">
        <v>0</v>
      </c>
      <c r="O161" t="n">
        <v>1</v>
      </c>
      <c r="P161" t="n">
        <v>0</v>
      </c>
      <c r="Q161" t="n">
        <v>1</v>
      </c>
      <c r="R161" s="2" t="inlineStr">
        <is>
          <t>Skogsklocka</t>
        </is>
      </c>
      <c r="S161">
        <f>HYPERLINK("https://klasma.github.io/Logging_0188/artfynd/A 11429-2023 artfynd.xlsx", "A 11429-2023")</f>
        <v/>
      </c>
      <c r="T161">
        <f>HYPERLINK("https://klasma.github.io/Logging_0188/kartor/A 11429-2023 karta.png", "A 11429-2023")</f>
        <v/>
      </c>
      <c r="V161">
        <f>HYPERLINK("https://klasma.github.io/Logging_0188/klagomål/A 11429-2023 FSC-klagomål.docx", "A 11429-2023")</f>
        <v/>
      </c>
      <c r="W161">
        <f>HYPERLINK("https://klasma.github.io/Logging_0188/klagomålsmail/A 11429-2023 FSC-klagomål mail.docx", "A 11429-2023")</f>
        <v/>
      </c>
      <c r="X161">
        <f>HYPERLINK("https://klasma.github.io/Logging_0188/tillsyn/A 11429-2023 tillsynsbegäran.docx", "A 11429-2023")</f>
        <v/>
      </c>
      <c r="Y161">
        <f>HYPERLINK("https://klasma.github.io/Logging_0188/tillsynsmail/A 11429-2023 tillsynsbegäran mail.docx", "A 11429-2023")</f>
        <v/>
      </c>
    </row>
    <row r="162" ht="15" customHeight="1">
      <c r="A162" t="inlineStr">
        <is>
          <t>A 12442-2023</t>
        </is>
      </c>
      <c r="B162" s="1" t="n">
        <v>44999</v>
      </c>
      <c r="C162" s="1" t="n">
        <v>45645</v>
      </c>
      <c r="D162" t="inlineStr">
        <is>
          <t>STOCKHOLMS LÄN</t>
        </is>
      </c>
      <c r="E162" t="inlineStr">
        <is>
          <t>NORRTÄLJE</t>
        </is>
      </c>
      <c r="G162" t="n">
        <v>1.9</v>
      </c>
      <c r="H162" t="n">
        <v>1</v>
      </c>
      <c r="I162" t="n">
        <v>0</v>
      </c>
      <c r="J162" t="n">
        <v>0</v>
      </c>
      <c r="K162" t="n">
        <v>0</v>
      </c>
      <c r="L162" t="n">
        <v>0</v>
      </c>
      <c r="M162" t="n">
        <v>0</v>
      </c>
      <c r="N162" t="n">
        <v>0</v>
      </c>
      <c r="O162" t="n">
        <v>0</v>
      </c>
      <c r="P162" t="n">
        <v>0</v>
      </c>
      <c r="Q162" t="n">
        <v>1</v>
      </c>
      <c r="R162" s="2" t="inlineStr">
        <is>
          <t>Gullviva</t>
        </is>
      </c>
      <c r="S162">
        <f>HYPERLINK("https://klasma.github.io/Logging_0188/artfynd/A 12442-2023 artfynd.xlsx", "A 12442-2023")</f>
        <v/>
      </c>
      <c r="T162">
        <f>HYPERLINK("https://klasma.github.io/Logging_0188/kartor/A 12442-2023 karta.png", "A 12442-2023")</f>
        <v/>
      </c>
      <c r="V162">
        <f>HYPERLINK("https://klasma.github.io/Logging_0188/klagomål/A 12442-2023 FSC-klagomål.docx", "A 12442-2023")</f>
        <v/>
      </c>
      <c r="W162">
        <f>HYPERLINK("https://klasma.github.io/Logging_0188/klagomålsmail/A 12442-2023 FSC-klagomål mail.docx", "A 12442-2023")</f>
        <v/>
      </c>
      <c r="X162">
        <f>HYPERLINK("https://klasma.github.io/Logging_0188/tillsyn/A 12442-2023 tillsynsbegäran.docx", "A 12442-2023")</f>
        <v/>
      </c>
      <c r="Y162">
        <f>HYPERLINK("https://klasma.github.io/Logging_0188/tillsynsmail/A 12442-2023 tillsynsbegäran mail.docx", "A 12442-2023")</f>
        <v/>
      </c>
    </row>
    <row r="163" ht="15" customHeight="1">
      <c r="A163" t="inlineStr">
        <is>
          <t>A 15644-2023</t>
        </is>
      </c>
      <c r="B163" s="1" t="n">
        <v>45021</v>
      </c>
      <c r="C163" s="1" t="n">
        <v>45645</v>
      </c>
      <c r="D163" t="inlineStr">
        <is>
          <t>STOCKHOLMS LÄN</t>
        </is>
      </c>
      <c r="E163" t="inlineStr">
        <is>
          <t>NORRTÄLJE</t>
        </is>
      </c>
      <c r="F163" t="inlineStr">
        <is>
          <t>Holmen skog AB</t>
        </is>
      </c>
      <c r="G163" t="n">
        <v>13</v>
      </c>
      <c r="H163" t="n">
        <v>1</v>
      </c>
      <c r="I163" t="n">
        <v>0</v>
      </c>
      <c r="J163" t="n">
        <v>0</v>
      </c>
      <c r="K163" t="n">
        <v>0</v>
      </c>
      <c r="L163" t="n">
        <v>1</v>
      </c>
      <c r="M163" t="n">
        <v>0</v>
      </c>
      <c r="N163" t="n">
        <v>0</v>
      </c>
      <c r="O163" t="n">
        <v>1</v>
      </c>
      <c r="P163" t="n">
        <v>1</v>
      </c>
      <c r="Q163" t="n">
        <v>1</v>
      </c>
      <c r="R163" s="2" t="inlineStr">
        <is>
          <t>Asknätfjäril</t>
        </is>
      </c>
      <c r="S163">
        <f>HYPERLINK("https://klasma.github.io/Logging_0188/artfynd/A 15644-2023 artfynd.xlsx", "A 15644-2023")</f>
        <v/>
      </c>
      <c r="T163">
        <f>HYPERLINK("https://klasma.github.io/Logging_0188/kartor/A 15644-2023 karta.png", "A 15644-2023")</f>
        <v/>
      </c>
      <c r="V163">
        <f>HYPERLINK("https://klasma.github.io/Logging_0188/klagomål/A 15644-2023 FSC-klagomål.docx", "A 15644-2023")</f>
        <v/>
      </c>
      <c r="W163">
        <f>HYPERLINK("https://klasma.github.io/Logging_0188/klagomålsmail/A 15644-2023 FSC-klagomål mail.docx", "A 15644-2023")</f>
        <v/>
      </c>
      <c r="X163">
        <f>HYPERLINK("https://klasma.github.io/Logging_0188/tillsyn/A 15644-2023 tillsynsbegäran.docx", "A 15644-2023")</f>
        <v/>
      </c>
      <c r="Y163">
        <f>HYPERLINK("https://klasma.github.io/Logging_0188/tillsynsmail/A 15644-2023 tillsynsbegäran mail.docx", "A 15644-2023")</f>
        <v/>
      </c>
    </row>
    <row r="164" ht="15" customHeight="1">
      <c r="A164" t="inlineStr">
        <is>
          <t>A 18216-2023</t>
        </is>
      </c>
      <c r="B164" s="1" t="n">
        <v>45041</v>
      </c>
      <c r="C164" s="1" t="n">
        <v>45645</v>
      </c>
      <c r="D164" t="inlineStr">
        <is>
          <t>STOCKHOLMS LÄN</t>
        </is>
      </c>
      <c r="E164" t="inlineStr">
        <is>
          <t>NORRTÄLJE</t>
        </is>
      </c>
      <c r="F164" t="inlineStr">
        <is>
          <t>Holmen skog AB</t>
        </is>
      </c>
      <c r="G164" t="n">
        <v>1.9</v>
      </c>
      <c r="H164" t="n">
        <v>0</v>
      </c>
      <c r="I164" t="n">
        <v>1</v>
      </c>
      <c r="J164" t="n">
        <v>0</v>
      </c>
      <c r="K164" t="n">
        <v>0</v>
      </c>
      <c r="L164" t="n">
        <v>0</v>
      </c>
      <c r="M164" t="n">
        <v>0</v>
      </c>
      <c r="N164" t="n">
        <v>0</v>
      </c>
      <c r="O164" t="n">
        <v>0</v>
      </c>
      <c r="P164" t="n">
        <v>0</v>
      </c>
      <c r="Q164" t="n">
        <v>1</v>
      </c>
      <c r="R164" s="2" t="inlineStr">
        <is>
          <t>Vårärt</t>
        </is>
      </c>
      <c r="S164">
        <f>HYPERLINK("https://klasma.github.io/Logging_0188/artfynd/A 18216-2023 artfynd.xlsx", "A 18216-2023")</f>
        <v/>
      </c>
      <c r="T164">
        <f>HYPERLINK("https://klasma.github.io/Logging_0188/kartor/A 18216-2023 karta.png", "A 18216-2023")</f>
        <v/>
      </c>
      <c r="V164">
        <f>HYPERLINK("https://klasma.github.io/Logging_0188/klagomål/A 18216-2023 FSC-klagomål.docx", "A 18216-2023")</f>
        <v/>
      </c>
      <c r="W164">
        <f>HYPERLINK("https://klasma.github.io/Logging_0188/klagomålsmail/A 18216-2023 FSC-klagomål mail.docx", "A 18216-2023")</f>
        <v/>
      </c>
      <c r="X164">
        <f>HYPERLINK("https://klasma.github.io/Logging_0188/tillsyn/A 18216-2023 tillsynsbegäran.docx", "A 18216-2023")</f>
        <v/>
      </c>
      <c r="Y164">
        <f>HYPERLINK("https://klasma.github.io/Logging_0188/tillsynsmail/A 18216-2023 tillsynsbegäran mail.docx", "A 18216-2023")</f>
        <v/>
      </c>
    </row>
    <row r="165" ht="15" customHeight="1">
      <c r="A165" t="inlineStr">
        <is>
          <t>A 21431-2023</t>
        </is>
      </c>
      <c r="B165" s="1" t="n">
        <v>45063</v>
      </c>
      <c r="C165" s="1" t="n">
        <v>45645</v>
      </c>
      <c r="D165" t="inlineStr">
        <is>
          <t>STOCKHOLMS LÄN</t>
        </is>
      </c>
      <c r="E165" t="inlineStr">
        <is>
          <t>NORRTÄLJE</t>
        </is>
      </c>
      <c r="F165" t="inlineStr">
        <is>
          <t>Holmen skog AB</t>
        </is>
      </c>
      <c r="G165" t="n">
        <v>4</v>
      </c>
      <c r="H165" t="n">
        <v>1</v>
      </c>
      <c r="I165" t="n">
        <v>1</v>
      </c>
      <c r="J165" t="n">
        <v>0</v>
      </c>
      <c r="K165" t="n">
        <v>0</v>
      </c>
      <c r="L165" t="n">
        <v>0</v>
      </c>
      <c r="M165" t="n">
        <v>0</v>
      </c>
      <c r="N165" t="n">
        <v>0</v>
      </c>
      <c r="O165" t="n">
        <v>0</v>
      </c>
      <c r="P165" t="n">
        <v>0</v>
      </c>
      <c r="Q165" t="n">
        <v>1</v>
      </c>
      <c r="R165" s="2" t="inlineStr">
        <is>
          <t>Nästrot</t>
        </is>
      </c>
      <c r="S165">
        <f>HYPERLINK("https://klasma.github.io/Logging_0188/artfynd/A 21431-2023 artfynd.xlsx", "A 21431-2023")</f>
        <v/>
      </c>
      <c r="T165">
        <f>HYPERLINK("https://klasma.github.io/Logging_0188/kartor/A 21431-2023 karta.png", "A 21431-2023")</f>
        <v/>
      </c>
      <c r="V165">
        <f>HYPERLINK("https://klasma.github.io/Logging_0188/klagomål/A 21431-2023 FSC-klagomål.docx", "A 21431-2023")</f>
        <v/>
      </c>
      <c r="W165">
        <f>HYPERLINK("https://klasma.github.io/Logging_0188/klagomålsmail/A 21431-2023 FSC-klagomål mail.docx", "A 21431-2023")</f>
        <v/>
      </c>
      <c r="X165">
        <f>HYPERLINK("https://klasma.github.io/Logging_0188/tillsyn/A 21431-2023 tillsynsbegäran.docx", "A 21431-2023")</f>
        <v/>
      </c>
      <c r="Y165">
        <f>HYPERLINK("https://klasma.github.io/Logging_0188/tillsynsmail/A 21431-2023 tillsynsbegäran mail.docx", "A 21431-2023")</f>
        <v/>
      </c>
    </row>
    <row r="166" ht="15" customHeight="1">
      <c r="A166" t="inlineStr">
        <is>
          <t>A 21744-2023</t>
        </is>
      </c>
      <c r="B166" s="1" t="n">
        <v>45065</v>
      </c>
      <c r="C166" s="1" t="n">
        <v>45645</v>
      </c>
      <c r="D166" t="inlineStr">
        <is>
          <t>STOCKHOLMS LÄN</t>
        </is>
      </c>
      <c r="E166" t="inlineStr">
        <is>
          <t>NORRTÄLJE</t>
        </is>
      </c>
      <c r="F166" t="inlineStr">
        <is>
          <t>Holmen skog AB</t>
        </is>
      </c>
      <c r="G166" t="n">
        <v>4.2</v>
      </c>
      <c r="H166" t="n">
        <v>0</v>
      </c>
      <c r="I166" t="n">
        <v>1</v>
      </c>
      <c r="J166" t="n">
        <v>0</v>
      </c>
      <c r="K166" t="n">
        <v>0</v>
      </c>
      <c r="L166" t="n">
        <v>0</v>
      </c>
      <c r="M166" t="n">
        <v>0</v>
      </c>
      <c r="N166" t="n">
        <v>0</v>
      </c>
      <c r="O166" t="n">
        <v>0</v>
      </c>
      <c r="P166" t="n">
        <v>0</v>
      </c>
      <c r="Q166" t="n">
        <v>1</v>
      </c>
      <c r="R166" s="2" t="inlineStr">
        <is>
          <t>Korallblylav</t>
        </is>
      </c>
      <c r="S166">
        <f>HYPERLINK("https://klasma.github.io/Logging_0188/artfynd/A 21744-2023 artfynd.xlsx", "A 21744-2023")</f>
        <v/>
      </c>
      <c r="T166">
        <f>HYPERLINK("https://klasma.github.io/Logging_0188/kartor/A 21744-2023 karta.png", "A 21744-2023")</f>
        <v/>
      </c>
      <c r="V166">
        <f>HYPERLINK("https://klasma.github.io/Logging_0188/klagomål/A 21744-2023 FSC-klagomål.docx", "A 21744-2023")</f>
        <v/>
      </c>
      <c r="W166">
        <f>HYPERLINK("https://klasma.github.io/Logging_0188/klagomålsmail/A 21744-2023 FSC-klagomål mail.docx", "A 21744-2023")</f>
        <v/>
      </c>
      <c r="X166">
        <f>HYPERLINK("https://klasma.github.io/Logging_0188/tillsyn/A 21744-2023 tillsynsbegäran.docx", "A 21744-2023")</f>
        <v/>
      </c>
      <c r="Y166">
        <f>HYPERLINK("https://klasma.github.io/Logging_0188/tillsynsmail/A 21744-2023 tillsynsbegäran mail.docx", "A 21744-2023")</f>
        <v/>
      </c>
    </row>
    <row r="167" ht="15" customHeight="1">
      <c r="A167" t="inlineStr">
        <is>
          <t>A 24535-2023</t>
        </is>
      </c>
      <c r="B167" s="1" t="n">
        <v>45082</v>
      </c>
      <c r="C167" s="1" t="n">
        <v>45645</v>
      </c>
      <c r="D167" t="inlineStr">
        <is>
          <t>STOCKHOLMS LÄN</t>
        </is>
      </c>
      <c r="E167" t="inlineStr">
        <is>
          <t>NORRTÄLJE</t>
        </is>
      </c>
      <c r="F167" t="inlineStr">
        <is>
          <t>Kommuner</t>
        </is>
      </c>
      <c r="G167" t="n">
        <v>2</v>
      </c>
      <c r="H167" t="n">
        <v>1</v>
      </c>
      <c r="I167" t="n">
        <v>0</v>
      </c>
      <c r="J167" t="n">
        <v>0</v>
      </c>
      <c r="K167" t="n">
        <v>0</v>
      </c>
      <c r="L167" t="n">
        <v>0</v>
      </c>
      <c r="M167" t="n">
        <v>0</v>
      </c>
      <c r="N167" t="n">
        <v>0</v>
      </c>
      <c r="O167" t="n">
        <v>0</v>
      </c>
      <c r="P167" t="n">
        <v>0</v>
      </c>
      <c r="Q167" t="n">
        <v>1</v>
      </c>
      <c r="R167" s="2" t="inlineStr">
        <is>
          <t>Blåsippa</t>
        </is>
      </c>
      <c r="S167">
        <f>HYPERLINK("https://klasma.github.io/Logging_0188/artfynd/A 24535-2023 artfynd.xlsx", "A 24535-2023")</f>
        <v/>
      </c>
      <c r="T167">
        <f>HYPERLINK("https://klasma.github.io/Logging_0188/kartor/A 24535-2023 karta.png", "A 24535-2023")</f>
        <v/>
      </c>
      <c r="V167">
        <f>HYPERLINK("https://klasma.github.io/Logging_0188/klagomål/A 24535-2023 FSC-klagomål.docx", "A 24535-2023")</f>
        <v/>
      </c>
      <c r="W167">
        <f>HYPERLINK("https://klasma.github.io/Logging_0188/klagomålsmail/A 24535-2023 FSC-klagomål mail.docx", "A 24535-2023")</f>
        <v/>
      </c>
      <c r="X167">
        <f>HYPERLINK("https://klasma.github.io/Logging_0188/tillsyn/A 24535-2023 tillsynsbegäran.docx", "A 24535-2023")</f>
        <v/>
      </c>
      <c r="Y167">
        <f>HYPERLINK("https://klasma.github.io/Logging_0188/tillsynsmail/A 24535-2023 tillsynsbegäran mail.docx", "A 24535-2023")</f>
        <v/>
      </c>
    </row>
    <row r="168" ht="15" customHeight="1">
      <c r="A168" t="inlineStr">
        <is>
          <t>A 26635-2023</t>
        </is>
      </c>
      <c r="B168" s="1" t="n">
        <v>45092</v>
      </c>
      <c r="C168" s="1" t="n">
        <v>45645</v>
      </c>
      <c r="D168" t="inlineStr">
        <is>
          <t>STOCKHOLMS LÄN</t>
        </is>
      </c>
      <c r="E168" t="inlineStr">
        <is>
          <t>NORRTÄLJE</t>
        </is>
      </c>
      <c r="G168" t="n">
        <v>3.1</v>
      </c>
      <c r="H168" t="n">
        <v>1</v>
      </c>
      <c r="I168" t="n">
        <v>0</v>
      </c>
      <c r="J168" t="n">
        <v>0</v>
      </c>
      <c r="K168" t="n">
        <v>0</v>
      </c>
      <c r="L168" t="n">
        <v>0</v>
      </c>
      <c r="M168" t="n">
        <v>0</v>
      </c>
      <c r="N168" t="n">
        <v>0</v>
      </c>
      <c r="O168" t="n">
        <v>0</v>
      </c>
      <c r="P168" t="n">
        <v>0</v>
      </c>
      <c r="Q168" t="n">
        <v>1</v>
      </c>
      <c r="R168" s="2" t="inlineStr">
        <is>
          <t>Fläcknycklar</t>
        </is>
      </c>
      <c r="S168">
        <f>HYPERLINK("https://klasma.github.io/Logging_0188/artfynd/A 26635-2023 artfynd.xlsx", "A 26635-2023")</f>
        <v/>
      </c>
      <c r="T168">
        <f>HYPERLINK("https://klasma.github.io/Logging_0188/kartor/A 26635-2023 karta.png", "A 26635-2023")</f>
        <v/>
      </c>
      <c r="V168">
        <f>HYPERLINK("https://klasma.github.io/Logging_0188/klagomål/A 26635-2023 FSC-klagomål.docx", "A 26635-2023")</f>
        <v/>
      </c>
      <c r="W168">
        <f>HYPERLINK("https://klasma.github.io/Logging_0188/klagomålsmail/A 26635-2023 FSC-klagomål mail.docx", "A 26635-2023")</f>
        <v/>
      </c>
      <c r="X168">
        <f>HYPERLINK("https://klasma.github.io/Logging_0188/tillsyn/A 26635-2023 tillsynsbegäran.docx", "A 26635-2023")</f>
        <v/>
      </c>
      <c r="Y168">
        <f>HYPERLINK("https://klasma.github.io/Logging_0188/tillsynsmail/A 26635-2023 tillsynsbegäran mail.docx", "A 26635-2023")</f>
        <v/>
      </c>
    </row>
    <row r="169" ht="15" customHeight="1">
      <c r="A169" t="inlineStr">
        <is>
          <t>A 35649-2023</t>
        </is>
      </c>
      <c r="B169" s="1" t="n">
        <v>45146</v>
      </c>
      <c r="C169" s="1" t="n">
        <v>45645</v>
      </c>
      <c r="D169" t="inlineStr">
        <is>
          <t>STOCKHOLMS LÄN</t>
        </is>
      </c>
      <c r="E169" t="inlineStr">
        <is>
          <t>NORRTÄLJE</t>
        </is>
      </c>
      <c r="G169" t="n">
        <v>25.1</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35649-2023 artfynd.xlsx", "A 35649-2023")</f>
        <v/>
      </c>
      <c r="T169">
        <f>HYPERLINK("https://klasma.github.io/Logging_0188/kartor/A 35649-2023 karta.png", "A 35649-2023")</f>
        <v/>
      </c>
      <c r="V169">
        <f>HYPERLINK("https://klasma.github.io/Logging_0188/klagomål/A 35649-2023 FSC-klagomål.docx", "A 35649-2023")</f>
        <v/>
      </c>
      <c r="W169">
        <f>HYPERLINK("https://klasma.github.io/Logging_0188/klagomålsmail/A 35649-2023 FSC-klagomål mail.docx", "A 35649-2023")</f>
        <v/>
      </c>
      <c r="X169">
        <f>HYPERLINK("https://klasma.github.io/Logging_0188/tillsyn/A 35649-2023 tillsynsbegäran.docx", "A 35649-2023")</f>
        <v/>
      </c>
      <c r="Y169">
        <f>HYPERLINK("https://klasma.github.io/Logging_0188/tillsynsmail/A 35649-2023 tillsynsbegäran mail.docx", "A 35649-2023")</f>
        <v/>
      </c>
    </row>
    <row r="170" ht="15" customHeight="1">
      <c r="A170" t="inlineStr">
        <is>
          <t>A 39255-2023</t>
        </is>
      </c>
      <c r="B170" s="1" t="n">
        <v>45166</v>
      </c>
      <c r="C170" s="1" t="n">
        <v>45645</v>
      </c>
      <c r="D170" t="inlineStr">
        <is>
          <t>STOCKHOLMS LÄN</t>
        </is>
      </c>
      <c r="E170" t="inlineStr">
        <is>
          <t>NORRTÄLJE</t>
        </is>
      </c>
      <c r="G170" t="n">
        <v>14.2</v>
      </c>
      <c r="H170" t="n">
        <v>1</v>
      </c>
      <c r="I170" t="n">
        <v>0</v>
      </c>
      <c r="J170" t="n">
        <v>0</v>
      </c>
      <c r="K170" t="n">
        <v>0</v>
      </c>
      <c r="L170" t="n">
        <v>0</v>
      </c>
      <c r="M170" t="n">
        <v>0</v>
      </c>
      <c r="N170" t="n">
        <v>0</v>
      </c>
      <c r="O170" t="n">
        <v>0</v>
      </c>
      <c r="P170" t="n">
        <v>0</v>
      </c>
      <c r="Q170" t="n">
        <v>1</v>
      </c>
      <c r="R170" s="2" t="inlineStr">
        <is>
          <t>Lopplummer</t>
        </is>
      </c>
      <c r="S170">
        <f>HYPERLINK("https://klasma.github.io/Logging_0188/artfynd/A 39255-2023 artfynd.xlsx", "A 39255-2023")</f>
        <v/>
      </c>
      <c r="T170">
        <f>HYPERLINK("https://klasma.github.io/Logging_0188/kartor/A 39255-2023 karta.png", "A 39255-2023")</f>
        <v/>
      </c>
      <c r="V170">
        <f>HYPERLINK("https://klasma.github.io/Logging_0188/klagomål/A 39255-2023 FSC-klagomål.docx", "A 39255-2023")</f>
        <v/>
      </c>
      <c r="W170">
        <f>HYPERLINK("https://klasma.github.io/Logging_0188/klagomålsmail/A 39255-2023 FSC-klagomål mail.docx", "A 39255-2023")</f>
        <v/>
      </c>
      <c r="X170">
        <f>HYPERLINK("https://klasma.github.io/Logging_0188/tillsyn/A 39255-2023 tillsynsbegäran.docx", "A 39255-2023")</f>
        <v/>
      </c>
      <c r="Y170">
        <f>HYPERLINK("https://klasma.github.io/Logging_0188/tillsynsmail/A 39255-2023 tillsynsbegäran mail.docx", "A 39255-2023")</f>
        <v/>
      </c>
    </row>
    <row r="171" ht="15" customHeight="1">
      <c r="A171" t="inlineStr">
        <is>
          <t>A 43178-2023</t>
        </is>
      </c>
      <c r="B171" s="1" t="n">
        <v>45183</v>
      </c>
      <c r="C171" s="1" t="n">
        <v>45645</v>
      </c>
      <c r="D171" t="inlineStr">
        <is>
          <t>STOCKHOLMS LÄN</t>
        </is>
      </c>
      <c r="E171" t="inlineStr">
        <is>
          <t>NORRTÄLJE</t>
        </is>
      </c>
      <c r="F171" t="inlineStr">
        <is>
          <t>Kyrkan</t>
        </is>
      </c>
      <c r="G171" t="n">
        <v>1.5</v>
      </c>
      <c r="H171" t="n">
        <v>0</v>
      </c>
      <c r="I171" t="n">
        <v>0</v>
      </c>
      <c r="J171" t="n">
        <v>1</v>
      </c>
      <c r="K171" t="n">
        <v>0</v>
      </c>
      <c r="L171" t="n">
        <v>0</v>
      </c>
      <c r="M171" t="n">
        <v>0</v>
      </c>
      <c r="N171" t="n">
        <v>0</v>
      </c>
      <c r="O171" t="n">
        <v>1</v>
      </c>
      <c r="P171" t="n">
        <v>0</v>
      </c>
      <c r="Q171" t="n">
        <v>1</v>
      </c>
      <c r="R171" s="2" t="inlineStr">
        <is>
          <t>Mindre bastardsvärmare</t>
        </is>
      </c>
      <c r="S171">
        <f>HYPERLINK("https://klasma.github.io/Logging_0188/artfynd/A 43178-2023 artfynd.xlsx", "A 43178-2023")</f>
        <v/>
      </c>
      <c r="T171">
        <f>HYPERLINK("https://klasma.github.io/Logging_0188/kartor/A 43178-2023 karta.png", "A 43178-2023")</f>
        <v/>
      </c>
      <c r="V171">
        <f>HYPERLINK("https://klasma.github.io/Logging_0188/klagomål/A 43178-2023 FSC-klagomål.docx", "A 43178-2023")</f>
        <v/>
      </c>
      <c r="W171">
        <f>HYPERLINK("https://klasma.github.io/Logging_0188/klagomålsmail/A 43178-2023 FSC-klagomål mail.docx", "A 43178-2023")</f>
        <v/>
      </c>
      <c r="X171">
        <f>HYPERLINK("https://klasma.github.io/Logging_0188/tillsyn/A 43178-2023 tillsynsbegäran.docx", "A 43178-2023")</f>
        <v/>
      </c>
      <c r="Y171">
        <f>HYPERLINK("https://klasma.github.io/Logging_0188/tillsynsmail/A 43178-2023 tillsynsbegäran mail.docx", "A 43178-2023")</f>
        <v/>
      </c>
    </row>
    <row r="172" ht="15" customHeight="1">
      <c r="A172" t="inlineStr">
        <is>
          <t>A 43171-2023</t>
        </is>
      </c>
      <c r="B172" s="1" t="n">
        <v>45183</v>
      </c>
      <c r="C172" s="1" t="n">
        <v>45645</v>
      </c>
      <c r="D172" t="inlineStr">
        <is>
          <t>STOCKHOLMS LÄN</t>
        </is>
      </c>
      <c r="E172" t="inlineStr">
        <is>
          <t>NORRTÄLJE</t>
        </is>
      </c>
      <c r="F172" t="inlineStr">
        <is>
          <t>Kyrkan</t>
        </is>
      </c>
      <c r="G172" t="n">
        <v>1.3</v>
      </c>
      <c r="H172" t="n">
        <v>0</v>
      </c>
      <c r="I172" t="n">
        <v>0</v>
      </c>
      <c r="J172" t="n">
        <v>0</v>
      </c>
      <c r="K172" t="n">
        <v>0</v>
      </c>
      <c r="L172" t="n">
        <v>1</v>
      </c>
      <c r="M172" t="n">
        <v>0</v>
      </c>
      <c r="N172" t="n">
        <v>0</v>
      </c>
      <c r="O172" t="n">
        <v>1</v>
      </c>
      <c r="P172" t="n">
        <v>1</v>
      </c>
      <c r="Q172" t="n">
        <v>1</v>
      </c>
      <c r="R172" s="2" t="inlineStr">
        <is>
          <t>Ryl</t>
        </is>
      </c>
      <c r="S172">
        <f>HYPERLINK("https://klasma.github.io/Logging_0188/artfynd/A 43171-2023 artfynd.xlsx", "A 43171-2023")</f>
        <v/>
      </c>
      <c r="T172">
        <f>HYPERLINK("https://klasma.github.io/Logging_0188/kartor/A 43171-2023 karta.png", "A 43171-2023")</f>
        <v/>
      </c>
      <c r="U172">
        <f>HYPERLINK("https://klasma.github.io/Logging_0188/knärot/A 43171-2023 karta knärot.png", "A 43171-2023")</f>
        <v/>
      </c>
      <c r="V172">
        <f>HYPERLINK("https://klasma.github.io/Logging_0188/klagomål/A 43171-2023 FSC-klagomål.docx", "A 43171-2023")</f>
        <v/>
      </c>
      <c r="W172">
        <f>HYPERLINK("https://klasma.github.io/Logging_0188/klagomålsmail/A 43171-2023 FSC-klagomål mail.docx", "A 43171-2023")</f>
        <v/>
      </c>
      <c r="X172">
        <f>HYPERLINK("https://klasma.github.io/Logging_0188/tillsyn/A 43171-2023 tillsynsbegäran.docx", "A 43171-2023")</f>
        <v/>
      </c>
      <c r="Y172">
        <f>HYPERLINK("https://klasma.github.io/Logging_0188/tillsynsmail/A 43171-2023 tillsynsbegäran mail.docx", "A 43171-2023")</f>
        <v/>
      </c>
    </row>
    <row r="173" ht="15" customHeight="1">
      <c r="A173" t="inlineStr">
        <is>
          <t>A 43350-2023</t>
        </is>
      </c>
      <c r="B173" s="1" t="n">
        <v>45183</v>
      </c>
      <c r="C173" s="1" t="n">
        <v>45645</v>
      </c>
      <c r="D173" t="inlineStr">
        <is>
          <t>STOCKHOLMS LÄN</t>
        </is>
      </c>
      <c r="E173" t="inlineStr">
        <is>
          <t>NORRTÄLJE</t>
        </is>
      </c>
      <c r="F173" t="inlineStr">
        <is>
          <t>Holmen skog AB</t>
        </is>
      </c>
      <c r="G173" t="n">
        <v>4.2</v>
      </c>
      <c r="H173" t="n">
        <v>1</v>
      </c>
      <c r="I173" t="n">
        <v>0</v>
      </c>
      <c r="J173" t="n">
        <v>0</v>
      </c>
      <c r="K173" t="n">
        <v>0</v>
      </c>
      <c r="L173" t="n">
        <v>0</v>
      </c>
      <c r="M173" t="n">
        <v>0</v>
      </c>
      <c r="N173" t="n">
        <v>0</v>
      </c>
      <c r="O173" t="n">
        <v>0</v>
      </c>
      <c r="P173" t="n">
        <v>0</v>
      </c>
      <c r="Q173" t="n">
        <v>1</v>
      </c>
      <c r="R173" s="2" t="inlineStr">
        <is>
          <t>Revlummer</t>
        </is>
      </c>
      <c r="S173">
        <f>HYPERLINK("https://klasma.github.io/Logging_0188/artfynd/A 43350-2023 artfynd.xlsx", "A 43350-2023")</f>
        <v/>
      </c>
      <c r="T173">
        <f>HYPERLINK("https://klasma.github.io/Logging_0188/kartor/A 43350-2023 karta.png", "A 43350-2023")</f>
        <v/>
      </c>
      <c r="V173">
        <f>HYPERLINK("https://klasma.github.io/Logging_0188/klagomål/A 43350-2023 FSC-klagomål.docx", "A 43350-2023")</f>
        <v/>
      </c>
      <c r="W173">
        <f>HYPERLINK("https://klasma.github.io/Logging_0188/klagomålsmail/A 43350-2023 FSC-klagomål mail.docx", "A 43350-2023")</f>
        <v/>
      </c>
      <c r="X173">
        <f>HYPERLINK("https://klasma.github.io/Logging_0188/tillsyn/A 43350-2023 tillsynsbegäran.docx", "A 43350-2023")</f>
        <v/>
      </c>
      <c r="Y173">
        <f>HYPERLINK("https://klasma.github.io/Logging_0188/tillsynsmail/A 43350-2023 tillsynsbegäran mail.docx", "A 43350-2023")</f>
        <v/>
      </c>
    </row>
    <row r="174" ht="15" customHeight="1">
      <c r="A174" t="inlineStr">
        <is>
          <t>A 43354-2023</t>
        </is>
      </c>
      <c r="B174" s="1" t="n">
        <v>45183</v>
      </c>
      <c r="C174" s="1" t="n">
        <v>45645</v>
      </c>
      <c r="D174" t="inlineStr">
        <is>
          <t>STOCKHOLMS LÄN</t>
        </is>
      </c>
      <c r="E174" t="inlineStr">
        <is>
          <t>NORRTÄLJE</t>
        </is>
      </c>
      <c r="F174" t="inlineStr">
        <is>
          <t>Holmen skog AB</t>
        </is>
      </c>
      <c r="G174" t="n">
        <v>9.9</v>
      </c>
      <c r="H174" t="n">
        <v>0</v>
      </c>
      <c r="I174" t="n">
        <v>1</v>
      </c>
      <c r="J174" t="n">
        <v>0</v>
      </c>
      <c r="K174" t="n">
        <v>0</v>
      </c>
      <c r="L174" t="n">
        <v>0</v>
      </c>
      <c r="M174" t="n">
        <v>0</v>
      </c>
      <c r="N174" t="n">
        <v>0</v>
      </c>
      <c r="O174" t="n">
        <v>0</v>
      </c>
      <c r="P174" t="n">
        <v>0</v>
      </c>
      <c r="Q174" t="n">
        <v>1</v>
      </c>
      <c r="R174" s="2" t="inlineStr">
        <is>
          <t>Tibast</t>
        </is>
      </c>
      <c r="S174">
        <f>HYPERLINK("https://klasma.github.io/Logging_0188/artfynd/A 43354-2023 artfynd.xlsx", "A 43354-2023")</f>
        <v/>
      </c>
      <c r="T174">
        <f>HYPERLINK("https://klasma.github.io/Logging_0188/kartor/A 43354-2023 karta.png", "A 43354-2023")</f>
        <v/>
      </c>
      <c r="V174">
        <f>HYPERLINK("https://klasma.github.io/Logging_0188/klagomål/A 43354-2023 FSC-klagomål.docx", "A 43354-2023")</f>
        <v/>
      </c>
      <c r="W174">
        <f>HYPERLINK("https://klasma.github.io/Logging_0188/klagomålsmail/A 43354-2023 FSC-klagomål mail.docx", "A 43354-2023")</f>
        <v/>
      </c>
      <c r="X174">
        <f>HYPERLINK("https://klasma.github.io/Logging_0188/tillsyn/A 43354-2023 tillsynsbegäran.docx", "A 43354-2023")</f>
        <v/>
      </c>
      <c r="Y174">
        <f>HYPERLINK("https://klasma.github.io/Logging_0188/tillsynsmail/A 43354-2023 tillsynsbegäran mail.docx", "A 43354-2023")</f>
        <v/>
      </c>
    </row>
    <row r="175" ht="15" customHeight="1">
      <c r="A175" t="inlineStr">
        <is>
          <t>A 45172-2023</t>
        </is>
      </c>
      <c r="B175" s="1" t="n">
        <v>45191</v>
      </c>
      <c r="C175" s="1" t="n">
        <v>45645</v>
      </c>
      <c r="D175" t="inlineStr">
        <is>
          <t>STOCKHOLMS LÄN</t>
        </is>
      </c>
      <c r="E175" t="inlineStr">
        <is>
          <t>NORRTÄLJE</t>
        </is>
      </c>
      <c r="F175" t="inlineStr">
        <is>
          <t>Sveaskog</t>
        </is>
      </c>
      <c r="G175" t="n">
        <v>3.8</v>
      </c>
      <c r="H175" t="n">
        <v>1</v>
      </c>
      <c r="I175" t="n">
        <v>0</v>
      </c>
      <c r="J175" t="n">
        <v>1</v>
      </c>
      <c r="K175" t="n">
        <v>0</v>
      </c>
      <c r="L175" t="n">
        <v>0</v>
      </c>
      <c r="M175" t="n">
        <v>0</v>
      </c>
      <c r="N175" t="n">
        <v>0</v>
      </c>
      <c r="O175" t="n">
        <v>1</v>
      </c>
      <c r="P175" t="n">
        <v>0</v>
      </c>
      <c r="Q175" t="n">
        <v>1</v>
      </c>
      <c r="R175" s="2" t="inlineStr">
        <is>
          <t>Slaguggla</t>
        </is>
      </c>
      <c r="S175">
        <f>HYPERLINK("https://klasma.github.io/Logging_0188/artfynd/A 45172-2023 artfynd.xlsx", "A 45172-2023")</f>
        <v/>
      </c>
      <c r="T175">
        <f>HYPERLINK("https://klasma.github.io/Logging_0188/kartor/A 45172-2023 karta.png", "A 45172-2023")</f>
        <v/>
      </c>
      <c r="V175">
        <f>HYPERLINK("https://klasma.github.io/Logging_0188/klagomål/A 45172-2023 FSC-klagomål.docx", "A 45172-2023")</f>
        <v/>
      </c>
      <c r="W175">
        <f>HYPERLINK("https://klasma.github.io/Logging_0188/klagomålsmail/A 45172-2023 FSC-klagomål mail.docx", "A 45172-2023")</f>
        <v/>
      </c>
      <c r="X175">
        <f>HYPERLINK("https://klasma.github.io/Logging_0188/tillsyn/A 45172-2023 tillsynsbegäran.docx", "A 45172-2023")</f>
        <v/>
      </c>
      <c r="Y175">
        <f>HYPERLINK("https://klasma.github.io/Logging_0188/tillsynsmail/A 45172-2023 tillsynsbegäran mail.docx", "A 45172-2023")</f>
        <v/>
      </c>
      <c r="Z175">
        <f>HYPERLINK("https://klasma.github.io/Logging_0188/fåglar/A 45172-2023 prioriterade fågelarter.docx", "A 45172-2023")</f>
        <v/>
      </c>
    </row>
    <row r="176" ht="15" customHeight="1">
      <c r="A176" t="inlineStr">
        <is>
          <t>A 48131-2023</t>
        </is>
      </c>
      <c r="B176" s="1" t="n">
        <v>45205</v>
      </c>
      <c r="C176" s="1" t="n">
        <v>45645</v>
      </c>
      <c r="D176" t="inlineStr">
        <is>
          <t>STOCKHOLMS LÄN</t>
        </is>
      </c>
      <c r="E176" t="inlineStr">
        <is>
          <t>NORRTÄLJE</t>
        </is>
      </c>
      <c r="G176" t="n">
        <v>2.3</v>
      </c>
      <c r="H176" t="n">
        <v>0</v>
      </c>
      <c r="I176" t="n">
        <v>0</v>
      </c>
      <c r="J176" t="n">
        <v>1</v>
      </c>
      <c r="K176" t="n">
        <v>0</v>
      </c>
      <c r="L176" t="n">
        <v>0</v>
      </c>
      <c r="M176" t="n">
        <v>0</v>
      </c>
      <c r="N176" t="n">
        <v>0</v>
      </c>
      <c r="O176" t="n">
        <v>1</v>
      </c>
      <c r="P176" t="n">
        <v>0</v>
      </c>
      <c r="Q176" t="n">
        <v>1</v>
      </c>
      <c r="R176" s="2" t="inlineStr">
        <is>
          <t>Slåtterfibbla</t>
        </is>
      </c>
      <c r="S176">
        <f>HYPERLINK("https://klasma.github.io/Logging_0188/artfynd/A 48131-2023 artfynd.xlsx", "A 48131-2023")</f>
        <v/>
      </c>
      <c r="T176">
        <f>HYPERLINK("https://klasma.github.io/Logging_0188/kartor/A 48131-2023 karta.png", "A 48131-2023")</f>
        <v/>
      </c>
      <c r="V176">
        <f>HYPERLINK("https://klasma.github.io/Logging_0188/klagomål/A 48131-2023 FSC-klagomål.docx", "A 48131-2023")</f>
        <v/>
      </c>
      <c r="W176">
        <f>HYPERLINK("https://klasma.github.io/Logging_0188/klagomålsmail/A 48131-2023 FSC-klagomål mail.docx", "A 48131-2023")</f>
        <v/>
      </c>
      <c r="X176">
        <f>HYPERLINK("https://klasma.github.io/Logging_0188/tillsyn/A 48131-2023 tillsynsbegäran.docx", "A 48131-2023")</f>
        <v/>
      </c>
      <c r="Y176">
        <f>HYPERLINK("https://klasma.github.io/Logging_0188/tillsynsmail/A 48131-2023 tillsynsbegäran mail.docx", "A 48131-2023")</f>
        <v/>
      </c>
    </row>
    <row r="177" ht="15" customHeight="1">
      <c r="A177" t="inlineStr">
        <is>
          <t>A 51695-2023</t>
        </is>
      </c>
      <c r="B177" s="1" t="n">
        <v>45222</v>
      </c>
      <c r="C177" s="1" t="n">
        <v>45645</v>
      </c>
      <c r="D177" t="inlineStr">
        <is>
          <t>STOCKHOLMS LÄN</t>
        </is>
      </c>
      <c r="E177" t="inlineStr">
        <is>
          <t>NORRTÄLJE</t>
        </is>
      </c>
      <c r="G177" t="n">
        <v>4.9</v>
      </c>
      <c r="H177" t="n">
        <v>0</v>
      </c>
      <c r="I177" t="n">
        <v>1</v>
      </c>
      <c r="J177" t="n">
        <v>0</v>
      </c>
      <c r="K177" t="n">
        <v>0</v>
      </c>
      <c r="L177" t="n">
        <v>0</v>
      </c>
      <c r="M177" t="n">
        <v>0</v>
      </c>
      <c r="N177" t="n">
        <v>0</v>
      </c>
      <c r="O177" t="n">
        <v>0</v>
      </c>
      <c r="P177" t="n">
        <v>0</v>
      </c>
      <c r="Q177" t="n">
        <v>1</v>
      </c>
      <c r="R177" s="2" t="inlineStr">
        <is>
          <t>Fjällig taggsvamp s.str.</t>
        </is>
      </c>
      <c r="S177">
        <f>HYPERLINK("https://klasma.github.io/Logging_0188/artfynd/A 51695-2023 artfynd.xlsx", "A 51695-2023")</f>
        <v/>
      </c>
      <c r="T177">
        <f>HYPERLINK("https://klasma.github.io/Logging_0188/kartor/A 51695-2023 karta.png", "A 51695-2023")</f>
        <v/>
      </c>
      <c r="V177">
        <f>HYPERLINK("https://klasma.github.io/Logging_0188/klagomål/A 51695-2023 FSC-klagomål.docx", "A 51695-2023")</f>
        <v/>
      </c>
      <c r="W177">
        <f>HYPERLINK("https://klasma.github.io/Logging_0188/klagomålsmail/A 51695-2023 FSC-klagomål mail.docx", "A 51695-2023")</f>
        <v/>
      </c>
      <c r="X177">
        <f>HYPERLINK("https://klasma.github.io/Logging_0188/tillsyn/A 51695-2023 tillsynsbegäran.docx", "A 51695-2023")</f>
        <v/>
      </c>
      <c r="Y177">
        <f>HYPERLINK("https://klasma.github.io/Logging_0188/tillsynsmail/A 51695-2023 tillsynsbegäran mail.docx", "A 51695-2023")</f>
        <v/>
      </c>
    </row>
    <row r="178" ht="15" customHeight="1">
      <c r="A178" t="inlineStr">
        <is>
          <t>A 51909-2023</t>
        </is>
      </c>
      <c r="B178" s="1" t="n">
        <v>45223</v>
      </c>
      <c r="C178" s="1" t="n">
        <v>45645</v>
      </c>
      <c r="D178" t="inlineStr">
        <is>
          <t>STOCKHOLMS LÄN</t>
        </is>
      </c>
      <c r="E178" t="inlineStr">
        <is>
          <t>NORRTÄLJE</t>
        </is>
      </c>
      <c r="G178" t="n">
        <v>8.1</v>
      </c>
      <c r="H178" t="n">
        <v>1</v>
      </c>
      <c r="I178" t="n">
        <v>1</v>
      </c>
      <c r="J178" t="n">
        <v>0</v>
      </c>
      <c r="K178" t="n">
        <v>0</v>
      </c>
      <c r="L178" t="n">
        <v>0</v>
      </c>
      <c r="M178" t="n">
        <v>0</v>
      </c>
      <c r="N178" t="n">
        <v>0</v>
      </c>
      <c r="O178" t="n">
        <v>0</v>
      </c>
      <c r="P178" t="n">
        <v>0</v>
      </c>
      <c r="Q178" t="n">
        <v>1</v>
      </c>
      <c r="R178" s="2" t="inlineStr">
        <is>
          <t>Skogsknipprot</t>
        </is>
      </c>
      <c r="S178">
        <f>HYPERLINK("https://klasma.github.io/Logging_0188/artfynd/A 51909-2023 artfynd.xlsx", "A 51909-2023")</f>
        <v/>
      </c>
      <c r="T178">
        <f>HYPERLINK("https://klasma.github.io/Logging_0188/kartor/A 51909-2023 karta.png", "A 51909-2023")</f>
        <v/>
      </c>
      <c r="V178">
        <f>HYPERLINK("https://klasma.github.io/Logging_0188/klagomål/A 51909-2023 FSC-klagomål.docx", "A 51909-2023")</f>
        <v/>
      </c>
      <c r="W178">
        <f>HYPERLINK("https://klasma.github.io/Logging_0188/klagomålsmail/A 51909-2023 FSC-klagomål mail.docx", "A 51909-2023")</f>
        <v/>
      </c>
      <c r="X178">
        <f>HYPERLINK("https://klasma.github.io/Logging_0188/tillsyn/A 51909-2023 tillsynsbegäran.docx", "A 51909-2023")</f>
        <v/>
      </c>
      <c r="Y178">
        <f>HYPERLINK("https://klasma.github.io/Logging_0188/tillsynsmail/A 51909-2023 tillsynsbegäran mail.docx", "A 51909-2023")</f>
        <v/>
      </c>
    </row>
    <row r="179" ht="15" customHeight="1">
      <c r="A179" t="inlineStr">
        <is>
          <t>A 52508-2023</t>
        </is>
      </c>
      <c r="B179" s="1" t="n">
        <v>45225</v>
      </c>
      <c r="C179" s="1" t="n">
        <v>45645</v>
      </c>
      <c r="D179" t="inlineStr">
        <is>
          <t>STOCKHOLMS LÄN</t>
        </is>
      </c>
      <c r="E179" t="inlineStr">
        <is>
          <t>NORRTÄLJE</t>
        </is>
      </c>
      <c r="G179" t="n">
        <v>19.7</v>
      </c>
      <c r="H179" t="n">
        <v>1</v>
      </c>
      <c r="I179" t="n">
        <v>0</v>
      </c>
      <c r="J179" t="n">
        <v>0</v>
      </c>
      <c r="K179" t="n">
        <v>1</v>
      </c>
      <c r="L179" t="n">
        <v>0</v>
      </c>
      <c r="M179" t="n">
        <v>0</v>
      </c>
      <c r="N179" t="n">
        <v>0</v>
      </c>
      <c r="O179" t="n">
        <v>1</v>
      </c>
      <c r="P179" t="n">
        <v>1</v>
      </c>
      <c r="Q179" t="n">
        <v>1</v>
      </c>
      <c r="R179" s="2" t="inlineStr">
        <is>
          <t>Svärta</t>
        </is>
      </c>
      <c r="S179">
        <f>HYPERLINK("https://klasma.github.io/Logging_0188/artfynd/A 52508-2023 artfynd.xlsx", "A 52508-2023")</f>
        <v/>
      </c>
      <c r="T179">
        <f>HYPERLINK("https://klasma.github.io/Logging_0188/kartor/A 52508-2023 karta.png", "A 52508-2023")</f>
        <v/>
      </c>
      <c r="V179">
        <f>HYPERLINK("https://klasma.github.io/Logging_0188/klagomål/A 52508-2023 FSC-klagomål.docx", "A 52508-2023")</f>
        <v/>
      </c>
      <c r="W179">
        <f>HYPERLINK("https://klasma.github.io/Logging_0188/klagomålsmail/A 52508-2023 FSC-klagomål mail.docx", "A 52508-2023")</f>
        <v/>
      </c>
      <c r="X179">
        <f>HYPERLINK("https://klasma.github.io/Logging_0188/tillsyn/A 52508-2023 tillsynsbegäran.docx", "A 52508-2023")</f>
        <v/>
      </c>
      <c r="Y179">
        <f>HYPERLINK("https://klasma.github.io/Logging_0188/tillsynsmail/A 52508-2023 tillsynsbegäran mail.docx", "A 52508-2023")</f>
        <v/>
      </c>
    </row>
    <row r="180" ht="15" customHeight="1">
      <c r="A180" t="inlineStr">
        <is>
          <t>A 55767-2023</t>
        </is>
      </c>
      <c r="B180" s="1" t="n">
        <v>45239</v>
      </c>
      <c r="C180" s="1" t="n">
        <v>45645</v>
      </c>
      <c r="D180" t="inlineStr">
        <is>
          <t>STOCKHOLMS LÄN</t>
        </is>
      </c>
      <c r="E180" t="inlineStr">
        <is>
          <t>NORRTÄLJE</t>
        </is>
      </c>
      <c r="G180" t="n">
        <v>3.7</v>
      </c>
      <c r="H180" t="n">
        <v>0</v>
      </c>
      <c r="I180" t="n">
        <v>1</v>
      </c>
      <c r="J180" t="n">
        <v>0</v>
      </c>
      <c r="K180" t="n">
        <v>0</v>
      </c>
      <c r="L180" t="n">
        <v>0</v>
      </c>
      <c r="M180" t="n">
        <v>0</v>
      </c>
      <c r="N180" t="n">
        <v>0</v>
      </c>
      <c r="O180" t="n">
        <v>0</v>
      </c>
      <c r="P180" t="n">
        <v>0</v>
      </c>
      <c r="Q180" t="n">
        <v>1</v>
      </c>
      <c r="R180" s="2" t="inlineStr">
        <is>
          <t>Ögonpyrola</t>
        </is>
      </c>
      <c r="S180">
        <f>HYPERLINK("https://klasma.github.io/Logging_0188/artfynd/A 55767-2023 artfynd.xlsx", "A 55767-2023")</f>
        <v/>
      </c>
      <c r="T180">
        <f>HYPERLINK("https://klasma.github.io/Logging_0188/kartor/A 55767-2023 karta.png", "A 55767-2023")</f>
        <v/>
      </c>
      <c r="V180">
        <f>HYPERLINK("https://klasma.github.io/Logging_0188/klagomål/A 55767-2023 FSC-klagomål.docx", "A 55767-2023")</f>
        <v/>
      </c>
      <c r="W180">
        <f>HYPERLINK("https://klasma.github.io/Logging_0188/klagomålsmail/A 55767-2023 FSC-klagomål mail.docx", "A 55767-2023")</f>
        <v/>
      </c>
      <c r="X180">
        <f>HYPERLINK("https://klasma.github.io/Logging_0188/tillsyn/A 55767-2023 tillsynsbegäran.docx", "A 55767-2023")</f>
        <v/>
      </c>
      <c r="Y180">
        <f>HYPERLINK("https://klasma.github.io/Logging_0188/tillsynsmail/A 55767-2023 tillsynsbegäran mail.docx", "A 55767-2023")</f>
        <v/>
      </c>
    </row>
    <row r="181" ht="15" customHeight="1">
      <c r="A181" t="inlineStr">
        <is>
          <t>A 59580-2023</t>
        </is>
      </c>
      <c r="B181" s="1" t="n">
        <v>45254</v>
      </c>
      <c r="C181" s="1" t="n">
        <v>45645</v>
      </c>
      <c r="D181" t="inlineStr">
        <is>
          <t>STOCKHOLMS LÄN</t>
        </is>
      </c>
      <c r="E181" t="inlineStr">
        <is>
          <t>NORRTÄLJE</t>
        </is>
      </c>
      <c r="G181" t="n">
        <v>3.2</v>
      </c>
      <c r="H181" t="n">
        <v>0</v>
      </c>
      <c r="I181" t="n">
        <v>1</v>
      </c>
      <c r="J181" t="n">
        <v>0</v>
      </c>
      <c r="K181" t="n">
        <v>0</v>
      </c>
      <c r="L181" t="n">
        <v>0</v>
      </c>
      <c r="M181" t="n">
        <v>0</v>
      </c>
      <c r="N181" t="n">
        <v>0</v>
      </c>
      <c r="O181" t="n">
        <v>0</v>
      </c>
      <c r="P181" t="n">
        <v>0</v>
      </c>
      <c r="Q181" t="n">
        <v>1</v>
      </c>
      <c r="R181" s="2" t="inlineStr">
        <is>
          <t>Trådticka</t>
        </is>
      </c>
      <c r="S181">
        <f>HYPERLINK("https://klasma.github.io/Logging_0188/artfynd/A 59580-2023 artfynd.xlsx", "A 59580-2023")</f>
        <v/>
      </c>
      <c r="T181">
        <f>HYPERLINK("https://klasma.github.io/Logging_0188/kartor/A 59580-2023 karta.png", "A 59580-2023")</f>
        <v/>
      </c>
      <c r="V181">
        <f>HYPERLINK("https://klasma.github.io/Logging_0188/klagomål/A 59580-2023 FSC-klagomål.docx", "A 59580-2023")</f>
        <v/>
      </c>
      <c r="W181">
        <f>HYPERLINK("https://klasma.github.io/Logging_0188/klagomålsmail/A 59580-2023 FSC-klagomål mail.docx", "A 59580-2023")</f>
        <v/>
      </c>
      <c r="X181">
        <f>HYPERLINK("https://klasma.github.io/Logging_0188/tillsyn/A 59580-2023 tillsynsbegäran.docx", "A 59580-2023")</f>
        <v/>
      </c>
      <c r="Y181">
        <f>HYPERLINK("https://klasma.github.io/Logging_0188/tillsynsmail/A 59580-2023 tillsynsbegäran mail.docx", "A 59580-2023")</f>
        <v/>
      </c>
    </row>
    <row r="182" ht="15" customHeight="1">
      <c r="A182" t="inlineStr">
        <is>
          <t>A 63851-2023</t>
        </is>
      </c>
      <c r="B182" s="1" t="n">
        <v>45278</v>
      </c>
      <c r="C182" s="1" t="n">
        <v>45645</v>
      </c>
      <c r="D182" t="inlineStr">
        <is>
          <t>STOCKHOLMS LÄN</t>
        </is>
      </c>
      <c r="E182" t="inlineStr">
        <is>
          <t>NORRTÄLJE</t>
        </is>
      </c>
      <c r="G182" t="n">
        <v>5.6</v>
      </c>
      <c r="H182" t="n">
        <v>1</v>
      </c>
      <c r="I182" t="n">
        <v>0</v>
      </c>
      <c r="J182" t="n">
        <v>0</v>
      </c>
      <c r="K182" t="n">
        <v>0</v>
      </c>
      <c r="L182" t="n">
        <v>0</v>
      </c>
      <c r="M182" t="n">
        <v>0</v>
      </c>
      <c r="N182" t="n">
        <v>0</v>
      </c>
      <c r="O182" t="n">
        <v>0</v>
      </c>
      <c r="P182" t="n">
        <v>0</v>
      </c>
      <c r="Q182" t="n">
        <v>1</v>
      </c>
      <c r="R182" s="2" t="inlineStr">
        <is>
          <t>Tjäder</t>
        </is>
      </c>
      <c r="S182">
        <f>HYPERLINK("https://klasma.github.io/Logging_0188/artfynd/A 63851-2023 artfynd.xlsx", "A 63851-2023")</f>
        <v/>
      </c>
      <c r="T182">
        <f>HYPERLINK("https://klasma.github.io/Logging_0188/kartor/A 63851-2023 karta.png", "A 63851-2023")</f>
        <v/>
      </c>
      <c r="V182">
        <f>HYPERLINK("https://klasma.github.io/Logging_0188/klagomål/A 63851-2023 FSC-klagomål.docx", "A 63851-2023")</f>
        <v/>
      </c>
      <c r="W182">
        <f>HYPERLINK("https://klasma.github.io/Logging_0188/klagomålsmail/A 63851-2023 FSC-klagomål mail.docx", "A 63851-2023")</f>
        <v/>
      </c>
      <c r="X182">
        <f>HYPERLINK("https://klasma.github.io/Logging_0188/tillsyn/A 63851-2023 tillsynsbegäran.docx", "A 63851-2023")</f>
        <v/>
      </c>
      <c r="Y182">
        <f>HYPERLINK("https://klasma.github.io/Logging_0188/tillsynsmail/A 63851-2023 tillsynsbegäran mail.docx", "A 63851-2023")</f>
        <v/>
      </c>
      <c r="Z182">
        <f>HYPERLINK("https://klasma.github.io/Logging_0188/fåglar/A 63851-2023 prioriterade fågelarter.docx", "A 63851-2023")</f>
        <v/>
      </c>
    </row>
    <row r="183" ht="15" customHeight="1">
      <c r="A183" t="inlineStr">
        <is>
          <t>A 64456-2023</t>
        </is>
      </c>
      <c r="B183" s="1" t="n">
        <v>45280</v>
      </c>
      <c r="C183" s="1" t="n">
        <v>45645</v>
      </c>
      <c r="D183" t="inlineStr">
        <is>
          <t>STOCKHOLMS LÄN</t>
        </is>
      </c>
      <c r="E183" t="inlineStr">
        <is>
          <t>NORRTÄLJE</t>
        </is>
      </c>
      <c r="G183" t="n">
        <v>2.5</v>
      </c>
      <c r="H183" t="n">
        <v>0</v>
      </c>
      <c r="I183" t="n">
        <v>1</v>
      </c>
      <c r="J183" t="n">
        <v>0</v>
      </c>
      <c r="K183" t="n">
        <v>0</v>
      </c>
      <c r="L183" t="n">
        <v>0</v>
      </c>
      <c r="M183" t="n">
        <v>0</v>
      </c>
      <c r="N183" t="n">
        <v>0</v>
      </c>
      <c r="O183" t="n">
        <v>0</v>
      </c>
      <c r="P183" t="n">
        <v>0</v>
      </c>
      <c r="Q183" t="n">
        <v>1</v>
      </c>
      <c r="R183" s="2" t="inlineStr">
        <is>
          <t>Rödgul trumpetsvamp</t>
        </is>
      </c>
      <c r="S183">
        <f>HYPERLINK("https://klasma.github.io/Logging_0188/artfynd/A 64456-2023 artfynd.xlsx", "A 64456-2023")</f>
        <v/>
      </c>
      <c r="T183">
        <f>HYPERLINK("https://klasma.github.io/Logging_0188/kartor/A 64456-2023 karta.png", "A 64456-2023")</f>
        <v/>
      </c>
      <c r="V183">
        <f>HYPERLINK("https://klasma.github.io/Logging_0188/klagomål/A 64456-2023 FSC-klagomål.docx", "A 64456-2023")</f>
        <v/>
      </c>
      <c r="W183">
        <f>HYPERLINK("https://klasma.github.io/Logging_0188/klagomålsmail/A 64456-2023 FSC-klagomål mail.docx", "A 64456-2023")</f>
        <v/>
      </c>
      <c r="X183">
        <f>HYPERLINK("https://klasma.github.io/Logging_0188/tillsyn/A 64456-2023 tillsynsbegäran.docx", "A 64456-2023")</f>
        <v/>
      </c>
      <c r="Y183">
        <f>HYPERLINK("https://klasma.github.io/Logging_0188/tillsynsmail/A 64456-2023 tillsynsbegäran mail.docx", "A 64456-2023")</f>
        <v/>
      </c>
    </row>
    <row r="184" ht="15" customHeight="1">
      <c r="A184" t="inlineStr">
        <is>
          <t>A 6950-2024</t>
        </is>
      </c>
      <c r="B184" s="1" t="n">
        <v>45343</v>
      </c>
      <c r="C184" s="1" t="n">
        <v>45645</v>
      </c>
      <c r="D184" t="inlineStr">
        <is>
          <t>STOCKHOLMS LÄN</t>
        </is>
      </c>
      <c r="E184" t="inlineStr">
        <is>
          <t>NORRTÄLJE</t>
        </is>
      </c>
      <c r="G184" t="n">
        <v>26.8</v>
      </c>
      <c r="H184" t="n">
        <v>1</v>
      </c>
      <c r="I184" t="n">
        <v>0</v>
      </c>
      <c r="J184" t="n">
        <v>0</v>
      </c>
      <c r="K184" t="n">
        <v>0</v>
      </c>
      <c r="L184" t="n">
        <v>0</v>
      </c>
      <c r="M184" t="n">
        <v>0</v>
      </c>
      <c r="N184" t="n">
        <v>0</v>
      </c>
      <c r="O184" t="n">
        <v>0</v>
      </c>
      <c r="P184" t="n">
        <v>0</v>
      </c>
      <c r="Q184" t="n">
        <v>1</v>
      </c>
      <c r="R184" s="2" t="inlineStr">
        <is>
          <t>Blåsippa</t>
        </is>
      </c>
      <c r="S184">
        <f>HYPERLINK("https://klasma.github.io/Logging_0188/artfynd/A 6950-2024 artfynd.xlsx", "A 6950-2024")</f>
        <v/>
      </c>
      <c r="T184">
        <f>HYPERLINK("https://klasma.github.io/Logging_0188/kartor/A 6950-2024 karta.png", "A 6950-2024")</f>
        <v/>
      </c>
      <c r="V184">
        <f>HYPERLINK("https://klasma.github.io/Logging_0188/klagomål/A 6950-2024 FSC-klagomål.docx", "A 6950-2024")</f>
        <v/>
      </c>
      <c r="W184">
        <f>HYPERLINK("https://klasma.github.io/Logging_0188/klagomålsmail/A 6950-2024 FSC-klagomål mail.docx", "A 6950-2024")</f>
        <v/>
      </c>
      <c r="X184">
        <f>HYPERLINK("https://klasma.github.io/Logging_0188/tillsyn/A 6950-2024 tillsynsbegäran.docx", "A 6950-2024")</f>
        <v/>
      </c>
      <c r="Y184">
        <f>HYPERLINK("https://klasma.github.io/Logging_0188/tillsynsmail/A 6950-2024 tillsynsbegäran mail.docx", "A 6950-2024")</f>
        <v/>
      </c>
    </row>
    <row r="185" ht="15" customHeight="1">
      <c r="A185" t="inlineStr">
        <is>
          <t>A 20468-2024</t>
        </is>
      </c>
      <c r="B185" s="1" t="n">
        <v>45435</v>
      </c>
      <c r="C185" s="1" t="n">
        <v>45645</v>
      </c>
      <c r="D185" t="inlineStr">
        <is>
          <t>STOCKHOLMS LÄN</t>
        </is>
      </c>
      <c r="E185" t="inlineStr">
        <is>
          <t>NORRTÄLJE</t>
        </is>
      </c>
      <c r="G185" t="n">
        <v>2.2</v>
      </c>
      <c r="H185" t="n">
        <v>0</v>
      </c>
      <c r="I185" t="n">
        <v>0</v>
      </c>
      <c r="J185" t="n">
        <v>0</v>
      </c>
      <c r="K185" t="n">
        <v>0</v>
      </c>
      <c r="L185" t="n">
        <v>1</v>
      </c>
      <c r="M185" t="n">
        <v>0</v>
      </c>
      <c r="N185" t="n">
        <v>0</v>
      </c>
      <c r="O185" t="n">
        <v>1</v>
      </c>
      <c r="P185" t="n">
        <v>1</v>
      </c>
      <c r="Q185" t="n">
        <v>1</v>
      </c>
      <c r="R185" s="2" t="inlineStr">
        <is>
          <t>Fältgentiana</t>
        </is>
      </c>
      <c r="S185">
        <f>HYPERLINK("https://klasma.github.io/Logging_0188/artfynd/A 20468-2024 artfynd.xlsx", "A 20468-2024")</f>
        <v/>
      </c>
      <c r="T185">
        <f>HYPERLINK("https://klasma.github.io/Logging_0188/kartor/A 20468-2024 karta.png", "A 20468-2024")</f>
        <v/>
      </c>
      <c r="V185">
        <f>HYPERLINK("https://klasma.github.io/Logging_0188/klagomål/A 20468-2024 FSC-klagomål.docx", "A 20468-2024")</f>
        <v/>
      </c>
      <c r="W185">
        <f>HYPERLINK("https://klasma.github.io/Logging_0188/klagomålsmail/A 20468-2024 FSC-klagomål mail.docx", "A 20468-2024")</f>
        <v/>
      </c>
      <c r="X185">
        <f>HYPERLINK("https://klasma.github.io/Logging_0188/tillsyn/A 20468-2024 tillsynsbegäran.docx", "A 20468-2024")</f>
        <v/>
      </c>
      <c r="Y185">
        <f>HYPERLINK("https://klasma.github.io/Logging_0188/tillsynsmail/A 20468-2024 tillsynsbegäran mail.docx", "A 20468-2024")</f>
        <v/>
      </c>
    </row>
    <row r="186" ht="15" customHeight="1">
      <c r="A186" t="inlineStr">
        <is>
          <t>A 23146-2024</t>
        </is>
      </c>
      <c r="B186" s="1" t="n">
        <v>45450</v>
      </c>
      <c r="C186" s="1" t="n">
        <v>45645</v>
      </c>
      <c r="D186" t="inlineStr">
        <is>
          <t>STOCKHOLMS LÄN</t>
        </is>
      </c>
      <c r="E186" t="inlineStr">
        <is>
          <t>NORRTÄLJE</t>
        </is>
      </c>
      <c r="F186" t="inlineStr">
        <is>
          <t>Kommuner</t>
        </is>
      </c>
      <c r="G186" t="n">
        <v>6</v>
      </c>
      <c r="H186" t="n">
        <v>0</v>
      </c>
      <c r="I186" t="n">
        <v>0</v>
      </c>
      <c r="J186" t="n">
        <v>1</v>
      </c>
      <c r="K186" t="n">
        <v>0</v>
      </c>
      <c r="L186" t="n">
        <v>0</v>
      </c>
      <c r="M186" t="n">
        <v>0</v>
      </c>
      <c r="N186" t="n">
        <v>0</v>
      </c>
      <c r="O186" t="n">
        <v>1</v>
      </c>
      <c r="P186" t="n">
        <v>0</v>
      </c>
      <c r="Q186" t="n">
        <v>1</v>
      </c>
      <c r="R186" s="2" t="inlineStr">
        <is>
          <t>Motaggsvamp</t>
        </is>
      </c>
      <c r="S186">
        <f>HYPERLINK("https://klasma.github.io/Logging_0188/artfynd/A 23146-2024 artfynd.xlsx", "A 23146-2024")</f>
        <v/>
      </c>
      <c r="T186">
        <f>HYPERLINK("https://klasma.github.io/Logging_0188/kartor/A 23146-2024 karta.png", "A 23146-2024")</f>
        <v/>
      </c>
      <c r="V186">
        <f>HYPERLINK("https://klasma.github.io/Logging_0188/klagomål/A 23146-2024 FSC-klagomål.docx", "A 23146-2024")</f>
        <v/>
      </c>
      <c r="W186">
        <f>HYPERLINK("https://klasma.github.io/Logging_0188/klagomålsmail/A 23146-2024 FSC-klagomål mail.docx", "A 23146-2024")</f>
        <v/>
      </c>
      <c r="X186">
        <f>HYPERLINK("https://klasma.github.io/Logging_0188/tillsyn/A 23146-2024 tillsynsbegäran.docx", "A 23146-2024")</f>
        <v/>
      </c>
      <c r="Y186">
        <f>HYPERLINK("https://klasma.github.io/Logging_0188/tillsynsmail/A 23146-2024 tillsynsbegäran mail.docx", "A 23146-2024")</f>
        <v/>
      </c>
    </row>
    <row r="187" ht="15" customHeight="1">
      <c r="A187" t="inlineStr">
        <is>
          <t>A 24577-2024</t>
        </is>
      </c>
      <c r="B187" s="1" t="n">
        <v>45460</v>
      </c>
      <c r="C187" s="1" t="n">
        <v>45645</v>
      </c>
      <c r="D187" t="inlineStr">
        <is>
          <t>STOCKHOLMS LÄN</t>
        </is>
      </c>
      <c r="E187" t="inlineStr">
        <is>
          <t>NORRTÄLJE</t>
        </is>
      </c>
      <c r="G187" t="n">
        <v>3.8</v>
      </c>
      <c r="H187" t="n">
        <v>0</v>
      </c>
      <c r="I187" t="n">
        <v>1</v>
      </c>
      <c r="J187" t="n">
        <v>0</v>
      </c>
      <c r="K187" t="n">
        <v>0</v>
      </c>
      <c r="L187" t="n">
        <v>0</v>
      </c>
      <c r="M187" t="n">
        <v>0</v>
      </c>
      <c r="N187" t="n">
        <v>0</v>
      </c>
      <c r="O187" t="n">
        <v>0</v>
      </c>
      <c r="P187" t="n">
        <v>0</v>
      </c>
      <c r="Q187" t="n">
        <v>1</v>
      </c>
      <c r="R187" s="2" t="inlineStr">
        <is>
          <t>Rostfläck</t>
        </is>
      </c>
      <c r="S187">
        <f>HYPERLINK("https://klasma.github.io/Logging_0188/artfynd/A 24577-2024 artfynd.xlsx", "A 24577-2024")</f>
        <v/>
      </c>
      <c r="T187">
        <f>HYPERLINK("https://klasma.github.io/Logging_0188/kartor/A 24577-2024 karta.png", "A 24577-2024")</f>
        <v/>
      </c>
      <c r="V187">
        <f>HYPERLINK("https://klasma.github.io/Logging_0188/klagomål/A 24577-2024 FSC-klagomål.docx", "A 24577-2024")</f>
        <v/>
      </c>
      <c r="W187">
        <f>HYPERLINK("https://klasma.github.io/Logging_0188/klagomålsmail/A 24577-2024 FSC-klagomål mail.docx", "A 24577-2024")</f>
        <v/>
      </c>
      <c r="X187">
        <f>HYPERLINK("https://klasma.github.io/Logging_0188/tillsyn/A 24577-2024 tillsynsbegäran.docx", "A 24577-2024")</f>
        <v/>
      </c>
      <c r="Y187">
        <f>HYPERLINK("https://klasma.github.io/Logging_0188/tillsynsmail/A 24577-2024 tillsynsbegäran mail.docx", "A 24577-2024")</f>
        <v/>
      </c>
    </row>
    <row r="188" ht="15" customHeight="1">
      <c r="A188" t="inlineStr">
        <is>
          <t>A 24528-2024</t>
        </is>
      </c>
      <c r="B188" s="1" t="n">
        <v>45460</v>
      </c>
      <c r="C188" s="1" t="n">
        <v>45645</v>
      </c>
      <c r="D188" t="inlineStr">
        <is>
          <t>STOCKHOLMS LÄN</t>
        </is>
      </c>
      <c r="E188" t="inlineStr">
        <is>
          <t>NORRTÄLJE</t>
        </is>
      </c>
      <c r="G188" t="n">
        <v>1.4</v>
      </c>
      <c r="H188" t="n">
        <v>1</v>
      </c>
      <c r="I188" t="n">
        <v>0</v>
      </c>
      <c r="J188" t="n">
        <v>0</v>
      </c>
      <c r="K188" t="n">
        <v>1</v>
      </c>
      <c r="L188" t="n">
        <v>0</v>
      </c>
      <c r="M188" t="n">
        <v>0</v>
      </c>
      <c r="N188" t="n">
        <v>0</v>
      </c>
      <c r="O188" t="n">
        <v>1</v>
      </c>
      <c r="P188" t="n">
        <v>1</v>
      </c>
      <c r="Q188" t="n">
        <v>1</v>
      </c>
      <c r="R188" s="2" t="inlineStr">
        <is>
          <t>Hällebräcka</t>
        </is>
      </c>
      <c r="S188">
        <f>HYPERLINK("https://klasma.github.io/Logging_0188/artfynd/A 24528-2024 artfynd.xlsx", "A 24528-2024")</f>
        <v/>
      </c>
      <c r="T188">
        <f>HYPERLINK("https://klasma.github.io/Logging_0188/kartor/A 24528-2024 karta.png", "A 24528-2024")</f>
        <v/>
      </c>
      <c r="V188">
        <f>HYPERLINK("https://klasma.github.io/Logging_0188/klagomål/A 24528-2024 FSC-klagomål.docx", "A 24528-2024")</f>
        <v/>
      </c>
      <c r="W188">
        <f>HYPERLINK("https://klasma.github.io/Logging_0188/klagomålsmail/A 24528-2024 FSC-klagomål mail.docx", "A 24528-2024")</f>
        <v/>
      </c>
      <c r="X188">
        <f>HYPERLINK("https://klasma.github.io/Logging_0188/tillsyn/A 24528-2024 tillsynsbegäran.docx", "A 24528-2024")</f>
        <v/>
      </c>
      <c r="Y188">
        <f>HYPERLINK("https://klasma.github.io/Logging_0188/tillsynsmail/A 24528-2024 tillsynsbegäran mail.docx", "A 24528-2024")</f>
        <v/>
      </c>
    </row>
    <row r="189" ht="15" customHeight="1">
      <c r="A189" t="inlineStr">
        <is>
          <t>A 26120-2024</t>
        </is>
      </c>
      <c r="B189" s="1" t="n">
        <v>45468</v>
      </c>
      <c r="C189" s="1" t="n">
        <v>45645</v>
      </c>
      <c r="D189" t="inlineStr">
        <is>
          <t>STOCKHOLMS LÄN</t>
        </is>
      </c>
      <c r="E189" t="inlineStr">
        <is>
          <t>NORRTÄLJE</t>
        </is>
      </c>
      <c r="G189" t="n">
        <v>1.8</v>
      </c>
      <c r="H189" t="n">
        <v>0</v>
      </c>
      <c r="I189" t="n">
        <v>0</v>
      </c>
      <c r="J189" t="n">
        <v>1</v>
      </c>
      <c r="K189" t="n">
        <v>0</v>
      </c>
      <c r="L189" t="n">
        <v>0</v>
      </c>
      <c r="M189" t="n">
        <v>0</v>
      </c>
      <c r="N189" t="n">
        <v>0</v>
      </c>
      <c r="O189" t="n">
        <v>1</v>
      </c>
      <c r="P189" t="n">
        <v>0</v>
      </c>
      <c r="Q189" t="n">
        <v>1</v>
      </c>
      <c r="R189" s="2" t="inlineStr">
        <is>
          <t>Majviva</t>
        </is>
      </c>
      <c r="S189">
        <f>HYPERLINK("https://klasma.github.io/Logging_0188/artfynd/A 26120-2024 artfynd.xlsx", "A 26120-2024")</f>
        <v/>
      </c>
      <c r="T189">
        <f>HYPERLINK("https://klasma.github.io/Logging_0188/kartor/A 26120-2024 karta.png", "A 26120-2024")</f>
        <v/>
      </c>
      <c r="V189">
        <f>HYPERLINK("https://klasma.github.io/Logging_0188/klagomål/A 26120-2024 FSC-klagomål.docx", "A 26120-2024")</f>
        <v/>
      </c>
      <c r="W189">
        <f>HYPERLINK("https://klasma.github.io/Logging_0188/klagomålsmail/A 26120-2024 FSC-klagomål mail.docx", "A 26120-2024")</f>
        <v/>
      </c>
      <c r="X189">
        <f>HYPERLINK("https://klasma.github.io/Logging_0188/tillsyn/A 26120-2024 tillsynsbegäran.docx", "A 26120-2024")</f>
        <v/>
      </c>
      <c r="Y189">
        <f>HYPERLINK("https://klasma.github.io/Logging_0188/tillsynsmail/A 26120-2024 tillsynsbegäran mail.docx", "A 26120-2024")</f>
        <v/>
      </c>
    </row>
    <row r="190" ht="15" customHeight="1">
      <c r="A190" t="inlineStr">
        <is>
          <t>A 27538-2024</t>
        </is>
      </c>
      <c r="B190" s="1" t="n">
        <v>45474</v>
      </c>
      <c r="C190" s="1" t="n">
        <v>45645</v>
      </c>
      <c r="D190" t="inlineStr">
        <is>
          <t>STOCKHOLMS LÄN</t>
        </is>
      </c>
      <c r="E190" t="inlineStr">
        <is>
          <t>NORRTÄLJE</t>
        </is>
      </c>
      <c r="G190" t="n">
        <v>1.5</v>
      </c>
      <c r="H190" t="n">
        <v>1</v>
      </c>
      <c r="I190" t="n">
        <v>1</v>
      </c>
      <c r="J190" t="n">
        <v>0</v>
      </c>
      <c r="K190" t="n">
        <v>0</v>
      </c>
      <c r="L190" t="n">
        <v>0</v>
      </c>
      <c r="M190" t="n">
        <v>0</v>
      </c>
      <c r="N190" t="n">
        <v>0</v>
      </c>
      <c r="O190" t="n">
        <v>0</v>
      </c>
      <c r="P190" t="n">
        <v>0</v>
      </c>
      <c r="Q190" t="n">
        <v>1</v>
      </c>
      <c r="R190" s="2" t="inlineStr">
        <is>
          <t>Skogsknipprot</t>
        </is>
      </c>
      <c r="S190">
        <f>HYPERLINK("https://klasma.github.io/Logging_0188/artfynd/A 27538-2024 artfynd.xlsx", "A 27538-2024")</f>
        <v/>
      </c>
      <c r="T190">
        <f>HYPERLINK("https://klasma.github.io/Logging_0188/kartor/A 27538-2024 karta.png", "A 27538-2024")</f>
        <v/>
      </c>
      <c r="V190">
        <f>HYPERLINK("https://klasma.github.io/Logging_0188/klagomål/A 27538-2024 FSC-klagomål.docx", "A 27538-2024")</f>
        <v/>
      </c>
      <c r="W190">
        <f>HYPERLINK("https://klasma.github.io/Logging_0188/klagomålsmail/A 27538-2024 FSC-klagomål mail.docx", "A 27538-2024")</f>
        <v/>
      </c>
      <c r="X190">
        <f>HYPERLINK("https://klasma.github.io/Logging_0188/tillsyn/A 27538-2024 tillsynsbegäran.docx", "A 27538-2024")</f>
        <v/>
      </c>
      <c r="Y190">
        <f>HYPERLINK("https://klasma.github.io/Logging_0188/tillsynsmail/A 27538-2024 tillsynsbegäran mail.docx", "A 27538-2024")</f>
        <v/>
      </c>
    </row>
    <row r="191" ht="15" customHeight="1">
      <c r="A191" t="inlineStr">
        <is>
          <t>A 35764-2024</t>
        </is>
      </c>
      <c r="B191" s="1" t="n">
        <v>45532</v>
      </c>
      <c r="C191" s="1" t="n">
        <v>45645</v>
      </c>
      <c r="D191" t="inlineStr">
        <is>
          <t>STOCKHOLMS LÄN</t>
        </is>
      </c>
      <c r="E191" t="inlineStr">
        <is>
          <t>NORRTÄLJE</t>
        </is>
      </c>
      <c r="G191" t="n">
        <v>14.2</v>
      </c>
      <c r="H191" t="n">
        <v>1</v>
      </c>
      <c r="I191" t="n">
        <v>0</v>
      </c>
      <c r="J191" t="n">
        <v>0</v>
      </c>
      <c r="K191" t="n">
        <v>1</v>
      </c>
      <c r="L191" t="n">
        <v>0</v>
      </c>
      <c r="M191" t="n">
        <v>0</v>
      </c>
      <c r="N191" t="n">
        <v>0</v>
      </c>
      <c r="O191" t="n">
        <v>1</v>
      </c>
      <c r="P191" t="n">
        <v>1</v>
      </c>
      <c r="Q191" t="n">
        <v>1</v>
      </c>
      <c r="R191" s="2" t="inlineStr">
        <is>
          <t>Knärot</t>
        </is>
      </c>
      <c r="S191">
        <f>HYPERLINK("https://klasma.github.io/Logging_0188/artfynd/A 35764-2024 artfynd.xlsx", "A 35764-2024")</f>
        <v/>
      </c>
      <c r="T191">
        <f>HYPERLINK("https://klasma.github.io/Logging_0188/kartor/A 35764-2024 karta.png", "A 35764-2024")</f>
        <v/>
      </c>
      <c r="U191">
        <f>HYPERLINK("https://klasma.github.io/Logging_0188/knärot/A 35764-2024 karta knärot.png", "A 35764-2024")</f>
        <v/>
      </c>
      <c r="V191">
        <f>HYPERLINK("https://klasma.github.io/Logging_0188/klagomål/A 35764-2024 FSC-klagomål.docx", "A 35764-2024")</f>
        <v/>
      </c>
      <c r="W191">
        <f>HYPERLINK("https://klasma.github.io/Logging_0188/klagomålsmail/A 35764-2024 FSC-klagomål mail.docx", "A 35764-2024")</f>
        <v/>
      </c>
      <c r="X191">
        <f>HYPERLINK("https://klasma.github.io/Logging_0188/tillsyn/A 35764-2024 tillsynsbegäran.docx", "A 35764-2024")</f>
        <v/>
      </c>
      <c r="Y191">
        <f>HYPERLINK("https://klasma.github.io/Logging_0188/tillsynsmail/A 35764-2024 tillsynsbegäran mail.docx", "A 35764-2024")</f>
        <v/>
      </c>
    </row>
    <row r="192" ht="15" customHeight="1">
      <c r="A192" t="inlineStr">
        <is>
          <t>A 37918-2024</t>
        </is>
      </c>
      <c r="B192" s="1" t="n">
        <v>45544</v>
      </c>
      <c r="C192" s="1" t="n">
        <v>45645</v>
      </c>
      <c r="D192" t="inlineStr">
        <is>
          <t>STOCKHOLMS LÄN</t>
        </is>
      </c>
      <c r="E192" t="inlineStr">
        <is>
          <t>NORRTÄLJE</t>
        </is>
      </c>
      <c r="F192" t="inlineStr">
        <is>
          <t>Holmen skog AB</t>
        </is>
      </c>
      <c r="G192" t="n">
        <v>8.4</v>
      </c>
      <c r="H192" t="n">
        <v>1</v>
      </c>
      <c r="I192" t="n">
        <v>0</v>
      </c>
      <c r="J192" t="n">
        <v>0</v>
      </c>
      <c r="K192" t="n">
        <v>0</v>
      </c>
      <c r="L192" t="n">
        <v>1</v>
      </c>
      <c r="M192" t="n">
        <v>0</v>
      </c>
      <c r="N192" t="n">
        <v>0</v>
      </c>
      <c r="O192" t="n">
        <v>1</v>
      </c>
      <c r="P192" t="n">
        <v>1</v>
      </c>
      <c r="Q192" t="n">
        <v>1</v>
      </c>
      <c r="R192" s="2" t="inlineStr">
        <is>
          <t>Asknätfjäril</t>
        </is>
      </c>
      <c r="S192">
        <f>HYPERLINK("https://klasma.github.io/Logging_0188/artfynd/A 37918-2024 artfynd.xlsx", "A 37918-2024")</f>
        <v/>
      </c>
      <c r="T192">
        <f>HYPERLINK("https://klasma.github.io/Logging_0188/kartor/A 37918-2024 karta.png", "A 37918-2024")</f>
        <v/>
      </c>
      <c r="V192">
        <f>HYPERLINK("https://klasma.github.io/Logging_0188/klagomål/A 37918-2024 FSC-klagomål.docx", "A 37918-2024")</f>
        <v/>
      </c>
      <c r="W192">
        <f>HYPERLINK("https://klasma.github.io/Logging_0188/klagomålsmail/A 37918-2024 FSC-klagomål mail.docx", "A 37918-2024")</f>
        <v/>
      </c>
      <c r="X192">
        <f>HYPERLINK("https://klasma.github.io/Logging_0188/tillsyn/A 37918-2024 tillsynsbegäran.docx", "A 37918-2024")</f>
        <v/>
      </c>
      <c r="Y192">
        <f>HYPERLINK("https://klasma.github.io/Logging_0188/tillsynsmail/A 37918-2024 tillsynsbegäran mail.docx", "A 37918-2024")</f>
        <v/>
      </c>
    </row>
    <row r="193" ht="15" customHeight="1">
      <c r="A193" t="inlineStr">
        <is>
          <t>A 44547-2024</t>
        </is>
      </c>
      <c r="B193" s="1" t="n">
        <v>45574</v>
      </c>
      <c r="C193" s="1" t="n">
        <v>45645</v>
      </c>
      <c r="D193" t="inlineStr">
        <is>
          <t>STOCKHOLMS LÄN</t>
        </is>
      </c>
      <c r="E193" t="inlineStr">
        <is>
          <t>NORRTÄLJE</t>
        </is>
      </c>
      <c r="G193" t="n">
        <v>11.1</v>
      </c>
      <c r="H193" t="n">
        <v>0</v>
      </c>
      <c r="I193" t="n">
        <v>0</v>
      </c>
      <c r="J193" t="n">
        <v>1</v>
      </c>
      <c r="K193" t="n">
        <v>0</v>
      </c>
      <c r="L193" t="n">
        <v>0</v>
      </c>
      <c r="M193" t="n">
        <v>0</v>
      </c>
      <c r="N193" t="n">
        <v>0</v>
      </c>
      <c r="O193" t="n">
        <v>1</v>
      </c>
      <c r="P193" t="n">
        <v>0</v>
      </c>
      <c r="Q193" t="n">
        <v>1</v>
      </c>
      <c r="R193" s="2" t="inlineStr">
        <is>
          <t>Skogsklocka</t>
        </is>
      </c>
      <c r="S193">
        <f>HYPERLINK("https://klasma.github.io/Logging_0188/artfynd/A 44547-2024 artfynd.xlsx", "A 44547-2024")</f>
        <v/>
      </c>
      <c r="T193">
        <f>HYPERLINK("https://klasma.github.io/Logging_0188/kartor/A 44547-2024 karta.png", "A 44547-2024")</f>
        <v/>
      </c>
      <c r="V193">
        <f>HYPERLINK("https://klasma.github.io/Logging_0188/klagomål/A 44547-2024 FSC-klagomål.docx", "A 44547-2024")</f>
        <v/>
      </c>
      <c r="W193">
        <f>HYPERLINK("https://klasma.github.io/Logging_0188/klagomålsmail/A 44547-2024 FSC-klagomål mail.docx", "A 44547-2024")</f>
        <v/>
      </c>
      <c r="X193">
        <f>HYPERLINK("https://klasma.github.io/Logging_0188/tillsyn/A 44547-2024 tillsynsbegäran.docx", "A 44547-2024")</f>
        <v/>
      </c>
      <c r="Y193">
        <f>HYPERLINK("https://klasma.github.io/Logging_0188/tillsynsmail/A 44547-2024 tillsynsbegäran mail.docx", "A 44547-2024")</f>
        <v/>
      </c>
    </row>
    <row r="194" ht="15" customHeight="1">
      <c r="A194" t="inlineStr">
        <is>
          <t>A 52363-2024</t>
        </is>
      </c>
      <c r="B194" s="1" t="n">
        <v>45609</v>
      </c>
      <c r="C194" s="1" t="n">
        <v>45645</v>
      </c>
      <c r="D194" t="inlineStr">
        <is>
          <t>STOCKHOLMS LÄN</t>
        </is>
      </c>
      <c r="E194" t="inlineStr">
        <is>
          <t>NORRTÄLJE</t>
        </is>
      </c>
      <c r="G194" t="n">
        <v>9.199999999999999</v>
      </c>
      <c r="H194" t="n">
        <v>1</v>
      </c>
      <c r="I194" t="n">
        <v>0</v>
      </c>
      <c r="J194" t="n">
        <v>0</v>
      </c>
      <c r="K194" t="n">
        <v>0</v>
      </c>
      <c r="L194" t="n">
        <v>0</v>
      </c>
      <c r="M194" t="n">
        <v>0</v>
      </c>
      <c r="N194" t="n">
        <v>0</v>
      </c>
      <c r="O194" t="n">
        <v>0</v>
      </c>
      <c r="P194" t="n">
        <v>0</v>
      </c>
      <c r="Q194" t="n">
        <v>1</v>
      </c>
      <c r="R194" s="2" t="inlineStr">
        <is>
          <t>Revlummer</t>
        </is>
      </c>
      <c r="S194">
        <f>HYPERLINK("https://klasma.github.io/Logging_0188/artfynd/A 52363-2024 artfynd.xlsx", "A 52363-2024")</f>
        <v/>
      </c>
      <c r="T194">
        <f>HYPERLINK("https://klasma.github.io/Logging_0188/kartor/A 52363-2024 karta.png", "A 52363-2024")</f>
        <v/>
      </c>
      <c r="V194">
        <f>HYPERLINK("https://klasma.github.io/Logging_0188/klagomål/A 52363-2024 FSC-klagomål.docx", "A 52363-2024")</f>
        <v/>
      </c>
      <c r="W194">
        <f>HYPERLINK("https://klasma.github.io/Logging_0188/klagomålsmail/A 52363-2024 FSC-klagomål mail.docx", "A 52363-2024")</f>
        <v/>
      </c>
      <c r="X194">
        <f>HYPERLINK("https://klasma.github.io/Logging_0188/tillsyn/A 52363-2024 tillsynsbegäran.docx", "A 52363-2024")</f>
        <v/>
      </c>
      <c r="Y194">
        <f>HYPERLINK("https://klasma.github.io/Logging_0188/tillsynsmail/A 52363-2024 tillsynsbegäran mail.docx", "A 52363-2024")</f>
        <v/>
      </c>
    </row>
    <row r="195" ht="15" customHeight="1">
      <c r="A195" t="inlineStr">
        <is>
          <t>A 52611-2024</t>
        </is>
      </c>
      <c r="B195" s="1" t="n">
        <v>45609</v>
      </c>
      <c r="C195" s="1" t="n">
        <v>45645</v>
      </c>
      <c r="D195" t="inlineStr">
        <is>
          <t>STOCKHOLMS LÄN</t>
        </is>
      </c>
      <c r="E195" t="inlineStr">
        <is>
          <t>NORRTÄLJE</t>
        </is>
      </c>
      <c r="G195" t="n">
        <v>10.6</v>
      </c>
      <c r="H195" t="n">
        <v>1</v>
      </c>
      <c r="I195" t="n">
        <v>0</v>
      </c>
      <c r="J195" t="n">
        <v>0</v>
      </c>
      <c r="K195" t="n">
        <v>0</v>
      </c>
      <c r="L195" t="n">
        <v>0</v>
      </c>
      <c r="M195" t="n">
        <v>0</v>
      </c>
      <c r="N195" t="n">
        <v>0</v>
      </c>
      <c r="O195" t="n">
        <v>0</v>
      </c>
      <c r="P195" t="n">
        <v>0</v>
      </c>
      <c r="Q195" t="n">
        <v>1</v>
      </c>
      <c r="R195" s="2" t="inlineStr">
        <is>
          <t>Blåsippa</t>
        </is>
      </c>
      <c r="S195">
        <f>HYPERLINK("https://klasma.github.io/Logging_0188/artfynd/A 52611-2024 artfynd.xlsx", "A 52611-2024")</f>
        <v/>
      </c>
      <c r="T195">
        <f>HYPERLINK("https://klasma.github.io/Logging_0188/kartor/A 52611-2024 karta.png", "A 52611-2024")</f>
        <v/>
      </c>
      <c r="V195">
        <f>HYPERLINK("https://klasma.github.io/Logging_0188/klagomål/A 52611-2024 FSC-klagomål.docx", "A 52611-2024")</f>
        <v/>
      </c>
      <c r="W195">
        <f>HYPERLINK("https://klasma.github.io/Logging_0188/klagomålsmail/A 52611-2024 FSC-klagomål mail.docx", "A 52611-2024")</f>
        <v/>
      </c>
      <c r="X195">
        <f>HYPERLINK("https://klasma.github.io/Logging_0188/tillsyn/A 52611-2024 tillsynsbegäran.docx", "A 52611-2024")</f>
        <v/>
      </c>
      <c r="Y195">
        <f>HYPERLINK("https://klasma.github.io/Logging_0188/tillsynsmail/A 52611-2024 tillsynsbegäran mail.docx", "A 52611-2024")</f>
        <v/>
      </c>
    </row>
    <row r="196" ht="15" customHeight="1">
      <c r="A196" t="inlineStr">
        <is>
          <t>A 56792-2024</t>
        </is>
      </c>
      <c r="B196" s="1" t="n">
        <v>45628</v>
      </c>
      <c r="C196" s="1" t="n">
        <v>45645</v>
      </c>
      <c r="D196" t="inlineStr">
        <is>
          <t>STOCKHOLMS LÄN</t>
        </is>
      </c>
      <c r="E196" t="inlineStr">
        <is>
          <t>NORRTÄLJE</t>
        </is>
      </c>
      <c r="G196" t="n">
        <v>9.699999999999999</v>
      </c>
      <c r="H196" t="n">
        <v>0</v>
      </c>
      <c r="I196" t="n">
        <v>0</v>
      </c>
      <c r="J196" t="n">
        <v>1</v>
      </c>
      <c r="K196" t="n">
        <v>0</v>
      </c>
      <c r="L196" t="n">
        <v>0</v>
      </c>
      <c r="M196" t="n">
        <v>0</v>
      </c>
      <c r="N196" t="n">
        <v>0</v>
      </c>
      <c r="O196" t="n">
        <v>1</v>
      </c>
      <c r="P196" t="n">
        <v>0</v>
      </c>
      <c r="Q196" t="n">
        <v>1</v>
      </c>
      <c r="R196" s="2" t="inlineStr">
        <is>
          <t>Kandelabersvamp</t>
        </is>
      </c>
      <c r="S196">
        <f>HYPERLINK("https://klasma.github.io/Logging_0188/artfynd/A 56792-2024 artfynd.xlsx", "A 56792-2024")</f>
        <v/>
      </c>
      <c r="T196">
        <f>HYPERLINK("https://klasma.github.io/Logging_0188/kartor/A 56792-2024 karta.png", "A 56792-2024")</f>
        <v/>
      </c>
      <c r="V196">
        <f>HYPERLINK("https://klasma.github.io/Logging_0188/klagomål/A 56792-2024 FSC-klagomål.docx", "A 56792-2024")</f>
        <v/>
      </c>
      <c r="W196">
        <f>HYPERLINK("https://klasma.github.io/Logging_0188/klagomålsmail/A 56792-2024 FSC-klagomål mail.docx", "A 56792-2024")</f>
        <v/>
      </c>
      <c r="X196">
        <f>HYPERLINK("https://klasma.github.io/Logging_0188/tillsyn/A 56792-2024 tillsynsbegäran.docx", "A 56792-2024")</f>
        <v/>
      </c>
      <c r="Y196">
        <f>HYPERLINK("https://klasma.github.io/Logging_0188/tillsynsmail/A 56792-2024 tillsynsbegäran mail.docx", "A 56792-2024")</f>
        <v/>
      </c>
    </row>
    <row r="197" ht="15" customHeight="1">
      <c r="A197" t="inlineStr">
        <is>
          <t>A 17752-2019</t>
        </is>
      </c>
      <c r="B197" s="1" t="n">
        <v>43556</v>
      </c>
      <c r="C197" s="1" t="n">
        <v>45645</v>
      </c>
      <c r="D197" t="inlineStr">
        <is>
          <t>STOCKHOLMS LÄN</t>
        </is>
      </c>
      <c r="E197" t="inlineStr">
        <is>
          <t>NORRTÄLJE</t>
        </is>
      </c>
      <c r="G197" t="n">
        <v>3</v>
      </c>
      <c r="H197" t="n">
        <v>0</v>
      </c>
      <c r="I197" t="n">
        <v>0</v>
      </c>
      <c r="J197" t="n">
        <v>0</v>
      </c>
      <c r="K197" t="n">
        <v>0</v>
      </c>
      <c r="L197" t="n">
        <v>0</v>
      </c>
      <c r="M197" t="n">
        <v>0</v>
      </c>
      <c r="N197" t="n">
        <v>0</v>
      </c>
      <c r="O197" t="n">
        <v>0</v>
      </c>
      <c r="P197" t="n">
        <v>0</v>
      </c>
      <c r="Q197" t="n">
        <v>0</v>
      </c>
      <c r="R197" s="2" t="inlineStr"/>
    </row>
    <row r="198" ht="15" customHeight="1">
      <c r="A198" t="inlineStr">
        <is>
          <t>A 17795-2019</t>
        </is>
      </c>
      <c r="B198" s="1" t="n">
        <v>43556</v>
      </c>
      <c r="C198" s="1" t="n">
        <v>45645</v>
      </c>
      <c r="D198" t="inlineStr">
        <is>
          <t>STOCKHOLMS LÄN</t>
        </is>
      </c>
      <c r="E198" t="inlineStr">
        <is>
          <t>NORRTÄLJE</t>
        </is>
      </c>
      <c r="G198" t="n">
        <v>0.8</v>
      </c>
      <c r="H198" t="n">
        <v>0</v>
      </c>
      <c r="I198" t="n">
        <v>0</v>
      </c>
      <c r="J198" t="n">
        <v>0</v>
      </c>
      <c r="K198" t="n">
        <v>0</v>
      </c>
      <c r="L198" t="n">
        <v>0</v>
      </c>
      <c r="M198" t="n">
        <v>0</v>
      </c>
      <c r="N198" t="n">
        <v>0</v>
      </c>
      <c r="O198" t="n">
        <v>0</v>
      </c>
      <c r="P198" t="n">
        <v>0</v>
      </c>
      <c r="Q198" t="n">
        <v>0</v>
      </c>
      <c r="R198" s="2" t="inlineStr"/>
    </row>
    <row r="199" ht="15" customHeight="1">
      <c r="A199" t="inlineStr">
        <is>
          <t>A 17757-2019</t>
        </is>
      </c>
      <c r="B199" s="1" t="n">
        <v>43556</v>
      </c>
      <c r="C199" s="1" t="n">
        <v>45645</v>
      </c>
      <c r="D199" t="inlineStr">
        <is>
          <t>STOCKHOLMS LÄN</t>
        </is>
      </c>
      <c r="E199" t="inlineStr">
        <is>
          <t>NORRTÄLJE</t>
        </is>
      </c>
      <c r="G199" t="n">
        <v>2.5</v>
      </c>
      <c r="H199" t="n">
        <v>0</v>
      </c>
      <c r="I199" t="n">
        <v>0</v>
      </c>
      <c r="J199" t="n">
        <v>0</v>
      </c>
      <c r="K199" t="n">
        <v>0</v>
      </c>
      <c r="L199" t="n">
        <v>0</v>
      </c>
      <c r="M199" t="n">
        <v>0</v>
      </c>
      <c r="N199" t="n">
        <v>0</v>
      </c>
      <c r="O199" t="n">
        <v>0</v>
      </c>
      <c r="P199" t="n">
        <v>0</v>
      </c>
      <c r="Q199" t="n">
        <v>0</v>
      </c>
      <c r="R199" s="2" t="inlineStr"/>
    </row>
    <row r="200" ht="15" customHeight="1">
      <c r="A200" t="inlineStr">
        <is>
          <t>A 17963-2019</t>
        </is>
      </c>
      <c r="B200" s="1" t="n">
        <v>43557</v>
      </c>
      <c r="C200" s="1" t="n">
        <v>45645</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18378-2019</t>
        </is>
      </c>
      <c r="B201" s="1" t="n">
        <v>43559</v>
      </c>
      <c r="C201" s="1" t="n">
        <v>45645</v>
      </c>
      <c r="D201" t="inlineStr">
        <is>
          <t>STOCKHOLMS LÄN</t>
        </is>
      </c>
      <c r="E201" t="inlineStr">
        <is>
          <t>NORRTÄLJE</t>
        </is>
      </c>
      <c r="G201" t="n">
        <v>5.8</v>
      </c>
      <c r="H201" t="n">
        <v>0</v>
      </c>
      <c r="I201" t="n">
        <v>0</v>
      </c>
      <c r="J201" t="n">
        <v>0</v>
      </c>
      <c r="K201" t="n">
        <v>0</v>
      </c>
      <c r="L201" t="n">
        <v>0</v>
      </c>
      <c r="M201" t="n">
        <v>0</v>
      </c>
      <c r="N201" t="n">
        <v>0</v>
      </c>
      <c r="O201" t="n">
        <v>0</v>
      </c>
      <c r="P201" t="n">
        <v>0</v>
      </c>
      <c r="Q201" t="n">
        <v>0</v>
      </c>
      <c r="R201" s="2" t="inlineStr"/>
    </row>
    <row r="202" ht="15" customHeight="1">
      <c r="A202" t="inlineStr">
        <is>
          <t>A 18664-2019</t>
        </is>
      </c>
      <c r="B202" s="1" t="n">
        <v>43560</v>
      </c>
      <c r="C202" s="1" t="n">
        <v>45645</v>
      </c>
      <c r="D202" t="inlineStr">
        <is>
          <t>STOCKHOLMS LÄN</t>
        </is>
      </c>
      <c r="E202" t="inlineStr">
        <is>
          <t>NORRTÄLJE</t>
        </is>
      </c>
      <c r="G202" t="n">
        <v>0.6</v>
      </c>
      <c r="H202" t="n">
        <v>0</v>
      </c>
      <c r="I202" t="n">
        <v>0</v>
      </c>
      <c r="J202" t="n">
        <v>0</v>
      </c>
      <c r="K202" t="n">
        <v>0</v>
      </c>
      <c r="L202" t="n">
        <v>0</v>
      </c>
      <c r="M202" t="n">
        <v>0</v>
      </c>
      <c r="N202" t="n">
        <v>0</v>
      </c>
      <c r="O202" t="n">
        <v>0</v>
      </c>
      <c r="P202" t="n">
        <v>0</v>
      </c>
      <c r="Q202" t="n">
        <v>0</v>
      </c>
      <c r="R202" s="2" t="inlineStr"/>
    </row>
    <row r="203" ht="15" customHeight="1">
      <c r="A203" t="inlineStr">
        <is>
          <t>A 18767-2019</t>
        </is>
      </c>
      <c r="B203" s="1" t="n">
        <v>43560</v>
      </c>
      <c r="C203" s="1" t="n">
        <v>45645</v>
      </c>
      <c r="D203" t="inlineStr">
        <is>
          <t>STOCKHOLMS LÄN</t>
        </is>
      </c>
      <c r="E203" t="inlineStr">
        <is>
          <t>NORRTÄLJE</t>
        </is>
      </c>
      <c r="G203" t="n">
        <v>4</v>
      </c>
      <c r="H203" t="n">
        <v>0</v>
      </c>
      <c r="I203" t="n">
        <v>0</v>
      </c>
      <c r="J203" t="n">
        <v>0</v>
      </c>
      <c r="K203" t="n">
        <v>0</v>
      </c>
      <c r="L203" t="n">
        <v>0</v>
      </c>
      <c r="M203" t="n">
        <v>0</v>
      </c>
      <c r="N203" t="n">
        <v>0</v>
      </c>
      <c r="O203" t="n">
        <v>0</v>
      </c>
      <c r="P203" t="n">
        <v>0</v>
      </c>
      <c r="Q203" t="n">
        <v>0</v>
      </c>
      <c r="R203" s="2" t="inlineStr"/>
    </row>
    <row r="204" ht="15" customHeight="1">
      <c r="A204" t="inlineStr">
        <is>
          <t>A 18820-2019</t>
        </is>
      </c>
      <c r="B204" s="1" t="n">
        <v>43563</v>
      </c>
      <c r="C204" s="1" t="n">
        <v>45645</v>
      </c>
      <c r="D204" t="inlineStr">
        <is>
          <t>STOCKHOLMS LÄN</t>
        </is>
      </c>
      <c r="E204" t="inlineStr">
        <is>
          <t>NORRTÄLJE</t>
        </is>
      </c>
      <c r="G204" t="n">
        <v>3</v>
      </c>
      <c r="H204" t="n">
        <v>0</v>
      </c>
      <c r="I204" t="n">
        <v>0</v>
      </c>
      <c r="J204" t="n">
        <v>0</v>
      </c>
      <c r="K204" t="n">
        <v>0</v>
      </c>
      <c r="L204" t="n">
        <v>0</v>
      </c>
      <c r="M204" t="n">
        <v>0</v>
      </c>
      <c r="N204" t="n">
        <v>0</v>
      </c>
      <c r="O204" t="n">
        <v>0</v>
      </c>
      <c r="P204" t="n">
        <v>0</v>
      </c>
      <c r="Q204" t="n">
        <v>0</v>
      </c>
      <c r="R204" s="2" t="inlineStr"/>
    </row>
    <row r="205" ht="15" customHeight="1">
      <c r="A205" t="inlineStr">
        <is>
          <t>A 18890-2019</t>
        </is>
      </c>
      <c r="B205" s="1" t="n">
        <v>43563</v>
      </c>
      <c r="C205" s="1" t="n">
        <v>45645</v>
      </c>
      <c r="D205" t="inlineStr">
        <is>
          <t>STOCKHOLMS LÄN</t>
        </is>
      </c>
      <c r="E205" t="inlineStr">
        <is>
          <t>NORRTÄLJE</t>
        </is>
      </c>
      <c r="G205" t="n">
        <v>4.7</v>
      </c>
      <c r="H205" t="n">
        <v>0</v>
      </c>
      <c r="I205" t="n">
        <v>0</v>
      </c>
      <c r="J205" t="n">
        <v>0</v>
      </c>
      <c r="K205" t="n">
        <v>0</v>
      </c>
      <c r="L205" t="n">
        <v>0</v>
      </c>
      <c r="M205" t="n">
        <v>0</v>
      </c>
      <c r="N205" t="n">
        <v>0</v>
      </c>
      <c r="O205" t="n">
        <v>0</v>
      </c>
      <c r="P205" t="n">
        <v>0</v>
      </c>
      <c r="Q205" t="n">
        <v>0</v>
      </c>
      <c r="R205" s="2" t="inlineStr"/>
    </row>
    <row r="206" ht="15" customHeight="1">
      <c r="A206" t="inlineStr">
        <is>
          <t>A 18909-2019</t>
        </is>
      </c>
      <c r="B206" s="1" t="n">
        <v>43563</v>
      </c>
      <c r="C206" s="1" t="n">
        <v>45645</v>
      </c>
      <c r="D206" t="inlineStr">
        <is>
          <t>STOCKHOLMS LÄN</t>
        </is>
      </c>
      <c r="E206" t="inlineStr">
        <is>
          <t>NORRTÄLJE</t>
        </is>
      </c>
      <c r="G206" t="n">
        <v>2.9</v>
      </c>
      <c r="H206" t="n">
        <v>0</v>
      </c>
      <c r="I206" t="n">
        <v>0</v>
      </c>
      <c r="J206" t="n">
        <v>0</v>
      </c>
      <c r="K206" t="n">
        <v>0</v>
      </c>
      <c r="L206" t="n">
        <v>0</v>
      </c>
      <c r="M206" t="n">
        <v>0</v>
      </c>
      <c r="N206" t="n">
        <v>0</v>
      </c>
      <c r="O206" t="n">
        <v>0</v>
      </c>
      <c r="P206" t="n">
        <v>0</v>
      </c>
      <c r="Q206" t="n">
        <v>0</v>
      </c>
      <c r="R206" s="2" t="inlineStr"/>
    </row>
    <row r="207" ht="15" customHeight="1">
      <c r="A207" t="inlineStr">
        <is>
          <t>A 19026-2019</t>
        </is>
      </c>
      <c r="B207" s="1" t="n">
        <v>43563</v>
      </c>
      <c r="C207" s="1" t="n">
        <v>45645</v>
      </c>
      <c r="D207" t="inlineStr">
        <is>
          <t>STOCKHOLMS LÄN</t>
        </is>
      </c>
      <c r="E207" t="inlineStr">
        <is>
          <t>NORRTÄLJE</t>
        </is>
      </c>
      <c r="G207" t="n">
        <v>4.4</v>
      </c>
      <c r="H207" t="n">
        <v>0</v>
      </c>
      <c r="I207" t="n">
        <v>0</v>
      </c>
      <c r="J207" t="n">
        <v>0</v>
      </c>
      <c r="K207" t="n">
        <v>0</v>
      </c>
      <c r="L207" t="n">
        <v>0</v>
      </c>
      <c r="M207" t="n">
        <v>0</v>
      </c>
      <c r="N207" t="n">
        <v>0</v>
      </c>
      <c r="O207" t="n">
        <v>0</v>
      </c>
      <c r="P207" t="n">
        <v>0</v>
      </c>
      <c r="Q207" t="n">
        <v>0</v>
      </c>
      <c r="R207" s="2" t="inlineStr"/>
    </row>
    <row r="208" ht="15" customHeight="1">
      <c r="A208" t="inlineStr">
        <is>
          <t>A 19014-2019</t>
        </is>
      </c>
      <c r="B208" s="1" t="n">
        <v>43563</v>
      </c>
      <c r="C208" s="1" t="n">
        <v>45645</v>
      </c>
      <c r="D208" t="inlineStr">
        <is>
          <t>STOCKHOLMS LÄN</t>
        </is>
      </c>
      <c r="E208" t="inlineStr">
        <is>
          <t>NORRTÄLJE</t>
        </is>
      </c>
      <c r="G208" t="n">
        <v>2.2</v>
      </c>
      <c r="H208" t="n">
        <v>0</v>
      </c>
      <c r="I208" t="n">
        <v>0</v>
      </c>
      <c r="J208" t="n">
        <v>0</v>
      </c>
      <c r="K208" t="n">
        <v>0</v>
      </c>
      <c r="L208" t="n">
        <v>0</v>
      </c>
      <c r="M208" t="n">
        <v>0</v>
      </c>
      <c r="N208" t="n">
        <v>0</v>
      </c>
      <c r="O208" t="n">
        <v>0</v>
      </c>
      <c r="P208" t="n">
        <v>0</v>
      </c>
      <c r="Q208" t="n">
        <v>0</v>
      </c>
      <c r="R208" s="2" t="inlineStr"/>
    </row>
    <row r="209" ht="15" customHeight="1">
      <c r="A209" t="inlineStr">
        <is>
          <t>A 19247-2019</t>
        </is>
      </c>
      <c r="B209" s="1" t="n">
        <v>43564</v>
      </c>
      <c r="C209" s="1" t="n">
        <v>45645</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19255-2019</t>
        </is>
      </c>
      <c r="B210" s="1" t="n">
        <v>43564</v>
      </c>
      <c r="C210" s="1" t="n">
        <v>45645</v>
      </c>
      <c r="D210" t="inlineStr">
        <is>
          <t>STOCKHOLMS LÄN</t>
        </is>
      </c>
      <c r="E210" t="inlineStr">
        <is>
          <t>NORRTÄLJE</t>
        </is>
      </c>
      <c r="G210" t="n">
        <v>2.6</v>
      </c>
      <c r="H210" t="n">
        <v>0</v>
      </c>
      <c r="I210" t="n">
        <v>0</v>
      </c>
      <c r="J210" t="n">
        <v>0</v>
      </c>
      <c r="K210" t="n">
        <v>0</v>
      </c>
      <c r="L210" t="n">
        <v>0</v>
      </c>
      <c r="M210" t="n">
        <v>0</v>
      </c>
      <c r="N210" t="n">
        <v>0</v>
      </c>
      <c r="O210" t="n">
        <v>0</v>
      </c>
      <c r="P210" t="n">
        <v>0</v>
      </c>
      <c r="Q210" t="n">
        <v>0</v>
      </c>
      <c r="R210" s="2" t="inlineStr"/>
    </row>
    <row r="211" ht="15" customHeight="1">
      <c r="A211" t="inlineStr">
        <is>
          <t>A 19302-2019</t>
        </is>
      </c>
      <c r="B211" s="1" t="n">
        <v>43565</v>
      </c>
      <c r="C211" s="1" t="n">
        <v>45645</v>
      </c>
      <c r="D211" t="inlineStr">
        <is>
          <t>STOCKHOLMS LÄN</t>
        </is>
      </c>
      <c r="E211" t="inlineStr">
        <is>
          <t>NORRTÄLJE</t>
        </is>
      </c>
      <c r="F211" t="inlineStr">
        <is>
          <t>Kommuner</t>
        </is>
      </c>
      <c r="G211" t="n">
        <v>4.2</v>
      </c>
      <c r="H211" t="n">
        <v>0</v>
      </c>
      <c r="I211" t="n">
        <v>0</v>
      </c>
      <c r="J211" t="n">
        <v>0</v>
      </c>
      <c r="K211" t="n">
        <v>0</v>
      </c>
      <c r="L211" t="n">
        <v>0</v>
      </c>
      <c r="M211" t="n">
        <v>0</v>
      </c>
      <c r="N211" t="n">
        <v>0</v>
      </c>
      <c r="O211" t="n">
        <v>0</v>
      </c>
      <c r="P211" t="n">
        <v>0</v>
      </c>
      <c r="Q211" t="n">
        <v>0</v>
      </c>
      <c r="R211" s="2" t="inlineStr"/>
    </row>
    <row r="212" ht="15" customHeight="1">
      <c r="A212" t="inlineStr">
        <is>
          <t>A 19301-2019</t>
        </is>
      </c>
      <c r="B212" s="1" t="n">
        <v>43565</v>
      </c>
      <c r="C212" s="1" t="n">
        <v>45645</v>
      </c>
      <c r="D212" t="inlineStr">
        <is>
          <t>STOCKHOLMS LÄN</t>
        </is>
      </c>
      <c r="E212" t="inlineStr">
        <is>
          <t>NORRTÄLJE</t>
        </is>
      </c>
      <c r="F212" t="inlineStr">
        <is>
          <t>Kommuner</t>
        </is>
      </c>
      <c r="G212" t="n">
        <v>3.9</v>
      </c>
      <c r="H212" t="n">
        <v>0</v>
      </c>
      <c r="I212" t="n">
        <v>0</v>
      </c>
      <c r="J212" t="n">
        <v>0</v>
      </c>
      <c r="K212" t="n">
        <v>0</v>
      </c>
      <c r="L212" t="n">
        <v>0</v>
      </c>
      <c r="M212" t="n">
        <v>0</v>
      </c>
      <c r="N212" t="n">
        <v>0</v>
      </c>
      <c r="O212" t="n">
        <v>0</v>
      </c>
      <c r="P212" t="n">
        <v>0</v>
      </c>
      <c r="Q212" t="n">
        <v>0</v>
      </c>
      <c r="R212" s="2" t="inlineStr"/>
    </row>
    <row r="213" ht="15" customHeight="1">
      <c r="A213" t="inlineStr">
        <is>
          <t>A 19297-2019</t>
        </is>
      </c>
      <c r="B213" s="1" t="n">
        <v>43565</v>
      </c>
      <c r="C213" s="1" t="n">
        <v>45645</v>
      </c>
      <c r="D213" t="inlineStr">
        <is>
          <t>STOCKHOLMS LÄN</t>
        </is>
      </c>
      <c r="E213" t="inlineStr">
        <is>
          <t>NORRTÄLJE</t>
        </is>
      </c>
      <c r="F213" t="inlineStr">
        <is>
          <t>Kommuner</t>
        </is>
      </c>
      <c r="G213" t="n">
        <v>1.2</v>
      </c>
      <c r="H213" t="n">
        <v>0</v>
      </c>
      <c r="I213" t="n">
        <v>0</v>
      </c>
      <c r="J213" t="n">
        <v>0</v>
      </c>
      <c r="K213" t="n">
        <v>0</v>
      </c>
      <c r="L213" t="n">
        <v>0</v>
      </c>
      <c r="M213" t="n">
        <v>0</v>
      </c>
      <c r="N213" t="n">
        <v>0</v>
      </c>
      <c r="O213" t="n">
        <v>0</v>
      </c>
      <c r="P213" t="n">
        <v>0</v>
      </c>
      <c r="Q213" t="n">
        <v>0</v>
      </c>
      <c r="R213" s="2" t="inlineStr"/>
    </row>
    <row r="214" ht="15" customHeight="1">
      <c r="A214" t="inlineStr">
        <is>
          <t>A 19537-2019</t>
        </is>
      </c>
      <c r="B214" s="1" t="n">
        <v>43565</v>
      </c>
      <c r="C214" s="1" t="n">
        <v>45645</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19539-2019</t>
        </is>
      </c>
      <c r="B215" s="1" t="n">
        <v>43565</v>
      </c>
      <c r="C215" s="1" t="n">
        <v>45645</v>
      </c>
      <c r="D215" t="inlineStr">
        <is>
          <t>STOCKHOLMS LÄN</t>
        </is>
      </c>
      <c r="E215" t="inlineStr">
        <is>
          <t>NORRTÄLJE</t>
        </is>
      </c>
      <c r="G215" t="n">
        <v>2.4</v>
      </c>
      <c r="H215" t="n">
        <v>0</v>
      </c>
      <c r="I215" t="n">
        <v>0</v>
      </c>
      <c r="J215" t="n">
        <v>0</v>
      </c>
      <c r="K215" t="n">
        <v>0</v>
      </c>
      <c r="L215" t="n">
        <v>0</v>
      </c>
      <c r="M215" t="n">
        <v>0</v>
      </c>
      <c r="N215" t="n">
        <v>0</v>
      </c>
      <c r="O215" t="n">
        <v>0</v>
      </c>
      <c r="P215" t="n">
        <v>0</v>
      </c>
      <c r="Q215" t="n">
        <v>0</v>
      </c>
      <c r="R215" s="2" t="inlineStr"/>
    </row>
    <row r="216" ht="15" customHeight="1">
      <c r="A216" t="inlineStr">
        <is>
          <t>A 19540-2019</t>
        </is>
      </c>
      <c r="B216" s="1" t="n">
        <v>43565</v>
      </c>
      <c r="C216" s="1" t="n">
        <v>45645</v>
      </c>
      <c r="D216" t="inlineStr">
        <is>
          <t>STOCKHOLMS LÄN</t>
        </is>
      </c>
      <c r="E216" t="inlineStr">
        <is>
          <t>NORRTÄLJE</t>
        </is>
      </c>
      <c r="G216" t="n">
        <v>1.8</v>
      </c>
      <c r="H216" t="n">
        <v>0</v>
      </c>
      <c r="I216" t="n">
        <v>0</v>
      </c>
      <c r="J216" t="n">
        <v>0</v>
      </c>
      <c r="K216" t="n">
        <v>0</v>
      </c>
      <c r="L216" t="n">
        <v>0</v>
      </c>
      <c r="M216" t="n">
        <v>0</v>
      </c>
      <c r="N216" t="n">
        <v>0</v>
      </c>
      <c r="O216" t="n">
        <v>0</v>
      </c>
      <c r="P216" t="n">
        <v>0</v>
      </c>
      <c r="Q216" t="n">
        <v>0</v>
      </c>
      <c r="R216" s="2" t="inlineStr"/>
    </row>
    <row r="217" ht="15" customHeight="1">
      <c r="A217" t="inlineStr">
        <is>
          <t>A 19638-2019</t>
        </is>
      </c>
      <c r="B217" s="1" t="n">
        <v>43566</v>
      </c>
      <c r="C217" s="1" t="n">
        <v>45645</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19593-2019</t>
        </is>
      </c>
      <c r="B218" s="1" t="n">
        <v>43566</v>
      </c>
      <c r="C218" s="1" t="n">
        <v>45645</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19872-2019</t>
        </is>
      </c>
      <c r="B219" s="1" t="n">
        <v>43567</v>
      </c>
      <c r="C219" s="1" t="n">
        <v>45645</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19811-2019</t>
        </is>
      </c>
      <c r="B220" s="1" t="n">
        <v>43567</v>
      </c>
      <c r="C220" s="1" t="n">
        <v>45645</v>
      </c>
      <c r="D220" t="inlineStr">
        <is>
          <t>STOCKHOLMS LÄN</t>
        </is>
      </c>
      <c r="E220" t="inlineStr">
        <is>
          <t>NORRTÄLJE</t>
        </is>
      </c>
      <c r="F220" t="inlineStr">
        <is>
          <t>Kommuner</t>
        </is>
      </c>
      <c r="G220" t="n">
        <v>1.6</v>
      </c>
      <c r="H220" t="n">
        <v>0</v>
      </c>
      <c r="I220" t="n">
        <v>0</v>
      </c>
      <c r="J220" t="n">
        <v>0</v>
      </c>
      <c r="K220" t="n">
        <v>0</v>
      </c>
      <c r="L220" t="n">
        <v>0</v>
      </c>
      <c r="M220" t="n">
        <v>0</v>
      </c>
      <c r="N220" t="n">
        <v>0</v>
      </c>
      <c r="O220" t="n">
        <v>0</v>
      </c>
      <c r="P220" t="n">
        <v>0</v>
      </c>
      <c r="Q220" t="n">
        <v>0</v>
      </c>
      <c r="R220" s="2" t="inlineStr"/>
    </row>
    <row r="221" ht="15" customHeight="1">
      <c r="A221" t="inlineStr">
        <is>
          <t>A 19812-2019</t>
        </is>
      </c>
      <c r="B221" s="1" t="n">
        <v>43567</v>
      </c>
      <c r="C221" s="1" t="n">
        <v>45645</v>
      </c>
      <c r="D221" t="inlineStr">
        <is>
          <t>STOCKHOLMS LÄN</t>
        </is>
      </c>
      <c r="E221" t="inlineStr">
        <is>
          <t>NORRTÄLJE</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19931-2019</t>
        </is>
      </c>
      <c r="B222" s="1" t="n">
        <v>43568</v>
      </c>
      <c r="C222" s="1" t="n">
        <v>45645</v>
      </c>
      <c r="D222" t="inlineStr">
        <is>
          <t>STOCKHOLMS LÄN</t>
        </is>
      </c>
      <c r="E222" t="inlineStr">
        <is>
          <t>NORRTÄLJE</t>
        </is>
      </c>
      <c r="G222" t="n">
        <v>4.2</v>
      </c>
      <c r="H222" t="n">
        <v>0</v>
      </c>
      <c r="I222" t="n">
        <v>0</v>
      </c>
      <c r="J222" t="n">
        <v>0</v>
      </c>
      <c r="K222" t="n">
        <v>0</v>
      </c>
      <c r="L222" t="n">
        <v>0</v>
      </c>
      <c r="M222" t="n">
        <v>0</v>
      </c>
      <c r="N222" t="n">
        <v>0</v>
      </c>
      <c r="O222" t="n">
        <v>0</v>
      </c>
      <c r="P222" t="n">
        <v>0</v>
      </c>
      <c r="Q222" t="n">
        <v>0</v>
      </c>
      <c r="R222" s="2" t="inlineStr"/>
    </row>
    <row r="223" ht="15" customHeight="1">
      <c r="A223" t="inlineStr">
        <is>
          <t>A 20033-2019</t>
        </is>
      </c>
      <c r="B223" s="1" t="n">
        <v>43570</v>
      </c>
      <c r="C223" s="1" t="n">
        <v>45645</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20020-2019</t>
        </is>
      </c>
      <c r="B224" s="1" t="n">
        <v>43570</v>
      </c>
      <c r="C224" s="1" t="n">
        <v>45645</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20051-2019</t>
        </is>
      </c>
      <c r="B225" s="1" t="n">
        <v>43570</v>
      </c>
      <c r="C225" s="1" t="n">
        <v>45645</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20137-2019</t>
        </is>
      </c>
      <c r="B226" s="1" t="n">
        <v>43570</v>
      </c>
      <c r="C226" s="1" t="n">
        <v>45645</v>
      </c>
      <c r="D226" t="inlineStr">
        <is>
          <t>STOCKHOLMS LÄN</t>
        </is>
      </c>
      <c r="E226" t="inlineStr">
        <is>
          <t>NORRTÄLJE</t>
        </is>
      </c>
      <c r="G226" t="n">
        <v>3</v>
      </c>
      <c r="H226" t="n">
        <v>0</v>
      </c>
      <c r="I226" t="n">
        <v>0</v>
      </c>
      <c r="J226" t="n">
        <v>0</v>
      </c>
      <c r="K226" t="n">
        <v>0</v>
      </c>
      <c r="L226" t="n">
        <v>0</v>
      </c>
      <c r="M226" t="n">
        <v>0</v>
      </c>
      <c r="N226" t="n">
        <v>0</v>
      </c>
      <c r="O226" t="n">
        <v>0</v>
      </c>
      <c r="P226" t="n">
        <v>0</v>
      </c>
      <c r="Q226" t="n">
        <v>0</v>
      </c>
      <c r="R226" s="2" t="inlineStr"/>
    </row>
    <row r="227" ht="15" customHeight="1">
      <c r="A227" t="inlineStr">
        <is>
          <t>A 20007-2019</t>
        </is>
      </c>
      <c r="B227" s="1" t="n">
        <v>43570</v>
      </c>
      <c r="C227" s="1" t="n">
        <v>45645</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20052-2019</t>
        </is>
      </c>
      <c r="B228" s="1" t="n">
        <v>43570</v>
      </c>
      <c r="C228" s="1" t="n">
        <v>45645</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20159-2019</t>
        </is>
      </c>
      <c r="B229" s="1" t="n">
        <v>43570</v>
      </c>
      <c r="C229" s="1" t="n">
        <v>45645</v>
      </c>
      <c r="D229" t="inlineStr">
        <is>
          <t>STOCKHOLMS LÄN</t>
        </is>
      </c>
      <c r="E229" t="inlineStr">
        <is>
          <t>NORRTÄLJE</t>
        </is>
      </c>
      <c r="F229" t="inlineStr">
        <is>
          <t>Kommuner</t>
        </is>
      </c>
      <c r="G229" t="n">
        <v>2</v>
      </c>
      <c r="H229" t="n">
        <v>0</v>
      </c>
      <c r="I229" t="n">
        <v>0</v>
      </c>
      <c r="J229" t="n">
        <v>0</v>
      </c>
      <c r="K229" t="n">
        <v>0</v>
      </c>
      <c r="L229" t="n">
        <v>0</v>
      </c>
      <c r="M229" t="n">
        <v>0</v>
      </c>
      <c r="N229" t="n">
        <v>0</v>
      </c>
      <c r="O229" t="n">
        <v>0</v>
      </c>
      <c r="P229" t="n">
        <v>0</v>
      </c>
      <c r="Q229" t="n">
        <v>0</v>
      </c>
      <c r="R229" s="2" t="inlineStr"/>
    </row>
    <row r="230" ht="15" customHeight="1">
      <c r="A230" t="inlineStr">
        <is>
          <t>A 20181-2019</t>
        </is>
      </c>
      <c r="B230" s="1" t="n">
        <v>43570</v>
      </c>
      <c r="C230" s="1" t="n">
        <v>45645</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20184-2019</t>
        </is>
      </c>
      <c r="B231" s="1" t="n">
        <v>43570</v>
      </c>
      <c r="C231" s="1" t="n">
        <v>45645</v>
      </c>
      <c r="D231" t="inlineStr">
        <is>
          <t>STOCKHOLMS LÄN</t>
        </is>
      </c>
      <c r="E231" t="inlineStr">
        <is>
          <t>NORRTÄLJE</t>
        </is>
      </c>
      <c r="G231" t="n">
        <v>2.8</v>
      </c>
      <c r="H231" t="n">
        <v>0</v>
      </c>
      <c r="I231" t="n">
        <v>0</v>
      </c>
      <c r="J231" t="n">
        <v>0</v>
      </c>
      <c r="K231" t="n">
        <v>0</v>
      </c>
      <c r="L231" t="n">
        <v>0</v>
      </c>
      <c r="M231" t="n">
        <v>0</v>
      </c>
      <c r="N231" t="n">
        <v>0</v>
      </c>
      <c r="O231" t="n">
        <v>0</v>
      </c>
      <c r="P231" t="n">
        <v>0</v>
      </c>
      <c r="Q231" t="n">
        <v>0</v>
      </c>
      <c r="R231" s="2" t="inlineStr"/>
    </row>
    <row r="232" ht="15" customHeight="1">
      <c r="A232" t="inlineStr">
        <is>
          <t>A 20193-2019</t>
        </is>
      </c>
      <c r="B232" s="1" t="n">
        <v>43570</v>
      </c>
      <c r="C232" s="1" t="n">
        <v>45645</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20090-2019</t>
        </is>
      </c>
      <c r="B233" s="1" t="n">
        <v>43570</v>
      </c>
      <c r="C233" s="1" t="n">
        <v>45645</v>
      </c>
      <c r="D233" t="inlineStr">
        <is>
          <t>STOCKHOLMS LÄN</t>
        </is>
      </c>
      <c r="E233" t="inlineStr">
        <is>
          <t>NORRTÄLJE</t>
        </is>
      </c>
      <c r="F233" t="inlineStr">
        <is>
          <t>Kommuner</t>
        </is>
      </c>
      <c r="G233" t="n">
        <v>1.3</v>
      </c>
      <c r="H233" t="n">
        <v>0</v>
      </c>
      <c r="I233" t="n">
        <v>0</v>
      </c>
      <c r="J233" t="n">
        <v>0</v>
      </c>
      <c r="K233" t="n">
        <v>0</v>
      </c>
      <c r="L233" t="n">
        <v>0</v>
      </c>
      <c r="M233" t="n">
        <v>0</v>
      </c>
      <c r="N233" t="n">
        <v>0</v>
      </c>
      <c r="O233" t="n">
        <v>0</v>
      </c>
      <c r="P233" t="n">
        <v>0</v>
      </c>
      <c r="Q233" t="n">
        <v>0</v>
      </c>
      <c r="R233" s="2" t="inlineStr"/>
    </row>
    <row r="234" ht="15" customHeight="1">
      <c r="A234" t="inlineStr">
        <is>
          <t>A 20165-2019</t>
        </is>
      </c>
      <c r="B234" s="1" t="n">
        <v>43570</v>
      </c>
      <c r="C234" s="1" t="n">
        <v>45645</v>
      </c>
      <c r="D234" t="inlineStr">
        <is>
          <t>STOCKHOLMS LÄN</t>
        </is>
      </c>
      <c r="E234" t="inlineStr">
        <is>
          <t>NORRTÄLJE</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20023-2019</t>
        </is>
      </c>
      <c r="B235" s="1" t="n">
        <v>43570</v>
      </c>
      <c r="C235" s="1" t="n">
        <v>45645</v>
      </c>
      <c r="D235" t="inlineStr">
        <is>
          <t>STOCKHOLMS LÄN</t>
        </is>
      </c>
      <c r="E235" t="inlineStr">
        <is>
          <t>NORRTÄLJE</t>
        </is>
      </c>
      <c r="G235" t="n">
        <v>5.1</v>
      </c>
      <c r="H235" t="n">
        <v>0</v>
      </c>
      <c r="I235" t="n">
        <v>0</v>
      </c>
      <c r="J235" t="n">
        <v>0</v>
      </c>
      <c r="K235" t="n">
        <v>0</v>
      </c>
      <c r="L235" t="n">
        <v>0</v>
      </c>
      <c r="M235" t="n">
        <v>0</v>
      </c>
      <c r="N235" t="n">
        <v>0</v>
      </c>
      <c r="O235" t="n">
        <v>0</v>
      </c>
      <c r="P235" t="n">
        <v>0</v>
      </c>
      <c r="Q235" t="n">
        <v>0</v>
      </c>
      <c r="R235" s="2" t="inlineStr"/>
    </row>
    <row r="236" ht="15" customHeight="1">
      <c r="A236" t="inlineStr">
        <is>
          <t>A 20531-2019</t>
        </is>
      </c>
      <c r="B236" s="1" t="n">
        <v>43572</v>
      </c>
      <c r="C236" s="1" t="n">
        <v>45645</v>
      </c>
      <c r="D236" t="inlineStr">
        <is>
          <t>STOCKHOLMS LÄN</t>
        </is>
      </c>
      <c r="E236" t="inlineStr">
        <is>
          <t>NORRTÄLJE</t>
        </is>
      </c>
      <c r="G236" t="n">
        <v>2</v>
      </c>
      <c r="H236" t="n">
        <v>0</v>
      </c>
      <c r="I236" t="n">
        <v>0</v>
      </c>
      <c r="J236" t="n">
        <v>0</v>
      </c>
      <c r="K236" t="n">
        <v>0</v>
      </c>
      <c r="L236" t="n">
        <v>0</v>
      </c>
      <c r="M236" t="n">
        <v>0</v>
      </c>
      <c r="N236" t="n">
        <v>0</v>
      </c>
      <c r="O236" t="n">
        <v>0</v>
      </c>
      <c r="P236" t="n">
        <v>0</v>
      </c>
      <c r="Q236" t="n">
        <v>0</v>
      </c>
      <c r="R236" s="2" t="inlineStr"/>
    </row>
    <row r="237" ht="15" customHeight="1">
      <c r="A237" t="inlineStr">
        <is>
          <t>A 20743-2019</t>
        </is>
      </c>
      <c r="B237" s="1" t="n">
        <v>43573</v>
      </c>
      <c r="C237" s="1" t="n">
        <v>45645</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20809-2019</t>
        </is>
      </c>
      <c r="B238" s="1" t="n">
        <v>43573</v>
      </c>
      <c r="C238" s="1" t="n">
        <v>45645</v>
      </c>
      <c r="D238" t="inlineStr">
        <is>
          <t>STOCKHOLMS LÄN</t>
        </is>
      </c>
      <c r="E238" t="inlineStr">
        <is>
          <t>NORRTÄLJE</t>
        </is>
      </c>
      <c r="F238" t="inlineStr">
        <is>
          <t>Kommuner</t>
        </is>
      </c>
      <c r="G238" t="n">
        <v>2.2</v>
      </c>
      <c r="H238" t="n">
        <v>0</v>
      </c>
      <c r="I238" t="n">
        <v>0</v>
      </c>
      <c r="J238" t="n">
        <v>0</v>
      </c>
      <c r="K238" t="n">
        <v>0</v>
      </c>
      <c r="L238" t="n">
        <v>0</v>
      </c>
      <c r="M238" t="n">
        <v>0</v>
      </c>
      <c r="N238" t="n">
        <v>0</v>
      </c>
      <c r="O238" t="n">
        <v>0</v>
      </c>
      <c r="P238" t="n">
        <v>0</v>
      </c>
      <c r="Q238" t="n">
        <v>0</v>
      </c>
      <c r="R238" s="2" t="inlineStr"/>
    </row>
    <row r="239" ht="15" customHeight="1">
      <c r="A239" t="inlineStr">
        <is>
          <t>A 20925-2019</t>
        </is>
      </c>
      <c r="B239" s="1" t="n">
        <v>43578</v>
      </c>
      <c r="C239" s="1" t="n">
        <v>45645</v>
      </c>
      <c r="D239" t="inlineStr">
        <is>
          <t>STOCKHOLMS LÄN</t>
        </is>
      </c>
      <c r="E239" t="inlineStr">
        <is>
          <t>NORRTÄLJE</t>
        </is>
      </c>
      <c r="G239" t="n">
        <v>5</v>
      </c>
      <c r="H239" t="n">
        <v>0</v>
      </c>
      <c r="I239" t="n">
        <v>0</v>
      </c>
      <c r="J239" t="n">
        <v>0</v>
      </c>
      <c r="K239" t="n">
        <v>0</v>
      </c>
      <c r="L239" t="n">
        <v>0</v>
      </c>
      <c r="M239" t="n">
        <v>0</v>
      </c>
      <c r="N239" t="n">
        <v>0</v>
      </c>
      <c r="O239" t="n">
        <v>0</v>
      </c>
      <c r="P239" t="n">
        <v>0</v>
      </c>
      <c r="Q239" t="n">
        <v>0</v>
      </c>
      <c r="R239" s="2" t="inlineStr"/>
    </row>
    <row r="240" ht="15" customHeight="1">
      <c r="A240" t="inlineStr">
        <is>
          <t>A 21062-2019</t>
        </is>
      </c>
      <c r="B240" s="1" t="n">
        <v>43578</v>
      </c>
      <c r="C240" s="1" t="n">
        <v>45645</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21441-2019</t>
        </is>
      </c>
      <c r="B241" s="1" t="n">
        <v>43580</v>
      </c>
      <c r="C241" s="1" t="n">
        <v>45645</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21521-2019</t>
        </is>
      </c>
      <c r="B242" s="1" t="n">
        <v>43580</v>
      </c>
      <c r="C242" s="1" t="n">
        <v>45645</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21508-2019</t>
        </is>
      </c>
      <c r="B243" s="1" t="n">
        <v>43580</v>
      </c>
      <c r="C243" s="1" t="n">
        <v>45645</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21457-2019</t>
        </is>
      </c>
      <c r="B244" s="1" t="n">
        <v>43580</v>
      </c>
      <c r="C244" s="1" t="n">
        <v>45645</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21501-2019</t>
        </is>
      </c>
      <c r="B245" s="1" t="n">
        <v>43580</v>
      </c>
      <c r="C245" s="1" t="n">
        <v>45645</v>
      </c>
      <c r="D245" t="inlineStr">
        <is>
          <t>STOCKHOLMS LÄN</t>
        </is>
      </c>
      <c r="E245" t="inlineStr">
        <is>
          <t>NORRTÄLJE</t>
        </is>
      </c>
      <c r="G245" t="n">
        <v>3.6</v>
      </c>
      <c r="H245" t="n">
        <v>0</v>
      </c>
      <c r="I245" t="n">
        <v>0</v>
      </c>
      <c r="J245" t="n">
        <v>0</v>
      </c>
      <c r="K245" t="n">
        <v>0</v>
      </c>
      <c r="L245" t="n">
        <v>0</v>
      </c>
      <c r="M245" t="n">
        <v>0</v>
      </c>
      <c r="N245" t="n">
        <v>0</v>
      </c>
      <c r="O245" t="n">
        <v>0</v>
      </c>
      <c r="P245" t="n">
        <v>0</v>
      </c>
      <c r="Q245" t="n">
        <v>0</v>
      </c>
      <c r="R245" s="2" t="inlineStr"/>
    </row>
    <row r="246" ht="15" customHeight="1">
      <c r="A246" t="inlineStr">
        <is>
          <t>A 21616-2019</t>
        </is>
      </c>
      <c r="B246" s="1" t="n">
        <v>43581</v>
      </c>
      <c r="C246" s="1" t="n">
        <v>45645</v>
      </c>
      <c r="D246" t="inlineStr">
        <is>
          <t>STOCKHOLMS LÄN</t>
        </is>
      </c>
      <c r="E246" t="inlineStr">
        <is>
          <t>NORRTÄLJE</t>
        </is>
      </c>
      <c r="G246" t="n">
        <v>5.3</v>
      </c>
      <c r="H246" t="n">
        <v>0</v>
      </c>
      <c r="I246" t="n">
        <v>0</v>
      </c>
      <c r="J246" t="n">
        <v>0</v>
      </c>
      <c r="K246" t="n">
        <v>0</v>
      </c>
      <c r="L246" t="n">
        <v>0</v>
      </c>
      <c r="M246" t="n">
        <v>0</v>
      </c>
      <c r="N246" t="n">
        <v>0</v>
      </c>
      <c r="O246" t="n">
        <v>0</v>
      </c>
      <c r="P246" t="n">
        <v>0</v>
      </c>
      <c r="Q246" t="n">
        <v>0</v>
      </c>
      <c r="R246" s="2" t="inlineStr"/>
    </row>
    <row r="247" ht="15" customHeight="1">
      <c r="A247" t="inlineStr">
        <is>
          <t>A 21662-2019</t>
        </is>
      </c>
      <c r="B247" s="1" t="n">
        <v>43581</v>
      </c>
      <c r="C247" s="1" t="n">
        <v>45645</v>
      </c>
      <c r="D247" t="inlineStr">
        <is>
          <t>STOCKHOLMS LÄN</t>
        </is>
      </c>
      <c r="E247" t="inlineStr">
        <is>
          <t>NORRTÄLJE</t>
        </is>
      </c>
      <c r="G247" t="n">
        <v>1.5</v>
      </c>
      <c r="H247" t="n">
        <v>0</v>
      </c>
      <c r="I247" t="n">
        <v>0</v>
      </c>
      <c r="J247" t="n">
        <v>0</v>
      </c>
      <c r="K247" t="n">
        <v>0</v>
      </c>
      <c r="L247" t="n">
        <v>0</v>
      </c>
      <c r="M247" t="n">
        <v>0</v>
      </c>
      <c r="N247" t="n">
        <v>0</v>
      </c>
      <c r="O247" t="n">
        <v>0</v>
      </c>
      <c r="P247" t="n">
        <v>0</v>
      </c>
      <c r="Q247" t="n">
        <v>0</v>
      </c>
      <c r="R247" s="2" t="inlineStr"/>
    </row>
    <row r="248" ht="15" customHeight="1">
      <c r="A248" t="inlineStr">
        <is>
          <t>A 21720-2019</t>
        </is>
      </c>
      <c r="B248" s="1" t="n">
        <v>43581</v>
      </c>
      <c r="C248" s="1" t="n">
        <v>45645</v>
      </c>
      <c r="D248" t="inlineStr">
        <is>
          <t>STOCKHOLMS LÄN</t>
        </is>
      </c>
      <c r="E248" t="inlineStr">
        <is>
          <t>NORRTÄLJE</t>
        </is>
      </c>
      <c r="F248" t="inlineStr">
        <is>
          <t>Kommuner</t>
        </is>
      </c>
      <c r="G248" t="n">
        <v>1.5</v>
      </c>
      <c r="H248" t="n">
        <v>0</v>
      </c>
      <c r="I248" t="n">
        <v>0</v>
      </c>
      <c r="J248" t="n">
        <v>0</v>
      </c>
      <c r="K248" t="n">
        <v>0</v>
      </c>
      <c r="L248" t="n">
        <v>0</v>
      </c>
      <c r="M248" t="n">
        <v>0</v>
      </c>
      <c r="N248" t="n">
        <v>0</v>
      </c>
      <c r="O248" t="n">
        <v>0</v>
      </c>
      <c r="P248" t="n">
        <v>0</v>
      </c>
      <c r="Q248" t="n">
        <v>0</v>
      </c>
      <c r="R248" s="2" t="inlineStr"/>
    </row>
    <row r="249" ht="15" customHeight="1">
      <c r="A249" t="inlineStr">
        <is>
          <t>A 21692-2019</t>
        </is>
      </c>
      <c r="B249" s="1" t="n">
        <v>43581</v>
      </c>
      <c r="C249" s="1" t="n">
        <v>45645</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21811-2019</t>
        </is>
      </c>
      <c r="B250" s="1" t="n">
        <v>43582</v>
      </c>
      <c r="C250" s="1" t="n">
        <v>45645</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22207-2019</t>
        </is>
      </c>
      <c r="B251" s="1" t="n">
        <v>43585</v>
      </c>
      <c r="C251" s="1" t="n">
        <v>45645</v>
      </c>
      <c r="D251" t="inlineStr">
        <is>
          <t>STOCKHOLMS LÄN</t>
        </is>
      </c>
      <c r="E251" t="inlineStr">
        <is>
          <t>NORRTÄLJE</t>
        </is>
      </c>
      <c r="G251" t="n">
        <v>0.8</v>
      </c>
      <c r="H251" t="n">
        <v>0</v>
      </c>
      <c r="I251" t="n">
        <v>0</v>
      </c>
      <c r="J251" t="n">
        <v>0</v>
      </c>
      <c r="K251" t="n">
        <v>0</v>
      </c>
      <c r="L251" t="n">
        <v>0</v>
      </c>
      <c r="M251" t="n">
        <v>0</v>
      </c>
      <c r="N251" t="n">
        <v>0</v>
      </c>
      <c r="O251" t="n">
        <v>0</v>
      </c>
      <c r="P251" t="n">
        <v>0</v>
      </c>
      <c r="Q251" t="n">
        <v>0</v>
      </c>
      <c r="R251" s="2" t="inlineStr"/>
    </row>
    <row r="252" ht="15" customHeight="1">
      <c r="A252" t="inlineStr">
        <is>
          <t>A 22211-2019</t>
        </is>
      </c>
      <c r="B252" s="1" t="n">
        <v>43585</v>
      </c>
      <c r="C252" s="1" t="n">
        <v>45645</v>
      </c>
      <c r="D252" t="inlineStr">
        <is>
          <t>STOCKHOLMS LÄN</t>
        </is>
      </c>
      <c r="E252" t="inlineStr">
        <is>
          <t>NORRTÄLJE</t>
        </is>
      </c>
      <c r="G252" t="n">
        <v>6.8</v>
      </c>
      <c r="H252" t="n">
        <v>0</v>
      </c>
      <c r="I252" t="n">
        <v>0</v>
      </c>
      <c r="J252" t="n">
        <v>0</v>
      </c>
      <c r="K252" t="n">
        <v>0</v>
      </c>
      <c r="L252" t="n">
        <v>0</v>
      </c>
      <c r="M252" t="n">
        <v>0</v>
      </c>
      <c r="N252" t="n">
        <v>0</v>
      </c>
      <c r="O252" t="n">
        <v>0</v>
      </c>
      <c r="P252" t="n">
        <v>0</v>
      </c>
      <c r="Q252" t="n">
        <v>0</v>
      </c>
      <c r="R252" s="2" t="inlineStr"/>
    </row>
    <row r="253" ht="15" customHeight="1">
      <c r="A253" t="inlineStr">
        <is>
          <t>A 22254-2019</t>
        </is>
      </c>
      <c r="B253" s="1" t="n">
        <v>43585</v>
      </c>
      <c r="C253" s="1" t="n">
        <v>45645</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22218-2019</t>
        </is>
      </c>
      <c r="B254" s="1" t="n">
        <v>43585</v>
      </c>
      <c r="C254" s="1" t="n">
        <v>45645</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22331-2019</t>
        </is>
      </c>
      <c r="B255" s="1" t="n">
        <v>43586</v>
      </c>
      <c r="C255" s="1" t="n">
        <v>45645</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22359-2019</t>
        </is>
      </c>
      <c r="B256" s="1" t="n">
        <v>43587</v>
      </c>
      <c r="C256" s="1" t="n">
        <v>45645</v>
      </c>
      <c r="D256" t="inlineStr">
        <is>
          <t>STOCKHOLMS LÄN</t>
        </is>
      </c>
      <c r="E256" t="inlineStr">
        <is>
          <t>NORRTÄLJE</t>
        </is>
      </c>
      <c r="G256" t="n">
        <v>1.1</v>
      </c>
      <c r="H256" t="n">
        <v>0</v>
      </c>
      <c r="I256" t="n">
        <v>0</v>
      </c>
      <c r="J256" t="n">
        <v>0</v>
      </c>
      <c r="K256" t="n">
        <v>0</v>
      </c>
      <c r="L256" t="n">
        <v>0</v>
      </c>
      <c r="M256" t="n">
        <v>0</v>
      </c>
      <c r="N256" t="n">
        <v>0</v>
      </c>
      <c r="O256" t="n">
        <v>0</v>
      </c>
      <c r="P256" t="n">
        <v>0</v>
      </c>
      <c r="Q256" t="n">
        <v>0</v>
      </c>
      <c r="R256" s="2" t="inlineStr"/>
    </row>
    <row r="257" ht="15" customHeight="1">
      <c r="A257" t="inlineStr">
        <is>
          <t>A 22422-2019</t>
        </is>
      </c>
      <c r="B257" s="1" t="n">
        <v>43587</v>
      </c>
      <c r="C257" s="1" t="n">
        <v>45645</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22490-2019</t>
        </is>
      </c>
      <c r="B258" s="1" t="n">
        <v>43587</v>
      </c>
      <c r="C258" s="1" t="n">
        <v>45645</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22496-2019</t>
        </is>
      </c>
      <c r="B259" s="1" t="n">
        <v>43587</v>
      </c>
      <c r="C259" s="1" t="n">
        <v>45645</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23711-2019</t>
        </is>
      </c>
      <c r="B260" s="1" t="n">
        <v>43594</v>
      </c>
      <c r="C260" s="1" t="n">
        <v>45645</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23710-2019</t>
        </is>
      </c>
      <c r="B261" s="1" t="n">
        <v>43594</v>
      </c>
      <c r="C261" s="1" t="n">
        <v>45645</v>
      </c>
      <c r="D261" t="inlineStr">
        <is>
          <t>STOCKHOLMS LÄN</t>
        </is>
      </c>
      <c r="E261" t="inlineStr">
        <is>
          <t>NORRTÄLJE</t>
        </is>
      </c>
      <c r="G261" t="n">
        <v>2.2</v>
      </c>
      <c r="H261" t="n">
        <v>0</v>
      </c>
      <c r="I261" t="n">
        <v>0</v>
      </c>
      <c r="J261" t="n">
        <v>0</v>
      </c>
      <c r="K261" t="n">
        <v>0</v>
      </c>
      <c r="L261" t="n">
        <v>0</v>
      </c>
      <c r="M261" t="n">
        <v>0</v>
      </c>
      <c r="N261" t="n">
        <v>0</v>
      </c>
      <c r="O261" t="n">
        <v>0</v>
      </c>
      <c r="P261" t="n">
        <v>0</v>
      </c>
      <c r="Q261" t="n">
        <v>0</v>
      </c>
      <c r="R261" s="2" t="inlineStr"/>
    </row>
    <row r="262" ht="15" customHeight="1">
      <c r="A262" t="inlineStr">
        <is>
          <t>A 23862-2019</t>
        </is>
      </c>
      <c r="B262" s="1" t="n">
        <v>43595</v>
      </c>
      <c r="C262" s="1" t="n">
        <v>45645</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23878-2019</t>
        </is>
      </c>
      <c r="B263" s="1" t="n">
        <v>43595</v>
      </c>
      <c r="C263" s="1" t="n">
        <v>45645</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23961-2019</t>
        </is>
      </c>
      <c r="B264" s="1" t="n">
        <v>43597</v>
      </c>
      <c r="C264" s="1" t="n">
        <v>45645</v>
      </c>
      <c r="D264" t="inlineStr">
        <is>
          <t>STOCKHOLMS LÄN</t>
        </is>
      </c>
      <c r="E264" t="inlineStr">
        <is>
          <t>NORRTÄLJE</t>
        </is>
      </c>
      <c r="G264" t="n">
        <v>17.6</v>
      </c>
      <c r="H264" t="n">
        <v>0</v>
      </c>
      <c r="I264" t="n">
        <v>0</v>
      </c>
      <c r="J264" t="n">
        <v>0</v>
      </c>
      <c r="K264" t="n">
        <v>0</v>
      </c>
      <c r="L264" t="n">
        <v>0</v>
      </c>
      <c r="M264" t="n">
        <v>0</v>
      </c>
      <c r="N264" t="n">
        <v>0</v>
      </c>
      <c r="O264" t="n">
        <v>0</v>
      </c>
      <c r="P264" t="n">
        <v>0</v>
      </c>
      <c r="Q264" t="n">
        <v>0</v>
      </c>
      <c r="R264" s="2" t="inlineStr"/>
    </row>
    <row r="265" ht="15" customHeight="1">
      <c r="A265" t="inlineStr">
        <is>
          <t>A 23965-2019</t>
        </is>
      </c>
      <c r="B265" s="1" t="n">
        <v>43597</v>
      </c>
      <c r="C265" s="1" t="n">
        <v>45645</v>
      </c>
      <c r="D265" t="inlineStr">
        <is>
          <t>STOCKHOLMS LÄN</t>
        </is>
      </c>
      <c r="E265" t="inlineStr">
        <is>
          <t>NORRTÄLJE</t>
        </is>
      </c>
      <c r="G265" t="n">
        <v>6.1</v>
      </c>
      <c r="H265" t="n">
        <v>0</v>
      </c>
      <c r="I265" t="n">
        <v>0</v>
      </c>
      <c r="J265" t="n">
        <v>0</v>
      </c>
      <c r="K265" t="n">
        <v>0</v>
      </c>
      <c r="L265" t="n">
        <v>0</v>
      </c>
      <c r="M265" t="n">
        <v>0</v>
      </c>
      <c r="N265" t="n">
        <v>0</v>
      </c>
      <c r="O265" t="n">
        <v>0</v>
      </c>
      <c r="P265" t="n">
        <v>0</v>
      </c>
      <c r="Q265" t="n">
        <v>0</v>
      </c>
      <c r="R265" s="2" t="inlineStr"/>
    </row>
    <row r="266" ht="15" customHeight="1">
      <c r="A266" t="inlineStr">
        <is>
          <t>A 23963-2019</t>
        </is>
      </c>
      <c r="B266" s="1" t="n">
        <v>43597</v>
      </c>
      <c r="C266" s="1" t="n">
        <v>45645</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24124-2019</t>
        </is>
      </c>
      <c r="B267" s="1" t="n">
        <v>43598</v>
      </c>
      <c r="C267" s="1" t="n">
        <v>45645</v>
      </c>
      <c r="D267" t="inlineStr">
        <is>
          <t>STOCKHOLMS LÄN</t>
        </is>
      </c>
      <c r="E267" t="inlineStr">
        <is>
          <t>NORRTÄLJE</t>
        </is>
      </c>
      <c r="G267" t="n">
        <v>0.7</v>
      </c>
      <c r="H267" t="n">
        <v>0</v>
      </c>
      <c r="I267" t="n">
        <v>0</v>
      </c>
      <c r="J267" t="n">
        <v>0</v>
      </c>
      <c r="K267" t="n">
        <v>0</v>
      </c>
      <c r="L267" t="n">
        <v>0</v>
      </c>
      <c r="M267" t="n">
        <v>0</v>
      </c>
      <c r="N267" t="n">
        <v>0</v>
      </c>
      <c r="O267" t="n">
        <v>0</v>
      </c>
      <c r="P267" t="n">
        <v>0</v>
      </c>
      <c r="Q267" t="n">
        <v>0</v>
      </c>
      <c r="R267" s="2" t="inlineStr"/>
    </row>
    <row r="268" ht="15" customHeight="1">
      <c r="A268" t="inlineStr">
        <is>
          <t>A 24058-2019</t>
        </is>
      </c>
      <c r="B268" s="1" t="n">
        <v>43598</v>
      </c>
      <c r="C268" s="1" t="n">
        <v>45645</v>
      </c>
      <c r="D268" t="inlineStr">
        <is>
          <t>STOCKHOLMS LÄN</t>
        </is>
      </c>
      <c r="E268" t="inlineStr">
        <is>
          <t>NORRTÄLJE</t>
        </is>
      </c>
      <c r="G268" t="n">
        <v>2.5</v>
      </c>
      <c r="H268" t="n">
        <v>0</v>
      </c>
      <c r="I268" t="n">
        <v>0</v>
      </c>
      <c r="J268" t="n">
        <v>0</v>
      </c>
      <c r="K268" t="n">
        <v>0</v>
      </c>
      <c r="L268" t="n">
        <v>0</v>
      </c>
      <c r="M268" t="n">
        <v>0</v>
      </c>
      <c r="N268" t="n">
        <v>0</v>
      </c>
      <c r="O268" t="n">
        <v>0</v>
      </c>
      <c r="P268" t="n">
        <v>0</v>
      </c>
      <c r="Q268" t="n">
        <v>0</v>
      </c>
      <c r="R268" s="2" t="inlineStr"/>
    </row>
    <row r="269" ht="15" customHeight="1">
      <c r="A269" t="inlineStr">
        <is>
          <t>A 24562-2019</t>
        </is>
      </c>
      <c r="B269" s="1" t="n">
        <v>43600</v>
      </c>
      <c r="C269" s="1" t="n">
        <v>45645</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24721-2019</t>
        </is>
      </c>
      <c r="B270" s="1" t="n">
        <v>43601</v>
      </c>
      <c r="C270" s="1" t="n">
        <v>45645</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25284-2019</t>
        </is>
      </c>
      <c r="B271" s="1" t="n">
        <v>43605</v>
      </c>
      <c r="C271" s="1" t="n">
        <v>45645</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25535-2019</t>
        </is>
      </c>
      <c r="B272" s="1" t="n">
        <v>43606</v>
      </c>
      <c r="C272" s="1" t="n">
        <v>45645</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25316-2019</t>
        </is>
      </c>
      <c r="B273" s="1" t="n">
        <v>43606</v>
      </c>
      <c r="C273" s="1" t="n">
        <v>45645</v>
      </c>
      <c r="D273" t="inlineStr">
        <is>
          <t>STOCKHOLMS LÄN</t>
        </is>
      </c>
      <c r="E273" t="inlineStr">
        <is>
          <t>NORRTÄLJE</t>
        </is>
      </c>
      <c r="G273" t="n">
        <v>1.6</v>
      </c>
      <c r="H273" t="n">
        <v>0</v>
      </c>
      <c r="I273" t="n">
        <v>0</v>
      </c>
      <c r="J273" t="n">
        <v>0</v>
      </c>
      <c r="K273" t="n">
        <v>0</v>
      </c>
      <c r="L273" t="n">
        <v>0</v>
      </c>
      <c r="M273" t="n">
        <v>0</v>
      </c>
      <c r="N273" t="n">
        <v>0</v>
      </c>
      <c r="O273" t="n">
        <v>0</v>
      </c>
      <c r="P273" t="n">
        <v>0</v>
      </c>
      <c r="Q273" t="n">
        <v>0</v>
      </c>
      <c r="R273" s="2" t="inlineStr"/>
    </row>
    <row r="274" ht="15" customHeight="1">
      <c r="A274" t="inlineStr">
        <is>
          <t>A 26374-2019</t>
        </is>
      </c>
      <c r="B274" s="1" t="n">
        <v>43606</v>
      </c>
      <c r="C274" s="1" t="n">
        <v>45645</v>
      </c>
      <c r="D274" t="inlineStr">
        <is>
          <t>STOCKHOLMS LÄN</t>
        </is>
      </c>
      <c r="E274" t="inlineStr">
        <is>
          <t>NORRTÄLJE</t>
        </is>
      </c>
      <c r="G274" t="n">
        <v>11.6</v>
      </c>
      <c r="H274" t="n">
        <v>0</v>
      </c>
      <c r="I274" t="n">
        <v>0</v>
      </c>
      <c r="J274" t="n">
        <v>0</v>
      </c>
      <c r="K274" t="n">
        <v>0</v>
      </c>
      <c r="L274" t="n">
        <v>0</v>
      </c>
      <c r="M274" t="n">
        <v>0</v>
      </c>
      <c r="N274" t="n">
        <v>0</v>
      </c>
      <c r="O274" t="n">
        <v>0</v>
      </c>
      <c r="P274" t="n">
        <v>0</v>
      </c>
      <c r="Q274" t="n">
        <v>0</v>
      </c>
      <c r="R274" s="2" t="inlineStr"/>
    </row>
    <row r="275" ht="15" customHeight="1">
      <c r="A275" t="inlineStr">
        <is>
          <t>A 25315-2019</t>
        </is>
      </c>
      <c r="B275" s="1" t="n">
        <v>43606</v>
      </c>
      <c r="C275" s="1" t="n">
        <v>45645</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25625-2019</t>
        </is>
      </c>
      <c r="B276" s="1" t="n">
        <v>43607</v>
      </c>
      <c r="C276" s="1" t="n">
        <v>45645</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26272-2019</t>
        </is>
      </c>
      <c r="B277" s="1" t="n">
        <v>43611</v>
      </c>
      <c r="C277" s="1" t="n">
        <v>45645</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26620-2019</t>
        </is>
      </c>
      <c r="B278" s="1" t="n">
        <v>43612</v>
      </c>
      <c r="C278" s="1" t="n">
        <v>45645</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26391-2019</t>
        </is>
      </c>
      <c r="B279" s="1" t="n">
        <v>43612</v>
      </c>
      <c r="C279" s="1" t="n">
        <v>45645</v>
      </c>
      <c r="D279" t="inlineStr">
        <is>
          <t>STOCKHOLMS LÄN</t>
        </is>
      </c>
      <c r="E279" t="inlineStr">
        <is>
          <t>NORRTÄLJE</t>
        </is>
      </c>
      <c r="G279" t="n">
        <v>1.9</v>
      </c>
      <c r="H279" t="n">
        <v>0</v>
      </c>
      <c r="I279" t="n">
        <v>0</v>
      </c>
      <c r="J279" t="n">
        <v>0</v>
      </c>
      <c r="K279" t="n">
        <v>0</v>
      </c>
      <c r="L279" t="n">
        <v>0</v>
      </c>
      <c r="M279" t="n">
        <v>0</v>
      </c>
      <c r="N279" t="n">
        <v>0</v>
      </c>
      <c r="O279" t="n">
        <v>0</v>
      </c>
      <c r="P279" t="n">
        <v>0</v>
      </c>
      <c r="Q279" t="n">
        <v>0</v>
      </c>
      <c r="R279" s="2" t="inlineStr"/>
    </row>
    <row r="280" ht="15" customHeight="1">
      <c r="A280" t="inlineStr">
        <is>
          <t>A 26933-2019</t>
        </is>
      </c>
      <c r="B280" s="1" t="n">
        <v>43613</v>
      </c>
      <c r="C280" s="1" t="n">
        <v>45645</v>
      </c>
      <c r="D280" t="inlineStr">
        <is>
          <t>STOCKHOLMS LÄN</t>
        </is>
      </c>
      <c r="E280" t="inlineStr">
        <is>
          <t>NORRTÄLJE</t>
        </is>
      </c>
      <c r="G280" t="n">
        <v>2.8</v>
      </c>
      <c r="H280" t="n">
        <v>0</v>
      </c>
      <c r="I280" t="n">
        <v>0</v>
      </c>
      <c r="J280" t="n">
        <v>0</v>
      </c>
      <c r="K280" t="n">
        <v>0</v>
      </c>
      <c r="L280" t="n">
        <v>0</v>
      </c>
      <c r="M280" t="n">
        <v>0</v>
      </c>
      <c r="N280" t="n">
        <v>0</v>
      </c>
      <c r="O280" t="n">
        <v>0</v>
      </c>
      <c r="P280" t="n">
        <v>0</v>
      </c>
      <c r="Q280" t="n">
        <v>0</v>
      </c>
      <c r="R280" s="2" t="inlineStr"/>
    </row>
    <row r="281" ht="15" customHeight="1">
      <c r="A281" t="inlineStr">
        <is>
          <t>A 26830-2019</t>
        </is>
      </c>
      <c r="B281" s="1" t="n">
        <v>43613</v>
      </c>
      <c r="C281" s="1" t="n">
        <v>45645</v>
      </c>
      <c r="D281" t="inlineStr">
        <is>
          <t>STOCKHOLMS LÄN</t>
        </is>
      </c>
      <c r="E281" t="inlineStr">
        <is>
          <t>NORRTÄLJE</t>
        </is>
      </c>
      <c r="G281" t="n">
        <v>2.1</v>
      </c>
      <c r="H281" t="n">
        <v>0</v>
      </c>
      <c r="I281" t="n">
        <v>0</v>
      </c>
      <c r="J281" t="n">
        <v>0</v>
      </c>
      <c r="K281" t="n">
        <v>0</v>
      </c>
      <c r="L281" t="n">
        <v>0</v>
      </c>
      <c r="M281" t="n">
        <v>0</v>
      </c>
      <c r="N281" t="n">
        <v>0</v>
      </c>
      <c r="O281" t="n">
        <v>0</v>
      </c>
      <c r="P281" t="n">
        <v>0</v>
      </c>
      <c r="Q281" t="n">
        <v>0</v>
      </c>
      <c r="R281" s="2" t="inlineStr"/>
    </row>
    <row r="282" ht="15" customHeight="1">
      <c r="A282" t="inlineStr">
        <is>
          <t>A 27095-2019</t>
        </is>
      </c>
      <c r="B282" s="1" t="n">
        <v>43614</v>
      </c>
      <c r="C282" s="1" t="n">
        <v>45645</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28157-2019</t>
        </is>
      </c>
      <c r="B283" s="1" t="n">
        <v>43614</v>
      </c>
      <c r="C283" s="1" t="n">
        <v>45645</v>
      </c>
      <c r="D283" t="inlineStr">
        <is>
          <t>STOCKHOLMS LÄN</t>
        </is>
      </c>
      <c r="E283" t="inlineStr">
        <is>
          <t>NORRTÄLJE</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27264-2019</t>
        </is>
      </c>
      <c r="B284" s="1" t="n">
        <v>43615</v>
      </c>
      <c r="C284" s="1" t="n">
        <v>45645</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27971-2019</t>
        </is>
      </c>
      <c r="B285" s="1" t="n">
        <v>43620</v>
      </c>
      <c r="C285" s="1" t="n">
        <v>45645</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27967-2019</t>
        </is>
      </c>
      <c r="B286" s="1" t="n">
        <v>43620</v>
      </c>
      <c r="C286" s="1" t="n">
        <v>45645</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28121-2019</t>
        </is>
      </c>
      <c r="B287" s="1" t="n">
        <v>43621</v>
      </c>
      <c r="C287" s="1" t="n">
        <v>45645</v>
      </c>
      <c r="D287" t="inlineStr">
        <is>
          <t>STOCKHOLMS LÄN</t>
        </is>
      </c>
      <c r="E287" t="inlineStr">
        <is>
          <t>NORRTÄLJE</t>
        </is>
      </c>
      <c r="F287" t="inlineStr">
        <is>
          <t>Kyrkan</t>
        </is>
      </c>
      <c r="G287" t="n">
        <v>2.5</v>
      </c>
      <c r="H287" t="n">
        <v>0</v>
      </c>
      <c r="I287" t="n">
        <v>0</v>
      </c>
      <c r="J287" t="n">
        <v>0</v>
      </c>
      <c r="K287" t="n">
        <v>0</v>
      </c>
      <c r="L287" t="n">
        <v>0</v>
      </c>
      <c r="M287" t="n">
        <v>0</v>
      </c>
      <c r="N287" t="n">
        <v>0</v>
      </c>
      <c r="O287" t="n">
        <v>0</v>
      </c>
      <c r="P287" t="n">
        <v>0</v>
      </c>
      <c r="Q287" t="n">
        <v>0</v>
      </c>
      <c r="R287" s="2" t="inlineStr"/>
    </row>
    <row r="288" ht="15" customHeight="1">
      <c r="A288" t="inlineStr">
        <is>
          <t>A 28289-2019</t>
        </is>
      </c>
      <c r="B288" s="1" t="n">
        <v>43623</v>
      </c>
      <c r="C288" s="1" t="n">
        <v>45645</v>
      </c>
      <c r="D288" t="inlineStr">
        <is>
          <t>STOCKHOLMS LÄN</t>
        </is>
      </c>
      <c r="E288" t="inlineStr">
        <is>
          <t>NORRTÄLJE</t>
        </is>
      </c>
      <c r="G288" t="n">
        <v>7.7</v>
      </c>
      <c r="H288" t="n">
        <v>0</v>
      </c>
      <c r="I288" t="n">
        <v>0</v>
      </c>
      <c r="J288" t="n">
        <v>0</v>
      </c>
      <c r="K288" t="n">
        <v>0</v>
      </c>
      <c r="L288" t="n">
        <v>0</v>
      </c>
      <c r="M288" t="n">
        <v>0</v>
      </c>
      <c r="N288" t="n">
        <v>0</v>
      </c>
      <c r="O288" t="n">
        <v>0</v>
      </c>
      <c r="P288" t="n">
        <v>0</v>
      </c>
      <c r="Q288" t="n">
        <v>0</v>
      </c>
      <c r="R288" s="2" t="inlineStr"/>
    </row>
    <row r="289" ht="15" customHeight="1">
      <c r="A289" t="inlineStr">
        <is>
          <t>A 28519-2019</t>
        </is>
      </c>
      <c r="B289" s="1" t="n">
        <v>43626</v>
      </c>
      <c r="C289" s="1" t="n">
        <v>45645</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28495-2019</t>
        </is>
      </c>
      <c r="B290" s="1" t="n">
        <v>43626</v>
      </c>
      <c r="C290" s="1" t="n">
        <v>45645</v>
      </c>
      <c r="D290" t="inlineStr">
        <is>
          <t>STOCKHOLMS LÄN</t>
        </is>
      </c>
      <c r="E290" t="inlineStr">
        <is>
          <t>NORRTÄLJE</t>
        </is>
      </c>
      <c r="G290" t="n">
        <v>14.7</v>
      </c>
      <c r="H290" t="n">
        <v>0</v>
      </c>
      <c r="I290" t="n">
        <v>0</v>
      </c>
      <c r="J290" t="n">
        <v>0</v>
      </c>
      <c r="K290" t="n">
        <v>0</v>
      </c>
      <c r="L290" t="n">
        <v>0</v>
      </c>
      <c r="M290" t="n">
        <v>0</v>
      </c>
      <c r="N290" t="n">
        <v>0</v>
      </c>
      <c r="O290" t="n">
        <v>0</v>
      </c>
      <c r="P290" t="n">
        <v>0</v>
      </c>
      <c r="Q290" t="n">
        <v>0</v>
      </c>
      <c r="R290" s="2" t="inlineStr"/>
    </row>
    <row r="291" ht="15" customHeight="1">
      <c r="A291" t="inlineStr">
        <is>
          <t>A 28394-2019</t>
        </is>
      </c>
      <c r="B291" s="1" t="n">
        <v>43626</v>
      </c>
      <c r="C291" s="1" t="n">
        <v>45645</v>
      </c>
      <c r="D291" t="inlineStr">
        <is>
          <t>STOCKHOLMS LÄN</t>
        </is>
      </c>
      <c r="E291" t="inlineStr">
        <is>
          <t>NORRTÄLJE</t>
        </is>
      </c>
      <c r="G291" t="n">
        <v>2.4</v>
      </c>
      <c r="H291" t="n">
        <v>0</v>
      </c>
      <c r="I291" t="n">
        <v>0</v>
      </c>
      <c r="J291" t="n">
        <v>0</v>
      </c>
      <c r="K291" t="n">
        <v>0</v>
      </c>
      <c r="L291" t="n">
        <v>0</v>
      </c>
      <c r="M291" t="n">
        <v>0</v>
      </c>
      <c r="N291" t="n">
        <v>0</v>
      </c>
      <c r="O291" t="n">
        <v>0</v>
      </c>
      <c r="P291" t="n">
        <v>0</v>
      </c>
      <c r="Q291" t="n">
        <v>0</v>
      </c>
      <c r="R291" s="2" t="inlineStr"/>
    </row>
    <row r="292" ht="15" customHeight="1">
      <c r="A292" t="inlineStr">
        <is>
          <t>A 29260-2019</t>
        </is>
      </c>
      <c r="B292" s="1" t="n">
        <v>43629</v>
      </c>
      <c r="C292" s="1" t="n">
        <v>45645</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29312-2019</t>
        </is>
      </c>
      <c r="B293" s="1" t="n">
        <v>43629</v>
      </c>
      <c r="C293" s="1" t="n">
        <v>45645</v>
      </c>
      <c r="D293" t="inlineStr">
        <is>
          <t>STOCKHOLMS LÄN</t>
        </is>
      </c>
      <c r="E293" t="inlineStr">
        <is>
          <t>NORRTÄLJE</t>
        </is>
      </c>
      <c r="G293" t="n">
        <v>7.1</v>
      </c>
      <c r="H293" t="n">
        <v>0</v>
      </c>
      <c r="I293" t="n">
        <v>0</v>
      </c>
      <c r="J293" t="n">
        <v>0</v>
      </c>
      <c r="K293" t="n">
        <v>0</v>
      </c>
      <c r="L293" t="n">
        <v>0</v>
      </c>
      <c r="M293" t="n">
        <v>0</v>
      </c>
      <c r="N293" t="n">
        <v>0</v>
      </c>
      <c r="O293" t="n">
        <v>0</v>
      </c>
      <c r="P293" t="n">
        <v>0</v>
      </c>
      <c r="Q293" t="n">
        <v>0</v>
      </c>
      <c r="R293" s="2" t="inlineStr"/>
    </row>
    <row r="294" ht="15" customHeight="1">
      <c r="A294" t="inlineStr">
        <is>
          <t>A 29759-2019</t>
        </is>
      </c>
      <c r="B294" s="1" t="n">
        <v>43631</v>
      </c>
      <c r="C294" s="1" t="n">
        <v>45645</v>
      </c>
      <c r="D294" t="inlineStr">
        <is>
          <t>STOCKHOLMS LÄN</t>
        </is>
      </c>
      <c r="E294" t="inlineStr">
        <is>
          <t>NORRTÄLJE</t>
        </is>
      </c>
      <c r="G294" t="n">
        <v>0.8</v>
      </c>
      <c r="H294" t="n">
        <v>0</v>
      </c>
      <c r="I294" t="n">
        <v>0</v>
      </c>
      <c r="J294" t="n">
        <v>0</v>
      </c>
      <c r="K294" t="n">
        <v>0</v>
      </c>
      <c r="L294" t="n">
        <v>0</v>
      </c>
      <c r="M294" t="n">
        <v>0</v>
      </c>
      <c r="N294" t="n">
        <v>0</v>
      </c>
      <c r="O294" t="n">
        <v>0</v>
      </c>
      <c r="P294" t="n">
        <v>0</v>
      </c>
      <c r="Q294" t="n">
        <v>0</v>
      </c>
      <c r="R294" s="2" t="inlineStr"/>
    </row>
    <row r="295" ht="15" customHeight="1">
      <c r="A295" t="inlineStr">
        <is>
          <t>A 30000-2019</t>
        </is>
      </c>
      <c r="B295" s="1" t="n">
        <v>43633</v>
      </c>
      <c r="C295" s="1" t="n">
        <v>45645</v>
      </c>
      <c r="D295" t="inlineStr">
        <is>
          <t>STOCKHOLMS LÄN</t>
        </is>
      </c>
      <c r="E295" t="inlineStr">
        <is>
          <t>NORRTÄLJE</t>
        </is>
      </c>
      <c r="G295" t="n">
        <v>5.4</v>
      </c>
      <c r="H295" t="n">
        <v>0</v>
      </c>
      <c r="I295" t="n">
        <v>0</v>
      </c>
      <c r="J295" t="n">
        <v>0</v>
      </c>
      <c r="K295" t="n">
        <v>0</v>
      </c>
      <c r="L295" t="n">
        <v>0</v>
      </c>
      <c r="M295" t="n">
        <v>0</v>
      </c>
      <c r="N295" t="n">
        <v>0</v>
      </c>
      <c r="O295" t="n">
        <v>0</v>
      </c>
      <c r="P295" t="n">
        <v>0</v>
      </c>
      <c r="Q295" t="n">
        <v>0</v>
      </c>
      <c r="R295" s="2" t="inlineStr"/>
    </row>
    <row r="296" ht="15" customHeight="1">
      <c r="A296" t="inlineStr">
        <is>
          <t>A 30833-2019</t>
        </is>
      </c>
      <c r="B296" s="1" t="n">
        <v>43636</v>
      </c>
      <c r="C296" s="1" t="n">
        <v>45645</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31215-2019</t>
        </is>
      </c>
      <c r="B297" s="1" t="n">
        <v>43640</v>
      </c>
      <c r="C297" s="1" t="n">
        <v>45645</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31017-2019</t>
        </is>
      </c>
      <c r="B298" s="1" t="n">
        <v>43640</v>
      </c>
      <c r="C298" s="1" t="n">
        <v>45645</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31966-2019</t>
        </is>
      </c>
      <c r="B299" s="1" t="n">
        <v>43643</v>
      </c>
      <c r="C299" s="1" t="n">
        <v>45645</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32725-2019</t>
        </is>
      </c>
      <c r="B300" s="1" t="n">
        <v>43647</v>
      </c>
      <c r="C300" s="1" t="n">
        <v>45645</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32726-2019</t>
        </is>
      </c>
      <c r="B301" s="1" t="n">
        <v>43647</v>
      </c>
      <c r="C301" s="1" t="n">
        <v>45645</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33207-2019</t>
        </is>
      </c>
      <c r="B302" s="1" t="n">
        <v>43649</v>
      </c>
      <c r="C302" s="1" t="n">
        <v>45645</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33955-2019</t>
        </is>
      </c>
      <c r="B303" s="1" t="n">
        <v>43654</v>
      </c>
      <c r="C303" s="1" t="n">
        <v>45645</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33966-2019</t>
        </is>
      </c>
      <c r="B304" s="1" t="n">
        <v>43654</v>
      </c>
      <c r="C304" s="1" t="n">
        <v>45645</v>
      </c>
      <c r="D304" t="inlineStr">
        <is>
          <t>STOCKHOLMS LÄN</t>
        </is>
      </c>
      <c r="E304" t="inlineStr">
        <is>
          <t>NORRTÄLJE</t>
        </is>
      </c>
      <c r="G304" t="n">
        <v>3.2</v>
      </c>
      <c r="H304" t="n">
        <v>0</v>
      </c>
      <c r="I304" t="n">
        <v>0</v>
      </c>
      <c r="J304" t="n">
        <v>0</v>
      </c>
      <c r="K304" t="n">
        <v>0</v>
      </c>
      <c r="L304" t="n">
        <v>0</v>
      </c>
      <c r="M304" t="n">
        <v>0</v>
      </c>
      <c r="N304" t="n">
        <v>0</v>
      </c>
      <c r="O304" t="n">
        <v>0</v>
      </c>
      <c r="P304" t="n">
        <v>0</v>
      </c>
      <c r="Q304" t="n">
        <v>0</v>
      </c>
      <c r="R304" s="2" t="inlineStr"/>
    </row>
    <row r="305" ht="15" customHeight="1">
      <c r="A305" t="inlineStr">
        <is>
          <t>A 35247-2019</t>
        </is>
      </c>
      <c r="B305" s="1" t="n">
        <v>43656</v>
      </c>
      <c r="C305" s="1" t="n">
        <v>45645</v>
      </c>
      <c r="D305" t="inlineStr">
        <is>
          <t>STOCKHOLMS LÄN</t>
        </is>
      </c>
      <c r="E305" t="inlineStr">
        <is>
          <t>NORRTÄLJE</t>
        </is>
      </c>
      <c r="G305" t="n">
        <v>1.8</v>
      </c>
      <c r="H305" t="n">
        <v>0</v>
      </c>
      <c r="I305" t="n">
        <v>0</v>
      </c>
      <c r="J305" t="n">
        <v>0</v>
      </c>
      <c r="K305" t="n">
        <v>0</v>
      </c>
      <c r="L305" t="n">
        <v>0</v>
      </c>
      <c r="M305" t="n">
        <v>0</v>
      </c>
      <c r="N305" t="n">
        <v>0</v>
      </c>
      <c r="O305" t="n">
        <v>0</v>
      </c>
      <c r="P305" t="n">
        <v>0</v>
      </c>
      <c r="Q305" t="n">
        <v>0</v>
      </c>
      <c r="R305" s="2" t="inlineStr"/>
    </row>
    <row r="306" ht="15" customHeight="1">
      <c r="A306" t="inlineStr">
        <is>
          <t>A 35244-2019</t>
        </is>
      </c>
      <c r="B306" s="1" t="n">
        <v>43656</v>
      </c>
      <c r="C306" s="1" t="n">
        <v>45645</v>
      </c>
      <c r="D306" t="inlineStr">
        <is>
          <t>STOCKHOLMS LÄN</t>
        </is>
      </c>
      <c r="E306" t="inlineStr">
        <is>
          <t>NORRTÄLJE</t>
        </is>
      </c>
      <c r="G306" t="n">
        <v>1.9</v>
      </c>
      <c r="H306" t="n">
        <v>0</v>
      </c>
      <c r="I306" t="n">
        <v>0</v>
      </c>
      <c r="J306" t="n">
        <v>0</v>
      </c>
      <c r="K306" t="n">
        <v>0</v>
      </c>
      <c r="L306" t="n">
        <v>0</v>
      </c>
      <c r="M306" t="n">
        <v>0</v>
      </c>
      <c r="N306" t="n">
        <v>0</v>
      </c>
      <c r="O306" t="n">
        <v>0</v>
      </c>
      <c r="P306" t="n">
        <v>0</v>
      </c>
      <c r="Q306" t="n">
        <v>0</v>
      </c>
      <c r="R306" s="2" t="inlineStr"/>
    </row>
    <row r="307" ht="15" customHeight="1">
      <c r="A307" t="inlineStr">
        <is>
          <t>A 35249-2019</t>
        </is>
      </c>
      <c r="B307" s="1" t="n">
        <v>43656</v>
      </c>
      <c r="C307" s="1" t="n">
        <v>45645</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35251-2019</t>
        </is>
      </c>
      <c r="B308" s="1" t="n">
        <v>43656</v>
      </c>
      <c r="C308" s="1" t="n">
        <v>45645</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35492-2019</t>
        </is>
      </c>
      <c r="B309" s="1" t="n">
        <v>43663</v>
      </c>
      <c r="C309" s="1" t="n">
        <v>45645</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35770-2019</t>
        </is>
      </c>
      <c r="B310" s="1" t="n">
        <v>43665</v>
      </c>
      <c r="C310" s="1" t="n">
        <v>45645</v>
      </c>
      <c r="D310" t="inlineStr">
        <is>
          <t>STOCKHOLMS LÄN</t>
        </is>
      </c>
      <c r="E310" t="inlineStr">
        <is>
          <t>NORRTÄLJE</t>
        </is>
      </c>
      <c r="G310" t="n">
        <v>6.3</v>
      </c>
      <c r="H310" t="n">
        <v>0</v>
      </c>
      <c r="I310" t="n">
        <v>0</v>
      </c>
      <c r="J310" t="n">
        <v>0</v>
      </c>
      <c r="K310" t="n">
        <v>0</v>
      </c>
      <c r="L310" t="n">
        <v>0</v>
      </c>
      <c r="M310" t="n">
        <v>0</v>
      </c>
      <c r="N310" t="n">
        <v>0</v>
      </c>
      <c r="O310" t="n">
        <v>0</v>
      </c>
      <c r="P310" t="n">
        <v>0</v>
      </c>
      <c r="Q310" t="n">
        <v>0</v>
      </c>
      <c r="R310" s="2" t="inlineStr"/>
    </row>
    <row r="311" ht="15" customHeight="1">
      <c r="A311" t="inlineStr">
        <is>
          <t>A 35766-2019</t>
        </is>
      </c>
      <c r="B311" s="1" t="n">
        <v>43665</v>
      </c>
      <c r="C311" s="1" t="n">
        <v>45645</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36418-2019</t>
        </is>
      </c>
      <c r="B312" s="1" t="n">
        <v>43670</v>
      </c>
      <c r="C312" s="1" t="n">
        <v>45645</v>
      </c>
      <c r="D312" t="inlineStr">
        <is>
          <t>STOCKHOLMS LÄN</t>
        </is>
      </c>
      <c r="E312" t="inlineStr">
        <is>
          <t>NORRTÄLJE</t>
        </is>
      </c>
      <c r="G312" t="n">
        <v>16.8</v>
      </c>
      <c r="H312" t="n">
        <v>0</v>
      </c>
      <c r="I312" t="n">
        <v>0</v>
      </c>
      <c r="J312" t="n">
        <v>0</v>
      </c>
      <c r="K312" t="n">
        <v>0</v>
      </c>
      <c r="L312" t="n">
        <v>0</v>
      </c>
      <c r="M312" t="n">
        <v>0</v>
      </c>
      <c r="N312" t="n">
        <v>0</v>
      </c>
      <c r="O312" t="n">
        <v>0</v>
      </c>
      <c r="P312" t="n">
        <v>0</v>
      </c>
      <c r="Q312" t="n">
        <v>0</v>
      </c>
      <c r="R312" s="2" t="inlineStr"/>
    </row>
    <row r="313" ht="15" customHeight="1">
      <c r="A313" t="inlineStr">
        <is>
          <t>A 37401-2019</t>
        </is>
      </c>
      <c r="B313" s="1" t="n">
        <v>43678</v>
      </c>
      <c r="C313" s="1" t="n">
        <v>45645</v>
      </c>
      <c r="D313" t="inlineStr">
        <is>
          <t>STOCKHOLMS LÄN</t>
        </is>
      </c>
      <c r="E313" t="inlineStr">
        <is>
          <t>NORRTÄLJE</t>
        </is>
      </c>
      <c r="G313" t="n">
        <v>1.4</v>
      </c>
      <c r="H313" t="n">
        <v>0</v>
      </c>
      <c r="I313" t="n">
        <v>0</v>
      </c>
      <c r="J313" t="n">
        <v>0</v>
      </c>
      <c r="K313" t="n">
        <v>0</v>
      </c>
      <c r="L313" t="n">
        <v>0</v>
      </c>
      <c r="M313" t="n">
        <v>0</v>
      </c>
      <c r="N313" t="n">
        <v>0</v>
      </c>
      <c r="O313" t="n">
        <v>0</v>
      </c>
      <c r="P313" t="n">
        <v>0</v>
      </c>
      <c r="Q313" t="n">
        <v>0</v>
      </c>
      <c r="R313" s="2" t="inlineStr"/>
    </row>
    <row r="314" ht="15" customHeight="1">
      <c r="A314" t="inlineStr">
        <is>
          <t>A 37662-2019</t>
        </is>
      </c>
      <c r="B314" s="1" t="n">
        <v>43682</v>
      </c>
      <c r="C314" s="1" t="n">
        <v>45645</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38144-2019</t>
        </is>
      </c>
      <c r="B315" s="1" t="n">
        <v>43684</v>
      </c>
      <c r="C315" s="1" t="n">
        <v>45645</v>
      </c>
      <c r="D315" t="inlineStr">
        <is>
          <t>STOCKHOLMS LÄN</t>
        </is>
      </c>
      <c r="E315" t="inlineStr">
        <is>
          <t>NORRTÄLJE</t>
        </is>
      </c>
      <c r="G315" t="n">
        <v>3.6</v>
      </c>
      <c r="H315" t="n">
        <v>0</v>
      </c>
      <c r="I315" t="n">
        <v>0</v>
      </c>
      <c r="J315" t="n">
        <v>0</v>
      </c>
      <c r="K315" t="n">
        <v>0</v>
      </c>
      <c r="L315" t="n">
        <v>0</v>
      </c>
      <c r="M315" t="n">
        <v>0</v>
      </c>
      <c r="N315" t="n">
        <v>0</v>
      </c>
      <c r="O315" t="n">
        <v>0</v>
      </c>
      <c r="P315" t="n">
        <v>0</v>
      </c>
      <c r="Q315" t="n">
        <v>0</v>
      </c>
      <c r="R315" s="2" t="inlineStr"/>
    </row>
    <row r="316" ht="15" customHeight="1">
      <c r="A316" t="inlineStr">
        <is>
          <t>A 38139-2019</t>
        </is>
      </c>
      <c r="B316" s="1" t="n">
        <v>43684</v>
      </c>
      <c r="C316" s="1" t="n">
        <v>45645</v>
      </c>
      <c r="D316" t="inlineStr">
        <is>
          <t>STOCKHOLMS LÄN</t>
        </is>
      </c>
      <c r="E316" t="inlineStr">
        <is>
          <t>NORRTÄLJE</t>
        </is>
      </c>
      <c r="G316" t="n">
        <v>2</v>
      </c>
      <c r="H316" t="n">
        <v>0</v>
      </c>
      <c r="I316" t="n">
        <v>0</v>
      </c>
      <c r="J316" t="n">
        <v>0</v>
      </c>
      <c r="K316" t="n">
        <v>0</v>
      </c>
      <c r="L316" t="n">
        <v>0</v>
      </c>
      <c r="M316" t="n">
        <v>0</v>
      </c>
      <c r="N316" t="n">
        <v>0</v>
      </c>
      <c r="O316" t="n">
        <v>0</v>
      </c>
      <c r="P316" t="n">
        <v>0</v>
      </c>
      <c r="Q316" t="n">
        <v>0</v>
      </c>
      <c r="R316" s="2" t="inlineStr"/>
    </row>
    <row r="317" ht="15" customHeight="1">
      <c r="A317" t="inlineStr">
        <is>
          <t>A 38145-2019</t>
        </is>
      </c>
      <c r="B317" s="1" t="n">
        <v>43684</v>
      </c>
      <c r="C317" s="1" t="n">
        <v>45645</v>
      </c>
      <c r="D317" t="inlineStr">
        <is>
          <t>STOCKHOLMS LÄN</t>
        </is>
      </c>
      <c r="E317" t="inlineStr">
        <is>
          <t>NORRTÄLJE</t>
        </is>
      </c>
      <c r="G317" t="n">
        <v>9.9</v>
      </c>
      <c r="H317" t="n">
        <v>0</v>
      </c>
      <c r="I317" t="n">
        <v>0</v>
      </c>
      <c r="J317" t="n">
        <v>0</v>
      </c>
      <c r="K317" t="n">
        <v>0</v>
      </c>
      <c r="L317" t="n">
        <v>0</v>
      </c>
      <c r="M317" t="n">
        <v>0</v>
      </c>
      <c r="N317" t="n">
        <v>0</v>
      </c>
      <c r="O317" t="n">
        <v>0</v>
      </c>
      <c r="P317" t="n">
        <v>0</v>
      </c>
      <c r="Q317" t="n">
        <v>0</v>
      </c>
      <c r="R317" s="2" t="inlineStr"/>
    </row>
    <row r="318" ht="15" customHeight="1">
      <c r="A318" t="inlineStr">
        <is>
          <t>A 38140-2019</t>
        </is>
      </c>
      <c r="B318" s="1" t="n">
        <v>43684</v>
      </c>
      <c r="C318" s="1" t="n">
        <v>45645</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38143-2019</t>
        </is>
      </c>
      <c r="B319" s="1" t="n">
        <v>43684</v>
      </c>
      <c r="C319" s="1" t="n">
        <v>45645</v>
      </c>
      <c r="D319" t="inlineStr">
        <is>
          <t>STOCKHOLMS LÄN</t>
        </is>
      </c>
      <c r="E319" t="inlineStr">
        <is>
          <t>NORRTÄLJE</t>
        </is>
      </c>
      <c r="G319" t="n">
        <v>12.7</v>
      </c>
      <c r="H319" t="n">
        <v>0</v>
      </c>
      <c r="I319" t="n">
        <v>0</v>
      </c>
      <c r="J319" t="n">
        <v>0</v>
      </c>
      <c r="K319" t="n">
        <v>0</v>
      </c>
      <c r="L319" t="n">
        <v>0</v>
      </c>
      <c r="M319" t="n">
        <v>0</v>
      </c>
      <c r="N319" t="n">
        <v>0</v>
      </c>
      <c r="O319" t="n">
        <v>0</v>
      </c>
      <c r="P319" t="n">
        <v>0</v>
      </c>
      <c r="Q319" t="n">
        <v>0</v>
      </c>
      <c r="R319" s="2" t="inlineStr"/>
    </row>
    <row r="320" ht="15" customHeight="1">
      <c r="A320" t="inlineStr">
        <is>
          <t>A 38506-2019</t>
        </is>
      </c>
      <c r="B320" s="1" t="n">
        <v>43685</v>
      </c>
      <c r="C320" s="1" t="n">
        <v>45645</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38605-2019</t>
        </is>
      </c>
      <c r="B321" s="1" t="n">
        <v>43686</v>
      </c>
      <c r="C321" s="1" t="n">
        <v>45645</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38737-2019</t>
        </is>
      </c>
      <c r="B322" s="1" t="n">
        <v>43686</v>
      </c>
      <c r="C322" s="1" t="n">
        <v>45645</v>
      </c>
      <c r="D322" t="inlineStr">
        <is>
          <t>STOCKHOLMS LÄN</t>
        </is>
      </c>
      <c r="E322" t="inlineStr">
        <is>
          <t>NORRTÄLJE</t>
        </is>
      </c>
      <c r="G322" t="n">
        <v>4.7</v>
      </c>
      <c r="H322" t="n">
        <v>0</v>
      </c>
      <c r="I322" t="n">
        <v>0</v>
      </c>
      <c r="J322" t="n">
        <v>0</v>
      </c>
      <c r="K322" t="n">
        <v>0</v>
      </c>
      <c r="L322" t="n">
        <v>0</v>
      </c>
      <c r="M322" t="n">
        <v>0</v>
      </c>
      <c r="N322" t="n">
        <v>0</v>
      </c>
      <c r="O322" t="n">
        <v>0</v>
      </c>
      <c r="P322" t="n">
        <v>0</v>
      </c>
      <c r="Q322" t="n">
        <v>0</v>
      </c>
      <c r="R322" s="2" t="inlineStr"/>
    </row>
    <row r="323" ht="15" customHeight="1">
      <c r="A323" t="inlineStr">
        <is>
          <t>A 40571-2019</t>
        </is>
      </c>
      <c r="B323" s="1" t="n">
        <v>43696</v>
      </c>
      <c r="C323" s="1" t="n">
        <v>45645</v>
      </c>
      <c r="D323" t="inlineStr">
        <is>
          <t>STOCKHOLMS LÄN</t>
        </is>
      </c>
      <c r="E323" t="inlineStr">
        <is>
          <t>NORRTÄLJE</t>
        </is>
      </c>
      <c r="G323" t="n">
        <v>2.8</v>
      </c>
      <c r="H323" t="n">
        <v>0</v>
      </c>
      <c r="I323" t="n">
        <v>0</v>
      </c>
      <c r="J323" t="n">
        <v>0</v>
      </c>
      <c r="K323" t="n">
        <v>0</v>
      </c>
      <c r="L323" t="n">
        <v>0</v>
      </c>
      <c r="M323" t="n">
        <v>0</v>
      </c>
      <c r="N323" t="n">
        <v>0</v>
      </c>
      <c r="O323" t="n">
        <v>0</v>
      </c>
      <c r="P323" t="n">
        <v>0</v>
      </c>
      <c r="Q323" t="n">
        <v>0</v>
      </c>
      <c r="R323" s="2" t="inlineStr"/>
    </row>
    <row r="324" ht="15" customHeight="1">
      <c r="A324" t="inlineStr">
        <is>
          <t>A 42330-2019</t>
        </is>
      </c>
      <c r="B324" s="1" t="n">
        <v>43703</v>
      </c>
      <c r="C324" s="1" t="n">
        <v>45645</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43379-2019</t>
        </is>
      </c>
      <c r="B325" s="1" t="n">
        <v>43703</v>
      </c>
      <c r="C325" s="1" t="n">
        <v>45645</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43296-2019</t>
        </is>
      </c>
      <c r="B326" s="1" t="n">
        <v>43706</v>
      </c>
      <c r="C326" s="1" t="n">
        <v>45645</v>
      </c>
      <c r="D326" t="inlineStr">
        <is>
          <t>STOCKHOLMS LÄN</t>
        </is>
      </c>
      <c r="E326" t="inlineStr">
        <is>
          <t>NORRTÄLJE</t>
        </is>
      </c>
      <c r="F326" t="inlineStr">
        <is>
          <t>Kommuner</t>
        </is>
      </c>
      <c r="G326" t="n">
        <v>1.7</v>
      </c>
      <c r="H326" t="n">
        <v>0</v>
      </c>
      <c r="I326" t="n">
        <v>0</v>
      </c>
      <c r="J326" t="n">
        <v>0</v>
      </c>
      <c r="K326" t="n">
        <v>0</v>
      </c>
      <c r="L326" t="n">
        <v>0</v>
      </c>
      <c r="M326" t="n">
        <v>0</v>
      </c>
      <c r="N326" t="n">
        <v>0</v>
      </c>
      <c r="O326" t="n">
        <v>0</v>
      </c>
      <c r="P326" t="n">
        <v>0</v>
      </c>
      <c r="Q326" t="n">
        <v>0</v>
      </c>
      <c r="R326" s="2" t="inlineStr"/>
    </row>
    <row r="327" ht="15" customHeight="1">
      <c r="A327" t="inlineStr">
        <is>
          <t>A 44643-2019</t>
        </is>
      </c>
      <c r="B327" s="1" t="n">
        <v>43712</v>
      </c>
      <c r="C327" s="1" t="n">
        <v>45645</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45463-2019</t>
        </is>
      </c>
      <c r="B328" s="1" t="n">
        <v>43714</v>
      </c>
      <c r="C328" s="1" t="n">
        <v>45645</v>
      </c>
      <c r="D328" t="inlineStr">
        <is>
          <t>STOCKHOLMS LÄN</t>
        </is>
      </c>
      <c r="E328" t="inlineStr">
        <is>
          <t>NORRTÄLJE</t>
        </is>
      </c>
      <c r="F328" t="inlineStr">
        <is>
          <t>Övriga statliga verk och myndigheter</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45477-2019</t>
        </is>
      </c>
      <c r="B329" s="1" t="n">
        <v>43714</v>
      </c>
      <c r="C329" s="1" t="n">
        <v>45645</v>
      </c>
      <c r="D329" t="inlineStr">
        <is>
          <t>STOCKHOLMS LÄN</t>
        </is>
      </c>
      <c r="E329" t="inlineStr">
        <is>
          <t>NORRTÄLJE</t>
        </is>
      </c>
      <c r="F329" t="inlineStr">
        <is>
          <t>Övriga statliga verk och myndigheter</t>
        </is>
      </c>
      <c r="G329" t="n">
        <v>8.9</v>
      </c>
      <c r="H329" t="n">
        <v>0</v>
      </c>
      <c r="I329" t="n">
        <v>0</v>
      </c>
      <c r="J329" t="n">
        <v>0</v>
      </c>
      <c r="K329" t="n">
        <v>0</v>
      </c>
      <c r="L329" t="n">
        <v>0</v>
      </c>
      <c r="M329" t="n">
        <v>0</v>
      </c>
      <c r="N329" t="n">
        <v>0</v>
      </c>
      <c r="O329" t="n">
        <v>0</v>
      </c>
      <c r="P329" t="n">
        <v>0</v>
      </c>
      <c r="Q329" t="n">
        <v>0</v>
      </c>
      <c r="R329" s="2" t="inlineStr"/>
    </row>
    <row r="330" ht="15" customHeight="1">
      <c r="A330" t="inlineStr">
        <is>
          <t>A 46327-2019</t>
        </is>
      </c>
      <c r="B330" s="1" t="n">
        <v>43718</v>
      </c>
      <c r="C330" s="1" t="n">
        <v>45645</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47876-2019</t>
        </is>
      </c>
      <c r="B331" s="1" t="n">
        <v>43725</v>
      </c>
      <c r="C331" s="1" t="n">
        <v>45645</v>
      </c>
      <c r="D331" t="inlineStr">
        <is>
          <t>STOCKHOLMS LÄN</t>
        </is>
      </c>
      <c r="E331" t="inlineStr">
        <is>
          <t>NORRTÄLJE</t>
        </is>
      </c>
      <c r="G331" t="n">
        <v>11.4</v>
      </c>
      <c r="H331" t="n">
        <v>0</v>
      </c>
      <c r="I331" t="n">
        <v>0</v>
      </c>
      <c r="J331" t="n">
        <v>0</v>
      </c>
      <c r="K331" t="n">
        <v>0</v>
      </c>
      <c r="L331" t="n">
        <v>0</v>
      </c>
      <c r="M331" t="n">
        <v>0</v>
      </c>
      <c r="N331" t="n">
        <v>0</v>
      </c>
      <c r="O331" t="n">
        <v>0</v>
      </c>
      <c r="P331" t="n">
        <v>0</v>
      </c>
      <c r="Q331" t="n">
        <v>0</v>
      </c>
      <c r="R331" s="2" t="inlineStr"/>
    </row>
    <row r="332" ht="15" customHeight="1">
      <c r="A332" t="inlineStr">
        <is>
          <t>A 47877-2019</t>
        </is>
      </c>
      <c r="B332" s="1" t="n">
        <v>43725</v>
      </c>
      <c r="C332" s="1" t="n">
        <v>45645</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47903-2019</t>
        </is>
      </c>
      <c r="B333" s="1" t="n">
        <v>43725</v>
      </c>
      <c r="C333" s="1" t="n">
        <v>45645</v>
      </c>
      <c r="D333" t="inlineStr">
        <is>
          <t>STOCKHOLMS LÄN</t>
        </is>
      </c>
      <c r="E333" t="inlineStr">
        <is>
          <t>NORRTÄLJE</t>
        </is>
      </c>
      <c r="G333" t="n">
        <v>2.1</v>
      </c>
      <c r="H333" t="n">
        <v>0</v>
      </c>
      <c r="I333" t="n">
        <v>0</v>
      </c>
      <c r="J333" t="n">
        <v>0</v>
      </c>
      <c r="K333" t="n">
        <v>0</v>
      </c>
      <c r="L333" t="n">
        <v>0</v>
      </c>
      <c r="M333" t="n">
        <v>0</v>
      </c>
      <c r="N333" t="n">
        <v>0</v>
      </c>
      <c r="O333" t="n">
        <v>0</v>
      </c>
      <c r="P333" t="n">
        <v>0</v>
      </c>
      <c r="Q333" t="n">
        <v>0</v>
      </c>
      <c r="R333" s="2" t="inlineStr"/>
    </row>
    <row r="334" ht="15" customHeight="1">
      <c r="A334" t="inlineStr">
        <is>
          <t>A 47901-2019</t>
        </is>
      </c>
      <c r="B334" s="1" t="n">
        <v>43725</v>
      </c>
      <c r="C334" s="1" t="n">
        <v>45645</v>
      </c>
      <c r="D334" t="inlineStr">
        <is>
          <t>STOCKHOLMS LÄN</t>
        </is>
      </c>
      <c r="E334" t="inlineStr">
        <is>
          <t>NORRTÄLJE</t>
        </is>
      </c>
      <c r="G334" t="n">
        <v>3</v>
      </c>
      <c r="H334" t="n">
        <v>0</v>
      </c>
      <c r="I334" t="n">
        <v>0</v>
      </c>
      <c r="J334" t="n">
        <v>0</v>
      </c>
      <c r="K334" t="n">
        <v>0</v>
      </c>
      <c r="L334" t="n">
        <v>0</v>
      </c>
      <c r="M334" t="n">
        <v>0</v>
      </c>
      <c r="N334" t="n">
        <v>0</v>
      </c>
      <c r="O334" t="n">
        <v>0</v>
      </c>
      <c r="P334" t="n">
        <v>0</v>
      </c>
      <c r="Q334" t="n">
        <v>0</v>
      </c>
      <c r="R334" s="2" t="inlineStr"/>
    </row>
    <row r="335" ht="15" customHeight="1">
      <c r="A335" t="inlineStr">
        <is>
          <t>A 47939-2019</t>
        </is>
      </c>
      <c r="B335" s="1" t="n">
        <v>43725</v>
      </c>
      <c r="C335" s="1" t="n">
        <v>45645</v>
      </c>
      <c r="D335" t="inlineStr">
        <is>
          <t>STOCKHOLMS LÄN</t>
        </is>
      </c>
      <c r="E335" t="inlineStr">
        <is>
          <t>NORRTÄLJE</t>
        </is>
      </c>
      <c r="G335" t="n">
        <v>4.5</v>
      </c>
      <c r="H335" t="n">
        <v>0</v>
      </c>
      <c r="I335" t="n">
        <v>0</v>
      </c>
      <c r="J335" t="n">
        <v>0</v>
      </c>
      <c r="K335" t="n">
        <v>0</v>
      </c>
      <c r="L335" t="n">
        <v>0</v>
      </c>
      <c r="M335" t="n">
        <v>0</v>
      </c>
      <c r="N335" t="n">
        <v>0</v>
      </c>
      <c r="O335" t="n">
        <v>0</v>
      </c>
      <c r="P335" t="n">
        <v>0</v>
      </c>
      <c r="Q335" t="n">
        <v>0</v>
      </c>
      <c r="R335" s="2" t="inlineStr"/>
    </row>
    <row r="336" ht="15" customHeight="1">
      <c r="A336" t="inlineStr">
        <is>
          <t>A 47941-2019</t>
        </is>
      </c>
      <c r="B336" s="1" t="n">
        <v>43725</v>
      </c>
      <c r="C336" s="1" t="n">
        <v>45645</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47879-2019</t>
        </is>
      </c>
      <c r="B337" s="1" t="n">
        <v>43725</v>
      </c>
      <c r="C337" s="1" t="n">
        <v>45645</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48730-2019</t>
        </is>
      </c>
      <c r="B338" s="1" t="n">
        <v>43728</v>
      </c>
      <c r="C338" s="1" t="n">
        <v>45645</v>
      </c>
      <c r="D338" t="inlineStr">
        <is>
          <t>STOCKHOLMS LÄN</t>
        </is>
      </c>
      <c r="E338" t="inlineStr">
        <is>
          <t>NORRTÄLJE</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49252-2019</t>
        </is>
      </c>
      <c r="B339" s="1" t="n">
        <v>43731</v>
      </c>
      <c r="C339" s="1" t="n">
        <v>45645</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51940-2019</t>
        </is>
      </c>
      <c r="B340" s="1" t="n">
        <v>43741</v>
      </c>
      <c r="C340" s="1" t="n">
        <v>45645</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51942-2019</t>
        </is>
      </c>
      <c r="B341" s="1" t="n">
        <v>43741</v>
      </c>
      <c r="C341" s="1" t="n">
        <v>45645</v>
      </c>
      <c r="D341" t="inlineStr">
        <is>
          <t>STOCKHOLMS LÄN</t>
        </is>
      </c>
      <c r="E341" t="inlineStr">
        <is>
          <t>NORRTÄLJE</t>
        </is>
      </c>
      <c r="G341" t="n">
        <v>5.6</v>
      </c>
      <c r="H341" t="n">
        <v>0</v>
      </c>
      <c r="I341" t="n">
        <v>0</v>
      </c>
      <c r="J341" t="n">
        <v>0</v>
      </c>
      <c r="K341" t="n">
        <v>0</v>
      </c>
      <c r="L341" t="n">
        <v>0</v>
      </c>
      <c r="M341" t="n">
        <v>0</v>
      </c>
      <c r="N341" t="n">
        <v>0</v>
      </c>
      <c r="O341" t="n">
        <v>0</v>
      </c>
      <c r="P341" t="n">
        <v>0</v>
      </c>
      <c r="Q341" t="n">
        <v>0</v>
      </c>
      <c r="R341" s="2" t="inlineStr"/>
    </row>
    <row r="342" ht="15" customHeight="1">
      <c r="A342" t="inlineStr">
        <is>
          <t>A 55481-2019</t>
        </is>
      </c>
      <c r="B342" s="1" t="n">
        <v>43759</v>
      </c>
      <c r="C342" s="1" t="n">
        <v>45645</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55891-2019</t>
        </is>
      </c>
      <c r="B343" s="1" t="n">
        <v>43761</v>
      </c>
      <c r="C343" s="1" t="n">
        <v>45645</v>
      </c>
      <c r="D343" t="inlineStr">
        <is>
          <t>STOCKHOLMS LÄN</t>
        </is>
      </c>
      <c r="E343" t="inlineStr">
        <is>
          <t>NORRTÄLJE</t>
        </is>
      </c>
      <c r="G343" t="n">
        <v>7.6</v>
      </c>
      <c r="H343" t="n">
        <v>0</v>
      </c>
      <c r="I343" t="n">
        <v>0</v>
      </c>
      <c r="J343" t="n">
        <v>0</v>
      </c>
      <c r="K343" t="n">
        <v>0</v>
      </c>
      <c r="L343" t="n">
        <v>0</v>
      </c>
      <c r="M343" t="n">
        <v>0</v>
      </c>
      <c r="N343" t="n">
        <v>0</v>
      </c>
      <c r="O343" t="n">
        <v>0</v>
      </c>
      <c r="P343" t="n">
        <v>0</v>
      </c>
      <c r="Q343" t="n">
        <v>0</v>
      </c>
      <c r="R343" s="2" t="inlineStr"/>
    </row>
    <row r="344" ht="15" customHeight="1">
      <c r="A344" t="inlineStr">
        <is>
          <t>A 56349-2019</t>
        </is>
      </c>
      <c r="B344" s="1" t="n">
        <v>43762</v>
      </c>
      <c r="C344" s="1" t="n">
        <v>45645</v>
      </c>
      <c r="D344" t="inlineStr">
        <is>
          <t>STOCKHOLMS LÄN</t>
        </is>
      </c>
      <c r="E344" t="inlineStr">
        <is>
          <t>NORRTÄLJE</t>
        </is>
      </c>
      <c r="G344" t="n">
        <v>1.5</v>
      </c>
      <c r="H344" t="n">
        <v>0</v>
      </c>
      <c r="I344" t="n">
        <v>0</v>
      </c>
      <c r="J344" t="n">
        <v>0</v>
      </c>
      <c r="K344" t="n">
        <v>0</v>
      </c>
      <c r="L344" t="n">
        <v>0</v>
      </c>
      <c r="M344" t="n">
        <v>0</v>
      </c>
      <c r="N344" t="n">
        <v>0</v>
      </c>
      <c r="O344" t="n">
        <v>0</v>
      </c>
      <c r="P344" t="n">
        <v>0</v>
      </c>
      <c r="Q344" t="n">
        <v>0</v>
      </c>
      <c r="R344" s="2" t="inlineStr"/>
    </row>
    <row r="345" ht="15" customHeight="1">
      <c r="A345" t="inlineStr">
        <is>
          <t>A 57759-2019</t>
        </is>
      </c>
      <c r="B345" s="1" t="n">
        <v>43763</v>
      </c>
      <c r="C345" s="1" t="n">
        <v>45645</v>
      </c>
      <c r="D345" t="inlineStr">
        <is>
          <t>STOCKHOLMS LÄN</t>
        </is>
      </c>
      <c r="E345" t="inlineStr">
        <is>
          <t>NORRTÄLJE</t>
        </is>
      </c>
      <c r="F345" t="inlineStr">
        <is>
          <t>Övriga Aktiebolag</t>
        </is>
      </c>
      <c r="G345" t="n">
        <v>7.3</v>
      </c>
      <c r="H345" t="n">
        <v>0</v>
      </c>
      <c r="I345" t="n">
        <v>0</v>
      </c>
      <c r="J345" t="n">
        <v>0</v>
      </c>
      <c r="K345" t="n">
        <v>0</v>
      </c>
      <c r="L345" t="n">
        <v>0</v>
      </c>
      <c r="M345" t="n">
        <v>0</v>
      </c>
      <c r="N345" t="n">
        <v>0</v>
      </c>
      <c r="O345" t="n">
        <v>0</v>
      </c>
      <c r="P345" t="n">
        <v>0</v>
      </c>
      <c r="Q345" t="n">
        <v>0</v>
      </c>
      <c r="R345" s="2" t="inlineStr"/>
    </row>
    <row r="346" ht="15" customHeight="1">
      <c r="A346" t="inlineStr">
        <is>
          <t>A 57063-2019</t>
        </is>
      </c>
      <c r="B346" s="1" t="n">
        <v>43766</v>
      </c>
      <c r="C346" s="1" t="n">
        <v>45645</v>
      </c>
      <c r="D346" t="inlineStr">
        <is>
          <t>STOCKHOLMS LÄN</t>
        </is>
      </c>
      <c r="E346" t="inlineStr">
        <is>
          <t>NORRTÄLJE</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56950-2019</t>
        </is>
      </c>
      <c r="B347" s="1" t="n">
        <v>43766</v>
      </c>
      <c r="C347" s="1" t="n">
        <v>45645</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57605-2019</t>
        </is>
      </c>
      <c r="B348" s="1" t="n">
        <v>43768</v>
      </c>
      <c r="C348" s="1" t="n">
        <v>45645</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58064-2019</t>
        </is>
      </c>
      <c r="B349" s="1" t="n">
        <v>43769</v>
      </c>
      <c r="C349" s="1" t="n">
        <v>45645</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58631-2019</t>
        </is>
      </c>
      <c r="B350" s="1" t="n">
        <v>43773</v>
      </c>
      <c r="C350" s="1" t="n">
        <v>45645</v>
      </c>
      <c r="D350" t="inlineStr">
        <is>
          <t>STOCKHOLMS LÄN</t>
        </is>
      </c>
      <c r="E350" t="inlineStr">
        <is>
          <t>NORRTÄLJE</t>
        </is>
      </c>
      <c r="G350" t="n">
        <v>6</v>
      </c>
      <c r="H350" t="n">
        <v>0</v>
      </c>
      <c r="I350" t="n">
        <v>0</v>
      </c>
      <c r="J350" t="n">
        <v>0</v>
      </c>
      <c r="K350" t="n">
        <v>0</v>
      </c>
      <c r="L350" t="n">
        <v>0</v>
      </c>
      <c r="M350" t="n">
        <v>0</v>
      </c>
      <c r="N350" t="n">
        <v>0</v>
      </c>
      <c r="O350" t="n">
        <v>0</v>
      </c>
      <c r="P350" t="n">
        <v>0</v>
      </c>
      <c r="Q350" t="n">
        <v>0</v>
      </c>
      <c r="R350" s="2" t="inlineStr"/>
    </row>
    <row r="351" ht="15" customHeight="1">
      <c r="A351" t="inlineStr">
        <is>
          <t>A 60214-2019</t>
        </is>
      </c>
      <c r="B351" s="1" t="n">
        <v>43780</v>
      </c>
      <c r="C351" s="1" t="n">
        <v>45645</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60208-2019</t>
        </is>
      </c>
      <c r="B352" s="1" t="n">
        <v>43780</v>
      </c>
      <c r="C352" s="1" t="n">
        <v>45645</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60842-2019</t>
        </is>
      </c>
      <c r="B353" s="1" t="n">
        <v>43781</v>
      </c>
      <c r="C353" s="1" t="n">
        <v>45645</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60844-2019</t>
        </is>
      </c>
      <c r="B354" s="1" t="n">
        <v>43781</v>
      </c>
      <c r="C354" s="1" t="n">
        <v>45645</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61657-2019</t>
        </is>
      </c>
      <c r="B355" s="1" t="n">
        <v>43784</v>
      </c>
      <c r="C355" s="1" t="n">
        <v>45645</v>
      </c>
      <c r="D355" t="inlineStr">
        <is>
          <t>STOCKHOLMS LÄN</t>
        </is>
      </c>
      <c r="E355" t="inlineStr">
        <is>
          <t>NORRTÄLJE</t>
        </is>
      </c>
      <c r="G355" t="n">
        <v>5</v>
      </c>
      <c r="H355" t="n">
        <v>0</v>
      </c>
      <c r="I355" t="n">
        <v>0</v>
      </c>
      <c r="J355" t="n">
        <v>0</v>
      </c>
      <c r="K355" t="n">
        <v>0</v>
      </c>
      <c r="L355" t="n">
        <v>0</v>
      </c>
      <c r="M355" t="n">
        <v>0</v>
      </c>
      <c r="N355" t="n">
        <v>0</v>
      </c>
      <c r="O355" t="n">
        <v>0</v>
      </c>
      <c r="P355" t="n">
        <v>0</v>
      </c>
      <c r="Q355" t="n">
        <v>0</v>
      </c>
      <c r="R355" s="2" t="inlineStr"/>
    </row>
    <row r="356" ht="15" customHeight="1">
      <c r="A356" t="inlineStr">
        <is>
          <t>A 62980-2019</t>
        </is>
      </c>
      <c r="B356" s="1" t="n">
        <v>43790</v>
      </c>
      <c r="C356" s="1" t="n">
        <v>45645</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63513-2019</t>
        </is>
      </c>
      <c r="B357" s="1" t="n">
        <v>43794</v>
      </c>
      <c r="C357" s="1" t="n">
        <v>45645</v>
      </c>
      <c r="D357" t="inlineStr">
        <is>
          <t>STOCKHOLMS LÄN</t>
        </is>
      </c>
      <c r="E357" t="inlineStr">
        <is>
          <t>NORRTÄLJE</t>
        </is>
      </c>
      <c r="G357" t="n">
        <v>9</v>
      </c>
      <c r="H357" t="n">
        <v>0</v>
      </c>
      <c r="I357" t="n">
        <v>0</v>
      </c>
      <c r="J357" t="n">
        <v>0</v>
      </c>
      <c r="K357" t="n">
        <v>0</v>
      </c>
      <c r="L357" t="n">
        <v>0</v>
      </c>
      <c r="M357" t="n">
        <v>0</v>
      </c>
      <c r="N357" t="n">
        <v>0</v>
      </c>
      <c r="O357" t="n">
        <v>0</v>
      </c>
      <c r="P357" t="n">
        <v>0</v>
      </c>
      <c r="Q357" t="n">
        <v>0</v>
      </c>
      <c r="R357" s="2" t="inlineStr"/>
    </row>
    <row r="358" ht="15" customHeight="1">
      <c r="A358" t="inlineStr">
        <is>
          <t>A 63529-2019</t>
        </is>
      </c>
      <c r="B358" s="1" t="n">
        <v>43794</v>
      </c>
      <c r="C358" s="1" t="n">
        <v>45645</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63495-2019</t>
        </is>
      </c>
      <c r="B359" s="1" t="n">
        <v>43794</v>
      </c>
      <c r="C359" s="1" t="n">
        <v>45645</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63504-2019</t>
        </is>
      </c>
      <c r="B360" s="1" t="n">
        <v>43794</v>
      </c>
      <c r="C360" s="1" t="n">
        <v>45645</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63528-2019</t>
        </is>
      </c>
      <c r="B361" s="1" t="n">
        <v>43794</v>
      </c>
      <c r="C361" s="1" t="n">
        <v>45645</v>
      </c>
      <c r="D361" t="inlineStr">
        <is>
          <t>STOCKHOLMS LÄN</t>
        </is>
      </c>
      <c r="E361" t="inlineStr">
        <is>
          <t>NORRTÄLJE</t>
        </is>
      </c>
      <c r="G361" t="n">
        <v>1.4</v>
      </c>
      <c r="H361" t="n">
        <v>0</v>
      </c>
      <c r="I361" t="n">
        <v>0</v>
      </c>
      <c r="J361" t="n">
        <v>0</v>
      </c>
      <c r="K361" t="n">
        <v>0</v>
      </c>
      <c r="L361" t="n">
        <v>0</v>
      </c>
      <c r="M361" t="n">
        <v>0</v>
      </c>
      <c r="N361" t="n">
        <v>0</v>
      </c>
      <c r="O361" t="n">
        <v>0</v>
      </c>
      <c r="P361" t="n">
        <v>0</v>
      </c>
      <c r="Q361" t="n">
        <v>0</v>
      </c>
      <c r="R361" s="2" t="inlineStr"/>
    </row>
    <row r="362" ht="15" customHeight="1">
      <c r="A362" t="inlineStr">
        <is>
          <t>A 63515-2019</t>
        </is>
      </c>
      <c r="B362" s="1" t="n">
        <v>43794</v>
      </c>
      <c r="C362" s="1" t="n">
        <v>45645</v>
      </c>
      <c r="D362" t="inlineStr">
        <is>
          <t>STOCKHOLMS LÄN</t>
        </is>
      </c>
      <c r="E362" t="inlineStr">
        <is>
          <t>NORRTÄLJE</t>
        </is>
      </c>
      <c r="G362" t="n">
        <v>7.1</v>
      </c>
      <c r="H362" t="n">
        <v>0</v>
      </c>
      <c r="I362" t="n">
        <v>0</v>
      </c>
      <c r="J362" t="n">
        <v>0</v>
      </c>
      <c r="K362" t="n">
        <v>0</v>
      </c>
      <c r="L362" t="n">
        <v>0</v>
      </c>
      <c r="M362" t="n">
        <v>0</v>
      </c>
      <c r="N362" t="n">
        <v>0</v>
      </c>
      <c r="O362" t="n">
        <v>0</v>
      </c>
      <c r="P362" t="n">
        <v>0</v>
      </c>
      <c r="Q362" t="n">
        <v>0</v>
      </c>
      <c r="R362" s="2" t="inlineStr"/>
    </row>
    <row r="363" ht="15" customHeight="1">
      <c r="A363" t="inlineStr">
        <is>
          <t>A 64293-2019</t>
        </is>
      </c>
      <c r="B363" s="1" t="n">
        <v>43797</v>
      </c>
      <c r="C363" s="1" t="n">
        <v>45645</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65640-2019</t>
        </is>
      </c>
      <c r="B364" s="1" t="n">
        <v>43804</v>
      </c>
      <c r="C364" s="1" t="n">
        <v>45645</v>
      </c>
      <c r="D364" t="inlineStr">
        <is>
          <t>STOCKHOLMS LÄN</t>
        </is>
      </c>
      <c r="E364" t="inlineStr">
        <is>
          <t>NORRTÄLJE</t>
        </is>
      </c>
      <c r="G364" t="n">
        <v>0.8</v>
      </c>
      <c r="H364" t="n">
        <v>0</v>
      </c>
      <c r="I364" t="n">
        <v>0</v>
      </c>
      <c r="J364" t="n">
        <v>0</v>
      </c>
      <c r="K364" t="n">
        <v>0</v>
      </c>
      <c r="L364" t="n">
        <v>0</v>
      </c>
      <c r="M364" t="n">
        <v>0</v>
      </c>
      <c r="N364" t="n">
        <v>0</v>
      </c>
      <c r="O364" t="n">
        <v>0</v>
      </c>
      <c r="P364" t="n">
        <v>0</v>
      </c>
      <c r="Q364" t="n">
        <v>0</v>
      </c>
      <c r="R364" s="2" t="inlineStr"/>
    </row>
    <row r="365" ht="15" customHeight="1">
      <c r="A365" t="inlineStr">
        <is>
          <t>A 65998-2019</t>
        </is>
      </c>
      <c r="B365" s="1" t="n">
        <v>43805</v>
      </c>
      <c r="C365" s="1" t="n">
        <v>45645</v>
      </c>
      <c r="D365" t="inlineStr">
        <is>
          <t>STOCKHOLMS LÄN</t>
        </is>
      </c>
      <c r="E365" t="inlineStr">
        <is>
          <t>NORRTÄLJE</t>
        </is>
      </c>
      <c r="G365" t="n">
        <v>6.5</v>
      </c>
      <c r="H365" t="n">
        <v>0</v>
      </c>
      <c r="I365" t="n">
        <v>0</v>
      </c>
      <c r="J365" t="n">
        <v>0</v>
      </c>
      <c r="K365" t="n">
        <v>0</v>
      </c>
      <c r="L365" t="n">
        <v>0</v>
      </c>
      <c r="M365" t="n">
        <v>0</v>
      </c>
      <c r="N365" t="n">
        <v>0</v>
      </c>
      <c r="O365" t="n">
        <v>0</v>
      </c>
      <c r="P365" t="n">
        <v>0</v>
      </c>
      <c r="Q365" t="n">
        <v>0</v>
      </c>
      <c r="R365" s="2" t="inlineStr"/>
    </row>
    <row r="366" ht="15" customHeight="1">
      <c r="A366" t="inlineStr">
        <is>
          <t>A 66604-2019</t>
        </is>
      </c>
      <c r="B366" s="1" t="n">
        <v>43809</v>
      </c>
      <c r="C366" s="1" t="n">
        <v>45645</v>
      </c>
      <c r="D366" t="inlineStr">
        <is>
          <t>STOCKHOLMS LÄN</t>
        </is>
      </c>
      <c r="E366" t="inlineStr">
        <is>
          <t>NORRTÄLJE</t>
        </is>
      </c>
      <c r="G366" t="n">
        <v>2.3</v>
      </c>
      <c r="H366" t="n">
        <v>0</v>
      </c>
      <c r="I366" t="n">
        <v>0</v>
      </c>
      <c r="J366" t="n">
        <v>0</v>
      </c>
      <c r="K366" t="n">
        <v>0</v>
      </c>
      <c r="L366" t="n">
        <v>0</v>
      </c>
      <c r="M366" t="n">
        <v>0</v>
      </c>
      <c r="N366" t="n">
        <v>0</v>
      </c>
      <c r="O366" t="n">
        <v>0</v>
      </c>
      <c r="P366" t="n">
        <v>0</v>
      </c>
      <c r="Q366" t="n">
        <v>0</v>
      </c>
      <c r="R366" s="2" t="inlineStr"/>
    </row>
    <row r="367" ht="15" customHeight="1">
      <c r="A367" t="inlineStr">
        <is>
          <t>A 67158-2019</t>
        </is>
      </c>
      <c r="B367" s="1" t="n">
        <v>43811</v>
      </c>
      <c r="C367" s="1" t="n">
        <v>45645</v>
      </c>
      <c r="D367" t="inlineStr">
        <is>
          <t>STOCKHOLMS LÄN</t>
        </is>
      </c>
      <c r="E367" t="inlineStr">
        <is>
          <t>NORRTÄLJE</t>
        </is>
      </c>
      <c r="G367" t="n">
        <v>4.4</v>
      </c>
      <c r="H367" t="n">
        <v>0</v>
      </c>
      <c r="I367" t="n">
        <v>0</v>
      </c>
      <c r="J367" t="n">
        <v>0</v>
      </c>
      <c r="K367" t="n">
        <v>0</v>
      </c>
      <c r="L367" t="n">
        <v>0</v>
      </c>
      <c r="M367" t="n">
        <v>0</v>
      </c>
      <c r="N367" t="n">
        <v>0</v>
      </c>
      <c r="O367" t="n">
        <v>0</v>
      </c>
      <c r="P367" t="n">
        <v>0</v>
      </c>
      <c r="Q367" t="n">
        <v>0</v>
      </c>
      <c r="R367" s="2" t="inlineStr"/>
    </row>
    <row r="368" ht="15" customHeight="1">
      <c r="A368" t="inlineStr">
        <is>
          <t>A 67324-2019</t>
        </is>
      </c>
      <c r="B368" s="1" t="n">
        <v>43812</v>
      </c>
      <c r="C368" s="1" t="n">
        <v>45645</v>
      </c>
      <c r="D368" t="inlineStr">
        <is>
          <t>STOCKHOLMS LÄN</t>
        </is>
      </c>
      <c r="E368" t="inlineStr">
        <is>
          <t>NORRTÄLJE</t>
        </is>
      </c>
      <c r="G368" t="n">
        <v>7.7</v>
      </c>
      <c r="H368" t="n">
        <v>0</v>
      </c>
      <c r="I368" t="n">
        <v>0</v>
      </c>
      <c r="J368" t="n">
        <v>0</v>
      </c>
      <c r="K368" t="n">
        <v>0</v>
      </c>
      <c r="L368" t="n">
        <v>0</v>
      </c>
      <c r="M368" t="n">
        <v>0</v>
      </c>
      <c r="N368" t="n">
        <v>0</v>
      </c>
      <c r="O368" t="n">
        <v>0</v>
      </c>
      <c r="P368" t="n">
        <v>0</v>
      </c>
      <c r="Q368" t="n">
        <v>0</v>
      </c>
      <c r="R368" s="2" t="inlineStr"/>
    </row>
    <row r="369" ht="15" customHeight="1">
      <c r="A369" t="inlineStr">
        <is>
          <t>A 68865-2019</t>
        </is>
      </c>
      <c r="B369" s="1" t="n">
        <v>43821</v>
      </c>
      <c r="C369" s="1" t="n">
        <v>45645</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1099-2020</t>
        </is>
      </c>
      <c r="B370" s="1" t="n">
        <v>43822</v>
      </c>
      <c r="C370" s="1" t="n">
        <v>45645</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4475-2020</t>
        </is>
      </c>
      <c r="B371" s="1" t="n">
        <v>43849</v>
      </c>
      <c r="C371" s="1" t="n">
        <v>45645</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3882-2020</t>
        </is>
      </c>
      <c r="B372" s="1" t="n">
        <v>43854</v>
      </c>
      <c r="C372" s="1" t="n">
        <v>45645</v>
      </c>
      <c r="D372" t="inlineStr">
        <is>
          <t>STOCKHOLMS LÄN</t>
        </is>
      </c>
      <c r="E372" t="inlineStr">
        <is>
          <t>NORRTÄLJE</t>
        </is>
      </c>
      <c r="G372" t="n">
        <v>5.9</v>
      </c>
      <c r="H372" t="n">
        <v>0</v>
      </c>
      <c r="I372" t="n">
        <v>0</v>
      </c>
      <c r="J372" t="n">
        <v>0</v>
      </c>
      <c r="K372" t="n">
        <v>0</v>
      </c>
      <c r="L372" t="n">
        <v>0</v>
      </c>
      <c r="M372" t="n">
        <v>0</v>
      </c>
      <c r="N372" t="n">
        <v>0</v>
      </c>
      <c r="O372" t="n">
        <v>0</v>
      </c>
      <c r="P372" t="n">
        <v>0</v>
      </c>
      <c r="Q372" t="n">
        <v>0</v>
      </c>
      <c r="R372" s="2" t="inlineStr"/>
    </row>
    <row r="373" ht="15" customHeight="1">
      <c r="A373" t="inlineStr">
        <is>
          <t>A 4094-2020</t>
        </is>
      </c>
      <c r="B373" s="1" t="n">
        <v>43857</v>
      </c>
      <c r="C373" s="1" t="n">
        <v>45645</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4950-2020</t>
        </is>
      </c>
      <c r="B374" s="1" t="n">
        <v>43859</v>
      </c>
      <c r="C374" s="1" t="n">
        <v>45645</v>
      </c>
      <c r="D374" t="inlineStr">
        <is>
          <t>STOCKHOLMS LÄN</t>
        </is>
      </c>
      <c r="E374" t="inlineStr">
        <is>
          <t>NORRTÄLJE</t>
        </is>
      </c>
      <c r="G374" t="n">
        <v>0.4</v>
      </c>
      <c r="H374" t="n">
        <v>0</v>
      </c>
      <c r="I374" t="n">
        <v>0</v>
      </c>
      <c r="J374" t="n">
        <v>0</v>
      </c>
      <c r="K374" t="n">
        <v>0</v>
      </c>
      <c r="L374" t="n">
        <v>0</v>
      </c>
      <c r="M374" t="n">
        <v>0</v>
      </c>
      <c r="N374" t="n">
        <v>0</v>
      </c>
      <c r="O374" t="n">
        <v>0</v>
      </c>
      <c r="P374" t="n">
        <v>0</v>
      </c>
      <c r="Q374" t="n">
        <v>0</v>
      </c>
      <c r="R374" s="2" t="inlineStr"/>
    </row>
    <row r="375" ht="15" customHeight="1">
      <c r="A375" t="inlineStr">
        <is>
          <t>A 5084-2020</t>
        </is>
      </c>
      <c r="B375" s="1" t="n">
        <v>43859</v>
      </c>
      <c r="C375" s="1" t="n">
        <v>45645</v>
      </c>
      <c r="D375" t="inlineStr">
        <is>
          <t>STOCKHOLMS LÄN</t>
        </is>
      </c>
      <c r="E375" t="inlineStr">
        <is>
          <t>NORRTÄLJE</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4952-2020</t>
        </is>
      </c>
      <c r="B376" s="1" t="n">
        <v>43859</v>
      </c>
      <c r="C376" s="1" t="n">
        <v>45645</v>
      </c>
      <c r="D376" t="inlineStr">
        <is>
          <t>STOCKHOLMS LÄN</t>
        </is>
      </c>
      <c r="E376" t="inlineStr">
        <is>
          <t>NORRTÄLJE</t>
        </is>
      </c>
      <c r="G376" t="n">
        <v>0.3</v>
      </c>
      <c r="H376" t="n">
        <v>0</v>
      </c>
      <c r="I376" t="n">
        <v>0</v>
      </c>
      <c r="J376" t="n">
        <v>0</v>
      </c>
      <c r="K376" t="n">
        <v>0</v>
      </c>
      <c r="L376" t="n">
        <v>0</v>
      </c>
      <c r="M376" t="n">
        <v>0</v>
      </c>
      <c r="N376" t="n">
        <v>0</v>
      </c>
      <c r="O376" t="n">
        <v>0</v>
      </c>
      <c r="P376" t="n">
        <v>0</v>
      </c>
      <c r="Q376" t="n">
        <v>0</v>
      </c>
      <c r="R376" s="2" t="inlineStr"/>
    </row>
    <row r="377" ht="15" customHeight="1">
      <c r="A377" t="inlineStr">
        <is>
          <t>A 5735-2020</t>
        </is>
      </c>
      <c r="B377" s="1" t="n">
        <v>43863</v>
      </c>
      <c r="C377" s="1" t="n">
        <v>45645</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5733-2020</t>
        </is>
      </c>
      <c r="B378" s="1" t="n">
        <v>43863</v>
      </c>
      <c r="C378" s="1" t="n">
        <v>45645</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5739-2020</t>
        </is>
      </c>
      <c r="B379" s="1" t="n">
        <v>43863</v>
      </c>
      <c r="C379" s="1" t="n">
        <v>45645</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7471-2020</t>
        </is>
      </c>
      <c r="B380" s="1" t="n">
        <v>43871</v>
      </c>
      <c r="C380" s="1" t="n">
        <v>45645</v>
      </c>
      <c r="D380" t="inlineStr">
        <is>
          <t>STOCKHOLMS LÄN</t>
        </is>
      </c>
      <c r="E380" t="inlineStr">
        <is>
          <t>NORRTÄLJE</t>
        </is>
      </c>
      <c r="G380" t="n">
        <v>7.8</v>
      </c>
      <c r="H380" t="n">
        <v>0</v>
      </c>
      <c r="I380" t="n">
        <v>0</v>
      </c>
      <c r="J380" t="n">
        <v>0</v>
      </c>
      <c r="K380" t="n">
        <v>0</v>
      </c>
      <c r="L380" t="n">
        <v>0</v>
      </c>
      <c r="M380" t="n">
        <v>0</v>
      </c>
      <c r="N380" t="n">
        <v>0</v>
      </c>
      <c r="O380" t="n">
        <v>0</v>
      </c>
      <c r="P380" t="n">
        <v>0</v>
      </c>
      <c r="Q380" t="n">
        <v>0</v>
      </c>
      <c r="R380" s="2" t="inlineStr"/>
    </row>
    <row r="381" ht="15" customHeight="1">
      <c r="A381" t="inlineStr">
        <is>
          <t>A 9845-2020</t>
        </is>
      </c>
      <c r="B381" s="1" t="n">
        <v>43881</v>
      </c>
      <c r="C381" s="1" t="n">
        <v>45645</v>
      </c>
      <c r="D381" t="inlineStr">
        <is>
          <t>STOCKHOLMS LÄN</t>
        </is>
      </c>
      <c r="E381" t="inlineStr">
        <is>
          <t>NORRTÄLJE</t>
        </is>
      </c>
      <c r="G381" t="n">
        <v>0.4</v>
      </c>
      <c r="H381" t="n">
        <v>0</v>
      </c>
      <c r="I381" t="n">
        <v>0</v>
      </c>
      <c r="J381" t="n">
        <v>0</v>
      </c>
      <c r="K381" t="n">
        <v>0</v>
      </c>
      <c r="L381" t="n">
        <v>0</v>
      </c>
      <c r="M381" t="n">
        <v>0</v>
      </c>
      <c r="N381" t="n">
        <v>0</v>
      </c>
      <c r="O381" t="n">
        <v>0</v>
      </c>
      <c r="P381" t="n">
        <v>0</v>
      </c>
      <c r="Q381" t="n">
        <v>0</v>
      </c>
      <c r="R381" s="2" t="inlineStr"/>
    </row>
    <row r="382" ht="15" customHeight="1">
      <c r="A382" t="inlineStr">
        <is>
          <t>A 10618-2020</t>
        </is>
      </c>
      <c r="B382" s="1" t="n">
        <v>43887</v>
      </c>
      <c r="C382" s="1" t="n">
        <v>45645</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11184-2020</t>
        </is>
      </c>
      <c r="B383" s="1" t="n">
        <v>43892</v>
      </c>
      <c r="C383" s="1" t="n">
        <v>45645</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11576-2020</t>
        </is>
      </c>
      <c r="B384" s="1" t="n">
        <v>43893</v>
      </c>
      <c r="C384" s="1" t="n">
        <v>45645</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12113-2020</t>
        </is>
      </c>
      <c r="B385" s="1" t="n">
        <v>43895</v>
      </c>
      <c r="C385" s="1" t="n">
        <v>45645</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12970-2020</t>
        </is>
      </c>
      <c r="B386" s="1" t="n">
        <v>43900</v>
      </c>
      <c r="C386" s="1" t="n">
        <v>45645</v>
      </c>
      <c r="D386" t="inlineStr">
        <is>
          <t>STOCKHOLMS LÄN</t>
        </is>
      </c>
      <c r="E386" t="inlineStr">
        <is>
          <t>NORRTÄLJE</t>
        </is>
      </c>
      <c r="F386" t="inlineStr">
        <is>
          <t>Kommuner</t>
        </is>
      </c>
      <c r="G386" t="n">
        <v>3</v>
      </c>
      <c r="H386" t="n">
        <v>0</v>
      </c>
      <c r="I386" t="n">
        <v>0</v>
      </c>
      <c r="J386" t="n">
        <v>0</v>
      </c>
      <c r="K386" t="n">
        <v>0</v>
      </c>
      <c r="L386" t="n">
        <v>0</v>
      </c>
      <c r="M386" t="n">
        <v>0</v>
      </c>
      <c r="N386" t="n">
        <v>0</v>
      </c>
      <c r="O386" t="n">
        <v>0</v>
      </c>
      <c r="P386" t="n">
        <v>0</v>
      </c>
      <c r="Q386" t="n">
        <v>0</v>
      </c>
      <c r="R386" s="2" t="inlineStr"/>
    </row>
    <row r="387" ht="15" customHeight="1">
      <c r="A387" t="inlineStr">
        <is>
          <t>A 13230-2020</t>
        </is>
      </c>
      <c r="B387" s="1" t="n">
        <v>43901</v>
      </c>
      <c r="C387" s="1" t="n">
        <v>45645</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13287-2020</t>
        </is>
      </c>
      <c r="B388" s="1" t="n">
        <v>43901</v>
      </c>
      <c r="C388" s="1" t="n">
        <v>45645</v>
      </c>
      <c r="D388" t="inlineStr">
        <is>
          <t>STOCKHOLMS LÄN</t>
        </is>
      </c>
      <c r="E388" t="inlineStr">
        <is>
          <t>NORRTÄLJE</t>
        </is>
      </c>
      <c r="F388" t="inlineStr">
        <is>
          <t>Kommuner</t>
        </is>
      </c>
      <c r="G388" t="n">
        <v>3.2</v>
      </c>
      <c r="H388" t="n">
        <v>0</v>
      </c>
      <c r="I388" t="n">
        <v>0</v>
      </c>
      <c r="J388" t="n">
        <v>0</v>
      </c>
      <c r="K388" t="n">
        <v>0</v>
      </c>
      <c r="L388" t="n">
        <v>0</v>
      </c>
      <c r="M388" t="n">
        <v>0</v>
      </c>
      <c r="N388" t="n">
        <v>0</v>
      </c>
      <c r="O388" t="n">
        <v>0</v>
      </c>
      <c r="P388" t="n">
        <v>0</v>
      </c>
      <c r="Q388" t="n">
        <v>0</v>
      </c>
      <c r="R388" s="2" t="inlineStr"/>
    </row>
    <row r="389" ht="15" customHeight="1">
      <c r="A389" t="inlineStr">
        <is>
          <t>A 13281-2020</t>
        </is>
      </c>
      <c r="B389" s="1" t="n">
        <v>43901</v>
      </c>
      <c r="C389" s="1" t="n">
        <v>45645</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13501-2020</t>
        </is>
      </c>
      <c r="B390" s="1" t="n">
        <v>43902</v>
      </c>
      <c r="C390" s="1" t="n">
        <v>45645</v>
      </c>
      <c r="D390" t="inlineStr">
        <is>
          <t>STOCKHOLMS LÄN</t>
        </is>
      </c>
      <c r="E390" t="inlineStr">
        <is>
          <t>NORRTÄLJE</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13506-2020</t>
        </is>
      </c>
      <c r="B391" s="1" t="n">
        <v>43902</v>
      </c>
      <c r="C391" s="1" t="n">
        <v>45645</v>
      </c>
      <c r="D391" t="inlineStr">
        <is>
          <t>STOCKHOLMS LÄN</t>
        </is>
      </c>
      <c r="E391" t="inlineStr">
        <is>
          <t>NORRTÄLJE</t>
        </is>
      </c>
      <c r="G391" t="n">
        <v>5.7</v>
      </c>
      <c r="H391" t="n">
        <v>0</v>
      </c>
      <c r="I391" t="n">
        <v>0</v>
      </c>
      <c r="J391" t="n">
        <v>0</v>
      </c>
      <c r="K391" t="n">
        <v>0</v>
      </c>
      <c r="L391" t="n">
        <v>0</v>
      </c>
      <c r="M391" t="n">
        <v>0</v>
      </c>
      <c r="N391" t="n">
        <v>0</v>
      </c>
      <c r="O391" t="n">
        <v>0</v>
      </c>
      <c r="P391" t="n">
        <v>0</v>
      </c>
      <c r="Q391" t="n">
        <v>0</v>
      </c>
      <c r="R391" s="2" t="inlineStr"/>
    </row>
    <row r="392" ht="15" customHeight="1">
      <c r="A392" t="inlineStr">
        <is>
          <t>A 14525-2020</t>
        </is>
      </c>
      <c r="B392" s="1" t="n">
        <v>43908</v>
      </c>
      <c r="C392" s="1" t="n">
        <v>45645</v>
      </c>
      <c r="D392" t="inlineStr">
        <is>
          <t>STOCKHOLMS LÄN</t>
        </is>
      </c>
      <c r="E392" t="inlineStr">
        <is>
          <t>NORRTÄLJE</t>
        </is>
      </c>
      <c r="G392" t="n">
        <v>10.2</v>
      </c>
      <c r="H392" t="n">
        <v>0</v>
      </c>
      <c r="I392" t="n">
        <v>0</v>
      </c>
      <c r="J392" t="n">
        <v>0</v>
      </c>
      <c r="K392" t="n">
        <v>0</v>
      </c>
      <c r="L392" t="n">
        <v>0</v>
      </c>
      <c r="M392" t="n">
        <v>0</v>
      </c>
      <c r="N392" t="n">
        <v>0</v>
      </c>
      <c r="O392" t="n">
        <v>0</v>
      </c>
      <c r="P392" t="n">
        <v>0</v>
      </c>
      <c r="Q392" t="n">
        <v>0</v>
      </c>
      <c r="R392" s="2" t="inlineStr"/>
    </row>
    <row r="393" ht="15" customHeight="1">
      <c r="A393" t="inlineStr">
        <is>
          <t>A 14831-2020</t>
        </is>
      </c>
      <c r="B393" s="1" t="n">
        <v>43909</v>
      </c>
      <c r="C393" s="1" t="n">
        <v>45645</v>
      </c>
      <c r="D393" t="inlineStr">
        <is>
          <t>STOCKHOLMS LÄN</t>
        </is>
      </c>
      <c r="E393" t="inlineStr">
        <is>
          <t>NORRTÄLJE</t>
        </is>
      </c>
      <c r="G393" t="n">
        <v>11.4</v>
      </c>
      <c r="H393" t="n">
        <v>0</v>
      </c>
      <c r="I393" t="n">
        <v>0</v>
      </c>
      <c r="J393" t="n">
        <v>0</v>
      </c>
      <c r="K393" t="n">
        <v>0</v>
      </c>
      <c r="L393" t="n">
        <v>0</v>
      </c>
      <c r="M393" t="n">
        <v>0</v>
      </c>
      <c r="N393" t="n">
        <v>0</v>
      </c>
      <c r="O393" t="n">
        <v>0</v>
      </c>
      <c r="P393" t="n">
        <v>0</v>
      </c>
      <c r="Q393" t="n">
        <v>0</v>
      </c>
      <c r="R393" s="2" t="inlineStr"/>
    </row>
    <row r="394" ht="15" customHeight="1">
      <c r="A394" t="inlineStr">
        <is>
          <t>A 15663-2020</t>
        </is>
      </c>
      <c r="B394" s="1" t="n">
        <v>43915</v>
      </c>
      <c r="C394" s="1" t="n">
        <v>45645</v>
      </c>
      <c r="D394" t="inlineStr">
        <is>
          <t>STOCKHOLMS LÄN</t>
        </is>
      </c>
      <c r="E394" t="inlineStr">
        <is>
          <t>NORRTÄLJE</t>
        </is>
      </c>
      <c r="G394" t="n">
        <v>11.1</v>
      </c>
      <c r="H394" t="n">
        <v>0</v>
      </c>
      <c r="I394" t="n">
        <v>0</v>
      </c>
      <c r="J394" t="n">
        <v>0</v>
      </c>
      <c r="K394" t="n">
        <v>0</v>
      </c>
      <c r="L394" t="n">
        <v>0</v>
      </c>
      <c r="M394" t="n">
        <v>0</v>
      </c>
      <c r="N394" t="n">
        <v>0</v>
      </c>
      <c r="O394" t="n">
        <v>0</v>
      </c>
      <c r="P394" t="n">
        <v>0</v>
      </c>
      <c r="Q394" t="n">
        <v>0</v>
      </c>
      <c r="R394" s="2" t="inlineStr"/>
    </row>
    <row r="395" ht="15" customHeight="1">
      <c r="A395" t="inlineStr">
        <is>
          <t>A 16273-2020</t>
        </is>
      </c>
      <c r="B395" s="1" t="n">
        <v>43917</v>
      </c>
      <c r="C395" s="1" t="n">
        <v>45645</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17965-2020</t>
        </is>
      </c>
      <c r="B396" s="1" t="n">
        <v>43925</v>
      </c>
      <c r="C396" s="1" t="n">
        <v>45645</v>
      </c>
      <c r="D396" t="inlineStr">
        <is>
          <t>STOCKHOLMS LÄN</t>
        </is>
      </c>
      <c r="E396" t="inlineStr">
        <is>
          <t>NORRTÄLJE</t>
        </is>
      </c>
      <c r="G396" t="n">
        <v>0.7</v>
      </c>
      <c r="H396" t="n">
        <v>0</v>
      </c>
      <c r="I396" t="n">
        <v>0</v>
      </c>
      <c r="J396" t="n">
        <v>0</v>
      </c>
      <c r="K396" t="n">
        <v>0</v>
      </c>
      <c r="L396" t="n">
        <v>0</v>
      </c>
      <c r="M396" t="n">
        <v>0</v>
      </c>
      <c r="N396" t="n">
        <v>0</v>
      </c>
      <c r="O396" t="n">
        <v>0</v>
      </c>
      <c r="P396" t="n">
        <v>0</v>
      </c>
      <c r="Q396" t="n">
        <v>0</v>
      </c>
      <c r="R396" s="2" t="inlineStr"/>
    </row>
    <row r="397" ht="15" customHeight="1">
      <c r="A397" t="inlineStr">
        <is>
          <t>A 19258-2020</t>
        </is>
      </c>
      <c r="B397" s="1" t="n">
        <v>43937</v>
      </c>
      <c r="C397" s="1" t="n">
        <v>45645</v>
      </c>
      <c r="D397" t="inlineStr">
        <is>
          <t>STOCKHOLMS LÄN</t>
        </is>
      </c>
      <c r="E397" t="inlineStr">
        <is>
          <t>NORRTÄLJE</t>
        </is>
      </c>
      <c r="F397" t="inlineStr">
        <is>
          <t>Övriga statliga verk och myndigheter</t>
        </is>
      </c>
      <c r="G397" t="n">
        <v>2.9</v>
      </c>
      <c r="H397" t="n">
        <v>0</v>
      </c>
      <c r="I397" t="n">
        <v>0</v>
      </c>
      <c r="J397" t="n">
        <v>0</v>
      </c>
      <c r="K397" t="n">
        <v>0</v>
      </c>
      <c r="L397" t="n">
        <v>0</v>
      </c>
      <c r="M397" t="n">
        <v>0</v>
      </c>
      <c r="N397" t="n">
        <v>0</v>
      </c>
      <c r="O397" t="n">
        <v>0</v>
      </c>
      <c r="P397" t="n">
        <v>0</v>
      </c>
      <c r="Q397" t="n">
        <v>0</v>
      </c>
      <c r="R397" s="2" t="inlineStr"/>
    </row>
    <row r="398" ht="15" customHeight="1">
      <c r="A398" t="inlineStr">
        <is>
          <t>A 20257-2020</t>
        </is>
      </c>
      <c r="B398" s="1" t="n">
        <v>43944</v>
      </c>
      <c r="C398" s="1" t="n">
        <v>45645</v>
      </c>
      <c r="D398" t="inlineStr">
        <is>
          <t>STOCKHOLMS LÄN</t>
        </is>
      </c>
      <c r="E398" t="inlineStr">
        <is>
          <t>NORRTÄLJE</t>
        </is>
      </c>
      <c r="G398" t="n">
        <v>80.09999999999999</v>
      </c>
      <c r="H398" t="n">
        <v>0</v>
      </c>
      <c r="I398" t="n">
        <v>0</v>
      </c>
      <c r="J398" t="n">
        <v>0</v>
      </c>
      <c r="K398" t="n">
        <v>0</v>
      </c>
      <c r="L398" t="n">
        <v>0</v>
      </c>
      <c r="M398" t="n">
        <v>0</v>
      </c>
      <c r="N398" t="n">
        <v>0</v>
      </c>
      <c r="O398" t="n">
        <v>0</v>
      </c>
      <c r="P398" t="n">
        <v>0</v>
      </c>
      <c r="Q398" t="n">
        <v>0</v>
      </c>
      <c r="R398" s="2" t="inlineStr"/>
    </row>
    <row r="399" ht="15" customHeight="1">
      <c r="A399" t="inlineStr">
        <is>
          <t>A 21849-2020</t>
        </is>
      </c>
      <c r="B399" s="1" t="n">
        <v>43958</v>
      </c>
      <c r="C399" s="1" t="n">
        <v>45645</v>
      </c>
      <c r="D399" t="inlineStr">
        <is>
          <t>STOCKHOLMS LÄN</t>
        </is>
      </c>
      <c r="E399" t="inlineStr">
        <is>
          <t>NORRTÄLJE</t>
        </is>
      </c>
      <c r="G399" t="n">
        <v>2.1</v>
      </c>
      <c r="H399" t="n">
        <v>0</v>
      </c>
      <c r="I399" t="n">
        <v>0</v>
      </c>
      <c r="J399" t="n">
        <v>0</v>
      </c>
      <c r="K399" t="n">
        <v>0</v>
      </c>
      <c r="L399" t="n">
        <v>0</v>
      </c>
      <c r="M399" t="n">
        <v>0</v>
      </c>
      <c r="N399" t="n">
        <v>0</v>
      </c>
      <c r="O399" t="n">
        <v>0</v>
      </c>
      <c r="P399" t="n">
        <v>0</v>
      </c>
      <c r="Q399" t="n">
        <v>0</v>
      </c>
      <c r="R399" s="2" t="inlineStr"/>
    </row>
    <row r="400" ht="15" customHeight="1">
      <c r="A400" t="inlineStr">
        <is>
          <t>A 21875-2020</t>
        </is>
      </c>
      <c r="B400" s="1" t="n">
        <v>43958</v>
      </c>
      <c r="C400" s="1" t="n">
        <v>45645</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23751-2020</t>
        </is>
      </c>
      <c r="B401" s="1" t="n">
        <v>43970</v>
      </c>
      <c r="C401" s="1" t="n">
        <v>45645</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24136-2020</t>
        </is>
      </c>
      <c r="B402" s="1" t="n">
        <v>43973</v>
      </c>
      <c r="C402" s="1" t="n">
        <v>45645</v>
      </c>
      <c r="D402" t="inlineStr">
        <is>
          <t>STOCKHOLMS LÄN</t>
        </is>
      </c>
      <c r="E402" t="inlineStr">
        <is>
          <t>NORRTÄLJE</t>
        </is>
      </c>
      <c r="G402" t="n">
        <v>4.1</v>
      </c>
      <c r="H402" t="n">
        <v>0</v>
      </c>
      <c r="I402" t="n">
        <v>0</v>
      </c>
      <c r="J402" t="n">
        <v>0</v>
      </c>
      <c r="K402" t="n">
        <v>0</v>
      </c>
      <c r="L402" t="n">
        <v>0</v>
      </c>
      <c r="M402" t="n">
        <v>0</v>
      </c>
      <c r="N402" t="n">
        <v>0</v>
      </c>
      <c r="O402" t="n">
        <v>0</v>
      </c>
      <c r="P402" t="n">
        <v>0</v>
      </c>
      <c r="Q402" t="n">
        <v>0</v>
      </c>
      <c r="R402" s="2" t="inlineStr"/>
    </row>
    <row r="403" ht="15" customHeight="1">
      <c r="A403" t="inlineStr">
        <is>
          <t>A 25584-2020</t>
        </is>
      </c>
      <c r="B403" s="1" t="n">
        <v>43983</v>
      </c>
      <c r="C403" s="1" t="n">
        <v>45645</v>
      </c>
      <c r="D403" t="inlineStr">
        <is>
          <t>STOCKHOLMS LÄN</t>
        </is>
      </c>
      <c r="E403" t="inlineStr">
        <is>
          <t>NORRTÄLJE</t>
        </is>
      </c>
      <c r="G403" t="n">
        <v>2</v>
      </c>
      <c r="H403" t="n">
        <v>0</v>
      </c>
      <c r="I403" t="n">
        <v>0</v>
      </c>
      <c r="J403" t="n">
        <v>0</v>
      </c>
      <c r="K403" t="n">
        <v>0</v>
      </c>
      <c r="L403" t="n">
        <v>0</v>
      </c>
      <c r="M403" t="n">
        <v>0</v>
      </c>
      <c r="N403" t="n">
        <v>0</v>
      </c>
      <c r="O403" t="n">
        <v>0</v>
      </c>
      <c r="P403" t="n">
        <v>0</v>
      </c>
      <c r="Q403" t="n">
        <v>0</v>
      </c>
      <c r="R403" s="2" t="inlineStr"/>
    </row>
    <row r="404" ht="15" customHeight="1">
      <c r="A404" t="inlineStr">
        <is>
          <t>A 25589-2020</t>
        </is>
      </c>
      <c r="B404" s="1" t="n">
        <v>43983</v>
      </c>
      <c r="C404" s="1" t="n">
        <v>45645</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25897-2020</t>
        </is>
      </c>
      <c r="B405" s="1" t="n">
        <v>43984</v>
      </c>
      <c r="C405" s="1" t="n">
        <v>45645</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30600-2020</t>
        </is>
      </c>
      <c r="B406" s="1" t="n">
        <v>44008</v>
      </c>
      <c r="C406" s="1" t="n">
        <v>45645</v>
      </c>
      <c r="D406" t="inlineStr">
        <is>
          <t>STOCKHOLMS LÄN</t>
        </is>
      </c>
      <c r="E406" t="inlineStr">
        <is>
          <t>NORRTÄLJE</t>
        </is>
      </c>
      <c r="G406" t="n">
        <v>3.3</v>
      </c>
      <c r="H406" t="n">
        <v>0</v>
      </c>
      <c r="I406" t="n">
        <v>0</v>
      </c>
      <c r="J406" t="n">
        <v>0</v>
      </c>
      <c r="K406" t="n">
        <v>0</v>
      </c>
      <c r="L406" t="n">
        <v>0</v>
      </c>
      <c r="M406" t="n">
        <v>0</v>
      </c>
      <c r="N406" t="n">
        <v>0</v>
      </c>
      <c r="O406" t="n">
        <v>0</v>
      </c>
      <c r="P406" t="n">
        <v>0</v>
      </c>
      <c r="Q406" t="n">
        <v>0</v>
      </c>
      <c r="R406" s="2" t="inlineStr"/>
    </row>
    <row r="407" ht="15" customHeight="1">
      <c r="A407" t="inlineStr">
        <is>
          <t>A 31783-2020</t>
        </is>
      </c>
      <c r="B407" s="1" t="n">
        <v>44014</v>
      </c>
      <c r="C407" s="1" t="n">
        <v>45645</v>
      </c>
      <c r="D407" t="inlineStr">
        <is>
          <t>STOCKHOLMS LÄN</t>
        </is>
      </c>
      <c r="E407" t="inlineStr">
        <is>
          <t>NORRTÄLJE</t>
        </is>
      </c>
      <c r="G407" t="n">
        <v>4.8</v>
      </c>
      <c r="H407" t="n">
        <v>0</v>
      </c>
      <c r="I407" t="n">
        <v>0</v>
      </c>
      <c r="J407" t="n">
        <v>0</v>
      </c>
      <c r="K407" t="n">
        <v>0</v>
      </c>
      <c r="L407" t="n">
        <v>0</v>
      </c>
      <c r="M407" t="n">
        <v>0</v>
      </c>
      <c r="N407" t="n">
        <v>0</v>
      </c>
      <c r="O407" t="n">
        <v>0</v>
      </c>
      <c r="P407" t="n">
        <v>0</v>
      </c>
      <c r="Q407" t="n">
        <v>0</v>
      </c>
      <c r="R407" s="2" t="inlineStr"/>
    </row>
    <row r="408" ht="15" customHeight="1">
      <c r="A408" t="inlineStr">
        <is>
          <t>A 33749-2020</t>
        </is>
      </c>
      <c r="B408" s="1" t="n">
        <v>44026</v>
      </c>
      <c r="C408" s="1" t="n">
        <v>45645</v>
      </c>
      <c r="D408" t="inlineStr">
        <is>
          <t>STOCKHOLMS LÄN</t>
        </is>
      </c>
      <c r="E408" t="inlineStr">
        <is>
          <t>NORRTÄLJE</t>
        </is>
      </c>
      <c r="F408" t="inlineStr">
        <is>
          <t>Holmen skog AB</t>
        </is>
      </c>
      <c r="G408" t="n">
        <v>0.5</v>
      </c>
      <c r="H408" t="n">
        <v>0</v>
      </c>
      <c r="I408" t="n">
        <v>0</v>
      </c>
      <c r="J408" t="n">
        <v>0</v>
      </c>
      <c r="K408" t="n">
        <v>0</v>
      </c>
      <c r="L408" t="n">
        <v>0</v>
      </c>
      <c r="M408" t="n">
        <v>0</v>
      </c>
      <c r="N408" t="n">
        <v>0</v>
      </c>
      <c r="O408" t="n">
        <v>0</v>
      </c>
      <c r="P408" t="n">
        <v>0</v>
      </c>
      <c r="Q408" t="n">
        <v>0</v>
      </c>
      <c r="R408" s="2" t="inlineStr"/>
    </row>
    <row r="409" ht="15" customHeight="1">
      <c r="A409" t="inlineStr">
        <is>
          <t>A 34651-2020</t>
        </is>
      </c>
      <c r="B409" s="1" t="n">
        <v>44034</v>
      </c>
      <c r="C409" s="1" t="n">
        <v>45645</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34650-2020</t>
        </is>
      </c>
      <c r="B410" s="1" t="n">
        <v>44034</v>
      </c>
      <c r="C410" s="1" t="n">
        <v>45645</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36314-2020</t>
        </is>
      </c>
      <c r="B411" s="1" t="n">
        <v>44049</v>
      </c>
      <c r="C411" s="1" t="n">
        <v>45645</v>
      </c>
      <c r="D411" t="inlineStr">
        <is>
          <t>STOCKHOLMS LÄN</t>
        </is>
      </c>
      <c r="E411" t="inlineStr">
        <is>
          <t>NORRTÄLJE</t>
        </is>
      </c>
      <c r="G411" t="n">
        <v>5</v>
      </c>
      <c r="H411" t="n">
        <v>0</v>
      </c>
      <c r="I411" t="n">
        <v>0</v>
      </c>
      <c r="J411" t="n">
        <v>0</v>
      </c>
      <c r="K411" t="n">
        <v>0</v>
      </c>
      <c r="L411" t="n">
        <v>0</v>
      </c>
      <c r="M411" t="n">
        <v>0</v>
      </c>
      <c r="N411" t="n">
        <v>0</v>
      </c>
      <c r="O411" t="n">
        <v>0</v>
      </c>
      <c r="P411" t="n">
        <v>0</v>
      </c>
      <c r="Q411" t="n">
        <v>0</v>
      </c>
      <c r="R411" s="2" t="inlineStr"/>
    </row>
    <row r="412" ht="15" customHeight="1">
      <c r="A412" t="inlineStr">
        <is>
          <t>A 36359-2020</t>
        </is>
      </c>
      <c r="B412" s="1" t="n">
        <v>44049</v>
      </c>
      <c r="C412" s="1" t="n">
        <v>45645</v>
      </c>
      <c r="D412" t="inlineStr">
        <is>
          <t>STOCKHOLMS LÄN</t>
        </is>
      </c>
      <c r="E412" t="inlineStr">
        <is>
          <t>NORRTÄLJE</t>
        </is>
      </c>
      <c r="G412" t="n">
        <v>6.5</v>
      </c>
      <c r="H412" t="n">
        <v>0</v>
      </c>
      <c r="I412" t="n">
        <v>0</v>
      </c>
      <c r="J412" t="n">
        <v>0</v>
      </c>
      <c r="K412" t="n">
        <v>0</v>
      </c>
      <c r="L412" t="n">
        <v>0</v>
      </c>
      <c r="M412" t="n">
        <v>0</v>
      </c>
      <c r="N412" t="n">
        <v>0</v>
      </c>
      <c r="O412" t="n">
        <v>0</v>
      </c>
      <c r="P412" t="n">
        <v>0</v>
      </c>
      <c r="Q412" t="n">
        <v>0</v>
      </c>
      <c r="R412" s="2" t="inlineStr"/>
    </row>
    <row r="413" ht="15" customHeight="1">
      <c r="A413" t="inlineStr">
        <is>
          <t>A 40837-2020</t>
        </is>
      </c>
      <c r="B413" s="1" t="n">
        <v>44067</v>
      </c>
      <c r="C413" s="1" t="n">
        <v>45645</v>
      </c>
      <c r="D413" t="inlineStr">
        <is>
          <t>STOCKHOLMS LÄN</t>
        </is>
      </c>
      <c r="E413" t="inlineStr">
        <is>
          <t>NORRTÄLJE</t>
        </is>
      </c>
      <c r="G413" t="n">
        <v>20.6</v>
      </c>
      <c r="H413" t="n">
        <v>0</v>
      </c>
      <c r="I413" t="n">
        <v>0</v>
      </c>
      <c r="J413" t="n">
        <v>0</v>
      </c>
      <c r="K413" t="n">
        <v>0</v>
      </c>
      <c r="L413" t="n">
        <v>0</v>
      </c>
      <c r="M413" t="n">
        <v>0</v>
      </c>
      <c r="N413" t="n">
        <v>0</v>
      </c>
      <c r="O413" t="n">
        <v>0</v>
      </c>
      <c r="P413" t="n">
        <v>0</v>
      </c>
      <c r="Q413" t="n">
        <v>0</v>
      </c>
      <c r="R413" s="2" t="inlineStr"/>
    </row>
    <row r="414" ht="15" customHeight="1">
      <c r="A414" t="inlineStr">
        <is>
          <t>A 40661-2020</t>
        </is>
      </c>
      <c r="B414" s="1" t="n">
        <v>44069</v>
      </c>
      <c r="C414" s="1" t="n">
        <v>45645</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42247-2020</t>
        </is>
      </c>
      <c r="B415" s="1" t="n">
        <v>44074</v>
      </c>
      <c r="C415" s="1" t="n">
        <v>45645</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42256-2020</t>
        </is>
      </c>
      <c r="B416" s="1" t="n">
        <v>44074</v>
      </c>
      <c r="C416" s="1" t="n">
        <v>45645</v>
      </c>
      <c r="D416" t="inlineStr">
        <is>
          <t>STOCKHOLMS LÄN</t>
        </is>
      </c>
      <c r="E416" t="inlineStr">
        <is>
          <t>NORRTÄLJE</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41694-2020</t>
        </is>
      </c>
      <c r="B417" s="1" t="n">
        <v>44074</v>
      </c>
      <c r="C417" s="1" t="n">
        <v>45645</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42365-2020</t>
        </is>
      </c>
      <c r="B418" s="1" t="n">
        <v>44076</v>
      </c>
      <c r="C418" s="1" t="n">
        <v>45645</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42361-2020</t>
        </is>
      </c>
      <c r="B419" s="1" t="n">
        <v>44076</v>
      </c>
      <c r="C419" s="1" t="n">
        <v>45645</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42455-2020</t>
        </is>
      </c>
      <c r="B420" s="1" t="n">
        <v>44076</v>
      </c>
      <c r="C420" s="1" t="n">
        <v>45645</v>
      </c>
      <c r="D420" t="inlineStr">
        <is>
          <t>STOCKHOLMS LÄN</t>
        </is>
      </c>
      <c r="E420" t="inlineStr">
        <is>
          <t>NORRTÄLJE</t>
        </is>
      </c>
      <c r="G420" t="n">
        <v>1.9</v>
      </c>
      <c r="H420" t="n">
        <v>0</v>
      </c>
      <c r="I420" t="n">
        <v>0</v>
      </c>
      <c r="J420" t="n">
        <v>0</v>
      </c>
      <c r="K420" t="n">
        <v>0</v>
      </c>
      <c r="L420" t="n">
        <v>0</v>
      </c>
      <c r="M420" t="n">
        <v>0</v>
      </c>
      <c r="N420" t="n">
        <v>0</v>
      </c>
      <c r="O420" t="n">
        <v>0</v>
      </c>
      <c r="P420" t="n">
        <v>0</v>
      </c>
      <c r="Q420" t="n">
        <v>0</v>
      </c>
      <c r="R420" s="2" t="inlineStr"/>
    </row>
    <row r="421" ht="15" customHeight="1">
      <c r="A421" t="inlineStr">
        <is>
          <t>A 43751-2020</t>
        </is>
      </c>
      <c r="B421" s="1" t="n">
        <v>44082</v>
      </c>
      <c r="C421" s="1" t="n">
        <v>45645</v>
      </c>
      <c r="D421" t="inlineStr">
        <is>
          <t>STOCKHOLMS LÄN</t>
        </is>
      </c>
      <c r="E421" t="inlineStr">
        <is>
          <t>NORRTÄLJE</t>
        </is>
      </c>
      <c r="G421" t="n">
        <v>8</v>
      </c>
      <c r="H421" t="n">
        <v>0</v>
      </c>
      <c r="I421" t="n">
        <v>0</v>
      </c>
      <c r="J421" t="n">
        <v>0</v>
      </c>
      <c r="K421" t="n">
        <v>0</v>
      </c>
      <c r="L421" t="n">
        <v>0</v>
      </c>
      <c r="M421" t="n">
        <v>0</v>
      </c>
      <c r="N421" t="n">
        <v>0</v>
      </c>
      <c r="O421" t="n">
        <v>0</v>
      </c>
      <c r="P421" t="n">
        <v>0</v>
      </c>
      <c r="Q421" t="n">
        <v>0</v>
      </c>
      <c r="R421" s="2" t="inlineStr"/>
    </row>
    <row r="422" ht="15" customHeight="1">
      <c r="A422" t="inlineStr">
        <is>
          <t>A 44096-2020</t>
        </is>
      </c>
      <c r="B422" s="1" t="n">
        <v>44083</v>
      </c>
      <c r="C422" s="1" t="n">
        <v>45645</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44071-2020</t>
        </is>
      </c>
      <c r="B423" s="1" t="n">
        <v>44083</v>
      </c>
      <c r="C423" s="1" t="n">
        <v>45645</v>
      </c>
      <c r="D423" t="inlineStr">
        <is>
          <t>STOCKHOLMS LÄN</t>
        </is>
      </c>
      <c r="E423" t="inlineStr">
        <is>
          <t>NORRTÄLJE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44183-2020</t>
        </is>
      </c>
      <c r="B424" s="1" t="n">
        <v>44083</v>
      </c>
      <c r="C424" s="1" t="n">
        <v>45645</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44792-2020</t>
        </is>
      </c>
      <c r="B425" s="1" t="n">
        <v>44085</v>
      </c>
      <c r="C425" s="1" t="n">
        <v>45645</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45988-2020</t>
        </is>
      </c>
      <c r="B426" s="1" t="n">
        <v>44091</v>
      </c>
      <c r="C426" s="1" t="n">
        <v>45645</v>
      </c>
      <c r="D426" t="inlineStr">
        <is>
          <t>STOCKHOLMS LÄN</t>
        </is>
      </c>
      <c r="E426" t="inlineStr">
        <is>
          <t>NORRTÄLJE</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46556-2020</t>
        </is>
      </c>
      <c r="B427" s="1" t="n">
        <v>44095</v>
      </c>
      <c r="C427" s="1" t="n">
        <v>45645</v>
      </c>
      <c r="D427" t="inlineStr">
        <is>
          <t>STOCKHOLMS LÄN</t>
        </is>
      </c>
      <c r="E427" t="inlineStr">
        <is>
          <t>NORRTÄLJE</t>
        </is>
      </c>
      <c r="F427" t="inlineStr">
        <is>
          <t>Holmen skog AB</t>
        </is>
      </c>
      <c r="G427" t="n">
        <v>2.1</v>
      </c>
      <c r="H427" t="n">
        <v>0</v>
      </c>
      <c r="I427" t="n">
        <v>0</v>
      </c>
      <c r="J427" t="n">
        <v>0</v>
      </c>
      <c r="K427" t="n">
        <v>0</v>
      </c>
      <c r="L427" t="n">
        <v>0</v>
      </c>
      <c r="M427" t="n">
        <v>0</v>
      </c>
      <c r="N427" t="n">
        <v>0</v>
      </c>
      <c r="O427" t="n">
        <v>0</v>
      </c>
      <c r="P427" t="n">
        <v>0</v>
      </c>
      <c r="Q427" t="n">
        <v>0</v>
      </c>
      <c r="R427" s="2" t="inlineStr"/>
    </row>
    <row r="428" ht="15" customHeight="1">
      <c r="A428" t="inlineStr">
        <is>
          <t>A 47291-2020</t>
        </is>
      </c>
      <c r="B428" s="1" t="n">
        <v>44097</v>
      </c>
      <c r="C428" s="1" t="n">
        <v>45645</v>
      </c>
      <c r="D428" t="inlineStr">
        <is>
          <t>STOCKHOLMS LÄN</t>
        </is>
      </c>
      <c r="E428" t="inlineStr">
        <is>
          <t>NORRTÄLJE</t>
        </is>
      </c>
      <c r="F428" t="inlineStr">
        <is>
          <t>Holmen skog AB</t>
        </is>
      </c>
      <c r="G428" t="n">
        <v>0.8</v>
      </c>
      <c r="H428" t="n">
        <v>0</v>
      </c>
      <c r="I428" t="n">
        <v>0</v>
      </c>
      <c r="J428" t="n">
        <v>0</v>
      </c>
      <c r="K428" t="n">
        <v>0</v>
      </c>
      <c r="L428" t="n">
        <v>0</v>
      </c>
      <c r="M428" t="n">
        <v>0</v>
      </c>
      <c r="N428" t="n">
        <v>0</v>
      </c>
      <c r="O428" t="n">
        <v>0</v>
      </c>
      <c r="P428" t="n">
        <v>0</v>
      </c>
      <c r="Q428" t="n">
        <v>0</v>
      </c>
      <c r="R428" s="2" t="inlineStr"/>
    </row>
    <row r="429" ht="15" customHeight="1">
      <c r="A429" t="inlineStr">
        <is>
          <t>A 48392-2020</t>
        </is>
      </c>
      <c r="B429" s="1" t="n">
        <v>44097</v>
      </c>
      <c r="C429" s="1" t="n">
        <v>45645</v>
      </c>
      <c r="D429" t="inlineStr">
        <is>
          <t>STOCKHOLMS LÄN</t>
        </is>
      </c>
      <c r="E429" t="inlineStr">
        <is>
          <t>NORRTÄLJE</t>
        </is>
      </c>
      <c r="G429" t="n">
        <v>12.5</v>
      </c>
      <c r="H429" t="n">
        <v>0</v>
      </c>
      <c r="I429" t="n">
        <v>0</v>
      </c>
      <c r="J429" t="n">
        <v>0</v>
      </c>
      <c r="K429" t="n">
        <v>0</v>
      </c>
      <c r="L429" t="n">
        <v>0</v>
      </c>
      <c r="M429" t="n">
        <v>0</v>
      </c>
      <c r="N429" t="n">
        <v>0</v>
      </c>
      <c r="O429" t="n">
        <v>0</v>
      </c>
      <c r="P429" t="n">
        <v>0</v>
      </c>
      <c r="Q429" t="n">
        <v>0</v>
      </c>
      <c r="R429" s="2" t="inlineStr"/>
    </row>
    <row r="430" ht="15" customHeight="1">
      <c r="A430" t="inlineStr">
        <is>
          <t>A 47869-2020</t>
        </is>
      </c>
      <c r="B430" s="1" t="n">
        <v>44098</v>
      </c>
      <c r="C430" s="1" t="n">
        <v>45645</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47868-2020</t>
        </is>
      </c>
      <c r="B431" s="1" t="n">
        <v>44098</v>
      </c>
      <c r="C431" s="1" t="n">
        <v>45645</v>
      </c>
      <c r="D431" t="inlineStr">
        <is>
          <t>STOCKHOLMS LÄN</t>
        </is>
      </c>
      <c r="E431" t="inlineStr">
        <is>
          <t>NORRTÄLJE</t>
        </is>
      </c>
      <c r="G431" t="n">
        <v>4.7</v>
      </c>
      <c r="H431" t="n">
        <v>0</v>
      </c>
      <c r="I431" t="n">
        <v>0</v>
      </c>
      <c r="J431" t="n">
        <v>0</v>
      </c>
      <c r="K431" t="n">
        <v>0</v>
      </c>
      <c r="L431" t="n">
        <v>0</v>
      </c>
      <c r="M431" t="n">
        <v>0</v>
      </c>
      <c r="N431" t="n">
        <v>0</v>
      </c>
      <c r="O431" t="n">
        <v>0</v>
      </c>
      <c r="P431" t="n">
        <v>0</v>
      </c>
      <c r="Q431" t="n">
        <v>0</v>
      </c>
      <c r="R431" s="2" t="inlineStr"/>
    </row>
    <row r="432" ht="15" customHeight="1">
      <c r="A432" t="inlineStr">
        <is>
          <t>A 48066-2020</t>
        </is>
      </c>
      <c r="B432" s="1" t="n">
        <v>44100</v>
      </c>
      <c r="C432" s="1" t="n">
        <v>45645</v>
      </c>
      <c r="D432" t="inlineStr">
        <is>
          <t>STOCKHOLMS LÄN</t>
        </is>
      </c>
      <c r="E432" t="inlineStr">
        <is>
          <t>NORRTÄLJE</t>
        </is>
      </c>
      <c r="G432" t="n">
        <v>3.7</v>
      </c>
      <c r="H432" t="n">
        <v>0</v>
      </c>
      <c r="I432" t="n">
        <v>0</v>
      </c>
      <c r="J432" t="n">
        <v>0</v>
      </c>
      <c r="K432" t="n">
        <v>0</v>
      </c>
      <c r="L432" t="n">
        <v>0</v>
      </c>
      <c r="M432" t="n">
        <v>0</v>
      </c>
      <c r="N432" t="n">
        <v>0</v>
      </c>
      <c r="O432" t="n">
        <v>0</v>
      </c>
      <c r="P432" t="n">
        <v>0</v>
      </c>
      <c r="Q432" t="n">
        <v>0</v>
      </c>
      <c r="R432" s="2" t="inlineStr"/>
    </row>
    <row r="433" ht="15" customHeight="1">
      <c r="A433" t="inlineStr">
        <is>
          <t>A 48071-2020</t>
        </is>
      </c>
      <c r="B433" s="1" t="n">
        <v>44100</v>
      </c>
      <c r="C433" s="1" t="n">
        <v>45645</v>
      </c>
      <c r="D433" t="inlineStr">
        <is>
          <t>STOCKHOLMS LÄN</t>
        </is>
      </c>
      <c r="E433" t="inlineStr">
        <is>
          <t>NORRTÄLJE</t>
        </is>
      </c>
      <c r="G433" t="n">
        <v>6.8</v>
      </c>
      <c r="H433" t="n">
        <v>0</v>
      </c>
      <c r="I433" t="n">
        <v>0</v>
      </c>
      <c r="J433" t="n">
        <v>0</v>
      </c>
      <c r="K433" t="n">
        <v>0</v>
      </c>
      <c r="L433" t="n">
        <v>0</v>
      </c>
      <c r="M433" t="n">
        <v>0</v>
      </c>
      <c r="N433" t="n">
        <v>0</v>
      </c>
      <c r="O433" t="n">
        <v>0</v>
      </c>
      <c r="P433" t="n">
        <v>0</v>
      </c>
      <c r="Q433" t="n">
        <v>0</v>
      </c>
      <c r="R433" s="2" t="inlineStr"/>
    </row>
    <row r="434" ht="15" customHeight="1">
      <c r="A434" t="inlineStr">
        <is>
          <t>A 48496-2020</t>
        </is>
      </c>
      <c r="B434" s="1" t="n">
        <v>44103</v>
      </c>
      <c r="C434" s="1" t="n">
        <v>45645</v>
      </c>
      <c r="D434" t="inlineStr">
        <is>
          <t>STOCKHOLMS LÄN</t>
        </is>
      </c>
      <c r="E434" t="inlineStr">
        <is>
          <t>NORRTÄLJE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48522-2020</t>
        </is>
      </c>
      <c r="B435" s="1" t="n">
        <v>44103</v>
      </c>
      <c r="C435" s="1" t="n">
        <v>45645</v>
      </c>
      <c r="D435" t="inlineStr">
        <is>
          <t>STOCKHOLMS LÄN</t>
        </is>
      </c>
      <c r="E435" t="inlineStr">
        <is>
          <t>NORRTÄLJE</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49334-2020</t>
        </is>
      </c>
      <c r="B436" s="1" t="n">
        <v>44105</v>
      </c>
      <c r="C436" s="1" t="n">
        <v>45645</v>
      </c>
      <c r="D436" t="inlineStr">
        <is>
          <t>STOCKHOLMS LÄN</t>
        </is>
      </c>
      <c r="E436" t="inlineStr">
        <is>
          <t>NORRTÄLJE</t>
        </is>
      </c>
      <c r="G436" t="n">
        <v>1.5</v>
      </c>
      <c r="H436" t="n">
        <v>0</v>
      </c>
      <c r="I436" t="n">
        <v>0</v>
      </c>
      <c r="J436" t="n">
        <v>0</v>
      </c>
      <c r="K436" t="n">
        <v>0</v>
      </c>
      <c r="L436" t="n">
        <v>0</v>
      </c>
      <c r="M436" t="n">
        <v>0</v>
      </c>
      <c r="N436" t="n">
        <v>0</v>
      </c>
      <c r="O436" t="n">
        <v>0</v>
      </c>
      <c r="P436" t="n">
        <v>0</v>
      </c>
      <c r="Q436" t="n">
        <v>0</v>
      </c>
      <c r="R436" s="2" t="inlineStr"/>
    </row>
    <row r="437" ht="15" customHeight="1">
      <c r="A437" t="inlineStr">
        <is>
          <t>A 49327-2020</t>
        </is>
      </c>
      <c r="B437" s="1" t="n">
        <v>44105</v>
      </c>
      <c r="C437" s="1" t="n">
        <v>45645</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49898-2020</t>
        </is>
      </c>
      <c r="B438" s="1" t="n">
        <v>44108</v>
      </c>
      <c r="C438" s="1" t="n">
        <v>45645</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50497-2020</t>
        </is>
      </c>
      <c r="B439" s="1" t="n">
        <v>44110</v>
      </c>
      <c r="C439" s="1" t="n">
        <v>45645</v>
      </c>
      <c r="D439" t="inlineStr">
        <is>
          <t>STOCKHOLMS LÄN</t>
        </is>
      </c>
      <c r="E439" t="inlineStr">
        <is>
          <t>NORRTÄLJE</t>
        </is>
      </c>
      <c r="F439" t="inlineStr">
        <is>
          <t>Holmen skog AB</t>
        </is>
      </c>
      <c r="G439" t="n">
        <v>4.3</v>
      </c>
      <c r="H439" t="n">
        <v>0</v>
      </c>
      <c r="I439" t="n">
        <v>0</v>
      </c>
      <c r="J439" t="n">
        <v>0</v>
      </c>
      <c r="K439" t="n">
        <v>0</v>
      </c>
      <c r="L439" t="n">
        <v>0</v>
      </c>
      <c r="M439" t="n">
        <v>0</v>
      </c>
      <c r="N439" t="n">
        <v>0</v>
      </c>
      <c r="O439" t="n">
        <v>0</v>
      </c>
      <c r="P439" t="n">
        <v>0</v>
      </c>
      <c r="Q439" t="n">
        <v>0</v>
      </c>
      <c r="R439" s="2" t="inlineStr"/>
    </row>
    <row r="440" ht="15" customHeight="1">
      <c r="A440" t="inlineStr">
        <is>
          <t>A 50738-2020</t>
        </is>
      </c>
      <c r="B440" s="1" t="n">
        <v>44111</v>
      </c>
      <c r="C440" s="1" t="n">
        <v>45645</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50746-2020</t>
        </is>
      </c>
      <c r="B441" s="1" t="n">
        <v>44111</v>
      </c>
      <c r="C441" s="1" t="n">
        <v>45645</v>
      </c>
      <c r="D441" t="inlineStr">
        <is>
          <t>STOCKHOLMS LÄN</t>
        </is>
      </c>
      <c r="E441" t="inlineStr">
        <is>
          <t>NORRTÄLJE</t>
        </is>
      </c>
      <c r="G441" t="n">
        <v>4.9</v>
      </c>
      <c r="H441" t="n">
        <v>0</v>
      </c>
      <c r="I441" t="n">
        <v>0</v>
      </c>
      <c r="J441" t="n">
        <v>0</v>
      </c>
      <c r="K441" t="n">
        <v>0</v>
      </c>
      <c r="L441" t="n">
        <v>0</v>
      </c>
      <c r="M441" t="n">
        <v>0</v>
      </c>
      <c r="N441" t="n">
        <v>0</v>
      </c>
      <c r="O441" t="n">
        <v>0</v>
      </c>
      <c r="P441" t="n">
        <v>0</v>
      </c>
      <c r="Q441" t="n">
        <v>0</v>
      </c>
      <c r="R441" s="2" t="inlineStr"/>
    </row>
    <row r="442" ht="15" customHeight="1">
      <c r="A442" t="inlineStr">
        <is>
          <t>A 50742-2020</t>
        </is>
      </c>
      <c r="B442" s="1" t="n">
        <v>44111</v>
      </c>
      <c r="C442" s="1" t="n">
        <v>45645</v>
      </c>
      <c r="D442" t="inlineStr">
        <is>
          <t>STOCKHOLMS LÄN</t>
        </is>
      </c>
      <c r="E442" t="inlineStr">
        <is>
          <t>NORRTÄLJE</t>
        </is>
      </c>
      <c r="G442" t="n">
        <v>0.4</v>
      </c>
      <c r="H442" t="n">
        <v>0</v>
      </c>
      <c r="I442" t="n">
        <v>0</v>
      </c>
      <c r="J442" t="n">
        <v>0</v>
      </c>
      <c r="K442" t="n">
        <v>0</v>
      </c>
      <c r="L442" t="n">
        <v>0</v>
      </c>
      <c r="M442" t="n">
        <v>0</v>
      </c>
      <c r="N442" t="n">
        <v>0</v>
      </c>
      <c r="O442" t="n">
        <v>0</v>
      </c>
      <c r="P442" t="n">
        <v>0</v>
      </c>
      <c r="Q442" t="n">
        <v>0</v>
      </c>
      <c r="R442" s="2" t="inlineStr"/>
    </row>
    <row r="443" ht="15" customHeight="1">
      <c r="A443" t="inlineStr">
        <is>
          <t>A 51720-2020</t>
        </is>
      </c>
      <c r="B443" s="1" t="n">
        <v>44113</v>
      </c>
      <c r="C443" s="1" t="n">
        <v>45645</v>
      </c>
      <c r="D443" t="inlineStr">
        <is>
          <t>STOCKHOLMS LÄN</t>
        </is>
      </c>
      <c r="E443" t="inlineStr">
        <is>
          <t>NORRTÄLJE</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51787-2020</t>
        </is>
      </c>
      <c r="B444" s="1" t="n">
        <v>44116</v>
      </c>
      <c r="C444" s="1" t="n">
        <v>45645</v>
      </c>
      <c r="D444" t="inlineStr">
        <is>
          <t>STOCKHOLMS LÄN</t>
        </is>
      </c>
      <c r="E444" t="inlineStr">
        <is>
          <t>NORRTÄLJE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51798-2020</t>
        </is>
      </c>
      <c r="B445" s="1" t="n">
        <v>44116</v>
      </c>
      <c r="C445" s="1" t="n">
        <v>45645</v>
      </c>
      <c r="D445" t="inlineStr">
        <is>
          <t>STOCKHOLMS LÄN</t>
        </is>
      </c>
      <c r="E445" t="inlineStr">
        <is>
          <t>NORRTÄLJE</t>
        </is>
      </c>
      <c r="G445" t="n">
        <v>4.3</v>
      </c>
      <c r="H445" t="n">
        <v>0</v>
      </c>
      <c r="I445" t="n">
        <v>0</v>
      </c>
      <c r="J445" t="n">
        <v>0</v>
      </c>
      <c r="K445" t="n">
        <v>0</v>
      </c>
      <c r="L445" t="n">
        <v>0</v>
      </c>
      <c r="M445" t="n">
        <v>0</v>
      </c>
      <c r="N445" t="n">
        <v>0</v>
      </c>
      <c r="O445" t="n">
        <v>0</v>
      </c>
      <c r="P445" t="n">
        <v>0</v>
      </c>
      <c r="Q445" t="n">
        <v>0</v>
      </c>
      <c r="R445" s="2" t="inlineStr"/>
    </row>
    <row r="446" ht="15" customHeight="1">
      <c r="A446" t="inlineStr">
        <is>
          <t>A 53768-2020</t>
        </is>
      </c>
      <c r="B446" s="1" t="n">
        <v>44123</v>
      </c>
      <c r="C446" s="1" t="n">
        <v>45645</v>
      </c>
      <c r="D446" t="inlineStr">
        <is>
          <t>STOCKHOLMS LÄN</t>
        </is>
      </c>
      <c r="E446" t="inlineStr">
        <is>
          <t>NORRTÄLJE</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53652-2020</t>
        </is>
      </c>
      <c r="B447" s="1" t="n">
        <v>44124</v>
      </c>
      <c r="C447" s="1" t="n">
        <v>45645</v>
      </c>
      <c r="D447" t="inlineStr">
        <is>
          <t>STOCKHOLMS LÄN</t>
        </is>
      </c>
      <c r="E447" t="inlineStr">
        <is>
          <t>NORRTÄLJE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53690-2020</t>
        </is>
      </c>
      <c r="B448" s="1" t="n">
        <v>44124</v>
      </c>
      <c r="C448" s="1" t="n">
        <v>45645</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53607-2020</t>
        </is>
      </c>
      <c r="B449" s="1" t="n">
        <v>44124</v>
      </c>
      <c r="C449" s="1" t="n">
        <v>45645</v>
      </c>
      <c r="D449" t="inlineStr">
        <is>
          <t>STOCKHOLMS LÄN</t>
        </is>
      </c>
      <c r="E449" t="inlineStr">
        <is>
          <t>NORRTÄLJE</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55089-2020</t>
        </is>
      </c>
      <c r="B450" s="1" t="n">
        <v>44130</v>
      </c>
      <c r="C450" s="1" t="n">
        <v>45645</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55895-2020</t>
        </is>
      </c>
      <c r="B451" s="1" t="n">
        <v>44132</v>
      </c>
      <c r="C451" s="1" t="n">
        <v>45645</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55890-2020</t>
        </is>
      </c>
      <c r="B452" s="1" t="n">
        <v>44132</v>
      </c>
      <c r="C452" s="1" t="n">
        <v>45645</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55982-2020</t>
        </is>
      </c>
      <c r="B453" s="1" t="n">
        <v>44132</v>
      </c>
      <c r="C453" s="1" t="n">
        <v>45645</v>
      </c>
      <c r="D453" t="inlineStr">
        <is>
          <t>STOCKHOLMS LÄN</t>
        </is>
      </c>
      <c r="E453" t="inlineStr">
        <is>
          <t>NORRTÄLJE</t>
        </is>
      </c>
      <c r="G453" t="n">
        <v>11.3</v>
      </c>
      <c r="H453" t="n">
        <v>0</v>
      </c>
      <c r="I453" t="n">
        <v>0</v>
      </c>
      <c r="J453" t="n">
        <v>0</v>
      </c>
      <c r="K453" t="n">
        <v>0</v>
      </c>
      <c r="L453" t="n">
        <v>0</v>
      </c>
      <c r="M453" t="n">
        <v>0</v>
      </c>
      <c r="N453" t="n">
        <v>0</v>
      </c>
      <c r="O453" t="n">
        <v>0</v>
      </c>
      <c r="P453" t="n">
        <v>0</v>
      </c>
      <c r="Q453" t="n">
        <v>0</v>
      </c>
      <c r="R453" s="2" t="inlineStr"/>
    </row>
    <row r="454" ht="15" customHeight="1">
      <c r="A454" t="inlineStr">
        <is>
          <t>A 56166-2020</t>
        </is>
      </c>
      <c r="B454" s="1" t="n">
        <v>44133</v>
      </c>
      <c r="C454" s="1" t="n">
        <v>45645</v>
      </c>
      <c r="D454" t="inlineStr">
        <is>
          <t>STOCKHOLMS LÄN</t>
        </is>
      </c>
      <c r="E454" t="inlineStr">
        <is>
          <t>NORRTÄLJE</t>
        </is>
      </c>
      <c r="G454" t="n">
        <v>4.4</v>
      </c>
      <c r="H454" t="n">
        <v>0</v>
      </c>
      <c r="I454" t="n">
        <v>0</v>
      </c>
      <c r="J454" t="n">
        <v>0</v>
      </c>
      <c r="K454" t="n">
        <v>0</v>
      </c>
      <c r="L454" t="n">
        <v>0</v>
      </c>
      <c r="M454" t="n">
        <v>0</v>
      </c>
      <c r="N454" t="n">
        <v>0</v>
      </c>
      <c r="O454" t="n">
        <v>0</v>
      </c>
      <c r="P454" t="n">
        <v>0</v>
      </c>
      <c r="Q454" t="n">
        <v>0</v>
      </c>
      <c r="R454" s="2" t="inlineStr"/>
    </row>
    <row r="455" ht="15" customHeight="1">
      <c r="A455" t="inlineStr">
        <is>
          <t>A 56323-2020</t>
        </is>
      </c>
      <c r="B455" s="1" t="n">
        <v>44134</v>
      </c>
      <c r="C455" s="1" t="n">
        <v>45645</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57216-2020</t>
        </is>
      </c>
      <c r="B456" s="1" t="n">
        <v>44139</v>
      </c>
      <c r="C456" s="1" t="n">
        <v>45645</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57957-2020</t>
        </is>
      </c>
      <c r="B457" s="1" t="n">
        <v>44143</v>
      </c>
      <c r="C457" s="1" t="n">
        <v>45645</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57987-2020</t>
        </is>
      </c>
      <c r="B458" s="1" t="n">
        <v>44143</v>
      </c>
      <c r="C458" s="1" t="n">
        <v>45645</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58493-2020</t>
        </is>
      </c>
      <c r="B459" s="1" t="n">
        <v>44145</v>
      </c>
      <c r="C459" s="1" t="n">
        <v>45645</v>
      </c>
      <c r="D459" t="inlineStr">
        <is>
          <t>STOCKHOLMS LÄN</t>
        </is>
      </c>
      <c r="E459" t="inlineStr">
        <is>
          <t>NORRTÄLJE</t>
        </is>
      </c>
      <c r="G459" t="n">
        <v>2.8</v>
      </c>
      <c r="H459" t="n">
        <v>0</v>
      </c>
      <c r="I459" t="n">
        <v>0</v>
      </c>
      <c r="J459" t="n">
        <v>0</v>
      </c>
      <c r="K459" t="n">
        <v>0</v>
      </c>
      <c r="L459" t="n">
        <v>0</v>
      </c>
      <c r="M459" t="n">
        <v>0</v>
      </c>
      <c r="N459" t="n">
        <v>0</v>
      </c>
      <c r="O459" t="n">
        <v>0</v>
      </c>
      <c r="P459" t="n">
        <v>0</v>
      </c>
      <c r="Q459" t="n">
        <v>0</v>
      </c>
      <c r="R459" s="2" t="inlineStr"/>
    </row>
    <row r="460" ht="15" customHeight="1">
      <c r="A460" t="inlineStr">
        <is>
          <t>A 58661-2020</t>
        </is>
      </c>
      <c r="B460" s="1" t="n">
        <v>44145</v>
      </c>
      <c r="C460" s="1" t="n">
        <v>45645</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58665-2020</t>
        </is>
      </c>
      <c r="B461" s="1" t="n">
        <v>44145</v>
      </c>
      <c r="C461" s="1" t="n">
        <v>45645</v>
      </c>
      <c r="D461" t="inlineStr">
        <is>
          <t>STOCKHOLMS LÄN</t>
        </is>
      </c>
      <c r="E461" t="inlineStr">
        <is>
          <t>NORRTÄLJE</t>
        </is>
      </c>
      <c r="G461" t="n">
        <v>5.2</v>
      </c>
      <c r="H461" t="n">
        <v>0</v>
      </c>
      <c r="I461" t="n">
        <v>0</v>
      </c>
      <c r="J461" t="n">
        <v>0</v>
      </c>
      <c r="K461" t="n">
        <v>0</v>
      </c>
      <c r="L461" t="n">
        <v>0</v>
      </c>
      <c r="M461" t="n">
        <v>0</v>
      </c>
      <c r="N461" t="n">
        <v>0</v>
      </c>
      <c r="O461" t="n">
        <v>0</v>
      </c>
      <c r="P461" t="n">
        <v>0</v>
      </c>
      <c r="Q461" t="n">
        <v>0</v>
      </c>
      <c r="R461" s="2" t="inlineStr"/>
    </row>
    <row r="462" ht="15" customHeight="1">
      <c r="A462" t="inlineStr">
        <is>
          <t>A 58888-2020</t>
        </is>
      </c>
      <c r="B462" s="1" t="n">
        <v>44146</v>
      </c>
      <c r="C462" s="1" t="n">
        <v>45645</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60321-2020</t>
        </is>
      </c>
      <c r="B463" s="1" t="n">
        <v>44152</v>
      </c>
      <c r="C463" s="1" t="n">
        <v>45645</v>
      </c>
      <c r="D463" t="inlineStr">
        <is>
          <t>STOCKHOLMS LÄN</t>
        </is>
      </c>
      <c r="E463" t="inlineStr">
        <is>
          <t>NORRTÄLJE</t>
        </is>
      </c>
      <c r="F463" t="inlineStr">
        <is>
          <t>Holmen skog AB</t>
        </is>
      </c>
      <c r="G463" t="n">
        <v>3.4</v>
      </c>
      <c r="H463" t="n">
        <v>0</v>
      </c>
      <c r="I463" t="n">
        <v>0</v>
      </c>
      <c r="J463" t="n">
        <v>0</v>
      </c>
      <c r="K463" t="n">
        <v>0</v>
      </c>
      <c r="L463" t="n">
        <v>0</v>
      </c>
      <c r="M463" t="n">
        <v>0</v>
      </c>
      <c r="N463" t="n">
        <v>0</v>
      </c>
      <c r="O463" t="n">
        <v>0</v>
      </c>
      <c r="P463" t="n">
        <v>0</v>
      </c>
      <c r="Q463" t="n">
        <v>0</v>
      </c>
      <c r="R463" s="2" t="inlineStr"/>
    </row>
    <row r="464" ht="15" customHeight="1">
      <c r="A464" t="inlineStr">
        <is>
          <t>A 60542-2020</t>
        </is>
      </c>
      <c r="B464" s="1" t="n">
        <v>44153</v>
      </c>
      <c r="C464" s="1" t="n">
        <v>45645</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60977-2020</t>
        </is>
      </c>
      <c r="B465" s="1" t="n">
        <v>44154</v>
      </c>
      <c r="C465" s="1" t="n">
        <v>45645</v>
      </c>
      <c r="D465" t="inlineStr">
        <is>
          <t>STOCKHOLMS LÄN</t>
        </is>
      </c>
      <c r="E465" t="inlineStr">
        <is>
          <t>NORRTÄLJE</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60891-2020</t>
        </is>
      </c>
      <c r="B466" s="1" t="n">
        <v>44154</v>
      </c>
      <c r="C466" s="1" t="n">
        <v>45645</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60961-2020</t>
        </is>
      </c>
      <c r="B467" s="1" t="n">
        <v>44154</v>
      </c>
      <c r="C467" s="1" t="n">
        <v>45645</v>
      </c>
      <c r="D467" t="inlineStr">
        <is>
          <t>STOCKHOLMS LÄN</t>
        </is>
      </c>
      <c r="E467" t="inlineStr">
        <is>
          <t>NORRTÄLJE</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61195-2020</t>
        </is>
      </c>
      <c r="B468" s="1" t="n">
        <v>44155</v>
      </c>
      <c r="C468" s="1" t="n">
        <v>45645</v>
      </c>
      <c r="D468" t="inlineStr">
        <is>
          <t>STOCKHOLMS LÄN</t>
        </is>
      </c>
      <c r="E468" t="inlineStr">
        <is>
          <t>NORRTÄLJE</t>
        </is>
      </c>
      <c r="G468" t="n">
        <v>7.8</v>
      </c>
      <c r="H468" t="n">
        <v>0</v>
      </c>
      <c r="I468" t="n">
        <v>0</v>
      </c>
      <c r="J468" t="n">
        <v>0</v>
      </c>
      <c r="K468" t="n">
        <v>0</v>
      </c>
      <c r="L468" t="n">
        <v>0</v>
      </c>
      <c r="M468" t="n">
        <v>0</v>
      </c>
      <c r="N468" t="n">
        <v>0</v>
      </c>
      <c r="O468" t="n">
        <v>0</v>
      </c>
      <c r="P468" t="n">
        <v>0</v>
      </c>
      <c r="Q468" t="n">
        <v>0</v>
      </c>
      <c r="R468" s="2" t="inlineStr"/>
    </row>
    <row r="469" ht="15" customHeight="1">
      <c r="A469" t="inlineStr">
        <is>
          <t>A 61221-2020</t>
        </is>
      </c>
      <c r="B469" s="1" t="n">
        <v>44155</v>
      </c>
      <c r="C469" s="1" t="n">
        <v>45645</v>
      </c>
      <c r="D469" t="inlineStr">
        <is>
          <t>STOCKHOLMS LÄN</t>
        </is>
      </c>
      <c r="E469" t="inlineStr">
        <is>
          <t>NORRTÄLJE</t>
        </is>
      </c>
      <c r="G469" t="n">
        <v>2.8</v>
      </c>
      <c r="H469" t="n">
        <v>0</v>
      </c>
      <c r="I469" t="n">
        <v>0</v>
      </c>
      <c r="J469" t="n">
        <v>0</v>
      </c>
      <c r="K469" t="n">
        <v>0</v>
      </c>
      <c r="L469" t="n">
        <v>0</v>
      </c>
      <c r="M469" t="n">
        <v>0</v>
      </c>
      <c r="N469" t="n">
        <v>0</v>
      </c>
      <c r="O469" t="n">
        <v>0</v>
      </c>
      <c r="P469" t="n">
        <v>0</v>
      </c>
      <c r="Q469" t="n">
        <v>0</v>
      </c>
      <c r="R469" s="2" t="inlineStr"/>
    </row>
    <row r="470" ht="15" customHeight="1">
      <c r="A470" t="inlineStr">
        <is>
          <t>A 61363-2020</t>
        </is>
      </c>
      <c r="B470" s="1" t="n">
        <v>44155</v>
      </c>
      <c r="C470" s="1" t="n">
        <v>45645</v>
      </c>
      <c r="D470" t="inlineStr">
        <is>
          <t>STOCKHOLMS LÄN</t>
        </is>
      </c>
      <c r="E470" t="inlineStr">
        <is>
          <t>NORRTÄLJE</t>
        </is>
      </c>
      <c r="G470" t="n">
        <v>2.3</v>
      </c>
      <c r="H470" t="n">
        <v>0</v>
      </c>
      <c r="I470" t="n">
        <v>0</v>
      </c>
      <c r="J470" t="n">
        <v>0</v>
      </c>
      <c r="K470" t="n">
        <v>0</v>
      </c>
      <c r="L470" t="n">
        <v>0</v>
      </c>
      <c r="M470" t="n">
        <v>0</v>
      </c>
      <c r="N470" t="n">
        <v>0</v>
      </c>
      <c r="O470" t="n">
        <v>0</v>
      </c>
      <c r="P470" t="n">
        <v>0</v>
      </c>
      <c r="Q470" t="n">
        <v>0</v>
      </c>
      <c r="R470" s="2" t="inlineStr"/>
    </row>
    <row r="471" ht="15" customHeight="1">
      <c r="A471" t="inlineStr">
        <is>
          <t>A 61469-2020</t>
        </is>
      </c>
      <c r="B471" s="1" t="n">
        <v>44155</v>
      </c>
      <c r="C471" s="1" t="n">
        <v>45645</v>
      </c>
      <c r="D471" t="inlineStr">
        <is>
          <t>STOCKHOLMS LÄN</t>
        </is>
      </c>
      <c r="E471" t="inlineStr">
        <is>
          <t>NORRTÄLJE</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61192-2020</t>
        </is>
      </c>
      <c r="B472" s="1" t="n">
        <v>44155</v>
      </c>
      <c r="C472" s="1" t="n">
        <v>45645</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62460-2020</t>
        </is>
      </c>
      <c r="B473" s="1" t="n">
        <v>44160</v>
      </c>
      <c r="C473" s="1" t="n">
        <v>45645</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62854-2020</t>
        </is>
      </c>
      <c r="B474" s="1" t="n">
        <v>44161</v>
      </c>
      <c r="C474" s="1" t="n">
        <v>45645</v>
      </c>
      <c r="D474" t="inlineStr">
        <is>
          <t>STOCKHOLMS LÄN</t>
        </is>
      </c>
      <c r="E474" t="inlineStr">
        <is>
          <t>NORRTÄLJE</t>
        </is>
      </c>
      <c r="G474" t="n">
        <v>4.7</v>
      </c>
      <c r="H474" t="n">
        <v>0</v>
      </c>
      <c r="I474" t="n">
        <v>0</v>
      </c>
      <c r="J474" t="n">
        <v>0</v>
      </c>
      <c r="K474" t="n">
        <v>0</v>
      </c>
      <c r="L474" t="n">
        <v>0</v>
      </c>
      <c r="M474" t="n">
        <v>0</v>
      </c>
      <c r="N474" t="n">
        <v>0</v>
      </c>
      <c r="O474" t="n">
        <v>0</v>
      </c>
      <c r="P474" t="n">
        <v>0</v>
      </c>
      <c r="Q474" t="n">
        <v>0</v>
      </c>
      <c r="R474" s="2" t="inlineStr"/>
    </row>
    <row r="475" ht="15" customHeight="1">
      <c r="A475" t="inlineStr">
        <is>
          <t>A 63824-2020</t>
        </is>
      </c>
      <c r="B475" s="1" t="n">
        <v>44162</v>
      </c>
      <c r="C475" s="1" t="n">
        <v>45645</v>
      </c>
      <c r="D475" t="inlineStr">
        <is>
          <t>STOCKHOLMS LÄN</t>
        </is>
      </c>
      <c r="E475" t="inlineStr">
        <is>
          <t>NORRTÄLJE</t>
        </is>
      </c>
      <c r="F475" t="inlineStr">
        <is>
          <t>Övriga Aktiebolag</t>
        </is>
      </c>
      <c r="G475" t="n">
        <v>1.9</v>
      </c>
      <c r="H475" t="n">
        <v>0</v>
      </c>
      <c r="I475" t="n">
        <v>0</v>
      </c>
      <c r="J475" t="n">
        <v>0</v>
      </c>
      <c r="K475" t="n">
        <v>0</v>
      </c>
      <c r="L475" t="n">
        <v>0</v>
      </c>
      <c r="M475" t="n">
        <v>0</v>
      </c>
      <c r="N475" t="n">
        <v>0</v>
      </c>
      <c r="O475" t="n">
        <v>0</v>
      </c>
      <c r="P475" t="n">
        <v>0</v>
      </c>
      <c r="Q475" t="n">
        <v>0</v>
      </c>
      <c r="R475" s="2" t="inlineStr"/>
    </row>
    <row r="476" ht="15" customHeight="1">
      <c r="A476" t="inlineStr">
        <is>
          <t>A 66372-2020</t>
        </is>
      </c>
      <c r="B476" s="1" t="n">
        <v>44176</v>
      </c>
      <c r="C476" s="1" t="n">
        <v>45645</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66907-2020</t>
        </is>
      </c>
      <c r="B477" s="1" t="n">
        <v>44176</v>
      </c>
      <c r="C477" s="1" t="n">
        <v>45645</v>
      </c>
      <c r="D477" t="inlineStr">
        <is>
          <t>STOCKHOLMS LÄN</t>
        </is>
      </c>
      <c r="E477" t="inlineStr">
        <is>
          <t>NORRTÄLJE</t>
        </is>
      </c>
      <c r="G477" t="n">
        <v>1.7</v>
      </c>
      <c r="H477" t="n">
        <v>0</v>
      </c>
      <c r="I477" t="n">
        <v>0</v>
      </c>
      <c r="J477" t="n">
        <v>0</v>
      </c>
      <c r="K477" t="n">
        <v>0</v>
      </c>
      <c r="L477" t="n">
        <v>0</v>
      </c>
      <c r="M477" t="n">
        <v>0</v>
      </c>
      <c r="N477" t="n">
        <v>0</v>
      </c>
      <c r="O477" t="n">
        <v>0</v>
      </c>
      <c r="P477" t="n">
        <v>0</v>
      </c>
      <c r="Q477" t="n">
        <v>0</v>
      </c>
      <c r="R477" s="2" t="inlineStr"/>
    </row>
    <row r="478" ht="15" customHeight="1">
      <c r="A478" t="inlineStr">
        <is>
          <t>A 67393-2020</t>
        </is>
      </c>
      <c r="B478" s="1" t="n">
        <v>44181</v>
      </c>
      <c r="C478" s="1" t="n">
        <v>45645</v>
      </c>
      <c r="D478" t="inlineStr">
        <is>
          <t>STOCKHOLMS LÄN</t>
        </is>
      </c>
      <c r="E478" t="inlineStr">
        <is>
          <t>NORRTÄLJE</t>
        </is>
      </c>
      <c r="G478" t="n">
        <v>5.5</v>
      </c>
      <c r="H478" t="n">
        <v>0</v>
      </c>
      <c r="I478" t="n">
        <v>0</v>
      </c>
      <c r="J478" t="n">
        <v>0</v>
      </c>
      <c r="K478" t="n">
        <v>0</v>
      </c>
      <c r="L478" t="n">
        <v>0</v>
      </c>
      <c r="M478" t="n">
        <v>0</v>
      </c>
      <c r="N478" t="n">
        <v>0</v>
      </c>
      <c r="O478" t="n">
        <v>0</v>
      </c>
      <c r="P478" t="n">
        <v>0</v>
      </c>
      <c r="Q478" t="n">
        <v>0</v>
      </c>
      <c r="R478" s="2" t="inlineStr"/>
    </row>
    <row r="479" ht="15" customHeight="1">
      <c r="A479" t="inlineStr">
        <is>
          <t>A 68081-2020</t>
        </is>
      </c>
      <c r="B479" s="1" t="n">
        <v>44183</v>
      </c>
      <c r="C479" s="1" t="n">
        <v>45645</v>
      </c>
      <c r="D479" t="inlineStr">
        <is>
          <t>STOCKHOLMS LÄN</t>
        </is>
      </c>
      <c r="E479" t="inlineStr">
        <is>
          <t>NORRTÄLJE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367-2021</t>
        </is>
      </c>
      <c r="B480" s="1" t="n">
        <v>44201</v>
      </c>
      <c r="C480" s="1" t="n">
        <v>45645</v>
      </c>
      <c r="D480" t="inlineStr">
        <is>
          <t>STOCKHOLMS LÄN</t>
        </is>
      </c>
      <c r="E480" t="inlineStr">
        <is>
          <t>NORRTÄLJE</t>
        </is>
      </c>
      <c r="G480" t="n">
        <v>0.1</v>
      </c>
      <c r="H480" t="n">
        <v>0</v>
      </c>
      <c r="I480" t="n">
        <v>0</v>
      </c>
      <c r="J480" t="n">
        <v>0</v>
      </c>
      <c r="K480" t="n">
        <v>0</v>
      </c>
      <c r="L480" t="n">
        <v>0</v>
      </c>
      <c r="M480" t="n">
        <v>0</v>
      </c>
      <c r="N480" t="n">
        <v>0</v>
      </c>
      <c r="O480" t="n">
        <v>0</v>
      </c>
      <c r="P480" t="n">
        <v>0</v>
      </c>
      <c r="Q480" t="n">
        <v>0</v>
      </c>
      <c r="R480" s="2" t="inlineStr"/>
    </row>
    <row r="481" ht="15" customHeight="1">
      <c r="A481" t="inlineStr">
        <is>
          <t>A 348-2021</t>
        </is>
      </c>
      <c r="B481" s="1" t="n">
        <v>44201</v>
      </c>
      <c r="C481" s="1" t="n">
        <v>45645</v>
      </c>
      <c r="D481" t="inlineStr">
        <is>
          <t>STOCKHOLMS LÄN</t>
        </is>
      </c>
      <c r="E481" t="inlineStr">
        <is>
          <t>NORRTÄLJE</t>
        </is>
      </c>
      <c r="G481" t="n">
        <v>0.1</v>
      </c>
      <c r="H481" t="n">
        <v>0</v>
      </c>
      <c r="I481" t="n">
        <v>0</v>
      </c>
      <c r="J481" t="n">
        <v>0</v>
      </c>
      <c r="K481" t="n">
        <v>0</v>
      </c>
      <c r="L481" t="n">
        <v>0</v>
      </c>
      <c r="M481" t="n">
        <v>0</v>
      </c>
      <c r="N481" t="n">
        <v>0</v>
      </c>
      <c r="O481" t="n">
        <v>0</v>
      </c>
      <c r="P481" t="n">
        <v>0</v>
      </c>
      <c r="Q481" t="n">
        <v>0</v>
      </c>
      <c r="R481" s="2" t="inlineStr"/>
    </row>
    <row r="482" ht="15" customHeight="1">
      <c r="A482" t="inlineStr">
        <is>
          <t>A 1637-2021</t>
        </is>
      </c>
      <c r="B482" s="1" t="n">
        <v>44209</v>
      </c>
      <c r="C482" s="1" t="n">
        <v>45645</v>
      </c>
      <c r="D482" t="inlineStr">
        <is>
          <t>STOCKHOLMS LÄN</t>
        </is>
      </c>
      <c r="E482" t="inlineStr">
        <is>
          <t>NORRTÄLJE</t>
        </is>
      </c>
      <c r="G482" t="n">
        <v>1.6</v>
      </c>
      <c r="H482" t="n">
        <v>0</v>
      </c>
      <c r="I482" t="n">
        <v>0</v>
      </c>
      <c r="J482" t="n">
        <v>0</v>
      </c>
      <c r="K482" t="n">
        <v>0</v>
      </c>
      <c r="L482" t="n">
        <v>0</v>
      </c>
      <c r="M482" t="n">
        <v>0</v>
      </c>
      <c r="N482" t="n">
        <v>0</v>
      </c>
      <c r="O482" t="n">
        <v>0</v>
      </c>
      <c r="P482" t="n">
        <v>0</v>
      </c>
      <c r="Q482" t="n">
        <v>0</v>
      </c>
      <c r="R482" s="2" t="inlineStr"/>
    </row>
    <row r="483" ht="15" customHeight="1">
      <c r="A483" t="inlineStr">
        <is>
          <t>A 1970-2021</t>
        </is>
      </c>
      <c r="B483" s="1" t="n">
        <v>44210</v>
      </c>
      <c r="C483" s="1" t="n">
        <v>45645</v>
      </c>
      <c r="D483" t="inlineStr">
        <is>
          <t>STOCKHOLMS LÄN</t>
        </is>
      </c>
      <c r="E483" t="inlineStr">
        <is>
          <t>NORRTÄLJE</t>
        </is>
      </c>
      <c r="G483" t="n">
        <v>3.1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45645</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2976-2021</t>
        </is>
      </c>
      <c r="B485" s="1" t="n">
        <v>44216</v>
      </c>
      <c r="C485" s="1" t="n">
        <v>45645</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3143-2021</t>
        </is>
      </c>
      <c r="B486" s="1" t="n">
        <v>44217</v>
      </c>
      <c r="C486" s="1" t="n">
        <v>45645</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3386-2021</t>
        </is>
      </c>
      <c r="B487" s="1" t="n">
        <v>44218</v>
      </c>
      <c r="C487" s="1" t="n">
        <v>45645</v>
      </c>
      <c r="D487" t="inlineStr">
        <is>
          <t>STOCKHOLMS LÄN</t>
        </is>
      </c>
      <c r="E487" t="inlineStr">
        <is>
          <t>NORRTÄLJE</t>
        </is>
      </c>
      <c r="G487" t="n">
        <v>8</v>
      </c>
      <c r="H487" t="n">
        <v>0</v>
      </c>
      <c r="I487" t="n">
        <v>0</v>
      </c>
      <c r="J487" t="n">
        <v>0</v>
      </c>
      <c r="K487" t="n">
        <v>0</v>
      </c>
      <c r="L487" t="n">
        <v>0</v>
      </c>
      <c r="M487" t="n">
        <v>0</v>
      </c>
      <c r="N487" t="n">
        <v>0</v>
      </c>
      <c r="O487" t="n">
        <v>0</v>
      </c>
      <c r="P487" t="n">
        <v>0</v>
      </c>
      <c r="Q487" t="n">
        <v>0</v>
      </c>
      <c r="R487" s="2" t="inlineStr"/>
    </row>
    <row r="488" ht="15" customHeight="1">
      <c r="A488" t="inlineStr">
        <is>
          <t>A 4634-2021</t>
        </is>
      </c>
      <c r="B488" s="1" t="n">
        <v>44224</v>
      </c>
      <c r="C488" s="1" t="n">
        <v>45645</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4632-2021</t>
        </is>
      </c>
      <c r="B489" s="1" t="n">
        <v>44224</v>
      </c>
      <c r="C489" s="1" t="n">
        <v>45645</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5037-2021</t>
        </is>
      </c>
      <c r="B490" s="1" t="n">
        <v>44228</v>
      </c>
      <c r="C490" s="1" t="n">
        <v>45645</v>
      </c>
      <c r="D490" t="inlineStr">
        <is>
          <t>STOCKHOLMS LÄN</t>
        </is>
      </c>
      <c r="E490" t="inlineStr">
        <is>
          <t>NORRTÄLJE</t>
        </is>
      </c>
      <c r="F490" t="inlineStr">
        <is>
          <t>Holmen skog AB</t>
        </is>
      </c>
      <c r="G490" t="n">
        <v>3.8</v>
      </c>
      <c r="H490" t="n">
        <v>0</v>
      </c>
      <c r="I490" t="n">
        <v>0</v>
      </c>
      <c r="J490" t="n">
        <v>0</v>
      </c>
      <c r="K490" t="n">
        <v>0</v>
      </c>
      <c r="L490" t="n">
        <v>0</v>
      </c>
      <c r="M490" t="n">
        <v>0</v>
      </c>
      <c r="N490" t="n">
        <v>0</v>
      </c>
      <c r="O490" t="n">
        <v>0</v>
      </c>
      <c r="P490" t="n">
        <v>0</v>
      </c>
      <c r="Q490" t="n">
        <v>0</v>
      </c>
      <c r="R490" s="2" t="inlineStr"/>
    </row>
    <row r="491" ht="15" customHeight="1">
      <c r="A491" t="inlineStr">
        <is>
          <t>A 5562-2021</t>
        </is>
      </c>
      <c r="B491" s="1" t="n">
        <v>44230</v>
      </c>
      <c r="C491" s="1" t="n">
        <v>45645</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5566-2021</t>
        </is>
      </c>
      <c r="B492" s="1" t="n">
        <v>44230</v>
      </c>
      <c r="C492" s="1" t="n">
        <v>45645</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5950-2021</t>
        </is>
      </c>
      <c r="B493" s="1" t="n">
        <v>44231</v>
      </c>
      <c r="C493" s="1" t="n">
        <v>45645</v>
      </c>
      <c r="D493" t="inlineStr">
        <is>
          <t>STOCKHOLMS LÄN</t>
        </is>
      </c>
      <c r="E493" t="inlineStr">
        <is>
          <t>NORRTÄLJE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6049-2021</t>
        </is>
      </c>
      <c r="B494" s="1" t="n">
        <v>44231</v>
      </c>
      <c r="C494" s="1" t="n">
        <v>45645</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7903-2021</t>
        </is>
      </c>
      <c r="B495" s="1" t="n">
        <v>44243</v>
      </c>
      <c r="C495" s="1" t="n">
        <v>45645</v>
      </c>
      <c r="D495" t="inlineStr">
        <is>
          <t>STOCKHOLMS LÄN</t>
        </is>
      </c>
      <c r="E495" t="inlineStr">
        <is>
          <t>NORRTÄLJE</t>
        </is>
      </c>
      <c r="G495" t="n">
        <v>3.5</v>
      </c>
      <c r="H495" t="n">
        <v>0</v>
      </c>
      <c r="I495" t="n">
        <v>0</v>
      </c>
      <c r="J495" t="n">
        <v>0</v>
      </c>
      <c r="K495" t="n">
        <v>0</v>
      </c>
      <c r="L495" t="n">
        <v>0</v>
      </c>
      <c r="M495" t="n">
        <v>0</v>
      </c>
      <c r="N495" t="n">
        <v>0</v>
      </c>
      <c r="O495" t="n">
        <v>0</v>
      </c>
      <c r="P495" t="n">
        <v>0</v>
      </c>
      <c r="Q495" t="n">
        <v>0</v>
      </c>
      <c r="R495" s="2" t="inlineStr"/>
    </row>
    <row r="496" ht="15" customHeight="1">
      <c r="A496" t="inlineStr">
        <is>
          <t>A 7999-2021</t>
        </is>
      </c>
      <c r="B496" s="1" t="n">
        <v>44243</v>
      </c>
      <c r="C496" s="1" t="n">
        <v>45645</v>
      </c>
      <c r="D496" t="inlineStr">
        <is>
          <t>STOCKHOLMS LÄN</t>
        </is>
      </c>
      <c r="E496" t="inlineStr">
        <is>
          <t>NORRTÄLJE</t>
        </is>
      </c>
      <c r="G496" t="n">
        <v>6.8</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45645</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9467-2021</t>
        </is>
      </c>
      <c r="B498" s="1" t="n">
        <v>44251</v>
      </c>
      <c r="C498" s="1" t="n">
        <v>45645</v>
      </c>
      <c r="D498" t="inlineStr">
        <is>
          <t>STOCKHOLMS LÄN</t>
        </is>
      </c>
      <c r="E498" t="inlineStr">
        <is>
          <t>NORRTÄLJE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9469-2021</t>
        </is>
      </c>
      <c r="B499" s="1" t="n">
        <v>44251</v>
      </c>
      <c r="C499" s="1" t="n">
        <v>45645</v>
      </c>
      <c r="D499" t="inlineStr">
        <is>
          <t>STOCKHOLMS LÄN</t>
        </is>
      </c>
      <c r="E499" t="inlineStr">
        <is>
          <t>NORRTÄLJE</t>
        </is>
      </c>
      <c r="G499" t="n">
        <v>2.5</v>
      </c>
      <c r="H499" t="n">
        <v>0</v>
      </c>
      <c r="I499" t="n">
        <v>0</v>
      </c>
      <c r="J499" t="n">
        <v>0</v>
      </c>
      <c r="K499" t="n">
        <v>0</v>
      </c>
      <c r="L499" t="n">
        <v>0</v>
      </c>
      <c r="M499" t="n">
        <v>0</v>
      </c>
      <c r="N499" t="n">
        <v>0</v>
      </c>
      <c r="O499" t="n">
        <v>0</v>
      </c>
      <c r="P499" t="n">
        <v>0</v>
      </c>
      <c r="Q499" t="n">
        <v>0</v>
      </c>
      <c r="R499" s="2" t="inlineStr"/>
    </row>
    <row r="500" ht="15" customHeight="1">
      <c r="A500" t="inlineStr">
        <is>
          <t>A 9446-2021</t>
        </is>
      </c>
      <c r="B500" s="1" t="n">
        <v>44251</v>
      </c>
      <c r="C500" s="1" t="n">
        <v>45645</v>
      </c>
      <c r="D500" t="inlineStr">
        <is>
          <t>STOCKHOLMS LÄN</t>
        </is>
      </c>
      <c r="E500" t="inlineStr">
        <is>
          <t>NORRTÄLJE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9719-2021</t>
        </is>
      </c>
      <c r="B501" s="1" t="n">
        <v>44252</v>
      </c>
      <c r="C501" s="1" t="n">
        <v>45645</v>
      </c>
      <c r="D501" t="inlineStr">
        <is>
          <t>STOCKHOLMS LÄN</t>
        </is>
      </c>
      <c r="E501" t="inlineStr">
        <is>
          <t>NORRTÄLJE</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9703-2021</t>
        </is>
      </c>
      <c r="B502" s="1" t="n">
        <v>44252</v>
      </c>
      <c r="C502" s="1" t="n">
        <v>45645</v>
      </c>
      <c r="D502" t="inlineStr">
        <is>
          <t>STOCKHOLMS LÄN</t>
        </is>
      </c>
      <c r="E502" t="inlineStr">
        <is>
          <t>NORRTÄLJE</t>
        </is>
      </c>
      <c r="G502" t="n">
        <v>3.4</v>
      </c>
      <c r="H502" t="n">
        <v>0</v>
      </c>
      <c r="I502" t="n">
        <v>0</v>
      </c>
      <c r="J502" t="n">
        <v>0</v>
      </c>
      <c r="K502" t="n">
        <v>0</v>
      </c>
      <c r="L502" t="n">
        <v>0</v>
      </c>
      <c r="M502" t="n">
        <v>0</v>
      </c>
      <c r="N502" t="n">
        <v>0</v>
      </c>
      <c r="O502" t="n">
        <v>0</v>
      </c>
      <c r="P502" t="n">
        <v>0</v>
      </c>
      <c r="Q502" t="n">
        <v>0</v>
      </c>
      <c r="R502" s="2" t="inlineStr"/>
    </row>
    <row r="503" ht="15" customHeight="1">
      <c r="A503" t="inlineStr">
        <is>
          <t>A 10687-2021</t>
        </is>
      </c>
      <c r="B503" s="1" t="n">
        <v>44258</v>
      </c>
      <c r="C503" s="1" t="n">
        <v>45645</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10684-2021</t>
        </is>
      </c>
      <c r="B504" s="1" t="n">
        <v>44258</v>
      </c>
      <c r="C504" s="1" t="n">
        <v>45645</v>
      </c>
      <c r="D504" t="inlineStr">
        <is>
          <t>STOCKHOLMS LÄN</t>
        </is>
      </c>
      <c r="E504" t="inlineStr">
        <is>
          <t>NORRTÄLJE</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11122-2021</t>
        </is>
      </c>
      <c r="B505" s="1" t="n">
        <v>44260</v>
      </c>
      <c r="C505" s="1" t="n">
        <v>45645</v>
      </c>
      <c r="D505" t="inlineStr">
        <is>
          <t>STOCKHOLMS LÄN</t>
        </is>
      </c>
      <c r="E505" t="inlineStr">
        <is>
          <t>NORRTÄLJE</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11438-2021</t>
        </is>
      </c>
      <c r="B506" s="1" t="n">
        <v>44263</v>
      </c>
      <c r="C506" s="1" t="n">
        <v>45645</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11988-2021</t>
        </is>
      </c>
      <c r="B507" s="1" t="n">
        <v>44266</v>
      </c>
      <c r="C507" s="1" t="n">
        <v>45645</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12031-2021</t>
        </is>
      </c>
      <c r="B508" s="1" t="n">
        <v>44266</v>
      </c>
      <c r="C508" s="1" t="n">
        <v>45645</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12111-2021</t>
        </is>
      </c>
      <c r="B509" s="1" t="n">
        <v>44266</v>
      </c>
      <c r="C509" s="1" t="n">
        <v>45645</v>
      </c>
      <c r="D509" t="inlineStr">
        <is>
          <t>STOCKHOLMS LÄN</t>
        </is>
      </c>
      <c r="E509" t="inlineStr">
        <is>
          <t>NORRTÄLJE</t>
        </is>
      </c>
      <c r="G509" t="n">
        <v>5.5</v>
      </c>
      <c r="H509" t="n">
        <v>0</v>
      </c>
      <c r="I509" t="n">
        <v>0</v>
      </c>
      <c r="J509" t="n">
        <v>0</v>
      </c>
      <c r="K509" t="n">
        <v>0</v>
      </c>
      <c r="L509" t="n">
        <v>0</v>
      </c>
      <c r="M509" t="n">
        <v>0</v>
      </c>
      <c r="N509" t="n">
        <v>0</v>
      </c>
      <c r="O509" t="n">
        <v>0</v>
      </c>
      <c r="P509" t="n">
        <v>0</v>
      </c>
      <c r="Q509" t="n">
        <v>0</v>
      </c>
      <c r="R509" s="2" t="inlineStr"/>
    </row>
    <row r="510" ht="15" customHeight="1">
      <c r="A510" t="inlineStr">
        <is>
          <t>A 12132-2021</t>
        </is>
      </c>
      <c r="B510" s="1" t="n">
        <v>44266</v>
      </c>
      <c r="C510" s="1" t="n">
        <v>45645</v>
      </c>
      <c r="D510" t="inlineStr">
        <is>
          <t>STOCKHOLMS LÄN</t>
        </is>
      </c>
      <c r="E510" t="inlineStr">
        <is>
          <t>NORRTÄLJE</t>
        </is>
      </c>
      <c r="G510" t="n">
        <v>4</v>
      </c>
      <c r="H510" t="n">
        <v>0</v>
      </c>
      <c r="I510" t="n">
        <v>0</v>
      </c>
      <c r="J510" t="n">
        <v>0</v>
      </c>
      <c r="K510" t="n">
        <v>0</v>
      </c>
      <c r="L510" t="n">
        <v>0</v>
      </c>
      <c r="M510" t="n">
        <v>0</v>
      </c>
      <c r="N510" t="n">
        <v>0</v>
      </c>
      <c r="O510" t="n">
        <v>0</v>
      </c>
      <c r="P510" t="n">
        <v>0</v>
      </c>
      <c r="Q510" t="n">
        <v>0</v>
      </c>
      <c r="R510" s="2" t="inlineStr"/>
    </row>
    <row r="511" ht="15" customHeight="1">
      <c r="A511" t="inlineStr">
        <is>
          <t>A 12564-2021</t>
        </is>
      </c>
      <c r="B511" s="1" t="n">
        <v>44270</v>
      </c>
      <c r="C511" s="1" t="n">
        <v>45645</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12779-2021</t>
        </is>
      </c>
      <c r="B512" s="1" t="n">
        <v>44270</v>
      </c>
      <c r="C512" s="1" t="n">
        <v>45645</v>
      </c>
      <c r="D512" t="inlineStr">
        <is>
          <t>STOCKHOLMS LÄN</t>
        </is>
      </c>
      <c r="E512" t="inlineStr">
        <is>
          <t>NORRTÄLJE</t>
        </is>
      </c>
      <c r="G512" t="n">
        <v>10.8</v>
      </c>
      <c r="H512" t="n">
        <v>0</v>
      </c>
      <c r="I512" t="n">
        <v>0</v>
      </c>
      <c r="J512" t="n">
        <v>0</v>
      </c>
      <c r="K512" t="n">
        <v>0</v>
      </c>
      <c r="L512" t="n">
        <v>0</v>
      </c>
      <c r="M512" t="n">
        <v>0</v>
      </c>
      <c r="N512" t="n">
        <v>0</v>
      </c>
      <c r="O512" t="n">
        <v>0</v>
      </c>
      <c r="P512" t="n">
        <v>0</v>
      </c>
      <c r="Q512" t="n">
        <v>0</v>
      </c>
      <c r="R512" s="2" t="inlineStr"/>
    </row>
    <row r="513" ht="15" customHeight="1">
      <c r="A513" t="inlineStr">
        <is>
          <t>A 12782-2021</t>
        </is>
      </c>
      <c r="B513" s="1" t="n">
        <v>44270</v>
      </c>
      <c r="C513" s="1" t="n">
        <v>45645</v>
      </c>
      <c r="D513" t="inlineStr">
        <is>
          <t>STOCKHOLMS LÄN</t>
        </is>
      </c>
      <c r="E513" t="inlineStr">
        <is>
          <t>NORRTÄLJE</t>
        </is>
      </c>
      <c r="G513" t="n">
        <v>3.8</v>
      </c>
      <c r="H513" t="n">
        <v>0</v>
      </c>
      <c r="I513" t="n">
        <v>0</v>
      </c>
      <c r="J513" t="n">
        <v>0</v>
      </c>
      <c r="K513" t="n">
        <v>0</v>
      </c>
      <c r="L513" t="n">
        <v>0</v>
      </c>
      <c r="M513" t="n">
        <v>0</v>
      </c>
      <c r="N513" t="n">
        <v>0</v>
      </c>
      <c r="O513" t="n">
        <v>0</v>
      </c>
      <c r="P513" t="n">
        <v>0</v>
      </c>
      <c r="Q513" t="n">
        <v>0</v>
      </c>
      <c r="R513" s="2" t="inlineStr"/>
    </row>
    <row r="514" ht="15" customHeight="1">
      <c r="A514" t="inlineStr">
        <is>
          <t>A 13051-2021</t>
        </is>
      </c>
      <c r="B514" s="1" t="n">
        <v>44272</v>
      </c>
      <c r="C514" s="1" t="n">
        <v>45645</v>
      </c>
      <c r="D514" t="inlineStr">
        <is>
          <t>STOCKHOLMS LÄN</t>
        </is>
      </c>
      <c r="E514" t="inlineStr">
        <is>
          <t>NORRTÄLJE</t>
        </is>
      </c>
      <c r="G514" t="n">
        <v>9.1</v>
      </c>
      <c r="H514" t="n">
        <v>0</v>
      </c>
      <c r="I514" t="n">
        <v>0</v>
      </c>
      <c r="J514" t="n">
        <v>0</v>
      </c>
      <c r="K514" t="n">
        <v>0</v>
      </c>
      <c r="L514" t="n">
        <v>0</v>
      </c>
      <c r="M514" t="n">
        <v>0</v>
      </c>
      <c r="N514" t="n">
        <v>0</v>
      </c>
      <c r="O514" t="n">
        <v>0</v>
      </c>
      <c r="P514" t="n">
        <v>0</v>
      </c>
      <c r="Q514" t="n">
        <v>0</v>
      </c>
      <c r="R514" s="2" t="inlineStr"/>
    </row>
    <row r="515" ht="15" customHeight="1">
      <c r="A515" t="inlineStr">
        <is>
          <t>A 13148-2021</t>
        </is>
      </c>
      <c r="B515" s="1" t="n">
        <v>44272</v>
      </c>
      <c r="C515" s="1" t="n">
        <v>45645</v>
      </c>
      <c r="D515" t="inlineStr">
        <is>
          <t>STOCKHOLMS LÄN</t>
        </is>
      </c>
      <c r="E515" t="inlineStr">
        <is>
          <t>NORRTÄLJE</t>
        </is>
      </c>
      <c r="G515" t="n">
        <v>12.4</v>
      </c>
      <c r="H515" t="n">
        <v>0</v>
      </c>
      <c r="I515" t="n">
        <v>0</v>
      </c>
      <c r="J515" t="n">
        <v>0</v>
      </c>
      <c r="K515" t="n">
        <v>0</v>
      </c>
      <c r="L515" t="n">
        <v>0</v>
      </c>
      <c r="M515" t="n">
        <v>0</v>
      </c>
      <c r="N515" t="n">
        <v>0</v>
      </c>
      <c r="O515" t="n">
        <v>0</v>
      </c>
      <c r="P515" t="n">
        <v>0</v>
      </c>
      <c r="Q515" t="n">
        <v>0</v>
      </c>
      <c r="R515" s="2" t="inlineStr"/>
    </row>
    <row r="516" ht="15" customHeight="1">
      <c r="A516" t="inlineStr">
        <is>
          <t>A 13736-2021</t>
        </is>
      </c>
      <c r="B516" s="1" t="n">
        <v>44274</v>
      </c>
      <c r="C516" s="1" t="n">
        <v>45645</v>
      </c>
      <c r="D516" t="inlineStr">
        <is>
          <t>STOCKHOLMS LÄN</t>
        </is>
      </c>
      <c r="E516" t="inlineStr">
        <is>
          <t>NORRTÄLJE</t>
        </is>
      </c>
      <c r="F516" t="inlineStr">
        <is>
          <t>Holmen skog AB</t>
        </is>
      </c>
      <c r="G516" t="n">
        <v>3.5</v>
      </c>
      <c r="H516" t="n">
        <v>0</v>
      </c>
      <c r="I516" t="n">
        <v>0</v>
      </c>
      <c r="J516" t="n">
        <v>0</v>
      </c>
      <c r="K516" t="n">
        <v>0</v>
      </c>
      <c r="L516" t="n">
        <v>0</v>
      </c>
      <c r="M516" t="n">
        <v>0</v>
      </c>
      <c r="N516" t="n">
        <v>0</v>
      </c>
      <c r="O516" t="n">
        <v>0</v>
      </c>
      <c r="P516" t="n">
        <v>0</v>
      </c>
      <c r="Q516" t="n">
        <v>0</v>
      </c>
      <c r="R516" s="2" t="inlineStr"/>
    </row>
    <row r="517" ht="15" customHeight="1">
      <c r="A517" t="inlineStr">
        <is>
          <t>A 13752-2021</t>
        </is>
      </c>
      <c r="B517" s="1" t="n">
        <v>44274</v>
      </c>
      <c r="C517" s="1" t="n">
        <v>45645</v>
      </c>
      <c r="D517" t="inlineStr">
        <is>
          <t>STOCKHOLMS LÄN</t>
        </is>
      </c>
      <c r="E517" t="inlineStr">
        <is>
          <t>NORRTÄLJE</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14381-2021</t>
        </is>
      </c>
      <c r="B518" s="1" t="n">
        <v>44279</v>
      </c>
      <c r="C518" s="1" t="n">
        <v>45645</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14922-2021</t>
        </is>
      </c>
      <c r="B519" s="1" t="n">
        <v>44281</v>
      </c>
      <c r="C519" s="1" t="n">
        <v>45645</v>
      </c>
      <c r="D519" t="inlineStr">
        <is>
          <t>STOCKHOLMS LÄN</t>
        </is>
      </c>
      <c r="E519" t="inlineStr">
        <is>
          <t>NORRTÄLJE</t>
        </is>
      </c>
      <c r="G519" t="n">
        <v>4.8</v>
      </c>
      <c r="H519" t="n">
        <v>0</v>
      </c>
      <c r="I519" t="n">
        <v>0</v>
      </c>
      <c r="J519" t="n">
        <v>0</v>
      </c>
      <c r="K519" t="n">
        <v>0</v>
      </c>
      <c r="L519" t="n">
        <v>0</v>
      </c>
      <c r="M519" t="n">
        <v>0</v>
      </c>
      <c r="N519" t="n">
        <v>0</v>
      </c>
      <c r="O519" t="n">
        <v>0</v>
      </c>
      <c r="P519" t="n">
        <v>0</v>
      </c>
      <c r="Q519" t="n">
        <v>0</v>
      </c>
      <c r="R519" s="2" t="inlineStr"/>
    </row>
    <row r="520" ht="15" customHeight="1">
      <c r="A520" t="inlineStr">
        <is>
          <t>A 14933-2021</t>
        </is>
      </c>
      <c r="B520" s="1" t="n">
        <v>44281</v>
      </c>
      <c r="C520" s="1" t="n">
        <v>45645</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15289-2021</t>
        </is>
      </c>
      <c r="B521" s="1" t="n">
        <v>44284</v>
      </c>
      <c r="C521" s="1" t="n">
        <v>45645</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15441-2021</t>
        </is>
      </c>
      <c r="B522" s="1" t="n">
        <v>44284</v>
      </c>
      <c r="C522" s="1" t="n">
        <v>45645</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15552-2021</t>
        </is>
      </c>
      <c r="B523" s="1" t="n">
        <v>44285</v>
      </c>
      <c r="C523" s="1" t="n">
        <v>45645</v>
      </c>
      <c r="D523" t="inlineStr">
        <is>
          <t>STOCKHOLMS LÄN</t>
        </is>
      </c>
      <c r="E523" t="inlineStr">
        <is>
          <t>NORRTÄLJE</t>
        </is>
      </c>
      <c r="G523" t="n">
        <v>10</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45645</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17460-2021</t>
        </is>
      </c>
      <c r="B525" s="1" t="n">
        <v>44299</v>
      </c>
      <c r="C525" s="1" t="n">
        <v>45645</v>
      </c>
      <c r="D525" t="inlineStr">
        <is>
          <t>STOCKHOLMS LÄN</t>
        </is>
      </c>
      <c r="E525" t="inlineStr">
        <is>
          <t>NORRTÄLJE</t>
        </is>
      </c>
      <c r="G525" t="n">
        <v>3.2</v>
      </c>
      <c r="H525" t="n">
        <v>0</v>
      </c>
      <c r="I525" t="n">
        <v>0</v>
      </c>
      <c r="J525" t="n">
        <v>0</v>
      </c>
      <c r="K525" t="n">
        <v>0</v>
      </c>
      <c r="L525" t="n">
        <v>0</v>
      </c>
      <c r="M525" t="n">
        <v>0</v>
      </c>
      <c r="N525" t="n">
        <v>0</v>
      </c>
      <c r="O525" t="n">
        <v>0</v>
      </c>
      <c r="P525" t="n">
        <v>0</v>
      </c>
      <c r="Q525" t="n">
        <v>0</v>
      </c>
      <c r="R525" s="2" t="inlineStr"/>
    </row>
    <row r="526" ht="15" customHeight="1">
      <c r="A526" t="inlineStr">
        <is>
          <t>A 17703-2021</t>
        </is>
      </c>
      <c r="B526" s="1" t="n">
        <v>44300</v>
      </c>
      <c r="C526" s="1" t="n">
        <v>45645</v>
      </c>
      <c r="D526" t="inlineStr">
        <is>
          <t>STOCKHOLMS LÄN</t>
        </is>
      </c>
      <c r="E526" t="inlineStr">
        <is>
          <t>NORRTÄLJE</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18580-2021</t>
        </is>
      </c>
      <c r="B527" s="1" t="n">
        <v>44306</v>
      </c>
      <c r="C527" s="1" t="n">
        <v>45645</v>
      </c>
      <c r="D527" t="inlineStr">
        <is>
          <t>STOCKHOLMS LÄN</t>
        </is>
      </c>
      <c r="E527" t="inlineStr">
        <is>
          <t>NORRTÄLJE</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18609-2021</t>
        </is>
      </c>
      <c r="B528" s="1" t="n">
        <v>44306</v>
      </c>
      <c r="C528" s="1" t="n">
        <v>45645</v>
      </c>
      <c r="D528" t="inlineStr">
        <is>
          <t>STOCKHOLMS LÄN</t>
        </is>
      </c>
      <c r="E528" t="inlineStr">
        <is>
          <t>NORRTÄLJE</t>
        </is>
      </c>
      <c r="G528" t="n">
        <v>9.5</v>
      </c>
      <c r="H528" t="n">
        <v>0</v>
      </c>
      <c r="I528" t="n">
        <v>0</v>
      </c>
      <c r="J528" t="n">
        <v>0</v>
      </c>
      <c r="K528" t="n">
        <v>0</v>
      </c>
      <c r="L528" t="n">
        <v>0</v>
      </c>
      <c r="M528" t="n">
        <v>0</v>
      </c>
      <c r="N528" t="n">
        <v>0</v>
      </c>
      <c r="O528" t="n">
        <v>0</v>
      </c>
      <c r="P528" t="n">
        <v>0</v>
      </c>
      <c r="Q528" t="n">
        <v>0</v>
      </c>
      <c r="R528" s="2" t="inlineStr"/>
    </row>
    <row r="529" ht="15" customHeight="1">
      <c r="A529" t="inlineStr">
        <is>
          <t>A 18539-2021</t>
        </is>
      </c>
      <c r="B529" s="1" t="n">
        <v>44306</v>
      </c>
      <c r="C529" s="1" t="n">
        <v>45645</v>
      </c>
      <c r="D529" t="inlineStr">
        <is>
          <t>STOCKHOLMS LÄN</t>
        </is>
      </c>
      <c r="E529" t="inlineStr">
        <is>
          <t>NORRTÄLJE</t>
        </is>
      </c>
      <c r="F529" t="inlineStr">
        <is>
          <t>Holmen skog AB</t>
        </is>
      </c>
      <c r="G529" t="n">
        <v>5.5</v>
      </c>
      <c r="H529" t="n">
        <v>0</v>
      </c>
      <c r="I529" t="n">
        <v>0</v>
      </c>
      <c r="J529" t="n">
        <v>0</v>
      </c>
      <c r="K529" t="n">
        <v>0</v>
      </c>
      <c r="L529" t="n">
        <v>0</v>
      </c>
      <c r="M529" t="n">
        <v>0</v>
      </c>
      <c r="N529" t="n">
        <v>0</v>
      </c>
      <c r="O529" t="n">
        <v>0</v>
      </c>
      <c r="P529" t="n">
        <v>0</v>
      </c>
      <c r="Q529" t="n">
        <v>0</v>
      </c>
      <c r="R529" s="2" t="inlineStr"/>
    </row>
    <row r="530" ht="15" customHeight="1">
      <c r="A530" t="inlineStr">
        <is>
          <t>A 18570-2021</t>
        </is>
      </c>
      <c r="B530" s="1" t="n">
        <v>44306</v>
      </c>
      <c r="C530" s="1" t="n">
        <v>45645</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19283-2021</t>
        </is>
      </c>
      <c r="B531" s="1" t="n">
        <v>44309</v>
      </c>
      <c r="C531" s="1" t="n">
        <v>45645</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19400-2021</t>
        </is>
      </c>
      <c r="B532" s="1" t="n">
        <v>44309</v>
      </c>
      <c r="C532" s="1" t="n">
        <v>45645</v>
      </c>
      <c r="D532" t="inlineStr">
        <is>
          <t>STOCKHOLMS LÄN</t>
        </is>
      </c>
      <c r="E532" t="inlineStr">
        <is>
          <t>NORRTÄLJE</t>
        </is>
      </c>
      <c r="F532" t="inlineStr">
        <is>
          <t>Kommuner</t>
        </is>
      </c>
      <c r="G532" t="n">
        <v>2.4</v>
      </c>
      <c r="H532" t="n">
        <v>0</v>
      </c>
      <c r="I532" t="n">
        <v>0</v>
      </c>
      <c r="J532" t="n">
        <v>0</v>
      </c>
      <c r="K532" t="n">
        <v>0</v>
      </c>
      <c r="L532" t="n">
        <v>0</v>
      </c>
      <c r="M532" t="n">
        <v>0</v>
      </c>
      <c r="N532" t="n">
        <v>0</v>
      </c>
      <c r="O532" t="n">
        <v>0</v>
      </c>
      <c r="P532" t="n">
        <v>0</v>
      </c>
      <c r="Q532" t="n">
        <v>0</v>
      </c>
      <c r="R532" s="2" t="inlineStr"/>
    </row>
    <row r="533" ht="15" customHeight="1">
      <c r="A533" t="inlineStr">
        <is>
          <t>A 19307-2021</t>
        </is>
      </c>
      <c r="B533" s="1" t="n">
        <v>44309</v>
      </c>
      <c r="C533" s="1" t="n">
        <v>45645</v>
      </c>
      <c r="D533" t="inlineStr">
        <is>
          <t>STOCKHOLMS LÄN</t>
        </is>
      </c>
      <c r="E533" t="inlineStr">
        <is>
          <t>NORRTÄLJE</t>
        </is>
      </c>
      <c r="F533" t="inlineStr">
        <is>
          <t>Holmen skog AB</t>
        </is>
      </c>
      <c r="G533" t="n">
        <v>1.9</v>
      </c>
      <c r="H533" t="n">
        <v>0</v>
      </c>
      <c r="I533" t="n">
        <v>0</v>
      </c>
      <c r="J533" t="n">
        <v>0</v>
      </c>
      <c r="K533" t="n">
        <v>0</v>
      </c>
      <c r="L533" t="n">
        <v>0</v>
      </c>
      <c r="M533" t="n">
        <v>0</v>
      </c>
      <c r="N533" t="n">
        <v>0</v>
      </c>
      <c r="O533" t="n">
        <v>0</v>
      </c>
      <c r="P533" t="n">
        <v>0</v>
      </c>
      <c r="Q533" t="n">
        <v>0</v>
      </c>
      <c r="R533" s="2" t="inlineStr"/>
    </row>
    <row r="534" ht="15" customHeight="1">
      <c r="A534" t="inlineStr">
        <is>
          <t>A 19398-2021</t>
        </is>
      </c>
      <c r="B534" s="1" t="n">
        <v>44309</v>
      </c>
      <c r="C534" s="1" t="n">
        <v>45645</v>
      </c>
      <c r="D534" t="inlineStr">
        <is>
          <t>STOCKHOLMS LÄN</t>
        </is>
      </c>
      <c r="E534" t="inlineStr">
        <is>
          <t>NORRTÄLJE</t>
        </is>
      </c>
      <c r="F534" t="inlineStr">
        <is>
          <t>Kommuner</t>
        </is>
      </c>
      <c r="G534" t="n">
        <v>2.1</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45645</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20473-2021</t>
        </is>
      </c>
      <c r="B536" s="1" t="n">
        <v>44315</v>
      </c>
      <c r="C536" s="1" t="n">
        <v>45645</v>
      </c>
      <c r="D536" t="inlineStr">
        <is>
          <t>STOCKHOLMS LÄN</t>
        </is>
      </c>
      <c r="E536" t="inlineStr">
        <is>
          <t>NORRTÄLJE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21291-2021</t>
        </is>
      </c>
      <c r="B537" s="1" t="n">
        <v>44319</v>
      </c>
      <c r="C537" s="1" t="n">
        <v>45645</v>
      </c>
      <c r="D537" t="inlineStr">
        <is>
          <t>STOCKHOLMS LÄN</t>
        </is>
      </c>
      <c r="E537" t="inlineStr">
        <is>
          <t>NORRTÄLJE</t>
        </is>
      </c>
      <c r="G537" t="n">
        <v>12.7</v>
      </c>
      <c r="H537" t="n">
        <v>0</v>
      </c>
      <c r="I537" t="n">
        <v>0</v>
      </c>
      <c r="J537" t="n">
        <v>0</v>
      </c>
      <c r="K537" t="n">
        <v>0</v>
      </c>
      <c r="L537" t="n">
        <v>0</v>
      </c>
      <c r="M537" t="n">
        <v>0</v>
      </c>
      <c r="N537" t="n">
        <v>0</v>
      </c>
      <c r="O537" t="n">
        <v>0</v>
      </c>
      <c r="P537" t="n">
        <v>0</v>
      </c>
      <c r="Q537" t="n">
        <v>0</v>
      </c>
      <c r="R537" s="2" t="inlineStr"/>
    </row>
    <row r="538" ht="15" customHeight="1">
      <c r="A538" t="inlineStr">
        <is>
          <t>A 21529-2021</t>
        </is>
      </c>
      <c r="B538" s="1" t="n">
        <v>44321</v>
      </c>
      <c r="C538" s="1" t="n">
        <v>45645</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22832-2021</t>
        </is>
      </c>
      <c r="B539" s="1" t="n">
        <v>44325</v>
      </c>
      <c r="C539" s="1" t="n">
        <v>45645</v>
      </c>
      <c r="D539" t="inlineStr">
        <is>
          <t>STOCKHOLMS LÄN</t>
        </is>
      </c>
      <c r="E539" t="inlineStr">
        <is>
          <t>NORRTÄLJE</t>
        </is>
      </c>
      <c r="G539" t="n">
        <v>6.8</v>
      </c>
      <c r="H539" t="n">
        <v>0</v>
      </c>
      <c r="I539" t="n">
        <v>0</v>
      </c>
      <c r="J539" t="n">
        <v>0</v>
      </c>
      <c r="K539" t="n">
        <v>0</v>
      </c>
      <c r="L539" t="n">
        <v>0</v>
      </c>
      <c r="M539" t="n">
        <v>0</v>
      </c>
      <c r="N539" t="n">
        <v>0</v>
      </c>
      <c r="O539" t="n">
        <v>0</v>
      </c>
      <c r="P539" t="n">
        <v>0</v>
      </c>
      <c r="Q539" t="n">
        <v>0</v>
      </c>
      <c r="R539" s="2" t="inlineStr"/>
    </row>
    <row r="540" ht="15" customHeight="1">
      <c r="A540" t="inlineStr">
        <is>
          <t>A 22816-2021</t>
        </is>
      </c>
      <c r="B540" s="1" t="n">
        <v>44325</v>
      </c>
      <c r="C540" s="1" t="n">
        <v>45645</v>
      </c>
      <c r="D540" t="inlineStr">
        <is>
          <t>STOCKHOLMS LÄN</t>
        </is>
      </c>
      <c r="E540" t="inlineStr">
        <is>
          <t>NORRTÄLJE</t>
        </is>
      </c>
      <c r="G540" t="n">
        <v>4.5</v>
      </c>
      <c r="H540" t="n">
        <v>0</v>
      </c>
      <c r="I540" t="n">
        <v>0</v>
      </c>
      <c r="J540" t="n">
        <v>0</v>
      </c>
      <c r="K540" t="n">
        <v>0</v>
      </c>
      <c r="L540" t="n">
        <v>0</v>
      </c>
      <c r="M540" t="n">
        <v>0</v>
      </c>
      <c r="N540" t="n">
        <v>0</v>
      </c>
      <c r="O540" t="n">
        <v>0</v>
      </c>
      <c r="P540" t="n">
        <v>0</v>
      </c>
      <c r="Q540" t="n">
        <v>0</v>
      </c>
      <c r="R540" s="2" t="inlineStr"/>
    </row>
    <row r="541" ht="15" customHeight="1">
      <c r="A541" t="inlineStr">
        <is>
          <t>A 22369-2021</t>
        </is>
      </c>
      <c r="B541" s="1" t="n">
        <v>44326</v>
      </c>
      <c r="C541" s="1" t="n">
        <v>45645</v>
      </c>
      <c r="D541" t="inlineStr">
        <is>
          <t>STOCKHOLMS LÄN</t>
        </is>
      </c>
      <c r="E541" t="inlineStr">
        <is>
          <t>NORRTÄLJE</t>
        </is>
      </c>
      <c r="F541" t="inlineStr">
        <is>
          <t>Holmen skog AB</t>
        </is>
      </c>
      <c r="G541" t="n">
        <v>3.4</v>
      </c>
      <c r="H541" t="n">
        <v>0</v>
      </c>
      <c r="I541" t="n">
        <v>0</v>
      </c>
      <c r="J541" t="n">
        <v>0</v>
      </c>
      <c r="K541" t="n">
        <v>0</v>
      </c>
      <c r="L541" t="n">
        <v>0</v>
      </c>
      <c r="M541" t="n">
        <v>0</v>
      </c>
      <c r="N541" t="n">
        <v>0</v>
      </c>
      <c r="O541" t="n">
        <v>0</v>
      </c>
      <c r="P541" t="n">
        <v>0</v>
      </c>
      <c r="Q541" t="n">
        <v>0</v>
      </c>
      <c r="R541" s="2" t="inlineStr"/>
    </row>
    <row r="542" ht="15" customHeight="1">
      <c r="A542" t="inlineStr">
        <is>
          <t>A 22421-2021</t>
        </is>
      </c>
      <c r="B542" s="1" t="n">
        <v>44326</v>
      </c>
      <c r="C542" s="1" t="n">
        <v>45645</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22412-2021</t>
        </is>
      </c>
      <c r="B543" s="1" t="n">
        <v>44326</v>
      </c>
      <c r="C543" s="1" t="n">
        <v>45645</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45645</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23096-2021</t>
        </is>
      </c>
      <c r="B545" s="1" t="n">
        <v>44330</v>
      </c>
      <c r="C545" s="1" t="n">
        <v>45645</v>
      </c>
      <c r="D545" t="inlineStr">
        <is>
          <t>STOCKHOLMS LÄN</t>
        </is>
      </c>
      <c r="E545" t="inlineStr">
        <is>
          <t>NORRTÄLJE</t>
        </is>
      </c>
      <c r="G545" t="n">
        <v>0.3</v>
      </c>
      <c r="H545" t="n">
        <v>0</v>
      </c>
      <c r="I545" t="n">
        <v>0</v>
      </c>
      <c r="J545" t="n">
        <v>0</v>
      </c>
      <c r="K545" t="n">
        <v>0</v>
      </c>
      <c r="L545" t="n">
        <v>0</v>
      </c>
      <c r="M545" t="n">
        <v>0</v>
      </c>
      <c r="N545" t="n">
        <v>0</v>
      </c>
      <c r="O545" t="n">
        <v>0</v>
      </c>
      <c r="P545" t="n">
        <v>0</v>
      </c>
      <c r="Q545" t="n">
        <v>0</v>
      </c>
      <c r="R545" s="2" t="inlineStr"/>
    </row>
    <row r="546" ht="15" customHeight="1">
      <c r="A546" t="inlineStr">
        <is>
          <t>A 23122-2021</t>
        </is>
      </c>
      <c r="B546" s="1" t="n">
        <v>44330</v>
      </c>
      <c r="C546" s="1" t="n">
        <v>45645</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23453-2021</t>
        </is>
      </c>
      <c r="B547" s="1" t="n">
        <v>44333</v>
      </c>
      <c r="C547" s="1" t="n">
        <v>45645</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24082-2021</t>
        </is>
      </c>
      <c r="B548" s="1" t="n">
        <v>44336</v>
      </c>
      <c r="C548" s="1" t="n">
        <v>45645</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25463-2021</t>
        </is>
      </c>
      <c r="B549" s="1" t="n">
        <v>44342</v>
      </c>
      <c r="C549" s="1" t="n">
        <v>45645</v>
      </c>
      <c r="D549" t="inlineStr">
        <is>
          <t>STOCKHOLMS LÄN</t>
        </is>
      </c>
      <c r="E549" t="inlineStr">
        <is>
          <t>NORRTÄLJE</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27217-2021</t>
        </is>
      </c>
      <c r="B550" s="1" t="n">
        <v>44350</v>
      </c>
      <c r="C550" s="1" t="n">
        <v>45645</v>
      </c>
      <c r="D550" t="inlineStr">
        <is>
          <t>STOCKHOLMS LÄN</t>
        </is>
      </c>
      <c r="E550" t="inlineStr">
        <is>
          <t>NORRTÄLJE</t>
        </is>
      </c>
      <c r="G550" t="n">
        <v>5.5</v>
      </c>
      <c r="H550" t="n">
        <v>0</v>
      </c>
      <c r="I550" t="n">
        <v>0</v>
      </c>
      <c r="J550" t="n">
        <v>0</v>
      </c>
      <c r="K550" t="n">
        <v>0</v>
      </c>
      <c r="L550" t="n">
        <v>0</v>
      </c>
      <c r="M550" t="n">
        <v>0</v>
      </c>
      <c r="N550" t="n">
        <v>0</v>
      </c>
      <c r="O550" t="n">
        <v>0</v>
      </c>
      <c r="P550" t="n">
        <v>0</v>
      </c>
      <c r="Q550" t="n">
        <v>0</v>
      </c>
      <c r="R550" s="2" t="inlineStr"/>
    </row>
    <row r="551" ht="15" customHeight="1">
      <c r="A551" t="inlineStr">
        <is>
          <t>A 27214-2021</t>
        </is>
      </c>
      <c r="B551" s="1" t="n">
        <v>44350</v>
      </c>
      <c r="C551" s="1" t="n">
        <v>45645</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29357-2021</t>
        </is>
      </c>
      <c r="B552" s="1" t="n">
        <v>44361</v>
      </c>
      <c r="C552" s="1" t="n">
        <v>45645</v>
      </c>
      <c r="D552" t="inlineStr">
        <is>
          <t>STOCKHOLMS LÄN</t>
        </is>
      </c>
      <c r="E552" t="inlineStr">
        <is>
          <t>NORRTÄLJE</t>
        </is>
      </c>
      <c r="F552" t="inlineStr">
        <is>
          <t>Holmen skog AB</t>
        </is>
      </c>
      <c r="G552" t="n">
        <v>1.8</v>
      </c>
      <c r="H552" t="n">
        <v>0</v>
      </c>
      <c r="I552" t="n">
        <v>0</v>
      </c>
      <c r="J552" t="n">
        <v>0</v>
      </c>
      <c r="K552" t="n">
        <v>0</v>
      </c>
      <c r="L552" t="n">
        <v>0</v>
      </c>
      <c r="M552" t="n">
        <v>0</v>
      </c>
      <c r="N552" t="n">
        <v>0</v>
      </c>
      <c r="O552" t="n">
        <v>0</v>
      </c>
      <c r="P552" t="n">
        <v>0</v>
      </c>
      <c r="Q552" t="n">
        <v>0</v>
      </c>
      <c r="R552" s="2" t="inlineStr"/>
    </row>
    <row r="553" ht="15" customHeight="1">
      <c r="A553" t="inlineStr">
        <is>
          <t>A 29680-2021</t>
        </is>
      </c>
      <c r="B553" s="1" t="n">
        <v>44362</v>
      </c>
      <c r="C553" s="1" t="n">
        <v>45645</v>
      </c>
      <c r="D553" t="inlineStr">
        <is>
          <t>STOCKHOLMS LÄN</t>
        </is>
      </c>
      <c r="E553" t="inlineStr">
        <is>
          <t>NORRTÄLJE</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29684-2021</t>
        </is>
      </c>
      <c r="B554" s="1" t="n">
        <v>44362</v>
      </c>
      <c r="C554" s="1" t="n">
        <v>45645</v>
      </c>
      <c r="D554" t="inlineStr">
        <is>
          <t>STOCKHOLMS LÄN</t>
        </is>
      </c>
      <c r="E554" t="inlineStr">
        <is>
          <t>NORRTÄLJE</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30129-2021</t>
        </is>
      </c>
      <c r="B555" s="1" t="n">
        <v>44363</v>
      </c>
      <c r="C555" s="1" t="n">
        <v>45645</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31688-2021</t>
        </is>
      </c>
      <c r="B556" s="1" t="n">
        <v>44369</v>
      </c>
      <c r="C556" s="1" t="n">
        <v>45645</v>
      </c>
      <c r="D556" t="inlineStr">
        <is>
          <t>STOCKHOLMS LÄN</t>
        </is>
      </c>
      <c r="E556" t="inlineStr">
        <is>
          <t>NORRTÄLJE</t>
        </is>
      </c>
      <c r="G556" t="n">
        <v>2.9</v>
      </c>
      <c r="H556" t="n">
        <v>0</v>
      </c>
      <c r="I556" t="n">
        <v>0</v>
      </c>
      <c r="J556" t="n">
        <v>0</v>
      </c>
      <c r="K556" t="n">
        <v>0</v>
      </c>
      <c r="L556" t="n">
        <v>0</v>
      </c>
      <c r="M556" t="n">
        <v>0</v>
      </c>
      <c r="N556" t="n">
        <v>0</v>
      </c>
      <c r="O556" t="n">
        <v>0</v>
      </c>
      <c r="P556" t="n">
        <v>0</v>
      </c>
      <c r="Q556" t="n">
        <v>0</v>
      </c>
      <c r="R556" s="2" t="inlineStr"/>
    </row>
    <row r="557" ht="15" customHeight="1">
      <c r="A557" t="inlineStr">
        <is>
          <t>A 32002-2021</t>
        </is>
      </c>
      <c r="B557" s="1" t="n">
        <v>44370</v>
      </c>
      <c r="C557" s="1" t="n">
        <v>45645</v>
      </c>
      <c r="D557" t="inlineStr">
        <is>
          <t>STOCKHOLMS LÄN</t>
        </is>
      </c>
      <c r="E557" t="inlineStr">
        <is>
          <t>NORRTÄLJE</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32051-2021</t>
        </is>
      </c>
      <c r="B558" s="1" t="n">
        <v>44370</v>
      </c>
      <c r="C558" s="1" t="n">
        <v>45645</v>
      </c>
      <c r="D558" t="inlineStr">
        <is>
          <t>STOCKHOLMS LÄN</t>
        </is>
      </c>
      <c r="E558" t="inlineStr">
        <is>
          <t>NORRTÄLJE</t>
        </is>
      </c>
      <c r="G558" t="n">
        <v>4.6</v>
      </c>
      <c r="H558" t="n">
        <v>0</v>
      </c>
      <c r="I558" t="n">
        <v>0</v>
      </c>
      <c r="J558" t="n">
        <v>0</v>
      </c>
      <c r="K558" t="n">
        <v>0</v>
      </c>
      <c r="L558" t="n">
        <v>0</v>
      </c>
      <c r="M558" t="n">
        <v>0</v>
      </c>
      <c r="N558" t="n">
        <v>0</v>
      </c>
      <c r="O558" t="n">
        <v>0</v>
      </c>
      <c r="P558" t="n">
        <v>0</v>
      </c>
      <c r="Q558" t="n">
        <v>0</v>
      </c>
      <c r="R558" s="2" t="inlineStr"/>
    </row>
    <row r="559" ht="15" customHeight="1">
      <c r="A559" t="inlineStr">
        <is>
          <t>A 32055-2021</t>
        </is>
      </c>
      <c r="B559" s="1" t="n">
        <v>44370</v>
      </c>
      <c r="C559" s="1" t="n">
        <v>45645</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32561-2021</t>
        </is>
      </c>
      <c r="B560" s="1" t="n">
        <v>44375</v>
      </c>
      <c r="C560" s="1" t="n">
        <v>45645</v>
      </c>
      <c r="D560" t="inlineStr">
        <is>
          <t>STOCKHOLMS LÄN</t>
        </is>
      </c>
      <c r="E560" t="inlineStr">
        <is>
          <t>NORRTÄLJE</t>
        </is>
      </c>
      <c r="G560" t="n">
        <v>3.4</v>
      </c>
      <c r="H560" t="n">
        <v>0</v>
      </c>
      <c r="I560" t="n">
        <v>0</v>
      </c>
      <c r="J560" t="n">
        <v>0</v>
      </c>
      <c r="K560" t="n">
        <v>0</v>
      </c>
      <c r="L560" t="n">
        <v>0</v>
      </c>
      <c r="M560" t="n">
        <v>0</v>
      </c>
      <c r="N560" t="n">
        <v>0</v>
      </c>
      <c r="O560" t="n">
        <v>0</v>
      </c>
      <c r="P560" t="n">
        <v>0</v>
      </c>
      <c r="Q560" t="n">
        <v>0</v>
      </c>
      <c r="R560" s="2" t="inlineStr"/>
    </row>
    <row r="561" ht="15" customHeight="1">
      <c r="A561" t="inlineStr">
        <is>
          <t>A 32857-2021</t>
        </is>
      </c>
      <c r="B561" s="1" t="n">
        <v>44375</v>
      </c>
      <c r="C561" s="1" t="n">
        <v>45645</v>
      </c>
      <c r="D561" t="inlineStr">
        <is>
          <t>STOCKHOLMS LÄN</t>
        </is>
      </c>
      <c r="E561" t="inlineStr">
        <is>
          <t>NORRTÄLJE</t>
        </is>
      </c>
      <c r="G561" t="n">
        <v>2.9</v>
      </c>
      <c r="H561" t="n">
        <v>0</v>
      </c>
      <c r="I561" t="n">
        <v>0</v>
      </c>
      <c r="J561" t="n">
        <v>0</v>
      </c>
      <c r="K561" t="n">
        <v>0</v>
      </c>
      <c r="L561" t="n">
        <v>0</v>
      </c>
      <c r="M561" t="n">
        <v>0</v>
      </c>
      <c r="N561" t="n">
        <v>0</v>
      </c>
      <c r="O561" t="n">
        <v>0</v>
      </c>
      <c r="P561" t="n">
        <v>0</v>
      </c>
      <c r="Q561" t="n">
        <v>0</v>
      </c>
      <c r="R561" s="2" t="inlineStr"/>
    </row>
    <row r="562" ht="15" customHeight="1">
      <c r="A562" t="inlineStr">
        <is>
          <t>A 33053-2021</t>
        </is>
      </c>
      <c r="B562" s="1" t="n">
        <v>44376</v>
      </c>
      <c r="C562" s="1" t="n">
        <v>45645</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33046-2021</t>
        </is>
      </c>
      <c r="B563" s="1" t="n">
        <v>44376</v>
      </c>
      <c r="C563" s="1" t="n">
        <v>45645</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33040-2021</t>
        </is>
      </c>
      <c r="B564" s="1" t="n">
        <v>44376</v>
      </c>
      <c r="C564" s="1" t="n">
        <v>45645</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34520-2021</t>
        </is>
      </c>
      <c r="B565" s="1" t="n">
        <v>44379</v>
      </c>
      <c r="C565" s="1" t="n">
        <v>45645</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34432-2021</t>
        </is>
      </c>
      <c r="B566" s="1" t="n">
        <v>44380</v>
      </c>
      <c r="C566" s="1" t="n">
        <v>45645</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34431-2021</t>
        </is>
      </c>
      <c r="B567" s="1" t="n">
        <v>44380</v>
      </c>
      <c r="C567" s="1" t="n">
        <v>45645</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34436-2021</t>
        </is>
      </c>
      <c r="B568" s="1" t="n">
        <v>44380</v>
      </c>
      <c r="C568" s="1" t="n">
        <v>45645</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34731-2021</t>
        </is>
      </c>
      <c r="B569" s="1" t="n">
        <v>44382</v>
      </c>
      <c r="C569" s="1" t="n">
        <v>45645</v>
      </c>
      <c r="D569" t="inlineStr">
        <is>
          <t>STOCKHOLMS LÄN</t>
        </is>
      </c>
      <c r="E569" t="inlineStr">
        <is>
          <t>NORRTÄLJE</t>
        </is>
      </c>
      <c r="G569" t="n">
        <v>0.2</v>
      </c>
      <c r="H569" t="n">
        <v>0</v>
      </c>
      <c r="I569" t="n">
        <v>0</v>
      </c>
      <c r="J569" t="n">
        <v>0</v>
      </c>
      <c r="K569" t="n">
        <v>0</v>
      </c>
      <c r="L569" t="n">
        <v>0</v>
      </c>
      <c r="M569" t="n">
        <v>0</v>
      </c>
      <c r="N569" t="n">
        <v>0</v>
      </c>
      <c r="O569" t="n">
        <v>0</v>
      </c>
      <c r="P569" t="n">
        <v>0</v>
      </c>
      <c r="Q569" t="n">
        <v>0</v>
      </c>
      <c r="R569" s="2" t="inlineStr"/>
    </row>
    <row r="570" ht="15" customHeight="1">
      <c r="A570" t="inlineStr">
        <is>
          <t>A 34792-2021</t>
        </is>
      </c>
      <c r="B570" s="1" t="n">
        <v>44383</v>
      </c>
      <c r="C570" s="1" t="n">
        <v>45645</v>
      </c>
      <c r="D570" t="inlineStr">
        <is>
          <t>STOCKHOLMS LÄN</t>
        </is>
      </c>
      <c r="E570" t="inlineStr">
        <is>
          <t>NORRTÄLJE</t>
        </is>
      </c>
      <c r="G570" t="n">
        <v>4.4</v>
      </c>
      <c r="H570" t="n">
        <v>0</v>
      </c>
      <c r="I570" t="n">
        <v>0</v>
      </c>
      <c r="J570" t="n">
        <v>0</v>
      </c>
      <c r="K570" t="n">
        <v>0</v>
      </c>
      <c r="L570" t="n">
        <v>0</v>
      </c>
      <c r="M570" t="n">
        <v>0</v>
      </c>
      <c r="N570" t="n">
        <v>0</v>
      </c>
      <c r="O570" t="n">
        <v>0</v>
      </c>
      <c r="P570" t="n">
        <v>0</v>
      </c>
      <c r="Q570" t="n">
        <v>0</v>
      </c>
      <c r="R570" s="2" t="inlineStr"/>
    </row>
    <row r="571" ht="15" customHeight="1">
      <c r="A571" t="inlineStr">
        <is>
          <t>A 36246-2021</t>
        </is>
      </c>
      <c r="B571" s="1" t="n">
        <v>44390</v>
      </c>
      <c r="C571" s="1" t="n">
        <v>45645</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36565-2021</t>
        </is>
      </c>
      <c r="B572" s="1" t="n">
        <v>44391</v>
      </c>
      <c r="C572" s="1" t="n">
        <v>45645</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37085-2021</t>
        </is>
      </c>
      <c r="B573" s="1" t="n">
        <v>44395</v>
      </c>
      <c r="C573" s="1" t="n">
        <v>45645</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37344-2021</t>
        </is>
      </c>
      <c r="B574" s="1" t="n">
        <v>44397</v>
      </c>
      <c r="C574" s="1" t="n">
        <v>45645</v>
      </c>
      <c r="D574" t="inlineStr">
        <is>
          <t>STOCKHOLMS LÄN</t>
        </is>
      </c>
      <c r="E574" t="inlineStr">
        <is>
          <t>NORRTÄLJE</t>
        </is>
      </c>
      <c r="G574" t="n">
        <v>1.6</v>
      </c>
      <c r="H574" t="n">
        <v>0</v>
      </c>
      <c r="I574" t="n">
        <v>0</v>
      </c>
      <c r="J574" t="n">
        <v>0</v>
      </c>
      <c r="K574" t="n">
        <v>0</v>
      </c>
      <c r="L574" t="n">
        <v>0</v>
      </c>
      <c r="M574" t="n">
        <v>0</v>
      </c>
      <c r="N574" t="n">
        <v>0</v>
      </c>
      <c r="O574" t="n">
        <v>0</v>
      </c>
      <c r="P574" t="n">
        <v>0</v>
      </c>
      <c r="Q574" t="n">
        <v>0</v>
      </c>
      <c r="R574" s="2" t="inlineStr"/>
    </row>
    <row r="575" ht="15" customHeight="1">
      <c r="A575" t="inlineStr">
        <is>
          <t>A 37415-2021</t>
        </is>
      </c>
      <c r="B575" s="1" t="n">
        <v>44397</v>
      </c>
      <c r="C575" s="1" t="n">
        <v>45645</v>
      </c>
      <c r="D575" t="inlineStr">
        <is>
          <t>STOCKHOLMS LÄN</t>
        </is>
      </c>
      <c r="E575" t="inlineStr">
        <is>
          <t>NORRTÄLJE</t>
        </is>
      </c>
      <c r="F575" t="inlineStr">
        <is>
          <t>Övriga Aktiebolag</t>
        </is>
      </c>
      <c r="G575" t="n">
        <v>3</v>
      </c>
      <c r="H575" t="n">
        <v>0</v>
      </c>
      <c r="I575" t="n">
        <v>0</v>
      </c>
      <c r="J575" t="n">
        <v>0</v>
      </c>
      <c r="K575" t="n">
        <v>0</v>
      </c>
      <c r="L575" t="n">
        <v>0</v>
      </c>
      <c r="M575" t="n">
        <v>0</v>
      </c>
      <c r="N575" t="n">
        <v>0</v>
      </c>
      <c r="O575" t="n">
        <v>0</v>
      </c>
      <c r="P575" t="n">
        <v>0</v>
      </c>
      <c r="Q575" t="n">
        <v>0</v>
      </c>
      <c r="R575" s="2" t="inlineStr"/>
    </row>
    <row r="576" ht="15" customHeight="1">
      <c r="A576" t="inlineStr">
        <is>
          <t>A 37444-2021</t>
        </is>
      </c>
      <c r="B576" s="1" t="n">
        <v>44398</v>
      </c>
      <c r="C576" s="1" t="n">
        <v>45645</v>
      </c>
      <c r="D576" t="inlineStr">
        <is>
          <t>STOCKHOLMS LÄN</t>
        </is>
      </c>
      <c r="E576" t="inlineStr">
        <is>
          <t>NORRTÄLJE</t>
        </is>
      </c>
      <c r="F576" t="inlineStr">
        <is>
          <t>Holmen skog AB</t>
        </is>
      </c>
      <c r="G576" t="n">
        <v>3.2</v>
      </c>
      <c r="H576" t="n">
        <v>0</v>
      </c>
      <c r="I576" t="n">
        <v>0</v>
      </c>
      <c r="J576" t="n">
        <v>0</v>
      </c>
      <c r="K576" t="n">
        <v>0</v>
      </c>
      <c r="L576" t="n">
        <v>0</v>
      </c>
      <c r="M576" t="n">
        <v>0</v>
      </c>
      <c r="N576" t="n">
        <v>0</v>
      </c>
      <c r="O576" t="n">
        <v>0</v>
      </c>
      <c r="P576" t="n">
        <v>0</v>
      </c>
      <c r="Q576" t="n">
        <v>0</v>
      </c>
      <c r="R576" s="2" t="inlineStr"/>
    </row>
    <row r="577" ht="15" customHeight="1">
      <c r="A577" t="inlineStr">
        <is>
          <t>A 37462-2021</t>
        </is>
      </c>
      <c r="B577" s="1" t="n">
        <v>44398</v>
      </c>
      <c r="C577" s="1" t="n">
        <v>45645</v>
      </c>
      <c r="D577" t="inlineStr">
        <is>
          <t>STOCKHOLMS LÄN</t>
        </is>
      </c>
      <c r="E577" t="inlineStr">
        <is>
          <t>NORRTÄLJE</t>
        </is>
      </c>
      <c r="G577" t="n">
        <v>3.5</v>
      </c>
      <c r="H577" t="n">
        <v>0</v>
      </c>
      <c r="I577" t="n">
        <v>0</v>
      </c>
      <c r="J577" t="n">
        <v>0</v>
      </c>
      <c r="K577" t="n">
        <v>0</v>
      </c>
      <c r="L577" t="n">
        <v>0</v>
      </c>
      <c r="M577" t="n">
        <v>0</v>
      </c>
      <c r="N577" t="n">
        <v>0</v>
      </c>
      <c r="O577" t="n">
        <v>0</v>
      </c>
      <c r="P577" t="n">
        <v>0</v>
      </c>
      <c r="Q577" t="n">
        <v>0</v>
      </c>
      <c r="R577" s="2" t="inlineStr"/>
    </row>
    <row r="578" ht="15" customHeight="1">
      <c r="A578" t="inlineStr">
        <is>
          <t>A 37530-2021</t>
        </is>
      </c>
      <c r="B578" s="1" t="n">
        <v>44399</v>
      </c>
      <c r="C578" s="1" t="n">
        <v>45645</v>
      </c>
      <c r="D578" t="inlineStr">
        <is>
          <t>STOCKHOLMS LÄN</t>
        </is>
      </c>
      <c r="E578" t="inlineStr">
        <is>
          <t>NORRTÄLJE</t>
        </is>
      </c>
      <c r="F578" t="inlineStr">
        <is>
          <t>Holmen skog AB</t>
        </is>
      </c>
      <c r="G578" t="n">
        <v>2.8</v>
      </c>
      <c r="H578" t="n">
        <v>0</v>
      </c>
      <c r="I578" t="n">
        <v>0</v>
      </c>
      <c r="J578" t="n">
        <v>0</v>
      </c>
      <c r="K578" t="n">
        <v>0</v>
      </c>
      <c r="L578" t="n">
        <v>0</v>
      </c>
      <c r="M578" t="n">
        <v>0</v>
      </c>
      <c r="N578" t="n">
        <v>0</v>
      </c>
      <c r="O578" t="n">
        <v>0</v>
      </c>
      <c r="P578" t="n">
        <v>0</v>
      </c>
      <c r="Q578" t="n">
        <v>0</v>
      </c>
      <c r="R578" s="2" t="inlineStr"/>
    </row>
    <row r="579" ht="15" customHeight="1">
      <c r="A579" t="inlineStr">
        <is>
          <t>A 37522-2021</t>
        </is>
      </c>
      <c r="B579" s="1" t="n">
        <v>44399</v>
      </c>
      <c r="C579" s="1" t="n">
        <v>45645</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37525-2021</t>
        </is>
      </c>
      <c r="B580" s="1" t="n">
        <v>44399</v>
      </c>
      <c r="C580" s="1" t="n">
        <v>45645</v>
      </c>
      <c r="D580" t="inlineStr">
        <is>
          <t>STOCKHOLMS LÄN</t>
        </is>
      </c>
      <c r="E580" t="inlineStr">
        <is>
          <t>NORRTÄLJE</t>
        </is>
      </c>
      <c r="F580" t="inlineStr">
        <is>
          <t>Holmen skog AB</t>
        </is>
      </c>
      <c r="G580" t="n">
        <v>2.5</v>
      </c>
      <c r="H580" t="n">
        <v>0</v>
      </c>
      <c r="I580" t="n">
        <v>0</v>
      </c>
      <c r="J580" t="n">
        <v>0</v>
      </c>
      <c r="K580" t="n">
        <v>0</v>
      </c>
      <c r="L580" t="n">
        <v>0</v>
      </c>
      <c r="M580" t="n">
        <v>0</v>
      </c>
      <c r="N580" t="n">
        <v>0</v>
      </c>
      <c r="O580" t="n">
        <v>0</v>
      </c>
      <c r="P580" t="n">
        <v>0</v>
      </c>
      <c r="Q580" t="n">
        <v>0</v>
      </c>
      <c r="R580" s="2" t="inlineStr"/>
    </row>
    <row r="581" ht="15" customHeight="1">
      <c r="A581" t="inlineStr">
        <is>
          <t>A 37712-2021</t>
        </is>
      </c>
      <c r="B581" s="1" t="n">
        <v>44400</v>
      </c>
      <c r="C581" s="1" t="n">
        <v>45645</v>
      </c>
      <c r="D581" t="inlineStr">
        <is>
          <t>STOCKHOLMS LÄN</t>
        </is>
      </c>
      <c r="E581" t="inlineStr">
        <is>
          <t>NORRTÄLJE</t>
        </is>
      </c>
      <c r="G581" t="n">
        <v>22.9</v>
      </c>
      <c r="H581" t="n">
        <v>0</v>
      </c>
      <c r="I581" t="n">
        <v>0</v>
      </c>
      <c r="J581" t="n">
        <v>0</v>
      </c>
      <c r="K581" t="n">
        <v>0</v>
      </c>
      <c r="L581" t="n">
        <v>0</v>
      </c>
      <c r="M581" t="n">
        <v>0</v>
      </c>
      <c r="N581" t="n">
        <v>0</v>
      </c>
      <c r="O581" t="n">
        <v>0</v>
      </c>
      <c r="P581" t="n">
        <v>0</v>
      </c>
      <c r="Q581" t="n">
        <v>0</v>
      </c>
      <c r="R581" s="2" t="inlineStr"/>
    </row>
    <row r="582" ht="15" customHeight="1">
      <c r="A582" t="inlineStr">
        <is>
          <t>A 37859-2021</t>
        </is>
      </c>
      <c r="B582" s="1" t="n">
        <v>44403</v>
      </c>
      <c r="C582" s="1" t="n">
        <v>45645</v>
      </c>
      <c r="D582" t="inlineStr">
        <is>
          <t>STOCKHOLMS LÄN</t>
        </is>
      </c>
      <c r="E582" t="inlineStr">
        <is>
          <t>NORRTÄLJE</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39157-2021</t>
        </is>
      </c>
      <c r="B583" s="1" t="n">
        <v>44412</v>
      </c>
      <c r="C583" s="1" t="n">
        <v>45645</v>
      </c>
      <c r="D583" t="inlineStr">
        <is>
          <t>STOCKHOLMS LÄN</t>
        </is>
      </c>
      <c r="E583" t="inlineStr">
        <is>
          <t>NORRTÄLJE</t>
        </is>
      </c>
      <c r="G583" t="n">
        <v>3.1</v>
      </c>
      <c r="H583" t="n">
        <v>0</v>
      </c>
      <c r="I583" t="n">
        <v>0</v>
      </c>
      <c r="J583" t="n">
        <v>0</v>
      </c>
      <c r="K583" t="n">
        <v>0</v>
      </c>
      <c r="L583" t="n">
        <v>0</v>
      </c>
      <c r="M583" t="n">
        <v>0</v>
      </c>
      <c r="N583" t="n">
        <v>0</v>
      </c>
      <c r="O583" t="n">
        <v>0</v>
      </c>
      <c r="P583" t="n">
        <v>0</v>
      </c>
      <c r="Q583" t="n">
        <v>0</v>
      </c>
      <c r="R583" s="2" t="inlineStr"/>
    </row>
    <row r="584" ht="15" customHeight="1">
      <c r="A584" t="inlineStr">
        <is>
          <t>A 39496-2021</t>
        </is>
      </c>
      <c r="B584" s="1" t="n">
        <v>44414</v>
      </c>
      <c r="C584" s="1" t="n">
        <v>45645</v>
      </c>
      <c r="D584" t="inlineStr">
        <is>
          <t>STOCKHOLMS LÄN</t>
        </is>
      </c>
      <c r="E584" t="inlineStr">
        <is>
          <t>NORRTÄLJE</t>
        </is>
      </c>
      <c r="G584" t="n">
        <v>4.6</v>
      </c>
      <c r="H584" t="n">
        <v>0</v>
      </c>
      <c r="I584" t="n">
        <v>0</v>
      </c>
      <c r="J584" t="n">
        <v>0</v>
      </c>
      <c r="K584" t="n">
        <v>0</v>
      </c>
      <c r="L584" t="n">
        <v>0</v>
      </c>
      <c r="M584" t="n">
        <v>0</v>
      </c>
      <c r="N584" t="n">
        <v>0</v>
      </c>
      <c r="O584" t="n">
        <v>0</v>
      </c>
      <c r="P584" t="n">
        <v>0</v>
      </c>
      <c r="Q584" t="n">
        <v>0</v>
      </c>
      <c r="R584" s="2" t="inlineStr"/>
    </row>
    <row r="585" ht="15" customHeight="1">
      <c r="A585" t="inlineStr">
        <is>
          <t>A 39497-2021</t>
        </is>
      </c>
      <c r="B585" s="1" t="n">
        <v>44414</v>
      </c>
      <c r="C585" s="1" t="n">
        <v>45645</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40425-2021</t>
        </is>
      </c>
      <c r="B586" s="1" t="n">
        <v>44419</v>
      </c>
      <c r="C586" s="1" t="n">
        <v>45645</v>
      </c>
      <c r="D586" t="inlineStr">
        <is>
          <t>STOCKHOLMS LÄN</t>
        </is>
      </c>
      <c r="E586" t="inlineStr">
        <is>
          <t>NORRTÄLJE</t>
        </is>
      </c>
      <c r="G586" t="n">
        <v>5</v>
      </c>
      <c r="H586" t="n">
        <v>0</v>
      </c>
      <c r="I586" t="n">
        <v>0</v>
      </c>
      <c r="J586" t="n">
        <v>0</v>
      </c>
      <c r="K586" t="n">
        <v>0</v>
      </c>
      <c r="L586" t="n">
        <v>0</v>
      </c>
      <c r="M586" t="n">
        <v>0</v>
      </c>
      <c r="N586" t="n">
        <v>0</v>
      </c>
      <c r="O586" t="n">
        <v>0</v>
      </c>
      <c r="P586" t="n">
        <v>0</v>
      </c>
      <c r="Q586" t="n">
        <v>0</v>
      </c>
      <c r="R586" s="2" t="inlineStr"/>
    </row>
    <row r="587" ht="15" customHeight="1">
      <c r="A587" t="inlineStr">
        <is>
          <t>A 40542-2021</t>
        </is>
      </c>
      <c r="B587" s="1" t="n">
        <v>44420</v>
      </c>
      <c r="C587" s="1" t="n">
        <v>45645</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40546-2021</t>
        </is>
      </c>
      <c r="B588" s="1" t="n">
        <v>44420</v>
      </c>
      <c r="C588" s="1" t="n">
        <v>45645</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41595-2021</t>
        </is>
      </c>
      <c r="B589" s="1" t="n">
        <v>44425</v>
      </c>
      <c r="C589" s="1" t="n">
        <v>45645</v>
      </c>
      <c r="D589" t="inlineStr">
        <is>
          <t>STOCKHOLMS LÄN</t>
        </is>
      </c>
      <c r="E589" t="inlineStr">
        <is>
          <t>NORRTÄLJE</t>
        </is>
      </c>
      <c r="G589" t="n">
        <v>3.2</v>
      </c>
      <c r="H589" t="n">
        <v>0</v>
      </c>
      <c r="I589" t="n">
        <v>0</v>
      </c>
      <c r="J589" t="n">
        <v>0</v>
      </c>
      <c r="K589" t="n">
        <v>0</v>
      </c>
      <c r="L589" t="n">
        <v>0</v>
      </c>
      <c r="M589" t="n">
        <v>0</v>
      </c>
      <c r="N589" t="n">
        <v>0</v>
      </c>
      <c r="O589" t="n">
        <v>0</v>
      </c>
      <c r="P589" t="n">
        <v>0</v>
      </c>
      <c r="Q589" t="n">
        <v>0</v>
      </c>
      <c r="R589" s="2" t="inlineStr"/>
    </row>
    <row r="590" ht="15" customHeight="1">
      <c r="A590" t="inlineStr">
        <is>
          <t>A 41823-2021</t>
        </is>
      </c>
      <c r="B590" s="1" t="n">
        <v>44425</v>
      </c>
      <c r="C590" s="1" t="n">
        <v>45645</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41822-2021</t>
        </is>
      </c>
      <c r="B591" s="1" t="n">
        <v>44425</v>
      </c>
      <c r="C591" s="1" t="n">
        <v>45645</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42396-2021</t>
        </is>
      </c>
      <c r="B592" s="1" t="n">
        <v>44427</v>
      </c>
      <c r="C592" s="1" t="n">
        <v>45645</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43478-2021</t>
        </is>
      </c>
      <c r="B593" s="1" t="n">
        <v>44432</v>
      </c>
      <c r="C593" s="1" t="n">
        <v>45645</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44274-2021</t>
        </is>
      </c>
      <c r="B594" s="1" t="n">
        <v>44435</v>
      </c>
      <c r="C594" s="1" t="n">
        <v>45645</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47344-2021</t>
        </is>
      </c>
      <c r="B595" s="1" t="n">
        <v>44447</v>
      </c>
      <c r="C595" s="1" t="n">
        <v>45645</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47349-2021</t>
        </is>
      </c>
      <c r="B596" s="1" t="n">
        <v>44447</v>
      </c>
      <c r="C596" s="1" t="n">
        <v>45645</v>
      </c>
      <c r="D596" t="inlineStr">
        <is>
          <t>STOCKHOLMS LÄN</t>
        </is>
      </c>
      <c r="E596" t="inlineStr">
        <is>
          <t>NORRTÄLJE</t>
        </is>
      </c>
      <c r="G596" t="n">
        <v>3.3</v>
      </c>
      <c r="H596" t="n">
        <v>0</v>
      </c>
      <c r="I596" t="n">
        <v>0</v>
      </c>
      <c r="J596" t="n">
        <v>0</v>
      </c>
      <c r="K596" t="n">
        <v>0</v>
      </c>
      <c r="L596" t="n">
        <v>0</v>
      </c>
      <c r="M596" t="n">
        <v>0</v>
      </c>
      <c r="N596" t="n">
        <v>0</v>
      </c>
      <c r="O596" t="n">
        <v>0</v>
      </c>
      <c r="P596" t="n">
        <v>0</v>
      </c>
      <c r="Q596" t="n">
        <v>0</v>
      </c>
      <c r="R596" s="2" t="inlineStr"/>
    </row>
    <row r="597" ht="15" customHeight="1">
      <c r="A597" t="inlineStr">
        <is>
          <t>A 47691-2021</t>
        </is>
      </c>
      <c r="B597" s="1" t="n">
        <v>44448</v>
      </c>
      <c r="C597" s="1" t="n">
        <v>45645</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48384-2021</t>
        </is>
      </c>
      <c r="B598" s="1" t="n">
        <v>44451</v>
      </c>
      <c r="C598" s="1" t="n">
        <v>45645</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48798-2021</t>
        </is>
      </c>
      <c r="B599" s="1" t="n">
        <v>44452</v>
      </c>
      <c r="C599" s="1" t="n">
        <v>45645</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48932-2021</t>
        </is>
      </c>
      <c r="B600" s="1" t="n">
        <v>44453</v>
      </c>
      <c r="C600" s="1" t="n">
        <v>45645</v>
      </c>
      <c r="D600" t="inlineStr">
        <is>
          <t>STOCKHOLMS LÄN</t>
        </is>
      </c>
      <c r="E600" t="inlineStr">
        <is>
          <t>NORRTÄLJE</t>
        </is>
      </c>
      <c r="G600" t="n">
        <v>11.2</v>
      </c>
      <c r="H600" t="n">
        <v>0</v>
      </c>
      <c r="I600" t="n">
        <v>0</v>
      </c>
      <c r="J600" t="n">
        <v>0</v>
      </c>
      <c r="K600" t="n">
        <v>0</v>
      </c>
      <c r="L600" t="n">
        <v>0</v>
      </c>
      <c r="M600" t="n">
        <v>0</v>
      </c>
      <c r="N600" t="n">
        <v>0</v>
      </c>
      <c r="O600" t="n">
        <v>0</v>
      </c>
      <c r="P600" t="n">
        <v>0</v>
      </c>
      <c r="Q600" t="n">
        <v>0</v>
      </c>
      <c r="R600" s="2" t="inlineStr"/>
    </row>
    <row r="601" ht="15" customHeight="1">
      <c r="A601" t="inlineStr">
        <is>
          <t>A 49113-2021</t>
        </is>
      </c>
      <c r="B601" s="1" t="n">
        <v>44453</v>
      </c>
      <c r="C601" s="1" t="n">
        <v>45645</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50038-2021</t>
        </is>
      </c>
      <c r="B602" s="1" t="n">
        <v>44456</v>
      </c>
      <c r="C602" s="1" t="n">
        <v>45645</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50108-2021</t>
        </is>
      </c>
      <c r="B603" s="1" t="n">
        <v>44456</v>
      </c>
      <c r="C603" s="1" t="n">
        <v>45645</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50252-2021</t>
        </is>
      </c>
      <c r="B604" s="1" t="n">
        <v>44458</v>
      </c>
      <c r="C604" s="1" t="n">
        <v>45645</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50602-2021</t>
        </is>
      </c>
      <c r="B605" s="1" t="n">
        <v>44459</v>
      </c>
      <c r="C605" s="1" t="n">
        <v>45645</v>
      </c>
      <c r="D605" t="inlineStr">
        <is>
          <t>STOCKHOLMS LÄN</t>
        </is>
      </c>
      <c r="E605" t="inlineStr">
        <is>
          <t>NORRTÄLJE</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51279-2021</t>
        </is>
      </c>
      <c r="B606" s="1" t="n">
        <v>44461</v>
      </c>
      <c r="C606" s="1" t="n">
        <v>45645</v>
      </c>
      <c r="D606" t="inlineStr">
        <is>
          <t>STOCKHOLMS LÄN</t>
        </is>
      </c>
      <c r="E606" t="inlineStr">
        <is>
          <t>NORRTÄLJE</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51315-2021</t>
        </is>
      </c>
      <c r="B607" s="1" t="n">
        <v>44461</v>
      </c>
      <c r="C607" s="1" t="n">
        <v>45645</v>
      </c>
      <c r="D607" t="inlineStr">
        <is>
          <t>STOCKHOLMS LÄN</t>
        </is>
      </c>
      <c r="E607" t="inlineStr">
        <is>
          <t>NORRTÄLJE</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52090-2021</t>
        </is>
      </c>
      <c r="B608" s="1" t="n">
        <v>44463</v>
      </c>
      <c r="C608" s="1" t="n">
        <v>45645</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52449-2021</t>
        </is>
      </c>
      <c r="B609" s="1" t="n">
        <v>44466</v>
      </c>
      <c r="C609" s="1" t="n">
        <v>45645</v>
      </c>
      <c r="D609" t="inlineStr">
        <is>
          <t>STOCKHOLMS LÄN</t>
        </is>
      </c>
      <c r="E609" t="inlineStr">
        <is>
          <t>NORRTÄLJE</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54276-2021</t>
        </is>
      </c>
      <c r="B610" s="1" t="n">
        <v>44470</v>
      </c>
      <c r="C610" s="1" t="n">
        <v>45645</v>
      </c>
      <c r="D610" t="inlineStr">
        <is>
          <t>STOCKHOLMS LÄN</t>
        </is>
      </c>
      <c r="E610" t="inlineStr">
        <is>
          <t>NORRTÄLJE</t>
        </is>
      </c>
      <c r="G610" t="n">
        <v>7.3</v>
      </c>
      <c r="H610" t="n">
        <v>0</v>
      </c>
      <c r="I610" t="n">
        <v>0</v>
      </c>
      <c r="J610" t="n">
        <v>0</v>
      </c>
      <c r="K610" t="n">
        <v>0</v>
      </c>
      <c r="L610" t="n">
        <v>0</v>
      </c>
      <c r="M610" t="n">
        <v>0</v>
      </c>
      <c r="N610" t="n">
        <v>0</v>
      </c>
      <c r="O610" t="n">
        <v>0</v>
      </c>
      <c r="P610" t="n">
        <v>0</v>
      </c>
      <c r="Q610" t="n">
        <v>0</v>
      </c>
      <c r="R610" s="2" t="inlineStr"/>
    </row>
    <row r="611" ht="15" customHeight="1">
      <c r="A611" t="inlineStr">
        <is>
          <t>A 54273-2021</t>
        </is>
      </c>
      <c r="B611" s="1" t="n">
        <v>44470</v>
      </c>
      <c r="C611" s="1" t="n">
        <v>45645</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54272-2021</t>
        </is>
      </c>
      <c r="B612" s="1" t="n">
        <v>44470</v>
      </c>
      <c r="C612" s="1" t="n">
        <v>45645</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54396-2021</t>
        </is>
      </c>
      <c r="B613" s="1" t="n">
        <v>44472</v>
      </c>
      <c r="C613" s="1" t="n">
        <v>45645</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55058-2021</t>
        </is>
      </c>
      <c r="B614" s="1" t="n">
        <v>44474</v>
      </c>
      <c r="C614" s="1" t="n">
        <v>45645</v>
      </c>
      <c r="D614" t="inlineStr">
        <is>
          <t>STOCKHOLMS LÄN</t>
        </is>
      </c>
      <c r="E614" t="inlineStr">
        <is>
          <t>NORRTÄLJE</t>
        </is>
      </c>
      <c r="G614" t="n">
        <v>1.9</v>
      </c>
      <c r="H614" t="n">
        <v>0</v>
      </c>
      <c r="I614" t="n">
        <v>0</v>
      </c>
      <c r="J614" t="n">
        <v>0</v>
      </c>
      <c r="K614" t="n">
        <v>0</v>
      </c>
      <c r="L614" t="n">
        <v>0</v>
      </c>
      <c r="M614" t="n">
        <v>0</v>
      </c>
      <c r="N614" t="n">
        <v>0</v>
      </c>
      <c r="O614" t="n">
        <v>0</v>
      </c>
      <c r="P614" t="n">
        <v>0</v>
      </c>
      <c r="Q614" t="n">
        <v>0</v>
      </c>
      <c r="R614" s="2" t="inlineStr"/>
    </row>
    <row r="615" ht="15" customHeight="1">
      <c r="A615" t="inlineStr">
        <is>
          <t>A 56219-2021</t>
        </is>
      </c>
      <c r="B615" s="1" t="n">
        <v>44477</v>
      </c>
      <c r="C615" s="1" t="n">
        <v>45645</v>
      </c>
      <c r="D615" t="inlineStr">
        <is>
          <t>STOCKHOLMS LÄN</t>
        </is>
      </c>
      <c r="E615" t="inlineStr">
        <is>
          <t>NORRTÄLJE</t>
        </is>
      </c>
      <c r="F615" t="inlineStr">
        <is>
          <t>Kommuner</t>
        </is>
      </c>
      <c r="G615" t="n">
        <v>2.3</v>
      </c>
      <c r="H615" t="n">
        <v>0</v>
      </c>
      <c r="I615" t="n">
        <v>0</v>
      </c>
      <c r="J615" t="n">
        <v>0</v>
      </c>
      <c r="K615" t="n">
        <v>0</v>
      </c>
      <c r="L615" t="n">
        <v>0</v>
      </c>
      <c r="M615" t="n">
        <v>0</v>
      </c>
      <c r="N615" t="n">
        <v>0</v>
      </c>
      <c r="O615" t="n">
        <v>0</v>
      </c>
      <c r="P615" t="n">
        <v>0</v>
      </c>
      <c r="Q615" t="n">
        <v>0</v>
      </c>
      <c r="R615" s="2" t="inlineStr"/>
    </row>
    <row r="616" ht="15" customHeight="1">
      <c r="A616" t="inlineStr">
        <is>
          <t>A 56225-2021</t>
        </is>
      </c>
      <c r="B616" s="1" t="n">
        <v>44478</v>
      </c>
      <c r="C616" s="1" t="n">
        <v>45645</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56878-2021</t>
        </is>
      </c>
      <c r="B617" s="1" t="n">
        <v>44481</v>
      </c>
      <c r="C617" s="1" t="n">
        <v>45645</v>
      </c>
      <c r="D617" t="inlineStr">
        <is>
          <t>STOCKHOLMS LÄN</t>
        </is>
      </c>
      <c r="E617" t="inlineStr">
        <is>
          <t>NORRTÄLJE</t>
        </is>
      </c>
      <c r="G617" t="n">
        <v>4.5</v>
      </c>
      <c r="H617" t="n">
        <v>0</v>
      </c>
      <c r="I617" t="n">
        <v>0</v>
      </c>
      <c r="J617" t="n">
        <v>0</v>
      </c>
      <c r="K617" t="n">
        <v>0</v>
      </c>
      <c r="L617" t="n">
        <v>0</v>
      </c>
      <c r="M617" t="n">
        <v>0</v>
      </c>
      <c r="N617" t="n">
        <v>0</v>
      </c>
      <c r="O617" t="n">
        <v>0</v>
      </c>
      <c r="P617" t="n">
        <v>0</v>
      </c>
      <c r="Q617" t="n">
        <v>0</v>
      </c>
      <c r="R617" s="2" t="inlineStr"/>
    </row>
    <row r="618" ht="15" customHeight="1">
      <c r="A618" t="inlineStr">
        <is>
          <t>A 57442-2021</t>
        </is>
      </c>
      <c r="B618" s="1" t="n">
        <v>44483</v>
      </c>
      <c r="C618" s="1" t="n">
        <v>45645</v>
      </c>
      <c r="D618" t="inlineStr">
        <is>
          <t>STOCKHOLMS LÄN</t>
        </is>
      </c>
      <c r="E618" t="inlineStr">
        <is>
          <t>NORRTÄLJE</t>
        </is>
      </c>
      <c r="G618" t="n">
        <v>3.3</v>
      </c>
      <c r="H618" t="n">
        <v>0</v>
      </c>
      <c r="I618" t="n">
        <v>0</v>
      </c>
      <c r="J618" t="n">
        <v>0</v>
      </c>
      <c r="K618" t="n">
        <v>0</v>
      </c>
      <c r="L618" t="n">
        <v>0</v>
      </c>
      <c r="M618" t="n">
        <v>0</v>
      </c>
      <c r="N618" t="n">
        <v>0</v>
      </c>
      <c r="O618" t="n">
        <v>0</v>
      </c>
      <c r="P618" t="n">
        <v>0</v>
      </c>
      <c r="Q618" t="n">
        <v>0</v>
      </c>
      <c r="R618" s="2" t="inlineStr"/>
    </row>
    <row r="619" ht="15" customHeight="1">
      <c r="A619" t="inlineStr">
        <is>
          <t>A 57507-2021</t>
        </is>
      </c>
      <c r="B619" s="1" t="n">
        <v>44483</v>
      </c>
      <c r="C619" s="1" t="n">
        <v>45645</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58989-2021</t>
        </is>
      </c>
      <c r="B620" s="1" t="n">
        <v>44490</v>
      </c>
      <c r="C620" s="1" t="n">
        <v>45645</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58990-2021</t>
        </is>
      </c>
      <c r="B621" s="1" t="n">
        <v>44490</v>
      </c>
      <c r="C621" s="1" t="n">
        <v>45645</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60217-2021</t>
        </is>
      </c>
      <c r="B622" s="1" t="n">
        <v>44495</v>
      </c>
      <c r="C622" s="1" t="n">
        <v>45645</v>
      </c>
      <c r="D622" t="inlineStr">
        <is>
          <t>STOCKHOLMS LÄN</t>
        </is>
      </c>
      <c r="E622" t="inlineStr">
        <is>
          <t>NORRTÄLJE</t>
        </is>
      </c>
      <c r="G622" t="n">
        <v>4.3</v>
      </c>
      <c r="H622" t="n">
        <v>0</v>
      </c>
      <c r="I622" t="n">
        <v>0</v>
      </c>
      <c r="J622" t="n">
        <v>0</v>
      </c>
      <c r="K622" t="n">
        <v>0</v>
      </c>
      <c r="L622" t="n">
        <v>0</v>
      </c>
      <c r="M622" t="n">
        <v>0</v>
      </c>
      <c r="N622" t="n">
        <v>0</v>
      </c>
      <c r="O622" t="n">
        <v>0</v>
      </c>
      <c r="P622" t="n">
        <v>0</v>
      </c>
      <c r="Q622" t="n">
        <v>0</v>
      </c>
      <c r="R622" s="2" t="inlineStr"/>
    </row>
    <row r="623" ht="15" customHeight="1">
      <c r="A623" t="inlineStr">
        <is>
          <t>A 60184-2021</t>
        </is>
      </c>
      <c r="B623" s="1" t="n">
        <v>44495</v>
      </c>
      <c r="C623" s="1" t="n">
        <v>45645</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60186-2021</t>
        </is>
      </c>
      <c r="B624" s="1" t="n">
        <v>44495</v>
      </c>
      <c r="C624" s="1" t="n">
        <v>45645</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60209-2021</t>
        </is>
      </c>
      <c r="B625" s="1" t="n">
        <v>44495</v>
      </c>
      <c r="C625" s="1" t="n">
        <v>45645</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60671-2021</t>
        </is>
      </c>
      <c r="B626" s="1" t="n">
        <v>44496</v>
      </c>
      <c r="C626" s="1" t="n">
        <v>45645</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60733-2021</t>
        </is>
      </c>
      <c r="B627" s="1" t="n">
        <v>44496</v>
      </c>
      <c r="C627" s="1" t="n">
        <v>45645</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60813-2021</t>
        </is>
      </c>
      <c r="B628" s="1" t="n">
        <v>44496</v>
      </c>
      <c r="C628" s="1" t="n">
        <v>45645</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60822-2021</t>
        </is>
      </c>
      <c r="B629" s="1" t="n">
        <v>44496</v>
      </c>
      <c r="C629" s="1" t="n">
        <v>45645</v>
      </c>
      <c r="D629" t="inlineStr">
        <is>
          <t>STOCKHOLMS LÄN</t>
        </is>
      </c>
      <c r="E629" t="inlineStr">
        <is>
          <t>NORRTÄLJE</t>
        </is>
      </c>
      <c r="G629" t="n">
        <v>7.6</v>
      </c>
      <c r="H629" t="n">
        <v>0</v>
      </c>
      <c r="I629" t="n">
        <v>0</v>
      </c>
      <c r="J629" t="n">
        <v>0</v>
      </c>
      <c r="K629" t="n">
        <v>0</v>
      </c>
      <c r="L629" t="n">
        <v>0</v>
      </c>
      <c r="M629" t="n">
        <v>0</v>
      </c>
      <c r="N629" t="n">
        <v>0</v>
      </c>
      <c r="O629" t="n">
        <v>0</v>
      </c>
      <c r="P629" t="n">
        <v>0</v>
      </c>
      <c r="Q629" t="n">
        <v>0</v>
      </c>
      <c r="R629" s="2" t="inlineStr"/>
    </row>
    <row r="630" ht="15" customHeight="1">
      <c r="A630" t="inlineStr">
        <is>
          <t>A 62030-2021</t>
        </is>
      </c>
      <c r="B630" s="1" t="n">
        <v>44502</v>
      </c>
      <c r="C630" s="1" t="n">
        <v>45645</v>
      </c>
      <c r="D630" t="inlineStr">
        <is>
          <t>STOCKHOLMS LÄN</t>
        </is>
      </c>
      <c r="E630" t="inlineStr">
        <is>
          <t>NORRTÄLJE</t>
        </is>
      </c>
      <c r="G630" t="n">
        <v>4.7</v>
      </c>
      <c r="H630" t="n">
        <v>0</v>
      </c>
      <c r="I630" t="n">
        <v>0</v>
      </c>
      <c r="J630" t="n">
        <v>0</v>
      </c>
      <c r="K630" t="n">
        <v>0</v>
      </c>
      <c r="L630" t="n">
        <v>0</v>
      </c>
      <c r="M630" t="n">
        <v>0</v>
      </c>
      <c r="N630" t="n">
        <v>0</v>
      </c>
      <c r="O630" t="n">
        <v>0</v>
      </c>
      <c r="P630" t="n">
        <v>0</v>
      </c>
      <c r="Q630" t="n">
        <v>0</v>
      </c>
      <c r="R630" s="2" t="inlineStr"/>
    </row>
    <row r="631" ht="15" customHeight="1">
      <c r="A631" t="inlineStr">
        <is>
          <t>A 63530-2021</t>
        </is>
      </c>
      <c r="B631" s="1" t="n">
        <v>44508</v>
      </c>
      <c r="C631" s="1" t="n">
        <v>45645</v>
      </c>
      <c r="D631" t="inlineStr">
        <is>
          <t>STOCKHOLMS LÄN</t>
        </is>
      </c>
      <c r="E631" t="inlineStr">
        <is>
          <t>NORRTÄLJE</t>
        </is>
      </c>
      <c r="G631" t="n">
        <v>8.9</v>
      </c>
      <c r="H631" t="n">
        <v>0</v>
      </c>
      <c r="I631" t="n">
        <v>0</v>
      </c>
      <c r="J631" t="n">
        <v>0</v>
      </c>
      <c r="K631" t="n">
        <v>0</v>
      </c>
      <c r="L631" t="n">
        <v>0</v>
      </c>
      <c r="M631" t="n">
        <v>0</v>
      </c>
      <c r="N631" t="n">
        <v>0</v>
      </c>
      <c r="O631" t="n">
        <v>0</v>
      </c>
      <c r="P631" t="n">
        <v>0</v>
      </c>
      <c r="Q631" t="n">
        <v>0</v>
      </c>
      <c r="R631" s="2" t="inlineStr"/>
    </row>
    <row r="632" ht="15" customHeight="1">
      <c r="A632" t="inlineStr">
        <is>
          <t>A 64137-2021</t>
        </is>
      </c>
      <c r="B632" s="1" t="n">
        <v>44510</v>
      </c>
      <c r="C632" s="1" t="n">
        <v>45645</v>
      </c>
      <c r="D632" t="inlineStr">
        <is>
          <t>STOCKHOLMS LÄN</t>
        </is>
      </c>
      <c r="E632" t="inlineStr">
        <is>
          <t>NORRTÄLJE</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64212-2021</t>
        </is>
      </c>
      <c r="B633" s="1" t="n">
        <v>44510</v>
      </c>
      <c r="C633" s="1" t="n">
        <v>45645</v>
      </c>
      <c r="D633" t="inlineStr">
        <is>
          <t>STOCKHOLMS LÄN</t>
        </is>
      </c>
      <c r="E633" t="inlineStr">
        <is>
          <t>NORRTÄLJE</t>
        </is>
      </c>
      <c r="G633" t="n">
        <v>28.7</v>
      </c>
      <c r="H633" t="n">
        <v>0</v>
      </c>
      <c r="I633" t="n">
        <v>0</v>
      </c>
      <c r="J633" t="n">
        <v>0</v>
      </c>
      <c r="K633" t="n">
        <v>0</v>
      </c>
      <c r="L633" t="n">
        <v>0</v>
      </c>
      <c r="M633" t="n">
        <v>0</v>
      </c>
      <c r="N633" t="n">
        <v>0</v>
      </c>
      <c r="O633" t="n">
        <v>0</v>
      </c>
      <c r="P633" t="n">
        <v>0</v>
      </c>
      <c r="Q633" t="n">
        <v>0</v>
      </c>
      <c r="R633" s="2" t="inlineStr"/>
    </row>
    <row r="634" ht="15" customHeight="1">
      <c r="A634" t="inlineStr">
        <is>
          <t>A 64074-2021</t>
        </is>
      </c>
      <c r="B634" s="1" t="n">
        <v>44510</v>
      </c>
      <c r="C634" s="1" t="n">
        <v>45645</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64145-2021</t>
        </is>
      </c>
      <c r="B635" s="1" t="n">
        <v>44510</v>
      </c>
      <c r="C635" s="1" t="n">
        <v>45645</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64600-2021</t>
        </is>
      </c>
      <c r="B636" s="1" t="n">
        <v>44511</v>
      </c>
      <c r="C636" s="1" t="n">
        <v>45645</v>
      </c>
      <c r="D636" t="inlineStr">
        <is>
          <t>STOCKHOLMS LÄN</t>
        </is>
      </c>
      <c r="E636" t="inlineStr">
        <is>
          <t>NORRTÄLJE</t>
        </is>
      </c>
      <c r="G636" t="n">
        <v>6.2</v>
      </c>
      <c r="H636" t="n">
        <v>0</v>
      </c>
      <c r="I636" t="n">
        <v>0</v>
      </c>
      <c r="J636" t="n">
        <v>0</v>
      </c>
      <c r="K636" t="n">
        <v>0</v>
      </c>
      <c r="L636" t="n">
        <v>0</v>
      </c>
      <c r="M636" t="n">
        <v>0</v>
      </c>
      <c r="N636" t="n">
        <v>0</v>
      </c>
      <c r="O636" t="n">
        <v>0</v>
      </c>
      <c r="P636" t="n">
        <v>0</v>
      </c>
      <c r="Q636" t="n">
        <v>0</v>
      </c>
      <c r="R636" s="2" t="inlineStr"/>
    </row>
    <row r="637" ht="15" customHeight="1">
      <c r="A637" t="inlineStr">
        <is>
          <t>A 64599-2021</t>
        </is>
      </c>
      <c r="B637" s="1" t="n">
        <v>44511</v>
      </c>
      <c r="C637" s="1" t="n">
        <v>45645</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64628-2021</t>
        </is>
      </c>
      <c r="B638" s="1" t="n">
        <v>44511</v>
      </c>
      <c r="C638" s="1" t="n">
        <v>45645</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64915-2021</t>
        </is>
      </c>
      <c r="B639" s="1" t="n">
        <v>44512</v>
      </c>
      <c r="C639" s="1" t="n">
        <v>45645</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65359-2021</t>
        </is>
      </c>
      <c r="B640" s="1" t="n">
        <v>44515</v>
      </c>
      <c r="C640" s="1" t="n">
        <v>45645</v>
      </c>
      <c r="D640" t="inlineStr">
        <is>
          <t>STOCKHOLMS LÄN</t>
        </is>
      </c>
      <c r="E640" t="inlineStr">
        <is>
          <t>NORRTÄLJE</t>
        </is>
      </c>
      <c r="F640" t="inlineStr">
        <is>
          <t>Kyrkan</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65499-2021</t>
        </is>
      </c>
      <c r="B641" s="1" t="n">
        <v>44516</v>
      </c>
      <c r="C641" s="1" t="n">
        <v>45645</v>
      </c>
      <c r="D641" t="inlineStr">
        <is>
          <t>STOCKHOLMS LÄN</t>
        </is>
      </c>
      <c r="E641" t="inlineStr">
        <is>
          <t>NORRTÄLJE</t>
        </is>
      </c>
      <c r="F641" t="inlineStr">
        <is>
          <t>Kommuner</t>
        </is>
      </c>
      <c r="G641" t="n">
        <v>5.2</v>
      </c>
      <c r="H641" t="n">
        <v>0</v>
      </c>
      <c r="I641" t="n">
        <v>0</v>
      </c>
      <c r="J641" t="n">
        <v>0</v>
      </c>
      <c r="K641" t="n">
        <v>0</v>
      </c>
      <c r="L641" t="n">
        <v>0</v>
      </c>
      <c r="M641" t="n">
        <v>0</v>
      </c>
      <c r="N641" t="n">
        <v>0</v>
      </c>
      <c r="O641" t="n">
        <v>0</v>
      </c>
      <c r="P641" t="n">
        <v>0</v>
      </c>
      <c r="Q641" t="n">
        <v>0</v>
      </c>
      <c r="R641" s="2" t="inlineStr"/>
    </row>
    <row r="642" ht="15" customHeight="1">
      <c r="A642" t="inlineStr">
        <is>
          <t>A 65513-2021</t>
        </is>
      </c>
      <c r="B642" s="1" t="n">
        <v>44516</v>
      </c>
      <c r="C642" s="1" t="n">
        <v>45645</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65511-2021</t>
        </is>
      </c>
      <c r="B643" s="1" t="n">
        <v>44516</v>
      </c>
      <c r="C643" s="1" t="n">
        <v>45645</v>
      </c>
      <c r="D643" t="inlineStr">
        <is>
          <t>STOCKHOLMS LÄN</t>
        </is>
      </c>
      <c r="E643" t="inlineStr">
        <is>
          <t>NORRTÄLJE</t>
        </is>
      </c>
      <c r="F643" t="inlineStr">
        <is>
          <t>Kommuner</t>
        </is>
      </c>
      <c r="G643" t="n">
        <v>2.8</v>
      </c>
      <c r="H643" t="n">
        <v>0</v>
      </c>
      <c r="I643" t="n">
        <v>0</v>
      </c>
      <c r="J643" t="n">
        <v>0</v>
      </c>
      <c r="K643" t="n">
        <v>0</v>
      </c>
      <c r="L643" t="n">
        <v>0</v>
      </c>
      <c r="M643" t="n">
        <v>0</v>
      </c>
      <c r="N643" t="n">
        <v>0</v>
      </c>
      <c r="O643" t="n">
        <v>0</v>
      </c>
      <c r="P643" t="n">
        <v>0</v>
      </c>
      <c r="Q643" t="n">
        <v>0</v>
      </c>
      <c r="R643" s="2" t="inlineStr"/>
    </row>
    <row r="644" ht="15" customHeight="1">
      <c r="A644" t="inlineStr">
        <is>
          <t>A 65501-2021</t>
        </is>
      </c>
      <c r="B644" s="1" t="n">
        <v>44516</v>
      </c>
      <c r="C644" s="1" t="n">
        <v>45645</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65509-2021</t>
        </is>
      </c>
      <c r="B645" s="1" t="n">
        <v>44516</v>
      </c>
      <c r="C645" s="1" t="n">
        <v>45645</v>
      </c>
      <c r="D645" t="inlineStr">
        <is>
          <t>STOCKHOLMS LÄN</t>
        </is>
      </c>
      <c r="E645" t="inlineStr">
        <is>
          <t>NORRTÄLJE</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65611-2021</t>
        </is>
      </c>
      <c r="B646" s="1" t="n">
        <v>44516</v>
      </c>
      <c r="C646" s="1" t="n">
        <v>45645</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65737-2021</t>
        </is>
      </c>
      <c r="B647" s="1" t="n">
        <v>44516</v>
      </c>
      <c r="C647" s="1" t="n">
        <v>45645</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66450-2021</t>
        </is>
      </c>
      <c r="B648" s="1" t="n">
        <v>44518</v>
      </c>
      <c r="C648" s="1" t="n">
        <v>45645</v>
      </c>
      <c r="D648" t="inlineStr">
        <is>
          <t>STOCKHOLMS LÄN</t>
        </is>
      </c>
      <c r="E648" t="inlineStr">
        <is>
          <t>NORRTÄLJE</t>
        </is>
      </c>
      <c r="G648" t="n">
        <v>9.1</v>
      </c>
      <c r="H648" t="n">
        <v>0</v>
      </c>
      <c r="I648" t="n">
        <v>0</v>
      </c>
      <c r="J648" t="n">
        <v>0</v>
      </c>
      <c r="K648" t="n">
        <v>0</v>
      </c>
      <c r="L648" t="n">
        <v>0</v>
      </c>
      <c r="M648" t="n">
        <v>0</v>
      </c>
      <c r="N648" t="n">
        <v>0</v>
      </c>
      <c r="O648" t="n">
        <v>0</v>
      </c>
      <c r="P648" t="n">
        <v>0</v>
      </c>
      <c r="Q648" t="n">
        <v>0</v>
      </c>
      <c r="R648" s="2" t="inlineStr"/>
    </row>
    <row r="649" ht="15" customHeight="1">
      <c r="A649" t="inlineStr">
        <is>
          <t>A 66608-2021</t>
        </is>
      </c>
      <c r="B649" s="1" t="n">
        <v>44519</v>
      </c>
      <c r="C649" s="1" t="n">
        <v>45645</v>
      </c>
      <c r="D649" t="inlineStr">
        <is>
          <t>STOCKHOLMS LÄN</t>
        </is>
      </c>
      <c r="E649" t="inlineStr">
        <is>
          <t>NORRTÄLJE</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66592-2021</t>
        </is>
      </c>
      <c r="B650" s="1" t="n">
        <v>44519</v>
      </c>
      <c r="C650" s="1" t="n">
        <v>45645</v>
      </c>
      <c r="D650" t="inlineStr">
        <is>
          <t>STOCKHOLMS LÄN</t>
        </is>
      </c>
      <c r="E650" t="inlineStr">
        <is>
          <t>NORRTÄLJE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66769-2021</t>
        </is>
      </c>
      <c r="B651" s="1" t="n">
        <v>44521</v>
      </c>
      <c r="C651" s="1" t="n">
        <v>45645</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67285-2021</t>
        </is>
      </c>
      <c r="B652" s="1" t="n">
        <v>44523</v>
      </c>
      <c r="C652" s="1" t="n">
        <v>45645</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67525-2021</t>
        </is>
      </c>
      <c r="B653" s="1" t="n">
        <v>44524</v>
      </c>
      <c r="C653" s="1" t="n">
        <v>45645</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67598-2021</t>
        </is>
      </c>
      <c r="B654" s="1" t="n">
        <v>44524</v>
      </c>
      <c r="C654" s="1" t="n">
        <v>45645</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67921-2021</t>
        </is>
      </c>
      <c r="B655" s="1" t="n">
        <v>44525</v>
      </c>
      <c r="C655" s="1" t="n">
        <v>45645</v>
      </c>
      <c r="D655" t="inlineStr">
        <is>
          <t>STOCKHOLMS LÄN</t>
        </is>
      </c>
      <c r="E655" t="inlineStr">
        <is>
          <t>NORRTÄLJE</t>
        </is>
      </c>
      <c r="G655" t="n">
        <v>6.3</v>
      </c>
      <c r="H655" t="n">
        <v>0</v>
      </c>
      <c r="I655" t="n">
        <v>0</v>
      </c>
      <c r="J655" t="n">
        <v>0</v>
      </c>
      <c r="K655" t="n">
        <v>0</v>
      </c>
      <c r="L655" t="n">
        <v>0</v>
      </c>
      <c r="M655" t="n">
        <v>0</v>
      </c>
      <c r="N655" t="n">
        <v>0</v>
      </c>
      <c r="O655" t="n">
        <v>0</v>
      </c>
      <c r="P655" t="n">
        <v>0</v>
      </c>
      <c r="Q655" t="n">
        <v>0</v>
      </c>
      <c r="R655" s="2" t="inlineStr"/>
    </row>
    <row r="656" ht="15" customHeight="1">
      <c r="A656" t="inlineStr">
        <is>
          <t>A 67990-2021</t>
        </is>
      </c>
      <c r="B656" s="1" t="n">
        <v>44525</v>
      </c>
      <c r="C656" s="1" t="n">
        <v>45645</v>
      </c>
      <c r="D656" t="inlineStr">
        <is>
          <t>STOCKHOLMS LÄN</t>
        </is>
      </c>
      <c r="E656" t="inlineStr">
        <is>
          <t>NORRTÄLJE</t>
        </is>
      </c>
      <c r="F656" t="inlineStr">
        <is>
          <t>Sveaskog</t>
        </is>
      </c>
      <c r="G656" t="n">
        <v>7.8</v>
      </c>
      <c r="H656" t="n">
        <v>0</v>
      </c>
      <c r="I656" t="n">
        <v>0</v>
      </c>
      <c r="J656" t="n">
        <v>0</v>
      </c>
      <c r="K656" t="n">
        <v>0</v>
      </c>
      <c r="L656" t="n">
        <v>0</v>
      </c>
      <c r="M656" t="n">
        <v>0</v>
      </c>
      <c r="N656" t="n">
        <v>0</v>
      </c>
      <c r="O656" t="n">
        <v>0</v>
      </c>
      <c r="P656" t="n">
        <v>0</v>
      </c>
      <c r="Q656" t="n">
        <v>0</v>
      </c>
      <c r="R656" s="2" t="inlineStr"/>
    </row>
    <row r="657" ht="15" customHeight="1">
      <c r="A657" t="inlineStr">
        <is>
          <t>A 67992-2021</t>
        </is>
      </c>
      <c r="B657" s="1" t="n">
        <v>44525</v>
      </c>
      <c r="C657" s="1" t="n">
        <v>45645</v>
      </c>
      <c r="D657" t="inlineStr">
        <is>
          <t>STOCKHOLMS LÄN</t>
        </is>
      </c>
      <c r="E657" t="inlineStr">
        <is>
          <t>NORRTÄLJE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67993-2021</t>
        </is>
      </c>
      <c r="B658" s="1" t="n">
        <v>44525</v>
      </c>
      <c r="C658" s="1" t="n">
        <v>45645</v>
      </c>
      <c r="D658" t="inlineStr">
        <is>
          <t>STOCKHOLMS LÄN</t>
        </is>
      </c>
      <c r="E658" t="inlineStr">
        <is>
          <t>NORRTÄLJE</t>
        </is>
      </c>
      <c r="F658" t="inlineStr">
        <is>
          <t>Sveaskog</t>
        </is>
      </c>
      <c r="G658" t="n">
        <v>3.4</v>
      </c>
      <c r="H658" t="n">
        <v>0</v>
      </c>
      <c r="I658" t="n">
        <v>0</v>
      </c>
      <c r="J658" t="n">
        <v>0</v>
      </c>
      <c r="K658" t="n">
        <v>0</v>
      </c>
      <c r="L658" t="n">
        <v>0</v>
      </c>
      <c r="M658" t="n">
        <v>0</v>
      </c>
      <c r="N658" t="n">
        <v>0</v>
      </c>
      <c r="O658" t="n">
        <v>0</v>
      </c>
      <c r="P658" t="n">
        <v>0</v>
      </c>
      <c r="Q658" t="n">
        <v>0</v>
      </c>
      <c r="R658" s="2" t="inlineStr"/>
    </row>
    <row r="659" ht="15" customHeight="1">
      <c r="A659" t="inlineStr">
        <is>
          <t>A 68273-2021</t>
        </is>
      </c>
      <c r="B659" s="1" t="n">
        <v>44526</v>
      </c>
      <c r="C659" s="1" t="n">
        <v>45645</v>
      </c>
      <c r="D659" t="inlineStr">
        <is>
          <t>STOCKHOLMS LÄN</t>
        </is>
      </c>
      <c r="E659" t="inlineStr">
        <is>
          <t>NORRTÄLJE</t>
        </is>
      </c>
      <c r="G659" t="n">
        <v>5.3</v>
      </c>
      <c r="H659" t="n">
        <v>0</v>
      </c>
      <c r="I659" t="n">
        <v>0</v>
      </c>
      <c r="J659" t="n">
        <v>0</v>
      </c>
      <c r="K659" t="n">
        <v>0</v>
      </c>
      <c r="L659" t="n">
        <v>0</v>
      </c>
      <c r="M659" t="n">
        <v>0</v>
      </c>
      <c r="N659" t="n">
        <v>0</v>
      </c>
      <c r="O659" t="n">
        <v>0</v>
      </c>
      <c r="P659" t="n">
        <v>0</v>
      </c>
      <c r="Q659" t="n">
        <v>0</v>
      </c>
      <c r="R659" s="2" t="inlineStr"/>
    </row>
    <row r="660" ht="15" customHeight="1">
      <c r="A660" t="inlineStr">
        <is>
          <t>A 68361-2021</t>
        </is>
      </c>
      <c r="B660" s="1" t="n">
        <v>44528</v>
      </c>
      <c r="C660" s="1" t="n">
        <v>45645</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69034-2021</t>
        </is>
      </c>
      <c r="B661" s="1" t="n">
        <v>44529</v>
      </c>
      <c r="C661" s="1" t="n">
        <v>45645</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69539-2021</t>
        </is>
      </c>
      <c r="B662" s="1" t="n">
        <v>44531</v>
      </c>
      <c r="C662" s="1" t="n">
        <v>45645</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69723-2021</t>
        </is>
      </c>
      <c r="B663" s="1" t="n">
        <v>44532</v>
      </c>
      <c r="C663" s="1" t="n">
        <v>45645</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69816-2021</t>
        </is>
      </c>
      <c r="B664" s="1" t="n">
        <v>44532</v>
      </c>
      <c r="C664" s="1" t="n">
        <v>45645</v>
      </c>
      <c r="D664" t="inlineStr">
        <is>
          <t>STOCKHOLMS LÄN</t>
        </is>
      </c>
      <c r="E664" t="inlineStr">
        <is>
          <t>NORRTÄLJE</t>
        </is>
      </c>
      <c r="G664" t="n">
        <v>4.9</v>
      </c>
      <c r="H664" t="n">
        <v>0</v>
      </c>
      <c r="I664" t="n">
        <v>0</v>
      </c>
      <c r="J664" t="n">
        <v>0</v>
      </c>
      <c r="K664" t="n">
        <v>0</v>
      </c>
      <c r="L664" t="n">
        <v>0</v>
      </c>
      <c r="M664" t="n">
        <v>0</v>
      </c>
      <c r="N664" t="n">
        <v>0</v>
      </c>
      <c r="O664" t="n">
        <v>0</v>
      </c>
      <c r="P664" t="n">
        <v>0</v>
      </c>
      <c r="Q664" t="n">
        <v>0</v>
      </c>
      <c r="R664" s="2" t="inlineStr"/>
    </row>
    <row r="665" ht="15" customHeight="1">
      <c r="A665" t="inlineStr">
        <is>
          <t>A 70170-2021</t>
        </is>
      </c>
      <c r="B665" s="1" t="n">
        <v>44533</v>
      </c>
      <c r="C665" s="1" t="n">
        <v>45645</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69988-2021</t>
        </is>
      </c>
      <c r="B666" s="1" t="n">
        <v>44533</v>
      </c>
      <c r="C666" s="1" t="n">
        <v>45645</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70469-2021</t>
        </is>
      </c>
      <c r="B667" s="1" t="n">
        <v>44536</v>
      </c>
      <c r="C667" s="1" t="n">
        <v>45645</v>
      </c>
      <c r="D667" t="inlineStr">
        <is>
          <t>STOCKHOLMS LÄN</t>
        </is>
      </c>
      <c r="E667" t="inlineStr">
        <is>
          <t>NORRTÄLJE</t>
        </is>
      </c>
      <c r="F667" t="inlineStr">
        <is>
          <t>Holmen skog AB</t>
        </is>
      </c>
      <c r="G667" t="n">
        <v>2.5</v>
      </c>
      <c r="H667" t="n">
        <v>0</v>
      </c>
      <c r="I667" t="n">
        <v>0</v>
      </c>
      <c r="J667" t="n">
        <v>0</v>
      </c>
      <c r="K667" t="n">
        <v>0</v>
      </c>
      <c r="L667" t="n">
        <v>0</v>
      </c>
      <c r="M667" t="n">
        <v>0</v>
      </c>
      <c r="N667" t="n">
        <v>0</v>
      </c>
      <c r="O667" t="n">
        <v>0</v>
      </c>
      <c r="P667" t="n">
        <v>0</v>
      </c>
      <c r="Q667" t="n">
        <v>0</v>
      </c>
      <c r="R667" s="2" t="inlineStr"/>
    </row>
    <row r="668" ht="15" customHeight="1">
      <c r="A668" t="inlineStr">
        <is>
          <t>A 71325-2021</t>
        </is>
      </c>
      <c r="B668" s="1" t="n">
        <v>44539</v>
      </c>
      <c r="C668" s="1" t="n">
        <v>45645</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71552-2021</t>
        </is>
      </c>
      <c r="B669" s="1" t="n">
        <v>44540</v>
      </c>
      <c r="C669" s="1" t="n">
        <v>45645</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71479-2021</t>
        </is>
      </c>
      <c r="B670" s="1" t="n">
        <v>44540</v>
      </c>
      <c r="C670" s="1" t="n">
        <v>45645</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71543-2021</t>
        </is>
      </c>
      <c r="B671" s="1" t="n">
        <v>44540</v>
      </c>
      <c r="C671" s="1" t="n">
        <v>45645</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71873-2021</t>
        </is>
      </c>
      <c r="B672" s="1" t="n">
        <v>44543</v>
      </c>
      <c r="C672" s="1" t="n">
        <v>45645</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71876-2021</t>
        </is>
      </c>
      <c r="B673" s="1" t="n">
        <v>44543</v>
      </c>
      <c r="C673" s="1" t="n">
        <v>45645</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71880-2021</t>
        </is>
      </c>
      <c r="B674" s="1" t="n">
        <v>44543</v>
      </c>
      <c r="C674" s="1" t="n">
        <v>45645</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71871-2021</t>
        </is>
      </c>
      <c r="B675" s="1" t="n">
        <v>44543</v>
      </c>
      <c r="C675" s="1" t="n">
        <v>45645</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71878-2021</t>
        </is>
      </c>
      <c r="B676" s="1" t="n">
        <v>44543</v>
      </c>
      <c r="C676" s="1" t="n">
        <v>45645</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72085-2021</t>
        </is>
      </c>
      <c r="B677" s="1" t="n">
        <v>44544</v>
      </c>
      <c r="C677" s="1" t="n">
        <v>45645</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72202-2021</t>
        </is>
      </c>
      <c r="B678" s="1" t="n">
        <v>44544</v>
      </c>
      <c r="C678" s="1" t="n">
        <v>45645</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72308-2021</t>
        </is>
      </c>
      <c r="B679" s="1" t="n">
        <v>44545</v>
      </c>
      <c r="C679" s="1" t="n">
        <v>45645</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72343-2021</t>
        </is>
      </c>
      <c r="B680" s="1" t="n">
        <v>44545</v>
      </c>
      <c r="C680" s="1" t="n">
        <v>45645</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72357-2021</t>
        </is>
      </c>
      <c r="B681" s="1" t="n">
        <v>44545</v>
      </c>
      <c r="C681" s="1" t="n">
        <v>45645</v>
      </c>
      <c r="D681" t="inlineStr">
        <is>
          <t>STOCKHOLMS LÄN</t>
        </is>
      </c>
      <c r="E681" t="inlineStr">
        <is>
          <t>NORRTÄLJE</t>
        </is>
      </c>
      <c r="G681" t="n">
        <v>5.1</v>
      </c>
      <c r="H681" t="n">
        <v>0</v>
      </c>
      <c r="I681" t="n">
        <v>0</v>
      </c>
      <c r="J681" t="n">
        <v>0</v>
      </c>
      <c r="K681" t="n">
        <v>0</v>
      </c>
      <c r="L681" t="n">
        <v>0</v>
      </c>
      <c r="M681" t="n">
        <v>0</v>
      </c>
      <c r="N681" t="n">
        <v>0</v>
      </c>
      <c r="O681" t="n">
        <v>0</v>
      </c>
      <c r="P681" t="n">
        <v>0</v>
      </c>
      <c r="Q681" t="n">
        <v>0</v>
      </c>
      <c r="R681" s="2" t="inlineStr"/>
    </row>
    <row r="682" ht="15" customHeight="1">
      <c r="A682" t="inlineStr">
        <is>
          <t>A 72355-2021</t>
        </is>
      </c>
      <c r="B682" s="1" t="n">
        <v>44545</v>
      </c>
      <c r="C682" s="1" t="n">
        <v>45645</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72353-2021</t>
        </is>
      </c>
      <c r="B683" s="1" t="n">
        <v>44545</v>
      </c>
      <c r="C683" s="1" t="n">
        <v>45645</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72747-2021</t>
        </is>
      </c>
      <c r="B684" s="1" t="n">
        <v>44546</v>
      </c>
      <c r="C684" s="1" t="n">
        <v>45645</v>
      </c>
      <c r="D684" t="inlineStr">
        <is>
          <t>STOCKHOLMS LÄN</t>
        </is>
      </c>
      <c r="E684" t="inlineStr">
        <is>
          <t>NORRTÄLJE</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72704-2021</t>
        </is>
      </c>
      <c r="B685" s="1" t="n">
        <v>44546</v>
      </c>
      <c r="C685" s="1" t="n">
        <v>45645</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72890-2021</t>
        </is>
      </c>
      <c r="B686" s="1" t="n">
        <v>44547</v>
      </c>
      <c r="C686" s="1" t="n">
        <v>45645</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73311-2021</t>
        </is>
      </c>
      <c r="B687" s="1" t="n">
        <v>44549</v>
      </c>
      <c r="C687" s="1" t="n">
        <v>45645</v>
      </c>
      <c r="D687" t="inlineStr">
        <is>
          <t>STOCKHOLMS LÄN</t>
        </is>
      </c>
      <c r="E687" t="inlineStr">
        <is>
          <t>NORRTÄLJE</t>
        </is>
      </c>
      <c r="G687" t="n">
        <v>5.2</v>
      </c>
      <c r="H687" t="n">
        <v>0</v>
      </c>
      <c r="I687" t="n">
        <v>0</v>
      </c>
      <c r="J687" t="n">
        <v>0</v>
      </c>
      <c r="K687" t="n">
        <v>0</v>
      </c>
      <c r="L687" t="n">
        <v>0</v>
      </c>
      <c r="M687" t="n">
        <v>0</v>
      </c>
      <c r="N687" t="n">
        <v>0</v>
      </c>
      <c r="O687" t="n">
        <v>0</v>
      </c>
      <c r="P687" t="n">
        <v>0</v>
      </c>
      <c r="Q687" t="n">
        <v>0</v>
      </c>
      <c r="R687" s="2" t="inlineStr"/>
    </row>
    <row r="688" ht="15" customHeight="1">
      <c r="A688" t="inlineStr">
        <is>
          <t>A 73307-2021</t>
        </is>
      </c>
      <c r="B688" s="1" t="n">
        <v>44549</v>
      </c>
      <c r="C688" s="1" t="n">
        <v>45645</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73271-2021</t>
        </is>
      </c>
      <c r="B689" s="1" t="n">
        <v>44550</v>
      </c>
      <c r="C689" s="1" t="n">
        <v>45645</v>
      </c>
      <c r="D689" t="inlineStr">
        <is>
          <t>STOCKHOLMS LÄN</t>
        </is>
      </c>
      <c r="E689" t="inlineStr">
        <is>
          <t>NORRTÄLJE</t>
        </is>
      </c>
      <c r="G689" t="n">
        <v>2</v>
      </c>
      <c r="H689" t="n">
        <v>0</v>
      </c>
      <c r="I689" t="n">
        <v>0</v>
      </c>
      <c r="J689" t="n">
        <v>0</v>
      </c>
      <c r="K689" t="n">
        <v>0</v>
      </c>
      <c r="L689" t="n">
        <v>0</v>
      </c>
      <c r="M689" t="n">
        <v>0</v>
      </c>
      <c r="N689" t="n">
        <v>0</v>
      </c>
      <c r="O689" t="n">
        <v>0</v>
      </c>
      <c r="P689" t="n">
        <v>0</v>
      </c>
      <c r="Q689" t="n">
        <v>0</v>
      </c>
      <c r="R689" s="2" t="inlineStr"/>
    </row>
    <row r="690" ht="15" customHeight="1">
      <c r="A690" t="inlineStr">
        <is>
          <t>A 73504-2021</t>
        </is>
      </c>
      <c r="B690" s="1" t="n">
        <v>44551</v>
      </c>
      <c r="C690" s="1" t="n">
        <v>45645</v>
      </c>
      <c r="D690" t="inlineStr">
        <is>
          <t>STOCKHOLMS LÄN</t>
        </is>
      </c>
      <c r="E690" t="inlineStr">
        <is>
          <t>NORRTÄLJE</t>
        </is>
      </c>
      <c r="G690" t="n">
        <v>4.7</v>
      </c>
      <c r="H690" t="n">
        <v>0</v>
      </c>
      <c r="I690" t="n">
        <v>0</v>
      </c>
      <c r="J690" t="n">
        <v>0</v>
      </c>
      <c r="K690" t="n">
        <v>0</v>
      </c>
      <c r="L690" t="n">
        <v>0</v>
      </c>
      <c r="M690" t="n">
        <v>0</v>
      </c>
      <c r="N690" t="n">
        <v>0</v>
      </c>
      <c r="O690" t="n">
        <v>0</v>
      </c>
      <c r="P690" t="n">
        <v>0</v>
      </c>
      <c r="Q690" t="n">
        <v>0</v>
      </c>
      <c r="R690" s="2" t="inlineStr"/>
    </row>
    <row r="691" ht="15" customHeight="1">
      <c r="A691" t="inlineStr">
        <is>
          <t>A 73855-2021</t>
        </is>
      </c>
      <c r="B691" s="1" t="n">
        <v>44552</v>
      </c>
      <c r="C691" s="1" t="n">
        <v>45645</v>
      </c>
      <c r="D691" t="inlineStr">
        <is>
          <t>STOCKHOLMS LÄN</t>
        </is>
      </c>
      <c r="E691" t="inlineStr">
        <is>
          <t>NORRTÄLJE</t>
        </is>
      </c>
      <c r="F691" t="inlineStr">
        <is>
          <t>Övriga Aktiebolag</t>
        </is>
      </c>
      <c r="G691" t="n">
        <v>4</v>
      </c>
      <c r="H691" t="n">
        <v>0</v>
      </c>
      <c r="I691" t="n">
        <v>0</v>
      </c>
      <c r="J691" t="n">
        <v>0</v>
      </c>
      <c r="K691" t="n">
        <v>0</v>
      </c>
      <c r="L691" t="n">
        <v>0</v>
      </c>
      <c r="M691" t="n">
        <v>0</v>
      </c>
      <c r="N691" t="n">
        <v>0</v>
      </c>
      <c r="O691" t="n">
        <v>0</v>
      </c>
      <c r="P691" t="n">
        <v>0</v>
      </c>
      <c r="Q691" t="n">
        <v>0</v>
      </c>
      <c r="R691" s="2" t="inlineStr"/>
    </row>
    <row r="692" ht="15" customHeight="1">
      <c r="A692" t="inlineStr">
        <is>
          <t>A 73992-2021</t>
        </is>
      </c>
      <c r="B692" s="1" t="n">
        <v>44556</v>
      </c>
      <c r="C692" s="1" t="n">
        <v>45645</v>
      </c>
      <c r="D692" t="inlineStr">
        <is>
          <t>STOCKHOLMS LÄN</t>
        </is>
      </c>
      <c r="E692" t="inlineStr">
        <is>
          <t>NORRTÄLJE</t>
        </is>
      </c>
      <c r="G692" t="n">
        <v>12.5</v>
      </c>
      <c r="H692" t="n">
        <v>0</v>
      </c>
      <c r="I692" t="n">
        <v>0</v>
      </c>
      <c r="J692" t="n">
        <v>0</v>
      </c>
      <c r="K692" t="n">
        <v>0</v>
      </c>
      <c r="L692" t="n">
        <v>0</v>
      </c>
      <c r="M692" t="n">
        <v>0</v>
      </c>
      <c r="N692" t="n">
        <v>0</v>
      </c>
      <c r="O692" t="n">
        <v>0</v>
      </c>
      <c r="P692" t="n">
        <v>0</v>
      </c>
      <c r="Q692" t="n">
        <v>0</v>
      </c>
      <c r="R692" s="2" t="inlineStr"/>
    </row>
    <row r="693" ht="15" customHeight="1">
      <c r="A693" t="inlineStr">
        <is>
          <t>A 73993-2021</t>
        </is>
      </c>
      <c r="B693" s="1" t="n">
        <v>44556</v>
      </c>
      <c r="C693" s="1" t="n">
        <v>45645</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74468-2021</t>
        </is>
      </c>
      <c r="B694" s="1" t="n">
        <v>44560</v>
      </c>
      <c r="C694" s="1" t="n">
        <v>45645</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185-2022</t>
        </is>
      </c>
      <c r="B695" s="1" t="n">
        <v>44564</v>
      </c>
      <c r="C695" s="1" t="n">
        <v>45645</v>
      </c>
      <c r="D695" t="inlineStr">
        <is>
          <t>STOCKHOLMS LÄN</t>
        </is>
      </c>
      <c r="E695" t="inlineStr">
        <is>
          <t>NORRTÄLJE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190-2022</t>
        </is>
      </c>
      <c r="B696" s="1" t="n">
        <v>44564</v>
      </c>
      <c r="C696" s="1" t="n">
        <v>45645</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187-2022</t>
        </is>
      </c>
      <c r="B697" s="1" t="n">
        <v>44564</v>
      </c>
      <c r="C697" s="1" t="n">
        <v>45645</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77-2022</t>
        </is>
      </c>
      <c r="B698" s="1" t="n">
        <v>44564</v>
      </c>
      <c r="C698" s="1" t="n">
        <v>45645</v>
      </c>
      <c r="D698" t="inlineStr">
        <is>
          <t>STOCKHOLMS LÄN</t>
        </is>
      </c>
      <c r="E698" t="inlineStr">
        <is>
          <t>NORRTÄLJE</t>
        </is>
      </c>
      <c r="G698" t="n">
        <v>4.1</v>
      </c>
      <c r="H698" t="n">
        <v>0</v>
      </c>
      <c r="I698" t="n">
        <v>0</v>
      </c>
      <c r="J698" t="n">
        <v>0</v>
      </c>
      <c r="K698" t="n">
        <v>0</v>
      </c>
      <c r="L698" t="n">
        <v>0</v>
      </c>
      <c r="M698" t="n">
        <v>0</v>
      </c>
      <c r="N698" t="n">
        <v>0</v>
      </c>
      <c r="O698" t="n">
        <v>0</v>
      </c>
      <c r="P698" t="n">
        <v>0</v>
      </c>
      <c r="Q698" t="n">
        <v>0</v>
      </c>
      <c r="R698" s="2" t="inlineStr"/>
    </row>
    <row r="699" ht="15" customHeight="1">
      <c r="A699" t="inlineStr">
        <is>
          <t>A 459-2022</t>
        </is>
      </c>
      <c r="B699" s="1" t="n">
        <v>44565</v>
      </c>
      <c r="C699" s="1" t="n">
        <v>45645</v>
      </c>
      <c r="D699" t="inlineStr">
        <is>
          <t>STOCKHOLMS LÄN</t>
        </is>
      </c>
      <c r="E699" t="inlineStr">
        <is>
          <t>NORRTÄLJE</t>
        </is>
      </c>
      <c r="F699" t="inlineStr">
        <is>
          <t>Övriga Aktiebolag</t>
        </is>
      </c>
      <c r="G699" t="n">
        <v>17.3</v>
      </c>
      <c r="H699" t="n">
        <v>0</v>
      </c>
      <c r="I699" t="n">
        <v>0</v>
      </c>
      <c r="J699" t="n">
        <v>0</v>
      </c>
      <c r="K699" t="n">
        <v>0</v>
      </c>
      <c r="L699" t="n">
        <v>0</v>
      </c>
      <c r="M699" t="n">
        <v>0</v>
      </c>
      <c r="N699" t="n">
        <v>0</v>
      </c>
      <c r="O699" t="n">
        <v>0</v>
      </c>
      <c r="P699" t="n">
        <v>0</v>
      </c>
      <c r="Q699" t="n">
        <v>0</v>
      </c>
      <c r="R699" s="2" t="inlineStr"/>
    </row>
    <row r="700" ht="15" customHeight="1">
      <c r="A700" t="inlineStr">
        <is>
          <t>A 1058-2022</t>
        </is>
      </c>
      <c r="B700" s="1" t="n">
        <v>44571</v>
      </c>
      <c r="C700" s="1" t="n">
        <v>45645</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1051-2022</t>
        </is>
      </c>
      <c r="B701" s="1" t="n">
        <v>44571</v>
      </c>
      <c r="C701" s="1" t="n">
        <v>45645</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1054-2022</t>
        </is>
      </c>
      <c r="B702" s="1" t="n">
        <v>44571</v>
      </c>
      <c r="C702" s="1" t="n">
        <v>45645</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1229-2022</t>
        </is>
      </c>
      <c r="B703" s="1" t="n">
        <v>44572</v>
      </c>
      <c r="C703" s="1" t="n">
        <v>45645</v>
      </c>
      <c r="D703" t="inlineStr">
        <is>
          <t>STOCKHOLMS LÄN</t>
        </is>
      </c>
      <c r="E703" t="inlineStr">
        <is>
          <t>NORRTÄLJE</t>
        </is>
      </c>
      <c r="G703" t="n">
        <v>11.5</v>
      </c>
      <c r="H703" t="n">
        <v>0</v>
      </c>
      <c r="I703" t="n">
        <v>0</v>
      </c>
      <c r="J703" t="n">
        <v>0</v>
      </c>
      <c r="K703" t="n">
        <v>0</v>
      </c>
      <c r="L703" t="n">
        <v>0</v>
      </c>
      <c r="M703" t="n">
        <v>0</v>
      </c>
      <c r="N703" t="n">
        <v>0</v>
      </c>
      <c r="O703" t="n">
        <v>0</v>
      </c>
      <c r="P703" t="n">
        <v>0</v>
      </c>
      <c r="Q703" t="n">
        <v>0</v>
      </c>
      <c r="R703" s="2" t="inlineStr"/>
    </row>
    <row r="704" ht="15" customHeight="1">
      <c r="A704" t="inlineStr">
        <is>
          <t>A 1704-2022</t>
        </is>
      </c>
      <c r="B704" s="1" t="n">
        <v>44574</v>
      </c>
      <c r="C704" s="1" t="n">
        <v>45645</v>
      </c>
      <c r="D704" t="inlineStr">
        <is>
          <t>STOCKHOLMS LÄN</t>
        </is>
      </c>
      <c r="E704" t="inlineStr">
        <is>
          <t>NORRTÄLJE</t>
        </is>
      </c>
      <c r="G704" t="n">
        <v>6.2</v>
      </c>
      <c r="H704" t="n">
        <v>0</v>
      </c>
      <c r="I704" t="n">
        <v>0</v>
      </c>
      <c r="J704" t="n">
        <v>0</v>
      </c>
      <c r="K704" t="n">
        <v>0</v>
      </c>
      <c r="L704" t="n">
        <v>0</v>
      </c>
      <c r="M704" t="n">
        <v>0</v>
      </c>
      <c r="N704" t="n">
        <v>0</v>
      </c>
      <c r="O704" t="n">
        <v>0</v>
      </c>
      <c r="P704" t="n">
        <v>0</v>
      </c>
      <c r="Q704" t="n">
        <v>0</v>
      </c>
      <c r="R704" s="2" t="inlineStr"/>
    </row>
    <row r="705" ht="15" customHeight="1">
      <c r="A705" t="inlineStr">
        <is>
          <t>A 1968-2022</t>
        </is>
      </c>
      <c r="B705" s="1" t="n">
        <v>44575</v>
      </c>
      <c r="C705" s="1" t="n">
        <v>45645</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2182-2022</t>
        </is>
      </c>
      <c r="B706" s="1" t="n">
        <v>44578</v>
      </c>
      <c r="C706" s="1" t="n">
        <v>45645</v>
      </c>
      <c r="D706" t="inlineStr">
        <is>
          <t>STOCKHOLMS LÄN</t>
        </is>
      </c>
      <c r="E706" t="inlineStr">
        <is>
          <t>NORRTÄLJE</t>
        </is>
      </c>
      <c r="G706" t="n">
        <v>7.2</v>
      </c>
      <c r="H706" t="n">
        <v>0</v>
      </c>
      <c r="I706" t="n">
        <v>0</v>
      </c>
      <c r="J706" t="n">
        <v>0</v>
      </c>
      <c r="K706" t="n">
        <v>0</v>
      </c>
      <c r="L706" t="n">
        <v>0</v>
      </c>
      <c r="M706" t="n">
        <v>0</v>
      </c>
      <c r="N706" t="n">
        <v>0</v>
      </c>
      <c r="O706" t="n">
        <v>0</v>
      </c>
      <c r="P706" t="n">
        <v>0</v>
      </c>
      <c r="Q706" t="n">
        <v>0</v>
      </c>
      <c r="R706" s="2" t="inlineStr"/>
    </row>
    <row r="707" ht="15" customHeight="1">
      <c r="A707" t="inlineStr">
        <is>
          <t>A 2549-2022</t>
        </is>
      </c>
      <c r="B707" s="1" t="n">
        <v>44580</v>
      </c>
      <c r="C707" s="1" t="n">
        <v>45645</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2732-2022</t>
        </is>
      </c>
      <c r="B708" s="1" t="n">
        <v>44580</v>
      </c>
      <c r="C708" s="1" t="n">
        <v>45645</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2888-2022</t>
        </is>
      </c>
      <c r="B709" s="1" t="n">
        <v>44581</v>
      </c>
      <c r="C709" s="1" t="n">
        <v>45645</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2977-2022</t>
        </is>
      </c>
      <c r="B710" s="1" t="n">
        <v>44581</v>
      </c>
      <c r="C710" s="1" t="n">
        <v>45645</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3300-2022</t>
        </is>
      </c>
      <c r="B711" s="1" t="n">
        <v>44584</v>
      </c>
      <c r="C711" s="1" t="n">
        <v>45645</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3310-2022</t>
        </is>
      </c>
      <c r="B712" s="1" t="n">
        <v>44584</v>
      </c>
      <c r="C712" s="1" t="n">
        <v>45645</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3396-2022</t>
        </is>
      </c>
      <c r="B713" s="1" t="n">
        <v>44585</v>
      </c>
      <c r="C713" s="1" t="n">
        <v>45645</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3509-2022</t>
        </is>
      </c>
      <c r="B714" s="1" t="n">
        <v>44585</v>
      </c>
      <c r="C714" s="1" t="n">
        <v>45645</v>
      </c>
      <c r="D714" t="inlineStr">
        <is>
          <t>STOCKHOLMS LÄN</t>
        </is>
      </c>
      <c r="E714" t="inlineStr">
        <is>
          <t>NORRTÄLJE</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4860-2022</t>
        </is>
      </c>
      <c r="B715" s="1" t="n">
        <v>44592</v>
      </c>
      <c r="C715" s="1" t="n">
        <v>45645</v>
      </c>
      <c r="D715" t="inlineStr">
        <is>
          <t>STOCKHOLMS LÄN</t>
        </is>
      </c>
      <c r="E715" t="inlineStr">
        <is>
          <t>NORRTÄLJE</t>
        </is>
      </c>
      <c r="G715" t="n">
        <v>22.3</v>
      </c>
      <c r="H715" t="n">
        <v>0</v>
      </c>
      <c r="I715" t="n">
        <v>0</v>
      </c>
      <c r="J715" t="n">
        <v>0</v>
      </c>
      <c r="K715" t="n">
        <v>0</v>
      </c>
      <c r="L715" t="n">
        <v>0</v>
      </c>
      <c r="M715" t="n">
        <v>0</v>
      </c>
      <c r="N715" t="n">
        <v>0</v>
      </c>
      <c r="O715" t="n">
        <v>0</v>
      </c>
      <c r="P715" t="n">
        <v>0</v>
      </c>
      <c r="Q715" t="n">
        <v>0</v>
      </c>
      <c r="R715" s="2" t="inlineStr"/>
    </row>
    <row r="716" ht="15" customHeight="1">
      <c r="A716" t="inlineStr">
        <is>
          <t>A 5351-2022</t>
        </is>
      </c>
      <c r="B716" s="1" t="n">
        <v>44594</v>
      </c>
      <c r="C716" s="1" t="n">
        <v>45645</v>
      </c>
      <c r="D716" t="inlineStr">
        <is>
          <t>STOCKHOLMS LÄN</t>
        </is>
      </c>
      <c r="E716" t="inlineStr">
        <is>
          <t>NORRTÄLJE</t>
        </is>
      </c>
      <c r="G716" t="n">
        <v>4</v>
      </c>
      <c r="H716" t="n">
        <v>0</v>
      </c>
      <c r="I716" t="n">
        <v>0</v>
      </c>
      <c r="J716" t="n">
        <v>0</v>
      </c>
      <c r="K716" t="n">
        <v>0</v>
      </c>
      <c r="L716" t="n">
        <v>0</v>
      </c>
      <c r="M716" t="n">
        <v>0</v>
      </c>
      <c r="N716" t="n">
        <v>0</v>
      </c>
      <c r="O716" t="n">
        <v>0</v>
      </c>
      <c r="P716" t="n">
        <v>0</v>
      </c>
      <c r="Q716" t="n">
        <v>0</v>
      </c>
      <c r="R716" s="2" t="inlineStr"/>
    </row>
    <row r="717" ht="15" customHeight="1">
      <c r="A717" t="inlineStr">
        <is>
          <t>A 5513-2022</t>
        </is>
      </c>
      <c r="B717" s="1" t="n">
        <v>44595</v>
      </c>
      <c r="C717" s="1" t="n">
        <v>45645</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5611-2022</t>
        </is>
      </c>
      <c r="B718" s="1" t="n">
        <v>44595</v>
      </c>
      <c r="C718" s="1" t="n">
        <v>45645</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5831-2022</t>
        </is>
      </c>
      <c r="B719" s="1" t="n">
        <v>44596</v>
      </c>
      <c r="C719" s="1" t="n">
        <v>45645</v>
      </c>
      <c r="D719" t="inlineStr">
        <is>
          <t>STOCKHOLMS LÄN</t>
        </is>
      </c>
      <c r="E719" t="inlineStr">
        <is>
          <t>NORRTÄLJE</t>
        </is>
      </c>
      <c r="G719" t="n">
        <v>4.8</v>
      </c>
      <c r="H719" t="n">
        <v>0</v>
      </c>
      <c r="I719" t="n">
        <v>0</v>
      </c>
      <c r="J719" t="n">
        <v>0</v>
      </c>
      <c r="K719" t="n">
        <v>0</v>
      </c>
      <c r="L719" t="n">
        <v>0</v>
      </c>
      <c r="M719" t="n">
        <v>0</v>
      </c>
      <c r="N719" t="n">
        <v>0</v>
      </c>
      <c r="O719" t="n">
        <v>0</v>
      </c>
      <c r="P719" t="n">
        <v>0</v>
      </c>
      <c r="Q719" t="n">
        <v>0</v>
      </c>
      <c r="R719" s="2" t="inlineStr"/>
    </row>
    <row r="720" ht="15" customHeight="1">
      <c r="A720" t="inlineStr">
        <is>
          <t>A 5867-2022</t>
        </is>
      </c>
      <c r="B720" s="1" t="n">
        <v>44596</v>
      </c>
      <c r="C720" s="1" t="n">
        <v>45645</v>
      </c>
      <c r="D720" t="inlineStr">
        <is>
          <t>STOCKHOLMS LÄN</t>
        </is>
      </c>
      <c r="E720" t="inlineStr">
        <is>
          <t>NORRTÄLJE</t>
        </is>
      </c>
      <c r="F720" t="inlineStr">
        <is>
          <t>Naturvårdsverket</t>
        </is>
      </c>
      <c r="G720" t="n">
        <v>1.6</v>
      </c>
      <c r="H720" t="n">
        <v>0</v>
      </c>
      <c r="I720" t="n">
        <v>0</v>
      </c>
      <c r="J720" t="n">
        <v>0</v>
      </c>
      <c r="K720" t="n">
        <v>0</v>
      </c>
      <c r="L720" t="n">
        <v>0</v>
      </c>
      <c r="M720" t="n">
        <v>0</v>
      </c>
      <c r="N720" t="n">
        <v>0</v>
      </c>
      <c r="O720" t="n">
        <v>0</v>
      </c>
      <c r="P720" t="n">
        <v>0</v>
      </c>
      <c r="Q720" t="n">
        <v>0</v>
      </c>
      <c r="R720" s="2" t="inlineStr"/>
    </row>
    <row r="721" ht="15" customHeight="1">
      <c r="A721" t="inlineStr">
        <is>
          <t>A 6070-2022</t>
        </is>
      </c>
      <c r="B721" s="1" t="n">
        <v>44599</v>
      </c>
      <c r="C721" s="1" t="n">
        <v>45645</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6332-2022</t>
        </is>
      </c>
      <c r="B722" s="1" t="n">
        <v>44600</v>
      </c>
      <c r="C722" s="1" t="n">
        <v>45645</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7301-2022</t>
        </is>
      </c>
      <c r="B723" s="1" t="n">
        <v>44606</v>
      </c>
      <c r="C723" s="1" t="n">
        <v>45645</v>
      </c>
      <c r="D723" t="inlineStr">
        <is>
          <t>STOCKHOLMS LÄN</t>
        </is>
      </c>
      <c r="E723" t="inlineStr">
        <is>
          <t>NORRTÄLJE</t>
        </is>
      </c>
      <c r="G723" t="n">
        <v>6.1</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45645</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8024-2022</t>
        </is>
      </c>
      <c r="B725" s="1" t="n">
        <v>44609</v>
      </c>
      <c r="C725" s="1" t="n">
        <v>45645</v>
      </c>
      <c r="D725" t="inlineStr">
        <is>
          <t>STOCKHOLMS LÄN</t>
        </is>
      </c>
      <c r="E725" t="inlineStr">
        <is>
          <t>NORRTÄLJE</t>
        </is>
      </c>
      <c r="F725" t="inlineStr">
        <is>
          <t>Kyrkan</t>
        </is>
      </c>
      <c r="G725" t="n">
        <v>28.2</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45645</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45645</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45645</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45645</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45645</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45645</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45645</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45645</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45645</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45645</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45645</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45645</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45645</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45645</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45645</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45645</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45645</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45645</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45645</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45645</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45645</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45645</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45645</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45645</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45645</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45645</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45645</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45645</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45645</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45645</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45645</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45645</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45645</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45645</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45645</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45645</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45645</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45645</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45645</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45645</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45645</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45645</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45645</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45645</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45645</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45645</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45645</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45645</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45645</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45645</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45645</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45645</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45645</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45645</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45645</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45645</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45645</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45645</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45645</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45645</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45645</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45645</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45645</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45645</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45645</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45645</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45645</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45645</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45645</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45645</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45645</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45645</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45645</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45645</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45645</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45645</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45645</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45645</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45645</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45645</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45645</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45645</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45645</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45645</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45645</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45645</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45645</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45645</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45645</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45645</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45645</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45645</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45645</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45645</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45645</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45645</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45645</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45645</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45645</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45645</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45645</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45645</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45645</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45645</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45645</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45645</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45645</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45645</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45645</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45645</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45645</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45645</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45645</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45645</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45645</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45645</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45645</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45645</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45645</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45645</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45645</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45645</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45645</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45645</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45645</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45645</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45645</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45645</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45645</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45645</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45645</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45645</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45645</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45645</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45645</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45645</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45645</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45645</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45645</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45645</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45645</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45645</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45645</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45645</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45645</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45645</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45645</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45645</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45645</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45645</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45645</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45645</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45645</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45645</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45645</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45645</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45645</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45645</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45645</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45645</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45645</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45645</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45645</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45645</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45645</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45645</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45645</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45645</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45645</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45645</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45645</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45645</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45645</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45645</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45645</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45645</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45645</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45645</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45645</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45645</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45645</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45645</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45645</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45645</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45645</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45645</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45645</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45645</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45645</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45645</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45645</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45645</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45645</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45645</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45645</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45645</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45645</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45645</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45645</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45645</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45645</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45645</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45645</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45645</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45645</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45645</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45645</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45645</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45645</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45645</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45645</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45645</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45645</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45645</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45645</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45645</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45645</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45645</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45645</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45645</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45645</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45645</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45645</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45645</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45645</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45645</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45645</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45645</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45645</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45645</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45645</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45645</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45645</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45645</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45645</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45645</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45645</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45645</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45645</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45645</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45645</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45645</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45645</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45645</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45645</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45645</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45645</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45645</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45645</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45645</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45645</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45645</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45645</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45645</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45645</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45645</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45645</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45645</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45645</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45645</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45645</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45645</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45645</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45645</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45645</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45645</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45645</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45645</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45645</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45645</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45645</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45645</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45645</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45645</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45645</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45645</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45645</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45645</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45645</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45645</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45645</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45645</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45645</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45645</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45645</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45645</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45645</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45645</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45645</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45645</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45645</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45645</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45645</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45645</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45645</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45645</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45645</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45645</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45645</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45645</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45645</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45645</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45645</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45645</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45645</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45645</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45645</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45645</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45645</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45645</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45645</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45645</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45645</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45645</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45645</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45645</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45645</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45645</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45645</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45645</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45645</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45645</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45645</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45645</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45645</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45645</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45645</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45645</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45645</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45645</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45645</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45645</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45645</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45645</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45645</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45645</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45645</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45645</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45645</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45645</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45645</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45645</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45645</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45645</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45645</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45645</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45645</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45645</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45645</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45645</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45645</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45645</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45645</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45645</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45645</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45645</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45645</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45645</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45645</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45645</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45645</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45645</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45645</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45645</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45645</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45645</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45645</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45645</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45645</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45645</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45645</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45645</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45645</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45645</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45645</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45645</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45645</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45645</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45645</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45645</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45645</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45645</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45645</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45645</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45645</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45645</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45645</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45645</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45645</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45645</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45645</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45645</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45645</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45645</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45645</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45645</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45645</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45645</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45645</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45645</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45645</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45645</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45645</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45645</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45645</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45645</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45645</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45645</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45645</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45645</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45645</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45645</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45645</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45645</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45645</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45645</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45645</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45645</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45645</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45645</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45645</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45645</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45645</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45645</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45645</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45645</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45645</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45645</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45645</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45645</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45645</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45645</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45645</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45645</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45645</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45645</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45645</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45645</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45645</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45645</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45645</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45645</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45645</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45645</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45645</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45645</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45645</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45645</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45645</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45645</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45645</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45645</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45645</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45645</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45645</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45645</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45645</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45645</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45645</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45645</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45645</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45645</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45645</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45645</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45645</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45645</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45645</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45645</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45645</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45645</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45645</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45645</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45645</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45645</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45645</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45645</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45645</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45645</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45645</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45645</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45645</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45645</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45645</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45645</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45645</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45645</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45645</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45645</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45645</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45645</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45645</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45645</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45645</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45645</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45645</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45645</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45645</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45645</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45645</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45645</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45645</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45645</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45645</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45645</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45645</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45645</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45645</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45645</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45645</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45645</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45645</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45645</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45645</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45645</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45645</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45645</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45645</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45645</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45645</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45645</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45645</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45645</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45645</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45645</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45645</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45645</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45645</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45645</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45645</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45645</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45645</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45645</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45645</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45645</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45645</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45645</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45645</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45645</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45645</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45645</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45645</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45645</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45645</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45645</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45645</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45645</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45645</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45645</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45645</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45645</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45645</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45645</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45645</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45645</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45645</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45645</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45645</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45645</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45645</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45645</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45645</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45645</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45645</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45645</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45645</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45645</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45645</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45645</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45645</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45645</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45645</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45645</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45645</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45645</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45645</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45645</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45645</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45645</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45645</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45645</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45645</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45645</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45645</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45645</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39879-2023</t>
        </is>
      </c>
      <c r="B1310" s="1" t="n">
        <v>45168</v>
      </c>
      <c r="C1310" s="1" t="n">
        <v>45645</v>
      </c>
      <c r="D1310" t="inlineStr">
        <is>
          <t>STOCKHOLMS LÄN</t>
        </is>
      </c>
      <c r="E1310" t="inlineStr">
        <is>
          <t>NORRTÄLJE</t>
        </is>
      </c>
      <c r="F1310" t="inlineStr">
        <is>
          <t>Holmen skog AB</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39905-2023</t>
        </is>
      </c>
      <c r="B1311" s="1" t="n">
        <v>45168</v>
      </c>
      <c r="C1311" s="1" t="n">
        <v>45645</v>
      </c>
      <c r="D1311" t="inlineStr">
        <is>
          <t>STOCKHOLMS LÄN</t>
        </is>
      </c>
      <c r="E1311" t="inlineStr">
        <is>
          <t>NORRTÄLJE</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40139-2023</t>
        </is>
      </c>
      <c r="B1312" s="1" t="n">
        <v>45169</v>
      </c>
      <c r="C1312" s="1" t="n">
        <v>45645</v>
      </c>
      <c r="D1312" t="inlineStr">
        <is>
          <t>STOCKHOLMS LÄN</t>
        </is>
      </c>
      <c r="E1312" t="inlineStr">
        <is>
          <t>NORRTÄLJE</t>
        </is>
      </c>
      <c r="F1312" t="inlineStr">
        <is>
          <t>Kyrkan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40192-2023</t>
        </is>
      </c>
      <c r="B1313" s="1" t="n">
        <v>45169</v>
      </c>
      <c r="C1313" s="1" t="n">
        <v>45645</v>
      </c>
      <c r="D1313" t="inlineStr">
        <is>
          <t>STOCKHOLMS LÄN</t>
        </is>
      </c>
      <c r="E1313" t="inlineStr">
        <is>
          <t>NORRTÄLJE</t>
        </is>
      </c>
      <c r="F1313" t="inlineStr">
        <is>
          <t>Kyrkan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40161-2023</t>
        </is>
      </c>
      <c r="B1314" s="1" t="n">
        <v>45169</v>
      </c>
      <c r="C1314" s="1" t="n">
        <v>45645</v>
      </c>
      <c r="D1314" t="inlineStr">
        <is>
          <t>STOCKHOLMS LÄN</t>
        </is>
      </c>
      <c r="E1314" t="inlineStr">
        <is>
          <t>NORRTÄLJE</t>
        </is>
      </c>
      <c r="F1314" t="inlineStr">
        <is>
          <t>Kyrkan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40190-2023</t>
        </is>
      </c>
      <c r="B1315" s="1" t="n">
        <v>45169</v>
      </c>
      <c r="C1315" s="1" t="n">
        <v>45645</v>
      </c>
      <c r="D1315" t="inlineStr">
        <is>
          <t>STOCKHOLMS LÄN</t>
        </is>
      </c>
      <c r="E1315" t="inlineStr">
        <is>
          <t>NORRTÄLJE</t>
        </is>
      </c>
      <c r="F1315" t="inlineStr">
        <is>
          <t>Kyrkan</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40379-2023</t>
        </is>
      </c>
      <c r="B1316" s="1" t="n">
        <v>45169</v>
      </c>
      <c r="C1316" s="1" t="n">
        <v>45645</v>
      </c>
      <c r="D1316" t="inlineStr">
        <is>
          <t>STOCKHOLMS LÄN</t>
        </is>
      </c>
      <c r="E1316" t="inlineStr">
        <is>
          <t>NORRTÄLJE</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41172-2023</t>
        </is>
      </c>
      <c r="B1317" s="1" t="n">
        <v>45170</v>
      </c>
      <c r="C1317" s="1" t="n">
        <v>45645</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40995-2023</t>
        </is>
      </c>
      <c r="B1318" s="1" t="n">
        <v>45173</v>
      </c>
      <c r="C1318" s="1" t="n">
        <v>45645</v>
      </c>
      <c r="D1318" t="inlineStr">
        <is>
          <t>STOCKHOLMS LÄN</t>
        </is>
      </c>
      <c r="E1318" t="inlineStr">
        <is>
          <t>NORRTÄLJE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41335-2023</t>
        </is>
      </c>
      <c r="B1319" s="1" t="n">
        <v>45174</v>
      </c>
      <c r="C1319" s="1" t="n">
        <v>45645</v>
      </c>
      <c r="D1319" t="inlineStr">
        <is>
          <t>STOCKHOLMS LÄN</t>
        </is>
      </c>
      <c r="E1319" t="inlineStr">
        <is>
          <t>NORRTÄLJE</t>
        </is>
      </c>
      <c r="F1319" t="inlineStr">
        <is>
          <t>Holmen skog AB</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41587-2023</t>
        </is>
      </c>
      <c r="B1320" s="1" t="n">
        <v>45175</v>
      </c>
      <c r="C1320" s="1" t="n">
        <v>45645</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41716-2023</t>
        </is>
      </c>
      <c r="B1321" s="1" t="n">
        <v>45176</v>
      </c>
      <c r="C1321" s="1" t="n">
        <v>45645</v>
      </c>
      <c r="D1321" t="inlineStr">
        <is>
          <t>STOCKHOLMS LÄN</t>
        </is>
      </c>
      <c r="E1321" t="inlineStr">
        <is>
          <t>NORRTÄLJE</t>
        </is>
      </c>
      <c r="F1321" t="inlineStr">
        <is>
          <t>Kyrkan</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41715-2023</t>
        </is>
      </c>
      <c r="B1322" s="1" t="n">
        <v>45176</v>
      </c>
      <c r="C1322" s="1" t="n">
        <v>45645</v>
      </c>
      <c r="D1322" t="inlineStr">
        <is>
          <t>STOCKHOLMS LÄN</t>
        </is>
      </c>
      <c r="E1322" t="inlineStr">
        <is>
          <t>NORRTÄLJE</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41880-2023</t>
        </is>
      </c>
      <c r="B1323" s="1" t="n">
        <v>45176</v>
      </c>
      <c r="C1323" s="1" t="n">
        <v>45645</v>
      </c>
      <c r="D1323" t="inlineStr">
        <is>
          <t>STOCKHOLMS LÄN</t>
        </is>
      </c>
      <c r="E1323" t="inlineStr">
        <is>
          <t>NORRTÄLJE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42094-2023</t>
        </is>
      </c>
      <c r="B1324" s="1" t="n">
        <v>45177</v>
      </c>
      <c r="C1324" s="1" t="n">
        <v>45645</v>
      </c>
      <c r="D1324" t="inlineStr">
        <is>
          <t>STOCKHOLMS LÄN</t>
        </is>
      </c>
      <c r="E1324" t="inlineStr">
        <is>
          <t>NORRTÄLJE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42075-2023</t>
        </is>
      </c>
      <c r="B1325" s="1" t="n">
        <v>45177</v>
      </c>
      <c r="C1325" s="1" t="n">
        <v>45645</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42199-2023</t>
        </is>
      </c>
      <c r="B1326" s="1" t="n">
        <v>45179</v>
      </c>
      <c r="C1326" s="1" t="n">
        <v>45645</v>
      </c>
      <c r="D1326" t="inlineStr">
        <is>
          <t>STOCKHOLMS LÄN</t>
        </is>
      </c>
      <c r="E1326" t="inlineStr">
        <is>
          <t>NORRTÄLJE</t>
        </is>
      </c>
      <c r="F1326" t="inlineStr">
        <is>
          <t>Sveaskog</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42200-2023</t>
        </is>
      </c>
      <c r="B1327" s="1" t="n">
        <v>45179</v>
      </c>
      <c r="C1327" s="1" t="n">
        <v>45645</v>
      </c>
      <c r="D1327" t="inlineStr">
        <is>
          <t>STOCKHOLMS LÄN</t>
        </is>
      </c>
      <c r="E1327" t="inlineStr">
        <is>
          <t>NORRTÄLJE</t>
        </is>
      </c>
      <c r="F1327" t="inlineStr">
        <is>
          <t>Sveaskog</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42765-2023</t>
        </is>
      </c>
      <c r="B1328" s="1" t="n">
        <v>45181</v>
      </c>
      <c r="C1328" s="1" t="n">
        <v>45645</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42775-2023</t>
        </is>
      </c>
      <c r="B1329" s="1" t="n">
        <v>45181</v>
      </c>
      <c r="C1329" s="1" t="n">
        <v>45645</v>
      </c>
      <c r="D1329" t="inlineStr">
        <is>
          <t>STOCKHOLMS LÄN</t>
        </is>
      </c>
      <c r="E1329" t="inlineStr">
        <is>
          <t>NORRTÄLJE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42948-2023</t>
        </is>
      </c>
      <c r="B1330" s="1" t="n">
        <v>45182</v>
      </c>
      <c r="C1330" s="1" t="n">
        <v>45645</v>
      </c>
      <c r="D1330" t="inlineStr">
        <is>
          <t>STOCKHOLMS LÄN</t>
        </is>
      </c>
      <c r="E1330" t="inlineStr">
        <is>
          <t>NORRTÄLJE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42977-2023</t>
        </is>
      </c>
      <c r="B1331" s="1" t="n">
        <v>45182</v>
      </c>
      <c r="C1331" s="1" t="n">
        <v>45645</v>
      </c>
      <c r="D1331" t="inlineStr">
        <is>
          <t>STOCKHOLMS LÄN</t>
        </is>
      </c>
      <c r="E1331" t="inlineStr">
        <is>
          <t>NORRTÄLJE</t>
        </is>
      </c>
      <c r="F1331" t="inlineStr">
        <is>
          <t>Sveaskog</t>
        </is>
      </c>
      <c r="G1331" t="n">
        <v>11.8</v>
      </c>
      <c r="H1331" t="n">
        <v>0</v>
      </c>
      <c r="I1331" t="n">
        <v>0</v>
      </c>
      <c r="J1331" t="n">
        <v>0</v>
      </c>
      <c r="K1331" t="n">
        <v>0</v>
      </c>
      <c r="L1331" t="n">
        <v>0</v>
      </c>
      <c r="M1331" t="n">
        <v>0</v>
      </c>
      <c r="N1331" t="n">
        <v>0</v>
      </c>
      <c r="O1331" t="n">
        <v>0</v>
      </c>
      <c r="P1331" t="n">
        <v>0</v>
      </c>
      <c r="Q1331" t="n">
        <v>0</v>
      </c>
      <c r="R1331" s="2" t="inlineStr"/>
    </row>
    <row r="1332" ht="15" customHeight="1">
      <c r="A1332" t="inlineStr">
        <is>
          <t>A 43140-2023</t>
        </is>
      </c>
      <c r="B1332" s="1" t="n">
        <v>45183</v>
      </c>
      <c r="C1332" s="1" t="n">
        <v>45645</v>
      </c>
      <c r="D1332" t="inlineStr">
        <is>
          <t>STOCKHOLMS LÄN</t>
        </is>
      </c>
      <c r="E1332" t="inlineStr">
        <is>
          <t>NORRTÄLJE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43207-2023</t>
        </is>
      </c>
      <c r="B1333" s="1" t="n">
        <v>45183</v>
      </c>
      <c r="C1333" s="1" t="n">
        <v>45645</v>
      </c>
      <c r="D1333" t="inlineStr">
        <is>
          <t>STOCKHOLMS LÄN</t>
        </is>
      </c>
      <c r="E1333" t="inlineStr">
        <is>
          <t>NORRTÄLJE</t>
        </is>
      </c>
      <c r="F1333" t="inlineStr">
        <is>
          <t>Kyrkan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43150-2023</t>
        </is>
      </c>
      <c r="B1334" s="1" t="n">
        <v>45183</v>
      </c>
      <c r="C1334" s="1" t="n">
        <v>45645</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43170-2023</t>
        </is>
      </c>
      <c r="B1335" s="1" t="n">
        <v>45183</v>
      </c>
      <c r="C1335" s="1" t="n">
        <v>45645</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43289-2023</t>
        </is>
      </c>
      <c r="B1336" s="1" t="n">
        <v>45183</v>
      </c>
      <c r="C1336" s="1" t="n">
        <v>45645</v>
      </c>
      <c r="D1336" t="inlineStr">
        <is>
          <t>STOCKHOLMS LÄN</t>
        </is>
      </c>
      <c r="E1336" t="inlineStr">
        <is>
          <t>NORRTÄLJE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43300-2023</t>
        </is>
      </c>
      <c r="B1337" s="1" t="n">
        <v>45183</v>
      </c>
      <c r="C1337" s="1" t="n">
        <v>45645</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43638-2023</t>
        </is>
      </c>
      <c r="B1338" s="1" t="n">
        <v>45186</v>
      </c>
      <c r="C1338" s="1" t="n">
        <v>45645</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43684-2023</t>
        </is>
      </c>
      <c r="B1339" s="1" t="n">
        <v>45187</v>
      </c>
      <c r="C1339" s="1" t="n">
        <v>45645</v>
      </c>
      <c r="D1339" t="inlineStr">
        <is>
          <t>STOCKHOLMS LÄN</t>
        </is>
      </c>
      <c r="E1339" t="inlineStr">
        <is>
          <t>NORRTÄLJE</t>
        </is>
      </c>
      <c r="F1339" t="inlineStr">
        <is>
          <t>Holmen skog AB</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43836-2023</t>
        </is>
      </c>
      <c r="B1340" s="1" t="n">
        <v>45187</v>
      </c>
      <c r="C1340" s="1" t="n">
        <v>45645</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43710-2023</t>
        </is>
      </c>
      <c r="B1341" s="1" t="n">
        <v>45187</v>
      </c>
      <c r="C1341" s="1" t="n">
        <v>45645</v>
      </c>
      <c r="D1341" t="inlineStr">
        <is>
          <t>STOCKHOLMS LÄN</t>
        </is>
      </c>
      <c r="E1341" t="inlineStr">
        <is>
          <t>NORRTÄLJE</t>
        </is>
      </c>
      <c r="F1341" t="inlineStr">
        <is>
          <t>Holmen skog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44891-2023</t>
        </is>
      </c>
      <c r="B1342" s="1" t="n">
        <v>45187</v>
      </c>
      <c r="C1342" s="1" t="n">
        <v>45645</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44885-2023</t>
        </is>
      </c>
      <c r="B1343" s="1" t="n">
        <v>45187</v>
      </c>
      <c r="C1343" s="1" t="n">
        <v>45645</v>
      </c>
      <c r="D1343" t="inlineStr">
        <is>
          <t>STOCKHOLMS LÄN</t>
        </is>
      </c>
      <c r="E1343" t="inlineStr">
        <is>
          <t>NORRTÄLJE</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44075-2023</t>
        </is>
      </c>
      <c r="B1344" s="1" t="n">
        <v>45188</v>
      </c>
      <c r="C1344" s="1" t="n">
        <v>45645</v>
      </c>
      <c r="D1344" t="inlineStr">
        <is>
          <t>STOCKHOLMS LÄN</t>
        </is>
      </c>
      <c r="E1344" t="inlineStr">
        <is>
          <t>NORRTÄLJE</t>
        </is>
      </c>
      <c r="F1344" t="inlineStr">
        <is>
          <t>Holmen skog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44154-2023</t>
        </is>
      </c>
      <c r="B1345" s="1" t="n">
        <v>45188</v>
      </c>
      <c r="C1345" s="1" t="n">
        <v>45645</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44571-2023</t>
        </is>
      </c>
      <c r="B1346" s="1" t="n">
        <v>45189</v>
      </c>
      <c r="C1346" s="1" t="n">
        <v>45645</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44836-2023</t>
        </is>
      </c>
      <c r="B1347" s="1" t="n">
        <v>45190</v>
      </c>
      <c r="C1347" s="1" t="n">
        <v>45645</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45173-2023</t>
        </is>
      </c>
      <c r="B1348" s="1" t="n">
        <v>45191</v>
      </c>
      <c r="C1348" s="1" t="n">
        <v>45645</v>
      </c>
      <c r="D1348" t="inlineStr">
        <is>
          <t>STOCKHOLMS LÄN</t>
        </is>
      </c>
      <c r="E1348" t="inlineStr">
        <is>
          <t>NORRTÄLJE</t>
        </is>
      </c>
      <c r="F1348" t="inlineStr">
        <is>
          <t>Sveaskog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45174-2023</t>
        </is>
      </c>
      <c r="B1349" s="1" t="n">
        <v>45191</v>
      </c>
      <c r="C1349" s="1" t="n">
        <v>45645</v>
      </c>
      <c r="D1349" t="inlineStr">
        <is>
          <t>STOCKHOLMS LÄN</t>
        </is>
      </c>
      <c r="E1349" t="inlineStr">
        <is>
          <t>NORRTÄLJE</t>
        </is>
      </c>
      <c r="F1349" t="inlineStr">
        <is>
          <t>Sveaskog</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46161-2023</t>
        </is>
      </c>
      <c r="B1350" s="1" t="n">
        <v>45196</v>
      </c>
      <c r="C1350" s="1" t="n">
        <v>45645</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46155-2023</t>
        </is>
      </c>
      <c r="B1351" s="1" t="n">
        <v>45196</v>
      </c>
      <c r="C1351" s="1" t="n">
        <v>45645</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46621-2023</t>
        </is>
      </c>
      <c r="B1352" s="1" t="n">
        <v>45198</v>
      </c>
      <c r="C1352" s="1" t="n">
        <v>45645</v>
      </c>
      <c r="D1352" t="inlineStr">
        <is>
          <t>STOCKHOLMS LÄN</t>
        </is>
      </c>
      <c r="E1352" t="inlineStr">
        <is>
          <t>NORRTÄLJE</t>
        </is>
      </c>
      <c r="F1352" t="inlineStr">
        <is>
          <t>Holmen skog AB</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47419-2023</t>
        </is>
      </c>
      <c r="B1353" s="1" t="n">
        <v>45202</v>
      </c>
      <c r="C1353" s="1" t="n">
        <v>45645</v>
      </c>
      <c r="D1353" t="inlineStr">
        <is>
          <t>STOCKHOLMS LÄN</t>
        </is>
      </c>
      <c r="E1353" t="inlineStr">
        <is>
          <t>NORRTÄLJE</t>
        </is>
      </c>
      <c r="G1353" t="n">
        <v>11.4</v>
      </c>
      <c r="H1353" t="n">
        <v>0</v>
      </c>
      <c r="I1353" t="n">
        <v>0</v>
      </c>
      <c r="J1353" t="n">
        <v>0</v>
      </c>
      <c r="K1353" t="n">
        <v>0</v>
      </c>
      <c r="L1353" t="n">
        <v>0</v>
      </c>
      <c r="M1353" t="n">
        <v>0</v>
      </c>
      <c r="N1353" t="n">
        <v>0</v>
      </c>
      <c r="O1353" t="n">
        <v>0</v>
      </c>
      <c r="P1353" t="n">
        <v>0</v>
      </c>
      <c r="Q1353" t="n">
        <v>0</v>
      </c>
      <c r="R1353" s="2" t="inlineStr"/>
    </row>
    <row r="1354" ht="15" customHeight="1">
      <c r="A1354" t="inlineStr">
        <is>
          <t>A 47431-2023</t>
        </is>
      </c>
      <c r="B1354" s="1" t="n">
        <v>45202</v>
      </c>
      <c r="C1354" s="1" t="n">
        <v>45645</v>
      </c>
      <c r="D1354" t="inlineStr">
        <is>
          <t>STOCKHOLMS LÄN</t>
        </is>
      </c>
      <c r="E1354" t="inlineStr">
        <is>
          <t>NORRTÄLJE</t>
        </is>
      </c>
      <c r="F1354" t="inlineStr">
        <is>
          <t>Naturvårdsverket</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47325-2023</t>
        </is>
      </c>
      <c r="B1355" s="1" t="n">
        <v>45202</v>
      </c>
      <c r="C1355" s="1" t="n">
        <v>45645</v>
      </c>
      <c r="D1355" t="inlineStr">
        <is>
          <t>STOCKHOLMS LÄN</t>
        </is>
      </c>
      <c r="E1355" t="inlineStr">
        <is>
          <t>NORRTÄLJE</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47433-2023</t>
        </is>
      </c>
      <c r="B1356" s="1" t="n">
        <v>45202</v>
      </c>
      <c r="C1356" s="1" t="n">
        <v>45645</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47388-2023</t>
        </is>
      </c>
      <c r="B1357" s="1" t="n">
        <v>45202</v>
      </c>
      <c r="C1357" s="1" t="n">
        <v>45645</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47430-2023</t>
        </is>
      </c>
      <c r="B1358" s="1" t="n">
        <v>45202</v>
      </c>
      <c r="C1358" s="1" t="n">
        <v>45645</v>
      </c>
      <c r="D1358" t="inlineStr">
        <is>
          <t>STOCKHOLMS LÄN</t>
        </is>
      </c>
      <c r="E1358" t="inlineStr">
        <is>
          <t>NORRTÄLJE</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49775-2023</t>
        </is>
      </c>
      <c r="B1359" s="1" t="n">
        <v>45202</v>
      </c>
      <c r="C1359" s="1" t="n">
        <v>45645</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48578-2023</t>
        </is>
      </c>
      <c r="B1360" s="1" t="n">
        <v>45202</v>
      </c>
      <c r="C1360" s="1" t="n">
        <v>45645</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49774-2023</t>
        </is>
      </c>
      <c r="B1361" s="1" t="n">
        <v>45202</v>
      </c>
      <c r="C1361" s="1" t="n">
        <v>45645</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47672-2023</t>
        </is>
      </c>
      <c r="B1362" s="1" t="n">
        <v>45203</v>
      </c>
      <c r="C1362" s="1" t="n">
        <v>45645</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47694-2023</t>
        </is>
      </c>
      <c r="B1363" s="1" t="n">
        <v>45203</v>
      </c>
      <c r="C1363" s="1" t="n">
        <v>45645</v>
      </c>
      <c r="D1363" t="inlineStr">
        <is>
          <t>STOCKHOLMS LÄN</t>
        </is>
      </c>
      <c r="E1363" t="inlineStr">
        <is>
          <t>NORRTÄLJE</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47708-2023</t>
        </is>
      </c>
      <c r="B1364" s="1" t="n">
        <v>45203</v>
      </c>
      <c r="C1364" s="1" t="n">
        <v>45645</v>
      </c>
      <c r="D1364" t="inlineStr">
        <is>
          <t>STOCKHOLMS LÄN</t>
        </is>
      </c>
      <c r="E1364" t="inlineStr">
        <is>
          <t>NORRTÄLJE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47758-2023</t>
        </is>
      </c>
      <c r="B1365" s="1" t="n">
        <v>45203</v>
      </c>
      <c r="C1365" s="1" t="n">
        <v>45645</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47699-2023</t>
        </is>
      </c>
      <c r="B1366" s="1" t="n">
        <v>45203</v>
      </c>
      <c r="C1366" s="1" t="n">
        <v>45645</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47735-2023</t>
        </is>
      </c>
      <c r="B1367" s="1" t="n">
        <v>45203</v>
      </c>
      <c r="C1367" s="1" t="n">
        <v>45645</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48167-2023</t>
        </is>
      </c>
      <c r="B1368" s="1" t="n">
        <v>45205</v>
      </c>
      <c r="C1368" s="1" t="n">
        <v>45645</v>
      </c>
      <c r="D1368" t="inlineStr">
        <is>
          <t>STOCKHOLMS LÄN</t>
        </is>
      </c>
      <c r="E1368" t="inlineStr">
        <is>
          <t>NORRTÄLJE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48180-2023</t>
        </is>
      </c>
      <c r="B1369" s="1" t="n">
        <v>45205</v>
      </c>
      <c r="C1369" s="1" t="n">
        <v>45645</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48185-2023</t>
        </is>
      </c>
      <c r="B1370" s="1" t="n">
        <v>45205</v>
      </c>
      <c r="C1370" s="1" t="n">
        <v>45645</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48302-2023</t>
        </is>
      </c>
      <c r="B1371" s="1" t="n">
        <v>45205</v>
      </c>
      <c r="C1371" s="1" t="n">
        <v>45645</v>
      </c>
      <c r="D1371" t="inlineStr">
        <is>
          <t>STOCKHOLMS LÄN</t>
        </is>
      </c>
      <c r="E1371" t="inlineStr">
        <is>
          <t>NORRTÄLJE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48333-2023</t>
        </is>
      </c>
      <c r="B1372" s="1" t="n">
        <v>45205</v>
      </c>
      <c r="C1372" s="1" t="n">
        <v>45645</v>
      </c>
      <c r="D1372" t="inlineStr">
        <is>
          <t>STOCKHOLMS LÄN</t>
        </is>
      </c>
      <c r="E1372" t="inlineStr">
        <is>
          <t>NORRTÄLJE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48541-2023</t>
        </is>
      </c>
      <c r="B1373" s="1" t="n">
        <v>45208</v>
      </c>
      <c r="C1373" s="1" t="n">
        <v>45645</v>
      </c>
      <c r="D1373" t="inlineStr">
        <is>
          <t>STOCKHOLMS LÄN</t>
        </is>
      </c>
      <c r="E1373" t="inlineStr">
        <is>
          <t>NORRTÄLJE</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48552-2023</t>
        </is>
      </c>
      <c r="B1374" s="1" t="n">
        <v>45208</v>
      </c>
      <c r="C1374" s="1" t="n">
        <v>45645</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48587-2023</t>
        </is>
      </c>
      <c r="B1375" s="1" t="n">
        <v>45208</v>
      </c>
      <c r="C1375" s="1" t="n">
        <v>45645</v>
      </c>
      <c r="D1375" t="inlineStr">
        <is>
          <t>STOCKHOLMS LÄN</t>
        </is>
      </c>
      <c r="E1375" t="inlineStr">
        <is>
          <t>NORRTÄLJE</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48633-2023</t>
        </is>
      </c>
      <c r="B1376" s="1" t="n">
        <v>45208</v>
      </c>
      <c r="C1376" s="1" t="n">
        <v>45645</v>
      </c>
      <c r="D1376" t="inlineStr">
        <is>
          <t>STOCKHOLMS LÄN</t>
        </is>
      </c>
      <c r="E1376" t="inlineStr">
        <is>
          <t>NORRTÄLJE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48641-2023</t>
        </is>
      </c>
      <c r="B1377" s="1" t="n">
        <v>45208</v>
      </c>
      <c r="C1377" s="1" t="n">
        <v>45645</v>
      </c>
      <c r="D1377" t="inlineStr">
        <is>
          <t>STOCKHOLMS LÄN</t>
        </is>
      </c>
      <c r="E1377" t="inlineStr">
        <is>
          <t>NORRTÄLJE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48686-2023</t>
        </is>
      </c>
      <c r="B1378" s="1" t="n">
        <v>45208</v>
      </c>
      <c r="C1378" s="1" t="n">
        <v>45645</v>
      </c>
      <c r="D1378" t="inlineStr">
        <is>
          <t>STOCKHOLMS LÄN</t>
        </is>
      </c>
      <c r="E1378" t="inlineStr">
        <is>
          <t>NORRTÄLJE</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48629-2023</t>
        </is>
      </c>
      <c r="B1379" s="1" t="n">
        <v>45208</v>
      </c>
      <c r="C1379" s="1" t="n">
        <v>45645</v>
      </c>
      <c r="D1379" t="inlineStr">
        <is>
          <t>STOCKHOLMS LÄN</t>
        </is>
      </c>
      <c r="E1379" t="inlineStr">
        <is>
          <t>NORRTÄLJE</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48668-2023</t>
        </is>
      </c>
      <c r="B1380" s="1" t="n">
        <v>45208</v>
      </c>
      <c r="C1380" s="1" t="n">
        <v>45645</v>
      </c>
      <c r="D1380" t="inlineStr">
        <is>
          <t>STOCKHOLMS LÄN</t>
        </is>
      </c>
      <c r="E1380" t="inlineStr">
        <is>
          <t>NORRTÄLJE</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48685-2023</t>
        </is>
      </c>
      <c r="B1381" s="1" t="n">
        <v>45208</v>
      </c>
      <c r="C1381" s="1" t="n">
        <v>45645</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48691-2023</t>
        </is>
      </c>
      <c r="B1382" s="1" t="n">
        <v>45208</v>
      </c>
      <c r="C1382" s="1" t="n">
        <v>45645</v>
      </c>
      <c r="D1382" t="inlineStr">
        <is>
          <t>STOCKHOLMS LÄN</t>
        </is>
      </c>
      <c r="E1382" t="inlineStr">
        <is>
          <t>NORRTÄLJE</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48701-2023</t>
        </is>
      </c>
      <c r="B1383" s="1" t="n">
        <v>45208</v>
      </c>
      <c r="C1383" s="1" t="n">
        <v>45645</v>
      </c>
      <c r="D1383" t="inlineStr">
        <is>
          <t>STOCKHOLMS LÄN</t>
        </is>
      </c>
      <c r="E1383" t="inlineStr">
        <is>
          <t>NORRTÄLJE</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48716-2023</t>
        </is>
      </c>
      <c r="B1384" s="1" t="n">
        <v>45208</v>
      </c>
      <c r="C1384" s="1" t="n">
        <v>45645</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48709-2023</t>
        </is>
      </c>
      <c r="B1385" s="1" t="n">
        <v>45208</v>
      </c>
      <c r="C1385" s="1" t="n">
        <v>45645</v>
      </c>
      <c r="D1385" t="inlineStr">
        <is>
          <t>STOCKHOLMS LÄN</t>
        </is>
      </c>
      <c r="E1385" t="inlineStr">
        <is>
          <t>NORRTÄLJE</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48722-2023</t>
        </is>
      </c>
      <c r="B1386" s="1" t="n">
        <v>45208</v>
      </c>
      <c r="C1386" s="1" t="n">
        <v>45645</v>
      </c>
      <c r="D1386" t="inlineStr">
        <is>
          <t>STOCKHOLMS LÄN</t>
        </is>
      </c>
      <c r="E1386" t="inlineStr">
        <is>
          <t>NORRTÄLJE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48726-2023</t>
        </is>
      </c>
      <c r="B1387" s="1" t="n">
        <v>45208</v>
      </c>
      <c r="C1387" s="1" t="n">
        <v>45645</v>
      </c>
      <c r="D1387" t="inlineStr">
        <is>
          <t>STOCKHOLMS LÄN</t>
        </is>
      </c>
      <c r="E1387" t="inlineStr">
        <is>
          <t>NORRTÄLJE</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49169-2023</t>
        </is>
      </c>
      <c r="B1388" s="1" t="n">
        <v>45210</v>
      </c>
      <c r="C1388" s="1" t="n">
        <v>45645</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49176-2023</t>
        </is>
      </c>
      <c r="B1389" s="1" t="n">
        <v>45210</v>
      </c>
      <c r="C1389" s="1" t="n">
        <v>45645</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49224-2023</t>
        </is>
      </c>
      <c r="B1390" s="1" t="n">
        <v>45210</v>
      </c>
      <c r="C1390" s="1" t="n">
        <v>45645</v>
      </c>
      <c r="D1390" t="inlineStr">
        <is>
          <t>STOCKHOLMS LÄN</t>
        </is>
      </c>
      <c r="E1390" t="inlineStr">
        <is>
          <t>NORRTÄLJE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49696-2023</t>
        </is>
      </c>
      <c r="B1391" s="1" t="n">
        <v>45212</v>
      </c>
      <c r="C1391" s="1" t="n">
        <v>45645</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49700-2023</t>
        </is>
      </c>
      <c r="B1392" s="1" t="n">
        <v>45212</v>
      </c>
      <c r="C1392" s="1" t="n">
        <v>45645</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49694-2023</t>
        </is>
      </c>
      <c r="B1393" s="1" t="n">
        <v>45212</v>
      </c>
      <c r="C1393" s="1" t="n">
        <v>45645</v>
      </c>
      <c r="D1393" t="inlineStr">
        <is>
          <t>STOCKHOLMS LÄN</t>
        </is>
      </c>
      <c r="E1393" t="inlineStr">
        <is>
          <t>NORRTÄLJE</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50143-2023</t>
        </is>
      </c>
      <c r="B1394" s="1" t="n">
        <v>45215</v>
      </c>
      <c r="C1394" s="1" t="n">
        <v>45645</v>
      </c>
      <c r="D1394" t="inlineStr">
        <is>
          <t>STOCKHOLMS LÄN</t>
        </is>
      </c>
      <c r="E1394" t="inlineStr">
        <is>
          <t>NORRTÄLJE</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50107-2023</t>
        </is>
      </c>
      <c r="B1395" s="1" t="n">
        <v>45215</v>
      </c>
      <c r="C1395" s="1" t="n">
        <v>45645</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50033-2023</t>
        </is>
      </c>
      <c r="B1396" s="1" t="n">
        <v>45215</v>
      </c>
      <c r="C1396" s="1" t="n">
        <v>45645</v>
      </c>
      <c r="D1396" t="inlineStr">
        <is>
          <t>STOCKHOLMS LÄN</t>
        </is>
      </c>
      <c r="E1396" t="inlineStr">
        <is>
          <t>NORRTÄLJE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50136-2023</t>
        </is>
      </c>
      <c r="B1397" s="1" t="n">
        <v>45215</v>
      </c>
      <c r="C1397" s="1" t="n">
        <v>45645</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50150-2023</t>
        </is>
      </c>
      <c r="B1398" s="1" t="n">
        <v>45215</v>
      </c>
      <c r="C1398" s="1" t="n">
        <v>45645</v>
      </c>
      <c r="D1398" t="inlineStr">
        <is>
          <t>STOCKHOLMS LÄN</t>
        </is>
      </c>
      <c r="E1398" t="inlineStr">
        <is>
          <t>NORRTÄLJE</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50289-2023</t>
        </is>
      </c>
      <c r="B1399" s="1" t="n">
        <v>45216</v>
      </c>
      <c r="C1399" s="1" t="n">
        <v>45645</v>
      </c>
      <c r="D1399" t="inlineStr">
        <is>
          <t>STOCKHOLMS LÄN</t>
        </is>
      </c>
      <c r="E1399" t="inlineStr">
        <is>
          <t>NORRTÄLJE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50436-2023</t>
        </is>
      </c>
      <c r="B1400" s="1" t="n">
        <v>45216</v>
      </c>
      <c r="C1400" s="1" t="n">
        <v>45645</v>
      </c>
      <c r="D1400" t="inlineStr">
        <is>
          <t>STOCKHOLMS LÄN</t>
        </is>
      </c>
      <c r="E1400" t="inlineStr">
        <is>
          <t>NORRTÄLJE</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50690-2023</t>
        </is>
      </c>
      <c r="B1401" s="1" t="n">
        <v>45217</v>
      </c>
      <c r="C1401" s="1" t="n">
        <v>45645</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51049-2023</t>
        </is>
      </c>
      <c r="B1402" s="1" t="n">
        <v>45218</v>
      </c>
      <c r="C1402" s="1" t="n">
        <v>45645</v>
      </c>
      <c r="D1402" t="inlineStr">
        <is>
          <t>STOCKHOLMS LÄN</t>
        </is>
      </c>
      <c r="E1402" t="inlineStr">
        <is>
          <t>NORRTÄLJE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51063-2023</t>
        </is>
      </c>
      <c r="B1403" s="1" t="n">
        <v>45218</v>
      </c>
      <c r="C1403" s="1" t="n">
        <v>45645</v>
      </c>
      <c r="D1403" t="inlineStr">
        <is>
          <t>STOCKHOLMS LÄN</t>
        </is>
      </c>
      <c r="E1403" t="inlineStr">
        <is>
          <t>NORRTÄLJE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50880-2023</t>
        </is>
      </c>
      <c r="B1404" s="1" t="n">
        <v>45218</v>
      </c>
      <c r="C1404" s="1" t="n">
        <v>45645</v>
      </c>
      <c r="D1404" t="inlineStr">
        <is>
          <t>STOCKHOLMS LÄN</t>
        </is>
      </c>
      <c r="E1404" t="inlineStr">
        <is>
          <t>NORRTÄLJE</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51046-2023</t>
        </is>
      </c>
      <c r="B1405" s="1" t="n">
        <v>45218</v>
      </c>
      <c r="C1405" s="1" t="n">
        <v>45645</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51043-2023</t>
        </is>
      </c>
      <c r="B1406" s="1" t="n">
        <v>45218</v>
      </c>
      <c r="C1406" s="1" t="n">
        <v>45645</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51061-2023</t>
        </is>
      </c>
      <c r="B1407" s="1" t="n">
        <v>45218</v>
      </c>
      <c r="C1407" s="1" t="n">
        <v>45645</v>
      </c>
      <c r="D1407" t="inlineStr">
        <is>
          <t>STOCKHOLMS LÄN</t>
        </is>
      </c>
      <c r="E1407" t="inlineStr">
        <is>
          <t>NORRTÄLJE</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51325-2023</t>
        </is>
      </c>
      <c r="B1408" s="1" t="n">
        <v>45219</v>
      </c>
      <c r="C1408" s="1" t="n">
        <v>45645</v>
      </c>
      <c r="D1408" t="inlineStr">
        <is>
          <t>STOCKHOLMS LÄN</t>
        </is>
      </c>
      <c r="E1408" t="inlineStr">
        <is>
          <t>NORRTÄLJE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51312-2023</t>
        </is>
      </c>
      <c r="B1409" s="1" t="n">
        <v>45219</v>
      </c>
      <c r="C1409" s="1" t="n">
        <v>45645</v>
      </c>
      <c r="D1409" t="inlineStr">
        <is>
          <t>STOCKHOLMS LÄN</t>
        </is>
      </c>
      <c r="E1409" t="inlineStr">
        <is>
          <t>NORRTÄLJE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51597-2023</t>
        </is>
      </c>
      <c r="B1410" s="1" t="n">
        <v>45222</v>
      </c>
      <c r="C1410" s="1" t="n">
        <v>45645</v>
      </c>
      <c r="D1410" t="inlineStr">
        <is>
          <t>STOCKHOLMS LÄN</t>
        </is>
      </c>
      <c r="E1410" t="inlineStr">
        <is>
          <t>NORRTÄLJE</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51657-2023</t>
        </is>
      </c>
      <c r="B1411" s="1" t="n">
        <v>45222</v>
      </c>
      <c r="C1411" s="1" t="n">
        <v>45645</v>
      </c>
      <c r="D1411" t="inlineStr">
        <is>
          <t>STOCKHOLMS LÄN</t>
        </is>
      </c>
      <c r="E1411" t="inlineStr">
        <is>
          <t>NORRTÄLJE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51903-2023</t>
        </is>
      </c>
      <c r="B1412" s="1" t="n">
        <v>45223</v>
      </c>
      <c r="C1412" s="1" t="n">
        <v>45645</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52095-2023</t>
        </is>
      </c>
      <c r="B1413" s="1" t="n">
        <v>45223</v>
      </c>
      <c r="C1413" s="1" t="n">
        <v>45645</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51978-2023</t>
        </is>
      </c>
      <c r="B1414" s="1" t="n">
        <v>45223</v>
      </c>
      <c r="C1414" s="1" t="n">
        <v>45645</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51997-2023</t>
        </is>
      </c>
      <c r="B1415" s="1" t="n">
        <v>45223</v>
      </c>
      <c r="C1415" s="1" t="n">
        <v>45645</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52001-2023</t>
        </is>
      </c>
      <c r="B1416" s="1" t="n">
        <v>45223</v>
      </c>
      <c r="C1416" s="1" t="n">
        <v>45645</v>
      </c>
      <c r="D1416" t="inlineStr">
        <is>
          <t>STOCKHOLMS LÄN</t>
        </is>
      </c>
      <c r="E1416" t="inlineStr">
        <is>
          <t>NORRTÄLJE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52096-2023</t>
        </is>
      </c>
      <c r="B1417" s="1" t="n">
        <v>45223</v>
      </c>
      <c r="C1417" s="1" t="n">
        <v>45645</v>
      </c>
      <c r="D1417" t="inlineStr">
        <is>
          <t>STOCKHOLMS LÄN</t>
        </is>
      </c>
      <c r="E1417" t="inlineStr">
        <is>
          <t>NORRTÄLJE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53362-2023</t>
        </is>
      </c>
      <c r="B1418" s="1" t="n">
        <v>45223</v>
      </c>
      <c r="C1418" s="1" t="n">
        <v>45645</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53372-2023</t>
        </is>
      </c>
      <c r="B1419" s="1" t="n">
        <v>45223</v>
      </c>
      <c r="C1419" s="1" t="n">
        <v>45645</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52221-2023</t>
        </is>
      </c>
      <c r="B1420" s="1" t="n">
        <v>45224</v>
      </c>
      <c r="C1420" s="1" t="n">
        <v>45645</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53561-2023</t>
        </is>
      </c>
      <c r="B1421" s="1" t="n">
        <v>45224</v>
      </c>
      <c r="C1421" s="1" t="n">
        <v>45645</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53556-2023</t>
        </is>
      </c>
      <c r="B1422" s="1" t="n">
        <v>45224</v>
      </c>
      <c r="C1422" s="1" t="n">
        <v>45645</v>
      </c>
      <c r="D1422" t="inlineStr">
        <is>
          <t>STOCKHOLMS LÄN</t>
        </is>
      </c>
      <c r="E1422" t="inlineStr">
        <is>
          <t>NORRTÄLJE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52570-2023</t>
        </is>
      </c>
      <c r="B1423" s="1" t="n">
        <v>45225</v>
      </c>
      <c r="C1423" s="1" t="n">
        <v>45645</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52619-2023</t>
        </is>
      </c>
      <c r="B1424" s="1" t="n">
        <v>45225</v>
      </c>
      <c r="C1424" s="1" t="n">
        <v>45645</v>
      </c>
      <c r="D1424" t="inlineStr">
        <is>
          <t>STOCKHOLMS LÄN</t>
        </is>
      </c>
      <c r="E1424" t="inlineStr">
        <is>
          <t>NORRTÄLJE</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52875-2023</t>
        </is>
      </c>
      <c r="B1425" s="1" t="n">
        <v>45226</v>
      </c>
      <c r="C1425" s="1" t="n">
        <v>45645</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52899-2023</t>
        </is>
      </c>
      <c r="B1426" s="1" t="n">
        <v>45226</v>
      </c>
      <c r="C1426" s="1" t="n">
        <v>45645</v>
      </c>
      <c r="D1426" t="inlineStr">
        <is>
          <t>STOCKHOLMS LÄN</t>
        </is>
      </c>
      <c r="E1426" t="inlineStr">
        <is>
          <t>NORRTÄLJE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53563-2023</t>
        </is>
      </c>
      <c r="B1427" s="1" t="n">
        <v>45230</v>
      </c>
      <c r="C1427" s="1" t="n">
        <v>45645</v>
      </c>
      <c r="D1427" t="inlineStr">
        <is>
          <t>STOCKHOLMS LÄN</t>
        </is>
      </c>
      <c r="E1427" t="inlineStr">
        <is>
          <t>NORRTÄLJE</t>
        </is>
      </c>
      <c r="G1427" t="n">
        <v>17.2</v>
      </c>
      <c r="H1427" t="n">
        <v>0</v>
      </c>
      <c r="I1427" t="n">
        <v>0</v>
      </c>
      <c r="J1427" t="n">
        <v>0</v>
      </c>
      <c r="K1427" t="n">
        <v>0</v>
      </c>
      <c r="L1427" t="n">
        <v>0</v>
      </c>
      <c r="M1427" t="n">
        <v>0</v>
      </c>
      <c r="N1427" t="n">
        <v>0</v>
      </c>
      <c r="O1427" t="n">
        <v>0</v>
      </c>
      <c r="P1427" t="n">
        <v>0</v>
      </c>
      <c r="Q1427" t="n">
        <v>0</v>
      </c>
      <c r="R1427" s="2" t="inlineStr"/>
    </row>
    <row r="1428" ht="15" customHeight="1">
      <c r="A1428" t="inlineStr">
        <is>
          <t>A 53718-2023</t>
        </is>
      </c>
      <c r="B1428" s="1" t="n">
        <v>45230</v>
      </c>
      <c r="C1428" s="1" t="n">
        <v>45645</v>
      </c>
      <c r="D1428" t="inlineStr">
        <is>
          <t>STOCKHOLMS LÄN</t>
        </is>
      </c>
      <c r="E1428" t="inlineStr">
        <is>
          <t>NORRTÄLJE</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53787-2023</t>
        </is>
      </c>
      <c r="B1429" s="1" t="n">
        <v>45231</v>
      </c>
      <c r="C1429" s="1" t="n">
        <v>45645</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53792-2023</t>
        </is>
      </c>
      <c r="B1430" s="1" t="n">
        <v>45231</v>
      </c>
      <c r="C1430" s="1" t="n">
        <v>45645</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55518-2023</t>
        </is>
      </c>
      <c r="B1431" s="1" t="n">
        <v>45231</v>
      </c>
      <c r="C1431" s="1" t="n">
        <v>45645</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55533-2023</t>
        </is>
      </c>
      <c r="B1432" s="1" t="n">
        <v>45231</v>
      </c>
      <c r="C1432" s="1" t="n">
        <v>45645</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54259-2023</t>
        </is>
      </c>
      <c r="B1433" s="1" t="n">
        <v>45232</v>
      </c>
      <c r="C1433" s="1" t="n">
        <v>45645</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54546-2023</t>
        </is>
      </c>
      <c r="B1434" s="1" t="n">
        <v>45233</v>
      </c>
      <c r="C1434" s="1" t="n">
        <v>45645</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54776-2023</t>
        </is>
      </c>
      <c r="B1435" s="1" t="n">
        <v>45236</v>
      </c>
      <c r="C1435" s="1" t="n">
        <v>45645</v>
      </c>
      <c r="D1435" t="inlineStr">
        <is>
          <t>STOCKHOLMS LÄN</t>
        </is>
      </c>
      <c r="E1435" t="inlineStr">
        <is>
          <t>NORRTÄLJE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55038-2023</t>
        </is>
      </c>
      <c r="B1436" s="1" t="n">
        <v>45237</v>
      </c>
      <c r="C1436" s="1" t="n">
        <v>45645</v>
      </c>
      <c r="D1436" t="inlineStr">
        <is>
          <t>STOCKHOLMS LÄN</t>
        </is>
      </c>
      <c r="E1436" t="inlineStr">
        <is>
          <t>NORRTÄLJE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55243-2023</t>
        </is>
      </c>
      <c r="B1437" s="1" t="n">
        <v>45237</v>
      </c>
      <c r="C1437" s="1" t="n">
        <v>45645</v>
      </c>
      <c r="D1437" t="inlineStr">
        <is>
          <t>STOCKHOLMS LÄN</t>
        </is>
      </c>
      <c r="E1437" t="inlineStr">
        <is>
          <t>NORRTÄLJE</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55369-2023</t>
        </is>
      </c>
      <c r="B1438" s="1" t="n">
        <v>45238</v>
      </c>
      <c r="C1438" s="1" t="n">
        <v>45645</v>
      </c>
      <c r="D1438" t="inlineStr">
        <is>
          <t>STOCKHOLMS LÄN</t>
        </is>
      </c>
      <c r="E1438" t="inlineStr">
        <is>
          <t>NORRTÄLJE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55755-2023</t>
        </is>
      </c>
      <c r="B1439" s="1" t="n">
        <v>45239</v>
      </c>
      <c r="C1439" s="1" t="n">
        <v>45645</v>
      </c>
      <c r="D1439" t="inlineStr">
        <is>
          <t>STOCKHOLMS LÄN</t>
        </is>
      </c>
      <c r="E1439" t="inlineStr">
        <is>
          <t>NORRTÄLJE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56428-2023</t>
        </is>
      </c>
      <c r="B1440" s="1" t="n">
        <v>45243</v>
      </c>
      <c r="C1440" s="1" t="n">
        <v>45645</v>
      </c>
      <c r="D1440" t="inlineStr">
        <is>
          <t>STOCKHOLMS LÄN</t>
        </is>
      </c>
      <c r="E1440" t="inlineStr">
        <is>
          <t>NORRTÄLJE</t>
        </is>
      </c>
      <c r="F1440" t="inlineStr">
        <is>
          <t>Kyrkan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56439-2023</t>
        </is>
      </c>
      <c r="B1441" s="1" t="n">
        <v>45243</v>
      </c>
      <c r="C1441" s="1" t="n">
        <v>45645</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56445-2023</t>
        </is>
      </c>
      <c r="B1442" s="1" t="n">
        <v>45243</v>
      </c>
      <c r="C1442" s="1" t="n">
        <v>45645</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56577-2023</t>
        </is>
      </c>
      <c r="B1443" s="1" t="n">
        <v>45243</v>
      </c>
      <c r="C1443" s="1" t="n">
        <v>45645</v>
      </c>
      <c r="D1443" t="inlineStr">
        <is>
          <t>STOCKHOLMS LÄN</t>
        </is>
      </c>
      <c r="E1443" t="inlineStr">
        <is>
          <t>NORRTÄLJE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56593-2023</t>
        </is>
      </c>
      <c r="B1444" s="1" t="n">
        <v>45243</v>
      </c>
      <c r="C1444" s="1" t="n">
        <v>45645</v>
      </c>
      <c r="D1444" t="inlineStr">
        <is>
          <t>STOCKHOLMS LÄN</t>
        </is>
      </c>
      <c r="E1444" t="inlineStr">
        <is>
          <t>NORRTÄLJE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56819-2023</t>
        </is>
      </c>
      <c r="B1445" s="1" t="n">
        <v>45244</v>
      </c>
      <c r="C1445" s="1" t="n">
        <v>45645</v>
      </c>
      <c r="D1445" t="inlineStr">
        <is>
          <t>STOCKHOLMS LÄN</t>
        </is>
      </c>
      <c r="E1445" t="inlineStr">
        <is>
          <t>NORRTÄLJE</t>
        </is>
      </c>
      <c r="G1445" t="n">
        <v>13.6</v>
      </c>
      <c r="H1445" t="n">
        <v>0</v>
      </c>
      <c r="I1445" t="n">
        <v>0</v>
      </c>
      <c r="J1445" t="n">
        <v>0</v>
      </c>
      <c r="K1445" t="n">
        <v>0</v>
      </c>
      <c r="L1445" t="n">
        <v>0</v>
      </c>
      <c r="M1445" t="n">
        <v>0</v>
      </c>
      <c r="N1445" t="n">
        <v>0</v>
      </c>
      <c r="O1445" t="n">
        <v>0</v>
      </c>
      <c r="P1445" t="n">
        <v>0</v>
      </c>
      <c r="Q1445" t="n">
        <v>0</v>
      </c>
      <c r="R1445" s="2" t="inlineStr"/>
    </row>
    <row r="1446" ht="15" customHeight="1">
      <c r="A1446" t="inlineStr">
        <is>
          <t>A 58261-2023</t>
        </is>
      </c>
      <c r="B1446" s="1" t="n">
        <v>45245</v>
      </c>
      <c r="C1446" s="1" t="n">
        <v>45645</v>
      </c>
      <c r="D1446" t="inlineStr">
        <is>
          <t>STOCKHOLMS LÄN</t>
        </is>
      </c>
      <c r="E1446" t="inlineStr">
        <is>
          <t>NORRTÄLJE</t>
        </is>
      </c>
      <c r="G1446" t="n">
        <v>53.5</v>
      </c>
      <c r="H1446" t="n">
        <v>0</v>
      </c>
      <c r="I1446" t="n">
        <v>0</v>
      </c>
      <c r="J1446" t="n">
        <v>0</v>
      </c>
      <c r="K1446" t="n">
        <v>0</v>
      </c>
      <c r="L1446" t="n">
        <v>0</v>
      </c>
      <c r="M1446" t="n">
        <v>0</v>
      </c>
      <c r="N1446" t="n">
        <v>0</v>
      </c>
      <c r="O1446" t="n">
        <v>0</v>
      </c>
      <c r="P1446" t="n">
        <v>0</v>
      </c>
      <c r="Q1446" t="n">
        <v>0</v>
      </c>
      <c r="R1446" s="2" t="inlineStr"/>
    </row>
    <row r="1447" ht="15" customHeight="1">
      <c r="A1447" t="inlineStr">
        <is>
          <t>A 58209-2023</t>
        </is>
      </c>
      <c r="B1447" s="1" t="n">
        <v>45245</v>
      </c>
      <c r="C1447" s="1" t="n">
        <v>45645</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58227-2023</t>
        </is>
      </c>
      <c r="B1448" s="1" t="n">
        <v>45245</v>
      </c>
      <c r="C1448" s="1" t="n">
        <v>45645</v>
      </c>
      <c r="D1448" t="inlineStr">
        <is>
          <t>STOCKHOLMS LÄN</t>
        </is>
      </c>
      <c r="E1448" t="inlineStr">
        <is>
          <t>NORRTÄLJE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58291-2023</t>
        </is>
      </c>
      <c r="B1449" s="1" t="n">
        <v>45245</v>
      </c>
      <c r="C1449" s="1" t="n">
        <v>45645</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58277-2023</t>
        </is>
      </c>
      <c r="B1450" s="1" t="n">
        <v>45245</v>
      </c>
      <c r="C1450" s="1" t="n">
        <v>45645</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58213-2023</t>
        </is>
      </c>
      <c r="B1451" s="1" t="n">
        <v>45245</v>
      </c>
      <c r="C1451" s="1" t="n">
        <v>45645</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58311-2023</t>
        </is>
      </c>
      <c r="B1452" s="1" t="n">
        <v>45245</v>
      </c>
      <c r="C1452" s="1" t="n">
        <v>45645</v>
      </c>
      <c r="D1452" t="inlineStr">
        <is>
          <t>STOCKHOLMS LÄN</t>
        </is>
      </c>
      <c r="E1452" t="inlineStr">
        <is>
          <t>NORRTÄLJE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58300-2023</t>
        </is>
      </c>
      <c r="B1453" s="1" t="n">
        <v>45245</v>
      </c>
      <c r="C1453" s="1" t="n">
        <v>45645</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58260-2023</t>
        </is>
      </c>
      <c r="B1454" s="1" t="n">
        <v>45245</v>
      </c>
      <c r="C1454" s="1" t="n">
        <v>45645</v>
      </c>
      <c r="D1454" t="inlineStr">
        <is>
          <t>STOCKHOLMS LÄN</t>
        </is>
      </c>
      <c r="E1454" t="inlineStr">
        <is>
          <t>NORRTÄLJE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58297-2023</t>
        </is>
      </c>
      <c r="B1455" s="1" t="n">
        <v>45245</v>
      </c>
      <c r="C1455" s="1" t="n">
        <v>45645</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58306-2023</t>
        </is>
      </c>
      <c r="B1456" s="1" t="n">
        <v>45245</v>
      </c>
      <c r="C1456" s="1" t="n">
        <v>45645</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58404-2023</t>
        </is>
      </c>
      <c r="B1457" s="1" t="n">
        <v>45245</v>
      </c>
      <c r="C1457" s="1" t="n">
        <v>45645</v>
      </c>
      <c r="D1457" t="inlineStr">
        <is>
          <t>STOCKHOLMS LÄN</t>
        </is>
      </c>
      <c r="E1457" t="inlineStr">
        <is>
          <t>NORRTÄLJE</t>
        </is>
      </c>
      <c r="G1457" t="n">
        <v>53.5</v>
      </c>
      <c r="H1457" t="n">
        <v>0</v>
      </c>
      <c r="I1457" t="n">
        <v>0</v>
      </c>
      <c r="J1457" t="n">
        <v>0</v>
      </c>
      <c r="K1457" t="n">
        <v>0</v>
      </c>
      <c r="L1457" t="n">
        <v>0</v>
      </c>
      <c r="M1457" t="n">
        <v>0</v>
      </c>
      <c r="N1457" t="n">
        <v>0</v>
      </c>
      <c r="O1457" t="n">
        <v>0</v>
      </c>
      <c r="P1457" t="n">
        <v>0</v>
      </c>
      <c r="Q1457" t="n">
        <v>0</v>
      </c>
      <c r="R1457" s="2" t="inlineStr"/>
    </row>
    <row r="1458" ht="15" customHeight="1">
      <c r="A1458" t="inlineStr">
        <is>
          <t>A 58191-2023</t>
        </is>
      </c>
      <c r="B1458" s="1" t="n">
        <v>45250</v>
      </c>
      <c r="C1458" s="1" t="n">
        <v>45645</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58186-2023</t>
        </is>
      </c>
      <c r="B1459" s="1" t="n">
        <v>45250</v>
      </c>
      <c r="C1459" s="1" t="n">
        <v>45645</v>
      </c>
      <c r="D1459" t="inlineStr">
        <is>
          <t>STOCKHOLMS LÄN</t>
        </is>
      </c>
      <c r="E1459" t="inlineStr">
        <is>
          <t>NORRTÄLJE</t>
        </is>
      </c>
      <c r="F1459" t="inlineStr">
        <is>
          <t>Kyrkan</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58981-2023</t>
        </is>
      </c>
      <c r="B1460" s="1" t="n">
        <v>45250</v>
      </c>
      <c r="C1460" s="1" t="n">
        <v>45645</v>
      </c>
      <c r="D1460" t="inlineStr">
        <is>
          <t>STOCKHOLMS LÄN</t>
        </is>
      </c>
      <c r="E1460" t="inlineStr">
        <is>
          <t>NORRTÄLJE</t>
        </is>
      </c>
      <c r="F1460" t="inlineStr">
        <is>
          <t>Övriga statliga verk och myndigheter</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58601-2023</t>
        </is>
      </c>
      <c r="B1461" s="1" t="n">
        <v>45251</v>
      </c>
      <c r="C1461" s="1" t="n">
        <v>45645</v>
      </c>
      <c r="D1461" t="inlineStr">
        <is>
          <t>STOCKHOLMS LÄN</t>
        </is>
      </c>
      <c r="E1461" t="inlineStr">
        <is>
          <t>NORRTÄLJE</t>
        </is>
      </c>
      <c r="F1461" t="inlineStr">
        <is>
          <t>Holmen skog AB</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59310-2023</t>
        </is>
      </c>
      <c r="B1462" s="1" t="n">
        <v>45253</v>
      </c>
      <c r="C1462" s="1" t="n">
        <v>45645</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59326-2023</t>
        </is>
      </c>
      <c r="B1463" s="1" t="n">
        <v>45253</v>
      </c>
      <c r="C1463" s="1" t="n">
        <v>45645</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59212-2023</t>
        </is>
      </c>
      <c r="B1464" s="1" t="n">
        <v>45253</v>
      </c>
      <c r="C1464" s="1" t="n">
        <v>45645</v>
      </c>
      <c r="D1464" t="inlineStr">
        <is>
          <t>STOCKHOLMS LÄN</t>
        </is>
      </c>
      <c r="E1464" t="inlineStr">
        <is>
          <t>NORRTÄLJE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59276-2023</t>
        </is>
      </c>
      <c r="B1465" s="1" t="n">
        <v>45253</v>
      </c>
      <c r="C1465" s="1" t="n">
        <v>45645</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59468-2023</t>
        </is>
      </c>
      <c r="B1466" s="1" t="n">
        <v>45254</v>
      </c>
      <c r="C1466" s="1" t="n">
        <v>45645</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59499-2023</t>
        </is>
      </c>
      <c r="B1467" s="1" t="n">
        <v>45254</v>
      </c>
      <c r="C1467" s="1" t="n">
        <v>45645</v>
      </c>
      <c r="D1467" t="inlineStr">
        <is>
          <t>STOCKHOLMS LÄN</t>
        </is>
      </c>
      <c r="E1467" t="inlineStr">
        <is>
          <t>NORRTÄLJE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59504-2023</t>
        </is>
      </c>
      <c r="B1468" s="1" t="n">
        <v>45254</v>
      </c>
      <c r="C1468" s="1" t="n">
        <v>45645</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59676-2023</t>
        </is>
      </c>
      <c r="B1469" s="1" t="n">
        <v>45255</v>
      </c>
      <c r="C1469" s="1" t="n">
        <v>45645</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59904-2023</t>
        </is>
      </c>
      <c r="B1470" s="1" t="n">
        <v>45257</v>
      </c>
      <c r="C1470" s="1" t="n">
        <v>45645</v>
      </c>
      <c r="D1470" t="inlineStr">
        <is>
          <t>STOCKHOLMS LÄN</t>
        </is>
      </c>
      <c r="E1470" t="inlineStr">
        <is>
          <t>NORRTÄLJE</t>
        </is>
      </c>
      <c r="G1470" t="n">
        <v>17.4</v>
      </c>
      <c r="H1470" t="n">
        <v>0</v>
      </c>
      <c r="I1470" t="n">
        <v>0</v>
      </c>
      <c r="J1470" t="n">
        <v>0</v>
      </c>
      <c r="K1470" t="n">
        <v>0</v>
      </c>
      <c r="L1470" t="n">
        <v>0</v>
      </c>
      <c r="M1470" t="n">
        <v>0</v>
      </c>
      <c r="N1470" t="n">
        <v>0</v>
      </c>
      <c r="O1470" t="n">
        <v>0</v>
      </c>
      <c r="P1470" t="n">
        <v>0</v>
      </c>
      <c r="Q1470" t="n">
        <v>0</v>
      </c>
      <c r="R1470" s="2" t="inlineStr"/>
    </row>
    <row r="1471" ht="15" customHeight="1">
      <c r="A1471" t="inlineStr">
        <is>
          <t>A 59906-2023</t>
        </is>
      </c>
      <c r="B1471" s="1" t="n">
        <v>45257</v>
      </c>
      <c r="C1471" s="1" t="n">
        <v>45645</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59992-2023</t>
        </is>
      </c>
      <c r="B1472" s="1" t="n">
        <v>45257</v>
      </c>
      <c r="C1472" s="1" t="n">
        <v>45645</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60224-2023</t>
        </is>
      </c>
      <c r="B1473" s="1" t="n">
        <v>45257</v>
      </c>
      <c r="C1473" s="1" t="n">
        <v>45645</v>
      </c>
      <c r="D1473" t="inlineStr">
        <is>
          <t>STOCKHOLMS LÄN</t>
        </is>
      </c>
      <c r="E1473" t="inlineStr">
        <is>
          <t>NORRTÄLJE</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60073-2023</t>
        </is>
      </c>
      <c r="B1474" s="1" t="n">
        <v>45258</v>
      </c>
      <c r="C1474" s="1" t="n">
        <v>45645</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60492-2023</t>
        </is>
      </c>
      <c r="B1475" s="1" t="n">
        <v>45259</v>
      </c>
      <c r="C1475" s="1" t="n">
        <v>45645</v>
      </c>
      <c r="D1475" t="inlineStr">
        <is>
          <t>STOCKHOLMS LÄN</t>
        </is>
      </c>
      <c r="E1475" t="inlineStr">
        <is>
          <t>NORRTÄLJE</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60529-2023</t>
        </is>
      </c>
      <c r="B1476" s="1" t="n">
        <v>45259</v>
      </c>
      <c r="C1476" s="1" t="n">
        <v>45645</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60822-2023</t>
        </is>
      </c>
      <c r="B1477" s="1" t="n">
        <v>45259</v>
      </c>
      <c r="C1477" s="1" t="n">
        <v>45645</v>
      </c>
      <c r="D1477" t="inlineStr">
        <is>
          <t>STOCKHOLMS LÄN</t>
        </is>
      </c>
      <c r="E1477" t="inlineStr">
        <is>
          <t>NORRTÄLJE</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60654-2023</t>
        </is>
      </c>
      <c r="B1478" s="1" t="n">
        <v>45260</v>
      </c>
      <c r="C1478" s="1" t="n">
        <v>45645</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60640-2023</t>
        </is>
      </c>
      <c r="B1479" s="1" t="n">
        <v>45260</v>
      </c>
      <c r="C1479" s="1" t="n">
        <v>45645</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60672-2023</t>
        </is>
      </c>
      <c r="B1480" s="1" t="n">
        <v>45260</v>
      </c>
      <c r="C1480" s="1" t="n">
        <v>45645</v>
      </c>
      <c r="D1480" t="inlineStr">
        <is>
          <t>STOCKHOLMS LÄN</t>
        </is>
      </c>
      <c r="E1480" t="inlineStr">
        <is>
          <t>NORRTÄLJE</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60823-2023</t>
        </is>
      </c>
      <c r="B1481" s="1" t="n">
        <v>45260</v>
      </c>
      <c r="C1481" s="1" t="n">
        <v>45645</v>
      </c>
      <c r="D1481" t="inlineStr">
        <is>
          <t>STOCKHOLMS LÄN</t>
        </is>
      </c>
      <c r="E1481" t="inlineStr">
        <is>
          <t>NORRTÄLJE</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60656-2023</t>
        </is>
      </c>
      <c r="B1482" s="1" t="n">
        <v>45260</v>
      </c>
      <c r="C1482" s="1" t="n">
        <v>45645</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60765-2023</t>
        </is>
      </c>
      <c r="B1483" s="1" t="n">
        <v>45260</v>
      </c>
      <c r="C1483" s="1" t="n">
        <v>45645</v>
      </c>
      <c r="D1483" t="inlineStr">
        <is>
          <t>STOCKHOLMS LÄN</t>
        </is>
      </c>
      <c r="E1483" t="inlineStr">
        <is>
          <t>NORRTÄLJE</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61113-2023</t>
        </is>
      </c>
      <c r="B1484" s="1" t="n">
        <v>45261</v>
      </c>
      <c r="C1484" s="1" t="n">
        <v>45645</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62644-2023</t>
        </is>
      </c>
      <c r="B1485" s="1" t="n">
        <v>45271</v>
      </c>
      <c r="C1485" s="1" t="n">
        <v>45645</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62998-2023</t>
        </is>
      </c>
      <c r="B1486" s="1" t="n">
        <v>45272</v>
      </c>
      <c r="C1486" s="1" t="n">
        <v>45645</v>
      </c>
      <c r="D1486" t="inlineStr">
        <is>
          <t>STOCKHOLMS LÄN</t>
        </is>
      </c>
      <c r="E1486" t="inlineStr">
        <is>
          <t>NORRTÄLJE</t>
        </is>
      </c>
      <c r="G1486" t="n">
        <v>16.3</v>
      </c>
      <c r="H1486" t="n">
        <v>0</v>
      </c>
      <c r="I1486" t="n">
        <v>0</v>
      </c>
      <c r="J1486" t="n">
        <v>0</v>
      </c>
      <c r="K1486" t="n">
        <v>0</v>
      </c>
      <c r="L1486" t="n">
        <v>0</v>
      </c>
      <c r="M1486" t="n">
        <v>0</v>
      </c>
      <c r="N1486" t="n">
        <v>0</v>
      </c>
      <c r="O1486" t="n">
        <v>0</v>
      </c>
      <c r="P1486" t="n">
        <v>0</v>
      </c>
      <c r="Q1486" t="n">
        <v>0</v>
      </c>
      <c r="R1486" s="2" t="inlineStr"/>
    </row>
    <row r="1487" ht="15" customHeight="1">
      <c r="A1487" t="inlineStr">
        <is>
          <t>A 63015-2023</t>
        </is>
      </c>
      <c r="B1487" s="1" t="n">
        <v>45272</v>
      </c>
      <c r="C1487" s="1" t="n">
        <v>45645</v>
      </c>
      <c r="D1487" t="inlineStr">
        <is>
          <t>STOCKHOLMS LÄN</t>
        </is>
      </c>
      <c r="E1487" t="inlineStr">
        <is>
          <t>NORRTÄLJE</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62971-2023</t>
        </is>
      </c>
      <c r="B1488" s="1" t="n">
        <v>45272</v>
      </c>
      <c r="C1488" s="1" t="n">
        <v>45645</v>
      </c>
      <c r="D1488" t="inlineStr">
        <is>
          <t>STOCKHOLMS LÄN</t>
        </is>
      </c>
      <c r="E1488" t="inlineStr">
        <is>
          <t>NORRTÄLJE</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63013-2023</t>
        </is>
      </c>
      <c r="B1489" s="1" t="n">
        <v>45272</v>
      </c>
      <c r="C1489" s="1" t="n">
        <v>45645</v>
      </c>
      <c r="D1489" t="inlineStr">
        <is>
          <t>STOCKHOLMS LÄN</t>
        </is>
      </c>
      <c r="E1489" t="inlineStr">
        <is>
          <t>NORRTÄLJE</t>
        </is>
      </c>
      <c r="G1489" t="n">
        <v>14.9</v>
      </c>
      <c r="H1489" t="n">
        <v>0</v>
      </c>
      <c r="I1489" t="n">
        <v>0</v>
      </c>
      <c r="J1489" t="n">
        <v>0</v>
      </c>
      <c r="K1489" t="n">
        <v>0</v>
      </c>
      <c r="L1489" t="n">
        <v>0</v>
      </c>
      <c r="M1489" t="n">
        <v>0</v>
      </c>
      <c r="N1489" t="n">
        <v>0</v>
      </c>
      <c r="O1489" t="n">
        <v>0</v>
      </c>
      <c r="P1489" t="n">
        <v>0</v>
      </c>
      <c r="Q1489" t="n">
        <v>0</v>
      </c>
      <c r="R1489" s="2" t="inlineStr"/>
    </row>
    <row r="1490" ht="15" customHeight="1">
      <c r="A1490" t="inlineStr">
        <is>
          <t>A 63161-2023</t>
        </is>
      </c>
      <c r="B1490" s="1" t="n">
        <v>45273</v>
      </c>
      <c r="C1490" s="1" t="n">
        <v>45645</v>
      </c>
      <c r="D1490" t="inlineStr">
        <is>
          <t>STOCKHOLMS LÄN</t>
        </is>
      </c>
      <c r="E1490" t="inlineStr">
        <is>
          <t>NORRTÄLJE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63655-2023</t>
        </is>
      </c>
      <c r="B1491" s="1" t="n">
        <v>45275</v>
      </c>
      <c r="C1491" s="1" t="n">
        <v>45645</v>
      </c>
      <c r="D1491" t="inlineStr">
        <is>
          <t>STOCKHOLMS LÄN</t>
        </is>
      </c>
      <c r="E1491" t="inlineStr">
        <is>
          <t>NORRTÄLJE</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64902-2023</t>
        </is>
      </c>
      <c r="B1492" s="1" t="n">
        <v>45282</v>
      </c>
      <c r="C1492" s="1" t="n">
        <v>45645</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64899-2023</t>
        </is>
      </c>
      <c r="B1493" s="1" t="n">
        <v>45282</v>
      </c>
      <c r="C1493" s="1" t="n">
        <v>45645</v>
      </c>
      <c r="D1493" t="inlineStr">
        <is>
          <t>STOCKHOLMS LÄN</t>
        </is>
      </c>
      <c r="E1493" t="inlineStr">
        <is>
          <t>NORRTÄLJE</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9-2024</t>
        </is>
      </c>
      <c r="B1494" s="1" t="n">
        <v>45293</v>
      </c>
      <c r="C1494" s="1" t="n">
        <v>45645</v>
      </c>
      <c r="D1494" t="inlineStr">
        <is>
          <t>STOCKHOLMS LÄN</t>
        </is>
      </c>
      <c r="E1494" t="inlineStr">
        <is>
          <t>NORRTÄLJE</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13-2024</t>
        </is>
      </c>
      <c r="B1495" s="1" t="n">
        <v>45293</v>
      </c>
      <c r="C1495" s="1" t="n">
        <v>45645</v>
      </c>
      <c r="D1495" t="inlineStr">
        <is>
          <t>STOCKHOLMS LÄN</t>
        </is>
      </c>
      <c r="E1495" t="inlineStr">
        <is>
          <t>NORRTÄLJE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11-2024</t>
        </is>
      </c>
      <c r="B1496" s="1" t="n">
        <v>45293</v>
      </c>
      <c r="C1496" s="1" t="n">
        <v>45645</v>
      </c>
      <c r="D1496" t="inlineStr">
        <is>
          <t>STOCKHOLMS LÄN</t>
        </is>
      </c>
      <c r="E1496" t="inlineStr">
        <is>
          <t>NORRTÄLJE</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19-2024</t>
        </is>
      </c>
      <c r="B1497" s="1" t="n">
        <v>45293</v>
      </c>
      <c r="C1497" s="1" t="n">
        <v>45645</v>
      </c>
      <c r="D1497" t="inlineStr">
        <is>
          <t>STOCKHOLMS LÄN</t>
        </is>
      </c>
      <c r="E1497" t="inlineStr">
        <is>
          <t>NORRTÄLJE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329-2024</t>
        </is>
      </c>
      <c r="B1498" s="1" t="n">
        <v>45295</v>
      </c>
      <c r="C1498" s="1" t="n">
        <v>45645</v>
      </c>
      <c r="D1498" t="inlineStr">
        <is>
          <t>STOCKHOLMS LÄN</t>
        </is>
      </c>
      <c r="E1498" t="inlineStr">
        <is>
          <t>NORRTÄLJE</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498-2024</t>
        </is>
      </c>
      <c r="B1499" s="1" t="n">
        <v>45299</v>
      </c>
      <c r="C1499" s="1" t="n">
        <v>45645</v>
      </c>
      <c r="D1499" t="inlineStr">
        <is>
          <t>STOCKHOLMS LÄN</t>
        </is>
      </c>
      <c r="E1499" t="inlineStr">
        <is>
          <t>NORRTÄLJE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577-2024</t>
        </is>
      </c>
      <c r="B1500" s="1" t="n">
        <v>45299</v>
      </c>
      <c r="C1500" s="1" t="n">
        <v>45645</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1372-2024</t>
        </is>
      </c>
      <c r="B1501" s="1" t="n">
        <v>45303</v>
      </c>
      <c r="C1501" s="1" t="n">
        <v>45645</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1996-2024</t>
        </is>
      </c>
      <c r="B1502" s="1" t="n">
        <v>45308</v>
      </c>
      <c r="C1502" s="1" t="n">
        <v>45645</v>
      </c>
      <c r="D1502" t="inlineStr">
        <is>
          <t>STOCKHOLMS LÄN</t>
        </is>
      </c>
      <c r="E1502" t="inlineStr">
        <is>
          <t>NORRTÄLJE</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2287-2024</t>
        </is>
      </c>
      <c r="B1503" s="1" t="n">
        <v>45310</v>
      </c>
      <c r="C1503" s="1" t="n">
        <v>45645</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2281-2024</t>
        </is>
      </c>
      <c r="B1504" s="1" t="n">
        <v>45310</v>
      </c>
      <c r="C1504" s="1" t="n">
        <v>45645</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2613-2024</t>
        </is>
      </c>
      <c r="B1505" s="1" t="n">
        <v>45313</v>
      </c>
      <c r="C1505" s="1" t="n">
        <v>45645</v>
      </c>
      <c r="D1505" t="inlineStr">
        <is>
          <t>STOCKHOLMS LÄN</t>
        </is>
      </c>
      <c r="E1505" t="inlineStr">
        <is>
          <t>NORRTÄLJE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2611-2024</t>
        </is>
      </c>
      <c r="B1506" s="1" t="n">
        <v>45313</v>
      </c>
      <c r="C1506" s="1" t="n">
        <v>45645</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3084-2024</t>
        </is>
      </c>
      <c r="B1507" s="1" t="n">
        <v>45316</v>
      </c>
      <c r="C1507" s="1" t="n">
        <v>45645</v>
      </c>
      <c r="D1507" t="inlineStr">
        <is>
          <t>STOCKHOLMS LÄN</t>
        </is>
      </c>
      <c r="E1507" t="inlineStr">
        <is>
          <t>NORRTÄLJE</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3152-2024</t>
        </is>
      </c>
      <c r="B1508" s="1" t="n">
        <v>45316</v>
      </c>
      <c r="C1508" s="1" t="n">
        <v>45645</v>
      </c>
      <c r="D1508" t="inlineStr">
        <is>
          <t>STOCKHOLMS LÄN</t>
        </is>
      </c>
      <c r="E1508" t="inlineStr">
        <is>
          <t>NORRTÄLJE</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3381-2024</t>
        </is>
      </c>
      <c r="B1509" s="1" t="n">
        <v>45317</v>
      </c>
      <c r="C1509" s="1" t="n">
        <v>45645</v>
      </c>
      <c r="D1509" t="inlineStr">
        <is>
          <t>STOCKHOLMS LÄN</t>
        </is>
      </c>
      <c r="E1509" t="inlineStr">
        <is>
          <t>NORRTÄLJE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3942-2024</t>
        </is>
      </c>
      <c r="B1510" s="1" t="n">
        <v>45322</v>
      </c>
      <c r="C1510" s="1" t="n">
        <v>45645</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3966-2024</t>
        </is>
      </c>
      <c r="B1511" s="1" t="n">
        <v>45322</v>
      </c>
      <c r="C1511" s="1" t="n">
        <v>45645</v>
      </c>
      <c r="D1511" t="inlineStr">
        <is>
          <t>STOCKHOLMS LÄN</t>
        </is>
      </c>
      <c r="E1511" t="inlineStr">
        <is>
          <t>NORRTÄLJE</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4051-2024</t>
        </is>
      </c>
      <c r="B1512" s="1" t="n">
        <v>45323</v>
      </c>
      <c r="C1512" s="1" t="n">
        <v>45645</v>
      </c>
      <c r="D1512" t="inlineStr">
        <is>
          <t>STOCKHOLMS LÄN</t>
        </is>
      </c>
      <c r="E1512" t="inlineStr">
        <is>
          <t>NORRTÄLJE</t>
        </is>
      </c>
      <c r="F1512" t="inlineStr">
        <is>
          <t>Kyrkan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4542-2024</t>
        </is>
      </c>
      <c r="B1513" s="1" t="n">
        <v>45327</v>
      </c>
      <c r="C1513" s="1" t="n">
        <v>45645</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4658-2024</t>
        </is>
      </c>
      <c r="B1514" s="1" t="n">
        <v>45328</v>
      </c>
      <c r="C1514" s="1" t="n">
        <v>45645</v>
      </c>
      <c r="D1514" t="inlineStr">
        <is>
          <t>STOCKHOLMS LÄN</t>
        </is>
      </c>
      <c r="E1514" t="inlineStr">
        <is>
          <t>NORRTÄLJE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4730-2024</t>
        </is>
      </c>
      <c r="B1515" s="1" t="n">
        <v>45328</v>
      </c>
      <c r="C1515" s="1" t="n">
        <v>45645</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5158-2024</t>
        </is>
      </c>
      <c r="B1516" s="1" t="n">
        <v>45330</v>
      </c>
      <c r="C1516" s="1" t="n">
        <v>45645</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5670-2024</t>
        </is>
      </c>
      <c r="B1517" s="1" t="n">
        <v>45334</v>
      </c>
      <c r="C1517" s="1" t="n">
        <v>45645</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5664-2024</t>
        </is>
      </c>
      <c r="B1518" s="1" t="n">
        <v>45334</v>
      </c>
      <c r="C1518" s="1" t="n">
        <v>45645</v>
      </c>
      <c r="D1518" t="inlineStr">
        <is>
          <t>STOCKHOLMS LÄN</t>
        </is>
      </c>
      <c r="E1518" t="inlineStr">
        <is>
          <t>NORRTÄLJE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5683-2024</t>
        </is>
      </c>
      <c r="B1519" s="1" t="n">
        <v>45334</v>
      </c>
      <c r="C1519" s="1" t="n">
        <v>45645</v>
      </c>
      <c r="D1519" t="inlineStr">
        <is>
          <t>STOCKHOLMS LÄN</t>
        </is>
      </c>
      <c r="E1519" t="inlineStr">
        <is>
          <t>NORRTÄLJE</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5625-2024</t>
        </is>
      </c>
      <c r="B1520" s="1" t="n">
        <v>45334</v>
      </c>
      <c r="C1520" s="1" t="n">
        <v>45645</v>
      </c>
      <c r="D1520" t="inlineStr">
        <is>
          <t>STOCKHOLMS LÄN</t>
        </is>
      </c>
      <c r="E1520" t="inlineStr">
        <is>
          <t>NORRTÄLJE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5862-2024</t>
        </is>
      </c>
      <c r="B1521" s="1" t="n">
        <v>45335</v>
      </c>
      <c r="C1521" s="1" t="n">
        <v>45645</v>
      </c>
      <c r="D1521" t="inlineStr">
        <is>
          <t>STOCKHOLMS LÄN</t>
        </is>
      </c>
      <c r="E1521" t="inlineStr">
        <is>
          <t>NORRTÄLJE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5831-2024</t>
        </is>
      </c>
      <c r="B1522" s="1" t="n">
        <v>45335</v>
      </c>
      <c r="C1522" s="1" t="n">
        <v>45645</v>
      </c>
      <c r="D1522" t="inlineStr">
        <is>
          <t>STOCKHOLMS LÄN</t>
        </is>
      </c>
      <c r="E1522" t="inlineStr">
        <is>
          <t>NORRTÄLJE</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5894-2024</t>
        </is>
      </c>
      <c r="B1523" s="1" t="n">
        <v>45335</v>
      </c>
      <c r="C1523" s="1" t="n">
        <v>45645</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6401-2024</t>
        </is>
      </c>
      <c r="B1524" s="1" t="n">
        <v>45338</v>
      </c>
      <c r="C1524" s="1" t="n">
        <v>45645</v>
      </c>
      <c r="D1524" t="inlineStr">
        <is>
          <t>STOCKHOLMS LÄN</t>
        </is>
      </c>
      <c r="E1524" t="inlineStr">
        <is>
          <t>NORRTÄLJE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6537-2024</t>
        </is>
      </c>
      <c r="B1525" s="1" t="n">
        <v>45341</v>
      </c>
      <c r="C1525" s="1" t="n">
        <v>45645</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7009-2024</t>
        </is>
      </c>
      <c r="B1526" s="1" t="n">
        <v>45343</v>
      </c>
      <c r="C1526" s="1" t="n">
        <v>45645</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7186-2024</t>
        </is>
      </c>
      <c r="B1527" s="1" t="n">
        <v>45344</v>
      </c>
      <c r="C1527" s="1" t="n">
        <v>45645</v>
      </c>
      <c r="D1527" t="inlineStr">
        <is>
          <t>STOCKHOLMS LÄN</t>
        </is>
      </c>
      <c r="E1527" t="inlineStr">
        <is>
          <t>NORRTÄLJE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7408-2024</t>
        </is>
      </c>
      <c r="B1528" s="1" t="n">
        <v>45345</v>
      </c>
      <c r="C1528" s="1" t="n">
        <v>45645</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7573-2024</t>
        </is>
      </c>
      <c r="B1529" s="1" t="n">
        <v>45345</v>
      </c>
      <c r="C1529" s="1" t="n">
        <v>45645</v>
      </c>
      <c r="D1529" t="inlineStr">
        <is>
          <t>STOCKHOLMS LÄN</t>
        </is>
      </c>
      <c r="E1529" t="inlineStr">
        <is>
          <t>NORRTÄLJE</t>
        </is>
      </c>
      <c r="F1529" t="inlineStr">
        <is>
          <t>Övriga Aktiebolag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7425-2024</t>
        </is>
      </c>
      <c r="B1530" s="1" t="n">
        <v>45345</v>
      </c>
      <c r="C1530" s="1" t="n">
        <v>45645</v>
      </c>
      <c r="D1530" t="inlineStr">
        <is>
          <t>STOCKHOLMS LÄN</t>
        </is>
      </c>
      <c r="E1530" t="inlineStr">
        <is>
          <t>NORRTÄLJE</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7413-2024</t>
        </is>
      </c>
      <c r="B1531" s="1" t="n">
        <v>45345</v>
      </c>
      <c r="C1531" s="1" t="n">
        <v>45645</v>
      </c>
      <c r="D1531" t="inlineStr">
        <is>
          <t>STOCKHOLMS LÄN</t>
        </is>
      </c>
      <c r="E1531" t="inlineStr">
        <is>
          <t>NORRTÄLJE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7385-2024</t>
        </is>
      </c>
      <c r="B1532" s="1" t="n">
        <v>45345</v>
      </c>
      <c r="C1532" s="1" t="n">
        <v>45645</v>
      </c>
      <c r="D1532" t="inlineStr">
        <is>
          <t>STOCKHOLMS LÄN</t>
        </is>
      </c>
      <c r="E1532" t="inlineStr">
        <is>
          <t>NORRTÄLJE</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7329-2024</t>
        </is>
      </c>
      <c r="B1533" s="1" t="n">
        <v>45345</v>
      </c>
      <c r="C1533" s="1" t="n">
        <v>45645</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7483-2024</t>
        </is>
      </c>
      <c r="B1534" s="1" t="n">
        <v>45346</v>
      </c>
      <c r="C1534" s="1" t="n">
        <v>45645</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7571-2024</t>
        </is>
      </c>
      <c r="B1535" s="1" t="n">
        <v>45348</v>
      </c>
      <c r="C1535" s="1" t="n">
        <v>45645</v>
      </c>
      <c r="D1535" t="inlineStr">
        <is>
          <t>STOCKHOLMS LÄN</t>
        </is>
      </c>
      <c r="E1535" t="inlineStr">
        <is>
          <t>NORRTÄLJE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8270-2024</t>
        </is>
      </c>
      <c r="B1536" s="1" t="n">
        <v>45352</v>
      </c>
      <c r="C1536" s="1" t="n">
        <v>45645</v>
      </c>
      <c r="D1536" t="inlineStr">
        <is>
          <t>STOCKHOLMS LÄN</t>
        </is>
      </c>
      <c r="E1536" t="inlineStr">
        <is>
          <t>NORRTÄLJE</t>
        </is>
      </c>
      <c r="F1536" t="inlineStr">
        <is>
          <t>Kyrkan</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8399-2024</t>
        </is>
      </c>
      <c r="B1537" s="1" t="n">
        <v>45352</v>
      </c>
      <c r="C1537" s="1" t="n">
        <v>45645</v>
      </c>
      <c r="D1537" t="inlineStr">
        <is>
          <t>STOCKHOLMS LÄN</t>
        </is>
      </c>
      <c r="E1537" t="inlineStr">
        <is>
          <t>NORRTÄLJE</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8365-2024</t>
        </is>
      </c>
      <c r="B1538" s="1" t="n">
        <v>45352</v>
      </c>
      <c r="C1538" s="1" t="n">
        <v>45645</v>
      </c>
      <c r="D1538" t="inlineStr">
        <is>
          <t>STOCKHOLMS LÄN</t>
        </is>
      </c>
      <c r="E1538" t="inlineStr">
        <is>
          <t>NORRTÄLJE</t>
        </is>
      </c>
      <c r="F1538" t="inlineStr">
        <is>
          <t>Naturvårdsverket</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8400-2024</t>
        </is>
      </c>
      <c r="B1539" s="1" t="n">
        <v>45352</v>
      </c>
      <c r="C1539" s="1" t="n">
        <v>45645</v>
      </c>
      <c r="D1539" t="inlineStr">
        <is>
          <t>STOCKHOLMS LÄN</t>
        </is>
      </c>
      <c r="E1539" t="inlineStr">
        <is>
          <t>NORRTÄLJE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8401-2024</t>
        </is>
      </c>
      <c r="B1540" s="1" t="n">
        <v>45352</v>
      </c>
      <c r="C1540" s="1" t="n">
        <v>45645</v>
      </c>
      <c r="D1540" t="inlineStr">
        <is>
          <t>STOCKHOLMS LÄN</t>
        </is>
      </c>
      <c r="E1540" t="inlineStr">
        <is>
          <t>NORRTÄLJE</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8739-2024</t>
        </is>
      </c>
      <c r="B1541" s="1" t="n">
        <v>45356</v>
      </c>
      <c r="C1541" s="1" t="n">
        <v>45645</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8736-2024</t>
        </is>
      </c>
      <c r="B1542" s="1" t="n">
        <v>45356</v>
      </c>
      <c r="C1542" s="1" t="n">
        <v>45645</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9246-2024</t>
        </is>
      </c>
      <c r="B1543" s="1" t="n">
        <v>45357</v>
      </c>
      <c r="C1543" s="1" t="n">
        <v>45645</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9300-2024</t>
        </is>
      </c>
      <c r="B1544" s="1" t="n">
        <v>45358</v>
      </c>
      <c r="C1544" s="1" t="n">
        <v>45645</v>
      </c>
      <c r="D1544" t="inlineStr">
        <is>
          <t>STOCKHOLMS LÄN</t>
        </is>
      </c>
      <c r="E1544" t="inlineStr">
        <is>
          <t>NORRTÄLJE</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9297-2024</t>
        </is>
      </c>
      <c r="B1545" s="1" t="n">
        <v>45358</v>
      </c>
      <c r="C1545" s="1" t="n">
        <v>45645</v>
      </c>
      <c r="D1545" t="inlineStr">
        <is>
          <t>STOCKHOLMS LÄN</t>
        </is>
      </c>
      <c r="E1545" t="inlineStr">
        <is>
          <t>NORRTÄLJE</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9301-2024</t>
        </is>
      </c>
      <c r="B1546" s="1" t="n">
        <v>45358</v>
      </c>
      <c r="C1546" s="1" t="n">
        <v>45645</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9305-2024</t>
        </is>
      </c>
      <c r="B1547" s="1" t="n">
        <v>45358</v>
      </c>
      <c r="C1547" s="1" t="n">
        <v>45645</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9765-2024</t>
        </is>
      </c>
      <c r="B1548" s="1" t="n">
        <v>45362</v>
      </c>
      <c r="C1548" s="1" t="n">
        <v>45645</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9959-2024</t>
        </is>
      </c>
      <c r="B1549" s="1" t="n">
        <v>45363</v>
      </c>
      <c r="C1549" s="1" t="n">
        <v>45645</v>
      </c>
      <c r="D1549" t="inlineStr">
        <is>
          <t>STOCKHOLMS LÄN</t>
        </is>
      </c>
      <c r="E1549" t="inlineStr">
        <is>
          <t>NORRTÄLJE</t>
        </is>
      </c>
      <c r="F1549" t="inlineStr">
        <is>
          <t>Naturvårdsverket</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10258-2024</t>
        </is>
      </c>
      <c r="B1550" s="1" t="n">
        <v>45365</v>
      </c>
      <c r="C1550" s="1" t="n">
        <v>45645</v>
      </c>
      <c r="D1550" t="inlineStr">
        <is>
          <t>STOCKHOLMS LÄN</t>
        </is>
      </c>
      <c r="E1550" t="inlineStr">
        <is>
          <t>NORRTÄLJE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10279-2024</t>
        </is>
      </c>
      <c r="B1551" s="1" t="n">
        <v>45365</v>
      </c>
      <c r="C1551" s="1" t="n">
        <v>45645</v>
      </c>
      <c r="D1551" t="inlineStr">
        <is>
          <t>STOCKHOLMS LÄN</t>
        </is>
      </c>
      <c r="E1551" t="inlineStr">
        <is>
          <t>NORRTÄLJE</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10643-2024</t>
        </is>
      </c>
      <c r="B1552" s="1" t="n">
        <v>45367</v>
      </c>
      <c r="C1552" s="1" t="n">
        <v>45645</v>
      </c>
      <c r="D1552" t="inlineStr">
        <is>
          <t>STOCKHOLMS LÄN</t>
        </is>
      </c>
      <c r="E1552" t="inlineStr">
        <is>
          <t>NORRTÄLJE</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10840-2024</t>
        </is>
      </c>
      <c r="B1553" s="1" t="n">
        <v>45369</v>
      </c>
      <c r="C1553" s="1" t="n">
        <v>45645</v>
      </c>
      <c r="D1553" t="inlineStr">
        <is>
          <t>STOCKHOLMS LÄN</t>
        </is>
      </c>
      <c r="E1553" t="inlineStr">
        <is>
          <t>NORRTÄLJE</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10810-2024</t>
        </is>
      </c>
      <c r="B1554" s="1" t="n">
        <v>45369</v>
      </c>
      <c r="C1554" s="1" t="n">
        <v>45645</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10930-2024</t>
        </is>
      </c>
      <c r="B1555" s="1" t="n">
        <v>45370</v>
      </c>
      <c r="C1555" s="1" t="n">
        <v>45645</v>
      </c>
      <c r="D1555" t="inlineStr">
        <is>
          <t>STOCKHOLMS LÄN</t>
        </is>
      </c>
      <c r="E1555" t="inlineStr">
        <is>
          <t>NORRTÄLJE</t>
        </is>
      </c>
      <c r="G1555" t="n">
        <v>8.699999999999999</v>
      </c>
      <c r="H1555" t="n">
        <v>0</v>
      </c>
      <c r="I1555" t="n">
        <v>0</v>
      </c>
      <c r="J1555" t="n">
        <v>0</v>
      </c>
      <c r="K1555" t="n">
        <v>0</v>
      </c>
      <c r="L1555" t="n">
        <v>0</v>
      </c>
      <c r="M1555" t="n">
        <v>0</v>
      </c>
      <c r="N1555" t="n">
        <v>0</v>
      </c>
      <c r="O1555" t="n">
        <v>0</v>
      </c>
      <c r="P1555" t="n">
        <v>0</v>
      </c>
      <c r="Q1555" t="n">
        <v>0</v>
      </c>
      <c r="R1555" s="2" t="inlineStr"/>
      <c r="U1555">
        <f>HYPERLINK("https://klasma.github.io/Logging_0188/knärot/A 10930-2024 karta knärot.png", "A 10930-2024")</f>
        <v/>
      </c>
      <c r="V1555">
        <f>HYPERLINK("https://klasma.github.io/Logging_0188/klagomål/A 10930-2024 FSC-klagomål.docx", "A 10930-2024")</f>
        <v/>
      </c>
      <c r="W1555">
        <f>HYPERLINK("https://klasma.github.io/Logging_0188/klagomålsmail/A 10930-2024 FSC-klagomål mail.docx", "A 10930-2024")</f>
        <v/>
      </c>
      <c r="X1555">
        <f>HYPERLINK("https://klasma.github.io/Logging_0188/tillsyn/A 10930-2024 tillsynsbegäran.docx", "A 10930-2024")</f>
        <v/>
      </c>
      <c r="Y1555">
        <f>HYPERLINK("https://klasma.github.io/Logging_0188/tillsynsmail/A 10930-2024 tillsynsbegäran mail.docx", "A 10930-2024")</f>
        <v/>
      </c>
    </row>
    <row r="1556" ht="15" customHeight="1">
      <c r="A1556" t="inlineStr">
        <is>
          <t>A 11062-2024</t>
        </is>
      </c>
      <c r="B1556" s="1" t="n">
        <v>45370</v>
      </c>
      <c r="C1556" s="1" t="n">
        <v>45645</v>
      </c>
      <c r="D1556" t="inlineStr">
        <is>
          <t>STOCKHOLMS LÄN</t>
        </is>
      </c>
      <c r="E1556" t="inlineStr">
        <is>
          <t>NORRTÄLJE</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10968-2024</t>
        </is>
      </c>
      <c r="B1557" s="1" t="n">
        <v>45370</v>
      </c>
      <c r="C1557" s="1" t="n">
        <v>45645</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11902-2024</t>
        </is>
      </c>
      <c r="B1558" s="1" t="n">
        <v>45376</v>
      </c>
      <c r="C1558" s="1" t="n">
        <v>45645</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11926-2024</t>
        </is>
      </c>
      <c r="B1559" s="1" t="n">
        <v>45376</v>
      </c>
      <c r="C1559" s="1" t="n">
        <v>45645</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11896-2024</t>
        </is>
      </c>
      <c r="B1560" s="1" t="n">
        <v>45376</v>
      </c>
      <c r="C1560" s="1" t="n">
        <v>45645</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11900-2024</t>
        </is>
      </c>
      <c r="B1561" s="1" t="n">
        <v>45376</v>
      </c>
      <c r="C1561" s="1" t="n">
        <v>45645</v>
      </c>
      <c r="D1561" t="inlineStr">
        <is>
          <t>STOCKHOLMS LÄN</t>
        </is>
      </c>
      <c r="E1561" t="inlineStr">
        <is>
          <t>NORRTÄLJE</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11924-2024</t>
        </is>
      </c>
      <c r="B1562" s="1" t="n">
        <v>45376</v>
      </c>
      <c r="C1562" s="1" t="n">
        <v>45645</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11893-2024</t>
        </is>
      </c>
      <c r="B1563" s="1" t="n">
        <v>45376</v>
      </c>
      <c r="C1563" s="1" t="n">
        <v>45645</v>
      </c>
      <c r="D1563" t="inlineStr">
        <is>
          <t>STOCKHOLMS LÄN</t>
        </is>
      </c>
      <c r="E1563" t="inlineStr">
        <is>
          <t>NORRTÄLJE</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11901-2024</t>
        </is>
      </c>
      <c r="B1564" s="1" t="n">
        <v>45376</v>
      </c>
      <c r="C1564" s="1" t="n">
        <v>45645</v>
      </c>
      <c r="D1564" t="inlineStr">
        <is>
          <t>STOCKHOLMS LÄN</t>
        </is>
      </c>
      <c r="E1564" t="inlineStr">
        <is>
          <t>NORRTÄLJE</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11929-2024</t>
        </is>
      </c>
      <c r="B1565" s="1" t="n">
        <v>45376</v>
      </c>
      <c r="C1565" s="1" t="n">
        <v>45645</v>
      </c>
      <c r="D1565" t="inlineStr">
        <is>
          <t>STOCKHOLMS LÄN</t>
        </is>
      </c>
      <c r="E1565" t="inlineStr">
        <is>
          <t>NORRTÄLJE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11996-2024</t>
        </is>
      </c>
      <c r="B1566" s="1" t="n">
        <v>45376</v>
      </c>
      <c r="C1566" s="1" t="n">
        <v>45645</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11997-2024</t>
        </is>
      </c>
      <c r="B1567" s="1" t="n">
        <v>45377</v>
      </c>
      <c r="C1567" s="1" t="n">
        <v>45645</v>
      </c>
      <c r="D1567" t="inlineStr">
        <is>
          <t>STOCKHOLMS LÄN</t>
        </is>
      </c>
      <c r="E1567" t="inlineStr">
        <is>
          <t>NORRTÄLJE</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12135-2024</t>
        </is>
      </c>
      <c r="B1568" s="1" t="n">
        <v>45377</v>
      </c>
      <c r="C1568" s="1" t="n">
        <v>45645</v>
      </c>
      <c r="D1568" t="inlineStr">
        <is>
          <t>STOCKHOLMS LÄN</t>
        </is>
      </c>
      <c r="E1568" t="inlineStr">
        <is>
          <t>NORRTÄLJE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12022-2024</t>
        </is>
      </c>
      <c r="B1569" s="1" t="n">
        <v>45377</v>
      </c>
      <c r="C1569" s="1" t="n">
        <v>45645</v>
      </c>
      <c r="D1569" t="inlineStr">
        <is>
          <t>STOCKHOLMS LÄN</t>
        </is>
      </c>
      <c r="E1569" t="inlineStr">
        <is>
          <t>NORRTÄLJE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12323-2024</t>
        </is>
      </c>
      <c r="B1570" s="1" t="n">
        <v>45378</v>
      </c>
      <c r="C1570" s="1" t="n">
        <v>45645</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12470-2024</t>
        </is>
      </c>
      <c r="B1571" s="1" t="n">
        <v>45379</v>
      </c>
      <c r="C1571" s="1" t="n">
        <v>45645</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12560-2024</t>
        </is>
      </c>
      <c r="B1572" s="1" t="n">
        <v>45379</v>
      </c>
      <c r="C1572" s="1" t="n">
        <v>45645</v>
      </c>
      <c r="D1572" t="inlineStr">
        <is>
          <t>STOCKHOLMS LÄN</t>
        </is>
      </c>
      <c r="E1572" t="inlineStr">
        <is>
          <t>NORRTÄLJE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12629-2024</t>
        </is>
      </c>
      <c r="B1573" s="1" t="n">
        <v>45383</v>
      </c>
      <c r="C1573" s="1" t="n">
        <v>45645</v>
      </c>
      <c r="D1573" t="inlineStr">
        <is>
          <t>STOCKHOLMS LÄN</t>
        </is>
      </c>
      <c r="E1573" t="inlineStr">
        <is>
          <t>NORRTÄLJE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12896-2024</t>
        </is>
      </c>
      <c r="B1574" s="1" t="n">
        <v>45385</v>
      </c>
      <c r="C1574" s="1" t="n">
        <v>45645</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12904-2024</t>
        </is>
      </c>
      <c r="B1575" s="1" t="n">
        <v>45385</v>
      </c>
      <c r="C1575" s="1" t="n">
        <v>45645</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12901-2024</t>
        </is>
      </c>
      <c r="B1576" s="1" t="n">
        <v>45385</v>
      </c>
      <c r="C1576" s="1" t="n">
        <v>45645</v>
      </c>
      <c r="D1576" t="inlineStr">
        <is>
          <t>STOCKHOLMS LÄN</t>
        </is>
      </c>
      <c r="E1576" t="inlineStr">
        <is>
          <t>NORRTÄLJE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12890-2024</t>
        </is>
      </c>
      <c r="B1577" s="1" t="n">
        <v>45385</v>
      </c>
      <c r="C1577" s="1" t="n">
        <v>45645</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12902-2024</t>
        </is>
      </c>
      <c r="B1578" s="1" t="n">
        <v>45385</v>
      </c>
      <c r="C1578" s="1" t="n">
        <v>45645</v>
      </c>
      <c r="D1578" t="inlineStr">
        <is>
          <t>STOCKHOLMS LÄN</t>
        </is>
      </c>
      <c r="E1578" t="inlineStr">
        <is>
          <t>NORRTÄLJE</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13115-2024</t>
        </is>
      </c>
      <c r="B1579" s="1" t="n">
        <v>45385</v>
      </c>
      <c r="C1579" s="1" t="n">
        <v>45645</v>
      </c>
      <c r="D1579" t="inlineStr">
        <is>
          <t>STOCKHOLMS LÄN</t>
        </is>
      </c>
      <c r="E1579" t="inlineStr">
        <is>
          <t>NORRTÄLJE</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13137-2024</t>
        </is>
      </c>
      <c r="B1580" s="1" t="n">
        <v>45386</v>
      </c>
      <c r="C1580" s="1" t="n">
        <v>45645</v>
      </c>
      <c r="D1580" t="inlineStr">
        <is>
          <t>STOCKHOLMS LÄN</t>
        </is>
      </c>
      <c r="E1580" t="inlineStr">
        <is>
          <t>NORRTÄLJE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13241-2024</t>
        </is>
      </c>
      <c r="B1581" s="1" t="n">
        <v>45386</v>
      </c>
      <c r="C1581" s="1" t="n">
        <v>45645</v>
      </c>
      <c r="D1581" t="inlineStr">
        <is>
          <t>STOCKHOLMS LÄN</t>
        </is>
      </c>
      <c r="E1581" t="inlineStr">
        <is>
          <t>NORRTÄLJE</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13391-2024</t>
        </is>
      </c>
      <c r="B1582" s="1" t="n">
        <v>45387</v>
      </c>
      <c r="C1582" s="1" t="n">
        <v>45645</v>
      </c>
      <c r="D1582" t="inlineStr">
        <is>
          <t>STOCKHOLMS LÄN</t>
        </is>
      </c>
      <c r="E1582" t="inlineStr">
        <is>
          <t>NORRTÄLJE</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13785-2024</t>
        </is>
      </c>
      <c r="B1583" s="1" t="n">
        <v>45391</v>
      </c>
      <c r="C1583" s="1" t="n">
        <v>45645</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14530-2024</t>
        </is>
      </c>
      <c r="B1584" s="1" t="n">
        <v>45394</v>
      </c>
      <c r="C1584" s="1" t="n">
        <v>45645</v>
      </c>
      <c r="D1584" t="inlineStr">
        <is>
          <t>STOCKHOLMS LÄN</t>
        </is>
      </c>
      <c r="E1584" t="inlineStr">
        <is>
          <t>NORRTÄLJE</t>
        </is>
      </c>
      <c r="F1584" t="inlineStr">
        <is>
          <t>Kyrkan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14498-2024</t>
        </is>
      </c>
      <c r="B1585" s="1" t="n">
        <v>45394</v>
      </c>
      <c r="C1585" s="1" t="n">
        <v>45645</v>
      </c>
      <c r="D1585" t="inlineStr">
        <is>
          <t>STOCKHOLMS LÄN</t>
        </is>
      </c>
      <c r="E1585" t="inlineStr">
        <is>
          <t>NORRTÄLJE</t>
        </is>
      </c>
      <c r="F1585" t="inlineStr">
        <is>
          <t>Kyrkan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14559-2024</t>
        </is>
      </c>
      <c r="B1586" s="1" t="n">
        <v>45394</v>
      </c>
      <c r="C1586" s="1" t="n">
        <v>45645</v>
      </c>
      <c r="D1586" t="inlineStr">
        <is>
          <t>STOCKHOLMS LÄN</t>
        </is>
      </c>
      <c r="E1586" t="inlineStr">
        <is>
          <t>NORRTÄLJE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14751-2024</t>
        </is>
      </c>
      <c r="B1587" s="1" t="n">
        <v>45397</v>
      </c>
      <c r="C1587" s="1" t="n">
        <v>45645</v>
      </c>
      <c r="D1587" t="inlineStr">
        <is>
          <t>STOCKHOLMS LÄN</t>
        </is>
      </c>
      <c r="E1587" t="inlineStr">
        <is>
          <t>NORRTÄLJE</t>
        </is>
      </c>
      <c r="F1587" t="inlineStr">
        <is>
          <t>Holmen skog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14762-2024</t>
        </is>
      </c>
      <c r="B1588" s="1" t="n">
        <v>45397</v>
      </c>
      <c r="C1588" s="1" t="n">
        <v>45645</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15347-2024</t>
        </is>
      </c>
      <c r="B1589" s="1" t="n">
        <v>45400</v>
      </c>
      <c r="C1589" s="1" t="n">
        <v>45645</v>
      </c>
      <c r="D1589" t="inlineStr">
        <is>
          <t>STOCKHOLMS LÄN</t>
        </is>
      </c>
      <c r="E1589" t="inlineStr">
        <is>
          <t>NORRTÄLJE</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15317-2024</t>
        </is>
      </c>
      <c r="B1590" s="1" t="n">
        <v>45400</v>
      </c>
      <c r="C1590" s="1" t="n">
        <v>45645</v>
      </c>
      <c r="D1590" t="inlineStr">
        <is>
          <t>STOCKHOLMS LÄN</t>
        </is>
      </c>
      <c r="E1590" t="inlineStr">
        <is>
          <t>NORRTÄLJE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15429-2024</t>
        </is>
      </c>
      <c r="B1591" s="1" t="n">
        <v>45401</v>
      </c>
      <c r="C1591" s="1" t="n">
        <v>45645</v>
      </c>
      <c r="D1591" t="inlineStr">
        <is>
          <t>STOCKHOLMS LÄN</t>
        </is>
      </c>
      <c r="E1591" t="inlineStr">
        <is>
          <t>NORRTÄLJE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15422-2024</t>
        </is>
      </c>
      <c r="B1592" s="1" t="n">
        <v>45401</v>
      </c>
      <c r="C1592" s="1" t="n">
        <v>45645</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15470-2024</t>
        </is>
      </c>
      <c r="B1593" s="1" t="n">
        <v>45401</v>
      </c>
      <c r="C1593" s="1" t="n">
        <v>45645</v>
      </c>
      <c r="D1593" t="inlineStr">
        <is>
          <t>STOCKHOLMS LÄN</t>
        </is>
      </c>
      <c r="E1593" t="inlineStr">
        <is>
          <t>NORRTÄLJE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15428-2024</t>
        </is>
      </c>
      <c r="B1594" s="1" t="n">
        <v>45401</v>
      </c>
      <c r="C1594" s="1" t="n">
        <v>45645</v>
      </c>
      <c r="D1594" t="inlineStr">
        <is>
          <t>STOCKHOLMS LÄN</t>
        </is>
      </c>
      <c r="E1594" t="inlineStr">
        <is>
          <t>NORRTÄLJE</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15415-2024</t>
        </is>
      </c>
      <c r="B1595" s="1" t="n">
        <v>45401</v>
      </c>
      <c r="C1595" s="1" t="n">
        <v>45645</v>
      </c>
      <c r="D1595" t="inlineStr">
        <is>
          <t>STOCKHOLMS LÄN</t>
        </is>
      </c>
      <c r="E1595" t="inlineStr">
        <is>
          <t>NORRTÄLJE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15956-2024</t>
        </is>
      </c>
      <c r="B1596" s="1" t="n">
        <v>45405</v>
      </c>
      <c r="C1596" s="1" t="n">
        <v>45645</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15978-2024</t>
        </is>
      </c>
      <c r="B1597" s="1" t="n">
        <v>45405</v>
      </c>
      <c r="C1597" s="1" t="n">
        <v>45645</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16072-2024</t>
        </is>
      </c>
      <c r="B1598" s="1" t="n">
        <v>45406</v>
      </c>
      <c r="C1598" s="1" t="n">
        <v>45645</v>
      </c>
      <c r="D1598" t="inlineStr">
        <is>
          <t>STOCKHOLMS LÄN</t>
        </is>
      </c>
      <c r="E1598" t="inlineStr">
        <is>
          <t>NORRTÄLJE</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16071-2024</t>
        </is>
      </c>
      <c r="B1599" s="1" t="n">
        <v>45406</v>
      </c>
      <c r="C1599" s="1" t="n">
        <v>45645</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16075-2024</t>
        </is>
      </c>
      <c r="B1600" s="1" t="n">
        <v>45406</v>
      </c>
      <c r="C1600" s="1" t="n">
        <v>45645</v>
      </c>
      <c r="D1600" t="inlineStr">
        <is>
          <t>STOCKHOLMS LÄN</t>
        </is>
      </c>
      <c r="E1600" t="inlineStr">
        <is>
          <t>NORRTÄLJE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16620-2024</t>
        </is>
      </c>
      <c r="B1601" s="1" t="n">
        <v>45408</v>
      </c>
      <c r="C1601" s="1" t="n">
        <v>45645</v>
      </c>
      <c r="D1601" t="inlineStr">
        <is>
          <t>STOCKHOLMS LÄN</t>
        </is>
      </c>
      <c r="E1601" t="inlineStr">
        <is>
          <t>NORRTÄLJE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16852-2024</t>
        </is>
      </c>
      <c r="B1602" s="1" t="n">
        <v>45411</v>
      </c>
      <c r="C1602" s="1" t="n">
        <v>45645</v>
      </c>
      <c r="D1602" t="inlineStr">
        <is>
          <t>STOCKHOLMS LÄN</t>
        </is>
      </c>
      <c r="E1602" t="inlineStr">
        <is>
          <t>NORRTÄLJE</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17013-2024</t>
        </is>
      </c>
      <c r="B1603" s="1" t="n">
        <v>45412</v>
      </c>
      <c r="C1603" s="1" t="n">
        <v>45645</v>
      </c>
      <c r="D1603" t="inlineStr">
        <is>
          <t>STOCKHOLMS LÄN</t>
        </is>
      </c>
      <c r="E1603" t="inlineStr">
        <is>
          <t>NORRTÄLJE</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17039-2024</t>
        </is>
      </c>
      <c r="B1604" s="1" t="n">
        <v>45412</v>
      </c>
      <c r="C1604" s="1" t="n">
        <v>45645</v>
      </c>
      <c r="D1604" t="inlineStr">
        <is>
          <t>STOCKHOLMS LÄN</t>
        </is>
      </c>
      <c r="E1604" t="inlineStr">
        <is>
          <t>NORRTÄLJE</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17348-2024</t>
        </is>
      </c>
      <c r="B1605" s="1" t="n">
        <v>45414</v>
      </c>
      <c r="C1605" s="1" t="n">
        <v>45645</v>
      </c>
      <c r="D1605" t="inlineStr">
        <is>
          <t>STOCKHOLMS LÄN</t>
        </is>
      </c>
      <c r="E1605" t="inlineStr">
        <is>
          <t>NORRTÄLJE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17304-2024</t>
        </is>
      </c>
      <c r="B1606" s="1" t="n">
        <v>45414</v>
      </c>
      <c r="C1606" s="1" t="n">
        <v>45645</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17354-2024</t>
        </is>
      </c>
      <c r="B1607" s="1" t="n">
        <v>45414</v>
      </c>
      <c r="C1607" s="1" t="n">
        <v>45645</v>
      </c>
      <c r="D1607" t="inlineStr">
        <is>
          <t>STOCKHOLMS LÄN</t>
        </is>
      </c>
      <c r="E1607" t="inlineStr">
        <is>
          <t>NORRTÄLJE</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17385-2024</t>
        </is>
      </c>
      <c r="B1608" s="1" t="n">
        <v>45414</v>
      </c>
      <c r="C1608" s="1" t="n">
        <v>45645</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17382-2024</t>
        </is>
      </c>
      <c r="B1609" s="1" t="n">
        <v>45414</v>
      </c>
      <c r="C1609" s="1" t="n">
        <v>45645</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17397-2024</t>
        </is>
      </c>
      <c r="B1610" s="1" t="n">
        <v>45414</v>
      </c>
      <c r="C1610" s="1" t="n">
        <v>45645</v>
      </c>
      <c r="D1610" t="inlineStr">
        <is>
          <t>STOCKHOLMS LÄN</t>
        </is>
      </c>
      <c r="E1610" t="inlineStr">
        <is>
          <t>NORRTÄLJE</t>
        </is>
      </c>
      <c r="F1610" t="inlineStr">
        <is>
          <t>Holmen skog AB</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17554-2024</t>
        </is>
      </c>
      <c r="B1611" s="1" t="n">
        <v>45415</v>
      </c>
      <c r="C1611" s="1" t="n">
        <v>45645</v>
      </c>
      <c r="D1611" t="inlineStr">
        <is>
          <t>STOCKHOLMS LÄN</t>
        </is>
      </c>
      <c r="E1611" t="inlineStr">
        <is>
          <t>NORRTÄLJE</t>
        </is>
      </c>
      <c r="G1611" t="n">
        <v>9.300000000000001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17775-2024</t>
        </is>
      </c>
      <c r="B1612" s="1" t="n">
        <v>45418</v>
      </c>
      <c r="C1612" s="1" t="n">
        <v>45645</v>
      </c>
      <c r="D1612" t="inlineStr">
        <is>
          <t>STOCKHOLMS LÄN</t>
        </is>
      </c>
      <c r="E1612" t="inlineStr">
        <is>
          <t>NORRTÄLJE</t>
        </is>
      </c>
      <c r="F1612" t="inlineStr">
        <is>
          <t>Holmen skog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17785-2024</t>
        </is>
      </c>
      <c r="B1613" s="1" t="n">
        <v>45418</v>
      </c>
      <c r="C1613" s="1" t="n">
        <v>45645</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17843-2024</t>
        </is>
      </c>
      <c r="B1614" s="1" t="n">
        <v>45418</v>
      </c>
      <c r="C1614" s="1" t="n">
        <v>45645</v>
      </c>
      <c r="D1614" t="inlineStr">
        <is>
          <t>STOCKHOLMS LÄN</t>
        </is>
      </c>
      <c r="E1614" t="inlineStr">
        <is>
          <t>NORRTÄLJE</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18331-2024</t>
        </is>
      </c>
      <c r="B1615" s="1" t="n">
        <v>45422</v>
      </c>
      <c r="C1615" s="1" t="n">
        <v>45645</v>
      </c>
      <c r="D1615" t="inlineStr">
        <is>
          <t>STOCKHOLMS LÄN</t>
        </is>
      </c>
      <c r="E1615" t="inlineStr">
        <is>
          <t>NORRTÄLJE</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18285-2024</t>
        </is>
      </c>
      <c r="B1616" s="1" t="n">
        <v>45422</v>
      </c>
      <c r="C1616" s="1" t="n">
        <v>45645</v>
      </c>
      <c r="D1616" t="inlineStr">
        <is>
          <t>STOCKHOLMS LÄN</t>
        </is>
      </c>
      <c r="E1616" t="inlineStr">
        <is>
          <t>NORRTÄLJE</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18287-2024</t>
        </is>
      </c>
      <c r="B1617" s="1" t="n">
        <v>45422</v>
      </c>
      <c r="C1617" s="1" t="n">
        <v>45645</v>
      </c>
      <c r="D1617" t="inlineStr">
        <is>
          <t>STOCKHOLMS LÄN</t>
        </is>
      </c>
      <c r="E1617" t="inlineStr">
        <is>
          <t>NORRTÄLJE</t>
        </is>
      </c>
      <c r="F1617" t="inlineStr">
        <is>
          <t>Sveaskog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19058-2024</t>
        </is>
      </c>
      <c r="B1618" s="1" t="n">
        <v>45427</v>
      </c>
      <c r="C1618" s="1" t="n">
        <v>45645</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19057-2024</t>
        </is>
      </c>
      <c r="B1619" s="1" t="n">
        <v>45427</v>
      </c>
      <c r="C1619" s="1" t="n">
        <v>45645</v>
      </c>
      <c r="D1619" t="inlineStr">
        <is>
          <t>STOCKHOLMS LÄN</t>
        </is>
      </c>
      <c r="E1619" t="inlineStr">
        <is>
          <t>NORRTÄLJE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19150-2024</t>
        </is>
      </c>
      <c r="B1620" s="1" t="n">
        <v>45428</v>
      </c>
      <c r="C1620" s="1" t="n">
        <v>45645</v>
      </c>
      <c r="D1620" t="inlineStr">
        <is>
          <t>STOCKHOLMS LÄN</t>
        </is>
      </c>
      <c r="E1620" t="inlineStr">
        <is>
          <t>NORRTÄLJE</t>
        </is>
      </c>
      <c r="F1620" t="inlineStr">
        <is>
          <t>Holmen skog AB</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19915-2024</t>
        </is>
      </c>
      <c r="B1621" s="1" t="n">
        <v>45433</v>
      </c>
      <c r="C1621" s="1" t="n">
        <v>45645</v>
      </c>
      <c r="D1621" t="inlineStr">
        <is>
          <t>STOCKHOLMS LÄN</t>
        </is>
      </c>
      <c r="E1621" t="inlineStr">
        <is>
          <t>NORRTÄLJE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19919-2024</t>
        </is>
      </c>
      <c r="B1622" s="1" t="n">
        <v>45433</v>
      </c>
      <c r="C1622" s="1" t="n">
        <v>45645</v>
      </c>
      <c r="D1622" t="inlineStr">
        <is>
          <t>STOCKHOLMS LÄN</t>
        </is>
      </c>
      <c r="E1622" t="inlineStr">
        <is>
          <t>NORRTÄLJE</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20336-2024</t>
        </is>
      </c>
      <c r="B1623" s="1" t="n">
        <v>45435</v>
      </c>
      <c r="C1623" s="1" t="n">
        <v>45645</v>
      </c>
      <c r="D1623" t="inlineStr">
        <is>
          <t>STOCKHOLMS LÄN</t>
        </is>
      </c>
      <c r="E1623" t="inlineStr">
        <is>
          <t>NORRTÄLJE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20345-2024</t>
        </is>
      </c>
      <c r="B1624" s="1" t="n">
        <v>45435</v>
      </c>
      <c r="C1624" s="1" t="n">
        <v>45645</v>
      </c>
      <c r="D1624" t="inlineStr">
        <is>
          <t>STOCKHOLMS LÄN</t>
        </is>
      </c>
      <c r="E1624" t="inlineStr">
        <is>
          <t>NORRTÄLJE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20343-2024</t>
        </is>
      </c>
      <c r="B1625" s="1" t="n">
        <v>45435</v>
      </c>
      <c r="C1625" s="1" t="n">
        <v>45645</v>
      </c>
      <c r="D1625" t="inlineStr">
        <is>
          <t>STOCKHOLMS LÄN</t>
        </is>
      </c>
      <c r="E1625" t="inlineStr">
        <is>
          <t>NORRTÄLJE</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20393-2024</t>
        </is>
      </c>
      <c r="B1626" s="1" t="n">
        <v>45435</v>
      </c>
      <c r="C1626" s="1" t="n">
        <v>45645</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20445-2024</t>
        </is>
      </c>
      <c r="B1627" s="1" t="n">
        <v>45435</v>
      </c>
      <c r="C1627" s="1" t="n">
        <v>45645</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20428-2024</t>
        </is>
      </c>
      <c r="B1628" s="1" t="n">
        <v>45435</v>
      </c>
      <c r="C1628" s="1" t="n">
        <v>45645</v>
      </c>
      <c r="D1628" t="inlineStr">
        <is>
          <t>STOCKHOLMS LÄN</t>
        </is>
      </c>
      <c r="E1628" t="inlineStr">
        <is>
          <t>NORRTÄLJE</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20460-2024</t>
        </is>
      </c>
      <c r="B1629" s="1" t="n">
        <v>45435</v>
      </c>
      <c r="C1629" s="1" t="n">
        <v>45645</v>
      </c>
      <c r="D1629" t="inlineStr">
        <is>
          <t>STOCKHOLMS LÄN</t>
        </is>
      </c>
      <c r="E1629" t="inlineStr">
        <is>
          <t>NORRTÄLJE</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20464-2024</t>
        </is>
      </c>
      <c r="B1630" s="1" t="n">
        <v>45435</v>
      </c>
      <c r="C1630" s="1" t="n">
        <v>45645</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20431-2024</t>
        </is>
      </c>
      <c r="B1631" s="1" t="n">
        <v>45435</v>
      </c>
      <c r="C1631" s="1" t="n">
        <v>45645</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20680-2024</t>
        </is>
      </c>
      <c r="B1632" s="1" t="n">
        <v>45436</v>
      </c>
      <c r="C1632" s="1" t="n">
        <v>45645</v>
      </c>
      <c r="D1632" t="inlineStr">
        <is>
          <t>STOCKHOLMS LÄN</t>
        </is>
      </c>
      <c r="E1632" t="inlineStr">
        <is>
          <t>NORRTÄLJE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20698-2024</t>
        </is>
      </c>
      <c r="B1633" s="1" t="n">
        <v>45436</v>
      </c>
      <c r="C1633" s="1" t="n">
        <v>45645</v>
      </c>
      <c r="D1633" t="inlineStr">
        <is>
          <t>STOCKHOLMS LÄN</t>
        </is>
      </c>
      <c r="E1633" t="inlineStr">
        <is>
          <t>NORRTÄLJE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20730-2024</t>
        </is>
      </c>
      <c r="B1634" s="1" t="n">
        <v>45436</v>
      </c>
      <c r="C1634" s="1" t="n">
        <v>45645</v>
      </c>
      <c r="D1634" t="inlineStr">
        <is>
          <t>STOCKHOLMS LÄN</t>
        </is>
      </c>
      <c r="E1634" t="inlineStr">
        <is>
          <t>NORRTÄLJE</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20825-2024</t>
        </is>
      </c>
      <c r="B1635" s="1" t="n">
        <v>45439</v>
      </c>
      <c r="C1635" s="1" t="n">
        <v>45645</v>
      </c>
      <c r="D1635" t="inlineStr">
        <is>
          <t>STOCKHOLMS LÄN</t>
        </is>
      </c>
      <c r="E1635" t="inlineStr">
        <is>
          <t>NORRTÄLJE</t>
        </is>
      </c>
      <c r="F1635" t="inlineStr">
        <is>
          <t>Holmen skog AB</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20836-2024</t>
        </is>
      </c>
      <c r="B1636" s="1" t="n">
        <v>45439</v>
      </c>
      <c r="C1636" s="1" t="n">
        <v>45645</v>
      </c>
      <c r="D1636" t="inlineStr">
        <is>
          <t>STOCKHOLMS LÄN</t>
        </is>
      </c>
      <c r="E1636" t="inlineStr">
        <is>
          <t>NORRTÄLJE</t>
        </is>
      </c>
      <c r="F1636" t="inlineStr">
        <is>
          <t>Holmen skog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21066-2024</t>
        </is>
      </c>
      <c r="B1637" s="1" t="n">
        <v>45439</v>
      </c>
      <c r="C1637" s="1" t="n">
        <v>45645</v>
      </c>
      <c r="D1637" t="inlineStr">
        <is>
          <t>STOCKHOLMS LÄN</t>
        </is>
      </c>
      <c r="E1637" t="inlineStr">
        <is>
          <t>NORRTÄLJE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21729-2024</t>
        </is>
      </c>
      <c r="B1638" s="1" t="n">
        <v>45442</v>
      </c>
      <c r="C1638" s="1" t="n">
        <v>45645</v>
      </c>
      <c r="D1638" t="inlineStr">
        <is>
          <t>STOCKHOLMS LÄN</t>
        </is>
      </c>
      <c r="E1638" t="inlineStr">
        <is>
          <t>NORRTÄLJE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21696-2024</t>
        </is>
      </c>
      <c r="B1639" s="1" t="n">
        <v>45442</v>
      </c>
      <c r="C1639" s="1" t="n">
        <v>45645</v>
      </c>
      <c r="D1639" t="inlineStr">
        <is>
          <t>STOCKHOLMS LÄN</t>
        </is>
      </c>
      <c r="E1639" t="inlineStr">
        <is>
          <t>NORRTÄLJE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22008-2024</t>
        </is>
      </c>
      <c r="B1640" s="1" t="n">
        <v>45443</v>
      </c>
      <c r="C1640" s="1" t="n">
        <v>45645</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22232-2024</t>
        </is>
      </c>
      <c r="B1641" s="1" t="n">
        <v>45446</v>
      </c>
      <c r="C1641" s="1" t="n">
        <v>45645</v>
      </c>
      <c r="D1641" t="inlineStr">
        <is>
          <t>STOCKHOLMS LÄN</t>
        </is>
      </c>
      <c r="E1641" t="inlineStr">
        <is>
          <t>NORRTÄLJE</t>
        </is>
      </c>
      <c r="G1641" t="n">
        <v>12.8</v>
      </c>
      <c r="H1641" t="n">
        <v>0</v>
      </c>
      <c r="I1641" t="n">
        <v>0</v>
      </c>
      <c r="J1641" t="n">
        <v>0</v>
      </c>
      <c r="K1641" t="n">
        <v>0</v>
      </c>
      <c r="L1641" t="n">
        <v>0</v>
      </c>
      <c r="M1641" t="n">
        <v>0</v>
      </c>
      <c r="N1641" t="n">
        <v>0</v>
      </c>
      <c r="O1641" t="n">
        <v>0</v>
      </c>
      <c r="P1641" t="n">
        <v>0</v>
      </c>
      <c r="Q1641" t="n">
        <v>0</v>
      </c>
      <c r="R1641" s="2" t="inlineStr"/>
    </row>
    <row r="1642" ht="15" customHeight="1">
      <c r="A1642" t="inlineStr">
        <is>
          <t>A 22190-2024</t>
        </is>
      </c>
      <c r="B1642" s="1" t="n">
        <v>45446</v>
      </c>
      <c r="C1642" s="1" t="n">
        <v>45645</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22231-2024</t>
        </is>
      </c>
      <c r="B1643" s="1" t="n">
        <v>45446</v>
      </c>
      <c r="C1643" s="1" t="n">
        <v>45645</v>
      </c>
      <c r="D1643" t="inlineStr">
        <is>
          <t>STOCKHOLMS LÄN</t>
        </is>
      </c>
      <c r="E1643" t="inlineStr">
        <is>
          <t>NORRTÄLJE</t>
        </is>
      </c>
      <c r="F1643" t="inlineStr">
        <is>
          <t>Holmen skog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22833-2024</t>
        </is>
      </c>
      <c r="B1644" s="1" t="n">
        <v>45448</v>
      </c>
      <c r="C1644" s="1" t="n">
        <v>45645</v>
      </c>
      <c r="D1644" t="inlineStr">
        <is>
          <t>STOCKHOLMS LÄN</t>
        </is>
      </c>
      <c r="E1644" t="inlineStr">
        <is>
          <t>NORRTÄLJE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23018-2024</t>
        </is>
      </c>
      <c r="B1645" s="1" t="n">
        <v>45450</v>
      </c>
      <c r="C1645" s="1" t="n">
        <v>45645</v>
      </c>
      <c r="D1645" t="inlineStr">
        <is>
          <t>STOCKHOLMS LÄN</t>
        </is>
      </c>
      <c r="E1645" t="inlineStr">
        <is>
          <t>NORRTÄLJE</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23149-2024</t>
        </is>
      </c>
      <c r="B1646" s="1" t="n">
        <v>45450</v>
      </c>
      <c r="C1646" s="1" t="n">
        <v>45645</v>
      </c>
      <c r="D1646" t="inlineStr">
        <is>
          <t>STOCKHOLMS LÄN</t>
        </is>
      </c>
      <c r="E1646" t="inlineStr">
        <is>
          <t>NORRTÄLJE</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23150-2024</t>
        </is>
      </c>
      <c r="B1647" s="1" t="n">
        <v>45450</v>
      </c>
      <c r="C1647" s="1" t="n">
        <v>45645</v>
      </c>
      <c r="D1647" t="inlineStr">
        <is>
          <t>STOCKHOLMS LÄN</t>
        </is>
      </c>
      <c r="E1647" t="inlineStr">
        <is>
          <t>NORRTÄLJE</t>
        </is>
      </c>
      <c r="F1647" t="inlineStr">
        <is>
          <t>Kommuner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23151-2024</t>
        </is>
      </c>
      <c r="B1648" s="1" t="n">
        <v>45450</v>
      </c>
      <c r="C1648" s="1" t="n">
        <v>45645</v>
      </c>
      <c r="D1648" t="inlineStr">
        <is>
          <t>STOCKHOLMS LÄN</t>
        </is>
      </c>
      <c r="E1648" t="inlineStr">
        <is>
          <t>NORRTÄLJE</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23307-2024</t>
        </is>
      </c>
      <c r="B1649" s="1" t="n">
        <v>45453</v>
      </c>
      <c r="C1649" s="1" t="n">
        <v>45645</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23583-2024</t>
        </is>
      </c>
      <c r="B1650" s="1" t="n">
        <v>45454</v>
      </c>
      <c r="C1650" s="1" t="n">
        <v>45645</v>
      </c>
      <c r="D1650" t="inlineStr">
        <is>
          <t>STOCKHOLMS LÄN</t>
        </is>
      </c>
      <c r="E1650" t="inlineStr">
        <is>
          <t>NORRTÄLJE</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45645</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45645</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45645</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45645</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45645</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45645</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45645</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45645</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45645</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45645</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45645</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45645</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45645</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45645</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45645</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45645</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45645</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45645</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45645</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45645</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45645</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45645</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45645</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45645</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45645</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45645</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45645</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45645</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45645</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45645</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45645</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45645</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45645</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45645</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45645</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45645</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45645</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45645</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45645</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45645</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45645</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45645</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45645</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45645</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45645</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45645</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45645</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45645</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45645</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45645</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45645</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45645</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45645</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45645</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45645</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45645</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45645</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45645</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45645</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45645</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45645</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45645</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45645</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45645</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45645</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45645</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45645</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45645</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45645</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45645</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45645</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45645</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45645</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45645</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45645</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45645</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45645</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45645</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45645</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45645</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45645</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45645</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45645</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45645</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45645</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45645</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45645</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45645</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45645</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45645</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45645</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45645</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45645</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45645</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45645</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45645</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45645</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45645</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45645</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45645</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45645</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45645</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45645</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45645</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45645</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45645</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45645</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45645</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45645</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45645</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45645</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45645</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45645</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45645</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45645</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45645</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45645</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45645</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45645</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45645</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45645</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45645</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45645</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45645</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45645</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45645</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45645</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45645</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45645</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45645</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45645</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45645</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45645</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45645</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45645</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45645</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45645</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45645</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45645</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45645</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45645</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45645</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45645</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45645</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45645</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45645</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45645</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45645</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45645</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45645</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45645</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45645</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45645</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45645</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45645</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45645</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45645</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45645</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45645</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45645</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45645</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45645</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45645</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45645</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45645</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45645</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45645</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45645</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45645</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45645</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45645</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45645</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54496-2024</t>
        </is>
      </c>
      <c r="B1823" s="1" t="n">
        <v>45617</v>
      </c>
      <c r="C1823" s="1" t="n">
        <v>45645</v>
      </c>
      <c r="D1823" t="inlineStr">
        <is>
          <t>STOCKHOLMS LÄN</t>
        </is>
      </c>
      <c r="E1823" t="inlineStr">
        <is>
          <t>NORRTÄLJE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54504-2024</t>
        </is>
      </c>
      <c r="B1824" s="1" t="n">
        <v>45617</v>
      </c>
      <c r="C1824" s="1" t="n">
        <v>45645</v>
      </c>
      <c r="D1824" t="inlineStr">
        <is>
          <t>STOCKHOLMS LÄN</t>
        </is>
      </c>
      <c r="E1824" t="inlineStr">
        <is>
          <t>NORRTÄLJE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54558-2024</t>
        </is>
      </c>
      <c r="B1825" s="1" t="n">
        <v>45617</v>
      </c>
      <c r="C1825" s="1" t="n">
        <v>45645</v>
      </c>
      <c r="D1825" t="inlineStr">
        <is>
          <t>STOCKHOLMS LÄN</t>
        </is>
      </c>
      <c r="E1825" t="inlineStr">
        <is>
          <t>NORRTÄLJE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55012-2024</t>
        </is>
      </c>
      <c r="B1826" s="1" t="n">
        <v>45621</v>
      </c>
      <c r="C1826" s="1" t="n">
        <v>45645</v>
      </c>
      <c r="D1826" t="inlineStr">
        <is>
          <t>STOCKHOLMS LÄN</t>
        </is>
      </c>
      <c r="E1826" t="inlineStr">
        <is>
          <t>NORRTÄLJE</t>
        </is>
      </c>
      <c r="F1826" t="inlineStr">
        <is>
          <t>Sveaskog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45645</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55018-2024</t>
        </is>
      </c>
      <c r="B1828" s="1" t="n">
        <v>45621</v>
      </c>
      <c r="C1828" s="1" t="n">
        <v>45645</v>
      </c>
      <c r="D1828" t="inlineStr">
        <is>
          <t>STOCKHOLMS LÄN</t>
        </is>
      </c>
      <c r="E1828" t="inlineStr">
        <is>
          <t>NORRTÄLJE</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45645</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45645</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45645</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45645</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45645</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45645</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45645</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45645</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45645</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45645</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58853-2024</t>
        </is>
      </c>
      <c r="B1839" s="1" t="n">
        <v>45636</v>
      </c>
      <c r="C1839" s="1" t="n">
        <v>45645</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45645</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59274-2024</t>
        </is>
      </c>
      <c r="B1841" s="1" t="n">
        <v>45637</v>
      </c>
      <c r="C1841" s="1" t="n">
        <v>45645</v>
      </c>
      <c r="D1841" t="inlineStr">
        <is>
          <t>STOCKHOLMS LÄN</t>
        </is>
      </c>
      <c r="E1841" t="inlineStr">
        <is>
          <t>NORRTÄLJE</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59535-2024</t>
        </is>
      </c>
      <c r="B1842" s="1" t="n">
        <v>45638</v>
      </c>
      <c r="C1842" s="1" t="n">
        <v>45645</v>
      </c>
      <c r="D1842" t="inlineStr">
        <is>
          <t>STOCKHOLMS LÄN</t>
        </is>
      </c>
      <c r="E1842" t="inlineStr">
        <is>
          <t>NORRTÄLJE</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45645</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59712-2024</t>
        </is>
      </c>
      <c r="B1844" s="1" t="n">
        <v>45639</v>
      </c>
      <c r="C1844" s="1" t="n">
        <v>45645</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45645</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59874-2024</t>
        </is>
      </c>
      <c r="B1846" s="1" t="n">
        <v>45640</v>
      </c>
      <c r="C1846" s="1" t="n">
        <v>45645</v>
      </c>
      <c r="D1846" t="inlineStr">
        <is>
          <t>STOCKHOLMS LÄN</t>
        </is>
      </c>
      <c r="E1846" t="inlineStr">
        <is>
          <t>NORRTÄLJE</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59878-2024</t>
        </is>
      </c>
      <c r="B1847" s="1" t="n">
        <v>45640</v>
      </c>
      <c r="C1847" s="1" t="n">
        <v>45645</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59876-2024</t>
        </is>
      </c>
      <c r="B1848" s="1" t="n">
        <v>45640</v>
      </c>
      <c r="C1848" s="1" t="n">
        <v>45645</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45645</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45645</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59875-2024</t>
        </is>
      </c>
      <c r="B1851" s="1" t="n">
        <v>45640</v>
      </c>
      <c r="C1851" s="1" t="n">
        <v>45645</v>
      </c>
      <c r="D1851" t="inlineStr">
        <is>
          <t>STOCKHOLMS LÄN</t>
        </is>
      </c>
      <c r="E1851" t="inlineStr">
        <is>
          <t>NORRTÄLJE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60166-2024</t>
        </is>
      </c>
      <c r="B1852" s="1" t="n">
        <v>45642</v>
      </c>
      <c r="C1852" s="1" t="n">
        <v>45645</v>
      </c>
      <c r="D1852" t="inlineStr">
        <is>
          <t>STOCKHOLMS LÄN</t>
        </is>
      </c>
      <c r="E1852" t="inlineStr">
        <is>
          <t>NORRTÄLJE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60185-2024</t>
        </is>
      </c>
      <c r="B1853" s="1" t="n">
        <v>45642</v>
      </c>
      <c r="C1853" s="1" t="n">
        <v>45645</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60160-2024</t>
        </is>
      </c>
      <c r="B1854" s="1" t="n">
        <v>45642</v>
      </c>
      <c r="C1854" s="1" t="n">
        <v>45645</v>
      </c>
      <c r="D1854" t="inlineStr">
        <is>
          <t>STOCKHOLMS LÄN</t>
        </is>
      </c>
      <c r="E1854" t="inlineStr">
        <is>
          <t>NORRTÄLJE</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60317-2024</t>
        </is>
      </c>
      <c r="B1855" s="1" t="n">
        <v>45643</v>
      </c>
      <c r="C1855" s="1" t="n">
        <v>45645</v>
      </c>
      <c r="D1855" t="inlineStr">
        <is>
          <t>STOCKHOLMS LÄN</t>
        </is>
      </c>
      <c r="E1855" t="inlineStr">
        <is>
          <t>NORRTÄLJE</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60694-2024</t>
        </is>
      </c>
      <c r="B1856" s="1" t="n">
        <v>45644</v>
      </c>
      <c r="C1856" s="1" t="n">
        <v>45645</v>
      </c>
      <c r="D1856" t="inlineStr">
        <is>
          <t>STOCKHOLMS LÄN</t>
        </is>
      </c>
      <c r="E1856" t="inlineStr">
        <is>
          <t>NORRTÄLJE</t>
        </is>
      </c>
      <c r="G1856" t="n">
        <v>1.1</v>
      </c>
      <c r="H1856" t="n">
        <v>0</v>
      </c>
      <c r="I1856" t="n">
        <v>0</v>
      </c>
      <c r="J1856" t="n">
        <v>0</v>
      </c>
      <c r="K1856" t="n">
        <v>0</v>
      </c>
      <c r="L1856" t="n">
        <v>0</v>
      </c>
      <c r="M1856" t="n">
        <v>0</v>
      </c>
      <c r="N1856" t="n">
        <v>0</v>
      </c>
      <c r="O1856" t="n">
        <v>0</v>
      </c>
      <c r="P1856" t="n">
        <v>0</v>
      </c>
      <c r="Q1856" t="n">
        <v>0</v>
      </c>
      <c r="R1856" s="2" t="inlineStr"/>
    </row>
    <row r="1857">
      <c r="A1857" t="inlineStr">
        <is>
          <t>A 60884-2024</t>
        </is>
      </c>
      <c r="B1857" s="1" t="n">
        <v>45644</v>
      </c>
      <c r="C1857" s="1" t="n">
        <v>45645</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2024-12-19T14:47:38Z</dcterms:created>
  <dcterms:modified xmlns:dcterms="http://purl.org/dc/terms/" xmlns:xsi="http://www.w3.org/2001/XMLSchema-instance" xsi:type="dcterms:W3CDTF">2024-12-19T14:47:40Z</dcterms:modified>
</cp:coreProperties>
</file>