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46123</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46123</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46123</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46123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46123</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46123</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46123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46123</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46123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46123</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46123</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46123</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46123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46123</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46123</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46123</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46123</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46123</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46123</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46123</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46123</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46123</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46123</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15278-2024</t>
        </is>
      </c>
      <c r="B33" s="1" t="n">
        <v>45400.5958912037</v>
      </c>
      <c r="C33" s="1" t="n">
        <v>46123</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47346-2021</t>
        </is>
      </c>
      <c r="B34" s="1" t="n">
        <v>44447</v>
      </c>
      <c r="C34" s="1" t="n">
        <v>46123</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46123</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46123</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46123</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46123</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46123</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46123</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46123</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46123</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46123</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46123</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17645-2026</t>
        </is>
      </c>
      <c r="B45" s="1" t="n">
        <v>46121.51921296296</v>
      </c>
      <c r="C45" s="1" t="n">
        <v>46123</v>
      </c>
      <c r="D45" t="inlineStr">
        <is>
          <t>STOCKHOLMS LÄN</t>
        </is>
      </c>
      <c r="E45" t="inlineStr">
        <is>
          <t>NORRTÄLJE</t>
        </is>
      </c>
      <c r="G45" t="n">
        <v>8.199999999999999</v>
      </c>
      <c r="H45" t="n">
        <v>1</v>
      </c>
      <c r="I45" t="n">
        <v>1</v>
      </c>
      <c r="J45" t="n">
        <v>3</v>
      </c>
      <c r="K45" t="n">
        <v>1</v>
      </c>
      <c r="L45" t="n">
        <v>0</v>
      </c>
      <c r="M45" t="n">
        <v>0</v>
      </c>
      <c r="N45" t="n">
        <v>0</v>
      </c>
      <c r="O45" t="n">
        <v>4</v>
      </c>
      <c r="P45" t="n">
        <v>1</v>
      </c>
      <c r="Q45" t="n">
        <v>5</v>
      </c>
      <c r="R45" s="2" t="inlineStr">
        <is>
          <t>Knärot
Tallticka
Ullticka
Vit vedfingersvamp
Grönpyrola</t>
        </is>
      </c>
      <c r="S45">
        <f>HYPERLINK("https://klasma.github.io/Logging_0188/artfynd/A 17645-2026 artfynd.xlsx", "A 17645-2026")</f>
        <v/>
      </c>
      <c r="T45">
        <f>HYPERLINK("https://klasma.github.io/Logging_0188/kartor/A 17645-2026 karta.png", "A 17645-2026")</f>
        <v/>
      </c>
      <c r="U45">
        <f>HYPERLINK("https://klasma.github.io/Logging_0188/knärot/A 17645-2026 karta knärot.png", "A 17645-2026")</f>
        <v/>
      </c>
      <c r="V45">
        <f>HYPERLINK("https://klasma.github.io/Logging_0188/klagomål/A 17645-2026 FSC-klagomål.docx", "A 17645-2026")</f>
        <v/>
      </c>
      <c r="W45">
        <f>HYPERLINK("https://klasma.github.io/Logging_0188/klagomålsmail/A 17645-2026 FSC-klagomål mail.docx", "A 17645-2026")</f>
        <v/>
      </c>
      <c r="X45">
        <f>HYPERLINK("https://klasma.github.io/Logging_0188/tillsyn/A 17645-2026 tillsynsbegäran.docx", "A 17645-2026")</f>
        <v/>
      </c>
      <c r="Y45">
        <f>HYPERLINK("https://klasma.github.io/Logging_0188/tillsynsmail/A 17645-2026 tillsynsbegäran mail.docx", "A 17645-2026")</f>
        <v/>
      </c>
    </row>
    <row r="46" ht="15" customHeight="1">
      <c r="A46" t="inlineStr">
        <is>
          <t>A 22071-2022</t>
        </is>
      </c>
      <c r="B46" s="1" t="n">
        <v>44711</v>
      </c>
      <c r="C46" s="1" t="n">
        <v>46123</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46123</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72305-2021</t>
        </is>
      </c>
      <c r="B48" s="1" t="n">
        <v>44545</v>
      </c>
      <c r="C48" s="1" t="n">
        <v>46123</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10876-2025</t>
        </is>
      </c>
      <c r="B49" s="1" t="n">
        <v>45722</v>
      </c>
      <c r="C49" s="1" t="n">
        <v>46123</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21730-2025</t>
        </is>
      </c>
      <c r="B50" s="1" t="n">
        <v>45783.58123842593</v>
      </c>
      <c r="C50" s="1" t="n">
        <v>46123</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47212-2025</t>
        </is>
      </c>
      <c r="B51" s="1" t="n">
        <v>45930</v>
      </c>
      <c r="C51" s="1" t="n">
        <v>46123</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25687-2025</t>
        </is>
      </c>
      <c r="B52" s="1" t="n">
        <v>45800</v>
      </c>
      <c r="C52" s="1" t="n">
        <v>46123</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46123</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46123</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46123</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17673-2021</t>
        </is>
      </c>
      <c r="B56" s="1" t="n">
        <v>44300</v>
      </c>
      <c r="C56" s="1" t="n">
        <v>46123</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46123</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46123</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46123</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2851-2023</t>
        </is>
      </c>
      <c r="B60" s="1" t="n">
        <v>44945</v>
      </c>
      <c r="C60" s="1" t="n">
        <v>46123</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54110-2024</t>
        </is>
      </c>
      <c r="B61" s="1" t="n">
        <v>45616.54866898148</v>
      </c>
      <c r="C61" s="1" t="n">
        <v>46123</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27870-2022</t>
        </is>
      </c>
      <c r="B62" s="1" t="n">
        <v>44743.64592592593</v>
      </c>
      <c r="C62" s="1" t="n">
        <v>46123</v>
      </c>
      <c r="D62" t="inlineStr">
        <is>
          <t>STOCKHOLMS LÄN</t>
        </is>
      </c>
      <c r="E62" t="inlineStr">
        <is>
          <t>NORRTÄLJE</t>
        </is>
      </c>
      <c r="F62" t="inlineStr">
        <is>
          <t>Holmen skog AB</t>
        </is>
      </c>
      <c r="G62" t="n">
        <v>1.8</v>
      </c>
      <c r="H62" t="n">
        <v>3</v>
      </c>
      <c r="I62" t="n">
        <v>0</v>
      </c>
      <c r="J62" t="n">
        <v>1</v>
      </c>
      <c r="K62" t="n">
        <v>0</v>
      </c>
      <c r="L62" t="n">
        <v>0</v>
      </c>
      <c r="M62" t="n">
        <v>0</v>
      </c>
      <c r="N62" t="n">
        <v>0</v>
      </c>
      <c r="O62" t="n">
        <v>1</v>
      </c>
      <c r="P62" t="n">
        <v>0</v>
      </c>
      <c r="Q62" t="n">
        <v>3</v>
      </c>
      <c r="R62" s="2" t="inlineStr">
        <is>
          <t>Nordfladdermus
Dvärgpipistrell
Större brunfladdermus</t>
        </is>
      </c>
      <c r="S62">
        <f>HYPERLINK("https://klasma.github.io/Logging_0188/artfynd/A 27870-2022 artfynd.xlsx", "A 27870-2022")</f>
        <v/>
      </c>
      <c r="T62">
        <f>HYPERLINK("https://klasma.github.io/Logging_0188/kartor/A 27870-2022 karta.png", "A 27870-2022")</f>
        <v/>
      </c>
      <c r="V62">
        <f>HYPERLINK("https://klasma.github.io/Logging_0188/klagomål/A 27870-2022 FSC-klagomål.docx", "A 27870-2022")</f>
        <v/>
      </c>
      <c r="W62">
        <f>HYPERLINK("https://klasma.github.io/Logging_0188/klagomålsmail/A 27870-2022 FSC-klagomål mail.docx", "A 27870-2022")</f>
        <v/>
      </c>
      <c r="X62">
        <f>HYPERLINK("https://klasma.github.io/Logging_0188/tillsyn/A 27870-2022 tillsynsbegäran.docx", "A 27870-2022")</f>
        <v/>
      </c>
      <c r="Y62">
        <f>HYPERLINK("https://klasma.github.io/Logging_0188/tillsynsmail/A 27870-2022 tillsynsbegäran mail.docx", "A 27870-2022")</f>
        <v/>
      </c>
    </row>
    <row r="63" ht="15" customHeight="1">
      <c r="A63" t="inlineStr">
        <is>
          <t>A 25270-2025</t>
        </is>
      </c>
      <c r="B63" s="1" t="n">
        <v>45800</v>
      </c>
      <c r="C63" s="1" t="n">
        <v>46123</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52726-2025</t>
        </is>
      </c>
      <c r="B64" s="1" t="n">
        <v>45957.34722222222</v>
      </c>
      <c r="C64" s="1" t="n">
        <v>46123</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50618-2022</t>
        </is>
      </c>
      <c r="B65" s="1" t="n">
        <v>44866</v>
      </c>
      <c r="C65" s="1" t="n">
        <v>46123</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29185-2025</t>
        </is>
      </c>
      <c r="B66" s="1" t="n">
        <v>45821</v>
      </c>
      <c r="C66" s="1" t="n">
        <v>46123</v>
      </c>
      <c r="D66" t="inlineStr">
        <is>
          <t>STOCKHOLMS LÄN</t>
        </is>
      </c>
      <c r="E66" t="inlineStr">
        <is>
          <t>NORRTÄLJE</t>
        </is>
      </c>
      <c r="F66" t="inlineStr">
        <is>
          <t>Övriga Aktiebolag</t>
        </is>
      </c>
      <c r="G66" t="n">
        <v>8.5</v>
      </c>
      <c r="H66" t="n">
        <v>2</v>
      </c>
      <c r="I66" t="n">
        <v>1</v>
      </c>
      <c r="J66" t="n">
        <v>0</v>
      </c>
      <c r="K66" t="n">
        <v>0</v>
      </c>
      <c r="L66" t="n">
        <v>0</v>
      </c>
      <c r="M66" t="n">
        <v>0</v>
      </c>
      <c r="N66" t="n">
        <v>0</v>
      </c>
      <c r="O66" t="n">
        <v>0</v>
      </c>
      <c r="P66" t="n">
        <v>0</v>
      </c>
      <c r="Q66" t="n">
        <v>3</v>
      </c>
      <c r="R66" s="2" t="inlineStr">
        <is>
          <t>Vårärt
Fläcknycklar
Blåsippa</t>
        </is>
      </c>
      <c r="S66">
        <f>HYPERLINK("https://klasma.github.io/Logging_0188/artfynd/A 29185-2025 artfynd.xlsx", "A 29185-2025")</f>
        <v/>
      </c>
      <c r="T66">
        <f>HYPERLINK("https://klasma.github.io/Logging_0188/kartor/A 29185-2025 karta.png", "A 29185-2025")</f>
        <v/>
      </c>
      <c r="V66">
        <f>HYPERLINK("https://klasma.github.io/Logging_0188/klagomål/A 29185-2025 FSC-klagomål.docx", "A 29185-2025")</f>
        <v/>
      </c>
      <c r="W66">
        <f>HYPERLINK("https://klasma.github.io/Logging_0188/klagomålsmail/A 29185-2025 FSC-klagomål mail.docx", "A 29185-2025")</f>
        <v/>
      </c>
      <c r="X66">
        <f>HYPERLINK("https://klasma.github.io/Logging_0188/tillsyn/A 29185-2025 tillsynsbegäran.docx", "A 29185-2025")</f>
        <v/>
      </c>
      <c r="Y66">
        <f>HYPERLINK("https://klasma.github.io/Logging_0188/tillsynsmail/A 29185-2025 tillsynsbegäran mail.docx", "A 29185-2025")</f>
        <v/>
      </c>
    </row>
    <row r="67" ht="15" customHeight="1">
      <c r="A67" t="inlineStr">
        <is>
          <t>A 34524-2025</t>
        </is>
      </c>
      <c r="B67" s="1" t="n">
        <v>45847.47685185185</v>
      </c>
      <c r="C67" s="1" t="n">
        <v>46123</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15913-2026</t>
        </is>
      </c>
      <c r="B68" s="1" t="n">
        <v>46107.6456712963</v>
      </c>
      <c r="C68" s="1" t="n">
        <v>46123</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20185-2022</t>
        </is>
      </c>
      <c r="B69" s="1" t="n">
        <v>44698</v>
      </c>
      <c r="C69" s="1" t="n">
        <v>46123</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46123</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46123</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46123</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46123</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11031-2025</t>
        </is>
      </c>
      <c r="B74" s="1" t="n">
        <v>45723</v>
      </c>
      <c r="C74" s="1" t="n">
        <v>46123</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46123</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30693-2022</t>
        </is>
      </c>
      <c r="B76" s="1" t="n">
        <v>44763</v>
      </c>
      <c r="C76" s="1" t="n">
        <v>46123</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50697-2025</t>
        </is>
      </c>
      <c r="B77" s="1" t="n">
        <v>45945.90854166666</v>
      </c>
      <c r="C77" s="1" t="n">
        <v>46123</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46123</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46123</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53608-2025</t>
        </is>
      </c>
      <c r="B80" s="1" t="n">
        <v>45960</v>
      </c>
      <c r="C80" s="1" t="n">
        <v>46123</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33548-2025</t>
        </is>
      </c>
      <c r="B81" s="1" t="n">
        <v>45841.5721875</v>
      </c>
      <c r="C81" s="1" t="n">
        <v>46123</v>
      </c>
      <c r="D81" t="inlineStr">
        <is>
          <t>STOCKHOLMS LÄN</t>
        </is>
      </c>
      <c r="E81" t="inlineStr">
        <is>
          <t>NORRTÄLJE</t>
        </is>
      </c>
      <c r="G81" t="n">
        <v>12.2</v>
      </c>
      <c r="H81" t="n">
        <v>1</v>
      </c>
      <c r="I81" t="n">
        <v>0</v>
      </c>
      <c r="J81" t="n">
        <v>1</v>
      </c>
      <c r="K81" t="n">
        <v>0</v>
      </c>
      <c r="L81" t="n">
        <v>0</v>
      </c>
      <c r="M81" t="n">
        <v>0</v>
      </c>
      <c r="N81" t="n">
        <v>0</v>
      </c>
      <c r="O81" t="n">
        <v>1</v>
      </c>
      <c r="P81" t="n">
        <v>0</v>
      </c>
      <c r="Q81" t="n">
        <v>2</v>
      </c>
      <c r="R81" s="2" t="inlineStr">
        <is>
          <t>Dofttaggsvamp
Sparvuggla</t>
        </is>
      </c>
      <c r="S81">
        <f>HYPERLINK("https://klasma.github.io/Logging_0188/artfynd/A 33548-2025 artfynd.xlsx", "A 33548-2025")</f>
        <v/>
      </c>
      <c r="T81">
        <f>HYPERLINK("https://klasma.github.io/Logging_0188/kartor/A 33548-2025 karta.png", "A 33548-2025")</f>
        <v/>
      </c>
      <c r="V81">
        <f>HYPERLINK("https://klasma.github.io/Logging_0188/klagomål/A 33548-2025 FSC-klagomål.docx", "A 33548-2025")</f>
        <v/>
      </c>
      <c r="W81">
        <f>HYPERLINK("https://klasma.github.io/Logging_0188/klagomålsmail/A 33548-2025 FSC-klagomål mail.docx", "A 33548-2025")</f>
        <v/>
      </c>
      <c r="X81">
        <f>HYPERLINK("https://klasma.github.io/Logging_0188/tillsyn/A 33548-2025 tillsynsbegäran.docx", "A 33548-2025")</f>
        <v/>
      </c>
      <c r="Y81">
        <f>HYPERLINK("https://klasma.github.io/Logging_0188/tillsynsmail/A 33548-2025 tillsynsbegäran mail.docx", "A 33548-2025")</f>
        <v/>
      </c>
      <c r="Z81">
        <f>HYPERLINK("https://klasma.github.io/Logging_0188/fåglar/A 33548-2025 prioriterade fågelarter.docx", "A 33548-2025")</f>
        <v/>
      </c>
    </row>
    <row r="82" ht="15" customHeight="1">
      <c r="A82" t="inlineStr">
        <is>
          <t>A 51220-2023</t>
        </is>
      </c>
      <c r="B82" s="1" t="n">
        <v>45219</v>
      </c>
      <c r="C82" s="1" t="n">
        <v>46123</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46123</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46123</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46123</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46123</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15925-2026</t>
        </is>
      </c>
      <c r="B87" s="1" t="n">
        <v>46107.66046296297</v>
      </c>
      <c r="C87" s="1" t="n">
        <v>46123</v>
      </c>
      <c r="D87" t="inlineStr">
        <is>
          <t>STOCKHOLMS LÄN</t>
        </is>
      </c>
      <c r="E87" t="inlineStr">
        <is>
          <t>NORRTÄLJE</t>
        </is>
      </c>
      <c r="G87" t="n">
        <v>2.9</v>
      </c>
      <c r="H87" t="n">
        <v>1</v>
      </c>
      <c r="I87" t="n">
        <v>1</v>
      </c>
      <c r="J87" t="n">
        <v>0</v>
      </c>
      <c r="K87" t="n">
        <v>0</v>
      </c>
      <c r="L87" t="n">
        <v>0</v>
      </c>
      <c r="M87" t="n">
        <v>0</v>
      </c>
      <c r="N87" t="n">
        <v>0</v>
      </c>
      <c r="O87" t="n">
        <v>0</v>
      </c>
      <c r="P87" t="n">
        <v>0</v>
      </c>
      <c r="Q87" t="n">
        <v>2</v>
      </c>
      <c r="R87" s="2" t="inlineStr">
        <is>
          <t>Fjällig taggsvamp s.str.
Blåsippa</t>
        </is>
      </c>
      <c r="S87">
        <f>HYPERLINK("https://klasma.github.io/Logging_0188/artfynd/A 15925-2026 artfynd.xlsx", "A 15925-2026")</f>
        <v/>
      </c>
      <c r="T87">
        <f>HYPERLINK("https://klasma.github.io/Logging_0188/kartor/A 15925-2026 karta.png", "A 15925-2026")</f>
        <v/>
      </c>
      <c r="V87">
        <f>HYPERLINK("https://klasma.github.io/Logging_0188/klagomål/A 15925-2026 FSC-klagomål.docx", "A 15925-2026")</f>
        <v/>
      </c>
      <c r="W87">
        <f>HYPERLINK("https://klasma.github.io/Logging_0188/klagomålsmail/A 15925-2026 FSC-klagomål mail.docx", "A 15925-2026")</f>
        <v/>
      </c>
      <c r="X87">
        <f>HYPERLINK("https://klasma.github.io/Logging_0188/tillsyn/A 15925-2026 tillsynsbegäran.docx", "A 15925-2026")</f>
        <v/>
      </c>
      <c r="Y87">
        <f>HYPERLINK("https://klasma.github.io/Logging_0188/tillsynsmail/A 15925-2026 tillsynsbegäran mail.docx", "A 15925-2026")</f>
        <v/>
      </c>
    </row>
    <row r="88" ht="15" customHeight="1">
      <c r="A88" t="inlineStr">
        <is>
          <t>A 1547-2022</t>
        </is>
      </c>
      <c r="B88" s="1" t="n">
        <v>44573</v>
      </c>
      <c r="C88" s="1" t="n">
        <v>46123</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46123</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46123</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46123</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31281-2022</t>
        </is>
      </c>
      <c r="B92" s="1" t="n">
        <v>44771</v>
      </c>
      <c r="C92" s="1" t="n">
        <v>46123</v>
      </c>
      <c r="D92" t="inlineStr">
        <is>
          <t>STOCKHOLMS LÄN</t>
        </is>
      </c>
      <c r="E92" t="inlineStr">
        <is>
          <t>NORRTÄLJE</t>
        </is>
      </c>
      <c r="F92" t="inlineStr">
        <is>
          <t>Holmen skog AB</t>
        </is>
      </c>
      <c r="G92" t="n">
        <v>5.2</v>
      </c>
      <c r="H92" t="n">
        <v>1</v>
      </c>
      <c r="I92" t="n">
        <v>0</v>
      </c>
      <c r="J92" t="n">
        <v>1</v>
      </c>
      <c r="K92" t="n">
        <v>0</v>
      </c>
      <c r="L92" t="n">
        <v>0</v>
      </c>
      <c r="M92" t="n">
        <v>0</v>
      </c>
      <c r="N92" t="n">
        <v>0</v>
      </c>
      <c r="O92" t="n">
        <v>1</v>
      </c>
      <c r="P92" t="n">
        <v>0</v>
      </c>
      <c r="Q92" t="n">
        <v>1</v>
      </c>
      <c r="R92" s="2" t="inlineStr">
        <is>
          <t>Kråka</t>
        </is>
      </c>
      <c r="S92">
        <f>HYPERLINK("https://klasma.github.io/Logging_0188/artfynd/A 31281-2022 artfynd.xlsx", "A 31281-2022")</f>
        <v/>
      </c>
      <c r="T92">
        <f>HYPERLINK("https://klasma.github.io/Logging_0188/kartor/A 31281-2022 karta.png", "A 31281-2022")</f>
        <v/>
      </c>
      <c r="V92">
        <f>HYPERLINK("https://klasma.github.io/Logging_0188/klagomål/A 31281-2022 FSC-klagomål.docx", "A 31281-2022")</f>
        <v/>
      </c>
      <c r="W92">
        <f>HYPERLINK("https://klasma.github.io/Logging_0188/klagomålsmail/A 31281-2022 FSC-klagomål mail.docx", "A 31281-2022")</f>
        <v/>
      </c>
      <c r="X92">
        <f>HYPERLINK("https://klasma.github.io/Logging_0188/tillsyn/A 31281-2022 tillsynsbegäran.docx", "A 31281-2022")</f>
        <v/>
      </c>
      <c r="Y92">
        <f>HYPERLINK("https://klasma.github.io/Logging_0188/tillsynsmail/A 31281-2022 tillsynsbegäran mail.docx", "A 31281-2022")</f>
        <v/>
      </c>
      <c r="Z92">
        <f>HYPERLINK("https://klasma.github.io/Logging_0188/fåglar/A 31281-2022 prioriterade fågelarter.docx", "A 31281-2022")</f>
        <v/>
      </c>
    </row>
    <row r="93" ht="15" customHeight="1">
      <c r="A93" t="inlineStr">
        <is>
          <t>A 4532-2025</t>
        </is>
      </c>
      <c r="B93" s="1" t="n">
        <v>45687.34177083334</v>
      </c>
      <c r="C93" s="1" t="n">
        <v>46123</v>
      </c>
      <c r="D93" t="inlineStr">
        <is>
          <t>STOCKHOLMS LÄN</t>
        </is>
      </c>
      <c r="E93" t="inlineStr">
        <is>
          <t>NORRTÄLJE</t>
        </is>
      </c>
      <c r="F93" t="inlineStr">
        <is>
          <t>Holmen skog AB</t>
        </is>
      </c>
      <c r="G93" t="n">
        <v>6.4</v>
      </c>
      <c r="H93" t="n">
        <v>1</v>
      </c>
      <c r="I93" t="n">
        <v>0</v>
      </c>
      <c r="J93" t="n">
        <v>0</v>
      </c>
      <c r="K93" t="n">
        <v>0</v>
      </c>
      <c r="L93" t="n">
        <v>1</v>
      </c>
      <c r="M93" t="n">
        <v>0</v>
      </c>
      <c r="N93" t="n">
        <v>0</v>
      </c>
      <c r="O93" t="n">
        <v>1</v>
      </c>
      <c r="P93" t="n">
        <v>1</v>
      </c>
      <c r="Q93" t="n">
        <v>1</v>
      </c>
      <c r="R93" s="2" t="inlineStr">
        <is>
          <t>Asknätfjäril</t>
        </is>
      </c>
      <c r="S93">
        <f>HYPERLINK("https://klasma.github.io/Logging_0188/artfynd/A 4532-2025 artfynd.xlsx", "A 4532-2025")</f>
        <v/>
      </c>
      <c r="T93">
        <f>HYPERLINK("https://klasma.github.io/Logging_0188/kartor/A 4532-2025 karta.png", "A 4532-2025")</f>
        <v/>
      </c>
      <c r="V93">
        <f>HYPERLINK("https://klasma.github.io/Logging_0188/klagomål/A 4532-2025 FSC-klagomål.docx", "A 4532-2025")</f>
        <v/>
      </c>
      <c r="W93">
        <f>HYPERLINK("https://klasma.github.io/Logging_0188/klagomålsmail/A 4532-2025 FSC-klagomål mail.docx", "A 4532-2025")</f>
        <v/>
      </c>
      <c r="X93">
        <f>HYPERLINK("https://klasma.github.io/Logging_0188/tillsyn/A 4532-2025 tillsynsbegäran.docx", "A 4532-2025")</f>
        <v/>
      </c>
      <c r="Y93">
        <f>HYPERLINK("https://klasma.github.io/Logging_0188/tillsynsmail/A 4532-2025 tillsynsbegäran mail.docx", "A 4532-2025")</f>
        <v/>
      </c>
    </row>
    <row r="94" ht="15" customHeight="1">
      <c r="A94" t="inlineStr">
        <is>
          <t>A 33477-2022</t>
        </is>
      </c>
      <c r="B94" s="1" t="n">
        <v>44788.70217592592</v>
      </c>
      <c r="C94" s="1" t="n">
        <v>46123</v>
      </c>
      <c r="D94" t="inlineStr">
        <is>
          <t>STOCKHOLMS LÄN</t>
        </is>
      </c>
      <c r="E94" t="inlineStr">
        <is>
          <t>NORRTÄLJE</t>
        </is>
      </c>
      <c r="G94" t="n">
        <v>5.7</v>
      </c>
      <c r="H94" t="n">
        <v>1</v>
      </c>
      <c r="I94" t="n">
        <v>1</v>
      </c>
      <c r="J94" t="n">
        <v>0</v>
      </c>
      <c r="K94" t="n">
        <v>0</v>
      </c>
      <c r="L94" t="n">
        <v>0</v>
      </c>
      <c r="M94" t="n">
        <v>0</v>
      </c>
      <c r="N94" t="n">
        <v>0</v>
      </c>
      <c r="O94" t="n">
        <v>0</v>
      </c>
      <c r="P94" t="n">
        <v>0</v>
      </c>
      <c r="Q94" t="n">
        <v>1</v>
      </c>
      <c r="R94" s="2" t="inlineStr">
        <is>
          <t>Nästrot</t>
        </is>
      </c>
      <c r="S94">
        <f>HYPERLINK("https://klasma.github.io/Logging_0188/artfynd/A 33477-2022 artfynd.xlsx", "A 33477-2022")</f>
        <v/>
      </c>
      <c r="T94">
        <f>HYPERLINK("https://klasma.github.io/Logging_0188/kartor/A 33477-2022 karta.png", "A 33477-2022")</f>
        <v/>
      </c>
      <c r="V94">
        <f>HYPERLINK("https://klasma.github.io/Logging_0188/klagomål/A 33477-2022 FSC-klagomål.docx", "A 33477-2022")</f>
        <v/>
      </c>
      <c r="W94">
        <f>HYPERLINK("https://klasma.github.io/Logging_0188/klagomålsmail/A 33477-2022 FSC-klagomål mail.docx", "A 33477-2022")</f>
        <v/>
      </c>
      <c r="X94">
        <f>HYPERLINK("https://klasma.github.io/Logging_0188/tillsyn/A 33477-2022 tillsynsbegäran.docx", "A 33477-2022")</f>
        <v/>
      </c>
      <c r="Y94">
        <f>HYPERLINK("https://klasma.github.io/Logging_0188/tillsynsmail/A 33477-2022 tillsynsbegäran mail.docx", "A 33477-2022")</f>
        <v/>
      </c>
    </row>
    <row r="95" ht="15" customHeight="1">
      <c r="A95" t="inlineStr">
        <is>
          <t>A 35691-2023</t>
        </is>
      </c>
      <c r="B95" s="1" t="n">
        <v>45147.65222222222</v>
      </c>
      <c r="C95" s="1" t="n">
        <v>46123</v>
      </c>
      <c r="D95" t="inlineStr">
        <is>
          <t>STOCKHOLMS LÄN</t>
        </is>
      </c>
      <c r="E95" t="inlineStr">
        <is>
          <t>NORRTÄLJE</t>
        </is>
      </c>
      <c r="G95" t="n">
        <v>2.3</v>
      </c>
      <c r="H95" t="n">
        <v>1</v>
      </c>
      <c r="I95" t="n">
        <v>0</v>
      </c>
      <c r="J95" t="n">
        <v>0</v>
      </c>
      <c r="K95" t="n">
        <v>0</v>
      </c>
      <c r="L95" t="n">
        <v>0</v>
      </c>
      <c r="M95" t="n">
        <v>0</v>
      </c>
      <c r="N95" t="n">
        <v>0</v>
      </c>
      <c r="O95" t="n">
        <v>0</v>
      </c>
      <c r="P95" t="n">
        <v>0</v>
      </c>
      <c r="Q95" t="n">
        <v>1</v>
      </c>
      <c r="R95" s="2" t="inlineStr">
        <is>
          <t>Kungsfågel</t>
        </is>
      </c>
      <c r="S95">
        <f>HYPERLINK("https://klasma.github.io/Logging_0188/artfynd/A 35691-2023 artfynd.xlsx", "A 35691-2023")</f>
        <v/>
      </c>
      <c r="T95">
        <f>HYPERLINK("https://klasma.github.io/Logging_0188/kartor/A 35691-2023 karta.png", "A 35691-2023")</f>
        <v/>
      </c>
      <c r="V95">
        <f>HYPERLINK("https://klasma.github.io/Logging_0188/klagomål/A 35691-2023 FSC-klagomål.docx", "A 35691-2023")</f>
        <v/>
      </c>
      <c r="W95">
        <f>HYPERLINK("https://klasma.github.io/Logging_0188/klagomålsmail/A 35691-2023 FSC-klagomål mail.docx", "A 35691-2023")</f>
        <v/>
      </c>
      <c r="X95">
        <f>HYPERLINK("https://klasma.github.io/Logging_0188/tillsyn/A 35691-2023 tillsynsbegäran.docx", "A 35691-2023")</f>
        <v/>
      </c>
      <c r="Y95">
        <f>HYPERLINK("https://klasma.github.io/Logging_0188/tillsynsmail/A 35691-2023 tillsynsbegäran mail.docx", "A 35691-2023")</f>
        <v/>
      </c>
      <c r="Z95">
        <f>HYPERLINK("https://klasma.github.io/Logging_0188/fåglar/A 35691-2023 prioriterade fågelarter.docx", "A 35691-2023")</f>
        <v/>
      </c>
    </row>
    <row r="96" ht="15" customHeight="1">
      <c r="A96" t="inlineStr">
        <is>
          <t>A 35693-2023</t>
        </is>
      </c>
      <c r="B96" s="1" t="n">
        <v>45147.65311342593</v>
      </c>
      <c r="C96" s="1" t="n">
        <v>46123</v>
      </c>
      <c r="D96" t="inlineStr">
        <is>
          <t>STOCKHOLMS LÄN</t>
        </is>
      </c>
      <c r="E96" t="inlineStr">
        <is>
          <t>NORRTÄLJE</t>
        </is>
      </c>
      <c r="G96" t="n">
        <v>2.2</v>
      </c>
      <c r="H96" t="n">
        <v>0</v>
      </c>
      <c r="I96" t="n">
        <v>0</v>
      </c>
      <c r="J96" t="n">
        <v>1</v>
      </c>
      <c r="K96" t="n">
        <v>0</v>
      </c>
      <c r="L96" t="n">
        <v>0</v>
      </c>
      <c r="M96" t="n">
        <v>0</v>
      </c>
      <c r="N96" t="n">
        <v>0</v>
      </c>
      <c r="O96" t="n">
        <v>1</v>
      </c>
      <c r="P96" t="n">
        <v>0</v>
      </c>
      <c r="Q96" t="n">
        <v>1</v>
      </c>
      <c r="R96" s="2" t="inlineStr">
        <is>
          <t>Motaggsvamp</t>
        </is>
      </c>
      <c r="S96">
        <f>HYPERLINK("https://klasma.github.io/Logging_0188/artfynd/A 35693-2023 artfynd.xlsx", "A 35693-2023")</f>
        <v/>
      </c>
      <c r="T96">
        <f>HYPERLINK("https://klasma.github.io/Logging_0188/kartor/A 35693-2023 karta.png", "A 35693-2023")</f>
        <v/>
      </c>
      <c r="V96">
        <f>HYPERLINK("https://klasma.github.io/Logging_0188/klagomål/A 35693-2023 FSC-klagomål.docx", "A 35693-2023")</f>
        <v/>
      </c>
      <c r="W96">
        <f>HYPERLINK("https://klasma.github.io/Logging_0188/klagomålsmail/A 35693-2023 FSC-klagomål mail.docx", "A 35693-2023")</f>
        <v/>
      </c>
      <c r="X96">
        <f>HYPERLINK("https://klasma.github.io/Logging_0188/tillsyn/A 35693-2023 tillsynsbegäran.docx", "A 35693-2023")</f>
        <v/>
      </c>
      <c r="Y96">
        <f>HYPERLINK("https://klasma.github.io/Logging_0188/tillsynsmail/A 35693-2023 tillsynsbegäran mail.docx", "A 35693-2023")</f>
        <v/>
      </c>
    </row>
    <row r="97" ht="15" customHeight="1">
      <c r="A97" t="inlineStr">
        <is>
          <t>A 21150-2022</t>
        </is>
      </c>
      <c r="B97" s="1" t="n">
        <v>44704</v>
      </c>
      <c r="C97" s="1" t="n">
        <v>46123</v>
      </c>
      <c r="D97" t="inlineStr">
        <is>
          <t>STOCKHOLMS LÄN</t>
        </is>
      </c>
      <c r="E97" t="inlineStr">
        <is>
          <t>NORRTÄLJE</t>
        </is>
      </c>
      <c r="G97" t="n">
        <v>12.5</v>
      </c>
      <c r="H97" t="n">
        <v>1</v>
      </c>
      <c r="I97" t="n">
        <v>0</v>
      </c>
      <c r="J97" t="n">
        <v>0</v>
      </c>
      <c r="K97" t="n">
        <v>0</v>
      </c>
      <c r="L97" t="n">
        <v>1</v>
      </c>
      <c r="M97" t="n">
        <v>0</v>
      </c>
      <c r="N97" t="n">
        <v>0</v>
      </c>
      <c r="O97" t="n">
        <v>1</v>
      </c>
      <c r="P97" t="n">
        <v>1</v>
      </c>
      <c r="Q97" t="n">
        <v>1</v>
      </c>
      <c r="R97" s="2" t="inlineStr">
        <is>
          <t>Asknätfjäril</t>
        </is>
      </c>
      <c r="S97">
        <f>HYPERLINK("https://klasma.github.io/Logging_0188/artfynd/A 21150-2022 artfynd.xlsx", "A 21150-2022")</f>
        <v/>
      </c>
      <c r="T97">
        <f>HYPERLINK("https://klasma.github.io/Logging_0188/kartor/A 21150-2022 karta.png", "A 21150-2022")</f>
        <v/>
      </c>
      <c r="V97">
        <f>HYPERLINK("https://klasma.github.io/Logging_0188/klagomål/A 21150-2022 FSC-klagomål.docx", "A 21150-2022")</f>
        <v/>
      </c>
      <c r="W97">
        <f>HYPERLINK("https://klasma.github.io/Logging_0188/klagomålsmail/A 21150-2022 FSC-klagomål mail.docx", "A 21150-2022")</f>
        <v/>
      </c>
      <c r="X97">
        <f>HYPERLINK("https://klasma.github.io/Logging_0188/tillsyn/A 21150-2022 tillsynsbegäran.docx", "A 21150-2022")</f>
        <v/>
      </c>
      <c r="Y97">
        <f>HYPERLINK("https://klasma.github.io/Logging_0188/tillsynsmail/A 21150-2022 tillsynsbegäran mail.docx", "A 21150-2022")</f>
        <v/>
      </c>
    </row>
    <row r="98" ht="15" customHeight="1">
      <c r="A98" t="inlineStr">
        <is>
          <t>A 58888-2021</t>
        </is>
      </c>
      <c r="B98" s="1" t="n">
        <v>44489</v>
      </c>
      <c r="C98" s="1" t="n">
        <v>46123</v>
      </c>
      <c r="D98" t="inlineStr">
        <is>
          <t>STOCKHOLMS LÄN</t>
        </is>
      </c>
      <c r="E98" t="inlineStr">
        <is>
          <t>NORRTÄLJE</t>
        </is>
      </c>
      <c r="F98" t="inlineStr">
        <is>
          <t>Holmen skog AB</t>
        </is>
      </c>
      <c r="G98" t="n">
        <v>2.5</v>
      </c>
      <c r="H98" t="n">
        <v>1</v>
      </c>
      <c r="I98" t="n">
        <v>0</v>
      </c>
      <c r="J98" t="n">
        <v>0</v>
      </c>
      <c r="K98" t="n">
        <v>0</v>
      </c>
      <c r="L98" t="n">
        <v>1</v>
      </c>
      <c r="M98" t="n">
        <v>0</v>
      </c>
      <c r="N98" t="n">
        <v>0</v>
      </c>
      <c r="O98" t="n">
        <v>1</v>
      </c>
      <c r="P98" t="n">
        <v>1</v>
      </c>
      <c r="Q98" t="n">
        <v>1</v>
      </c>
      <c r="R98" s="2" t="inlineStr">
        <is>
          <t>Asknätfjäril</t>
        </is>
      </c>
      <c r="S98">
        <f>HYPERLINK("https://klasma.github.io/Logging_0188/artfynd/A 58888-2021 artfynd.xlsx", "A 58888-2021")</f>
        <v/>
      </c>
      <c r="T98">
        <f>HYPERLINK("https://klasma.github.io/Logging_0188/kartor/A 58888-2021 karta.png", "A 58888-2021")</f>
        <v/>
      </c>
      <c r="V98">
        <f>HYPERLINK("https://klasma.github.io/Logging_0188/klagomål/A 58888-2021 FSC-klagomål.docx", "A 58888-2021")</f>
        <v/>
      </c>
      <c r="W98">
        <f>HYPERLINK("https://klasma.github.io/Logging_0188/klagomålsmail/A 58888-2021 FSC-klagomål mail.docx", "A 58888-2021")</f>
        <v/>
      </c>
      <c r="X98">
        <f>HYPERLINK("https://klasma.github.io/Logging_0188/tillsyn/A 58888-2021 tillsynsbegäran.docx", "A 58888-2021")</f>
        <v/>
      </c>
      <c r="Y98">
        <f>HYPERLINK("https://klasma.github.io/Logging_0188/tillsynsmail/A 58888-2021 tillsynsbegäran mail.docx", "A 58888-2021")</f>
        <v/>
      </c>
    </row>
    <row r="99" ht="15" customHeight="1">
      <c r="A99" t="inlineStr">
        <is>
          <t>A 50854-2022</t>
        </is>
      </c>
      <c r="B99" s="1" t="n">
        <v>44863</v>
      </c>
      <c r="C99" s="1" t="n">
        <v>46123</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40861-2025</t>
        </is>
      </c>
      <c r="B100" s="1" t="n">
        <v>45897.56356481482</v>
      </c>
      <c r="C100" s="1" t="n">
        <v>46123</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46123</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11429-2023</t>
        </is>
      </c>
      <c r="B102" s="1" t="n">
        <v>44993</v>
      </c>
      <c r="C102" s="1" t="n">
        <v>46123</v>
      </c>
      <c r="D102" t="inlineStr">
        <is>
          <t>STOCKHOLMS LÄN</t>
        </is>
      </c>
      <c r="E102" t="inlineStr">
        <is>
          <t>NORRTÄLJE</t>
        </is>
      </c>
      <c r="G102" t="n">
        <v>2</v>
      </c>
      <c r="H102" t="n">
        <v>0</v>
      </c>
      <c r="I102" t="n">
        <v>0</v>
      </c>
      <c r="J102" t="n">
        <v>1</v>
      </c>
      <c r="K102" t="n">
        <v>0</v>
      </c>
      <c r="L102" t="n">
        <v>0</v>
      </c>
      <c r="M102" t="n">
        <v>0</v>
      </c>
      <c r="N102" t="n">
        <v>0</v>
      </c>
      <c r="O102" t="n">
        <v>1</v>
      </c>
      <c r="P102" t="n">
        <v>0</v>
      </c>
      <c r="Q102" t="n">
        <v>1</v>
      </c>
      <c r="R102" s="2" t="inlineStr">
        <is>
          <t>Skogsklocka</t>
        </is>
      </c>
      <c r="S102">
        <f>HYPERLINK("https://klasma.github.io/Logging_0188/artfynd/A 11429-2023 artfynd.xlsx", "A 11429-2023")</f>
        <v/>
      </c>
      <c r="T102">
        <f>HYPERLINK("https://klasma.github.io/Logging_0188/kartor/A 11429-2023 karta.png", "A 11429-2023")</f>
        <v/>
      </c>
      <c r="V102">
        <f>HYPERLINK("https://klasma.github.io/Logging_0188/klagomål/A 11429-2023 FSC-klagomål.docx", "A 11429-2023")</f>
        <v/>
      </c>
      <c r="W102">
        <f>HYPERLINK("https://klasma.github.io/Logging_0188/klagomålsmail/A 11429-2023 FSC-klagomål mail.docx", "A 11429-2023")</f>
        <v/>
      </c>
      <c r="X102">
        <f>HYPERLINK("https://klasma.github.io/Logging_0188/tillsyn/A 11429-2023 tillsynsbegäran.docx", "A 11429-2023")</f>
        <v/>
      </c>
      <c r="Y102">
        <f>HYPERLINK("https://klasma.github.io/Logging_0188/tillsynsmail/A 11429-2023 tillsynsbegäran mail.docx", "A 11429-2023")</f>
        <v/>
      </c>
    </row>
    <row r="103" ht="15" customHeight="1">
      <c r="A103" t="inlineStr">
        <is>
          <t>A 42313-2025</t>
        </is>
      </c>
      <c r="B103" s="1" t="n">
        <v>45904.6575</v>
      </c>
      <c r="C103" s="1" t="n">
        <v>46123</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26120-2024</t>
        </is>
      </c>
      <c r="B104" s="1" t="n">
        <v>45468.45995370371</v>
      </c>
      <c r="C104" s="1" t="n">
        <v>46123</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13291-2025</t>
        </is>
      </c>
      <c r="B105" s="1" t="n">
        <v>45735</v>
      </c>
      <c r="C105" s="1" t="n">
        <v>46123</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64456-2023</t>
        </is>
      </c>
      <c r="B106" s="1" t="n">
        <v>45280</v>
      </c>
      <c r="C106" s="1" t="n">
        <v>46123</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4595-2023</t>
        </is>
      </c>
      <c r="B107" s="1" t="n">
        <v>44956</v>
      </c>
      <c r="C107" s="1" t="n">
        <v>46123</v>
      </c>
      <c r="D107" t="inlineStr">
        <is>
          <t>STOCKHOLMS LÄN</t>
        </is>
      </c>
      <c r="E107" t="inlineStr">
        <is>
          <t>NORRTÄLJE</t>
        </is>
      </c>
      <c r="G107" t="n">
        <v>0.6</v>
      </c>
      <c r="H107" t="n">
        <v>1</v>
      </c>
      <c r="I107" t="n">
        <v>0</v>
      </c>
      <c r="J107" t="n">
        <v>0</v>
      </c>
      <c r="K107" t="n">
        <v>0</v>
      </c>
      <c r="L107" t="n">
        <v>0</v>
      </c>
      <c r="M107" t="n">
        <v>0</v>
      </c>
      <c r="N107" t="n">
        <v>0</v>
      </c>
      <c r="O107" t="n">
        <v>0</v>
      </c>
      <c r="P107" t="n">
        <v>0</v>
      </c>
      <c r="Q107" t="n">
        <v>1</v>
      </c>
      <c r="R107" s="2" t="inlineStr">
        <is>
          <t>Blåsippa</t>
        </is>
      </c>
      <c r="S107">
        <f>HYPERLINK("https://klasma.github.io/Logging_0188/artfynd/A 4595-2023 artfynd.xlsx", "A 4595-2023")</f>
        <v/>
      </c>
      <c r="T107">
        <f>HYPERLINK("https://klasma.github.io/Logging_0188/kartor/A 4595-2023 karta.png", "A 4595-2023")</f>
        <v/>
      </c>
      <c r="V107">
        <f>HYPERLINK("https://klasma.github.io/Logging_0188/klagomål/A 4595-2023 FSC-klagomål.docx", "A 4595-2023")</f>
        <v/>
      </c>
      <c r="W107">
        <f>HYPERLINK("https://klasma.github.io/Logging_0188/klagomålsmail/A 4595-2023 FSC-klagomål mail.docx", "A 4595-2023")</f>
        <v/>
      </c>
      <c r="X107">
        <f>HYPERLINK("https://klasma.github.io/Logging_0188/tillsyn/A 4595-2023 tillsynsbegäran.docx", "A 4595-2023")</f>
        <v/>
      </c>
      <c r="Y107">
        <f>HYPERLINK("https://klasma.github.io/Logging_0188/tillsynsmail/A 4595-2023 tillsynsbegäran mail.docx", "A 4595-2023")</f>
        <v/>
      </c>
    </row>
    <row r="108" ht="15" customHeight="1">
      <c r="A108" t="inlineStr">
        <is>
          <t>A 9955-2022</t>
        </is>
      </c>
      <c r="B108" s="1" t="n">
        <v>44620</v>
      </c>
      <c r="C108" s="1" t="n">
        <v>46123</v>
      </c>
      <c r="D108" t="inlineStr">
        <is>
          <t>STOCKHOLMS LÄN</t>
        </is>
      </c>
      <c r="E108" t="inlineStr">
        <is>
          <t>NORRTÄLJE</t>
        </is>
      </c>
      <c r="G108" t="n">
        <v>7.8</v>
      </c>
      <c r="H108" t="n">
        <v>1</v>
      </c>
      <c r="I108" t="n">
        <v>0</v>
      </c>
      <c r="J108" t="n">
        <v>0</v>
      </c>
      <c r="K108" t="n">
        <v>0</v>
      </c>
      <c r="L108" t="n">
        <v>0</v>
      </c>
      <c r="M108" t="n">
        <v>0</v>
      </c>
      <c r="N108" t="n">
        <v>0</v>
      </c>
      <c r="O108" t="n">
        <v>0</v>
      </c>
      <c r="P108" t="n">
        <v>0</v>
      </c>
      <c r="Q108" t="n">
        <v>1</v>
      </c>
      <c r="R108" s="2" t="inlineStr">
        <is>
          <t>Åkergroda</t>
        </is>
      </c>
      <c r="S108">
        <f>HYPERLINK("https://klasma.github.io/Logging_0188/artfynd/A 9955-2022 artfynd.xlsx", "A 9955-2022")</f>
        <v/>
      </c>
      <c r="T108">
        <f>HYPERLINK("https://klasma.github.io/Logging_0188/kartor/A 9955-2022 karta.png", "A 9955-2022")</f>
        <v/>
      </c>
      <c r="V108">
        <f>HYPERLINK("https://klasma.github.io/Logging_0188/klagomål/A 9955-2022 FSC-klagomål.docx", "A 9955-2022")</f>
        <v/>
      </c>
      <c r="W108">
        <f>HYPERLINK("https://klasma.github.io/Logging_0188/klagomålsmail/A 9955-2022 FSC-klagomål mail.docx", "A 9955-2022")</f>
        <v/>
      </c>
      <c r="X108">
        <f>HYPERLINK("https://klasma.github.io/Logging_0188/tillsyn/A 9955-2022 tillsynsbegäran.docx", "A 9955-2022")</f>
        <v/>
      </c>
      <c r="Y108">
        <f>HYPERLINK("https://klasma.github.io/Logging_0188/tillsynsmail/A 9955-2022 tillsynsbegäran mail.docx", "A 9955-2022")</f>
        <v/>
      </c>
    </row>
    <row r="109" ht="15" customHeight="1">
      <c r="A109" t="inlineStr">
        <is>
          <t>A 39158-2025</t>
        </is>
      </c>
      <c r="B109" s="1" t="n">
        <v>45888</v>
      </c>
      <c r="C109" s="1" t="n">
        <v>46123</v>
      </c>
      <c r="D109" t="inlineStr">
        <is>
          <t>STOCKHOLMS LÄN</t>
        </is>
      </c>
      <c r="E109" t="inlineStr">
        <is>
          <t>NORRTÄLJE</t>
        </is>
      </c>
      <c r="G109" t="n">
        <v>1.5</v>
      </c>
      <c r="H109" t="n">
        <v>1</v>
      </c>
      <c r="I109" t="n">
        <v>0</v>
      </c>
      <c r="J109" t="n">
        <v>0</v>
      </c>
      <c r="K109" t="n">
        <v>0</v>
      </c>
      <c r="L109" t="n">
        <v>0</v>
      </c>
      <c r="M109" t="n">
        <v>0</v>
      </c>
      <c r="N109" t="n">
        <v>0</v>
      </c>
      <c r="O109" t="n">
        <v>0</v>
      </c>
      <c r="P109" t="n">
        <v>0</v>
      </c>
      <c r="Q109" t="n">
        <v>1</v>
      </c>
      <c r="R109" s="2" t="inlineStr">
        <is>
          <t>Blåsippa</t>
        </is>
      </c>
      <c r="S109">
        <f>HYPERLINK("https://klasma.github.io/Logging_0188/artfynd/A 39158-2025 artfynd.xlsx", "A 39158-2025")</f>
        <v/>
      </c>
      <c r="T109">
        <f>HYPERLINK("https://klasma.github.io/Logging_0188/kartor/A 39158-2025 karta.png", "A 39158-2025")</f>
        <v/>
      </c>
      <c r="V109">
        <f>HYPERLINK("https://klasma.github.io/Logging_0188/klagomål/A 39158-2025 FSC-klagomål.docx", "A 39158-2025")</f>
        <v/>
      </c>
      <c r="W109">
        <f>HYPERLINK("https://klasma.github.io/Logging_0188/klagomålsmail/A 39158-2025 FSC-klagomål mail.docx", "A 39158-2025")</f>
        <v/>
      </c>
      <c r="X109">
        <f>HYPERLINK("https://klasma.github.io/Logging_0188/tillsyn/A 39158-2025 tillsynsbegäran.docx", "A 39158-2025")</f>
        <v/>
      </c>
      <c r="Y109">
        <f>HYPERLINK("https://klasma.github.io/Logging_0188/tillsynsmail/A 39158-2025 tillsynsbegäran mail.docx", "A 39158-2025")</f>
        <v/>
      </c>
    </row>
    <row r="110" ht="15" customHeight="1">
      <c r="A110" t="inlineStr">
        <is>
          <t>A 24535-2023</t>
        </is>
      </c>
      <c r="B110" s="1" t="n">
        <v>45082</v>
      </c>
      <c r="C110" s="1" t="n">
        <v>46123</v>
      </c>
      <c r="D110" t="inlineStr">
        <is>
          <t>STOCKHOLMS LÄN</t>
        </is>
      </c>
      <c r="E110" t="inlineStr">
        <is>
          <t>NORRTÄLJE</t>
        </is>
      </c>
      <c r="F110" t="inlineStr">
        <is>
          <t>Kommuner</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HYPERLINK("https://klasma.github.io/Logging_0188/artfynd/A 24535-2023 artfynd.xlsx", "A 24535-2023")</f>
        <v/>
      </c>
      <c r="T110">
        <f>HYPERLINK("https://klasma.github.io/Logging_0188/kartor/A 24535-2023 karta.png", "A 24535-2023")</f>
        <v/>
      </c>
      <c r="V110">
        <f>HYPERLINK("https://klasma.github.io/Logging_0188/klagomål/A 24535-2023 FSC-klagomål.docx", "A 24535-2023")</f>
        <v/>
      </c>
      <c r="W110">
        <f>HYPERLINK("https://klasma.github.io/Logging_0188/klagomålsmail/A 24535-2023 FSC-klagomål mail.docx", "A 24535-2023")</f>
        <v/>
      </c>
      <c r="X110">
        <f>HYPERLINK("https://klasma.github.io/Logging_0188/tillsyn/A 24535-2023 tillsynsbegäran.docx", "A 24535-2023")</f>
        <v/>
      </c>
      <c r="Y110">
        <f>HYPERLINK("https://klasma.github.io/Logging_0188/tillsynsmail/A 24535-2023 tillsynsbegäran mail.docx", "A 24535-2023")</f>
        <v/>
      </c>
    </row>
    <row r="111" ht="15" customHeight="1">
      <c r="A111" t="inlineStr">
        <is>
          <t>A 24330-2023</t>
        </is>
      </c>
      <c r="B111" s="1" t="n">
        <v>45081</v>
      </c>
      <c r="C111" s="1" t="n">
        <v>46123</v>
      </c>
      <c r="D111" t="inlineStr">
        <is>
          <t>STOCKHOLMS LÄN</t>
        </is>
      </c>
      <c r="E111" t="inlineStr">
        <is>
          <t>NORRTÄLJE</t>
        </is>
      </c>
      <c r="G111" t="n">
        <v>5</v>
      </c>
      <c r="H111" t="n">
        <v>1</v>
      </c>
      <c r="I111" t="n">
        <v>0</v>
      </c>
      <c r="J111" t="n">
        <v>1</v>
      </c>
      <c r="K111" t="n">
        <v>0</v>
      </c>
      <c r="L111" t="n">
        <v>0</v>
      </c>
      <c r="M111" t="n">
        <v>0</v>
      </c>
      <c r="N111" t="n">
        <v>0</v>
      </c>
      <c r="O111" t="n">
        <v>1</v>
      </c>
      <c r="P111" t="n">
        <v>0</v>
      </c>
      <c r="Q111" t="n">
        <v>1</v>
      </c>
      <c r="R111" s="2" t="inlineStr">
        <is>
          <t>Mindre hackspett</t>
        </is>
      </c>
      <c r="S111">
        <f>HYPERLINK("https://klasma.github.io/Logging_0188/artfynd/A 24330-2023 artfynd.xlsx", "A 24330-2023")</f>
        <v/>
      </c>
      <c r="T111">
        <f>HYPERLINK("https://klasma.github.io/Logging_0188/kartor/A 24330-2023 karta.png", "A 24330-2023")</f>
        <v/>
      </c>
      <c r="V111">
        <f>HYPERLINK("https://klasma.github.io/Logging_0188/klagomål/A 24330-2023 FSC-klagomål.docx", "A 24330-2023")</f>
        <v/>
      </c>
      <c r="W111">
        <f>HYPERLINK("https://klasma.github.io/Logging_0188/klagomålsmail/A 24330-2023 FSC-klagomål mail.docx", "A 24330-2023")</f>
        <v/>
      </c>
      <c r="X111">
        <f>HYPERLINK("https://klasma.github.io/Logging_0188/tillsyn/A 24330-2023 tillsynsbegäran.docx", "A 24330-2023")</f>
        <v/>
      </c>
      <c r="Y111">
        <f>HYPERLINK("https://klasma.github.io/Logging_0188/tillsynsmail/A 24330-2023 tillsynsbegäran mail.docx", "A 24330-2023")</f>
        <v/>
      </c>
      <c r="Z111">
        <f>HYPERLINK("https://klasma.github.io/Logging_0188/fåglar/A 24330-2023 prioriterade fågelarter.docx", "A 24330-2023")</f>
        <v/>
      </c>
    </row>
    <row r="112" ht="15" customHeight="1">
      <c r="A112" t="inlineStr">
        <is>
          <t>A 21744-2023</t>
        </is>
      </c>
      <c r="B112" s="1" t="n">
        <v>45065</v>
      </c>
      <c r="C112" s="1" t="n">
        <v>46123</v>
      </c>
      <c r="D112" t="inlineStr">
        <is>
          <t>STOCKHOLMS LÄN</t>
        </is>
      </c>
      <c r="E112" t="inlineStr">
        <is>
          <t>NORRTÄLJE</t>
        </is>
      </c>
      <c r="F112" t="inlineStr">
        <is>
          <t>Holmen skog AB</t>
        </is>
      </c>
      <c r="G112" t="n">
        <v>4.2</v>
      </c>
      <c r="H112" t="n">
        <v>0</v>
      </c>
      <c r="I112" t="n">
        <v>1</v>
      </c>
      <c r="J112" t="n">
        <v>0</v>
      </c>
      <c r="K112" t="n">
        <v>0</v>
      </c>
      <c r="L112" t="n">
        <v>0</v>
      </c>
      <c r="M112" t="n">
        <v>0</v>
      </c>
      <c r="N112" t="n">
        <v>0</v>
      </c>
      <c r="O112" t="n">
        <v>0</v>
      </c>
      <c r="P112" t="n">
        <v>0</v>
      </c>
      <c r="Q112" t="n">
        <v>1</v>
      </c>
      <c r="R112" s="2" t="inlineStr">
        <is>
          <t>Korallblylav</t>
        </is>
      </c>
      <c r="S112">
        <f>HYPERLINK("https://klasma.github.io/Logging_0188/artfynd/A 21744-2023 artfynd.xlsx", "A 21744-2023")</f>
        <v/>
      </c>
      <c r="T112">
        <f>HYPERLINK("https://klasma.github.io/Logging_0188/kartor/A 21744-2023 karta.png", "A 21744-2023")</f>
        <v/>
      </c>
      <c r="V112">
        <f>HYPERLINK("https://klasma.github.io/Logging_0188/klagomål/A 21744-2023 FSC-klagomål.docx", "A 21744-2023")</f>
        <v/>
      </c>
      <c r="W112">
        <f>HYPERLINK("https://klasma.github.io/Logging_0188/klagomålsmail/A 21744-2023 FSC-klagomål mail.docx", "A 21744-2023")</f>
        <v/>
      </c>
      <c r="X112">
        <f>HYPERLINK("https://klasma.github.io/Logging_0188/tillsyn/A 21744-2023 tillsynsbegäran.docx", "A 21744-2023")</f>
        <v/>
      </c>
      <c r="Y112">
        <f>HYPERLINK("https://klasma.github.io/Logging_0188/tillsynsmail/A 21744-2023 tillsynsbegäran mail.docx", "A 21744-2023")</f>
        <v/>
      </c>
    </row>
    <row r="113" ht="15" customHeight="1">
      <c r="A113" t="inlineStr">
        <is>
          <t>A 23905-2025</t>
        </is>
      </c>
      <c r="B113" s="1" t="n">
        <v>45794.63298611111</v>
      </c>
      <c r="C113" s="1" t="n">
        <v>46123</v>
      </c>
      <c r="D113" t="inlineStr">
        <is>
          <t>STOCKHOLMS LÄN</t>
        </is>
      </c>
      <c r="E113" t="inlineStr">
        <is>
          <t>NORRTÄLJE</t>
        </is>
      </c>
      <c r="G113" t="n">
        <v>8.4</v>
      </c>
      <c r="H113" t="n">
        <v>1</v>
      </c>
      <c r="I113" t="n">
        <v>0</v>
      </c>
      <c r="J113" t="n">
        <v>0</v>
      </c>
      <c r="K113" t="n">
        <v>0</v>
      </c>
      <c r="L113" t="n">
        <v>0</v>
      </c>
      <c r="M113" t="n">
        <v>0</v>
      </c>
      <c r="N113" t="n">
        <v>0</v>
      </c>
      <c r="O113" t="n">
        <v>0</v>
      </c>
      <c r="P113" t="n">
        <v>0</v>
      </c>
      <c r="Q113" t="n">
        <v>1</v>
      </c>
      <c r="R113" s="2" t="inlineStr">
        <is>
          <t>Blåsippa</t>
        </is>
      </c>
      <c r="S113">
        <f>HYPERLINK("https://klasma.github.io/Logging_0188/artfynd/A 23905-2025 artfynd.xlsx", "A 23905-2025")</f>
        <v/>
      </c>
      <c r="T113">
        <f>HYPERLINK("https://klasma.github.io/Logging_0188/kartor/A 23905-2025 karta.png", "A 23905-2025")</f>
        <v/>
      </c>
      <c r="V113">
        <f>HYPERLINK("https://klasma.github.io/Logging_0188/klagomål/A 23905-2025 FSC-klagomål.docx", "A 23905-2025")</f>
        <v/>
      </c>
      <c r="W113">
        <f>HYPERLINK("https://klasma.github.io/Logging_0188/klagomålsmail/A 23905-2025 FSC-klagomål mail.docx", "A 23905-2025")</f>
        <v/>
      </c>
      <c r="X113">
        <f>HYPERLINK("https://klasma.github.io/Logging_0188/tillsyn/A 23905-2025 tillsynsbegäran.docx", "A 23905-2025")</f>
        <v/>
      </c>
      <c r="Y113">
        <f>HYPERLINK("https://klasma.github.io/Logging_0188/tillsynsmail/A 23905-2025 tillsynsbegäran mail.docx", "A 23905-2025")</f>
        <v/>
      </c>
    </row>
    <row r="114" ht="15" customHeight="1">
      <c r="A114" t="inlineStr">
        <is>
          <t>A 52611-2024</t>
        </is>
      </c>
      <c r="B114" s="1" t="n">
        <v>45609.83747685186</v>
      </c>
      <c r="C114" s="1" t="n">
        <v>46123</v>
      </c>
      <c r="D114" t="inlineStr">
        <is>
          <t>STOCKHOLMS LÄN</t>
        </is>
      </c>
      <c r="E114" t="inlineStr">
        <is>
          <t>NORRTÄLJE</t>
        </is>
      </c>
      <c r="G114" t="n">
        <v>10.6</v>
      </c>
      <c r="H114" t="n">
        <v>1</v>
      </c>
      <c r="I114" t="n">
        <v>0</v>
      </c>
      <c r="J114" t="n">
        <v>0</v>
      </c>
      <c r="K114" t="n">
        <v>0</v>
      </c>
      <c r="L114" t="n">
        <v>0</v>
      </c>
      <c r="M114" t="n">
        <v>0</v>
      </c>
      <c r="N114" t="n">
        <v>0</v>
      </c>
      <c r="O114" t="n">
        <v>0</v>
      </c>
      <c r="P114" t="n">
        <v>0</v>
      </c>
      <c r="Q114" t="n">
        <v>1</v>
      </c>
      <c r="R114" s="2" t="inlineStr">
        <is>
          <t>Blåsippa</t>
        </is>
      </c>
      <c r="S114">
        <f>HYPERLINK("https://klasma.github.io/Logging_0188/artfynd/A 52611-2024 artfynd.xlsx", "A 52611-2024")</f>
        <v/>
      </c>
      <c r="T114">
        <f>HYPERLINK("https://klasma.github.io/Logging_0188/kartor/A 52611-2024 karta.png", "A 52611-2024")</f>
        <v/>
      </c>
      <c r="V114">
        <f>HYPERLINK("https://klasma.github.io/Logging_0188/klagomål/A 52611-2024 FSC-klagomål.docx", "A 52611-2024")</f>
        <v/>
      </c>
      <c r="W114">
        <f>HYPERLINK("https://klasma.github.io/Logging_0188/klagomålsmail/A 52611-2024 FSC-klagomål mail.docx", "A 52611-2024")</f>
        <v/>
      </c>
      <c r="X114">
        <f>HYPERLINK("https://klasma.github.io/Logging_0188/tillsyn/A 52611-2024 tillsynsbegäran.docx", "A 52611-2024")</f>
        <v/>
      </c>
      <c r="Y114">
        <f>HYPERLINK("https://klasma.github.io/Logging_0188/tillsynsmail/A 52611-2024 tillsynsbegäran mail.docx", "A 52611-2024")</f>
        <v/>
      </c>
    </row>
    <row r="115" ht="15" customHeight="1">
      <c r="A115" t="inlineStr">
        <is>
          <t>A 25669-2025</t>
        </is>
      </c>
      <c r="B115" s="1" t="n">
        <v>45803.62766203703</v>
      </c>
      <c r="C115" s="1" t="n">
        <v>46123</v>
      </c>
      <c r="D115" t="inlineStr">
        <is>
          <t>STOCKHOLMS LÄN</t>
        </is>
      </c>
      <c r="E115" t="inlineStr">
        <is>
          <t>NORRTÄLJE</t>
        </is>
      </c>
      <c r="F115" t="inlineStr">
        <is>
          <t>Holmen skog AB</t>
        </is>
      </c>
      <c r="G115" t="n">
        <v>3.1</v>
      </c>
      <c r="H115" t="n">
        <v>1</v>
      </c>
      <c r="I115" t="n">
        <v>0</v>
      </c>
      <c r="J115" t="n">
        <v>0</v>
      </c>
      <c r="K115" t="n">
        <v>0</v>
      </c>
      <c r="L115" t="n">
        <v>0</v>
      </c>
      <c r="M115" t="n">
        <v>0</v>
      </c>
      <c r="N115" t="n">
        <v>0</v>
      </c>
      <c r="O115" t="n">
        <v>0</v>
      </c>
      <c r="P115" t="n">
        <v>0</v>
      </c>
      <c r="Q115" t="n">
        <v>1</v>
      </c>
      <c r="R115" s="2" t="inlineStr">
        <is>
          <t>Tjäder</t>
        </is>
      </c>
      <c r="S115">
        <f>HYPERLINK("https://klasma.github.io/Logging_0188/artfynd/A 25669-2025 artfynd.xlsx", "A 25669-2025")</f>
        <v/>
      </c>
      <c r="T115">
        <f>HYPERLINK("https://klasma.github.io/Logging_0188/kartor/A 25669-2025 karta.png", "A 25669-2025")</f>
        <v/>
      </c>
      <c r="V115">
        <f>HYPERLINK("https://klasma.github.io/Logging_0188/klagomål/A 25669-2025 FSC-klagomål.docx", "A 25669-2025")</f>
        <v/>
      </c>
      <c r="W115">
        <f>HYPERLINK("https://klasma.github.io/Logging_0188/klagomålsmail/A 25669-2025 FSC-klagomål mail.docx", "A 25669-2025")</f>
        <v/>
      </c>
      <c r="X115">
        <f>HYPERLINK("https://klasma.github.io/Logging_0188/tillsyn/A 25669-2025 tillsynsbegäran.docx", "A 25669-2025")</f>
        <v/>
      </c>
      <c r="Y115">
        <f>HYPERLINK("https://klasma.github.io/Logging_0188/tillsynsmail/A 25669-2025 tillsynsbegäran mail.docx", "A 25669-2025")</f>
        <v/>
      </c>
      <c r="Z115">
        <f>HYPERLINK("https://klasma.github.io/Logging_0188/fåglar/A 25669-2025 prioriterade fågelarter.docx", "A 25669-2025")</f>
        <v/>
      </c>
    </row>
    <row r="116" ht="15" customHeight="1">
      <c r="A116" t="inlineStr">
        <is>
          <t>A 35764-2024</t>
        </is>
      </c>
      <c r="B116" s="1" t="n">
        <v>45532</v>
      </c>
      <c r="C116" s="1" t="n">
        <v>46123</v>
      </c>
      <c r="D116" t="inlineStr">
        <is>
          <t>STOCKHOLMS LÄN</t>
        </is>
      </c>
      <c r="E116" t="inlineStr">
        <is>
          <t>NORRTÄLJE</t>
        </is>
      </c>
      <c r="G116" t="n">
        <v>14.2</v>
      </c>
      <c r="H116" t="n">
        <v>1</v>
      </c>
      <c r="I116" t="n">
        <v>0</v>
      </c>
      <c r="J116" t="n">
        <v>0</v>
      </c>
      <c r="K116" t="n">
        <v>1</v>
      </c>
      <c r="L116" t="n">
        <v>0</v>
      </c>
      <c r="M116" t="n">
        <v>0</v>
      </c>
      <c r="N116" t="n">
        <v>0</v>
      </c>
      <c r="O116" t="n">
        <v>1</v>
      </c>
      <c r="P116" t="n">
        <v>1</v>
      </c>
      <c r="Q116" t="n">
        <v>1</v>
      </c>
      <c r="R116" s="2" t="inlineStr">
        <is>
          <t>Knärot</t>
        </is>
      </c>
      <c r="S116">
        <f>HYPERLINK("https://klasma.github.io/Logging_0188/artfynd/A 35764-2024 artfynd.xlsx", "A 35764-2024")</f>
        <v/>
      </c>
      <c r="T116">
        <f>HYPERLINK("https://klasma.github.io/Logging_0188/kartor/A 35764-2024 karta.png", "A 35764-2024")</f>
        <v/>
      </c>
      <c r="U116">
        <f>HYPERLINK("https://klasma.github.io/Logging_0188/knärot/A 35764-2024 karta knärot.png", "A 35764-2024")</f>
        <v/>
      </c>
      <c r="V116">
        <f>HYPERLINK("https://klasma.github.io/Logging_0188/klagomål/A 35764-2024 FSC-klagomål.docx", "A 35764-2024")</f>
        <v/>
      </c>
      <c r="W116">
        <f>HYPERLINK("https://klasma.github.io/Logging_0188/klagomålsmail/A 35764-2024 FSC-klagomål mail.docx", "A 35764-2024")</f>
        <v/>
      </c>
      <c r="X116">
        <f>HYPERLINK("https://klasma.github.io/Logging_0188/tillsyn/A 35764-2024 tillsynsbegäran.docx", "A 35764-2024")</f>
        <v/>
      </c>
      <c r="Y116">
        <f>HYPERLINK("https://klasma.github.io/Logging_0188/tillsynsmail/A 35764-2024 tillsynsbegäran mail.docx", "A 35764-2024")</f>
        <v/>
      </c>
    </row>
    <row r="117" ht="15" customHeight="1">
      <c r="A117" t="inlineStr">
        <is>
          <t>A 25725-2025</t>
        </is>
      </c>
      <c r="B117" s="1" t="n">
        <v>45800</v>
      </c>
      <c r="C117" s="1" t="n">
        <v>46123</v>
      </c>
      <c r="D117" t="inlineStr">
        <is>
          <t>STOCKHOLMS LÄN</t>
        </is>
      </c>
      <c r="E117" t="inlineStr">
        <is>
          <t>NORRTÄLJE</t>
        </is>
      </c>
      <c r="G117" t="n">
        <v>5.2</v>
      </c>
      <c r="H117" t="n">
        <v>0</v>
      </c>
      <c r="I117" t="n">
        <v>0</v>
      </c>
      <c r="J117" t="n">
        <v>1</v>
      </c>
      <c r="K117" t="n">
        <v>0</v>
      </c>
      <c r="L117" t="n">
        <v>0</v>
      </c>
      <c r="M117" t="n">
        <v>0</v>
      </c>
      <c r="N117" t="n">
        <v>0</v>
      </c>
      <c r="O117" t="n">
        <v>1</v>
      </c>
      <c r="P117" t="n">
        <v>0</v>
      </c>
      <c r="Q117" t="n">
        <v>1</v>
      </c>
      <c r="R117" s="2" t="inlineStr">
        <is>
          <t>Tallticka</t>
        </is>
      </c>
      <c r="S117">
        <f>HYPERLINK("https://klasma.github.io/Logging_0188/artfynd/A 25725-2025 artfynd.xlsx", "A 25725-2025")</f>
        <v/>
      </c>
      <c r="T117">
        <f>HYPERLINK("https://klasma.github.io/Logging_0188/kartor/A 25725-2025 karta.png", "A 25725-2025")</f>
        <v/>
      </c>
      <c r="V117">
        <f>HYPERLINK("https://klasma.github.io/Logging_0188/klagomål/A 25725-2025 FSC-klagomål.docx", "A 25725-2025")</f>
        <v/>
      </c>
      <c r="W117">
        <f>HYPERLINK("https://klasma.github.io/Logging_0188/klagomålsmail/A 25725-2025 FSC-klagomål mail.docx", "A 25725-2025")</f>
        <v/>
      </c>
      <c r="X117">
        <f>HYPERLINK("https://klasma.github.io/Logging_0188/tillsyn/A 25725-2025 tillsynsbegäran.docx", "A 25725-2025")</f>
        <v/>
      </c>
      <c r="Y117">
        <f>HYPERLINK("https://klasma.github.io/Logging_0188/tillsynsmail/A 25725-2025 tillsynsbegäran mail.docx", "A 25725-2025")</f>
        <v/>
      </c>
    </row>
    <row r="118" ht="15" customHeight="1">
      <c r="A118" t="inlineStr">
        <is>
          <t>A 25709-2025</t>
        </is>
      </c>
      <c r="B118" s="1" t="n">
        <v>45800</v>
      </c>
      <c r="C118" s="1" t="n">
        <v>46123</v>
      </c>
      <c r="D118" t="inlineStr">
        <is>
          <t>STOCKHOLMS LÄN</t>
        </is>
      </c>
      <c r="E118" t="inlineStr">
        <is>
          <t>NORRTÄLJE</t>
        </is>
      </c>
      <c r="G118" t="n">
        <v>4.6</v>
      </c>
      <c r="H118" t="n">
        <v>0</v>
      </c>
      <c r="I118" t="n">
        <v>0</v>
      </c>
      <c r="J118" t="n">
        <v>1</v>
      </c>
      <c r="K118" t="n">
        <v>0</v>
      </c>
      <c r="L118" t="n">
        <v>0</v>
      </c>
      <c r="M118" t="n">
        <v>0</v>
      </c>
      <c r="N118" t="n">
        <v>0</v>
      </c>
      <c r="O118" t="n">
        <v>1</v>
      </c>
      <c r="P118" t="n">
        <v>0</v>
      </c>
      <c r="Q118" t="n">
        <v>1</v>
      </c>
      <c r="R118" s="2" t="inlineStr">
        <is>
          <t>Ullticka</t>
        </is>
      </c>
      <c r="S118">
        <f>HYPERLINK("https://klasma.github.io/Logging_0188/artfynd/A 25709-2025 artfynd.xlsx", "A 25709-2025")</f>
        <v/>
      </c>
      <c r="T118">
        <f>HYPERLINK("https://klasma.github.io/Logging_0188/kartor/A 25709-2025 karta.png", "A 25709-2025")</f>
        <v/>
      </c>
      <c r="V118">
        <f>HYPERLINK("https://klasma.github.io/Logging_0188/klagomål/A 25709-2025 FSC-klagomål.docx", "A 25709-2025")</f>
        <v/>
      </c>
      <c r="W118">
        <f>HYPERLINK("https://klasma.github.io/Logging_0188/klagomålsmail/A 25709-2025 FSC-klagomål mail.docx", "A 25709-2025")</f>
        <v/>
      </c>
      <c r="X118">
        <f>HYPERLINK("https://klasma.github.io/Logging_0188/tillsyn/A 25709-2025 tillsynsbegäran.docx", "A 25709-2025")</f>
        <v/>
      </c>
      <c r="Y118">
        <f>HYPERLINK("https://klasma.github.io/Logging_0188/tillsynsmail/A 25709-2025 tillsynsbegäran mail.docx", "A 25709-2025")</f>
        <v/>
      </c>
    </row>
    <row r="119" ht="15" customHeight="1">
      <c r="A119" t="inlineStr">
        <is>
          <t>A 52775-2025</t>
        </is>
      </c>
      <c r="B119" s="1" t="n">
        <v>45957.41608796296</v>
      </c>
      <c r="C119" s="1" t="n">
        <v>46123</v>
      </c>
      <c r="D119" t="inlineStr">
        <is>
          <t>STOCKHOLMS LÄN</t>
        </is>
      </c>
      <c r="E119" t="inlineStr">
        <is>
          <t>NORRTÄLJE</t>
        </is>
      </c>
      <c r="F119" t="inlineStr">
        <is>
          <t>Sveaskog</t>
        </is>
      </c>
      <c r="G119" t="n">
        <v>5.6</v>
      </c>
      <c r="H119" t="n">
        <v>0</v>
      </c>
      <c r="I119" t="n">
        <v>0</v>
      </c>
      <c r="J119" t="n">
        <v>1</v>
      </c>
      <c r="K119" t="n">
        <v>0</v>
      </c>
      <c r="L119" t="n">
        <v>0</v>
      </c>
      <c r="M119" t="n">
        <v>0</v>
      </c>
      <c r="N119" t="n">
        <v>0</v>
      </c>
      <c r="O119" t="n">
        <v>1</v>
      </c>
      <c r="P119" t="n">
        <v>0</v>
      </c>
      <c r="Q119" t="n">
        <v>1</v>
      </c>
      <c r="R119" s="2" t="inlineStr">
        <is>
          <t>Vedtrappmossa</t>
        </is>
      </c>
      <c r="S119">
        <f>HYPERLINK("https://klasma.github.io/Logging_0188/artfynd/A 52775-2025 artfynd.xlsx", "A 52775-2025")</f>
        <v/>
      </c>
      <c r="T119">
        <f>HYPERLINK("https://klasma.github.io/Logging_0188/kartor/A 52775-2025 karta.png", "A 52775-2025")</f>
        <v/>
      </c>
      <c r="V119">
        <f>HYPERLINK("https://klasma.github.io/Logging_0188/klagomål/A 52775-2025 FSC-klagomål.docx", "A 52775-2025")</f>
        <v/>
      </c>
      <c r="W119">
        <f>HYPERLINK("https://klasma.github.io/Logging_0188/klagomålsmail/A 52775-2025 FSC-klagomål mail.docx", "A 52775-2025")</f>
        <v/>
      </c>
      <c r="X119">
        <f>HYPERLINK("https://klasma.github.io/Logging_0188/tillsyn/A 52775-2025 tillsynsbegäran.docx", "A 52775-2025")</f>
        <v/>
      </c>
      <c r="Y119">
        <f>HYPERLINK("https://klasma.github.io/Logging_0188/tillsynsmail/A 52775-2025 tillsynsbegäran mail.docx", "A 52775-2025")</f>
        <v/>
      </c>
    </row>
    <row r="120" ht="15" customHeight="1">
      <c r="A120" t="inlineStr">
        <is>
          <t>A 35649-2023</t>
        </is>
      </c>
      <c r="B120" s="1" t="n">
        <v>45146</v>
      </c>
      <c r="C120" s="1" t="n">
        <v>46123</v>
      </c>
      <c r="D120" t="inlineStr">
        <is>
          <t>STOCKHOLMS LÄN</t>
        </is>
      </c>
      <c r="E120" t="inlineStr">
        <is>
          <t>NORRTÄLJE</t>
        </is>
      </c>
      <c r="G120" t="n">
        <v>25.1</v>
      </c>
      <c r="H120" t="n">
        <v>0</v>
      </c>
      <c r="I120" t="n">
        <v>0</v>
      </c>
      <c r="J120" t="n">
        <v>1</v>
      </c>
      <c r="K120" t="n">
        <v>0</v>
      </c>
      <c r="L120" t="n">
        <v>0</v>
      </c>
      <c r="M120" t="n">
        <v>0</v>
      </c>
      <c r="N120" t="n">
        <v>0</v>
      </c>
      <c r="O120" t="n">
        <v>1</v>
      </c>
      <c r="P120" t="n">
        <v>0</v>
      </c>
      <c r="Q120" t="n">
        <v>1</v>
      </c>
      <c r="R120" s="2" t="inlineStr">
        <is>
          <t>Månlåsbräken</t>
        </is>
      </c>
      <c r="S120">
        <f>HYPERLINK("https://klasma.github.io/Logging_0188/artfynd/A 35649-2023 artfynd.xlsx", "A 35649-2023")</f>
        <v/>
      </c>
      <c r="T120">
        <f>HYPERLINK("https://klasma.github.io/Logging_0188/kartor/A 35649-2023 karta.png", "A 35649-2023")</f>
        <v/>
      </c>
      <c r="V120">
        <f>HYPERLINK("https://klasma.github.io/Logging_0188/klagomål/A 35649-2023 FSC-klagomål.docx", "A 35649-2023")</f>
        <v/>
      </c>
      <c r="W120">
        <f>HYPERLINK("https://klasma.github.io/Logging_0188/klagomålsmail/A 35649-2023 FSC-klagomål mail.docx", "A 35649-2023")</f>
        <v/>
      </c>
      <c r="X120">
        <f>HYPERLINK("https://klasma.github.io/Logging_0188/tillsyn/A 35649-2023 tillsynsbegäran.docx", "A 35649-2023")</f>
        <v/>
      </c>
      <c r="Y120">
        <f>HYPERLINK("https://klasma.github.io/Logging_0188/tillsynsmail/A 35649-2023 tillsynsbegäran mail.docx", "A 35649-2023")</f>
        <v/>
      </c>
    </row>
    <row r="121" ht="15" customHeight="1">
      <c r="A121" t="inlineStr">
        <is>
          <t>A 53716-2025</t>
        </is>
      </c>
      <c r="B121" s="1" t="n">
        <v>45960.61782407408</v>
      </c>
      <c r="C121" s="1" t="n">
        <v>46123</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16870-2025</t>
        </is>
      </c>
      <c r="B122" s="1" t="n">
        <v>45754</v>
      </c>
      <c r="C122" s="1" t="n">
        <v>46123</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6381-2023</t>
        </is>
      </c>
      <c r="B123" s="1" t="n">
        <v>44965</v>
      </c>
      <c r="C123" s="1" t="n">
        <v>46123</v>
      </c>
      <c r="D123" t="inlineStr">
        <is>
          <t>STOCKHOLMS LÄN</t>
        </is>
      </c>
      <c r="E123" t="inlineStr">
        <is>
          <t>NORRTÄLJE</t>
        </is>
      </c>
      <c r="G123" t="n">
        <v>3.5</v>
      </c>
      <c r="H123" t="n">
        <v>1</v>
      </c>
      <c r="I123" t="n">
        <v>1</v>
      </c>
      <c r="J123" t="n">
        <v>0</v>
      </c>
      <c r="K123" t="n">
        <v>0</v>
      </c>
      <c r="L123" t="n">
        <v>0</v>
      </c>
      <c r="M123" t="n">
        <v>0</v>
      </c>
      <c r="N123" t="n">
        <v>0</v>
      </c>
      <c r="O123" t="n">
        <v>0</v>
      </c>
      <c r="P123" t="n">
        <v>0</v>
      </c>
      <c r="Q123" t="n">
        <v>1</v>
      </c>
      <c r="R123" s="2" t="inlineStr">
        <is>
          <t>Guckusko</t>
        </is>
      </c>
      <c r="S123">
        <f>HYPERLINK("https://klasma.github.io/Logging_0188/artfynd/A 6381-2023 artfynd.xlsx", "A 6381-2023")</f>
        <v/>
      </c>
      <c r="T123">
        <f>HYPERLINK("https://klasma.github.io/Logging_0188/kartor/A 6381-2023 karta.png", "A 6381-2023")</f>
        <v/>
      </c>
      <c r="V123">
        <f>HYPERLINK("https://klasma.github.io/Logging_0188/klagomål/A 6381-2023 FSC-klagomål.docx", "A 6381-2023")</f>
        <v/>
      </c>
      <c r="W123">
        <f>HYPERLINK("https://klasma.github.io/Logging_0188/klagomålsmail/A 6381-2023 FSC-klagomål mail.docx", "A 6381-2023")</f>
        <v/>
      </c>
      <c r="X123">
        <f>HYPERLINK("https://klasma.github.io/Logging_0188/tillsyn/A 6381-2023 tillsynsbegäran.docx", "A 6381-2023")</f>
        <v/>
      </c>
      <c r="Y123">
        <f>HYPERLINK("https://klasma.github.io/Logging_0188/tillsynsmail/A 6381-2023 tillsynsbegäran mail.docx", "A 6381-2023")</f>
        <v/>
      </c>
    </row>
    <row r="124" ht="15" customHeight="1">
      <c r="A124" t="inlineStr">
        <is>
          <t>A 29946-2025</t>
        </is>
      </c>
      <c r="B124" s="1" t="n">
        <v>45826.46392361111</v>
      </c>
      <c r="C124" s="1" t="n">
        <v>46123</v>
      </c>
      <c r="D124" t="inlineStr">
        <is>
          <t>STOCKHOLMS LÄN</t>
        </is>
      </c>
      <c r="E124" t="inlineStr">
        <is>
          <t>NORRTÄLJE</t>
        </is>
      </c>
      <c r="F124" t="inlineStr">
        <is>
          <t>Holmen skog AB</t>
        </is>
      </c>
      <c r="G124" t="n">
        <v>3.6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29946-2025 artfynd.xlsx", "A 29946-2025")</f>
        <v/>
      </c>
      <c r="T124">
        <f>HYPERLINK("https://klasma.github.io/Logging_0188/kartor/A 29946-2025 karta.png", "A 29946-2025")</f>
        <v/>
      </c>
      <c r="V124">
        <f>HYPERLINK("https://klasma.github.io/Logging_0188/klagomål/A 29946-2025 FSC-klagomål.docx", "A 29946-2025")</f>
        <v/>
      </c>
      <c r="W124">
        <f>HYPERLINK("https://klasma.github.io/Logging_0188/klagomålsmail/A 29946-2025 FSC-klagomål mail.docx", "A 29946-2025")</f>
        <v/>
      </c>
      <c r="X124">
        <f>HYPERLINK("https://klasma.github.io/Logging_0188/tillsyn/A 29946-2025 tillsynsbegäran.docx", "A 29946-2025")</f>
        <v/>
      </c>
      <c r="Y124">
        <f>HYPERLINK("https://klasma.github.io/Logging_0188/tillsynsmail/A 29946-2025 tillsynsbegäran mail.docx", "A 29946-2025")</f>
        <v/>
      </c>
    </row>
    <row r="125" ht="15" customHeight="1">
      <c r="A125" t="inlineStr">
        <is>
          <t>A 26635-2023</t>
        </is>
      </c>
      <c r="B125" s="1" t="n">
        <v>45092</v>
      </c>
      <c r="C125" s="1" t="n">
        <v>46123</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59682-2025</t>
        </is>
      </c>
      <c r="B126" s="1" t="n">
        <v>45992.47116898148</v>
      </c>
      <c r="C126" s="1" t="n">
        <v>46123</v>
      </c>
      <c r="D126" t="inlineStr">
        <is>
          <t>STOCKHOLMS LÄN</t>
        </is>
      </c>
      <c r="E126" t="inlineStr">
        <is>
          <t>NORRTÄLJE</t>
        </is>
      </c>
      <c r="G126" t="n">
        <v>1.6</v>
      </c>
      <c r="H126" t="n">
        <v>0</v>
      </c>
      <c r="I126" t="n">
        <v>1</v>
      </c>
      <c r="J126" t="n">
        <v>0</v>
      </c>
      <c r="K126" t="n">
        <v>0</v>
      </c>
      <c r="L126" t="n">
        <v>0</v>
      </c>
      <c r="M126" t="n">
        <v>0</v>
      </c>
      <c r="N126" t="n">
        <v>0</v>
      </c>
      <c r="O126" t="n">
        <v>0</v>
      </c>
      <c r="P126" t="n">
        <v>0</v>
      </c>
      <c r="Q126" t="n">
        <v>1</v>
      </c>
      <c r="R126" s="2" t="inlineStr">
        <is>
          <t>Grönpyrola</t>
        </is>
      </c>
      <c r="S126">
        <f>HYPERLINK("https://klasma.github.io/Logging_0188/artfynd/A 59682-2025 artfynd.xlsx", "A 59682-2025")</f>
        <v/>
      </c>
      <c r="T126">
        <f>HYPERLINK("https://klasma.github.io/Logging_0188/kartor/A 59682-2025 karta.png", "A 59682-2025")</f>
        <v/>
      </c>
      <c r="V126">
        <f>HYPERLINK("https://klasma.github.io/Logging_0188/klagomål/A 59682-2025 FSC-klagomål.docx", "A 59682-2025")</f>
        <v/>
      </c>
      <c r="W126">
        <f>HYPERLINK("https://klasma.github.io/Logging_0188/klagomålsmail/A 59682-2025 FSC-klagomål mail.docx", "A 59682-2025")</f>
        <v/>
      </c>
      <c r="X126">
        <f>HYPERLINK("https://klasma.github.io/Logging_0188/tillsyn/A 59682-2025 tillsynsbegäran.docx", "A 59682-2025")</f>
        <v/>
      </c>
      <c r="Y126">
        <f>HYPERLINK("https://klasma.github.io/Logging_0188/tillsynsmail/A 59682-2025 tillsynsbegäran mail.docx", "A 59682-2025")</f>
        <v/>
      </c>
    </row>
    <row r="127" ht="15" customHeight="1">
      <c r="A127" t="inlineStr">
        <is>
          <t>A 33546-2025</t>
        </is>
      </c>
      <c r="B127" s="1" t="n">
        <v>45841.56996527778</v>
      </c>
      <c r="C127" s="1" t="n">
        <v>46123</v>
      </c>
      <c r="D127" t="inlineStr">
        <is>
          <t>STOCKHOLMS LÄN</t>
        </is>
      </c>
      <c r="E127" t="inlineStr">
        <is>
          <t>NORRTÄLJE</t>
        </is>
      </c>
      <c r="G127" t="n">
        <v>7.2</v>
      </c>
      <c r="H127" t="n">
        <v>1</v>
      </c>
      <c r="I127" t="n">
        <v>1</v>
      </c>
      <c r="J127" t="n">
        <v>0</v>
      </c>
      <c r="K127" t="n">
        <v>0</v>
      </c>
      <c r="L127" t="n">
        <v>0</v>
      </c>
      <c r="M127" t="n">
        <v>0</v>
      </c>
      <c r="N127" t="n">
        <v>0</v>
      </c>
      <c r="O127" t="n">
        <v>0</v>
      </c>
      <c r="P127" t="n">
        <v>0</v>
      </c>
      <c r="Q127" t="n">
        <v>1</v>
      </c>
      <c r="R127" s="2" t="inlineStr">
        <is>
          <t>Nästrot</t>
        </is>
      </c>
      <c r="S127">
        <f>HYPERLINK("https://klasma.github.io/Logging_0188/artfynd/A 33546-2025 artfynd.xlsx", "A 33546-2025")</f>
        <v/>
      </c>
      <c r="T127">
        <f>HYPERLINK("https://klasma.github.io/Logging_0188/kartor/A 33546-2025 karta.png", "A 33546-2025")</f>
        <v/>
      </c>
      <c r="V127">
        <f>HYPERLINK("https://klasma.github.io/Logging_0188/klagomål/A 33546-2025 FSC-klagomål.docx", "A 33546-2025")</f>
        <v/>
      </c>
      <c r="W127">
        <f>HYPERLINK("https://klasma.github.io/Logging_0188/klagomålsmail/A 33546-2025 FSC-klagomål mail.docx", "A 33546-2025")</f>
        <v/>
      </c>
      <c r="X127">
        <f>HYPERLINK("https://klasma.github.io/Logging_0188/tillsyn/A 33546-2025 tillsynsbegäran.docx", "A 33546-2025")</f>
        <v/>
      </c>
      <c r="Y127">
        <f>HYPERLINK("https://klasma.github.io/Logging_0188/tillsynsmail/A 33546-2025 tillsynsbegäran mail.docx", "A 33546-2025")</f>
        <v/>
      </c>
    </row>
    <row r="128" ht="15" customHeight="1">
      <c r="A128" t="inlineStr">
        <is>
          <t>A 47898-2022</t>
        </is>
      </c>
      <c r="B128" s="1" t="n">
        <v>44855</v>
      </c>
      <c r="C128" s="1" t="n">
        <v>46123</v>
      </c>
      <c r="D128" t="inlineStr">
        <is>
          <t>STOCKHOLMS LÄN</t>
        </is>
      </c>
      <c r="E128" t="inlineStr">
        <is>
          <t>NORRTÄLJE</t>
        </is>
      </c>
      <c r="G128" t="n">
        <v>6.7</v>
      </c>
      <c r="H128" t="n">
        <v>1</v>
      </c>
      <c r="I128" t="n">
        <v>1</v>
      </c>
      <c r="J128" t="n">
        <v>0</v>
      </c>
      <c r="K128" t="n">
        <v>0</v>
      </c>
      <c r="L128" t="n">
        <v>0</v>
      </c>
      <c r="M128" t="n">
        <v>0</v>
      </c>
      <c r="N128" t="n">
        <v>0</v>
      </c>
      <c r="O128" t="n">
        <v>0</v>
      </c>
      <c r="P128" t="n">
        <v>0</v>
      </c>
      <c r="Q128" t="n">
        <v>1</v>
      </c>
      <c r="R128" s="2" t="inlineStr">
        <is>
          <t>Guckusko</t>
        </is>
      </c>
      <c r="S128">
        <f>HYPERLINK("https://klasma.github.io/Logging_0188/artfynd/A 47898-2022 artfynd.xlsx", "A 47898-2022")</f>
        <v/>
      </c>
      <c r="T128">
        <f>HYPERLINK("https://klasma.github.io/Logging_0188/kartor/A 47898-2022 karta.png", "A 47898-2022")</f>
        <v/>
      </c>
      <c r="V128">
        <f>HYPERLINK("https://klasma.github.io/Logging_0188/klagomål/A 47898-2022 FSC-klagomål.docx", "A 47898-2022")</f>
        <v/>
      </c>
      <c r="W128">
        <f>HYPERLINK("https://klasma.github.io/Logging_0188/klagomålsmail/A 47898-2022 FSC-klagomål mail.docx", "A 47898-2022")</f>
        <v/>
      </c>
      <c r="X128">
        <f>HYPERLINK("https://klasma.github.io/Logging_0188/tillsyn/A 47898-2022 tillsynsbegäran.docx", "A 47898-2022")</f>
        <v/>
      </c>
      <c r="Y128">
        <f>HYPERLINK("https://klasma.github.io/Logging_0188/tillsynsmail/A 47898-2022 tillsynsbegäran mail.docx", "A 47898-2022")</f>
        <v/>
      </c>
    </row>
    <row r="129" ht="15" customHeight="1">
      <c r="A129" t="inlineStr">
        <is>
          <t>A 62715-2025</t>
        </is>
      </c>
      <c r="B129" s="1" t="n">
        <v>46008.52034722222</v>
      </c>
      <c r="C129" s="1" t="n">
        <v>46123</v>
      </c>
      <c r="D129" t="inlineStr">
        <is>
          <t>STOCKHOLMS LÄN</t>
        </is>
      </c>
      <c r="E129" t="inlineStr">
        <is>
          <t>NORRTÄLJE</t>
        </is>
      </c>
      <c r="G129" t="n">
        <v>0.8</v>
      </c>
      <c r="H129" t="n">
        <v>0</v>
      </c>
      <c r="I129" t="n">
        <v>1</v>
      </c>
      <c r="J129" t="n">
        <v>0</v>
      </c>
      <c r="K129" t="n">
        <v>0</v>
      </c>
      <c r="L129" t="n">
        <v>0</v>
      </c>
      <c r="M129" t="n">
        <v>0</v>
      </c>
      <c r="N129" t="n">
        <v>0</v>
      </c>
      <c r="O129" t="n">
        <v>0</v>
      </c>
      <c r="P129" t="n">
        <v>0</v>
      </c>
      <c r="Q129" t="n">
        <v>1</v>
      </c>
      <c r="R129" s="2" t="inlineStr">
        <is>
          <t>Granbarkgnagare</t>
        </is>
      </c>
      <c r="S129">
        <f>HYPERLINK("https://klasma.github.io/Logging_0188/artfynd/A 62715-2025 artfynd.xlsx", "A 62715-2025")</f>
        <v/>
      </c>
      <c r="T129">
        <f>HYPERLINK("https://klasma.github.io/Logging_0188/kartor/A 62715-2025 karta.png", "A 62715-2025")</f>
        <v/>
      </c>
      <c r="V129">
        <f>HYPERLINK("https://klasma.github.io/Logging_0188/klagomål/A 62715-2025 FSC-klagomål.docx", "A 62715-2025")</f>
        <v/>
      </c>
      <c r="W129">
        <f>HYPERLINK("https://klasma.github.io/Logging_0188/klagomålsmail/A 62715-2025 FSC-klagomål mail.docx", "A 62715-2025")</f>
        <v/>
      </c>
      <c r="X129">
        <f>HYPERLINK("https://klasma.github.io/Logging_0188/tillsyn/A 62715-2025 tillsynsbegäran.docx", "A 62715-2025")</f>
        <v/>
      </c>
      <c r="Y129">
        <f>HYPERLINK("https://klasma.github.io/Logging_0188/tillsynsmail/A 62715-2025 tillsynsbegäran mail.docx", "A 62715-2025")</f>
        <v/>
      </c>
    </row>
    <row r="130" ht="15" customHeight="1">
      <c r="A130" t="inlineStr">
        <is>
          <t>A 63292-2025</t>
        </is>
      </c>
      <c r="B130" s="1" t="n">
        <v>46010.59232638889</v>
      </c>
      <c r="C130" s="1" t="n">
        <v>46123</v>
      </c>
      <c r="D130" t="inlineStr">
        <is>
          <t>STOCKHOLMS LÄN</t>
        </is>
      </c>
      <c r="E130" t="inlineStr">
        <is>
          <t>NORRTÄLJE</t>
        </is>
      </c>
      <c r="G130" t="n">
        <v>11.1</v>
      </c>
      <c r="H130" t="n">
        <v>1</v>
      </c>
      <c r="I130" t="n">
        <v>1</v>
      </c>
      <c r="J130" t="n">
        <v>0</v>
      </c>
      <c r="K130" t="n">
        <v>0</v>
      </c>
      <c r="L130" t="n">
        <v>0</v>
      </c>
      <c r="M130" t="n">
        <v>0</v>
      </c>
      <c r="N130" t="n">
        <v>0</v>
      </c>
      <c r="O130" t="n">
        <v>0</v>
      </c>
      <c r="P130" t="n">
        <v>0</v>
      </c>
      <c r="Q130" t="n">
        <v>1</v>
      </c>
      <c r="R130" s="2" t="inlineStr">
        <is>
          <t>Nästrot</t>
        </is>
      </c>
      <c r="S130">
        <f>HYPERLINK("https://klasma.github.io/Logging_0188/artfynd/A 63292-2025 artfynd.xlsx", "A 63292-2025")</f>
        <v/>
      </c>
      <c r="T130">
        <f>HYPERLINK("https://klasma.github.io/Logging_0188/kartor/A 63292-2025 karta.png", "A 63292-2025")</f>
        <v/>
      </c>
      <c r="V130">
        <f>HYPERLINK("https://klasma.github.io/Logging_0188/klagomål/A 63292-2025 FSC-klagomål.docx", "A 63292-2025")</f>
        <v/>
      </c>
      <c r="W130">
        <f>HYPERLINK("https://klasma.github.io/Logging_0188/klagomålsmail/A 63292-2025 FSC-klagomål mail.docx", "A 63292-2025")</f>
        <v/>
      </c>
      <c r="X130">
        <f>HYPERLINK("https://klasma.github.io/Logging_0188/tillsyn/A 63292-2025 tillsynsbegäran.docx", "A 63292-2025")</f>
        <v/>
      </c>
      <c r="Y130">
        <f>HYPERLINK("https://klasma.github.io/Logging_0188/tillsynsmail/A 63292-2025 tillsynsbegäran mail.docx", "A 63292-2025")</f>
        <v/>
      </c>
    </row>
    <row r="131" ht="15" customHeight="1">
      <c r="A131" t="inlineStr">
        <is>
          <t>A 364-2026</t>
        </is>
      </c>
      <c r="B131" s="1" t="n">
        <v>46027.67134259259</v>
      </c>
      <c r="C131" s="1" t="n">
        <v>46123</v>
      </c>
      <c r="D131" t="inlineStr">
        <is>
          <t>STOCKHOLMS LÄN</t>
        </is>
      </c>
      <c r="E131" t="inlineStr">
        <is>
          <t>NORRTÄLJE</t>
        </is>
      </c>
      <c r="F131" t="inlineStr">
        <is>
          <t>Holmen skog AB</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364-2026 artfynd.xlsx", "A 364-2026")</f>
        <v/>
      </c>
      <c r="T131">
        <f>HYPERLINK("https://klasma.github.io/Logging_0188/kartor/A 364-2026 karta.png", "A 364-2026")</f>
        <v/>
      </c>
      <c r="V131">
        <f>HYPERLINK("https://klasma.github.io/Logging_0188/klagomål/A 364-2026 FSC-klagomål.docx", "A 364-2026")</f>
        <v/>
      </c>
      <c r="W131">
        <f>HYPERLINK("https://klasma.github.io/Logging_0188/klagomålsmail/A 364-2026 FSC-klagomål mail.docx", "A 364-2026")</f>
        <v/>
      </c>
      <c r="X131">
        <f>HYPERLINK("https://klasma.github.io/Logging_0188/tillsyn/A 364-2026 tillsynsbegäran.docx", "A 364-2026")</f>
        <v/>
      </c>
      <c r="Y131">
        <f>HYPERLINK("https://klasma.github.io/Logging_0188/tillsynsmail/A 364-2026 tillsynsbegäran mail.docx", "A 364-2026")</f>
        <v/>
      </c>
    </row>
    <row r="132" ht="15" customHeight="1">
      <c r="A132" t="inlineStr">
        <is>
          <t>A 14365-2025</t>
        </is>
      </c>
      <c r="B132" s="1" t="n">
        <v>45741.38688657407</v>
      </c>
      <c r="C132" s="1" t="n">
        <v>46123</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32111-2022</t>
        </is>
      </c>
      <c r="B133" s="1" t="n">
        <v>44778.92797453704</v>
      </c>
      <c r="C133" s="1" t="n">
        <v>46123</v>
      </c>
      <c r="D133" t="inlineStr">
        <is>
          <t>STOCKHOLMS LÄN</t>
        </is>
      </c>
      <c r="E133" t="inlineStr">
        <is>
          <t>NORRTÄLJE</t>
        </is>
      </c>
      <c r="G133" t="n">
        <v>3.1</v>
      </c>
      <c r="H133" t="n">
        <v>0</v>
      </c>
      <c r="I133" t="n">
        <v>0</v>
      </c>
      <c r="J133" t="n">
        <v>1</v>
      </c>
      <c r="K133" t="n">
        <v>0</v>
      </c>
      <c r="L133" t="n">
        <v>0</v>
      </c>
      <c r="M133" t="n">
        <v>0</v>
      </c>
      <c r="N133" t="n">
        <v>0</v>
      </c>
      <c r="O133" t="n">
        <v>1</v>
      </c>
      <c r="P133" t="n">
        <v>0</v>
      </c>
      <c r="Q133" t="n">
        <v>1</v>
      </c>
      <c r="R133" s="2" t="inlineStr">
        <is>
          <t>Orange taggsvamp</t>
        </is>
      </c>
      <c r="S133">
        <f>HYPERLINK("https://klasma.github.io/Logging_0188/artfynd/A 32111-2022 artfynd.xlsx", "A 32111-2022")</f>
        <v/>
      </c>
      <c r="T133">
        <f>HYPERLINK("https://klasma.github.io/Logging_0188/kartor/A 32111-2022 karta.png", "A 32111-2022")</f>
        <v/>
      </c>
      <c r="V133">
        <f>HYPERLINK("https://klasma.github.io/Logging_0188/klagomål/A 32111-2022 FSC-klagomål.docx", "A 32111-2022")</f>
        <v/>
      </c>
      <c r="W133">
        <f>HYPERLINK("https://klasma.github.io/Logging_0188/klagomålsmail/A 32111-2022 FSC-klagomål mail.docx", "A 32111-2022")</f>
        <v/>
      </c>
      <c r="X133">
        <f>HYPERLINK("https://klasma.github.io/Logging_0188/tillsyn/A 32111-2022 tillsynsbegäran.docx", "A 32111-2022")</f>
        <v/>
      </c>
      <c r="Y133">
        <f>HYPERLINK("https://klasma.github.io/Logging_0188/tillsynsmail/A 32111-2022 tillsynsbegäran mail.docx", "A 32111-2022")</f>
        <v/>
      </c>
    </row>
    <row r="134" ht="15" customHeight="1">
      <c r="A134" t="inlineStr">
        <is>
          <t>A 4385-2023</t>
        </is>
      </c>
      <c r="B134" s="1" t="n">
        <v>44955.71322916666</v>
      </c>
      <c r="C134" s="1" t="n">
        <v>46123</v>
      </c>
      <c r="D134" t="inlineStr">
        <is>
          <t>STOCKHOLMS LÄN</t>
        </is>
      </c>
      <c r="E134" t="inlineStr">
        <is>
          <t>NORRTÄLJE</t>
        </is>
      </c>
      <c r="G134" t="n">
        <v>7.8</v>
      </c>
      <c r="H134" t="n">
        <v>1</v>
      </c>
      <c r="I134" t="n">
        <v>1</v>
      </c>
      <c r="J134" t="n">
        <v>0</v>
      </c>
      <c r="K134" t="n">
        <v>0</v>
      </c>
      <c r="L134" t="n">
        <v>0</v>
      </c>
      <c r="M134" t="n">
        <v>0</v>
      </c>
      <c r="N134" t="n">
        <v>0</v>
      </c>
      <c r="O134" t="n">
        <v>0</v>
      </c>
      <c r="P134" t="n">
        <v>0</v>
      </c>
      <c r="Q134" t="n">
        <v>1</v>
      </c>
      <c r="R134" s="2" t="inlineStr">
        <is>
          <t>Skogsknipprot</t>
        </is>
      </c>
      <c r="S134">
        <f>HYPERLINK("https://klasma.github.io/Logging_0188/artfynd/A 4385-2023 artfynd.xlsx", "A 4385-2023")</f>
        <v/>
      </c>
      <c r="T134">
        <f>HYPERLINK("https://klasma.github.io/Logging_0188/kartor/A 4385-2023 karta.png", "A 4385-2023")</f>
        <v/>
      </c>
      <c r="V134">
        <f>HYPERLINK("https://klasma.github.io/Logging_0188/klagomål/A 4385-2023 FSC-klagomål.docx", "A 4385-2023")</f>
        <v/>
      </c>
      <c r="W134">
        <f>HYPERLINK("https://klasma.github.io/Logging_0188/klagomålsmail/A 4385-2023 FSC-klagomål mail.docx", "A 4385-2023")</f>
        <v/>
      </c>
      <c r="X134">
        <f>HYPERLINK("https://klasma.github.io/Logging_0188/tillsyn/A 4385-2023 tillsynsbegäran.docx", "A 4385-2023")</f>
        <v/>
      </c>
      <c r="Y134">
        <f>HYPERLINK("https://klasma.github.io/Logging_0188/tillsynsmail/A 4385-2023 tillsynsbegäran mail.docx", "A 4385-2023")</f>
        <v/>
      </c>
    </row>
    <row r="135" ht="15" customHeight="1">
      <c r="A135" t="inlineStr">
        <is>
          <t>A 4860-2022</t>
        </is>
      </c>
      <c r="B135" s="1" t="n">
        <v>44592</v>
      </c>
      <c r="C135" s="1" t="n">
        <v>46123</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46123</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8371-2025</t>
        </is>
      </c>
      <c r="B137" s="1" t="n">
        <v>45708</v>
      </c>
      <c r="C137" s="1" t="n">
        <v>46123</v>
      </c>
      <c r="D137" t="inlineStr">
        <is>
          <t>STOCKHOLMS LÄN</t>
        </is>
      </c>
      <c r="E137" t="inlineStr">
        <is>
          <t>NORRTÄLJE</t>
        </is>
      </c>
      <c r="F137" t="inlineStr">
        <is>
          <t>Övriga Aktiebolag</t>
        </is>
      </c>
      <c r="G137" t="n">
        <v>2.9</v>
      </c>
      <c r="H137" t="n">
        <v>1</v>
      </c>
      <c r="I137" t="n">
        <v>0</v>
      </c>
      <c r="J137" t="n">
        <v>1</v>
      </c>
      <c r="K137" t="n">
        <v>0</v>
      </c>
      <c r="L137" t="n">
        <v>0</v>
      </c>
      <c r="M137" t="n">
        <v>0</v>
      </c>
      <c r="N137" t="n">
        <v>0</v>
      </c>
      <c r="O137" t="n">
        <v>1</v>
      </c>
      <c r="P137" t="n">
        <v>0</v>
      </c>
      <c r="Q137" t="n">
        <v>1</v>
      </c>
      <c r="R137" s="2" t="inlineStr">
        <is>
          <t>Spillkråka</t>
        </is>
      </c>
      <c r="S137">
        <f>HYPERLINK("https://klasma.github.io/Logging_0188/artfynd/A 8371-2025 artfynd.xlsx", "A 8371-2025")</f>
        <v/>
      </c>
      <c r="T137">
        <f>HYPERLINK("https://klasma.github.io/Logging_0188/kartor/A 8371-2025 karta.png", "A 8371-2025")</f>
        <v/>
      </c>
      <c r="V137">
        <f>HYPERLINK("https://klasma.github.io/Logging_0188/klagomål/A 8371-2025 FSC-klagomål.docx", "A 8371-2025")</f>
        <v/>
      </c>
      <c r="W137">
        <f>HYPERLINK("https://klasma.github.io/Logging_0188/klagomålsmail/A 8371-2025 FSC-klagomål mail.docx", "A 8371-2025")</f>
        <v/>
      </c>
      <c r="X137">
        <f>HYPERLINK("https://klasma.github.io/Logging_0188/tillsyn/A 8371-2025 tillsynsbegäran.docx", "A 8371-2025")</f>
        <v/>
      </c>
      <c r="Y137">
        <f>HYPERLINK("https://klasma.github.io/Logging_0188/tillsynsmail/A 8371-2025 tillsynsbegäran mail.docx", "A 8371-2025")</f>
        <v/>
      </c>
      <c r="Z137">
        <f>HYPERLINK("https://klasma.github.io/Logging_0188/fåglar/A 8371-2025 prioriterade fågelarter.docx", "A 8371-2025")</f>
        <v/>
      </c>
    </row>
    <row r="138" ht="15" customHeight="1">
      <c r="A138" t="inlineStr">
        <is>
          <t>A 28816-2023</t>
        </is>
      </c>
      <c r="B138" s="1" t="n">
        <v>45104</v>
      </c>
      <c r="C138" s="1" t="n">
        <v>46123</v>
      </c>
      <c r="D138" t="inlineStr">
        <is>
          <t>STOCKHOLMS LÄN</t>
        </is>
      </c>
      <c r="E138" t="inlineStr">
        <is>
          <t>NORRTÄLJE</t>
        </is>
      </c>
      <c r="F138" t="inlineStr">
        <is>
          <t>Kommuner</t>
        </is>
      </c>
      <c r="G138" t="n">
        <v>0.5</v>
      </c>
      <c r="H138" t="n">
        <v>1</v>
      </c>
      <c r="I138" t="n">
        <v>0</v>
      </c>
      <c r="J138" t="n">
        <v>0</v>
      </c>
      <c r="K138" t="n">
        <v>0</v>
      </c>
      <c r="L138" t="n">
        <v>0</v>
      </c>
      <c r="M138" t="n">
        <v>0</v>
      </c>
      <c r="N138" t="n">
        <v>0</v>
      </c>
      <c r="O138" t="n">
        <v>0</v>
      </c>
      <c r="P138" t="n">
        <v>0</v>
      </c>
      <c r="Q138" t="n">
        <v>1</v>
      </c>
      <c r="R138" s="2" t="inlineStr">
        <is>
          <t>Kungsfågel</t>
        </is>
      </c>
      <c r="S138">
        <f>HYPERLINK("https://klasma.github.io/Logging_0188/artfynd/A 28816-2023 artfynd.xlsx", "A 28816-2023")</f>
        <v/>
      </c>
      <c r="T138">
        <f>HYPERLINK("https://klasma.github.io/Logging_0188/kartor/A 28816-2023 karta.png", "A 28816-2023")</f>
        <v/>
      </c>
      <c r="V138">
        <f>HYPERLINK("https://klasma.github.io/Logging_0188/klagomål/A 28816-2023 FSC-klagomål.docx", "A 28816-2023")</f>
        <v/>
      </c>
      <c r="W138">
        <f>HYPERLINK("https://klasma.github.io/Logging_0188/klagomålsmail/A 28816-2023 FSC-klagomål mail.docx", "A 28816-2023")</f>
        <v/>
      </c>
      <c r="X138">
        <f>HYPERLINK("https://klasma.github.io/Logging_0188/tillsyn/A 28816-2023 tillsynsbegäran.docx", "A 28816-2023")</f>
        <v/>
      </c>
      <c r="Y138">
        <f>HYPERLINK("https://klasma.github.io/Logging_0188/tillsynsmail/A 28816-2023 tillsynsbegäran mail.docx", "A 28816-2023")</f>
        <v/>
      </c>
      <c r="Z138">
        <f>HYPERLINK("https://klasma.github.io/Logging_0188/fåglar/A 28816-2023 prioriterade fågelarter.docx", "A 28816-2023")</f>
        <v/>
      </c>
    </row>
    <row r="139" ht="15" customHeight="1">
      <c r="A139" t="inlineStr">
        <is>
          <t>A 7734-2026</t>
        </is>
      </c>
      <c r="B139" s="1" t="n">
        <v>46062.52902777777</v>
      </c>
      <c r="C139" s="1" t="n">
        <v>46123</v>
      </c>
      <c r="D139" t="inlineStr">
        <is>
          <t>STOCKHOLMS LÄN</t>
        </is>
      </c>
      <c r="E139" t="inlineStr">
        <is>
          <t>NORRTÄLJE</t>
        </is>
      </c>
      <c r="G139" t="n">
        <v>6.6</v>
      </c>
      <c r="H139" t="n">
        <v>0</v>
      </c>
      <c r="I139" t="n">
        <v>1</v>
      </c>
      <c r="J139" t="n">
        <v>0</v>
      </c>
      <c r="K139" t="n">
        <v>0</v>
      </c>
      <c r="L139" t="n">
        <v>0</v>
      </c>
      <c r="M139" t="n">
        <v>0</v>
      </c>
      <c r="N139" t="n">
        <v>0</v>
      </c>
      <c r="O139" t="n">
        <v>0</v>
      </c>
      <c r="P139" t="n">
        <v>0</v>
      </c>
      <c r="Q139" t="n">
        <v>1</v>
      </c>
      <c r="R139" s="2" t="inlineStr">
        <is>
          <t>Kastanjefjällskivling</t>
        </is>
      </c>
      <c r="S139">
        <f>HYPERLINK("https://klasma.github.io/Logging_0188/artfynd/A 7734-2026 artfynd.xlsx", "A 7734-2026")</f>
        <v/>
      </c>
      <c r="T139">
        <f>HYPERLINK("https://klasma.github.io/Logging_0188/kartor/A 7734-2026 karta.png", "A 7734-2026")</f>
        <v/>
      </c>
      <c r="V139">
        <f>HYPERLINK("https://klasma.github.io/Logging_0188/klagomål/A 7734-2026 FSC-klagomål.docx", "A 7734-2026")</f>
        <v/>
      </c>
      <c r="W139">
        <f>HYPERLINK("https://klasma.github.io/Logging_0188/klagomålsmail/A 7734-2026 FSC-klagomål mail.docx", "A 7734-2026")</f>
        <v/>
      </c>
      <c r="X139">
        <f>HYPERLINK("https://klasma.github.io/Logging_0188/tillsyn/A 7734-2026 tillsynsbegäran.docx", "A 7734-2026")</f>
        <v/>
      </c>
      <c r="Y139">
        <f>HYPERLINK("https://klasma.github.io/Logging_0188/tillsynsmail/A 7734-2026 tillsynsbegäran mail.docx", "A 7734-2026")</f>
        <v/>
      </c>
    </row>
    <row r="140" ht="15" customHeight="1">
      <c r="A140" t="inlineStr">
        <is>
          <t>A 52508-2023</t>
        </is>
      </c>
      <c r="B140" s="1" t="n">
        <v>45225</v>
      </c>
      <c r="C140" s="1" t="n">
        <v>46123</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15886-2026</t>
        </is>
      </c>
      <c r="B141" s="1" t="n">
        <v>46107</v>
      </c>
      <c r="C141" s="1" t="n">
        <v>46123</v>
      </c>
      <c r="D141" t="inlineStr">
        <is>
          <t>STOCKHOLMS LÄN</t>
        </is>
      </c>
      <c r="E141" t="inlineStr">
        <is>
          <t>NORRTÄLJE</t>
        </is>
      </c>
      <c r="G141" t="n">
        <v>1.3</v>
      </c>
      <c r="H141" t="n">
        <v>1</v>
      </c>
      <c r="I141" t="n">
        <v>0</v>
      </c>
      <c r="J141" t="n">
        <v>0</v>
      </c>
      <c r="K141" t="n">
        <v>0</v>
      </c>
      <c r="L141" t="n">
        <v>1</v>
      </c>
      <c r="M141" t="n">
        <v>0</v>
      </c>
      <c r="N141" t="n">
        <v>0</v>
      </c>
      <c r="O141" t="n">
        <v>1</v>
      </c>
      <c r="P141" t="n">
        <v>1</v>
      </c>
      <c r="Q141" t="n">
        <v>1</v>
      </c>
      <c r="R141" s="2" t="inlineStr">
        <is>
          <t>Grönfink</t>
        </is>
      </c>
      <c r="S141">
        <f>HYPERLINK("https://klasma.github.io/Logging_0188/artfynd/A 15886-2026 artfynd.xlsx", "A 15886-2026")</f>
        <v/>
      </c>
      <c r="T141">
        <f>HYPERLINK("https://klasma.github.io/Logging_0188/kartor/A 15886-2026 karta.png", "A 15886-2026")</f>
        <v/>
      </c>
      <c r="V141">
        <f>HYPERLINK("https://klasma.github.io/Logging_0188/klagomål/A 15886-2026 FSC-klagomål.docx", "A 15886-2026")</f>
        <v/>
      </c>
      <c r="W141">
        <f>HYPERLINK("https://klasma.github.io/Logging_0188/klagomålsmail/A 15886-2026 FSC-klagomål mail.docx", "A 15886-2026")</f>
        <v/>
      </c>
      <c r="X141">
        <f>HYPERLINK("https://klasma.github.io/Logging_0188/tillsyn/A 15886-2026 tillsynsbegäran.docx", "A 15886-2026")</f>
        <v/>
      </c>
      <c r="Y141">
        <f>HYPERLINK("https://klasma.github.io/Logging_0188/tillsynsmail/A 15886-2026 tillsynsbegäran mail.docx", "A 15886-2026")</f>
        <v/>
      </c>
      <c r="Z141">
        <f>HYPERLINK("https://klasma.github.io/Logging_0188/fåglar/A 15886-2026 prioriterade fågelarter.docx", "A 15886-2026")</f>
        <v/>
      </c>
    </row>
    <row r="142" ht="15" customHeight="1">
      <c r="A142" t="inlineStr">
        <is>
          <t>A 27827-2022</t>
        </is>
      </c>
      <c r="B142" s="1" t="n">
        <v>44743.59504629629</v>
      </c>
      <c r="C142" s="1" t="n">
        <v>46123</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23146-2024</t>
        </is>
      </c>
      <c r="B143" s="1" t="n">
        <v>45450.63958333333</v>
      </c>
      <c r="C143" s="1" t="n">
        <v>46123</v>
      </c>
      <c r="D143" t="inlineStr">
        <is>
          <t>STOCKHOLMS LÄN</t>
        </is>
      </c>
      <c r="E143" t="inlineStr">
        <is>
          <t>NORRTÄLJE</t>
        </is>
      </c>
      <c r="F143" t="inlineStr">
        <is>
          <t>Kommuner</t>
        </is>
      </c>
      <c r="G143" t="n">
        <v>6</v>
      </c>
      <c r="H143" t="n">
        <v>0</v>
      </c>
      <c r="I143" t="n">
        <v>0</v>
      </c>
      <c r="J143" t="n">
        <v>1</v>
      </c>
      <c r="K143" t="n">
        <v>0</v>
      </c>
      <c r="L143" t="n">
        <v>0</v>
      </c>
      <c r="M143" t="n">
        <v>0</v>
      </c>
      <c r="N143" t="n">
        <v>0</v>
      </c>
      <c r="O143" t="n">
        <v>1</v>
      </c>
      <c r="P143" t="n">
        <v>0</v>
      </c>
      <c r="Q143" t="n">
        <v>1</v>
      </c>
      <c r="R143" s="2" t="inlineStr">
        <is>
          <t>Motaggsvamp</t>
        </is>
      </c>
      <c r="S143">
        <f>HYPERLINK("https://klasma.github.io/Logging_0188/artfynd/A 23146-2024 artfynd.xlsx", "A 23146-2024")</f>
        <v/>
      </c>
      <c r="T143">
        <f>HYPERLINK("https://klasma.github.io/Logging_0188/kartor/A 23146-2024 karta.png", "A 23146-2024")</f>
        <v/>
      </c>
      <c r="V143">
        <f>HYPERLINK("https://klasma.github.io/Logging_0188/klagomål/A 23146-2024 FSC-klagomål.docx", "A 23146-2024")</f>
        <v/>
      </c>
      <c r="W143">
        <f>HYPERLINK("https://klasma.github.io/Logging_0188/klagomålsmail/A 23146-2024 FSC-klagomål mail.docx", "A 23146-2024")</f>
        <v/>
      </c>
      <c r="X143">
        <f>HYPERLINK("https://klasma.github.io/Logging_0188/tillsyn/A 23146-2024 tillsynsbegäran.docx", "A 23146-2024")</f>
        <v/>
      </c>
      <c r="Y143">
        <f>HYPERLINK("https://klasma.github.io/Logging_0188/tillsynsmail/A 23146-2024 tillsynsbegäran mail.docx", "A 23146-2024")</f>
        <v/>
      </c>
    </row>
    <row r="144" ht="15" customHeight="1">
      <c r="A144" t="inlineStr">
        <is>
          <t>A 27538-2024</t>
        </is>
      </c>
      <c r="B144" s="1" t="n">
        <v>45474</v>
      </c>
      <c r="C144" s="1" t="n">
        <v>46123</v>
      </c>
      <c r="D144" t="inlineStr">
        <is>
          <t>STOCKHOLMS LÄN</t>
        </is>
      </c>
      <c r="E144" t="inlineStr">
        <is>
          <t>NORRTÄLJE</t>
        </is>
      </c>
      <c r="G144" t="n">
        <v>1.5</v>
      </c>
      <c r="H144" t="n">
        <v>1</v>
      </c>
      <c r="I144" t="n">
        <v>1</v>
      </c>
      <c r="J144" t="n">
        <v>0</v>
      </c>
      <c r="K144" t="n">
        <v>0</v>
      </c>
      <c r="L144" t="n">
        <v>0</v>
      </c>
      <c r="M144" t="n">
        <v>0</v>
      </c>
      <c r="N144" t="n">
        <v>0</v>
      </c>
      <c r="O144" t="n">
        <v>0</v>
      </c>
      <c r="P144" t="n">
        <v>0</v>
      </c>
      <c r="Q144" t="n">
        <v>1</v>
      </c>
      <c r="R144" s="2" t="inlineStr">
        <is>
          <t>Skogsknipprot</t>
        </is>
      </c>
      <c r="S144">
        <f>HYPERLINK("https://klasma.github.io/Logging_0188/artfynd/A 27538-2024 artfynd.xlsx", "A 27538-2024")</f>
        <v/>
      </c>
      <c r="T144">
        <f>HYPERLINK("https://klasma.github.io/Logging_0188/kartor/A 27538-2024 karta.png", "A 27538-2024")</f>
        <v/>
      </c>
      <c r="V144">
        <f>HYPERLINK("https://klasma.github.io/Logging_0188/klagomål/A 27538-2024 FSC-klagomål.docx", "A 27538-2024")</f>
        <v/>
      </c>
      <c r="W144">
        <f>HYPERLINK("https://klasma.github.io/Logging_0188/klagomålsmail/A 27538-2024 FSC-klagomål mail.docx", "A 27538-2024")</f>
        <v/>
      </c>
      <c r="X144">
        <f>HYPERLINK("https://klasma.github.io/Logging_0188/tillsyn/A 27538-2024 tillsynsbegäran.docx", "A 27538-2024")</f>
        <v/>
      </c>
      <c r="Y144">
        <f>HYPERLINK("https://klasma.github.io/Logging_0188/tillsynsmail/A 27538-2024 tillsynsbegäran mail.docx", "A 27538-2024")</f>
        <v/>
      </c>
    </row>
    <row r="145" ht="15" customHeight="1">
      <c r="A145" t="inlineStr">
        <is>
          <t>A 48131-2023</t>
        </is>
      </c>
      <c r="B145" s="1" t="n">
        <v>45205</v>
      </c>
      <c r="C145" s="1" t="n">
        <v>46123</v>
      </c>
      <c r="D145" t="inlineStr">
        <is>
          <t>STOCKHOLMS LÄN</t>
        </is>
      </c>
      <c r="E145" t="inlineStr">
        <is>
          <t>NORRTÄLJE</t>
        </is>
      </c>
      <c r="G145" t="n">
        <v>2.3</v>
      </c>
      <c r="H145" t="n">
        <v>0</v>
      </c>
      <c r="I145" t="n">
        <v>0</v>
      </c>
      <c r="J145" t="n">
        <v>1</v>
      </c>
      <c r="K145" t="n">
        <v>0</v>
      </c>
      <c r="L145" t="n">
        <v>0</v>
      </c>
      <c r="M145" t="n">
        <v>0</v>
      </c>
      <c r="N145" t="n">
        <v>0</v>
      </c>
      <c r="O145" t="n">
        <v>1</v>
      </c>
      <c r="P145" t="n">
        <v>0</v>
      </c>
      <c r="Q145" t="n">
        <v>1</v>
      </c>
      <c r="R145" s="2" t="inlineStr">
        <is>
          <t>Slåtterfibbla</t>
        </is>
      </c>
      <c r="S145">
        <f>HYPERLINK("https://klasma.github.io/Logging_0188/artfynd/A 48131-2023 artfynd.xlsx", "A 48131-2023")</f>
        <v/>
      </c>
      <c r="T145">
        <f>HYPERLINK("https://klasma.github.io/Logging_0188/kartor/A 48131-2023 karta.png", "A 48131-2023")</f>
        <v/>
      </c>
      <c r="V145">
        <f>HYPERLINK("https://klasma.github.io/Logging_0188/klagomål/A 48131-2023 FSC-klagomål.docx", "A 48131-2023")</f>
        <v/>
      </c>
      <c r="W145">
        <f>HYPERLINK("https://klasma.github.io/Logging_0188/klagomålsmail/A 48131-2023 FSC-klagomål mail.docx", "A 48131-2023")</f>
        <v/>
      </c>
      <c r="X145">
        <f>HYPERLINK("https://klasma.github.io/Logging_0188/tillsyn/A 48131-2023 tillsynsbegäran.docx", "A 48131-2023")</f>
        <v/>
      </c>
      <c r="Y145">
        <f>HYPERLINK("https://klasma.github.io/Logging_0188/tillsynsmail/A 48131-2023 tillsynsbegäran mail.docx", "A 48131-2023")</f>
        <v/>
      </c>
    </row>
    <row r="146" ht="15" customHeight="1">
      <c r="A146" t="inlineStr">
        <is>
          <t>A 18580-2021</t>
        </is>
      </c>
      <c r="B146" s="1" t="n">
        <v>44306</v>
      </c>
      <c r="C146" s="1" t="n">
        <v>46123</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46123</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46123</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46123</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46123</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46123</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46123</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46123</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46123</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46123</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46123</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46123</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46123</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46123</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46123</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46123</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46123</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46123</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46123</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46123</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46123</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46123</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46123</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46123</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46123</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46123</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46123</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46123</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46123</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46123</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46123</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46123</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46123</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46123</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46123</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46123</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18609-2021</t>
        </is>
      </c>
      <c r="B182" s="1" t="n">
        <v>44306</v>
      </c>
      <c r="C182" s="1" t="n">
        <v>46123</v>
      </c>
      <c r="D182" t="inlineStr">
        <is>
          <t>STOCKHOLMS LÄN</t>
        </is>
      </c>
      <c r="E182" t="inlineStr">
        <is>
          <t>NORRTÄLJE</t>
        </is>
      </c>
      <c r="G182" t="n">
        <v>9.5</v>
      </c>
      <c r="H182" t="n">
        <v>0</v>
      </c>
      <c r="I182" t="n">
        <v>0</v>
      </c>
      <c r="J182" t="n">
        <v>0</v>
      </c>
      <c r="K182" t="n">
        <v>0</v>
      </c>
      <c r="L182" t="n">
        <v>0</v>
      </c>
      <c r="M182" t="n">
        <v>0</v>
      </c>
      <c r="N182" t="n">
        <v>0</v>
      </c>
      <c r="O182" t="n">
        <v>0</v>
      </c>
      <c r="P182" t="n">
        <v>0</v>
      </c>
      <c r="Q182" t="n">
        <v>0</v>
      </c>
      <c r="R182" s="2" t="inlineStr"/>
    </row>
    <row r="183" ht="15" customHeight="1">
      <c r="A183" t="inlineStr">
        <is>
          <t>A 24534-2022</t>
        </is>
      </c>
      <c r="B183" s="1" t="n">
        <v>44727</v>
      </c>
      <c r="C183" s="1" t="n">
        <v>46123</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46123</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71876-2021</t>
        </is>
      </c>
      <c r="B185" s="1" t="n">
        <v>44543</v>
      </c>
      <c r="C185" s="1" t="n">
        <v>46123</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71878-2021</t>
        </is>
      </c>
      <c r="B186" s="1" t="n">
        <v>44543</v>
      </c>
      <c r="C186" s="1" t="n">
        <v>46123</v>
      </c>
      <c r="D186" t="inlineStr">
        <is>
          <t>STOCKHOLMS LÄN</t>
        </is>
      </c>
      <c r="E186" t="inlineStr">
        <is>
          <t>NORRTÄLJE</t>
        </is>
      </c>
      <c r="G186" t="n">
        <v>1.2</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46123</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46123</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46123</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46123</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46123</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46123</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46123</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46123</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46123</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46123</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36975-2022</t>
        </is>
      </c>
      <c r="B197" s="1" t="n">
        <v>44806.34577546296</v>
      </c>
      <c r="C197" s="1" t="n">
        <v>46123</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46123</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46123</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46123</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46123</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46123</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46123</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46123</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46123</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46123</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46123</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46123</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46123</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46123</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46123</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46123</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46123</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46123</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46123</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46123</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46123</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46123</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46123</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46123</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46123</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46123</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46123</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46123</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46123</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46123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46123</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46123</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46123</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46123</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46123</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46123</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46123</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46123</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46123</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46123</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46123</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46123</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46123</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46123</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46123</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46123</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46123</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46123</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46123</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46123</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46123</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46123</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46123</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46123</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46123</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46123</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46123</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46123</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62030-2021</t>
        </is>
      </c>
      <c r="B255" s="1" t="n">
        <v>44502</v>
      </c>
      <c r="C255" s="1" t="n">
        <v>46123</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46123</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4322-2023</t>
        </is>
      </c>
      <c r="B257" s="1" t="n">
        <v>44953.69298611111</v>
      </c>
      <c r="C257" s="1" t="n">
        <v>46123</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46123</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67921-2021</t>
        </is>
      </c>
      <c r="B259" s="1" t="n">
        <v>44525</v>
      </c>
      <c r="C259" s="1" t="n">
        <v>46123</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38990-2022</t>
        </is>
      </c>
      <c r="B260" s="1" t="n">
        <v>44816</v>
      </c>
      <c r="C260" s="1" t="n">
        <v>46123</v>
      </c>
      <c r="D260" t="inlineStr">
        <is>
          <t>STOCKHOLMS LÄN</t>
        </is>
      </c>
      <c r="E260" t="inlineStr">
        <is>
          <t>NORRTÄLJE</t>
        </is>
      </c>
      <c r="G260" t="n">
        <v>5.7</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46123</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17956-2025</t>
        </is>
      </c>
      <c r="B262" s="1" t="n">
        <v>45760.91174768518</v>
      </c>
      <c r="C262" s="1" t="n">
        <v>46123</v>
      </c>
      <c r="D262" t="inlineStr">
        <is>
          <t>STOCKHOLMS LÄN</t>
        </is>
      </c>
      <c r="E262" t="inlineStr">
        <is>
          <t>NORRTÄLJE</t>
        </is>
      </c>
      <c r="G262" t="n">
        <v>4.3</v>
      </c>
      <c r="H262" t="n">
        <v>0</v>
      </c>
      <c r="I262" t="n">
        <v>0</v>
      </c>
      <c r="J262" t="n">
        <v>0</v>
      </c>
      <c r="K262" t="n">
        <v>0</v>
      </c>
      <c r="L262" t="n">
        <v>0</v>
      </c>
      <c r="M262" t="n">
        <v>0</v>
      </c>
      <c r="N262" t="n">
        <v>0</v>
      </c>
      <c r="O262" t="n">
        <v>0</v>
      </c>
      <c r="P262" t="n">
        <v>0</v>
      </c>
      <c r="Q262" t="n">
        <v>0</v>
      </c>
      <c r="R262" s="2" t="inlineStr"/>
    </row>
    <row r="263" ht="15" customHeight="1">
      <c r="A263" t="inlineStr">
        <is>
          <t>A 875-2023</t>
        </is>
      </c>
      <c r="B263" s="1" t="n">
        <v>44931.65626157408</v>
      </c>
      <c r="C263" s="1" t="n">
        <v>46123</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27214-2021</t>
        </is>
      </c>
      <c r="B264" s="1" t="n">
        <v>44350</v>
      </c>
      <c r="C264" s="1" t="n">
        <v>46123</v>
      </c>
      <c r="D264" t="inlineStr">
        <is>
          <t>STOCKHOLMS LÄN</t>
        </is>
      </c>
      <c r="E264" t="inlineStr">
        <is>
          <t>NORRTÄLJE</t>
        </is>
      </c>
      <c r="G264" t="n">
        <v>1</v>
      </c>
      <c r="H264" t="n">
        <v>0</v>
      </c>
      <c r="I264" t="n">
        <v>0</v>
      </c>
      <c r="J264" t="n">
        <v>0</v>
      </c>
      <c r="K264" t="n">
        <v>0</v>
      </c>
      <c r="L264" t="n">
        <v>0</v>
      </c>
      <c r="M264" t="n">
        <v>0</v>
      </c>
      <c r="N264" t="n">
        <v>0</v>
      </c>
      <c r="O264" t="n">
        <v>0</v>
      </c>
      <c r="P264" t="n">
        <v>0</v>
      </c>
      <c r="Q264" t="n">
        <v>0</v>
      </c>
      <c r="R264" s="2" t="inlineStr"/>
    </row>
    <row r="265" ht="15" customHeight="1">
      <c r="A265" t="inlineStr">
        <is>
          <t>A 31236-2022</t>
        </is>
      </c>
      <c r="B265" s="1" t="n">
        <v>44771</v>
      </c>
      <c r="C265" s="1" t="n">
        <v>46123</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8315-2025</t>
        </is>
      </c>
      <c r="B266" s="1" t="n">
        <v>45708.61761574074</v>
      </c>
      <c r="C266" s="1" t="n">
        <v>46123</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46123</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7565-2022</t>
        </is>
      </c>
      <c r="B268" s="1" t="n">
        <v>44607</v>
      </c>
      <c r="C268" s="1" t="n">
        <v>46123</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65499-2021</t>
        </is>
      </c>
      <c r="B269" s="1" t="n">
        <v>44516</v>
      </c>
      <c r="C269" s="1" t="n">
        <v>46123</v>
      </c>
      <c r="D269" t="inlineStr">
        <is>
          <t>STOCKHOLMS LÄN</t>
        </is>
      </c>
      <c r="E269" t="inlineStr">
        <is>
          <t>NORRTÄLJE</t>
        </is>
      </c>
      <c r="F269" t="inlineStr">
        <is>
          <t>Kommuner</t>
        </is>
      </c>
      <c r="G269" t="n">
        <v>5.2</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46123</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46123</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32103-2022</t>
        </is>
      </c>
      <c r="B272" s="1" t="n">
        <v>44778</v>
      </c>
      <c r="C272" s="1" t="n">
        <v>46123</v>
      </c>
      <c r="D272" t="inlineStr">
        <is>
          <t>STOCKHOLMS LÄN</t>
        </is>
      </c>
      <c r="E272" t="inlineStr">
        <is>
          <t>NORRTÄLJE</t>
        </is>
      </c>
      <c r="G272" t="n">
        <v>3.4</v>
      </c>
      <c r="H272" t="n">
        <v>0</v>
      </c>
      <c r="I272" t="n">
        <v>0</v>
      </c>
      <c r="J272" t="n">
        <v>0</v>
      </c>
      <c r="K272" t="n">
        <v>0</v>
      </c>
      <c r="L272" t="n">
        <v>0</v>
      </c>
      <c r="M272" t="n">
        <v>0</v>
      </c>
      <c r="N272" t="n">
        <v>0</v>
      </c>
      <c r="O272" t="n">
        <v>0</v>
      </c>
      <c r="P272" t="n">
        <v>0</v>
      </c>
      <c r="Q272" t="n">
        <v>0</v>
      </c>
      <c r="R272" s="2" t="inlineStr"/>
    </row>
    <row r="273" ht="15" customHeight="1">
      <c r="A273" t="inlineStr">
        <is>
          <t>A 6401-2024</t>
        </is>
      </c>
      <c r="B273" s="1" t="n">
        <v>45338</v>
      </c>
      <c r="C273" s="1" t="n">
        <v>46123</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59504-2023</t>
        </is>
      </c>
      <c r="B274" s="1" t="n">
        <v>45254</v>
      </c>
      <c r="C274" s="1" t="n">
        <v>46123</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52321-2024</t>
        </is>
      </c>
      <c r="B275" s="1" t="n">
        <v>45608</v>
      </c>
      <c r="C275" s="1" t="n">
        <v>46123</v>
      </c>
      <c r="D275" t="inlineStr">
        <is>
          <t>STOCKHOLMS LÄN</t>
        </is>
      </c>
      <c r="E275" t="inlineStr">
        <is>
          <t>NORRTÄLJE</t>
        </is>
      </c>
      <c r="G275" t="n">
        <v>18.1</v>
      </c>
      <c r="H275" t="n">
        <v>0</v>
      </c>
      <c r="I275" t="n">
        <v>0</v>
      </c>
      <c r="J275" t="n">
        <v>0</v>
      </c>
      <c r="K275" t="n">
        <v>0</v>
      </c>
      <c r="L275" t="n">
        <v>0</v>
      </c>
      <c r="M275" t="n">
        <v>0</v>
      </c>
      <c r="N275" t="n">
        <v>0</v>
      </c>
      <c r="O275" t="n">
        <v>0</v>
      </c>
      <c r="P275" t="n">
        <v>0</v>
      </c>
      <c r="Q275" t="n">
        <v>0</v>
      </c>
      <c r="R275" s="2" t="inlineStr"/>
    </row>
    <row r="276" ht="15" customHeight="1">
      <c r="A276" t="inlineStr">
        <is>
          <t>A 18665-2022</t>
        </is>
      </c>
      <c r="B276" s="1" t="n">
        <v>44687</v>
      </c>
      <c r="C276" s="1" t="n">
        <v>46123</v>
      </c>
      <c r="D276" t="inlineStr">
        <is>
          <t>STOCKHOLMS LÄN</t>
        </is>
      </c>
      <c r="E276" t="inlineStr">
        <is>
          <t>NORRTÄLJE</t>
        </is>
      </c>
      <c r="F276" t="inlineStr">
        <is>
          <t>Kyrkan</t>
        </is>
      </c>
      <c r="G276" t="n">
        <v>1.1</v>
      </c>
      <c r="H276" t="n">
        <v>0</v>
      </c>
      <c r="I276" t="n">
        <v>0</v>
      </c>
      <c r="J276" t="n">
        <v>0</v>
      </c>
      <c r="K276" t="n">
        <v>0</v>
      </c>
      <c r="L276" t="n">
        <v>0</v>
      </c>
      <c r="M276" t="n">
        <v>0</v>
      </c>
      <c r="N276" t="n">
        <v>0</v>
      </c>
      <c r="O276" t="n">
        <v>0</v>
      </c>
      <c r="P276" t="n">
        <v>0</v>
      </c>
      <c r="Q276" t="n">
        <v>0</v>
      </c>
      <c r="R276" s="2" t="inlineStr"/>
    </row>
    <row r="277" ht="15" customHeight="1">
      <c r="A277" t="inlineStr">
        <is>
          <t>A 48151-2024</t>
        </is>
      </c>
      <c r="B277" s="1" t="n">
        <v>45589.68289351852</v>
      </c>
      <c r="C277" s="1" t="n">
        <v>46123</v>
      </c>
      <c r="D277" t="inlineStr">
        <is>
          <t>STOCKHOLMS LÄN</t>
        </is>
      </c>
      <c r="E277" t="inlineStr">
        <is>
          <t>NORRTÄLJE</t>
        </is>
      </c>
      <c r="G277" t="n">
        <v>1.6</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46123</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46123</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58302-2022</t>
        </is>
      </c>
      <c r="B280" s="1" t="n">
        <v>44901</v>
      </c>
      <c r="C280" s="1" t="n">
        <v>46123</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20370-2025</t>
        </is>
      </c>
      <c r="B281" s="1" t="n">
        <v>45775.41451388889</v>
      </c>
      <c r="C281" s="1" t="n">
        <v>46123</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19580-2022</t>
        </is>
      </c>
      <c r="B282" s="1" t="n">
        <v>44693</v>
      </c>
      <c r="C282" s="1" t="n">
        <v>46123</v>
      </c>
      <c r="D282" t="inlineStr">
        <is>
          <t>STOCKHOLMS LÄN</t>
        </is>
      </c>
      <c r="E282" t="inlineStr">
        <is>
          <t>NORRTÄLJE</t>
        </is>
      </c>
      <c r="G282" t="n">
        <v>0.4</v>
      </c>
      <c r="H282" t="n">
        <v>0</v>
      </c>
      <c r="I282" t="n">
        <v>0</v>
      </c>
      <c r="J282" t="n">
        <v>0</v>
      </c>
      <c r="K282" t="n">
        <v>0</v>
      </c>
      <c r="L282" t="n">
        <v>0</v>
      </c>
      <c r="M282" t="n">
        <v>0</v>
      </c>
      <c r="N282" t="n">
        <v>0</v>
      </c>
      <c r="O282" t="n">
        <v>0</v>
      </c>
      <c r="P282" t="n">
        <v>0</v>
      </c>
      <c r="Q282" t="n">
        <v>0</v>
      </c>
      <c r="R282" s="2" t="inlineStr"/>
    </row>
    <row r="283" ht="15" customHeight="1">
      <c r="A283" t="inlineStr">
        <is>
          <t>A 38591-2023</t>
        </is>
      </c>
      <c r="B283" s="1" t="n">
        <v>45162</v>
      </c>
      <c r="C283" s="1" t="n">
        <v>46123</v>
      </c>
      <c r="D283" t="inlineStr">
        <is>
          <t>STOCKHOLMS LÄN</t>
        </is>
      </c>
      <c r="E283" t="inlineStr">
        <is>
          <t>NORRTÄLJE</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30286-2022</t>
        </is>
      </c>
      <c r="B284" s="1" t="n">
        <v>44760</v>
      </c>
      <c r="C284" s="1" t="n">
        <v>46123</v>
      </c>
      <c r="D284" t="inlineStr">
        <is>
          <t>STOCKHOLMS LÄN</t>
        </is>
      </c>
      <c r="E284" t="inlineStr">
        <is>
          <t>NORRTÄLJE</t>
        </is>
      </c>
      <c r="G284" t="n">
        <v>0.3</v>
      </c>
      <c r="H284" t="n">
        <v>0</v>
      </c>
      <c r="I284" t="n">
        <v>0</v>
      </c>
      <c r="J284" t="n">
        <v>0</v>
      </c>
      <c r="K284" t="n">
        <v>0</v>
      </c>
      <c r="L284" t="n">
        <v>0</v>
      </c>
      <c r="M284" t="n">
        <v>0</v>
      </c>
      <c r="N284" t="n">
        <v>0</v>
      </c>
      <c r="O284" t="n">
        <v>0</v>
      </c>
      <c r="P284" t="n">
        <v>0</v>
      </c>
      <c r="Q284" t="n">
        <v>0</v>
      </c>
      <c r="R284" s="2" t="inlineStr"/>
    </row>
    <row r="285" ht="15" customHeight="1">
      <c r="A285" t="inlineStr">
        <is>
          <t>A 8160-2022</t>
        </is>
      </c>
      <c r="B285" s="1" t="n">
        <v>44609</v>
      </c>
      <c r="C285" s="1" t="n">
        <v>46123</v>
      </c>
      <c r="D285" t="inlineStr">
        <is>
          <t>STOCKHOLMS LÄN</t>
        </is>
      </c>
      <c r="E285" t="inlineStr">
        <is>
          <t>NORRTÄLJE</t>
        </is>
      </c>
      <c r="G285" t="n">
        <v>3.9</v>
      </c>
      <c r="H285" t="n">
        <v>0</v>
      </c>
      <c r="I285" t="n">
        <v>0</v>
      </c>
      <c r="J285" t="n">
        <v>0</v>
      </c>
      <c r="K285" t="n">
        <v>0</v>
      </c>
      <c r="L285" t="n">
        <v>0</v>
      </c>
      <c r="M285" t="n">
        <v>0</v>
      </c>
      <c r="N285" t="n">
        <v>0</v>
      </c>
      <c r="O285" t="n">
        <v>0</v>
      </c>
      <c r="P285" t="n">
        <v>0</v>
      </c>
      <c r="Q285" t="n">
        <v>0</v>
      </c>
      <c r="R285" s="2" t="inlineStr"/>
    </row>
    <row r="286" ht="15" customHeight="1">
      <c r="A286" t="inlineStr">
        <is>
          <t>A 38720-2025</t>
        </is>
      </c>
      <c r="B286" s="1" t="n">
        <v>45886</v>
      </c>
      <c r="C286" s="1" t="n">
        <v>46123</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39319-2022</t>
        </is>
      </c>
      <c r="B287" s="1" t="n">
        <v>44817.70516203704</v>
      </c>
      <c r="C287" s="1" t="n">
        <v>46123</v>
      </c>
      <c r="D287" t="inlineStr">
        <is>
          <t>STOCKHOLMS LÄN</t>
        </is>
      </c>
      <c r="E287" t="inlineStr">
        <is>
          <t>NORRTÄLJE</t>
        </is>
      </c>
      <c r="G287" t="n">
        <v>1.4</v>
      </c>
      <c r="H287" t="n">
        <v>0</v>
      </c>
      <c r="I287" t="n">
        <v>0</v>
      </c>
      <c r="J287" t="n">
        <v>0</v>
      </c>
      <c r="K287" t="n">
        <v>0</v>
      </c>
      <c r="L287" t="n">
        <v>0</v>
      </c>
      <c r="M287" t="n">
        <v>0</v>
      </c>
      <c r="N287" t="n">
        <v>0</v>
      </c>
      <c r="O287" t="n">
        <v>0</v>
      </c>
      <c r="P287" t="n">
        <v>0</v>
      </c>
      <c r="Q287" t="n">
        <v>0</v>
      </c>
      <c r="R287" s="2" t="inlineStr"/>
    </row>
    <row r="288" ht="15" customHeight="1">
      <c r="A288" t="inlineStr">
        <is>
          <t>A 30338-2022</t>
        </is>
      </c>
      <c r="B288" s="1" t="n">
        <v>44760</v>
      </c>
      <c r="C288" s="1" t="n">
        <v>46123</v>
      </c>
      <c r="D288" t="inlineStr">
        <is>
          <t>STOCKHOLMS LÄN</t>
        </is>
      </c>
      <c r="E288" t="inlineStr">
        <is>
          <t>NORRTÄLJE</t>
        </is>
      </c>
      <c r="G288" t="n">
        <v>0.3</v>
      </c>
      <c r="H288" t="n">
        <v>0</v>
      </c>
      <c r="I288" t="n">
        <v>0</v>
      </c>
      <c r="J288" t="n">
        <v>0</v>
      </c>
      <c r="K288" t="n">
        <v>0</v>
      </c>
      <c r="L288" t="n">
        <v>0</v>
      </c>
      <c r="M288" t="n">
        <v>0</v>
      </c>
      <c r="N288" t="n">
        <v>0</v>
      </c>
      <c r="O288" t="n">
        <v>0</v>
      </c>
      <c r="P288" t="n">
        <v>0</v>
      </c>
      <c r="Q288" t="n">
        <v>0</v>
      </c>
      <c r="R288" s="2" t="inlineStr"/>
    </row>
    <row r="289" ht="15" customHeight="1">
      <c r="A289" t="inlineStr">
        <is>
          <t>A 2888-2022</t>
        </is>
      </c>
      <c r="B289" s="1" t="n">
        <v>44581</v>
      </c>
      <c r="C289" s="1" t="n">
        <v>46123</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52686-2024</t>
        </is>
      </c>
      <c r="B290" s="1" t="n">
        <v>45610.39271990741</v>
      </c>
      <c r="C290" s="1" t="n">
        <v>46123</v>
      </c>
      <c r="D290" t="inlineStr">
        <is>
          <t>STOCKHOLMS LÄN</t>
        </is>
      </c>
      <c r="E290" t="inlineStr">
        <is>
          <t>NORRTÄLJE</t>
        </is>
      </c>
      <c r="G290" t="n">
        <v>5.7</v>
      </c>
      <c r="H290" t="n">
        <v>0</v>
      </c>
      <c r="I290" t="n">
        <v>0</v>
      </c>
      <c r="J290" t="n">
        <v>0</v>
      </c>
      <c r="K290" t="n">
        <v>0</v>
      </c>
      <c r="L290" t="n">
        <v>0</v>
      </c>
      <c r="M290" t="n">
        <v>0</v>
      </c>
      <c r="N290" t="n">
        <v>0</v>
      </c>
      <c r="O290" t="n">
        <v>0</v>
      </c>
      <c r="P290" t="n">
        <v>0</v>
      </c>
      <c r="Q290" t="n">
        <v>0</v>
      </c>
      <c r="R290" s="2" t="inlineStr"/>
    </row>
    <row r="291" ht="15" customHeight="1">
      <c r="A291" t="inlineStr">
        <is>
          <t>A 20343-2024</t>
        </is>
      </c>
      <c r="B291" s="1" t="n">
        <v>45435.43466435185</v>
      </c>
      <c r="C291" s="1" t="n">
        <v>46123</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20345-2024</t>
        </is>
      </c>
      <c r="B292" s="1" t="n">
        <v>45435.43820601852</v>
      </c>
      <c r="C292" s="1" t="n">
        <v>46123</v>
      </c>
      <c r="D292" t="inlineStr">
        <is>
          <t>STOCKHOLMS LÄN</t>
        </is>
      </c>
      <c r="E292" t="inlineStr">
        <is>
          <t>NORRTÄLJE</t>
        </is>
      </c>
      <c r="G292" t="n">
        <v>3.8</v>
      </c>
      <c r="H292" t="n">
        <v>0</v>
      </c>
      <c r="I292" t="n">
        <v>0</v>
      </c>
      <c r="J292" t="n">
        <v>0</v>
      </c>
      <c r="K292" t="n">
        <v>0</v>
      </c>
      <c r="L292" t="n">
        <v>0</v>
      </c>
      <c r="M292" t="n">
        <v>0</v>
      </c>
      <c r="N292" t="n">
        <v>0</v>
      </c>
      <c r="O292" t="n">
        <v>0</v>
      </c>
      <c r="P292" t="n">
        <v>0</v>
      </c>
      <c r="Q292" t="n">
        <v>0</v>
      </c>
      <c r="R292" s="2" t="inlineStr"/>
    </row>
    <row r="293" ht="15" customHeight="1">
      <c r="A293" t="inlineStr">
        <is>
          <t>A 30731-2023</t>
        </is>
      </c>
      <c r="B293" s="1" t="n">
        <v>45112</v>
      </c>
      <c r="C293" s="1" t="n">
        <v>46123</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9765-2024</t>
        </is>
      </c>
      <c r="B294" s="1" t="n">
        <v>45362.62811342593</v>
      </c>
      <c r="C294" s="1" t="n">
        <v>46123</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56219-2021</t>
        </is>
      </c>
      <c r="B295" s="1" t="n">
        <v>44477</v>
      </c>
      <c r="C295" s="1" t="n">
        <v>46123</v>
      </c>
      <c r="D295" t="inlineStr">
        <is>
          <t>STOCKHOLMS LÄN</t>
        </is>
      </c>
      <c r="E295" t="inlineStr">
        <is>
          <t>NORRTÄLJE</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4580-2025</t>
        </is>
      </c>
      <c r="B296" s="1" t="n">
        <v>45687.5038425926</v>
      </c>
      <c r="C296" s="1" t="n">
        <v>46123</v>
      </c>
      <c r="D296" t="inlineStr">
        <is>
          <t>STOCKHOLMS LÄN</t>
        </is>
      </c>
      <c r="E296" t="inlineStr">
        <is>
          <t>NORRTÄLJE</t>
        </is>
      </c>
      <c r="F296" t="inlineStr">
        <is>
          <t>Holmen skog AB</t>
        </is>
      </c>
      <c r="G296" t="n">
        <v>4.8</v>
      </c>
      <c r="H296" t="n">
        <v>0</v>
      </c>
      <c r="I296" t="n">
        <v>0</v>
      </c>
      <c r="J296" t="n">
        <v>0</v>
      </c>
      <c r="K296" t="n">
        <v>0</v>
      </c>
      <c r="L296" t="n">
        <v>0</v>
      </c>
      <c r="M296" t="n">
        <v>0</v>
      </c>
      <c r="N296" t="n">
        <v>0</v>
      </c>
      <c r="O296" t="n">
        <v>0</v>
      </c>
      <c r="P296" t="n">
        <v>0</v>
      </c>
      <c r="Q296" t="n">
        <v>0</v>
      </c>
      <c r="R296" s="2" t="inlineStr"/>
    </row>
    <row r="297" ht="15" customHeight="1">
      <c r="A297" t="inlineStr">
        <is>
          <t>A 59875-2024</t>
        </is>
      </c>
      <c r="B297" s="1" t="n">
        <v>45640.58716435185</v>
      </c>
      <c r="C297" s="1" t="n">
        <v>46123</v>
      </c>
      <c r="D297" t="inlineStr">
        <is>
          <t>STOCKHOLMS LÄN</t>
        </is>
      </c>
      <c r="E297" t="inlineStr">
        <is>
          <t>NORRTÄLJE</t>
        </is>
      </c>
      <c r="G297" t="n">
        <v>0.3</v>
      </c>
      <c r="H297" t="n">
        <v>0</v>
      </c>
      <c r="I297" t="n">
        <v>0</v>
      </c>
      <c r="J297" t="n">
        <v>0</v>
      </c>
      <c r="K297" t="n">
        <v>0</v>
      </c>
      <c r="L297" t="n">
        <v>0</v>
      </c>
      <c r="M297" t="n">
        <v>0</v>
      </c>
      <c r="N297" t="n">
        <v>0</v>
      </c>
      <c r="O297" t="n">
        <v>0</v>
      </c>
      <c r="P297" t="n">
        <v>0</v>
      </c>
      <c r="Q297" t="n">
        <v>0</v>
      </c>
      <c r="R297" s="2" t="inlineStr"/>
    </row>
    <row r="298" ht="15" customHeight="1">
      <c r="A298" t="inlineStr">
        <is>
          <t>A 11-2024</t>
        </is>
      </c>
      <c r="B298" s="1" t="n">
        <v>45293</v>
      </c>
      <c r="C298" s="1" t="n">
        <v>46123</v>
      </c>
      <c r="D298" t="inlineStr">
        <is>
          <t>STOCKHOLMS LÄN</t>
        </is>
      </c>
      <c r="E298" t="inlineStr">
        <is>
          <t>NORRTÄLJE</t>
        </is>
      </c>
      <c r="F298" t="inlineStr">
        <is>
          <t>Sveaskog</t>
        </is>
      </c>
      <c r="G298" t="n">
        <v>3.2</v>
      </c>
      <c r="H298" t="n">
        <v>0</v>
      </c>
      <c r="I298" t="n">
        <v>0</v>
      </c>
      <c r="J298" t="n">
        <v>0</v>
      </c>
      <c r="K298" t="n">
        <v>0</v>
      </c>
      <c r="L298" t="n">
        <v>0</v>
      </c>
      <c r="M298" t="n">
        <v>0</v>
      </c>
      <c r="N298" t="n">
        <v>0</v>
      </c>
      <c r="O298" t="n">
        <v>0</v>
      </c>
      <c r="P298" t="n">
        <v>0</v>
      </c>
      <c r="Q298" t="n">
        <v>0</v>
      </c>
      <c r="R298" s="2" t="inlineStr"/>
    </row>
    <row r="299" ht="15" customHeight="1">
      <c r="A299" t="inlineStr">
        <is>
          <t>A 31057-2022</t>
        </is>
      </c>
      <c r="B299" s="1" t="n">
        <v>44769</v>
      </c>
      <c r="C299" s="1" t="n">
        <v>46123</v>
      </c>
      <c r="D299" t="inlineStr">
        <is>
          <t>STOCKHOLMS LÄN</t>
        </is>
      </c>
      <c r="E299" t="inlineStr">
        <is>
          <t>NORRTÄLJE</t>
        </is>
      </c>
      <c r="G299" t="n">
        <v>6.5</v>
      </c>
      <c r="H299" t="n">
        <v>0</v>
      </c>
      <c r="I299" t="n">
        <v>0</v>
      </c>
      <c r="J299" t="n">
        <v>0</v>
      </c>
      <c r="K299" t="n">
        <v>0</v>
      </c>
      <c r="L299" t="n">
        <v>0</v>
      </c>
      <c r="M299" t="n">
        <v>0</v>
      </c>
      <c r="N299" t="n">
        <v>0</v>
      </c>
      <c r="O299" t="n">
        <v>0</v>
      </c>
      <c r="P299" t="n">
        <v>0</v>
      </c>
      <c r="Q299" t="n">
        <v>0</v>
      </c>
      <c r="R299" s="2" t="inlineStr"/>
    </row>
    <row r="300" ht="15" customHeight="1">
      <c r="A300" t="inlineStr">
        <is>
          <t>A 14559-2024</t>
        </is>
      </c>
      <c r="B300" s="1" t="n">
        <v>45394.72869212963</v>
      </c>
      <c r="C300" s="1" t="n">
        <v>46123</v>
      </c>
      <c r="D300" t="inlineStr">
        <is>
          <t>STOCKHOLMS LÄN</t>
        </is>
      </c>
      <c r="E300" t="inlineStr">
        <is>
          <t>NORRTÄLJE</t>
        </is>
      </c>
      <c r="G300" t="n">
        <v>4.2</v>
      </c>
      <c r="H300" t="n">
        <v>0</v>
      </c>
      <c r="I300" t="n">
        <v>0</v>
      </c>
      <c r="J300" t="n">
        <v>0</v>
      </c>
      <c r="K300" t="n">
        <v>0</v>
      </c>
      <c r="L300" t="n">
        <v>0</v>
      </c>
      <c r="M300" t="n">
        <v>0</v>
      </c>
      <c r="N300" t="n">
        <v>0</v>
      </c>
      <c r="O300" t="n">
        <v>0</v>
      </c>
      <c r="P300" t="n">
        <v>0</v>
      </c>
      <c r="Q300" t="n">
        <v>0</v>
      </c>
      <c r="R300" s="2" t="inlineStr"/>
    </row>
    <row r="301" ht="15" customHeight="1">
      <c r="A301" t="inlineStr">
        <is>
          <t>A 8433-2022</t>
        </is>
      </c>
      <c r="B301" s="1" t="n">
        <v>44611</v>
      </c>
      <c r="C301" s="1" t="n">
        <v>46123</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25525-2022</t>
        </is>
      </c>
      <c r="B302" s="1" t="n">
        <v>44732</v>
      </c>
      <c r="C302" s="1" t="n">
        <v>46123</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12302-2025</t>
        </is>
      </c>
      <c r="B303" s="1" t="n">
        <v>45729.72851851852</v>
      </c>
      <c r="C303" s="1" t="n">
        <v>46123</v>
      </c>
      <c r="D303" t="inlineStr">
        <is>
          <t>STOCKHOLMS LÄN</t>
        </is>
      </c>
      <c r="E303" t="inlineStr">
        <is>
          <t>NORRTÄLJE</t>
        </is>
      </c>
      <c r="F303" t="inlineStr">
        <is>
          <t>Holmen skog AB</t>
        </is>
      </c>
      <c r="G303" t="n">
        <v>0.8</v>
      </c>
      <c r="H303" t="n">
        <v>0</v>
      </c>
      <c r="I303" t="n">
        <v>0</v>
      </c>
      <c r="J303" t="n">
        <v>0</v>
      </c>
      <c r="K303" t="n">
        <v>0</v>
      </c>
      <c r="L303" t="n">
        <v>0</v>
      </c>
      <c r="M303" t="n">
        <v>0</v>
      </c>
      <c r="N303" t="n">
        <v>0</v>
      </c>
      <c r="O303" t="n">
        <v>0</v>
      </c>
      <c r="P303" t="n">
        <v>0</v>
      </c>
      <c r="Q303" t="n">
        <v>0</v>
      </c>
      <c r="R303" s="2" t="inlineStr"/>
    </row>
    <row r="304" ht="15" customHeight="1">
      <c r="A304" t="inlineStr">
        <is>
          <t>A 15226-2022</t>
        </is>
      </c>
      <c r="B304" s="1" t="n">
        <v>44658</v>
      </c>
      <c r="C304" s="1" t="n">
        <v>46123</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38889-2024</t>
        </is>
      </c>
      <c r="B305" s="1" t="n">
        <v>45547</v>
      </c>
      <c r="C305" s="1" t="n">
        <v>46123</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45451-2024</t>
        </is>
      </c>
      <c r="B306" s="1" t="n">
        <v>45576</v>
      </c>
      <c r="C306" s="1" t="n">
        <v>46123</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3300-2022</t>
        </is>
      </c>
      <c r="B307" s="1" t="n">
        <v>44584.91538194445</v>
      </c>
      <c r="C307" s="1" t="n">
        <v>46123</v>
      </c>
      <c r="D307" t="inlineStr">
        <is>
          <t>STOCKHOLMS LÄN</t>
        </is>
      </c>
      <c r="E307" t="inlineStr">
        <is>
          <t>NORRTÄLJE</t>
        </is>
      </c>
      <c r="G307" t="n">
        <v>0.4</v>
      </c>
      <c r="H307" t="n">
        <v>0</v>
      </c>
      <c r="I307" t="n">
        <v>0</v>
      </c>
      <c r="J307" t="n">
        <v>0</v>
      </c>
      <c r="K307" t="n">
        <v>0</v>
      </c>
      <c r="L307" t="n">
        <v>0</v>
      </c>
      <c r="M307" t="n">
        <v>0</v>
      </c>
      <c r="N307" t="n">
        <v>0</v>
      </c>
      <c r="O307" t="n">
        <v>0</v>
      </c>
      <c r="P307" t="n">
        <v>0</v>
      </c>
      <c r="Q307" t="n">
        <v>0</v>
      </c>
      <c r="R307" s="2" t="inlineStr"/>
    </row>
    <row r="308" ht="15" customHeight="1">
      <c r="A308" t="inlineStr">
        <is>
          <t>A 17388-2022</t>
        </is>
      </c>
      <c r="B308" s="1" t="n">
        <v>44678</v>
      </c>
      <c r="C308" s="1" t="n">
        <v>46123</v>
      </c>
      <c r="D308" t="inlineStr">
        <is>
          <t>STOCKHOLMS LÄN</t>
        </is>
      </c>
      <c r="E308" t="inlineStr">
        <is>
          <t>NORRTÄLJE</t>
        </is>
      </c>
      <c r="G308" t="n">
        <v>2.4</v>
      </c>
      <c r="H308" t="n">
        <v>0</v>
      </c>
      <c r="I308" t="n">
        <v>0</v>
      </c>
      <c r="J308" t="n">
        <v>0</v>
      </c>
      <c r="K308" t="n">
        <v>0</v>
      </c>
      <c r="L308" t="n">
        <v>0</v>
      </c>
      <c r="M308" t="n">
        <v>0</v>
      </c>
      <c r="N308" t="n">
        <v>0</v>
      </c>
      <c r="O308" t="n">
        <v>0</v>
      </c>
      <c r="P308" t="n">
        <v>0</v>
      </c>
      <c r="Q308" t="n">
        <v>0</v>
      </c>
      <c r="R308" s="2" t="inlineStr"/>
    </row>
    <row r="309" ht="15" customHeight="1">
      <c r="A309" t="inlineStr">
        <is>
          <t>A 17771-2022</t>
        </is>
      </c>
      <c r="B309" s="1" t="n">
        <v>44682.75924768519</v>
      </c>
      <c r="C309" s="1" t="n">
        <v>46123</v>
      </c>
      <c r="D309" t="inlineStr">
        <is>
          <t>STOCKHOLMS LÄN</t>
        </is>
      </c>
      <c r="E309" t="inlineStr">
        <is>
          <t>NORRTÄLJE</t>
        </is>
      </c>
      <c r="G309" t="n">
        <v>13.3</v>
      </c>
      <c r="H309" t="n">
        <v>0</v>
      </c>
      <c r="I309" t="n">
        <v>0</v>
      </c>
      <c r="J309" t="n">
        <v>0</v>
      </c>
      <c r="K309" t="n">
        <v>0</v>
      </c>
      <c r="L309" t="n">
        <v>0</v>
      </c>
      <c r="M309" t="n">
        <v>0</v>
      </c>
      <c r="N309" t="n">
        <v>0</v>
      </c>
      <c r="O309" t="n">
        <v>0</v>
      </c>
      <c r="P309" t="n">
        <v>0</v>
      </c>
      <c r="Q309" t="n">
        <v>0</v>
      </c>
      <c r="R309" s="2" t="inlineStr"/>
    </row>
    <row r="310" ht="15" customHeight="1">
      <c r="A310" t="inlineStr">
        <is>
          <t>A 17773-2022</t>
        </is>
      </c>
      <c r="B310" s="1" t="n">
        <v>44682.77616898148</v>
      </c>
      <c r="C310" s="1" t="n">
        <v>46123</v>
      </c>
      <c r="D310" t="inlineStr">
        <is>
          <t>STOCKHOLMS LÄN</t>
        </is>
      </c>
      <c r="E310" t="inlineStr">
        <is>
          <t>NORRTÄLJE</t>
        </is>
      </c>
      <c r="G310" t="n">
        <v>10.8</v>
      </c>
      <c r="H310" t="n">
        <v>0</v>
      </c>
      <c r="I310" t="n">
        <v>0</v>
      </c>
      <c r="J310" t="n">
        <v>0</v>
      </c>
      <c r="K310" t="n">
        <v>0</v>
      </c>
      <c r="L310" t="n">
        <v>0</v>
      </c>
      <c r="M310" t="n">
        <v>0</v>
      </c>
      <c r="N310" t="n">
        <v>0</v>
      </c>
      <c r="O310" t="n">
        <v>0</v>
      </c>
      <c r="P310" t="n">
        <v>0</v>
      </c>
      <c r="Q310" t="n">
        <v>0</v>
      </c>
      <c r="R310" s="2" t="inlineStr"/>
    </row>
    <row r="311" ht="15" customHeight="1">
      <c r="A311" t="inlineStr">
        <is>
          <t>A 31140-2023</t>
        </is>
      </c>
      <c r="B311" s="1" t="n">
        <v>45113</v>
      </c>
      <c r="C311" s="1" t="n">
        <v>46123</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31149-2023</t>
        </is>
      </c>
      <c r="B312" s="1" t="n">
        <v>45113</v>
      </c>
      <c r="C312" s="1" t="n">
        <v>46123</v>
      </c>
      <c r="D312" t="inlineStr">
        <is>
          <t>STOCKHOLMS LÄN</t>
        </is>
      </c>
      <c r="E312" t="inlineStr">
        <is>
          <t>NORRTÄLJE</t>
        </is>
      </c>
      <c r="G312" t="n">
        <v>7.1</v>
      </c>
      <c r="H312" t="n">
        <v>0</v>
      </c>
      <c r="I312" t="n">
        <v>0</v>
      </c>
      <c r="J312" t="n">
        <v>0</v>
      </c>
      <c r="K312" t="n">
        <v>0</v>
      </c>
      <c r="L312" t="n">
        <v>0</v>
      </c>
      <c r="M312" t="n">
        <v>0</v>
      </c>
      <c r="N312" t="n">
        <v>0</v>
      </c>
      <c r="O312" t="n">
        <v>0</v>
      </c>
      <c r="P312" t="n">
        <v>0</v>
      </c>
      <c r="Q312" t="n">
        <v>0</v>
      </c>
      <c r="R312" s="2" t="inlineStr"/>
    </row>
    <row r="313" ht="15" customHeight="1">
      <c r="A313" t="inlineStr">
        <is>
          <t>A 10521-2022</t>
        </is>
      </c>
      <c r="B313" s="1" t="n">
        <v>44623</v>
      </c>
      <c r="C313" s="1" t="n">
        <v>46123</v>
      </c>
      <c r="D313" t="inlineStr">
        <is>
          <t>STOCKHOLMS LÄN</t>
        </is>
      </c>
      <c r="E313" t="inlineStr">
        <is>
          <t>NORRTÄLJE</t>
        </is>
      </c>
      <c r="G313" t="n">
        <v>2.9</v>
      </c>
      <c r="H313" t="n">
        <v>0</v>
      </c>
      <c r="I313" t="n">
        <v>0</v>
      </c>
      <c r="J313" t="n">
        <v>0</v>
      </c>
      <c r="K313" t="n">
        <v>0</v>
      </c>
      <c r="L313" t="n">
        <v>0</v>
      </c>
      <c r="M313" t="n">
        <v>0</v>
      </c>
      <c r="N313" t="n">
        <v>0</v>
      </c>
      <c r="O313" t="n">
        <v>0</v>
      </c>
      <c r="P313" t="n">
        <v>0</v>
      </c>
      <c r="Q313" t="n">
        <v>0</v>
      </c>
      <c r="R313" s="2" t="inlineStr"/>
    </row>
    <row r="314" ht="15" customHeight="1">
      <c r="A314" t="inlineStr">
        <is>
          <t>A 4658-2024</t>
        </is>
      </c>
      <c r="B314" s="1" t="n">
        <v>45328.46336805556</v>
      </c>
      <c r="C314" s="1" t="n">
        <v>46123</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38593-2025</t>
        </is>
      </c>
      <c r="B315" s="1" t="n">
        <v>45884.48696759259</v>
      </c>
      <c r="C315" s="1" t="n">
        <v>46123</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16117-2022</t>
        </is>
      </c>
      <c r="B316" s="1" t="n">
        <v>44665.65474537037</v>
      </c>
      <c r="C316" s="1" t="n">
        <v>46123</v>
      </c>
      <c r="D316" t="inlineStr">
        <is>
          <t>STOCKHOLMS LÄN</t>
        </is>
      </c>
      <c r="E316" t="inlineStr">
        <is>
          <t>NORRTÄLJE</t>
        </is>
      </c>
      <c r="G316" t="n">
        <v>8.1</v>
      </c>
      <c r="H316" t="n">
        <v>0</v>
      </c>
      <c r="I316" t="n">
        <v>0</v>
      </c>
      <c r="J316" t="n">
        <v>0</v>
      </c>
      <c r="K316" t="n">
        <v>0</v>
      </c>
      <c r="L316" t="n">
        <v>0</v>
      </c>
      <c r="M316" t="n">
        <v>0</v>
      </c>
      <c r="N316" t="n">
        <v>0</v>
      </c>
      <c r="O316" t="n">
        <v>0</v>
      </c>
      <c r="P316" t="n">
        <v>0</v>
      </c>
      <c r="Q316" t="n">
        <v>0</v>
      </c>
      <c r="R316" s="2" t="inlineStr"/>
    </row>
    <row r="317" ht="15" customHeight="1">
      <c r="A317" t="inlineStr">
        <is>
          <t>A 16132-2022</t>
        </is>
      </c>
      <c r="B317" s="1" t="n">
        <v>44665.78351851852</v>
      </c>
      <c r="C317" s="1" t="n">
        <v>46123</v>
      </c>
      <c r="D317" t="inlineStr">
        <is>
          <t>STOCKHOLMS LÄN</t>
        </is>
      </c>
      <c r="E317" t="inlineStr">
        <is>
          <t>NORRTÄLJE</t>
        </is>
      </c>
      <c r="G317" t="n">
        <v>4.4</v>
      </c>
      <c r="H317" t="n">
        <v>0</v>
      </c>
      <c r="I317" t="n">
        <v>0</v>
      </c>
      <c r="J317" t="n">
        <v>0</v>
      </c>
      <c r="K317" t="n">
        <v>0</v>
      </c>
      <c r="L317" t="n">
        <v>0</v>
      </c>
      <c r="M317" t="n">
        <v>0</v>
      </c>
      <c r="N317" t="n">
        <v>0</v>
      </c>
      <c r="O317" t="n">
        <v>0</v>
      </c>
      <c r="P317" t="n">
        <v>0</v>
      </c>
      <c r="Q317" t="n">
        <v>0</v>
      </c>
      <c r="R317" s="2" t="inlineStr"/>
    </row>
    <row r="318" ht="15" customHeight="1">
      <c r="A318" t="inlineStr">
        <is>
          <t>A 19131-2025</t>
        </is>
      </c>
      <c r="B318" s="1" t="n">
        <v>45769</v>
      </c>
      <c r="C318" s="1" t="n">
        <v>46123</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70170-2021</t>
        </is>
      </c>
      <c r="B319" s="1" t="n">
        <v>44533</v>
      </c>
      <c r="C319" s="1" t="n">
        <v>46123</v>
      </c>
      <c r="D319" t="inlineStr">
        <is>
          <t>STOCKHOLMS LÄN</t>
        </is>
      </c>
      <c r="E319" t="inlineStr">
        <is>
          <t>NORRTÄLJE</t>
        </is>
      </c>
      <c r="G319" t="n">
        <v>2.7</v>
      </c>
      <c r="H319" t="n">
        <v>0</v>
      </c>
      <c r="I319" t="n">
        <v>0</v>
      </c>
      <c r="J319" t="n">
        <v>0</v>
      </c>
      <c r="K319" t="n">
        <v>0</v>
      </c>
      <c r="L319" t="n">
        <v>0</v>
      </c>
      <c r="M319" t="n">
        <v>0</v>
      </c>
      <c r="N319" t="n">
        <v>0</v>
      </c>
      <c r="O319" t="n">
        <v>0</v>
      </c>
      <c r="P319" t="n">
        <v>0</v>
      </c>
      <c r="Q319" t="n">
        <v>0</v>
      </c>
      <c r="R319" s="2" t="inlineStr"/>
    </row>
    <row r="320" ht="15" customHeight="1">
      <c r="A320" t="inlineStr">
        <is>
          <t>A 25463-2021</t>
        </is>
      </c>
      <c r="B320" s="1" t="n">
        <v>44342</v>
      </c>
      <c r="C320" s="1" t="n">
        <v>46123</v>
      </c>
      <c r="D320" t="inlineStr">
        <is>
          <t>STOCKHOLMS LÄN</t>
        </is>
      </c>
      <c r="E320" t="inlineStr">
        <is>
          <t>NORRTÄLJE</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26644-2024</t>
        </is>
      </c>
      <c r="B321" s="1" t="n">
        <v>45469</v>
      </c>
      <c r="C321" s="1" t="n">
        <v>46123</v>
      </c>
      <c r="D321" t="inlineStr">
        <is>
          <t>STOCKHOLMS LÄN</t>
        </is>
      </c>
      <c r="E321" t="inlineStr">
        <is>
          <t>NORRTÄLJE</t>
        </is>
      </c>
      <c r="G321" t="n">
        <v>4.3</v>
      </c>
      <c r="H321" t="n">
        <v>0</v>
      </c>
      <c r="I321" t="n">
        <v>0</v>
      </c>
      <c r="J321" t="n">
        <v>0</v>
      </c>
      <c r="K321" t="n">
        <v>0</v>
      </c>
      <c r="L321" t="n">
        <v>0</v>
      </c>
      <c r="M321" t="n">
        <v>0</v>
      </c>
      <c r="N321" t="n">
        <v>0</v>
      </c>
      <c r="O321" t="n">
        <v>0</v>
      </c>
      <c r="P321" t="n">
        <v>0</v>
      </c>
      <c r="Q321" t="n">
        <v>0</v>
      </c>
      <c r="R321" s="2" t="inlineStr"/>
    </row>
    <row r="322" ht="15" customHeight="1">
      <c r="A322" t="inlineStr">
        <is>
          <t>A 21102-2022</t>
        </is>
      </c>
      <c r="B322" s="1" t="n">
        <v>44704</v>
      </c>
      <c r="C322" s="1" t="n">
        <v>46123</v>
      </c>
      <c r="D322" t="inlineStr">
        <is>
          <t>STOCKHOLMS LÄN</t>
        </is>
      </c>
      <c r="E322" t="inlineStr">
        <is>
          <t>NORRTÄLJE</t>
        </is>
      </c>
      <c r="G322" t="n">
        <v>0.2</v>
      </c>
      <c r="H322" t="n">
        <v>0</v>
      </c>
      <c r="I322" t="n">
        <v>0</v>
      </c>
      <c r="J322" t="n">
        <v>0</v>
      </c>
      <c r="K322" t="n">
        <v>0</v>
      </c>
      <c r="L322" t="n">
        <v>0</v>
      </c>
      <c r="M322" t="n">
        <v>0</v>
      </c>
      <c r="N322" t="n">
        <v>0</v>
      </c>
      <c r="O322" t="n">
        <v>0</v>
      </c>
      <c r="P322" t="n">
        <v>0</v>
      </c>
      <c r="Q322" t="n">
        <v>0</v>
      </c>
      <c r="R322" s="2" t="inlineStr"/>
    </row>
    <row r="323" ht="15" customHeight="1">
      <c r="A323" t="inlineStr">
        <is>
          <t>A 71880-2021</t>
        </is>
      </c>
      <c r="B323" s="1" t="n">
        <v>44543</v>
      </c>
      <c r="C323" s="1" t="n">
        <v>46123</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17772-2022</t>
        </is>
      </c>
      <c r="B324" s="1" t="n">
        <v>44682.76528935185</v>
      </c>
      <c r="C324" s="1" t="n">
        <v>46123</v>
      </c>
      <c r="D324" t="inlineStr">
        <is>
          <t>STOCKHOLMS LÄN</t>
        </is>
      </c>
      <c r="E324" t="inlineStr">
        <is>
          <t>NORRTÄLJE</t>
        </is>
      </c>
      <c r="G324" t="n">
        <v>4</v>
      </c>
      <c r="H324" t="n">
        <v>0</v>
      </c>
      <c r="I324" t="n">
        <v>0</v>
      </c>
      <c r="J324" t="n">
        <v>0</v>
      </c>
      <c r="K324" t="n">
        <v>0</v>
      </c>
      <c r="L324" t="n">
        <v>0</v>
      </c>
      <c r="M324" t="n">
        <v>0</v>
      </c>
      <c r="N324" t="n">
        <v>0</v>
      </c>
      <c r="O324" t="n">
        <v>0</v>
      </c>
      <c r="P324" t="n">
        <v>0</v>
      </c>
      <c r="Q324" t="n">
        <v>0</v>
      </c>
      <c r="R324" s="2" t="inlineStr"/>
    </row>
    <row r="325" ht="15" customHeight="1">
      <c r="A325" t="inlineStr">
        <is>
          <t>A 2982-2023</t>
        </is>
      </c>
      <c r="B325" s="1" t="n">
        <v>44945.67409722223</v>
      </c>
      <c r="C325" s="1" t="n">
        <v>46123</v>
      </c>
      <c r="D325" t="inlineStr">
        <is>
          <t>STOCKHOLMS LÄN</t>
        </is>
      </c>
      <c r="E325" t="inlineStr">
        <is>
          <t>NORRTÄLJE</t>
        </is>
      </c>
      <c r="G325" t="n">
        <v>3.3</v>
      </c>
      <c r="H325" t="n">
        <v>0</v>
      </c>
      <c r="I325" t="n">
        <v>0</v>
      </c>
      <c r="J325" t="n">
        <v>0</v>
      </c>
      <c r="K325" t="n">
        <v>0</v>
      </c>
      <c r="L325" t="n">
        <v>0</v>
      </c>
      <c r="M325" t="n">
        <v>0</v>
      </c>
      <c r="N325" t="n">
        <v>0</v>
      </c>
      <c r="O325" t="n">
        <v>0</v>
      </c>
      <c r="P325" t="n">
        <v>0</v>
      </c>
      <c r="Q325" t="n">
        <v>0</v>
      </c>
      <c r="R325" s="2" t="inlineStr"/>
    </row>
    <row r="326" ht="15" customHeight="1">
      <c r="A326" t="inlineStr">
        <is>
          <t>A 67285-2021</t>
        </is>
      </c>
      <c r="B326" s="1" t="n">
        <v>44523.61635416667</v>
      </c>
      <c r="C326" s="1" t="n">
        <v>46123</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12535-2025</t>
        </is>
      </c>
      <c r="B327" s="1" t="n">
        <v>45730.69502314815</v>
      </c>
      <c r="C327" s="1" t="n">
        <v>46123</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5611-2022</t>
        </is>
      </c>
      <c r="B328" s="1" t="n">
        <v>44595</v>
      </c>
      <c r="C328" s="1" t="n">
        <v>46123</v>
      </c>
      <c r="D328" t="inlineStr">
        <is>
          <t>STOCKHOLMS LÄN</t>
        </is>
      </c>
      <c r="E328" t="inlineStr">
        <is>
          <t>NORRTÄLJE</t>
        </is>
      </c>
      <c r="G328" t="n">
        <v>0.5</v>
      </c>
      <c r="H328" t="n">
        <v>0</v>
      </c>
      <c r="I328" t="n">
        <v>0</v>
      </c>
      <c r="J328" t="n">
        <v>0</v>
      </c>
      <c r="K328" t="n">
        <v>0</v>
      </c>
      <c r="L328" t="n">
        <v>0</v>
      </c>
      <c r="M328" t="n">
        <v>0</v>
      </c>
      <c r="N328" t="n">
        <v>0</v>
      </c>
      <c r="O328" t="n">
        <v>0</v>
      </c>
      <c r="P328" t="n">
        <v>0</v>
      </c>
      <c r="Q328" t="n">
        <v>0</v>
      </c>
      <c r="R328" s="2" t="inlineStr"/>
    </row>
    <row r="329" ht="15" customHeight="1">
      <c r="A329" t="inlineStr">
        <is>
          <t>A 32055-2021</t>
        </is>
      </c>
      <c r="B329" s="1" t="n">
        <v>44370.72197916666</v>
      </c>
      <c r="C329" s="1" t="n">
        <v>46123</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24101-2022</t>
        </is>
      </c>
      <c r="B330" s="1" t="n">
        <v>44725</v>
      </c>
      <c r="C330" s="1" t="n">
        <v>46123</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37136-2023</t>
        </is>
      </c>
      <c r="B331" s="1" t="n">
        <v>45155</v>
      </c>
      <c r="C331" s="1" t="n">
        <v>46123</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18787-2022</t>
        </is>
      </c>
      <c r="B332" s="1" t="n">
        <v>44687</v>
      </c>
      <c r="C332" s="1" t="n">
        <v>46123</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13718-2022</t>
        </is>
      </c>
      <c r="B333" s="1" t="n">
        <v>44649</v>
      </c>
      <c r="C333" s="1" t="n">
        <v>46123</v>
      </c>
      <c r="D333" t="inlineStr">
        <is>
          <t>STOCKHOLMS LÄN</t>
        </is>
      </c>
      <c r="E333" t="inlineStr">
        <is>
          <t>NORRTÄLJE</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25621-2022</t>
        </is>
      </c>
      <c r="B334" s="1" t="n">
        <v>44732</v>
      </c>
      <c r="C334" s="1" t="n">
        <v>46123</v>
      </c>
      <c r="D334" t="inlineStr">
        <is>
          <t>STOCKHOLMS LÄN</t>
        </is>
      </c>
      <c r="E334" t="inlineStr">
        <is>
          <t>NORRTÄLJE</t>
        </is>
      </c>
      <c r="G334" t="n">
        <v>3.1</v>
      </c>
      <c r="H334" t="n">
        <v>0</v>
      </c>
      <c r="I334" t="n">
        <v>0</v>
      </c>
      <c r="J334" t="n">
        <v>0</v>
      </c>
      <c r="K334" t="n">
        <v>0</v>
      </c>
      <c r="L334" t="n">
        <v>0</v>
      </c>
      <c r="M334" t="n">
        <v>0</v>
      </c>
      <c r="N334" t="n">
        <v>0</v>
      </c>
      <c r="O334" t="n">
        <v>0</v>
      </c>
      <c r="P334" t="n">
        <v>0</v>
      </c>
      <c r="Q334" t="n">
        <v>0</v>
      </c>
      <c r="R334" s="2" t="inlineStr"/>
    </row>
    <row r="335" ht="15" customHeight="1">
      <c r="A335" t="inlineStr">
        <is>
          <t>A 38721-2022</t>
        </is>
      </c>
      <c r="B335" s="1" t="n">
        <v>44815</v>
      </c>
      <c r="C335" s="1" t="n">
        <v>46123</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36269-2022</t>
        </is>
      </c>
      <c r="B336" s="1" t="n">
        <v>44803</v>
      </c>
      <c r="C336" s="1" t="n">
        <v>46123</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36308-2022</t>
        </is>
      </c>
      <c r="B337" s="1" t="n">
        <v>44803</v>
      </c>
      <c r="C337" s="1" t="n">
        <v>46123</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60184-2021</t>
        </is>
      </c>
      <c r="B338" s="1" t="n">
        <v>44495</v>
      </c>
      <c r="C338" s="1" t="n">
        <v>46123</v>
      </c>
      <c r="D338" t="inlineStr">
        <is>
          <t>STOCKHOLMS LÄN</t>
        </is>
      </c>
      <c r="E338" t="inlineStr">
        <is>
          <t>NORRTÄLJE</t>
        </is>
      </c>
      <c r="G338" t="n">
        <v>1.8</v>
      </c>
      <c r="H338" t="n">
        <v>0</v>
      </c>
      <c r="I338" t="n">
        <v>0</v>
      </c>
      <c r="J338" t="n">
        <v>0</v>
      </c>
      <c r="K338" t="n">
        <v>0</v>
      </c>
      <c r="L338" t="n">
        <v>0</v>
      </c>
      <c r="M338" t="n">
        <v>0</v>
      </c>
      <c r="N338" t="n">
        <v>0</v>
      </c>
      <c r="O338" t="n">
        <v>0</v>
      </c>
      <c r="P338" t="n">
        <v>0</v>
      </c>
      <c r="Q338" t="n">
        <v>0</v>
      </c>
      <c r="R338" s="2" t="inlineStr"/>
    </row>
    <row r="339" ht="15" customHeight="1">
      <c r="A339" t="inlineStr">
        <is>
          <t>A 27677-2025</t>
        </is>
      </c>
      <c r="B339" s="1" t="n">
        <v>45813.63650462963</v>
      </c>
      <c r="C339" s="1" t="n">
        <v>46123</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39152-2025</t>
        </is>
      </c>
      <c r="B340" s="1" t="n">
        <v>45888</v>
      </c>
      <c r="C340" s="1" t="n">
        <v>46123</v>
      </c>
      <c r="D340" t="inlineStr">
        <is>
          <t>STOCKHOLMS LÄN</t>
        </is>
      </c>
      <c r="E340" t="inlineStr">
        <is>
          <t>NORRTÄLJE</t>
        </is>
      </c>
      <c r="G340" t="n">
        <v>4.6</v>
      </c>
      <c r="H340" t="n">
        <v>0</v>
      </c>
      <c r="I340" t="n">
        <v>0</v>
      </c>
      <c r="J340" t="n">
        <v>0</v>
      </c>
      <c r="K340" t="n">
        <v>0</v>
      </c>
      <c r="L340" t="n">
        <v>0</v>
      </c>
      <c r="M340" t="n">
        <v>0</v>
      </c>
      <c r="N340" t="n">
        <v>0</v>
      </c>
      <c r="O340" t="n">
        <v>0</v>
      </c>
      <c r="P340" t="n">
        <v>0</v>
      </c>
      <c r="Q340" t="n">
        <v>0</v>
      </c>
      <c r="R340" s="2" t="inlineStr"/>
    </row>
    <row r="341" ht="15" customHeight="1">
      <c r="A341" t="inlineStr">
        <is>
          <t>A 27828-2022</t>
        </is>
      </c>
      <c r="B341" s="1" t="n">
        <v>44743.59765046297</v>
      </c>
      <c r="C341" s="1" t="n">
        <v>46123</v>
      </c>
      <c r="D341" t="inlineStr">
        <is>
          <t>STOCKHOLMS LÄN</t>
        </is>
      </c>
      <c r="E341" t="inlineStr">
        <is>
          <t>NORRTÄLJE</t>
        </is>
      </c>
      <c r="F341" t="inlineStr">
        <is>
          <t>Kommuner</t>
        </is>
      </c>
      <c r="G341" t="n">
        <v>1.6</v>
      </c>
      <c r="H341" t="n">
        <v>0</v>
      </c>
      <c r="I341" t="n">
        <v>0</v>
      </c>
      <c r="J341" t="n">
        <v>0</v>
      </c>
      <c r="K341" t="n">
        <v>0</v>
      </c>
      <c r="L341" t="n">
        <v>0</v>
      </c>
      <c r="M341" t="n">
        <v>0</v>
      </c>
      <c r="N341" t="n">
        <v>0</v>
      </c>
      <c r="O341" t="n">
        <v>0</v>
      </c>
      <c r="P341" t="n">
        <v>0</v>
      </c>
      <c r="Q341" t="n">
        <v>0</v>
      </c>
      <c r="R341" s="2" t="inlineStr"/>
    </row>
    <row r="342" ht="15" customHeight="1">
      <c r="A342" t="inlineStr">
        <is>
          <t>A 16229-2022</t>
        </is>
      </c>
      <c r="B342" s="1" t="n">
        <v>44670.4190162037</v>
      </c>
      <c r="C342" s="1" t="n">
        <v>46123</v>
      </c>
      <c r="D342" t="inlineStr">
        <is>
          <t>STOCKHOLMS LÄN</t>
        </is>
      </c>
      <c r="E342" t="inlineStr">
        <is>
          <t>NORRTÄLJE</t>
        </is>
      </c>
      <c r="G342" t="n">
        <v>7.4</v>
      </c>
      <c r="H342" t="n">
        <v>0</v>
      </c>
      <c r="I342" t="n">
        <v>0</v>
      </c>
      <c r="J342" t="n">
        <v>0</v>
      </c>
      <c r="K342" t="n">
        <v>0</v>
      </c>
      <c r="L342" t="n">
        <v>0</v>
      </c>
      <c r="M342" t="n">
        <v>0</v>
      </c>
      <c r="N342" t="n">
        <v>0</v>
      </c>
      <c r="O342" t="n">
        <v>0</v>
      </c>
      <c r="P342" t="n">
        <v>0</v>
      </c>
      <c r="Q342" t="n">
        <v>0</v>
      </c>
      <c r="R342" s="2" t="inlineStr"/>
    </row>
    <row r="343" ht="15" customHeight="1">
      <c r="A343" t="inlineStr">
        <is>
          <t>A 39149-2025</t>
        </is>
      </c>
      <c r="B343" s="1" t="n">
        <v>45888.60714120371</v>
      </c>
      <c r="C343" s="1" t="n">
        <v>46123</v>
      </c>
      <c r="D343" t="inlineStr">
        <is>
          <t>STOCKHOLMS LÄN</t>
        </is>
      </c>
      <c r="E343" t="inlineStr">
        <is>
          <t>NORRTÄLJE</t>
        </is>
      </c>
      <c r="G343" t="n">
        <v>3.5</v>
      </c>
      <c r="H343" t="n">
        <v>0</v>
      </c>
      <c r="I343" t="n">
        <v>0</v>
      </c>
      <c r="J343" t="n">
        <v>0</v>
      </c>
      <c r="K343" t="n">
        <v>0</v>
      </c>
      <c r="L343" t="n">
        <v>0</v>
      </c>
      <c r="M343" t="n">
        <v>0</v>
      </c>
      <c r="N343" t="n">
        <v>0</v>
      </c>
      <c r="O343" t="n">
        <v>0</v>
      </c>
      <c r="P343" t="n">
        <v>0</v>
      </c>
      <c r="Q343" t="n">
        <v>0</v>
      </c>
      <c r="R343" s="2" t="inlineStr"/>
    </row>
    <row r="344" ht="15" customHeight="1">
      <c r="A344" t="inlineStr">
        <is>
          <t>A 33226-2024</t>
        </is>
      </c>
      <c r="B344" s="1" t="n">
        <v>45518</v>
      </c>
      <c r="C344" s="1" t="n">
        <v>46123</v>
      </c>
      <c r="D344" t="inlineStr">
        <is>
          <t>STOCKHOLMS LÄN</t>
        </is>
      </c>
      <c r="E344" t="inlineStr">
        <is>
          <t>NORRTÄLJE</t>
        </is>
      </c>
      <c r="G344" t="n">
        <v>13.8</v>
      </c>
      <c r="H344" t="n">
        <v>0</v>
      </c>
      <c r="I344" t="n">
        <v>0</v>
      </c>
      <c r="J344" t="n">
        <v>0</v>
      </c>
      <c r="K344" t="n">
        <v>0</v>
      </c>
      <c r="L344" t="n">
        <v>0</v>
      </c>
      <c r="M344" t="n">
        <v>0</v>
      </c>
      <c r="N344" t="n">
        <v>0</v>
      </c>
      <c r="O344" t="n">
        <v>0</v>
      </c>
      <c r="P344" t="n">
        <v>0</v>
      </c>
      <c r="Q344" t="n">
        <v>0</v>
      </c>
      <c r="R344" s="2" t="inlineStr"/>
    </row>
    <row r="345" ht="15" customHeight="1">
      <c r="A345" t="inlineStr">
        <is>
          <t>A 7571-2024</t>
        </is>
      </c>
      <c r="B345" s="1" t="n">
        <v>45348.46300925926</v>
      </c>
      <c r="C345" s="1" t="n">
        <v>46123</v>
      </c>
      <c r="D345" t="inlineStr">
        <is>
          <t>STOCKHOLMS LÄN</t>
        </is>
      </c>
      <c r="E345" t="inlineStr">
        <is>
          <t>NORRTÄLJE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22008-2024</t>
        </is>
      </c>
      <c r="B346" s="1" t="n">
        <v>45443</v>
      </c>
      <c r="C346" s="1" t="n">
        <v>46123</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11849-2025</t>
        </is>
      </c>
      <c r="B347" s="1" t="n">
        <v>45728.38409722222</v>
      </c>
      <c r="C347" s="1" t="n">
        <v>46123</v>
      </c>
      <c r="D347" t="inlineStr">
        <is>
          <t>STOCKHOLMS LÄN</t>
        </is>
      </c>
      <c r="E347" t="inlineStr">
        <is>
          <t>NORRTÄLJE</t>
        </is>
      </c>
      <c r="G347" t="n">
        <v>1.7</v>
      </c>
      <c r="H347" t="n">
        <v>0</v>
      </c>
      <c r="I347" t="n">
        <v>0</v>
      </c>
      <c r="J347" t="n">
        <v>0</v>
      </c>
      <c r="K347" t="n">
        <v>0</v>
      </c>
      <c r="L347" t="n">
        <v>0</v>
      </c>
      <c r="M347" t="n">
        <v>0</v>
      </c>
      <c r="N347" t="n">
        <v>0</v>
      </c>
      <c r="O347" t="n">
        <v>0</v>
      </c>
      <c r="P347" t="n">
        <v>0</v>
      </c>
      <c r="Q347" t="n">
        <v>0</v>
      </c>
      <c r="R347" s="2" t="inlineStr"/>
    </row>
    <row r="348" ht="15" customHeight="1">
      <c r="A348" t="inlineStr">
        <is>
          <t>A 55243-2023</t>
        </is>
      </c>
      <c r="B348" s="1" t="n">
        <v>45237</v>
      </c>
      <c r="C348" s="1" t="n">
        <v>46123</v>
      </c>
      <c r="D348" t="inlineStr">
        <is>
          <t>STOCKHOLMS LÄN</t>
        </is>
      </c>
      <c r="E348" t="inlineStr">
        <is>
          <t>NORRTÄLJE</t>
        </is>
      </c>
      <c r="G348" t="n">
        <v>6.5</v>
      </c>
      <c r="H348" t="n">
        <v>0</v>
      </c>
      <c r="I348" t="n">
        <v>0</v>
      </c>
      <c r="J348" t="n">
        <v>0</v>
      </c>
      <c r="K348" t="n">
        <v>0</v>
      </c>
      <c r="L348" t="n">
        <v>0</v>
      </c>
      <c r="M348" t="n">
        <v>0</v>
      </c>
      <c r="N348" t="n">
        <v>0</v>
      </c>
      <c r="O348" t="n">
        <v>0</v>
      </c>
      <c r="P348" t="n">
        <v>0</v>
      </c>
      <c r="Q348" t="n">
        <v>0</v>
      </c>
      <c r="R348" s="2" t="inlineStr"/>
    </row>
    <row r="349" ht="15" customHeight="1">
      <c r="A349" t="inlineStr">
        <is>
          <t>A 39692-2025</t>
        </is>
      </c>
      <c r="B349" s="1" t="n">
        <v>45890.68083333333</v>
      </c>
      <c r="C349" s="1" t="n">
        <v>46123</v>
      </c>
      <c r="D349" t="inlineStr">
        <is>
          <t>STOCKHOLMS LÄN</t>
        </is>
      </c>
      <c r="E349" t="inlineStr">
        <is>
          <t>NORRTÄLJE</t>
        </is>
      </c>
      <c r="G349" t="n">
        <v>10.5</v>
      </c>
      <c r="H349" t="n">
        <v>0</v>
      </c>
      <c r="I349" t="n">
        <v>0</v>
      </c>
      <c r="J349" t="n">
        <v>0</v>
      </c>
      <c r="K349" t="n">
        <v>0</v>
      </c>
      <c r="L349" t="n">
        <v>0</v>
      </c>
      <c r="M349" t="n">
        <v>0</v>
      </c>
      <c r="N349" t="n">
        <v>0</v>
      </c>
      <c r="O349" t="n">
        <v>0</v>
      </c>
      <c r="P349" t="n">
        <v>0</v>
      </c>
      <c r="Q349" t="n">
        <v>0</v>
      </c>
      <c r="R349" s="2" t="inlineStr"/>
    </row>
    <row r="350" ht="15" customHeight="1">
      <c r="A350" t="inlineStr">
        <is>
          <t>A 52260-2022</t>
        </is>
      </c>
      <c r="B350" s="1" t="n">
        <v>44869</v>
      </c>
      <c r="C350" s="1" t="n">
        <v>46123</v>
      </c>
      <c r="D350" t="inlineStr">
        <is>
          <t>STOCKHOLMS LÄN</t>
        </is>
      </c>
      <c r="E350" t="inlineStr">
        <is>
          <t>NORRTÄLJE</t>
        </is>
      </c>
      <c r="G350" t="n">
        <v>3.1</v>
      </c>
      <c r="H350" t="n">
        <v>0</v>
      </c>
      <c r="I350" t="n">
        <v>0</v>
      </c>
      <c r="J350" t="n">
        <v>0</v>
      </c>
      <c r="K350" t="n">
        <v>0</v>
      </c>
      <c r="L350" t="n">
        <v>0</v>
      </c>
      <c r="M350" t="n">
        <v>0</v>
      </c>
      <c r="N350" t="n">
        <v>0</v>
      </c>
      <c r="O350" t="n">
        <v>0</v>
      </c>
      <c r="P350" t="n">
        <v>0</v>
      </c>
      <c r="Q350" t="n">
        <v>0</v>
      </c>
      <c r="R350" s="2" t="inlineStr"/>
    </row>
    <row r="351" ht="15" customHeight="1">
      <c r="A351" t="inlineStr">
        <is>
          <t>A 25557-2023</t>
        </is>
      </c>
      <c r="B351" s="1" t="n">
        <v>45089</v>
      </c>
      <c r="C351" s="1" t="n">
        <v>46123</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27715-2022</t>
        </is>
      </c>
      <c r="B352" s="1" t="n">
        <v>44743.47407407407</v>
      </c>
      <c r="C352" s="1" t="n">
        <v>46123</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40425-2021</t>
        </is>
      </c>
      <c r="B353" s="1" t="n">
        <v>44419</v>
      </c>
      <c r="C353" s="1" t="n">
        <v>46123</v>
      </c>
      <c r="D353" t="inlineStr">
        <is>
          <t>STOCKHOLMS LÄN</t>
        </is>
      </c>
      <c r="E353" t="inlineStr">
        <is>
          <t>NORRTÄLJE</t>
        </is>
      </c>
      <c r="G353" t="n">
        <v>5</v>
      </c>
      <c r="H353" t="n">
        <v>0</v>
      </c>
      <c r="I353" t="n">
        <v>0</v>
      </c>
      <c r="J353" t="n">
        <v>0</v>
      </c>
      <c r="K353" t="n">
        <v>0</v>
      </c>
      <c r="L353" t="n">
        <v>0</v>
      </c>
      <c r="M353" t="n">
        <v>0</v>
      </c>
      <c r="N353" t="n">
        <v>0</v>
      </c>
      <c r="O353" t="n">
        <v>0</v>
      </c>
      <c r="P353" t="n">
        <v>0</v>
      </c>
      <c r="Q353" t="n">
        <v>0</v>
      </c>
      <c r="R353" s="2" t="inlineStr"/>
    </row>
    <row r="354" ht="15" customHeight="1">
      <c r="A354" t="inlineStr">
        <is>
          <t>A 35639-2025</t>
        </is>
      </c>
      <c r="B354" s="1" t="n">
        <v>45859</v>
      </c>
      <c r="C354" s="1" t="n">
        <v>46123</v>
      </c>
      <c r="D354" t="inlineStr">
        <is>
          <t>STOCKHOLMS LÄN</t>
        </is>
      </c>
      <c r="E354" t="inlineStr">
        <is>
          <t>NORRTÄLJE</t>
        </is>
      </c>
      <c r="G354" t="n">
        <v>0.7</v>
      </c>
      <c r="H354" t="n">
        <v>0</v>
      </c>
      <c r="I354" t="n">
        <v>0</v>
      </c>
      <c r="J354" t="n">
        <v>0</v>
      </c>
      <c r="K354" t="n">
        <v>0</v>
      </c>
      <c r="L354" t="n">
        <v>0</v>
      </c>
      <c r="M354" t="n">
        <v>0</v>
      </c>
      <c r="N354" t="n">
        <v>0</v>
      </c>
      <c r="O354" t="n">
        <v>0</v>
      </c>
      <c r="P354" t="n">
        <v>0</v>
      </c>
      <c r="Q354" t="n">
        <v>0</v>
      </c>
      <c r="R354" s="2" t="inlineStr"/>
    </row>
    <row r="355" ht="15" customHeight="1">
      <c r="A355" t="inlineStr">
        <is>
          <t>A 58990-2021</t>
        </is>
      </c>
      <c r="B355" s="1" t="n">
        <v>44490.03621527777</v>
      </c>
      <c r="C355" s="1" t="n">
        <v>46123</v>
      </c>
      <c r="D355" t="inlineStr">
        <is>
          <t>STOCKHOLMS LÄN</t>
        </is>
      </c>
      <c r="E355" t="inlineStr">
        <is>
          <t>NORRTÄLJE</t>
        </is>
      </c>
      <c r="G355" t="n">
        <v>4.2</v>
      </c>
      <c r="H355" t="n">
        <v>0</v>
      </c>
      <c r="I355" t="n">
        <v>0</v>
      </c>
      <c r="J355" t="n">
        <v>0</v>
      </c>
      <c r="K355" t="n">
        <v>0</v>
      </c>
      <c r="L355" t="n">
        <v>0</v>
      </c>
      <c r="M355" t="n">
        <v>0</v>
      </c>
      <c r="N355" t="n">
        <v>0</v>
      </c>
      <c r="O355" t="n">
        <v>0</v>
      </c>
      <c r="P355" t="n">
        <v>0</v>
      </c>
      <c r="Q355" t="n">
        <v>0</v>
      </c>
      <c r="R355" s="2" t="inlineStr"/>
    </row>
    <row r="356" ht="15" customHeight="1">
      <c r="A356" t="inlineStr">
        <is>
          <t>A 55696-2022</t>
        </is>
      </c>
      <c r="B356" s="1" t="n">
        <v>44888</v>
      </c>
      <c r="C356" s="1" t="n">
        <v>46123</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35636-2025</t>
        </is>
      </c>
      <c r="B357" s="1" t="n">
        <v>45859</v>
      </c>
      <c r="C357" s="1" t="n">
        <v>46123</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22412-2021</t>
        </is>
      </c>
      <c r="B358" s="1" t="n">
        <v>44326.61967592593</v>
      </c>
      <c r="C358" s="1" t="n">
        <v>46123</v>
      </c>
      <c r="D358" t="inlineStr">
        <is>
          <t>STOCKHOLMS LÄN</t>
        </is>
      </c>
      <c r="E358" t="inlineStr">
        <is>
          <t>NORRTÄLJE</t>
        </is>
      </c>
      <c r="G358" t="n">
        <v>1.7</v>
      </c>
      <c r="H358" t="n">
        <v>0</v>
      </c>
      <c r="I358" t="n">
        <v>0</v>
      </c>
      <c r="J358" t="n">
        <v>0</v>
      </c>
      <c r="K358" t="n">
        <v>0</v>
      </c>
      <c r="L358" t="n">
        <v>0</v>
      </c>
      <c r="M358" t="n">
        <v>0</v>
      </c>
      <c r="N358" t="n">
        <v>0</v>
      </c>
      <c r="O358" t="n">
        <v>0</v>
      </c>
      <c r="P358" t="n">
        <v>0</v>
      </c>
      <c r="Q358" t="n">
        <v>0</v>
      </c>
      <c r="R358" s="2" t="inlineStr"/>
    </row>
    <row r="359" ht="15" customHeight="1">
      <c r="A359" t="inlineStr">
        <is>
          <t>A 6919-2025</t>
        </is>
      </c>
      <c r="B359" s="1" t="n">
        <v>45701.44372685185</v>
      </c>
      <c r="C359" s="1" t="n">
        <v>46123</v>
      </c>
      <c r="D359" t="inlineStr">
        <is>
          <t>STOCKHOLMS LÄN</t>
        </is>
      </c>
      <c r="E359" t="inlineStr">
        <is>
          <t>NORRTÄLJE</t>
        </is>
      </c>
      <c r="G359" t="n">
        <v>3.5</v>
      </c>
      <c r="H359" t="n">
        <v>0</v>
      </c>
      <c r="I359" t="n">
        <v>0</v>
      </c>
      <c r="J359" t="n">
        <v>0</v>
      </c>
      <c r="K359" t="n">
        <v>0</v>
      </c>
      <c r="L359" t="n">
        <v>0</v>
      </c>
      <c r="M359" t="n">
        <v>0</v>
      </c>
      <c r="N359" t="n">
        <v>0</v>
      </c>
      <c r="O359" t="n">
        <v>0</v>
      </c>
      <c r="P359" t="n">
        <v>0</v>
      </c>
      <c r="Q359" t="n">
        <v>0</v>
      </c>
      <c r="R359" s="2" t="inlineStr"/>
    </row>
    <row r="360" ht="15" customHeight="1">
      <c r="A360" t="inlineStr">
        <is>
          <t>A 32100-2022</t>
        </is>
      </c>
      <c r="B360" s="1" t="n">
        <v>44778</v>
      </c>
      <c r="C360" s="1" t="n">
        <v>46123</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11332-2025</t>
        </is>
      </c>
      <c r="B361" s="1" t="n">
        <v>45726.48152777777</v>
      </c>
      <c r="C361" s="1" t="n">
        <v>46123</v>
      </c>
      <c r="D361" t="inlineStr">
        <is>
          <t>STOCKHOLMS LÄN</t>
        </is>
      </c>
      <c r="E361" t="inlineStr">
        <is>
          <t>NORRTÄLJE</t>
        </is>
      </c>
      <c r="G361" t="n">
        <v>4.6</v>
      </c>
      <c r="H361" t="n">
        <v>0</v>
      </c>
      <c r="I361" t="n">
        <v>0</v>
      </c>
      <c r="J361" t="n">
        <v>0</v>
      </c>
      <c r="K361" t="n">
        <v>0</v>
      </c>
      <c r="L361" t="n">
        <v>0</v>
      </c>
      <c r="M361" t="n">
        <v>0</v>
      </c>
      <c r="N361" t="n">
        <v>0</v>
      </c>
      <c r="O361" t="n">
        <v>0</v>
      </c>
      <c r="P361" t="n">
        <v>0</v>
      </c>
      <c r="Q361" t="n">
        <v>0</v>
      </c>
      <c r="R361" s="2" t="inlineStr"/>
    </row>
    <row r="362" ht="15" customHeight="1">
      <c r="A362" t="inlineStr">
        <is>
          <t>A 37444-2021</t>
        </is>
      </c>
      <c r="B362" s="1" t="n">
        <v>44398</v>
      </c>
      <c r="C362" s="1" t="n">
        <v>46123</v>
      </c>
      <c r="D362" t="inlineStr">
        <is>
          <t>STOCKHOLMS LÄN</t>
        </is>
      </c>
      <c r="E362" t="inlineStr">
        <is>
          <t>NORRTÄLJE</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13053-2022</t>
        </is>
      </c>
      <c r="B363" s="1" t="n">
        <v>44643</v>
      </c>
      <c r="C363" s="1" t="n">
        <v>46123</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30886-2022</t>
        </is>
      </c>
      <c r="B364" s="1" t="n">
        <v>44767.60601851852</v>
      </c>
      <c r="C364" s="1" t="n">
        <v>46123</v>
      </c>
      <c r="D364" t="inlineStr">
        <is>
          <t>STOCKHOLMS LÄN</t>
        </is>
      </c>
      <c r="E364" t="inlineStr">
        <is>
          <t>NORRTÄLJE</t>
        </is>
      </c>
      <c r="G364" t="n">
        <v>2.6</v>
      </c>
      <c r="H364" t="n">
        <v>0</v>
      </c>
      <c r="I364" t="n">
        <v>0</v>
      </c>
      <c r="J364" t="n">
        <v>0</v>
      </c>
      <c r="K364" t="n">
        <v>0</v>
      </c>
      <c r="L364" t="n">
        <v>0</v>
      </c>
      <c r="M364" t="n">
        <v>0</v>
      </c>
      <c r="N364" t="n">
        <v>0</v>
      </c>
      <c r="O364" t="n">
        <v>0</v>
      </c>
      <c r="P364" t="n">
        <v>0</v>
      </c>
      <c r="Q364" t="n">
        <v>0</v>
      </c>
      <c r="R364" s="2" t="inlineStr"/>
    </row>
    <row r="365" ht="15" customHeight="1">
      <c r="A365" t="inlineStr">
        <is>
          <t>A 15915-2023</t>
        </is>
      </c>
      <c r="B365" s="1" t="n">
        <v>45022</v>
      </c>
      <c r="C365" s="1" t="n">
        <v>46123</v>
      </c>
      <c r="D365" t="inlineStr">
        <is>
          <t>STOCKHOLMS LÄN</t>
        </is>
      </c>
      <c r="E365" t="inlineStr">
        <is>
          <t>NORRTÄLJE</t>
        </is>
      </c>
      <c r="G365" t="n">
        <v>2.9</v>
      </c>
      <c r="H365" t="n">
        <v>0</v>
      </c>
      <c r="I365" t="n">
        <v>0</v>
      </c>
      <c r="J365" t="n">
        <v>0</v>
      </c>
      <c r="K365" t="n">
        <v>0</v>
      </c>
      <c r="L365" t="n">
        <v>0</v>
      </c>
      <c r="M365" t="n">
        <v>0</v>
      </c>
      <c r="N365" t="n">
        <v>0</v>
      </c>
      <c r="O365" t="n">
        <v>0</v>
      </c>
      <c r="P365" t="n">
        <v>0</v>
      </c>
      <c r="Q365" t="n">
        <v>0</v>
      </c>
      <c r="R365" s="2" t="inlineStr"/>
    </row>
    <row r="366" ht="15" customHeight="1">
      <c r="A366" t="inlineStr">
        <is>
          <t>A 40172-2025</t>
        </is>
      </c>
      <c r="B366" s="1" t="n">
        <v>45894.6353125</v>
      </c>
      <c r="C366" s="1" t="n">
        <v>46123</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40033-2025</t>
        </is>
      </c>
      <c r="B367" s="1" t="n">
        <v>45893</v>
      </c>
      <c r="C367" s="1" t="n">
        <v>46123</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9654-2022</t>
        </is>
      </c>
      <c r="B368" s="1" t="n">
        <v>44617</v>
      </c>
      <c r="C368" s="1" t="n">
        <v>46123</v>
      </c>
      <c r="D368" t="inlineStr">
        <is>
          <t>STOCKHOLMS LÄN</t>
        </is>
      </c>
      <c r="E368" t="inlineStr">
        <is>
          <t>NORRTÄLJE</t>
        </is>
      </c>
      <c r="G368" t="n">
        <v>6.4</v>
      </c>
      <c r="H368" t="n">
        <v>0</v>
      </c>
      <c r="I368" t="n">
        <v>0</v>
      </c>
      <c r="J368" t="n">
        <v>0</v>
      </c>
      <c r="K368" t="n">
        <v>0</v>
      </c>
      <c r="L368" t="n">
        <v>0</v>
      </c>
      <c r="M368" t="n">
        <v>0</v>
      </c>
      <c r="N368" t="n">
        <v>0</v>
      </c>
      <c r="O368" t="n">
        <v>0</v>
      </c>
      <c r="P368" t="n">
        <v>0</v>
      </c>
      <c r="Q368" t="n">
        <v>0</v>
      </c>
      <c r="R368" s="2" t="inlineStr"/>
    </row>
    <row r="369" ht="15" customHeight="1">
      <c r="A369" t="inlineStr">
        <is>
          <t>A 40032-2025</t>
        </is>
      </c>
      <c r="B369" s="1" t="n">
        <v>45893</v>
      </c>
      <c r="C369" s="1" t="n">
        <v>46123</v>
      </c>
      <c r="D369" t="inlineStr">
        <is>
          <t>STOCKHOLMS LÄN</t>
        </is>
      </c>
      <c r="E369" t="inlineStr">
        <is>
          <t>NORRTÄLJE</t>
        </is>
      </c>
      <c r="G369" t="n">
        <v>2.6</v>
      </c>
      <c r="H369" t="n">
        <v>0</v>
      </c>
      <c r="I369" t="n">
        <v>0</v>
      </c>
      <c r="J369" t="n">
        <v>0</v>
      </c>
      <c r="K369" t="n">
        <v>0</v>
      </c>
      <c r="L369" t="n">
        <v>0</v>
      </c>
      <c r="M369" t="n">
        <v>0</v>
      </c>
      <c r="N369" t="n">
        <v>0</v>
      </c>
      <c r="O369" t="n">
        <v>0</v>
      </c>
      <c r="P369" t="n">
        <v>0</v>
      </c>
      <c r="Q369" t="n">
        <v>0</v>
      </c>
      <c r="R369" s="2" t="inlineStr"/>
    </row>
    <row r="370" ht="15" customHeight="1">
      <c r="A370" t="inlineStr">
        <is>
          <t>A 40292-2025</t>
        </is>
      </c>
      <c r="B370" s="1" t="n">
        <v>45895.3867824074</v>
      </c>
      <c r="C370" s="1" t="n">
        <v>46123</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40294-2025</t>
        </is>
      </c>
      <c r="B371" s="1" t="n">
        <v>45895.38778935185</v>
      </c>
      <c r="C371" s="1" t="n">
        <v>46123</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40228-2025</t>
        </is>
      </c>
      <c r="B372" s="1" t="n">
        <v>45894.70854166667</v>
      </c>
      <c r="C372" s="1" t="n">
        <v>46123</v>
      </c>
      <c r="D372" t="inlineStr">
        <is>
          <t>STOCKHOLMS LÄN</t>
        </is>
      </c>
      <c r="E372" t="inlineStr">
        <is>
          <t>NORRTÄLJE</t>
        </is>
      </c>
      <c r="G372" t="n">
        <v>2.1</v>
      </c>
      <c r="H372" t="n">
        <v>0</v>
      </c>
      <c r="I372" t="n">
        <v>0</v>
      </c>
      <c r="J372" t="n">
        <v>0</v>
      </c>
      <c r="K372" t="n">
        <v>0</v>
      </c>
      <c r="L372" t="n">
        <v>0</v>
      </c>
      <c r="M372" t="n">
        <v>0</v>
      </c>
      <c r="N372" t="n">
        <v>0</v>
      </c>
      <c r="O372" t="n">
        <v>0</v>
      </c>
      <c r="P372" t="n">
        <v>0</v>
      </c>
      <c r="Q372" t="n">
        <v>0</v>
      </c>
      <c r="R372" s="2" t="inlineStr"/>
    </row>
    <row r="373" ht="15" customHeight="1">
      <c r="A373" t="inlineStr">
        <is>
          <t>A 1453-2025</t>
        </is>
      </c>
      <c r="B373" s="1" t="n">
        <v>45670.3079050926</v>
      </c>
      <c r="C373" s="1" t="n">
        <v>46123</v>
      </c>
      <c r="D373" t="inlineStr">
        <is>
          <t>STOCKHOLMS LÄN</t>
        </is>
      </c>
      <c r="E373" t="inlineStr">
        <is>
          <t>NORRTÄLJE</t>
        </is>
      </c>
      <c r="G373" t="n">
        <v>2.6</v>
      </c>
      <c r="H373" t="n">
        <v>0</v>
      </c>
      <c r="I373" t="n">
        <v>0</v>
      </c>
      <c r="J373" t="n">
        <v>0</v>
      </c>
      <c r="K373" t="n">
        <v>0</v>
      </c>
      <c r="L373" t="n">
        <v>0</v>
      </c>
      <c r="M373" t="n">
        <v>0</v>
      </c>
      <c r="N373" t="n">
        <v>0</v>
      </c>
      <c r="O373" t="n">
        <v>0</v>
      </c>
      <c r="P373" t="n">
        <v>0</v>
      </c>
      <c r="Q373" t="n">
        <v>0</v>
      </c>
      <c r="R373" s="2" t="inlineStr"/>
    </row>
    <row r="374" ht="15" customHeight="1">
      <c r="A374" t="inlineStr">
        <is>
          <t>A 5804-2025</t>
        </is>
      </c>
      <c r="B374" s="1" t="n">
        <v>45694.68207175926</v>
      </c>
      <c r="C374" s="1" t="n">
        <v>46123</v>
      </c>
      <c r="D374" t="inlineStr">
        <is>
          <t>STOCKHOLMS LÄN</t>
        </is>
      </c>
      <c r="E374" t="inlineStr">
        <is>
          <t>NORRTÄLJE</t>
        </is>
      </c>
      <c r="F374" t="inlineStr">
        <is>
          <t>Holmen skog AB</t>
        </is>
      </c>
      <c r="G374" t="n">
        <v>2.6</v>
      </c>
      <c r="H374" t="n">
        <v>0</v>
      </c>
      <c r="I374" t="n">
        <v>0</v>
      </c>
      <c r="J374" t="n">
        <v>0</v>
      </c>
      <c r="K374" t="n">
        <v>0</v>
      </c>
      <c r="L374" t="n">
        <v>0</v>
      </c>
      <c r="M374" t="n">
        <v>0</v>
      </c>
      <c r="N374" t="n">
        <v>0</v>
      </c>
      <c r="O374" t="n">
        <v>0</v>
      </c>
      <c r="P374" t="n">
        <v>0</v>
      </c>
      <c r="Q374" t="n">
        <v>0</v>
      </c>
      <c r="R374" s="2" t="inlineStr"/>
    </row>
    <row r="375" ht="15" customHeight="1">
      <c r="A375" t="inlineStr">
        <is>
          <t>A 40230-2025</t>
        </is>
      </c>
      <c r="B375" s="1" t="n">
        <v>45894.71101851852</v>
      </c>
      <c r="C375" s="1" t="n">
        <v>46123</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50907-2022</t>
        </is>
      </c>
      <c r="B376" s="1" t="n">
        <v>44867.62090277778</v>
      </c>
      <c r="C376" s="1" t="n">
        <v>46123</v>
      </c>
      <c r="D376" t="inlineStr">
        <is>
          <t>STOCKHOLMS LÄN</t>
        </is>
      </c>
      <c r="E376" t="inlineStr">
        <is>
          <t>NORRTÄLJE</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29003-2023</t>
        </is>
      </c>
      <c r="B377" s="1" t="n">
        <v>45104</v>
      </c>
      <c r="C377" s="1" t="n">
        <v>46123</v>
      </c>
      <c r="D377" t="inlineStr">
        <is>
          <t>STOCKHOLMS LÄN</t>
        </is>
      </c>
      <c r="E377" t="inlineStr">
        <is>
          <t>NORRTÄLJE</t>
        </is>
      </c>
      <c r="G377" t="n">
        <v>1.3</v>
      </c>
      <c r="H377" t="n">
        <v>0</v>
      </c>
      <c r="I377" t="n">
        <v>0</v>
      </c>
      <c r="J377" t="n">
        <v>0</v>
      </c>
      <c r="K377" t="n">
        <v>0</v>
      </c>
      <c r="L377" t="n">
        <v>0</v>
      </c>
      <c r="M377" t="n">
        <v>0</v>
      </c>
      <c r="N377" t="n">
        <v>0</v>
      </c>
      <c r="O377" t="n">
        <v>0</v>
      </c>
      <c r="P377" t="n">
        <v>0</v>
      </c>
      <c r="Q377" t="n">
        <v>0</v>
      </c>
      <c r="R377" s="2" t="inlineStr"/>
    </row>
    <row r="378" ht="15" customHeight="1">
      <c r="A378" t="inlineStr">
        <is>
          <t>A 40217-2025</t>
        </is>
      </c>
      <c r="B378" s="1" t="n">
        <v>45894.68864583333</v>
      </c>
      <c r="C378" s="1" t="n">
        <v>46123</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29972-2024</t>
        </is>
      </c>
      <c r="B379" s="1" t="n">
        <v>45485</v>
      </c>
      <c r="C379" s="1" t="n">
        <v>46123</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33295-2023</t>
        </is>
      </c>
      <c r="B380" s="1" t="n">
        <v>45127.69371527778</v>
      </c>
      <c r="C380" s="1" t="n">
        <v>46123</v>
      </c>
      <c r="D380" t="inlineStr">
        <is>
          <t>STOCKHOLMS LÄN</t>
        </is>
      </c>
      <c r="E380" t="inlineStr">
        <is>
          <t>NORRTÄLJE</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48716-2023</t>
        </is>
      </c>
      <c r="B381" s="1" t="n">
        <v>45208.69671296296</v>
      </c>
      <c r="C381" s="1" t="n">
        <v>46123</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14127-2025</t>
        </is>
      </c>
      <c r="B382" s="1" t="n">
        <v>45740.47055555556</v>
      </c>
      <c r="C382" s="1" t="n">
        <v>46123</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40097-2025</t>
        </is>
      </c>
      <c r="B383" s="1" t="n">
        <v>45894.48322916667</v>
      </c>
      <c r="C383" s="1" t="n">
        <v>46123</v>
      </c>
      <c r="D383" t="inlineStr">
        <is>
          <t>STOCKHOLMS LÄN</t>
        </is>
      </c>
      <c r="E383" t="inlineStr">
        <is>
          <t>NORRTÄLJE</t>
        </is>
      </c>
      <c r="G383" t="n">
        <v>3</v>
      </c>
      <c r="H383" t="n">
        <v>0</v>
      </c>
      <c r="I383" t="n">
        <v>0</v>
      </c>
      <c r="J383" t="n">
        <v>0</v>
      </c>
      <c r="K383" t="n">
        <v>0</v>
      </c>
      <c r="L383" t="n">
        <v>0</v>
      </c>
      <c r="M383" t="n">
        <v>0</v>
      </c>
      <c r="N383" t="n">
        <v>0</v>
      </c>
      <c r="O383" t="n">
        <v>0</v>
      </c>
      <c r="P383" t="n">
        <v>0</v>
      </c>
      <c r="Q383" t="n">
        <v>0</v>
      </c>
      <c r="R383" s="2" t="inlineStr"/>
    </row>
    <row r="384" ht="15" customHeight="1">
      <c r="A384" t="inlineStr">
        <is>
          <t>A 16980-2023</t>
        </is>
      </c>
      <c r="B384" s="1" t="n">
        <v>45033</v>
      </c>
      <c r="C384" s="1" t="n">
        <v>46123</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5027-2025</t>
        </is>
      </c>
      <c r="B385" s="1" t="n">
        <v>45691.41101851852</v>
      </c>
      <c r="C385" s="1" t="n">
        <v>46123</v>
      </c>
      <c r="D385" t="inlineStr">
        <is>
          <t>STOCKHOLMS LÄN</t>
        </is>
      </c>
      <c r="E385" t="inlineStr">
        <is>
          <t>NORRTÄLJE</t>
        </is>
      </c>
      <c r="G385" t="n">
        <v>0.8</v>
      </c>
      <c r="H385" t="n">
        <v>0</v>
      </c>
      <c r="I385" t="n">
        <v>0</v>
      </c>
      <c r="J385" t="n">
        <v>0</v>
      </c>
      <c r="K385" t="n">
        <v>0</v>
      </c>
      <c r="L385" t="n">
        <v>0</v>
      </c>
      <c r="M385" t="n">
        <v>0</v>
      </c>
      <c r="N385" t="n">
        <v>0</v>
      </c>
      <c r="O385" t="n">
        <v>0</v>
      </c>
      <c r="P385" t="n">
        <v>0</v>
      </c>
      <c r="Q385" t="n">
        <v>0</v>
      </c>
      <c r="R385" s="2" t="inlineStr"/>
    </row>
    <row r="386" ht="15" customHeight="1">
      <c r="A386" t="inlineStr">
        <is>
          <t>A 40829-2025</t>
        </is>
      </c>
      <c r="B386" s="1" t="n">
        <v>45897.50802083333</v>
      </c>
      <c r="C386" s="1" t="n">
        <v>46123</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40837-2025</t>
        </is>
      </c>
      <c r="B387" s="1" t="n">
        <v>45897.51328703704</v>
      </c>
      <c r="C387" s="1" t="n">
        <v>46123</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40529-2025</t>
        </is>
      </c>
      <c r="B388" s="1" t="n">
        <v>45896.38466435186</v>
      </c>
      <c r="C388" s="1" t="n">
        <v>46123</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32595-2023</t>
        </is>
      </c>
      <c r="B389" s="1" t="n">
        <v>45121</v>
      </c>
      <c r="C389" s="1" t="n">
        <v>46123</v>
      </c>
      <c r="D389" t="inlineStr">
        <is>
          <t>STOCKHOLMS LÄN</t>
        </is>
      </c>
      <c r="E389" t="inlineStr">
        <is>
          <t>NORRTÄLJE</t>
        </is>
      </c>
      <c r="G389" t="n">
        <v>2.4</v>
      </c>
      <c r="H389" t="n">
        <v>0</v>
      </c>
      <c r="I389" t="n">
        <v>0</v>
      </c>
      <c r="J389" t="n">
        <v>0</v>
      </c>
      <c r="K389" t="n">
        <v>0</v>
      </c>
      <c r="L389" t="n">
        <v>0</v>
      </c>
      <c r="M389" t="n">
        <v>0</v>
      </c>
      <c r="N389" t="n">
        <v>0</v>
      </c>
      <c r="O389" t="n">
        <v>0</v>
      </c>
      <c r="P389" t="n">
        <v>0</v>
      </c>
      <c r="Q389" t="n">
        <v>0</v>
      </c>
      <c r="R389" s="2" t="inlineStr"/>
    </row>
    <row r="390" ht="15" customHeight="1">
      <c r="A390" t="inlineStr">
        <is>
          <t>A 40831-2025</t>
        </is>
      </c>
      <c r="B390" s="1" t="n">
        <v>45897.51077546296</v>
      </c>
      <c r="C390" s="1" t="n">
        <v>46123</v>
      </c>
      <c r="D390" t="inlineStr">
        <is>
          <t>STOCKHOLMS LÄN</t>
        </is>
      </c>
      <c r="E390" t="inlineStr">
        <is>
          <t>NORRTÄLJE</t>
        </is>
      </c>
      <c r="G390" t="n">
        <v>1.8</v>
      </c>
      <c r="H390" t="n">
        <v>0</v>
      </c>
      <c r="I390" t="n">
        <v>0</v>
      </c>
      <c r="J390" t="n">
        <v>0</v>
      </c>
      <c r="K390" t="n">
        <v>0</v>
      </c>
      <c r="L390" t="n">
        <v>0</v>
      </c>
      <c r="M390" t="n">
        <v>0</v>
      </c>
      <c r="N390" t="n">
        <v>0</v>
      </c>
      <c r="O390" t="n">
        <v>0</v>
      </c>
      <c r="P390" t="n">
        <v>0</v>
      </c>
      <c r="Q390" t="n">
        <v>0</v>
      </c>
      <c r="R390" s="2" t="inlineStr"/>
    </row>
    <row r="391" ht="15" customHeight="1">
      <c r="A391" t="inlineStr">
        <is>
          <t>A 64137-2021</t>
        </is>
      </c>
      <c r="B391" s="1" t="n">
        <v>44510.51422453704</v>
      </c>
      <c r="C391" s="1" t="n">
        <v>46123</v>
      </c>
      <c r="D391" t="inlineStr">
        <is>
          <t>STOCKHOLMS LÄN</t>
        </is>
      </c>
      <c r="E391" t="inlineStr">
        <is>
          <t>NORRTÄLJE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37550-2022</t>
        </is>
      </c>
      <c r="B392" s="1" t="n">
        <v>44809</v>
      </c>
      <c r="C392" s="1" t="n">
        <v>46123</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41158-2025</t>
        </is>
      </c>
      <c r="B393" s="1" t="n">
        <v>45898.5315625</v>
      </c>
      <c r="C393" s="1" t="n">
        <v>46123</v>
      </c>
      <c r="D393" t="inlineStr">
        <is>
          <t>STOCKHOLMS LÄN</t>
        </is>
      </c>
      <c r="E393" t="inlineStr">
        <is>
          <t>NORRTÄLJE</t>
        </is>
      </c>
      <c r="G393" t="n">
        <v>1.1</v>
      </c>
      <c r="H393" t="n">
        <v>0</v>
      </c>
      <c r="I393" t="n">
        <v>0</v>
      </c>
      <c r="J393" t="n">
        <v>0</v>
      </c>
      <c r="K393" t="n">
        <v>0</v>
      </c>
      <c r="L393" t="n">
        <v>0</v>
      </c>
      <c r="M393" t="n">
        <v>0</v>
      </c>
      <c r="N393" t="n">
        <v>0</v>
      </c>
      <c r="O393" t="n">
        <v>0</v>
      </c>
      <c r="P393" t="n">
        <v>0</v>
      </c>
      <c r="Q393" t="n">
        <v>0</v>
      </c>
      <c r="R393" s="2" t="inlineStr"/>
    </row>
    <row r="394" ht="15" customHeight="1">
      <c r="A394" t="inlineStr">
        <is>
          <t>A 15733-2025</t>
        </is>
      </c>
      <c r="B394" s="1" t="n">
        <v>45748</v>
      </c>
      <c r="C394" s="1" t="n">
        <v>46123</v>
      </c>
      <c r="D394" t="inlineStr">
        <is>
          <t>STOCKHOLMS LÄN</t>
        </is>
      </c>
      <c r="E394" t="inlineStr">
        <is>
          <t>NORRTÄLJE</t>
        </is>
      </c>
      <c r="G394" t="n">
        <v>13.3</v>
      </c>
      <c r="H394" t="n">
        <v>0</v>
      </c>
      <c r="I394" t="n">
        <v>0</v>
      </c>
      <c r="J394" t="n">
        <v>0</v>
      </c>
      <c r="K394" t="n">
        <v>0</v>
      </c>
      <c r="L394" t="n">
        <v>0</v>
      </c>
      <c r="M394" t="n">
        <v>0</v>
      </c>
      <c r="N394" t="n">
        <v>0</v>
      </c>
      <c r="O394" t="n">
        <v>0</v>
      </c>
      <c r="P394" t="n">
        <v>0</v>
      </c>
      <c r="Q394" t="n">
        <v>0</v>
      </c>
      <c r="R394" s="2" t="inlineStr"/>
    </row>
    <row r="395" ht="15" customHeight="1">
      <c r="A395" t="inlineStr">
        <is>
          <t>A 19058-2024</t>
        </is>
      </c>
      <c r="B395" s="1" t="n">
        <v>45427.89121527778</v>
      </c>
      <c r="C395" s="1" t="n">
        <v>46123</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41053-2025</t>
        </is>
      </c>
      <c r="B396" s="1" t="n">
        <v>45898.40480324074</v>
      </c>
      <c r="C396" s="1" t="n">
        <v>46123</v>
      </c>
      <c r="D396" t="inlineStr">
        <is>
          <t>STOCKHOLMS LÄN</t>
        </is>
      </c>
      <c r="E396" t="inlineStr">
        <is>
          <t>NORRTÄLJE</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48161-2022</t>
        </is>
      </c>
      <c r="B397" s="1" t="n">
        <v>44858</v>
      </c>
      <c r="C397" s="1" t="n">
        <v>46123</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41275-2025</t>
        </is>
      </c>
      <c r="B398" s="1" t="n">
        <v>45898.62625</v>
      </c>
      <c r="C398" s="1" t="n">
        <v>46123</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41272-2025</t>
        </is>
      </c>
      <c r="B399" s="1" t="n">
        <v>45898.62373842593</v>
      </c>
      <c r="C399" s="1" t="n">
        <v>46123</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48798-2021</t>
        </is>
      </c>
      <c r="B400" s="1" t="n">
        <v>44452</v>
      </c>
      <c r="C400" s="1" t="n">
        <v>46123</v>
      </c>
      <c r="D400" t="inlineStr">
        <is>
          <t>STOCKHOLMS LÄN</t>
        </is>
      </c>
      <c r="E400" t="inlineStr">
        <is>
          <t>NORRTÄLJE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41301-2025</t>
        </is>
      </c>
      <c r="B401" s="1" t="n">
        <v>45898.68826388889</v>
      </c>
      <c r="C401" s="1" t="n">
        <v>46123</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54776-2023</t>
        </is>
      </c>
      <c r="B402" s="1" t="n">
        <v>45236.46369212963</v>
      </c>
      <c r="C402" s="1" t="n">
        <v>46123</v>
      </c>
      <c r="D402" t="inlineStr">
        <is>
          <t>STOCKHOLMS LÄN</t>
        </is>
      </c>
      <c r="E402" t="inlineStr">
        <is>
          <t>NORRTÄLJE</t>
        </is>
      </c>
      <c r="G402" t="n">
        <v>0.3</v>
      </c>
      <c r="H402" t="n">
        <v>0</v>
      </c>
      <c r="I402" t="n">
        <v>0</v>
      </c>
      <c r="J402" t="n">
        <v>0</v>
      </c>
      <c r="K402" t="n">
        <v>0</v>
      </c>
      <c r="L402" t="n">
        <v>0</v>
      </c>
      <c r="M402" t="n">
        <v>0</v>
      </c>
      <c r="N402" t="n">
        <v>0</v>
      </c>
      <c r="O402" t="n">
        <v>0</v>
      </c>
      <c r="P402" t="n">
        <v>0</v>
      </c>
      <c r="Q402" t="n">
        <v>0</v>
      </c>
      <c r="R402" s="2" t="inlineStr"/>
    </row>
    <row r="403" ht="15" customHeight="1">
      <c r="A403" t="inlineStr">
        <is>
          <t>A 41174-2025</t>
        </is>
      </c>
      <c r="B403" s="1" t="n">
        <v>45898.54921296296</v>
      </c>
      <c r="C403" s="1" t="n">
        <v>46123</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41030-2025</t>
        </is>
      </c>
      <c r="B404" s="1" t="n">
        <v>45898.37636574074</v>
      </c>
      <c r="C404" s="1" t="n">
        <v>46123</v>
      </c>
      <c r="D404" t="inlineStr">
        <is>
          <t>STOCKHOLMS LÄN</t>
        </is>
      </c>
      <c r="E404" t="inlineStr">
        <is>
          <t>NORRTÄLJE</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57442-2021</t>
        </is>
      </c>
      <c r="B405" s="1" t="n">
        <v>44483</v>
      </c>
      <c r="C405" s="1" t="n">
        <v>46123</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41036-2025</t>
        </is>
      </c>
      <c r="B406" s="1" t="n">
        <v>45898.38552083333</v>
      </c>
      <c r="C406" s="1" t="n">
        <v>46123</v>
      </c>
      <c r="D406" t="inlineStr">
        <is>
          <t>STOCKHOLMS LÄN</t>
        </is>
      </c>
      <c r="E406" t="inlineStr">
        <is>
          <t>NORRTÄLJE</t>
        </is>
      </c>
      <c r="F406" t="inlineStr">
        <is>
          <t>Holmen skog AB</t>
        </is>
      </c>
      <c r="G406" t="n">
        <v>2.7</v>
      </c>
      <c r="H406" t="n">
        <v>0</v>
      </c>
      <c r="I406" t="n">
        <v>0</v>
      </c>
      <c r="J406" t="n">
        <v>0</v>
      </c>
      <c r="K406" t="n">
        <v>0</v>
      </c>
      <c r="L406" t="n">
        <v>0</v>
      </c>
      <c r="M406" t="n">
        <v>0</v>
      </c>
      <c r="N406" t="n">
        <v>0</v>
      </c>
      <c r="O406" t="n">
        <v>0</v>
      </c>
      <c r="P406" t="n">
        <v>0</v>
      </c>
      <c r="Q406" t="n">
        <v>0</v>
      </c>
      <c r="R406" s="2" t="inlineStr"/>
    </row>
    <row r="407" ht="15" customHeight="1">
      <c r="A407" t="inlineStr">
        <is>
          <t>A 41106-2025</t>
        </is>
      </c>
      <c r="B407" s="1" t="n">
        <v>45898.45636574074</v>
      </c>
      <c r="C407" s="1" t="n">
        <v>46123</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20790-2025</t>
        </is>
      </c>
      <c r="B408" s="1" t="n">
        <v>45776.62563657408</v>
      </c>
      <c r="C408" s="1" t="n">
        <v>46123</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41110-2025</t>
        </is>
      </c>
      <c r="B409" s="1" t="n">
        <v>45898.45976851852</v>
      </c>
      <c r="C409" s="1" t="n">
        <v>46123</v>
      </c>
      <c r="D409" t="inlineStr">
        <is>
          <t>STOCKHOLMS LÄN</t>
        </is>
      </c>
      <c r="E409" t="inlineStr">
        <is>
          <t>NORRTÄLJE</t>
        </is>
      </c>
      <c r="F409" t="inlineStr">
        <is>
          <t>Holmen skog AB</t>
        </is>
      </c>
      <c r="G409" t="n">
        <v>6.7</v>
      </c>
      <c r="H409" t="n">
        <v>0</v>
      </c>
      <c r="I409" t="n">
        <v>0</v>
      </c>
      <c r="J409" t="n">
        <v>0</v>
      </c>
      <c r="K409" t="n">
        <v>0</v>
      </c>
      <c r="L409" t="n">
        <v>0</v>
      </c>
      <c r="M409" t="n">
        <v>0</v>
      </c>
      <c r="N409" t="n">
        <v>0</v>
      </c>
      <c r="O409" t="n">
        <v>0</v>
      </c>
      <c r="P409" t="n">
        <v>0</v>
      </c>
      <c r="Q409" t="n">
        <v>0</v>
      </c>
      <c r="R409" s="2" t="inlineStr"/>
    </row>
    <row r="410" ht="15" customHeight="1">
      <c r="A410" t="inlineStr">
        <is>
          <t>A 55952-2024</t>
        </is>
      </c>
      <c r="B410" s="1" t="n">
        <v>45623.62563657408</v>
      </c>
      <c r="C410" s="1" t="n">
        <v>46123</v>
      </c>
      <c r="D410" t="inlineStr">
        <is>
          <t>STOCKHOLMS LÄN</t>
        </is>
      </c>
      <c r="E410" t="inlineStr">
        <is>
          <t>NORRTÄLJE</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41259-2025</t>
        </is>
      </c>
      <c r="B411" s="1" t="n">
        <v>45898.61054398148</v>
      </c>
      <c r="C411" s="1" t="n">
        <v>46123</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8135-2025</t>
        </is>
      </c>
      <c r="B412" s="1" t="n">
        <v>45707.84997685185</v>
      </c>
      <c r="C412" s="1" t="n">
        <v>46123</v>
      </c>
      <c r="D412" t="inlineStr">
        <is>
          <t>STOCKHOLMS LÄN</t>
        </is>
      </c>
      <c r="E412" t="inlineStr">
        <is>
          <t>NORRTÄLJE</t>
        </is>
      </c>
      <c r="G412" t="n">
        <v>2.6</v>
      </c>
      <c r="H412" t="n">
        <v>0</v>
      </c>
      <c r="I412" t="n">
        <v>0</v>
      </c>
      <c r="J412" t="n">
        <v>0</v>
      </c>
      <c r="K412" t="n">
        <v>0</v>
      </c>
      <c r="L412" t="n">
        <v>0</v>
      </c>
      <c r="M412" t="n">
        <v>0</v>
      </c>
      <c r="N412" t="n">
        <v>0</v>
      </c>
      <c r="O412" t="n">
        <v>0</v>
      </c>
      <c r="P412" t="n">
        <v>0</v>
      </c>
      <c r="Q412" t="n">
        <v>0</v>
      </c>
      <c r="R412" s="2" t="inlineStr"/>
    </row>
    <row r="413" ht="15" customHeight="1">
      <c r="A413" t="inlineStr">
        <is>
          <t>A 3383-2023</t>
        </is>
      </c>
      <c r="B413" s="1" t="n">
        <v>44949</v>
      </c>
      <c r="C413" s="1" t="n">
        <v>46123</v>
      </c>
      <c r="D413" t="inlineStr">
        <is>
          <t>STOCKHOLMS LÄN</t>
        </is>
      </c>
      <c r="E413" t="inlineStr">
        <is>
          <t>NORRTÄLJE</t>
        </is>
      </c>
      <c r="G413" t="n">
        <v>14.6</v>
      </c>
      <c r="H413" t="n">
        <v>0</v>
      </c>
      <c r="I413" t="n">
        <v>0</v>
      </c>
      <c r="J413" t="n">
        <v>0</v>
      </c>
      <c r="K413" t="n">
        <v>0</v>
      </c>
      <c r="L413" t="n">
        <v>0</v>
      </c>
      <c r="M413" t="n">
        <v>0</v>
      </c>
      <c r="N413" t="n">
        <v>0</v>
      </c>
      <c r="O413" t="n">
        <v>0</v>
      </c>
      <c r="P413" t="n">
        <v>0</v>
      </c>
      <c r="Q413" t="n">
        <v>0</v>
      </c>
      <c r="R413" s="2" t="inlineStr"/>
    </row>
    <row r="414" ht="15" customHeight="1">
      <c r="A414" t="inlineStr">
        <is>
          <t>A 10511-2025</t>
        </is>
      </c>
      <c r="B414" s="1" t="n">
        <v>45721.40780092592</v>
      </c>
      <c r="C414" s="1" t="n">
        <v>46123</v>
      </c>
      <c r="D414" t="inlineStr">
        <is>
          <t>STOCKHOLMS LÄN</t>
        </is>
      </c>
      <c r="E414" t="inlineStr">
        <is>
          <t>NORRTÄLJE</t>
        </is>
      </c>
      <c r="G414" t="n">
        <v>2.6</v>
      </c>
      <c r="H414" t="n">
        <v>0</v>
      </c>
      <c r="I414" t="n">
        <v>0</v>
      </c>
      <c r="J414" t="n">
        <v>0</v>
      </c>
      <c r="K414" t="n">
        <v>0</v>
      </c>
      <c r="L414" t="n">
        <v>0</v>
      </c>
      <c r="M414" t="n">
        <v>0</v>
      </c>
      <c r="N414" t="n">
        <v>0</v>
      </c>
      <c r="O414" t="n">
        <v>0</v>
      </c>
      <c r="P414" t="n">
        <v>0</v>
      </c>
      <c r="Q414" t="n">
        <v>0</v>
      </c>
      <c r="R414" s="2" t="inlineStr"/>
    </row>
    <row r="415" ht="15" customHeight="1">
      <c r="A415" t="inlineStr">
        <is>
          <t>A 12268-2022</t>
        </is>
      </c>
      <c r="B415" s="1" t="n">
        <v>44637</v>
      </c>
      <c r="C415" s="1" t="n">
        <v>46123</v>
      </c>
      <c r="D415" t="inlineStr">
        <is>
          <t>STOCKHOLMS LÄN</t>
        </is>
      </c>
      <c r="E415" t="inlineStr">
        <is>
          <t>NORRTÄLJE</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20699-2025</t>
        </is>
      </c>
      <c r="B416" s="1" t="n">
        <v>45776.47346064815</v>
      </c>
      <c r="C416" s="1" t="n">
        <v>46123</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3152-2024</t>
        </is>
      </c>
      <c r="B417" s="1" t="n">
        <v>45316.60306712963</v>
      </c>
      <c r="C417" s="1" t="n">
        <v>46123</v>
      </c>
      <c r="D417" t="inlineStr">
        <is>
          <t>STOCKHOLMS LÄN</t>
        </is>
      </c>
      <c r="E417" t="inlineStr">
        <is>
          <t>NORRTÄLJE</t>
        </is>
      </c>
      <c r="G417" t="n">
        <v>7.9</v>
      </c>
      <c r="H417" t="n">
        <v>0</v>
      </c>
      <c r="I417" t="n">
        <v>0</v>
      </c>
      <c r="J417" t="n">
        <v>0</v>
      </c>
      <c r="K417" t="n">
        <v>0</v>
      </c>
      <c r="L417" t="n">
        <v>0</v>
      </c>
      <c r="M417" t="n">
        <v>0</v>
      </c>
      <c r="N417" t="n">
        <v>0</v>
      </c>
      <c r="O417" t="n">
        <v>0</v>
      </c>
      <c r="P417" t="n">
        <v>0</v>
      </c>
      <c r="Q417" t="n">
        <v>0</v>
      </c>
      <c r="R417" s="2" t="inlineStr"/>
    </row>
    <row r="418" ht="15" customHeight="1">
      <c r="A418" t="inlineStr">
        <is>
          <t>A 19057-2024</t>
        </is>
      </c>
      <c r="B418" s="1" t="n">
        <v>45427.88731481481</v>
      </c>
      <c r="C418" s="1" t="n">
        <v>46123</v>
      </c>
      <c r="D418" t="inlineStr">
        <is>
          <t>STOCKHOLMS LÄN</t>
        </is>
      </c>
      <c r="E418" t="inlineStr">
        <is>
          <t>NORRTÄLJE</t>
        </is>
      </c>
      <c r="G418" t="n">
        <v>3</v>
      </c>
      <c r="H418" t="n">
        <v>0</v>
      </c>
      <c r="I418" t="n">
        <v>0</v>
      </c>
      <c r="J418" t="n">
        <v>0</v>
      </c>
      <c r="K418" t="n">
        <v>0</v>
      </c>
      <c r="L418" t="n">
        <v>0</v>
      </c>
      <c r="M418" t="n">
        <v>0</v>
      </c>
      <c r="N418" t="n">
        <v>0</v>
      </c>
      <c r="O418" t="n">
        <v>0</v>
      </c>
      <c r="P418" t="n">
        <v>0</v>
      </c>
      <c r="Q418" t="n">
        <v>0</v>
      </c>
      <c r="R418" s="2" t="inlineStr"/>
    </row>
    <row r="419" ht="15" customHeight="1">
      <c r="A419" t="inlineStr">
        <is>
          <t>A 20015-2023</t>
        </is>
      </c>
      <c r="B419" s="1" t="n">
        <v>45054</v>
      </c>
      <c r="C419" s="1" t="n">
        <v>46123</v>
      </c>
      <c r="D419" t="inlineStr">
        <is>
          <t>STOCKHOLMS LÄN</t>
        </is>
      </c>
      <c r="E419" t="inlineStr">
        <is>
          <t>NORRTÄLJE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3273-2025</t>
        </is>
      </c>
      <c r="B420" s="1" t="n">
        <v>45679</v>
      </c>
      <c r="C420" s="1" t="n">
        <v>46123</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59326-2023</t>
        </is>
      </c>
      <c r="B421" s="1" t="n">
        <v>45253.63089120371</v>
      </c>
      <c r="C421" s="1" t="n">
        <v>46123</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44836-2023</t>
        </is>
      </c>
      <c r="B422" s="1" t="n">
        <v>45190.55609953704</v>
      </c>
      <c r="C422" s="1" t="n">
        <v>46123</v>
      </c>
      <c r="D422" t="inlineStr">
        <is>
          <t>STOCKHOLMS LÄN</t>
        </is>
      </c>
      <c r="E422" t="inlineStr">
        <is>
          <t>NORRTÄLJE</t>
        </is>
      </c>
      <c r="G422" t="n">
        <v>2.3</v>
      </c>
      <c r="H422" t="n">
        <v>0</v>
      </c>
      <c r="I422" t="n">
        <v>0</v>
      </c>
      <c r="J422" t="n">
        <v>0</v>
      </c>
      <c r="K422" t="n">
        <v>0</v>
      </c>
      <c r="L422" t="n">
        <v>0</v>
      </c>
      <c r="M422" t="n">
        <v>0</v>
      </c>
      <c r="N422" t="n">
        <v>0</v>
      </c>
      <c r="O422" t="n">
        <v>0</v>
      </c>
      <c r="P422" t="n">
        <v>0</v>
      </c>
      <c r="Q422" t="n">
        <v>0</v>
      </c>
      <c r="R422" s="2" t="inlineStr"/>
    </row>
    <row r="423" ht="15" customHeight="1">
      <c r="A423" t="inlineStr">
        <is>
          <t>A 24245-2024</t>
        </is>
      </c>
      <c r="B423" s="1" t="n">
        <v>45457</v>
      </c>
      <c r="C423" s="1" t="n">
        <v>46123</v>
      </c>
      <c r="D423" t="inlineStr">
        <is>
          <t>STOCKHOLMS LÄN</t>
        </is>
      </c>
      <c r="E423" t="inlineStr">
        <is>
          <t>NORRTÄLJE</t>
        </is>
      </c>
      <c r="F423" t="inlineStr">
        <is>
          <t>Holmen skog AB</t>
        </is>
      </c>
      <c r="G423" t="n">
        <v>3.4</v>
      </c>
      <c r="H423" t="n">
        <v>0</v>
      </c>
      <c r="I423" t="n">
        <v>0</v>
      </c>
      <c r="J423" t="n">
        <v>0</v>
      </c>
      <c r="K423" t="n">
        <v>0</v>
      </c>
      <c r="L423" t="n">
        <v>0</v>
      </c>
      <c r="M423" t="n">
        <v>0</v>
      </c>
      <c r="N423" t="n">
        <v>0</v>
      </c>
      <c r="O423" t="n">
        <v>0</v>
      </c>
      <c r="P423" t="n">
        <v>0</v>
      </c>
      <c r="Q423" t="n">
        <v>0</v>
      </c>
      <c r="R423" s="2" t="inlineStr"/>
    </row>
    <row r="424" ht="15" customHeight="1">
      <c r="A424" t="inlineStr">
        <is>
          <t>A 21291-2021</t>
        </is>
      </c>
      <c r="B424" s="1" t="n">
        <v>44319</v>
      </c>
      <c r="C424" s="1" t="n">
        <v>46123</v>
      </c>
      <c r="D424" t="inlineStr">
        <is>
          <t>STOCKHOLMS LÄN</t>
        </is>
      </c>
      <c r="E424" t="inlineStr">
        <is>
          <t>NORRTÄLJE</t>
        </is>
      </c>
      <c r="G424" t="n">
        <v>12.7</v>
      </c>
      <c r="H424" t="n">
        <v>0</v>
      </c>
      <c r="I424" t="n">
        <v>0</v>
      </c>
      <c r="J424" t="n">
        <v>0</v>
      </c>
      <c r="K424" t="n">
        <v>0</v>
      </c>
      <c r="L424" t="n">
        <v>0</v>
      </c>
      <c r="M424" t="n">
        <v>0</v>
      </c>
      <c r="N424" t="n">
        <v>0</v>
      </c>
      <c r="O424" t="n">
        <v>0</v>
      </c>
      <c r="P424" t="n">
        <v>0</v>
      </c>
      <c r="Q424" t="n">
        <v>0</v>
      </c>
      <c r="R424" s="2" t="inlineStr"/>
    </row>
    <row r="425" ht="15" customHeight="1">
      <c r="A425" t="inlineStr">
        <is>
          <t>A 20779-2025</t>
        </is>
      </c>
      <c r="B425" s="1" t="n">
        <v>45776.59871527777</v>
      </c>
      <c r="C425" s="1" t="n">
        <v>46123</v>
      </c>
      <c r="D425" t="inlineStr">
        <is>
          <t>STOCKHOLMS LÄN</t>
        </is>
      </c>
      <c r="E425" t="inlineStr">
        <is>
          <t>NORRTÄLJE</t>
        </is>
      </c>
      <c r="G425" t="n">
        <v>6.9</v>
      </c>
      <c r="H425" t="n">
        <v>0</v>
      </c>
      <c r="I425" t="n">
        <v>0</v>
      </c>
      <c r="J425" t="n">
        <v>0</v>
      </c>
      <c r="K425" t="n">
        <v>0</v>
      </c>
      <c r="L425" t="n">
        <v>0</v>
      </c>
      <c r="M425" t="n">
        <v>0</v>
      </c>
      <c r="N425" t="n">
        <v>0</v>
      </c>
      <c r="O425" t="n">
        <v>0</v>
      </c>
      <c r="P425" t="n">
        <v>0</v>
      </c>
      <c r="Q425" t="n">
        <v>0</v>
      </c>
      <c r="R425" s="2" t="inlineStr"/>
    </row>
    <row r="426" ht="15" customHeight="1">
      <c r="A426" t="inlineStr">
        <is>
          <t>A 41966-2025</t>
        </is>
      </c>
      <c r="B426" s="1" t="n">
        <v>45903.47456018518</v>
      </c>
      <c r="C426" s="1" t="n">
        <v>46123</v>
      </c>
      <c r="D426" t="inlineStr">
        <is>
          <t>STOCKHOLMS LÄN</t>
        </is>
      </c>
      <c r="E426" t="inlineStr">
        <is>
          <t>NORRTÄLJE</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21732-2023</t>
        </is>
      </c>
      <c r="B427" s="1" t="n">
        <v>45063</v>
      </c>
      <c r="C427" s="1" t="n">
        <v>46123</v>
      </c>
      <c r="D427" t="inlineStr">
        <is>
          <t>STOCKHOLMS LÄN</t>
        </is>
      </c>
      <c r="E427" t="inlineStr">
        <is>
          <t>NORRTÄLJE</t>
        </is>
      </c>
      <c r="G427" t="n">
        <v>1.7</v>
      </c>
      <c r="H427" t="n">
        <v>0</v>
      </c>
      <c r="I427" t="n">
        <v>0</v>
      </c>
      <c r="J427" t="n">
        <v>0</v>
      </c>
      <c r="K427" t="n">
        <v>0</v>
      </c>
      <c r="L427" t="n">
        <v>0</v>
      </c>
      <c r="M427" t="n">
        <v>0</v>
      </c>
      <c r="N427" t="n">
        <v>0</v>
      </c>
      <c r="O427" t="n">
        <v>0</v>
      </c>
      <c r="P427" t="n">
        <v>0</v>
      </c>
      <c r="Q427" t="n">
        <v>0</v>
      </c>
      <c r="R427" s="2" t="inlineStr"/>
    </row>
    <row r="428" ht="15" customHeight="1">
      <c r="A428" t="inlineStr">
        <is>
          <t>A 23307-2024</t>
        </is>
      </c>
      <c r="B428" s="1" t="n">
        <v>45453</v>
      </c>
      <c r="C428" s="1" t="n">
        <v>46123</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42038-2025</t>
        </is>
      </c>
      <c r="B429" s="1" t="n">
        <v>45903.61431712963</v>
      </c>
      <c r="C429" s="1" t="n">
        <v>46123</v>
      </c>
      <c r="D429" t="inlineStr">
        <is>
          <t>STOCKHOLMS LÄN</t>
        </is>
      </c>
      <c r="E429" t="inlineStr">
        <is>
          <t>NORRTÄLJE</t>
        </is>
      </c>
      <c r="F429" t="inlineStr">
        <is>
          <t>Sveaskog</t>
        </is>
      </c>
      <c r="G429" t="n">
        <v>6.4</v>
      </c>
      <c r="H429" t="n">
        <v>0</v>
      </c>
      <c r="I429" t="n">
        <v>0</v>
      </c>
      <c r="J429" t="n">
        <v>0</v>
      </c>
      <c r="K429" t="n">
        <v>0</v>
      </c>
      <c r="L429" t="n">
        <v>0</v>
      </c>
      <c r="M429" t="n">
        <v>0</v>
      </c>
      <c r="N429" t="n">
        <v>0</v>
      </c>
      <c r="O429" t="n">
        <v>0</v>
      </c>
      <c r="P429" t="n">
        <v>0</v>
      </c>
      <c r="Q429" t="n">
        <v>0</v>
      </c>
      <c r="R429" s="2" t="inlineStr"/>
    </row>
    <row r="430" ht="15" customHeight="1">
      <c r="A430" t="inlineStr">
        <is>
          <t>A 15256-2023</t>
        </is>
      </c>
      <c r="B430" s="1" t="n">
        <v>45019.3959837963</v>
      </c>
      <c r="C430" s="1" t="n">
        <v>46123</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20428-2024</t>
        </is>
      </c>
      <c r="B431" s="1" t="n">
        <v>45435</v>
      </c>
      <c r="C431" s="1" t="n">
        <v>46123</v>
      </c>
      <c r="D431" t="inlineStr">
        <is>
          <t>STOCKHOLMS LÄN</t>
        </is>
      </c>
      <c r="E431" t="inlineStr">
        <is>
          <t>NORRTÄLJE</t>
        </is>
      </c>
      <c r="G431" t="n">
        <v>3.7</v>
      </c>
      <c r="H431" t="n">
        <v>0</v>
      </c>
      <c r="I431" t="n">
        <v>0</v>
      </c>
      <c r="J431" t="n">
        <v>0</v>
      </c>
      <c r="K431" t="n">
        <v>0</v>
      </c>
      <c r="L431" t="n">
        <v>0</v>
      </c>
      <c r="M431" t="n">
        <v>0</v>
      </c>
      <c r="N431" t="n">
        <v>0</v>
      </c>
      <c r="O431" t="n">
        <v>0</v>
      </c>
      <c r="P431" t="n">
        <v>0</v>
      </c>
      <c r="Q431" t="n">
        <v>0</v>
      </c>
      <c r="R431" s="2" t="inlineStr"/>
    </row>
    <row r="432" ht="15" customHeight="1">
      <c r="A432" t="inlineStr">
        <is>
          <t>A 13172-2025</t>
        </is>
      </c>
      <c r="B432" s="1" t="n">
        <v>45735.36873842592</v>
      </c>
      <c r="C432" s="1" t="n">
        <v>46123</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41964-2025</t>
        </is>
      </c>
      <c r="B433" s="1" t="n">
        <v>45903.47270833333</v>
      </c>
      <c r="C433" s="1" t="n">
        <v>46123</v>
      </c>
      <c r="D433" t="inlineStr">
        <is>
          <t>STOCKHOLMS LÄN</t>
        </is>
      </c>
      <c r="E433" t="inlineStr">
        <is>
          <t>NORRTÄLJE</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37085-2021</t>
        </is>
      </c>
      <c r="B434" s="1" t="n">
        <v>44395</v>
      </c>
      <c r="C434" s="1" t="n">
        <v>46123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56428-2023</t>
        </is>
      </c>
      <c r="B435" s="1" t="n">
        <v>45243.45289351852</v>
      </c>
      <c r="C435" s="1" t="n">
        <v>46123</v>
      </c>
      <c r="D435" t="inlineStr">
        <is>
          <t>STOCKHOLMS LÄN</t>
        </is>
      </c>
      <c r="E435" t="inlineStr">
        <is>
          <t>NORRTÄLJE</t>
        </is>
      </c>
      <c r="F435" t="inlineStr">
        <is>
          <t>Kyrkan</t>
        </is>
      </c>
      <c r="G435" t="n">
        <v>1.3</v>
      </c>
      <c r="H435" t="n">
        <v>0</v>
      </c>
      <c r="I435" t="n">
        <v>0</v>
      </c>
      <c r="J435" t="n">
        <v>0</v>
      </c>
      <c r="K435" t="n">
        <v>0</v>
      </c>
      <c r="L435" t="n">
        <v>0</v>
      </c>
      <c r="M435" t="n">
        <v>0</v>
      </c>
      <c r="N435" t="n">
        <v>0</v>
      </c>
      <c r="O435" t="n">
        <v>0</v>
      </c>
      <c r="P435" t="n">
        <v>0</v>
      </c>
      <c r="Q435" t="n">
        <v>0</v>
      </c>
      <c r="R435" s="2" t="inlineStr"/>
    </row>
    <row r="436" ht="15" customHeight="1">
      <c r="A436" t="inlineStr">
        <is>
          <t>A 30699-2025</t>
        </is>
      </c>
      <c r="B436" s="1" t="n">
        <v>45831.54618055555</v>
      </c>
      <c r="C436" s="1" t="n">
        <v>46123</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64145-2021</t>
        </is>
      </c>
      <c r="B437" s="1" t="n">
        <v>44510</v>
      </c>
      <c r="C437" s="1" t="n">
        <v>46123</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1740-2023</t>
        </is>
      </c>
      <c r="B438" s="1" t="n">
        <v>44938</v>
      </c>
      <c r="C438" s="1" t="n">
        <v>46123</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4596-2023</t>
        </is>
      </c>
      <c r="B439" s="1" t="n">
        <v>44956</v>
      </c>
      <c r="C439" s="1" t="n">
        <v>46123</v>
      </c>
      <c r="D439" t="inlineStr">
        <is>
          <t>STOCKHOLMS LÄN</t>
        </is>
      </c>
      <c r="E439" t="inlineStr">
        <is>
          <t>NORRTÄLJE</t>
        </is>
      </c>
      <c r="G439" t="n">
        <v>1.4</v>
      </c>
      <c r="H439" t="n">
        <v>0</v>
      </c>
      <c r="I439" t="n">
        <v>0</v>
      </c>
      <c r="J439" t="n">
        <v>0</v>
      </c>
      <c r="K439" t="n">
        <v>0</v>
      </c>
      <c r="L439" t="n">
        <v>0</v>
      </c>
      <c r="M439" t="n">
        <v>0</v>
      </c>
      <c r="N439" t="n">
        <v>0</v>
      </c>
      <c r="O439" t="n">
        <v>0</v>
      </c>
      <c r="P439" t="n">
        <v>0</v>
      </c>
      <c r="Q439" t="n">
        <v>0</v>
      </c>
      <c r="R439" s="2" t="inlineStr"/>
    </row>
    <row r="440" ht="15" customHeight="1">
      <c r="A440" t="inlineStr">
        <is>
          <t>A 17556-2025</t>
        </is>
      </c>
      <c r="B440" s="1" t="n">
        <v>45757.62482638889</v>
      </c>
      <c r="C440" s="1" t="n">
        <v>46123</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10676-2025</t>
        </is>
      </c>
      <c r="B441" s="1" t="n">
        <v>45721.88684027778</v>
      </c>
      <c r="C441" s="1" t="n">
        <v>46123</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20852-2023</t>
        </is>
      </c>
      <c r="B442" s="1" t="n">
        <v>45058.78607638889</v>
      </c>
      <c r="C442" s="1" t="n">
        <v>46123</v>
      </c>
      <c r="D442" t="inlineStr">
        <is>
          <t>STOCKHOLMS LÄN</t>
        </is>
      </c>
      <c r="E442" t="inlineStr">
        <is>
          <t>NORRTÄLJE</t>
        </is>
      </c>
      <c r="G442" t="n">
        <v>3.5</v>
      </c>
      <c r="H442" t="n">
        <v>0</v>
      </c>
      <c r="I442" t="n">
        <v>0</v>
      </c>
      <c r="J442" t="n">
        <v>0</v>
      </c>
      <c r="K442" t="n">
        <v>0</v>
      </c>
      <c r="L442" t="n">
        <v>0</v>
      </c>
      <c r="M442" t="n">
        <v>0</v>
      </c>
      <c r="N442" t="n">
        <v>0</v>
      </c>
      <c r="O442" t="n">
        <v>0</v>
      </c>
      <c r="P442" t="n">
        <v>0</v>
      </c>
      <c r="Q442" t="n">
        <v>0</v>
      </c>
      <c r="R442" s="2" t="inlineStr"/>
    </row>
    <row r="443" ht="15" customHeight="1">
      <c r="A443" t="inlineStr">
        <is>
          <t>A 20011-2025</t>
        </is>
      </c>
      <c r="B443" s="1" t="n">
        <v>45772.29622685185</v>
      </c>
      <c r="C443" s="1" t="n">
        <v>46123</v>
      </c>
      <c r="D443" t="inlineStr">
        <is>
          <t>STOCKHOLMS LÄN</t>
        </is>
      </c>
      <c r="E443" t="inlineStr">
        <is>
          <t>NORRTÄLJE</t>
        </is>
      </c>
      <c r="G443" t="n">
        <v>3.5</v>
      </c>
      <c r="H443" t="n">
        <v>0</v>
      </c>
      <c r="I443" t="n">
        <v>0</v>
      </c>
      <c r="J443" t="n">
        <v>0</v>
      </c>
      <c r="K443" t="n">
        <v>0</v>
      </c>
      <c r="L443" t="n">
        <v>0</v>
      </c>
      <c r="M443" t="n">
        <v>0</v>
      </c>
      <c r="N443" t="n">
        <v>0</v>
      </c>
      <c r="O443" t="n">
        <v>0</v>
      </c>
      <c r="P443" t="n">
        <v>0</v>
      </c>
      <c r="Q443" t="n">
        <v>0</v>
      </c>
      <c r="R443" s="2" t="inlineStr"/>
    </row>
    <row r="444" ht="15" customHeight="1">
      <c r="A444" t="inlineStr">
        <is>
          <t>A 42094-2023</t>
        </is>
      </c>
      <c r="B444" s="1" t="n">
        <v>45177.61498842593</v>
      </c>
      <c r="C444" s="1" t="n">
        <v>46123</v>
      </c>
      <c r="D444" t="inlineStr">
        <is>
          <t>STOCKHOLMS LÄN</t>
        </is>
      </c>
      <c r="E444" t="inlineStr">
        <is>
          <t>NORRTÄLJE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42856-2025</t>
        </is>
      </c>
      <c r="B445" s="1" t="n">
        <v>45908</v>
      </c>
      <c r="C445" s="1" t="n">
        <v>46123</v>
      </c>
      <c r="D445" t="inlineStr">
        <is>
          <t>STOCKHOLMS LÄN</t>
        </is>
      </c>
      <c r="E445" t="inlineStr">
        <is>
          <t>NORRTÄLJE</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22456-2023</t>
        </is>
      </c>
      <c r="B446" s="1" t="n">
        <v>45070</v>
      </c>
      <c r="C446" s="1" t="n">
        <v>46123</v>
      </c>
      <c r="D446" t="inlineStr">
        <is>
          <t>STOCKHOLMS LÄN</t>
        </is>
      </c>
      <c r="E446" t="inlineStr">
        <is>
          <t>NORRTÄLJE</t>
        </is>
      </c>
      <c r="G446" t="n">
        <v>3.1</v>
      </c>
      <c r="H446" t="n">
        <v>0</v>
      </c>
      <c r="I446" t="n">
        <v>0</v>
      </c>
      <c r="J446" t="n">
        <v>0</v>
      </c>
      <c r="K446" t="n">
        <v>0</v>
      </c>
      <c r="L446" t="n">
        <v>0</v>
      </c>
      <c r="M446" t="n">
        <v>0</v>
      </c>
      <c r="N446" t="n">
        <v>0</v>
      </c>
      <c r="O446" t="n">
        <v>0</v>
      </c>
      <c r="P446" t="n">
        <v>0</v>
      </c>
      <c r="Q446" t="n">
        <v>0</v>
      </c>
      <c r="R446" s="2" t="inlineStr"/>
    </row>
    <row r="447" ht="15" customHeight="1">
      <c r="A447" t="inlineStr">
        <is>
          <t>A 17785-2024</t>
        </is>
      </c>
      <c r="B447" s="1" t="n">
        <v>45418.6968287037</v>
      </c>
      <c r="C447" s="1" t="n">
        <v>46123</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6678-2025</t>
        </is>
      </c>
      <c r="B448" s="1" t="n">
        <v>45700</v>
      </c>
      <c r="C448" s="1" t="n">
        <v>46123</v>
      </c>
      <c r="D448" t="inlineStr">
        <is>
          <t>STOCKHOLMS LÄN</t>
        </is>
      </c>
      <c r="E448" t="inlineStr">
        <is>
          <t>NORRTÄLJE</t>
        </is>
      </c>
      <c r="F448" t="inlineStr">
        <is>
          <t>Övriga Aktiebolag</t>
        </is>
      </c>
      <c r="G448" t="n">
        <v>6.6</v>
      </c>
      <c r="H448" t="n">
        <v>0</v>
      </c>
      <c r="I448" t="n">
        <v>0</v>
      </c>
      <c r="J448" t="n">
        <v>0</v>
      </c>
      <c r="K448" t="n">
        <v>0</v>
      </c>
      <c r="L448" t="n">
        <v>0</v>
      </c>
      <c r="M448" t="n">
        <v>0</v>
      </c>
      <c r="N448" t="n">
        <v>0</v>
      </c>
      <c r="O448" t="n">
        <v>0</v>
      </c>
      <c r="P448" t="n">
        <v>0</v>
      </c>
      <c r="Q448" t="n">
        <v>0</v>
      </c>
      <c r="R448" s="2" t="inlineStr"/>
    </row>
    <row r="449" ht="15" customHeight="1">
      <c r="A449" t="inlineStr">
        <is>
          <t>A 8370-2025</t>
        </is>
      </c>
      <c r="B449" s="1" t="n">
        <v>45708</v>
      </c>
      <c r="C449" s="1" t="n">
        <v>46123</v>
      </c>
      <c r="D449" t="inlineStr">
        <is>
          <t>STOCKHOLMS LÄN</t>
        </is>
      </c>
      <c r="E449" t="inlineStr">
        <is>
          <t>NORRTÄLJE</t>
        </is>
      </c>
      <c r="F449" t="inlineStr">
        <is>
          <t>Övriga Aktiebolag</t>
        </is>
      </c>
      <c r="G449" t="n">
        <v>5.6</v>
      </c>
      <c r="H449" t="n">
        <v>0</v>
      </c>
      <c r="I449" t="n">
        <v>0</v>
      </c>
      <c r="J449" t="n">
        <v>0</v>
      </c>
      <c r="K449" t="n">
        <v>0</v>
      </c>
      <c r="L449" t="n">
        <v>0</v>
      </c>
      <c r="M449" t="n">
        <v>0</v>
      </c>
      <c r="N449" t="n">
        <v>0</v>
      </c>
      <c r="O449" t="n">
        <v>0</v>
      </c>
      <c r="P449" t="n">
        <v>0</v>
      </c>
      <c r="Q449" t="n">
        <v>0</v>
      </c>
      <c r="R449" s="2" t="inlineStr"/>
    </row>
    <row r="450" ht="15" customHeight="1">
      <c r="A450" t="inlineStr">
        <is>
          <t>A 3299-2022</t>
        </is>
      </c>
      <c r="B450" s="1" t="n">
        <v>44584.91001157407</v>
      </c>
      <c r="C450" s="1" t="n">
        <v>46123</v>
      </c>
      <c r="D450" t="inlineStr">
        <is>
          <t>STOCKHOLMS LÄN</t>
        </is>
      </c>
      <c r="E450" t="inlineStr">
        <is>
          <t>NORRTÄLJE</t>
        </is>
      </c>
      <c r="G450" t="n">
        <v>2.7</v>
      </c>
      <c r="H450" t="n">
        <v>0</v>
      </c>
      <c r="I450" t="n">
        <v>0</v>
      </c>
      <c r="J450" t="n">
        <v>0</v>
      </c>
      <c r="K450" t="n">
        <v>0</v>
      </c>
      <c r="L450" t="n">
        <v>0</v>
      </c>
      <c r="M450" t="n">
        <v>0</v>
      </c>
      <c r="N450" t="n">
        <v>0</v>
      </c>
      <c r="O450" t="n">
        <v>0</v>
      </c>
      <c r="P450" t="n">
        <v>0</v>
      </c>
      <c r="Q450" t="n">
        <v>0</v>
      </c>
      <c r="R450" s="2" t="inlineStr"/>
    </row>
    <row r="451" ht="15" customHeight="1">
      <c r="A451" t="inlineStr">
        <is>
          <t>A 12348-2025</t>
        </is>
      </c>
      <c r="B451" s="1" t="n">
        <v>45730.35026620371</v>
      </c>
      <c r="C451" s="1" t="n">
        <v>46123</v>
      </c>
      <c r="D451" t="inlineStr">
        <is>
          <t>STOCKHOLMS LÄN</t>
        </is>
      </c>
      <c r="E451" t="inlineStr">
        <is>
          <t>NORRTÄLJE</t>
        </is>
      </c>
      <c r="G451" t="n">
        <v>1.5</v>
      </c>
      <c r="H451" t="n">
        <v>0</v>
      </c>
      <c r="I451" t="n">
        <v>0</v>
      </c>
      <c r="J451" t="n">
        <v>0</v>
      </c>
      <c r="K451" t="n">
        <v>0</v>
      </c>
      <c r="L451" t="n">
        <v>0</v>
      </c>
      <c r="M451" t="n">
        <v>0</v>
      </c>
      <c r="N451" t="n">
        <v>0</v>
      </c>
      <c r="O451" t="n">
        <v>0</v>
      </c>
      <c r="P451" t="n">
        <v>0</v>
      </c>
      <c r="Q451" t="n">
        <v>0</v>
      </c>
      <c r="R451" s="2" t="inlineStr"/>
    </row>
    <row r="452" ht="15" customHeight="1">
      <c r="A452" t="inlineStr">
        <is>
          <t>A 24835-2025</t>
        </is>
      </c>
      <c r="B452" s="1" t="n">
        <v>45799</v>
      </c>
      <c r="C452" s="1" t="n">
        <v>46123</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17545-2025</t>
        </is>
      </c>
      <c r="B453" s="1" t="n">
        <v>45757.60658564815</v>
      </c>
      <c r="C453" s="1" t="n">
        <v>46123</v>
      </c>
      <c r="D453" t="inlineStr">
        <is>
          <t>STOCKHOLMS LÄN</t>
        </is>
      </c>
      <c r="E453" t="inlineStr">
        <is>
          <t>NORRTÄLJE</t>
        </is>
      </c>
      <c r="G453" t="n">
        <v>1.6</v>
      </c>
      <c r="H453" t="n">
        <v>0</v>
      </c>
      <c r="I453" t="n">
        <v>0</v>
      </c>
      <c r="J453" t="n">
        <v>0</v>
      </c>
      <c r="K453" t="n">
        <v>0</v>
      </c>
      <c r="L453" t="n">
        <v>0</v>
      </c>
      <c r="M453" t="n">
        <v>0</v>
      </c>
      <c r="N453" t="n">
        <v>0</v>
      </c>
      <c r="O453" t="n">
        <v>0</v>
      </c>
      <c r="P453" t="n">
        <v>0</v>
      </c>
      <c r="Q453" t="n">
        <v>0</v>
      </c>
      <c r="R453" s="2" t="inlineStr"/>
    </row>
    <row r="454" ht="15" customHeight="1">
      <c r="A454" t="inlineStr">
        <is>
          <t>A 21771-2025</t>
        </is>
      </c>
      <c r="B454" s="1" t="n">
        <v>45783</v>
      </c>
      <c r="C454" s="1" t="n">
        <v>46123</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25094-2023</t>
        </is>
      </c>
      <c r="B455" s="1" t="n">
        <v>45086.3629050926</v>
      </c>
      <c r="C455" s="1" t="n">
        <v>46123</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36157-2024</t>
        </is>
      </c>
      <c r="B456" s="1" t="n">
        <v>45534.38240740741</v>
      </c>
      <c r="C456" s="1" t="n">
        <v>46123</v>
      </c>
      <c r="D456" t="inlineStr">
        <is>
          <t>STOCKHOLMS LÄN</t>
        </is>
      </c>
      <c r="E456" t="inlineStr">
        <is>
          <t>NORRTÄLJE</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19982-2022</t>
        </is>
      </c>
      <c r="B457" s="1" t="n">
        <v>44697</v>
      </c>
      <c r="C457" s="1" t="n">
        <v>46123</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43169-2025</t>
        </is>
      </c>
      <c r="B458" s="1" t="n">
        <v>45910</v>
      </c>
      <c r="C458" s="1" t="n">
        <v>46123</v>
      </c>
      <c r="D458" t="inlineStr">
        <is>
          <t>STOCKHOLMS LÄN</t>
        </is>
      </c>
      <c r="E458" t="inlineStr">
        <is>
          <t>NORRTÄLJE</t>
        </is>
      </c>
      <c r="G458" t="n">
        <v>6.9</v>
      </c>
      <c r="H458" t="n">
        <v>0</v>
      </c>
      <c r="I458" t="n">
        <v>0</v>
      </c>
      <c r="J458" t="n">
        <v>0</v>
      </c>
      <c r="K458" t="n">
        <v>0</v>
      </c>
      <c r="L458" t="n">
        <v>0</v>
      </c>
      <c r="M458" t="n">
        <v>0</v>
      </c>
      <c r="N458" t="n">
        <v>0</v>
      </c>
      <c r="O458" t="n">
        <v>0</v>
      </c>
      <c r="P458" t="n">
        <v>0</v>
      </c>
      <c r="Q458" t="n">
        <v>0</v>
      </c>
      <c r="R458" s="2" t="inlineStr"/>
    </row>
    <row r="459" ht="15" customHeight="1">
      <c r="A459" t="inlineStr">
        <is>
          <t>A 42075-2023</t>
        </is>
      </c>
      <c r="B459" s="1" t="n">
        <v>45177</v>
      </c>
      <c r="C459" s="1" t="n">
        <v>46123</v>
      </c>
      <c r="D459" t="inlineStr">
        <is>
          <t>STOCKHOLMS LÄN</t>
        </is>
      </c>
      <c r="E459" t="inlineStr">
        <is>
          <t>NORRTÄLJE</t>
        </is>
      </c>
      <c r="G459" t="n">
        <v>2.5</v>
      </c>
      <c r="H459" t="n">
        <v>0</v>
      </c>
      <c r="I459" t="n">
        <v>0</v>
      </c>
      <c r="J459" t="n">
        <v>0</v>
      </c>
      <c r="K459" t="n">
        <v>0</v>
      </c>
      <c r="L459" t="n">
        <v>0</v>
      </c>
      <c r="M459" t="n">
        <v>0</v>
      </c>
      <c r="N459" t="n">
        <v>0</v>
      </c>
      <c r="O459" t="n">
        <v>0</v>
      </c>
      <c r="P459" t="n">
        <v>0</v>
      </c>
      <c r="Q459" t="n">
        <v>0</v>
      </c>
      <c r="R459" s="2" t="inlineStr"/>
    </row>
    <row r="460" ht="15" customHeight="1">
      <c r="A460" t="inlineStr">
        <is>
          <t>A 47694-2023</t>
        </is>
      </c>
      <c r="B460" s="1" t="n">
        <v>45203.63303240741</v>
      </c>
      <c r="C460" s="1" t="n">
        <v>46123</v>
      </c>
      <c r="D460" t="inlineStr">
        <is>
          <t>STOCKHOLMS LÄN</t>
        </is>
      </c>
      <c r="E460" t="inlineStr">
        <is>
          <t>NORRTÄLJE</t>
        </is>
      </c>
      <c r="G460" t="n">
        <v>5.2</v>
      </c>
      <c r="H460" t="n">
        <v>0</v>
      </c>
      <c r="I460" t="n">
        <v>0</v>
      </c>
      <c r="J460" t="n">
        <v>0</v>
      </c>
      <c r="K460" t="n">
        <v>0</v>
      </c>
      <c r="L460" t="n">
        <v>0</v>
      </c>
      <c r="M460" t="n">
        <v>0</v>
      </c>
      <c r="N460" t="n">
        <v>0</v>
      </c>
      <c r="O460" t="n">
        <v>0</v>
      </c>
      <c r="P460" t="n">
        <v>0</v>
      </c>
      <c r="Q460" t="n">
        <v>0</v>
      </c>
      <c r="R460" s="2" t="inlineStr"/>
    </row>
    <row r="461" ht="15" customHeight="1">
      <c r="A461" t="inlineStr">
        <is>
          <t>A 50108-2021</t>
        </is>
      </c>
      <c r="B461" s="1" t="n">
        <v>44456</v>
      </c>
      <c r="C461" s="1" t="n">
        <v>46123</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35532-2024</t>
        </is>
      </c>
      <c r="B462" s="1" t="n">
        <v>45531</v>
      </c>
      <c r="C462" s="1" t="n">
        <v>46123</v>
      </c>
      <c r="D462" t="inlineStr">
        <is>
          <t>STOCKHOLMS LÄN</t>
        </is>
      </c>
      <c r="E462" t="inlineStr">
        <is>
          <t>NORRTÄLJE</t>
        </is>
      </c>
      <c r="G462" t="n">
        <v>2.3</v>
      </c>
      <c r="H462" t="n">
        <v>0</v>
      </c>
      <c r="I462" t="n">
        <v>0</v>
      </c>
      <c r="J462" t="n">
        <v>0</v>
      </c>
      <c r="K462" t="n">
        <v>0</v>
      </c>
      <c r="L462" t="n">
        <v>0</v>
      </c>
      <c r="M462" t="n">
        <v>0</v>
      </c>
      <c r="N462" t="n">
        <v>0</v>
      </c>
      <c r="O462" t="n">
        <v>0</v>
      </c>
      <c r="P462" t="n">
        <v>0</v>
      </c>
      <c r="Q462" t="n">
        <v>0</v>
      </c>
      <c r="R462" s="2" t="inlineStr"/>
    </row>
    <row r="463" ht="15" customHeight="1">
      <c r="A463" t="inlineStr">
        <is>
          <t>A 30719-2025</t>
        </is>
      </c>
      <c r="B463" s="1" t="n">
        <v>45831</v>
      </c>
      <c r="C463" s="1" t="n">
        <v>46123</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43269-2025</t>
        </is>
      </c>
      <c r="B464" s="1" t="n">
        <v>45910.5819212963</v>
      </c>
      <c r="C464" s="1" t="n">
        <v>46123</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1654-2025</t>
        </is>
      </c>
      <c r="B465" s="1" t="n">
        <v>45670.65921296296</v>
      </c>
      <c r="C465" s="1" t="n">
        <v>46123</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62644-2023</t>
        </is>
      </c>
      <c r="B466" s="1" t="n">
        <v>45271</v>
      </c>
      <c r="C466" s="1" t="n">
        <v>46123</v>
      </c>
      <c r="D466" t="inlineStr">
        <is>
          <t>STOCKHOLMS LÄN</t>
        </is>
      </c>
      <c r="E466" t="inlineStr">
        <is>
          <t>NORRTÄLJE</t>
        </is>
      </c>
      <c r="G466" t="n">
        <v>1.1</v>
      </c>
      <c r="H466" t="n">
        <v>0</v>
      </c>
      <c r="I466" t="n">
        <v>0</v>
      </c>
      <c r="J466" t="n">
        <v>0</v>
      </c>
      <c r="K466" t="n">
        <v>0</v>
      </c>
      <c r="L466" t="n">
        <v>0</v>
      </c>
      <c r="M466" t="n">
        <v>0</v>
      </c>
      <c r="N466" t="n">
        <v>0</v>
      </c>
      <c r="O466" t="n">
        <v>0</v>
      </c>
      <c r="P466" t="n">
        <v>0</v>
      </c>
      <c r="Q466" t="n">
        <v>0</v>
      </c>
      <c r="R466" s="2" t="inlineStr"/>
    </row>
    <row r="467" ht="15" customHeight="1">
      <c r="A467" t="inlineStr">
        <is>
          <t>A 11229-2022</t>
        </is>
      </c>
      <c r="B467" s="1" t="n">
        <v>44629</v>
      </c>
      <c r="C467" s="1" t="n">
        <v>46123</v>
      </c>
      <c r="D467" t="inlineStr">
        <is>
          <t>STOCKHOLMS LÄN</t>
        </is>
      </c>
      <c r="E467" t="inlineStr">
        <is>
          <t>NORRTÄLJE</t>
        </is>
      </c>
      <c r="F467" t="inlineStr">
        <is>
          <t>Övriga Aktiebolag</t>
        </is>
      </c>
      <c r="G467" t="n">
        <v>4.1</v>
      </c>
      <c r="H467" t="n">
        <v>0</v>
      </c>
      <c r="I467" t="n">
        <v>0</v>
      </c>
      <c r="J467" t="n">
        <v>0</v>
      </c>
      <c r="K467" t="n">
        <v>0</v>
      </c>
      <c r="L467" t="n">
        <v>0</v>
      </c>
      <c r="M467" t="n">
        <v>0</v>
      </c>
      <c r="N467" t="n">
        <v>0</v>
      </c>
      <c r="O467" t="n">
        <v>0</v>
      </c>
      <c r="P467" t="n">
        <v>0</v>
      </c>
      <c r="Q467" t="n">
        <v>0</v>
      </c>
      <c r="R467" s="2" t="inlineStr"/>
    </row>
    <row r="468" ht="15" customHeight="1">
      <c r="A468" t="inlineStr">
        <is>
          <t>A 43916-2025</t>
        </is>
      </c>
      <c r="B468" s="1" t="n">
        <v>45914.78884259259</v>
      </c>
      <c r="C468" s="1" t="n">
        <v>46123</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50355-2024</t>
        </is>
      </c>
      <c r="B469" s="1" t="n">
        <v>45600.86128472222</v>
      </c>
      <c r="C469" s="1" t="n">
        <v>46123</v>
      </c>
      <c r="D469" t="inlineStr">
        <is>
          <t>STOCKHOLMS LÄN</t>
        </is>
      </c>
      <c r="E469" t="inlineStr">
        <is>
          <t>NORRTÄLJE</t>
        </is>
      </c>
      <c r="F469" t="inlineStr">
        <is>
          <t>Kommuner</t>
        </is>
      </c>
      <c r="G469" t="n">
        <v>1</v>
      </c>
      <c r="H469" t="n">
        <v>0</v>
      </c>
      <c r="I469" t="n">
        <v>0</v>
      </c>
      <c r="J469" t="n">
        <v>0</v>
      </c>
      <c r="K469" t="n">
        <v>0</v>
      </c>
      <c r="L469" t="n">
        <v>0</v>
      </c>
      <c r="M469" t="n">
        <v>0</v>
      </c>
      <c r="N469" t="n">
        <v>0</v>
      </c>
      <c r="O469" t="n">
        <v>0</v>
      </c>
      <c r="P469" t="n">
        <v>0</v>
      </c>
      <c r="Q469" t="n">
        <v>0</v>
      </c>
      <c r="R469" s="2" t="inlineStr"/>
    </row>
    <row r="470" ht="15" customHeight="1">
      <c r="A470" t="inlineStr">
        <is>
          <t>A 44917-2022</t>
        </is>
      </c>
      <c r="B470" s="1" t="n">
        <v>44841.52804398148</v>
      </c>
      <c r="C470" s="1" t="n">
        <v>46123</v>
      </c>
      <c r="D470" t="inlineStr">
        <is>
          <t>STOCKHOLMS LÄN</t>
        </is>
      </c>
      <c r="E470" t="inlineStr">
        <is>
          <t>NORRTÄLJE</t>
        </is>
      </c>
      <c r="F470" t="inlineStr">
        <is>
          <t>Holmen skog AB</t>
        </is>
      </c>
      <c r="G470" t="n">
        <v>3.3</v>
      </c>
      <c r="H470" t="n">
        <v>0</v>
      </c>
      <c r="I470" t="n">
        <v>0</v>
      </c>
      <c r="J470" t="n">
        <v>0</v>
      </c>
      <c r="K470" t="n">
        <v>0</v>
      </c>
      <c r="L470" t="n">
        <v>0</v>
      </c>
      <c r="M470" t="n">
        <v>0</v>
      </c>
      <c r="N470" t="n">
        <v>0</v>
      </c>
      <c r="O470" t="n">
        <v>0</v>
      </c>
      <c r="P470" t="n">
        <v>0</v>
      </c>
      <c r="Q470" t="n">
        <v>0</v>
      </c>
      <c r="R470" s="2" t="inlineStr"/>
    </row>
    <row r="471" ht="15" customHeight="1">
      <c r="A471" t="inlineStr">
        <is>
          <t>A 57353-2024</t>
        </is>
      </c>
      <c r="B471" s="1" t="n">
        <v>45629.65143518519</v>
      </c>
      <c r="C471" s="1" t="n">
        <v>46123</v>
      </c>
      <c r="D471" t="inlineStr">
        <is>
          <t>STOCKHOLMS LÄN</t>
        </is>
      </c>
      <c r="E471" t="inlineStr">
        <is>
          <t>NORRTÄLJE</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55058-2021</t>
        </is>
      </c>
      <c r="B472" s="1" t="n">
        <v>44474.62141203704</v>
      </c>
      <c r="C472" s="1" t="n">
        <v>46123</v>
      </c>
      <c r="D472" t="inlineStr">
        <is>
          <t>STOCKHOLMS LÄN</t>
        </is>
      </c>
      <c r="E472" t="inlineStr">
        <is>
          <t>NORRTÄLJE</t>
        </is>
      </c>
      <c r="G472" t="n">
        <v>1.9</v>
      </c>
      <c r="H472" t="n">
        <v>0</v>
      </c>
      <c r="I472" t="n">
        <v>0</v>
      </c>
      <c r="J472" t="n">
        <v>0</v>
      </c>
      <c r="K472" t="n">
        <v>0</v>
      </c>
      <c r="L472" t="n">
        <v>0</v>
      </c>
      <c r="M472" t="n">
        <v>0</v>
      </c>
      <c r="N472" t="n">
        <v>0</v>
      </c>
      <c r="O472" t="n">
        <v>0</v>
      </c>
      <c r="P472" t="n">
        <v>0</v>
      </c>
      <c r="Q472" t="n">
        <v>0</v>
      </c>
      <c r="R472" s="2" t="inlineStr"/>
    </row>
    <row r="473" ht="15" customHeight="1">
      <c r="A473" t="inlineStr">
        <is>
          <t>A 48587-2023</t>
        </is>
      </c>
      <c r="B473" s="1" t="n">
        <v>45208</v>
      </c>
      <c r="C473" s="1" t="n">
        <v>46123</v>
      </c>
      <c r="D473" t="inlineStr">
        <is>
          <t>STOCKHOLMS LÄN</t>
        </is>
      </c>
      <c r="E473" t="inlineStr">
        <is>
          <t>NORRTÄLJE</t>
        </is>
      </c>
      <c r="G473" t="n">
        <v>7</v>
      </c>
      <c r="H473" t="n">
        <v>0</v>
      </c>
      <c r="I473" t="n">
        <v>0</v>
      </c>
      <c r="J473" t="n">
        <v>0</v>
      </c>
      <c r="K473" t="n">
        <v>0</v>
      </c>
      <c r="L473" t="n">
        <v>0</v>
      </c>
      <c r="M473" t="n">
        <v>0</v>
      </c>
      <c r="N473" t="n">
        <v>0</v>
      </c>
      <c r="O473" t="n">
        <v>0</v>
      </c>
      <c r="P473" t="n">
        <v>0</v>
      </c>
      <c r="Q473" t="n">
        <v>0</v>
      </c>
      <c r="R473" s="2" t="inlineStr"/>
    </row>
    <row r="474" ht="15" customHeight="1">
      <c r="A474" t="inlineStr">
        <is>
          <t>A 21778-2025</t>
        </is>
      </c>
      <c r="B474" s="1" t="n">
        <v>45783.66429398148</v>
      </c>
      <c r="C474" s="1" t="n">
        <v>46123</v>
      </c>
      <c r="D474" t="inlineStr">
        <is>
          <t>STOCKHOLMS LÄN</t>
        </is>
      </c>
      <c r="E474" t="inlineStr">
        <is>
          <t>NORRTÄLJE</t>
        </is>
      </c>
      <c r="G474" t="n">
        <v>2</v>
      </c>
      <c r="H474" t="n">
        <v>0</v>
      </c>
      <c r="I474" t="n">
        <v>0</v>
      </c>
      <c r="J474" t="n">
        <v>0</v>
      </c>
      <c r="K474" t="n">
        <v>0</v>
      </c>
      <c r="L474" t="n">
        <v>0</v>
      </c>
      <c r="M474" t="n">
        <v>0</v>
      </c>
      <c r="N474" t="n">
        <v>0</v>
      </c>
      <c r="O474" t="n">
        <v>0</v>
      </c>
      <c r="P474" t="n">
        <v>0</v>
      </c>
      <c r="Q474" t="n">
        <v>0</v>
      </c>
      <c r="R474" s="2" t="inlineStr"/>
    </row>
    <row r="475" ht="15" customHeight="1">
      <c r="A475" t="inlineStr">
        <is>
          <t>A 2549-2022</t>
        </is>
      </c>
      <c r="B475" s="1" t="n">
        <v>44580</v>
      </c>
      <c r="C475" s="1" t="n">
        <v>46123</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4438-2023</t>
        </is>
      </c>
      <c r="B476" s="1" t="n">
        <v>44956</v>
      </c>
      <c r="C476" s="1" t="n">
        <v>46123</v>
      </c>
      <c r="D476" t="inlineStr">
        <is>
          <t>STOCKHOLMS LÄN</t>
        </is>
      </c>
      <c r="E476" t="inlineStr">
        <is>
          <t>NORRTÄLJE</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55012-2024</t>
        </is>
      </c>
      <c r="B477" s="1" t="n">
        <v>45621.34813657407</v>
      </c>
      <c r="C477" s="1" t="n">
        <v>46123</v>
      </c>
      <c r="D477" t="inlineStr">
        <is>
          <t>STOCKHOLMS LÄN</t>
        </is>
      </c>
      <c r="E477" t="inlineStr">
        <is>
          <t>NORRTÄLJE</t>
        </is>
      </c>
      <c r="F477" t="inlineStr">
        <is>
          <t>Sveaskog</t>
        </is>
      </c>
      <c r="G477" t="n">
        <v>5.2</v>
      </c>
      <c r="H477" t="n">
        <v>0</v>
      </c>
      <c r="I477" t="n">
        <v>0</v>
      </c>
      <c r="J477" t="n">
        <v>0</v>
      </c>
      <c r="K477" t="n">
        <v>0</v>
      </c>
      <c r="L477" t="n">
        <v>0</v>
      </c>
      <c r="M477" t="n">
        <v>0</v>
      </c>
      <c r="N477" t="n">
        <v>0</v>
      </c>
      <c r="O477" t="n">
        <v>0</v>
      </c>
      <c r="P477" t="n">
        <v>0</v>
      </c>
      <c r="Q477" t="n">
        <v>0</v>
      </c>
      <c r="R477" s="2" t="inlineStr"/>
    </row>
    <row r="478" ht="15" customHeight="1">
      <c r="A478" t="inlineStr">
        <is>
          <t>A 47758-2023</t>
        </is>
      </c>
      <c r="B478" s="1" t="n">
        <v>45203.83891203703</v>
      </c>
      <c r="C478" s="1" t="n">
        <v>46123</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44354-2025</t>
        </is>
      </c>
      <c r="B479" s="1" t="n">
        <v>45916.44655092592</v>
      </c>
      <c r="C479" s="1" t="n">
        <v>46123</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51061-2023</t>
        </is>
      </c>
      <c r="B480" s="1" t="n">
        <v>45218.65849537037</v>
      </c>
      <c r="C480" s="1" t="n">
        <v>46123</v>
      </c>
      <c r="D480" t="inlineStr">
        <is>
          <t>STOCKHOLMS LÄN</t>
        </is>
      </c>
      <c r="E480" t="inlineStr">
        <is>
          <t>NORRTÄLJE</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22697-2022</t>
        </is>
      </c>
      <c r="B481" s="1" t="n">
        <v>44714.56040509259</v>
      </c>
      <c r="C481" s="1" t="n">
        <v>46123</v>
      </c>
      <c r="D481" t="inlineStr">
        <is>
          <t>STOCKHOLMS LÄN</t>
        </is>
      </c>
      <c r="E481" t="inlineStr">
        <is>
          <t>NORRTÄLJE</t>
        </is>
      </c>
      <c r="G481" t="n">
        <v>5.6</v>
      </c>
      <c r="H481" t="n">
        <v>0</v>
      </c>
      <c r="I481" t="n">
        <v>0</v>
      </c>
      <c r="J481" t="n">
        <v>0</v>
      </c>
      <c r="K481" t="n">
        <v>0</v>
      </c>
      <c r="L481" t="n">
        <v>0</v>
      </c>
      <c r="M481" t="n">
        <v>0</v>
      </c>
      <c r="N481" t="n">
        <v>0</v>
      </c>
      <c r="O481" t="n">
        <v>0</v>
      </c>
      <c r="P481" t="n">
        <v>0</v>
      </c>
      <c r="Q481" t="n">
        <v>0</v>
      </c>
      <c r="R481" s="2" t="inlineStr"/>
    </row>
    <row r="482" ht="15" customHeight="1">
      <c r="A482" t="inlineStr">
        <is>
          <t>A 44306-2025</t>
        </is>
      </c>
      <c r="B482" s="1" t="n">
        <v>45916.37736111111</v>
      </c>
      <c r="C482" s="1" t="n">
        <v>46123</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44343-2025</t>
        </is>
      </c>
      <c r="B483" s="1" t="n">
        <v>45916.43378472222</v>
      </c>
      <c r="C483" s="1" t="n">
        <v>46123</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44349-2025</t>
        </is>
      </c>
      <c r="B484" s="1" t="n">
        <v>45916.43929398148</v>
      </c>
      <c r="C484" s="1" t="n">
        <v>46123</v>
      </c>
      <c r="D484" t="inlineStr">
        <is>
          <t>STOCKHOLMS LÄN</t>
        </is>
      </c>
      <c r="E484" t="inlineStr">
        <is>
          <t>NORRTÄLJE</t>
        </is>
      </c>
      <c r="G484" t="n">
        <v>3.5</v>
      </c>
      <c r="H484" t="n">
        <v>0</v>
      </c>
      <c r="I484" t="n">
        <v>0</v>
      </c>
      <c r="J484" t="n">
        <v>0</v>
      </c>
      <c r="K484" t="n">
        <v>0</v>
      </c>
      <c r="L484" t="n">
        <v>0</v>
      </c>
      <c r="M484" t="n">
        <v>0</v>
      </c>
      <c r="N484" t="n">
        <v>0</v>
      </c>
      <c r="O484" t="n">
        <v>0</v>
      </c>
      <c r="P484" t="n">
        <v>0</v>
      </c>
      <c r="Q484" t="n">
        <v>0</v>
      </c>
      <c r="R484" s="2" t="inlineStr"/>
    </row>
    <row r="485" ht="15" customHeight="1">
      <c r="A485" t="inlineStr">
        <is>
          <t>A 45549-2022</t>
        </is>
      </c>
      <c r="B485" s="1" t="n">
        <v>44845.48064814815</v>
      </c>
      <c r="C485" s="1" t="n">
        <v>46123</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54396-2021</t>
        </is>
      </c>
      <c r="B486" s="1" t="n">
        <v>44472</v>
      </c>
      <c r="C486" s="1" t="n">
        <v>46123</v>
      </c>
      <c r="D486" t="inlineStr">
        <is>
          <t>STOCKHOLMS LÄN</t>
        </is>
      </c>
      <c r="E486" t="inlineStr">
        <is>
          <t>NORRTÄLJE</t>
        </is>
      </c>
      <c r="G486" t="n">
        <v>2.6</v>
      </c>
      <c r="H486" t="n">
        <v>0</v>
      </c>
      <c r="I486" t="n">
        <v>0</v>
      </c>
      <c r="J486" t="n">
        <v>0</v>
      </c>
      <c r="K486" t="n">
        <v>0</v>
      </c>
      <c r="L486" t="n">
        <v>0</v>
      </c>
      <c r="M486" t="n">
        <v>0</v>
      </c>
      <c r="N486" t="n">
        <v>0</v>
      </c>
      <c r="O486" t="n">
        <v>0</v>
      </c>
      <c r="P486" t="n">
        <v>0</v>
      </c>
      <c r="Q486" t="n">
        <v>0</v>
      </c>
      <c r="R486" s="2" t="inlineStr"/>
    </row>
    <row r="487" ht="15" customHeight="1">
      <c r="A487" t="inlineStr">
        <is>
          <t>A 44311-2025</t>
        </is>
      </c>
      <c r="B487" s="1" t="n">
        <v>45916.38394675926</v>
      </c>
      <c r="C487" s="1" t="n">
        <v>46123</v>
      </c>
      <c r="D487" t="inlineStr">
        <is>
          <t>STOCKHOLMS LÄN</t>
        </is>
      </c>
      <c r="E487" t="inlineStr">
        <is>
          <t>NORRTÄLJE</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24727-2023</t>
        </is>
      </c>
      <c r="B488" s="1" t="n">
        <v>45084.57695601852</v>
      </c>
      <c r="C488" s="1" t="n">
        <v>46123</v>
      </c>
      <c r="D488" t="inlineStr">
        <is>
          <t>STOCKHOLMS LÄN</t>
        </is>
      </c>
      <c r="E488" t="inlineStr">
        <is>
          <t>NORRTÄLJE</t>
        </is>
      </c>
      <c r="F488" t="inlineStr">
        <is>
          <t>Holmen skog AB</t>
        </is>
      </c>
      <c r="G488" t="n">
        <v>2.2</v>
      </c>
      <c r="H488" t="n">
        <v>0</v>
      </c>
      <c r="I488" t="n">
        <v>0</v>
      </c>
      <c r="J488" t="n">
        <v>0</v>
      </c>
      <c r="K488" t="n">
        <v>0</v>
      </c>
      <c r="L488" t="n">
        <v>0</v>
      </c>
      <c r="M488" t="n">
        <v>0</v>
      </c>
      <c r="N488" t="n">
        <v>0</v>
      </c>
      <c r="O488" t="n">
        <v>0</v>
      </c>
      <c r="P488" t="n">
        <v>0</v>
      </c>
      <c r="Q488" t="n">
        <v>0</v>
      </c>
      <c r="R488" s="2" t="inlineStr"/>
    </row>
    <row r="489" ht="15" customHeight="1">
      <c r="A489" t="inlineStr">
        <is>
          <t>A 44333-2025</t>
        </is>
      </c>
      <c r="B489" s="1" t="n">
        <v>45916.42293981482</v>
      </c>
      <c r="C489" s="1" t="n">
        <v>46123</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7413-2024</t>
        </is>
      </c>
      <c r="B490" s="1" t="n">
        <v>45345.6059837963</v>
      </c>
      <c r="C490" s="1" t="n">
        <v>46123</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12251-2025</t>
        </is>
      </c>
      <c r="B491" s="1" t="n">
        <v>45729.60859953704</v>
      </c>
      <c r="C491" s="1" t="n">
        <v>46123</v>
      </c>
      <c r="D491" t="inlineStr">
        <is>
          <t>STOCKHOLMS LÄN</t>
        </is>
      </c>
      <c r="E491" t="inlineStr">
        <is>
          <t>NORRTÄLJE</t>
        </is>
      </c>
      <c r="F491" t="inlineStr">
        <is>
          <t>Holmen skog AB</t>
        </is>
      </c>
      <c r="G491" t="n">
        <v>5.9</v>
      </c>
      <c r="H491" t="n">
        <v>0</v>
      </c>
      <c r="I491" t="n">
        <v>0</v>
      </c>
      <c r="J491" t="n">
        <v>0</v>
      </c>
      <c r="K491" t="n">
        <v>0</v>
      </c>
      <c r="L491" t="n">
        <v>0</v>
      </c>
      <c r="M491" t="n">
        <v>0</v>
      </c>
      <c r="N491" t="n">
        <v>0</v>
      </c>
      <c r="O491" t="n">
        <v>0</v>
      </c>
      <c r="P491" t="n">
        <v>0</v>
      </c>
      <c r="Q491" t="n">
        <v>0</v>
      </c>
      <c r="R491" s="2" t="inlineStr"/>
    </row>
    <row r="492" ht="15" customHeight="1">
      <c r="A492" t="inlineStr">
        <is>
          <t>A 58863-2024</t>
        </is>
      </c>
      <c r="B492" s="1" t="n">
        <v>45636.41572916666</v>
      </c>
      <c r="C492" s="1" t="n">
        <v>46123</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48722-2023</t>
        </is>
      </c>
      <c r="B493" s="1" t="n">
        <v>45208.70996527778</v>
      </c>
      <c r="C493" s="1" t="n">
        <v>46123</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35235-2024</t>
        </is>
      </c>
      <c r="B494" s="1" t="n">
        <v>45530</v>
      </c>
      <c r="C494" s="1" t="n">
        <v>46123</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1448-2023</t>
        </is>
      </c>
      <c r="B495" s="1" t="n">
        <v>44937</v>
      </c>
      <c r="C495" s="1" t="n">
        <v>46123</v>
      </c>
      <c r="D495" t="inlineStr">
        <is>
          <t>STOCKHOLMS LÄN</t>
        </is>
      </c>
      <c r="E495" t="inlineStr">
        <is>
          <t>NORRTÄLJE</t>
        </is>
      </c>
      <c r="G495" t="n">
        <v>1.9</v>
      </c>
      <c r="H495" t="n">
        <v>0</v>
      </c>
      <c r="I495" t="n">
        <v>0</v>
      </c>
      <c r="J495" t="n">
        <v>0</v>
      </c>
      <c r="K495" t="n">
        <v>0</v>
      </c>
      <c r="L495" t="n">
        <v>0</v>
      </c>
      <c r="M495" t="n">
        <v>0</v>
      </c>
      <c r="N495" t="n">
        <v>0</v>
      </c>
      <c r="O495" t="n">
        <v>0</v>
      </c>
      <c r="P495" t="n">
        <v>0</v>
      </c>
      <c r="Q495" t="n">
        <v>0</v>
      </c>
      <c r="R495" s="2" t="inlineStr"/>
    </row>
    <row r="496" ht="15" customHeight="1">
      <c r="A496" t="inlineStr">
        <is>
          <t>A 50154-2024</t>
        </is>
      </c>
      <c r="B496" s="1" t="n">
        <v>45600.4558912037</v>
      </c>
      <c r="C496" s="1" t="n">
        <v>46123</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8736-2024</t>
        </is>
      </c>
      <c r="B497" s="1" t="n">
        <v>45356.4722800926</v>
      </c>
      <c r="C497" s="1" t="n">
        <v>46123</v>
      </c>
      <c r="D497" t="inlineStr">
        <is>
          <t>STOCKHOLMS LÄN</t>
        </is>
      </c>
      <c r="E497" t="inlineStr">
        <is>
          <t>NORRTÄLJE</t>
        </is>
      </c>
      <c r="G497" t="n">
        <v>8.9</v>
      </c>
      <c r="H497" t="n">
        <v>0</v>
      </c>
      <c r="I497" t="n">
        <v>0</v>
      </c>
      <c r="J497" t="n">
        <v>0</v>
      </c>
      <c r="K497" t="n">
        <v>0</v>
      </c>
      <c r="L497" t="n">
        <v>0</v>
      </c>
      <c r="M497" t="n">
        <v>0</v>
      </c>
      <c r="N497" t="n">
        <v>0</v>
      </c>
      <c r="O497" t="n">
        <v>0</v>
      </c>
      <c r="P497" t="n">
        <v>0</v>
      </c>
      <c r="Q497" t="n">
        <v>0</v>
      </c>
      <c r="R497" s="2" t="inlineStr"/>
    </row>
    <row r="498" ht="15" customHeight="1">
      <c r="A498" t="inlineStr">
        <is>
          <t>A 44937-2025</t>
        </is>
      </c>
      <c r="B498" s="1" t="n">
        <v>45918</v>
      </c>
      <c r="C498" s="1" t="n">
        <v>46123</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33149-2022</t>
        </is>
      </c>
      <c r="B499" s="1" t="n">
        <v>44785</v>
      </c>
      <c r="C499" s="1" t="n">
        <v>46123</v>
      </c>
      <c r="D499" t="inlineStr">
        <is>
          <t>STOCKHOLMS LÄN</t>
        </is>
      </c>
      <c r="E499" t="inlineStr">
        <is>
          <t>NORRTÄLJE</t>
        </is>
      </c>
      <c r="F499" t="inlineStr">
        <is>
          <t>Holmen skog AB</t>
        </is>
      </c>
      <c r="G499" t="n">
        <v>4.4</v>
      </c>
      <c r="H499" t="n">
        <v>0</v>
      </c>
      <c r="I499" t="n">
        <v>0</v>
      </c>
      <c r="J499" t="n">
        <v>0</v>
      </c>
      <c r="K499" t="n">
        <v>0</v>
      </c>
      <c r="L499" t="n">
        <v>0</v>
      </c>
      <c r="M499" t="n">
        <v>0</v>
      </c>
      <c r="N499" t="n">
        <v>0</v>
      </c>
      <c r="O499" t="n">
        <v>0</v>
      </c>
      <c r="P499" t="n">
        <v>0</v>
      </c>
      <c r="Q499" t="n">
        <v>0</v>
      </c>
      <c r="R499" s="2" t="inlineStr"/>
    </row>
    <row r="500" ht="15" customHeight="1">
      <c r="A500" t="inlineStr">
        <is>
          <t>A 11900-2024</t>
        </is>
      </c>
      <c r="B500" s="1" t="n">
        <v>45376.55484953704</v>
      </c>
      <c r="C500" s="1" t="n">
        <v>46123</v>
      </c>
      <c r="D500" t="inlineStr">
        <is>
          <t>STOCKHOLMS LÄN</t>
        </is>
      </c>
      <c r="E500" t="inlineStr">
        <is>
          <t>NORRTÄLJE</t>
        </is>
      </c>
      <c r="G500" t="n">
        <v>4.2</v>
      </c>
      <c r="H500" t="n">
        <v>0</v>
      </c>
      <c r="I500" t="n">
        <v>0</v>
      </c>
      <c r="J500" t="n">
        <v>0</v>
      </c>
      <c r="K500" t="n">
        <v>0</v>
      </c>
      <c r="L500" t="n">
        <v>0</v>
      </c>
      <c r="M500" t="n">
        <v>0</v>
      </c>
      <c r="N500" t="n">
        <v>0</v>
      </c>
      <c r="O500" t="n">
        <v>0</v>
      </c>
      <c r="P500" t="n">
        <v>0</v>
      </c>
      <c r="Q500" t="n">
        <v>0</v>
      </c>
      <c r="R500" s="2" t="inlineStr"/>
    </row>
    <row r="501" ht="15" customHeight="1">
      <c r="A501" t="inlineStr">
        <is>
          <t>A 22202-2025</t>
        </is>
      </c>
      <c r="B501" s="1" t="n">
        <v>45785.65300925926</v>
      </c>
      <c r="C501" s="1" t="n">
        <v>46123</v>
      </c>
      <c r="D501" t="inlineStr">
        <is>
          <t>STOCKHOLMS LÄN</t>
        </is>
      </c>
      <c r="E501" t="inlineStr">
        <is>
          <t>NORRTÄLJE</t>
        </is>
      </c>
      <c r="G501" t="n">
        <v>10.2</v>
      </c>
      <c r="H501" t="n">
        <v>0</v>
      </c>
      <c r="I501" t="n">
        <v>0</v>
      </c>
      <c r="J501" t="n">
        <v>0</v>
      </c>
      <c r="K501" t="n">
        <v>0</v>
      </c>
      <c r="L501" t="n">
        <v>0</v>
      </c>
      <c r="M501" t="n">
        <v>0</v>
      </c>
      <c r="N501" t="n">
        <v>0</v>
      </c>
      <c r="O501" t="n">
        <v>0</v>
      </c>
      <c r="P501" t="n">
        <v>0</v>
      </c>
      <c r="Q501" t="n">
        <v>0</v>
      </c>
      <c r="R501" s="2" t="inlineStr"/>
    </row>
    <row r="502" ht="15" customHeight="1">
      <c r="A502" t="inlineStr">
        <is>
          <t>A 42867-2022</t>
        </is>
      </c>
      <c r="B502" s="1" t="n">
        <v>44832</v>
      </c>
      <c r="C502" s="1" t="n">
        <v>46123</v>
      </c>
      <c r="D502" t="inlineStr">
        <is>
          <t>STOCKHOLMS LÄN</t>
        </is>
      </c>
      <c r="E502" t="inlineStr">
        <is>
          <t>NORRTÄLJE</t>
        </is>
      </c>
      <c r="G502" t="n">
        <v>6.4</v>
      </c>
      <c r="H502" t="n">
        <v>0</v>
      </c>
      <c r="I502" t="n">
        <v>0</v>
      </c>
      <c r="J502" t="n">
        <v>0</v>
      </c>
      <c r="K502" t="n">
        <v>0</v>
      </c>
      <c r="L502" t="n">
        <v>0</v>
      </c>
      <c r="M502" t="n">
        <v>0</v>
      </c>
      <c r="N502" t="n">
        <v>0</v>
      </c>
      <c r="O502" t="n">
        <v>0</v>
      </c>
      <c r="P502" t="n">
        <v>0</v>
      </c>
      <c r="Q502" t="n">
        <v>0</v>
      </c>
      <c r="R502" s="2" t="inlineStr"/>
    </row>
    <row r="503" ht="15" customHeight="1">
      <c r="A503" t="inlineStr">
        <is>
          <t>A 22359-2025</t>
        </is>
      </c>
      <c r="B503" s="1" t="n">
        <v>45786</v>
      </c>
      <c r="C503" s="1" t="n">
        <v>46123</v>
      </c>
      <c r="D503" t="inlineStr">
        <is>
          <t>STOCKHOLMS LÄN</t>
        </is>
      </c>
      <c r="E503" t="inlineStr">
        <is>
          <t>NORRTÄLJE</t>
        </is>
      </c>
      <c r="G503" t="n">
        <v>5</v>
      </c>
      <c r="H503" t="n">
        <v>0</v>
      </c>
      <c r="I503" t="n">
        <v>0</v>
      </c>
      <c r="J503" t="n">
        <v>0</v>
      </c>
      <c r="K503" t="n">
        <v>0</v>
      </c>
      <c r="L503" t="n">
        <v>0</v>
      </c>
      <c r="M503" t="n">
        <v>0</v>
      </c>
      <c r="N503" t="n">
        <v>0</v>
      </c>
      <c r="O503" t="n">
        <v>0</v>
      </c>
      <c r="P503" t="n">
        <v>0</v>
      </c>
      <c r="Q503" t="n">
        <v>0</v>
      </c>
      <c r="R503" s="2" t="inlineStr"/>
    </row>
    <row r="504" ht="15" customHeight="1">
      <c r="A504" t="inlineStr">
        <is>
          <t>A 23749-2024</t>
        </is>
      </c>
      <c r="B504" s="1" t="n">
        <v>45455.33037037037</v>
      </c>
      <c r="C504" s="1" t="n">
        <v>46123</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58277-2023</t>
        </is>
      </c>
      <c r="B505" s="1" t="n">
        <v>45245</v>
      </c>
      <c r="C505" s="1" t="n">
        <v>46123</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45697-2025</t>
        </is>
      </c>
      <c r="B506" s="1" t="n">
        <v>45923.39877314815</v>
      </c>
      <c r="C506" s="1" t="n">
        <v>46123</v>
      </c>
      <c r="D506" t="inlineStr">
        <is>
          <t>STOCKHOLMS LÄN</t>
        </is>
      </c>
      <c r="E506" t="inlineStr">
        <is>
          <t>NORRTÄLJE</t>
        </is>
      </c>
      <c r="G506" t="n">
        <v>1.8</v>
      </c>
      <c r="H506" t="n">
        <v>0</v>
      </c>
      <c r="I506" t="n">
        <v>0</v>
      </c>
      <c r="J506" t="n">
        <v>0</v>
      </c>
      <c r="K506" t="n">
        <v>0</v>
      </c>
      <c r="L506" t="n">
        <v>0</v>
      </c>
      <c r="M506" t="n">
        <v>0</v>
      </c>
      <c r="N506" t="n">
        <v>0</v>
      </c>
      <c r="O506" t="n">
        <v>0</v>
      </c>
      <c r="P506" t="n">
        <v>0</v>
      </c>
      <c r="Q506" t="n">
        <v>0</v>
      </c>
      <c r="R506" s="2" t="inlineStr"/>
    </row>
    <row r="507" ht="15" customHeight="1">
      <c r="A507" t="inlineStr">
        <is>
          <t>A 32705-2022</t>
        </is>
      </c>
      <c r="B507" s="1" t="n">
        <v>44783</v>
      </c>
      <c r="C507" s="1" t="n">
        <v>46123</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6537-2024</t>
        </is>
      </c>
      <c r="B508" s="1" t="n">
        <v>45341.39853009259</v>
      </c>
      <c r="C508" s="1" t="n">
        <v>46123</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40175-2024</t>
        </is>
      </c>
      <c r="B509" s="1" t="n">
        <v>45554.55707175926</v>
      </c>
      <c r="C509" s="1" t="n">
        <v>46123</v>
      </c>
      <c r="D509" t="inlineStr">
        <is>
          <t>STOCKHOLMS LÄN</t>
        </is>
      </c>
      <c r="E509" t="inlineStr">
        <is>
          <t>NORRTÄLJE</t>
        </is>
      </c>
      <c r="G509" t="n">
        <v>7.7</v>
      </c>
      <c r="H509" t="n">
        <v>0</v>
      </c>
      <c r="I509" t="n">
        <v>0</v>
      </c>
      <c r="J509" t="n">
        <v>0</v>
      </c>
      <c r="K509" t="n">
        <v>0</v>
      </c>
      <c r="L509" t="n">
        <v>0</v>
      </c>
      <c r="M509" t="n">
        <v>0</v>
      </c>
      <c r="N509" t="n">
        <v>0</v>
      </c>
      <c r="O509" t="n">
        <v>0</v>
      </c>
      <c r="P509" t="n">
        <v>0</v>
      </c>
      <c r="Q509" t="n">
        <v>0</v>
      </c>
      <c r="R509" s="2" t="inlineStr"/>
    </row>
    <row r="510" ht="15" customHeight="1">
      <c r="A510" t="inlineStr">
        <is>
          <t>A 46415-2025</t>
        </is>
      </c>
      <c r="B510" s="1" t="n">
        <v>45925.58636574074</v>
      </c>
      <c r="C510" s="1" t="n">
        <v>46123</v>
      </c>
      <c r="D510" t="inlineStr">
        <is>
          <t>STOCKHOLMS LÄN</t>
        </is>
      </c>
      <c r="E510" t="inlineStr">
        <is>
          <t>NORRTÄLJE</t>
        </is>
      </c>
      <c r="G510" t="n">
        <v>3.8</v>
      </c>
      <c r="H510" t="n">
        <v>0</v>
      </c>
      <c r="I510" t="n">
        <v>0</v>
      </c>
      <c r="J510" t="n">
        <v>0</v>
      </c>
      <c r="K510" t="n">
        <v>0</v>
      </c>
      <c r="L510" t="n">
        <v>0</v>
      </c>
      <c r="M510" t="n">
        <v>0</v>
      </c>
      <c r="N510" t="n">
        <v>0</v>
      </c>
      <c r="O510" t="n">
        <v>0</v>
      </c>
      <c r="P510" t="n">
        <v>0</v>
      </c>
      <c r="Q510" t="n">
        <v>0</v>
      </c>
      <c r="R510" s="2" t="inlineStr"/>
    </row>
    <row r="511" ht="15" customHeight="1">
      <c r="A511" t="inlineStr">
        <is>
          <t>A 54558-2024</t>
        </is>
      </c>
      <c r="B511" s="1" t="n">
        <v>45617.62358796296</v>
      </c>
      <c r="C511" s="1" t="n">
        <v>46123</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47481-2024</t>
        </is>
      </c>
      <c r="B512" s="1" t="n">
        <v>45587</v>
      </c>
      <c r="C512" s="1" t="n">
        <v>46123</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57037-2022</t>
        </is>
      </c>
      <c r="B513" s="1" t="n">
        <v>44895</v>
      </c>
      <c r="C513" s="1" t="n">
        <v>46123</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11940-2023</t>
        </is>
      </c>
      <c r="B514" s="1" t="n">
        <v>44995</v>
      </c>
      <c r="C514" s="1" t="n">
        <v>46123</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23056-2023</t>
        </is>
      </c>
      <c r="B515" s="1" t="n">
        <v>45075</v>
      </c>
      <c r="C515" s="1" t="n">
        <v>46123</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47431-2023</t>
        </is>
      </c>
      <c r="B516" s="1" t="n">
        <v>45202</v>
      </c>
      <c r="C516" s="1" t="n">
        <v>46123</v>
      </c>
      <c r="D516" t="inlineStr">
        <is>
          <t>STOCKHOLMS LÄN</t>
        </is>
      </c>
      <c r="E516" t="inlineStr">
        <is>
          <t>NORRTÄLJE</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2281-2024</t>
        </is>
      </c>
      <c r="B517" s="1" t="n">
        <v>45310.40628472222</v>
      </c>
      <c r="C517" s="1" t="n">
        <v>46123</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60525-2022</t>
        </is>
      </c>
      <c r="B518" s="1" t="n">
        <v>44904</v>
      </c>
      <c r="C518" s="1" t="n">
        <v>46123</v>
      </c>
      <c r="D518" t="inlineStr">
        <is>
          <t>STOCKHOLMS LÄN</t>
        </is>
      </c>
      <c r="E518" t="inlineStr">
        <is>
          <t>NORRTÄLJE</t>
        </is>
      </c>
      <c r="G518" t="n">
        <v>13.4</v>
      </c>
      <c r="H518" t="n">
        <v>0</v>
      </c>
      <c r="I518" t="n">
        <v>0</v>
      </c>
      <c r="J518" t="n">
        <v>0</v>
      </c>
      <c r="K518" t="n">
        <v>0</v>
      </c>
      <c r="L518" t="n">
        <v>0</v>
      </c>
      <c r="M518" t="n">
        <v>0</v>
      </c>
      <c r="N518" t="n">
        <v>0</v>
      </c>
      <c r="O518" t="n">
        <v>0</v>
      </c>
      <c r="P518" t="n">
        <v>0</v>
      </c>
      <c r="Q518" t="n">
        <v>0</v>
      </c>
      <c r="R518" s="2" t="inlineStr"/>
    </row>
    <row r="519" ht="15" customHeight="1">
      <c r="A519" t="inlineStr">
        <is>
          <t>A 59499-2023</t>
        </is>
      </c>
      <c r="B519" s="1" t="n">
        <v>45254</v>
      </c>
      <c r="C519" s="1" t="n">
        <v>46123</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59468-2023</t>
        </is>
      </c>
      <c r="B520" s="1" t="n">
        <v>45254.41509259259</v>
      </c>
      <c r="C520" s="1" t="n">
        <v>46123</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16620-2024</t>
        </is>
      </c>
      <c r="B521" s="1" t="n">
        <v>45408.57707175926</v>
      </c>
      <c r="C521" s="1" t="n">
        <v>46123</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46900-2025</t>
        </is>
      </c>
      <c r="B522" s="1" t="n">
        <v>45929.38712962963</v>
      </c>
      <c r="C522" s="1" t="n">
        <v>46123</v>
      </c>
      <c r="D522" t="inlineStr">
        <is>
          <t>STOCKHOLMS LÄN</t>
        </is>
      </c>
      <c r="E522" t="inlineStr">
        <is>
          <t>NORRTÄLJE</t>
        </is>
      </c>
      <c r="F522" t="inlineStr">
        <is>
          <t>Holmen skog AB</t>
        </is>
      </c>
      <c r="G522" t="n">
        <v>6.2</v>
      </c>
      <c r="H522" t="n">
        <v>0</v>
      </c>
      <c r="I522" t="n">
        <v>0</v>
      </c>
      <c r="J522" t="n">
        <v>0</v>
      </c>
      <c r="K522" t="n">
        <v>0</v>
      </c>
      <c r="L522" t="n">
        <v>0</v>
      </c>
      <c r="M522" t="n">
        <v>0</v>
      </c>
      <c r="N522" t="n">
        <v>0</v>
      </c>
      <c r="O522" t="n">
        <v>0</v>
      </c>
      <c r="P522" t="n">
        <v>0</v>
      </c>
      <c r="Q522" t="n">
        <v>0</v>
      </c>
      <c r="R522" s="2" t="inlineStr"/>
    </row>
    <row r="523" ht="15" customHeight="1">
      <c r="A523" t="inlineStr">
        <is>
          <t>A 12532-2025</t>
        </is>
      </c>
      <c r="B523" s="1" t="n">
        <v>45730.69143518519</v>
      </c>
      <c r="C523" s="1" t="n">
        <v>46123</v>
      </c>
      <c r="D523" t="inlineStr">
        <is>
          <t>STOCKHOLMS LÄN</t>
        </is>
      </c>
      <c r="E523" t="inlineStr">
        <is>
          <t>NORRTÄLJE</t>
        </is>
      </c>
      <c r="G523" t="n">
        <v>1</v>
      </c>
      <c r="H523" t="n">
        <v>0</v>
      </c>
      <c r="I523" t="n">
        <v>0</v>
      </c>
      <c r="J523" t="n">
        <v>0</v>
      </c>
      <c r="K523" t="n">
        <v>0</v>
      </c>
      <c r="L523" t="n">
        <v>0</v>
      </c>
      <c r="M523" t="n">
        <v>0</v>
      </c>
      <c r="N523" t="n">
        <v>0</v>
      </c>
      <c r="O523" t="n">
        <v>0</v>
      </c>
      <c r="P523" t="n">
        <v>0</v>
      </c>
      <c r="Q523" t="n">
        <v>0</v>
      </c>
      <c r="R523" s="2" t="inlineStr"/>
    </row>
    <row r="524" ht="15" customHeight="1">
      <c r="A524" t="inlineStr">
        <is>
          <t>A 39213-2022</t>
        </is>
      </c>
      <c r="B524" s="1" t="n">
        <v>44817.56120370371</v>
      </c>
      <c r="C524" s="1" t="n">
        <v>46123</v>
      </c>
      <c r="D524" t="inlineStr">
        <is>
          <t>STOCKHOLMS LÄN</t>
        </is>
      </c>
      <c r="E524" t="inlineStr">
        <is>
          <t>NORRTÄLJE</t>
        </is>
      </c>
      <c r="G524" t="n">
        <v>3.4</v>
      </c>
      <c r="H524" t="n">
        <v>0</v>
      </c>
      <c r="I524" t="n">
        <v>0</v>
      </c>
      <c r="J524" t="n">
        <v>0</v>
      </c>
      <c r="K524" t="n">
        <v>0</v>
      </c>
      <c r="L524" t="n">
        <v>0</v>
      </c>
      <c r="M524" t="n">
        <v>0</v>
      </c>
      <c r="N524" t="n">
        <v>0</v>
      </c>
      <c r="O524" t="n">
        <v>0</v>
      </c>
      <c r="P524" t="n">
        <v>0</v>
      </c>
      <c r="Q524" t="n">
        <v>0</v>
      </c>
      <c r="R524" s="2" t="inlineStr"/>
    </row>
    <row r="525" ht="15" customHeight="1">
      <c r="A525" t="inlineStr">
        <is>
          <t>A 5732-2023</t>
        </is>
      </c>
      <c r="B525" s="1" t="n">
        <v>44962</v>
      </c>
      <c r="C525" s="1" t="n">
        <v>46123</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10653-2022</t>
        </is>
      </c>
      <c r="B526" s="1" t="n">
        <v>44624.59434027778</v>
      </c>
      <c r="C526" s="1" t="n">
        <v>46123</v>
      </c>
      <c r="D526" t="inlineStr">
        <is>
          <t>STOCKHOLMS LÄN</t>
        </is>
      </c>
      <c r="E526" t="inlineStr">
        <is>
          <t>NORRTÄLJE</t>
        </is>
      </c>
      <c r="G526" t="n">
        <v>2.3</v>
      </c>
      <c r="H526" t="n">
        <v>0</v>
      </c>
      <c r="I526" t="n">
        <v>0</v>
      </c>
      <c r="J526" t="n">
        <v>0</v>
      </c>
      <c r="K526" t="n">
        <v>0</v>
      </c>
      <c r="L526" t="n">
        <v>0</v>
      </c>
      <c r="M526" t="n">
        <v>0</v>
      </c>
      <c r="N526" t="n">
        <v>0</v>
      </c>
      <c r="O526" t="n">
        <v>0</v>
      </c>
      <c r="P526" t="n">
        <v>0</v>
      </c>
      <c r="Q526" t="n">
        <v>0</v>
      </c>
      <c r="R526" s="2" t="inlineStr"/>
    </row>
    <row r="527" ht="15" customHeight="1">
      <c r="A527" t="inlineStr">
        <is>
          <t>A 41976-2024</t>
        </is>
      </c>
      <c r="B527" s="1" t="n">
        <v>45561.62141203704</v>
      </c>
      <c r="C527" s="1" t="n">
        <v>46123</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21729-2024</t>
        </is>
      </c>
      <c r="B528" s="1" t="n">
        <v>45442</v>
      </c>
      <c r="C528" s="1" t="n">
        <v>46123</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51325-2023</t>
        </is>
      </c>
      <c r="B529" s="1" t="n">
        <v>45219</v>
      </c>
      <c r="C529" s="1" t="n">
        <v>46123</v>
      </c>
      <c r="D529" t="inlineStr">
        <is>
          <t>STOCKHOLMS LÄN</t>
        </is>
      </c>
      <c r="E529" t="inlineStr">
        <is>
          <t>NORRTÄLJE</t>
        </is>
      </c>
      <c r="G529" t="n">
        <v>2.2</v>
      </c>
      <c r="H529" t="n">
        <v>0</v>
      </c>
      <c r="I529" t="n">
        <v>0</v>
      </c>
      <c r="J529" t="n">
        <v>0</v>
      </c>
      <c r="K529" t="n">
        <v>0</v>
      </c>
      <c r="L529" t="n">
        <v>0</v>
      </c>
      <c r="M529" t="n">
        <v>0</v>
      </c>
      <c r="N529" t="n">
        <v>0</v>
      </c>
      <c r="O529" t="n">
        <v>0</v>
      </c>
      <c r="P529" t="n">
        <v>0</v>
      </c>
      <c r="Q529" t="n">
        <v>0</v>
      </c>
      <c r="R529" s="2" t="inlineStr"/>
    </row>
    <row r="530" ht="15" customHeight="1">
      <c r="A530" t="inlineStr">
        <is>
          <t>A 59534-2024</t>
        </is>
      </c>
      <c r="B530" s="1" t="n">
        <v>45638.5987037037</v>
      </c>
      <c r="C530" s="1" t="n">
        <v>46123</v>
      </c>
      <c r="D530" t="inlineStr">
        <is>
          <t>STOCKHOLMS LÄN</t>
        </is>
      </c>
      <c r="E530" t="inlineStr">
        <is>
          <t>NORRTÄLJE</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31107-2022</t>
        </is>
      </c>
      <c r="B531" s="1" t="n">
        <v>44769.66864583334</v>
      </c>
      <c r="C531" s="1" t="n">
        <v>46123</v>
      </c>
      <c r="D531" t="inlineStr">
        <is>
          <t>STOCKHOLMS LÄN</t>
        </is>
      </c>
      <c r="E531" t="inlineStr">
        <is>
          <t>NORRTÄLJE</t>
        </is>
      </c>
      <c r="G531" t="n">
        <v>3.8</v>
      </c>
      <c r="H531" t="n">
        <v>0</v>
      </c>
      <c r="I531" t="n">
        <v>0</v>
      </c>
      <c r="J531" t="n">
        <v>0</v>
      </c>
      <c r="K531" t="n">
        <v>0</v>
      </c>
      <c r="L531" t="n">
        <v>0</v>
      </c>
      <c r="M531" t="n">
        <v>0</v>
      </c>
      <c r="N531" t="n">
        <v>0</v>
      </c>
      <c r="O531" t="n">
        <v>0</v>
      </c>
      <c r="P531" t="n">
        <v>0</v>
      </c>
      <c r="Q531" t="n">
        <v>0</v>
      </c>
      <c r="R531" s="2" t="inlineStr"/>
    </row>
    <row r="532" ht="15" customHeight="1">
      <c r="A532" t="inlineStr">
        <is>
          <t>A 13860-2023</t>
        </is>
      </c>
      <c r="B532" s="1" t="n">
        <v>45007</v>
      </c>
      <c r="C532" s="1" t="n">
        <v>46123</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6855-2025</t>
        </is>
      </c>
      <c r="B533" s="1" t="n">
        <v>45700</v>
      </c>
      <c r="C533" s="1" t="n">
        <v>46123</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11854-2025</t>
        </is>
      </c>
      <c r="B534" s="1" t="n">
        <v>45728.38924768518</v>
      </c>
      <c r="C534" s="1" t="n">
        <v>46123</v>
      </c>
      <c r="D534" t="inlineStr">
        <is>
          <t>STOCKHOLMS LÄN</t>
        </is>
      </c>
      <c r="E534" t="inlineStr">
        <is>
          <t>NORRTÄLJE</t>
        </is>
      </c>
      <c r="G534" t="n">
        <v>1.4</v>
      </c>
      <c r="H534" t="n">
        <v>0</v>
      </c>
      <c r="I534" t="n">
        <v>0</v>
      </c>
      <c r="J534" t="n">
        <v>0</v>
      </c>
      <c r="K534" t="n">
        <v>0</v>
      </c>
      <c r="L534" t="n">
        <v>0</v>
      </c>
      <c r="M534" t="n">
        <v>0</v>
      </c>
      <c r="N534" t="n">
        <v>0</v>
      </c>
      <c r="O534" t="n">
        <v>0</v>
      </c>
      <c r="P534" t="n">
        <v>0</v>
      </c>
      <c r="Q534" t="n">
        <v>0</v>
      </c>
      <c r="R534" s="2" t="inlineStr"/>
    </row>
    <row r="535" ht="15" customHeight="1">
      <c r="A535" t="inlineStr">
        <is>
          <t>A 14762-2024</t>
        </is>
      </c>
      <c r="B535" s="1" t="n">
        <v>45397</v>
      </c>
      <c r="C535" s="1" t="n">
        <v>46123</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22416-2025</t>
        </is>
      </c>
      <c r="B536" s="1" t="n">
        <v>45786.55645833333</v>
      </c>
      <c r="C536" s="1" t="n">
        <v>46123</v>
      </c>
      <c r="D536" t="inlineStr">
        <is>
          <t>STOCKHOLMS LÄN</t>
        </is>
      </c>
      <c r="E536" t="inlineStr">
        <is>
          <t>NORRTÄLJE</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13314-2025</t>
        </is>
      </c>
      <c r="B537" s="1" t="n">
        <v>45735.59287037037</v>
      </c>
      <c r="C537" s="1" t="n">
        <v>46123</v>
      </c>
      <c r="D537" t="inlineStr">
        <is>
          <t>STOCKHOLMS LÄN</t>
        </is>
      </c>
      <c r="E537" t="inlineStr">
        <is>
          <t>NORRTÄLJE</t>
        </is>
      </c>
      <c r="G537" t="n">
        <v>2.4</v>
      </c>
      <c r="H537" t="n">
        <v>0</v>
      </c>
      <c r="I537" t="n">
        <v>0</v>
      </c>
      <c r="J537" t="n">
        <v>0</v>
      </c>
      <c r="K537" t="n">
        <v>0</v>
      </c>
      <c r="L537" t="n">
        <v>0</v>
      </c>
      <c r="M537" t="n">
        <v>0</v>
      </c>
      <c r="N537" t="n">
        <v>0</v>
      </c>
      <c r="O537" t="n">
        <v>0</v>
      </c>
      <c r="P537" t="n">
        <v>0</v>
      </c>
      <c r="Q537" t="n">
        <v>0</v>
      </c>
      <c r="R537" s="2" t="inlineStr"/>
    </row>
    <row r="538" ht="15" customHeight="1">
      <c r="A538" t="inlineStr">
        <is>
          <t>A 35256-2025</t>
        </is>
      </c>
      <c r="B538" s="1" t="n">
        <v>45853</v>
      </c>
      <c r="C538" s="1" t="n">
        <v>46123</v>
      </c>
      <c r="D538" t="inlineStr">
        <is>
          <t>STOCKHOLMS LÄN</t>
        </is>
      </c>
      <c r="E538" t="inlineStr">
        <is>
          <t>NORRTÄLJE</t>
        </is>
      </c>
      <c r="G538" t="n">
        <v>6.4</v>
      </c>
      <c r="H538" t="n">
        <v>0</v>
      </c>
      <c r="I538" t="n">
        <v>0</v>
      </c>
      <c r="J538" t="n">
        <v>0</v>
      </c>
      <c r="K538" t="n">
        <v>0</v>
      </c>
      <c r="L538" t="n">
        <v>0</v>
      </c>
      <c r="M538" t="n">
        <v>0</v>
      </c>
      <c r="N538" t="n">
        <v>0</v>
      </c>
      <c r="O538" t="n">
        <v>0</v>
      </c>
      <c r="P538" t="n">
        <v>0</v>
      </c>
      <c r="Q538" t="n">
        <v>0</v>
      </c>
      <c r="R538" s="2" t="inlineStr"/>
    </row>
    <row r="539" ht="15" customHeight="1">
      <c r="A539" t="inlineStr">
        <is>
          <t>A 34432-2021</t>
        </is>
      </c>
      <c r="B539" s="1" t="n">
        <v>44380.77346064815</v>
      </c>
      <c r="C539" s="1" t="n">
        <v>46123</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59712-2024</t>
        </is>
      </c>
      <c r="B540" s="1" t="n">
        <v>45639.45166666667</v>
      </c>
      <c r="C540" s="1" t="n">
        <v>46123</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58785-2024</t>
        </is>
      </c>
      <c r="B541" s="1" t="n">
        <v>45635.88849537037</v>
      </c>
      <c r="C541" s="1" t="n">
        <v>46123</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35127-2023</t>
        </is>
      </c>
      <c r="B542" s="1" t="n">
        <v>45145.51</v>
      </c>
      <c r="C542" s="1" t="n">
        <v>46123</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23149-2024</t>
        </is>
      </c>
      <c r="B543" s="1" t="n">
        <v>45450.64208333333</v>
      </c>
      <c r="C543" s="1" t="n">
        <v>46123</v>
      </c>
      <c r="D543" t="inlineStr">
        <is>
          <t>STOCKHOLMS LÄN</t>
        </is>
      </c>
      <c r="E543" t="inlineStr">
        <is>
          <t>NORRTÄLJE</t>
        </is>
      </c>
      <c r="F543" t="inlineStr">
        <is>
          <t>Kommuner</t>
        </is>
      </c>
      <c r="G543" t="n">
        <v>1.3</v>
      </c>
      <c r="H543" t="n">
        <v>0</v>
      </c>
      <c r="I543" t="n">
        <v>0</v>
      </c>
      <c r="J543" t="n">
        <v>0</v>
      </c>
      <c r="K543" t="n">
        <v>0</v>
      </c>
      <c r="L543" t="n">
        <v>0</v>
      </c>
      <c r="M543" t="n">
        <v>0</v>
      </c>
      <c r="N543" t="n">
        <v>0</v>
      </c>
      <c r="O543" t="n">
        <v>0</v>
      </c>
      <c r="P543" t="n">
        <v>0</v>
      </c>
      <c r="Q543" t="n">
        <v>0</v>
      </c>
      <c r="R543" s="2" t="inlineStr"/>
    </row>
    <row r="544" ht="15" customHeight="1">
      <c r="A544" t="inlineStr">
        <is>
          <t>A 23151-2024</t>
        </is>
      </c>
      <c r="B544" s="1" t="n">
        <v>45450</v>
      </c>
      <c r="C544" s="1" t="n">
        <v>46123</v>
      </c>
      <c r="D544" t="inlineStr">
        <is>
          <t>STOCKHOLMS LÄN</t>
        </is>
      </c>
      <c r="E544" t="inlineStr">
        <is>
          <t>NORRTÄLJE</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2182-2022</t>
        </is>
      </c>
      <c r="B545" s="1" t="n">
        <v>44578</v>
      </c>
      <c r="C545" s="1" t="n">
        <v>46123</v>
      </c>
      <c r="D545" t="inlineStr">
        <is>
          <t>STOCKHOLMS LÄN</t>
        </is>
      </c>
      <c r="E545" t="inlineStr">
        <is>
          <t>NORRTÄLJE</t>
        </is>
      </c>
      <c r="G545" t="n">
        <v>7.2</v>
      </c>
      <c r="H545" t="n">
        <v>0</v>
      </c>
      <c r="I545" t="n">
        <v>0</v>
      </c>
      <c r="J545" t="n">
        <v>0</v>
      </c>
      <c r="K545" t="n">
        <v>0</v>
      </c>
      <c r="L545" t="n">
        <v>0</v>
      </c>
      <c r="M545" t="n">
        <v>0</v>
      </c>
      <c r="N545" t="n">
        <v>0</v>
      </c>
      <c r="O545" t="n">
        <v>0</v>
      </c>
      <c r="P545" t="n">
        <v>0</v>
      </c>
      <c r="Q545" t="n">
        <v>0</v>
      </c>
      <c r="R545" s="2" t="inlineStr"/>
    </row>
    <row r="546" ht="15" customHeight="1">
      <c r="A546" t="inlineStr">
        <is>
          <t>A 45255-2022</t>
        </is>
      </c>
      <c r="B546" s="1" t="n">
        <v>44840</v>
      </c>
      <c r="C546" s="1" t="n">
        <v>46123</v>
      </c>
      <c r="D546" t="inlineStr">
        <is>
          <t>STOCKHOLMS LÄN</t>
        </is>
      </c>
      <c r="E546" t="inlineStr">
        <is>
          <t>NORRTÄLJE</t>
        </is>
      </c>
      <c r="G546" t="n">
        <v>4.1</v>
      </c>
      <c r="H546" t="n">
        <v>0</v>
      </c>
      <c r="I546" t="n">
        <v>0</v>
      </c>
      <c r="J546" t="n">
        <v>0</v>
      </c>
      <c r="K546" t="n">
        <v>0</v>
      </c>
      <c r="L546" t="n">
        <v>0</v>
      </c>
      <c r="M546" t="n">
        <v>0</v>
      </c>
      <c r="N546" t="n">
        <v>0</v>
      </c>
      <c r="O546" t="n">
        <v>0</v>
      </c>
      <c r="P546" t="n">
        <v>0</v>
      </c>
      <c r="Q546" t="n">
        <v>0</v>
      </c>
      <c r="R546" s="2" t="inlineStr"/>
    </row>
    <row r="547" ht="15" customHeight="1">
      <c r="A547" t="inlineStr">
        <is>
          <t>A 47498-2025</t>
        </is>
      </c>
      <c r="B547" s="1" t="n">
        <v>45930.8134375</v>
      </c>
      <c r="C547" s="1" t="n">
        <v>46123</v>
      </c>
      <c r="D547" t="inlineStr">
        <is>
          <t>STOCKHOLMS LÄN</t>
        </is>
      </c>
      <c r="E547" t="inlineStr">
        <is>
          <t>NORRTÄLJE</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47460-2025</t>
        </is>
      </c>
      <c r="B548" s="1" t="n">
        <v>45930.66012731481</v>
      </c>
      <c r="C548" s="1" t="n">
        <v>46123</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47496-2025</t>
        </is>
      </c>
      <c r="B549" s="1" t="n">
        <v>45930.79252314815</v>
      </c>
      <c r="C549" s="1" t="n">
        <v>46123</v>
      </c>
      <c r="D549" t="inlineStr">
        <is>
          <t>STOCKHOLMS LÄN</t>
        </is>
      </c>
      <c r="E549" t="inlineStr">
        <is>
          <t>NORRTÄLJE</t>
        </is>
      </c>
      <c r="F549" t="inlineStr">
        <is>
          <t>Holmen skog AB</t>
        </is>
      </c>
      <c r="G549" t="n">
        <v>0.9</v>
      </c>
      <c r="H549" t="n">
        <v>0</v>
      </c>
      <c r="I549" t="n">
        <v>0</v>
      </c>
      <c r="J549" t="n">
        <v>0</v>
      </c>
      <c r="K549" t="n">
        <v>0</v>
      </c>
      <c r="L549" t="n">
        <v>0</v>
      </c>
      <c r="M549" t="n">
        <v>0</v>
      </c>
      <c r="N549" t="n">
        <v>0</v>
      </c>
      <c r="O549" t="n">
        <v>0</v>
      </c>
      <c r="P549" t="n">
        <v>0</v>
      </c>
      <c r="Q549" t="n">
        <v>0</v>
      </c>
      <c r="R549" s="2" t="inlineStr"/>
    </row>
    <row r="550" ht="15" customHeight="1">
      <c r="A550" t="inlineStr">
        <is>
          <t>A 47497-2025</t>
        </is>
      </c>
      <c r="B550" s="1" t="n">
        <v>45930.80217592593</v>
      </c>
      <c r="C550" s="1" t="n">
        <v>46123</v>
      </c>
      <c r="D550" t="inlineStr">
        <is>
          <t>STOCKHOLMS LÄN</t>
        </is>
      </c>
      <c r="E550" t="inlineStr">
        <is>
          <t>NORRTÄLJE</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52001-2023</t>
        </is>
      </c>
      <c r="B551" s="1" t="n">
        <v>45223</v>
      </c>
      <c r="C551" s="1" t="n">
        <v>46123</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13268-2025</t>
        </is>
      </c>
      <c r="B552" s="1" t="n">
        <v>45735</v>
      </c>
      <c r="C552" s="1" t="n">
        <v>46123</v>
      </c>
      <c r="D552" t="inlineStr">
        <is>
          <t>STOCKHOLMS LÄN</t>
        </is>
      </c>
      <c r="E552" t="inlineStr">
        <is>
          <t>NORRTÄLJE</t>
        </is>
      </c>
      <c r="G552" t="n">
        <v>11.4</v>
      </c>
      <c r="H552" t="n">
        <v>0</v>
      </c>
      <c r="I552" t="n">
        <v>0</v>
      </c>
      <c r="J552" t="n">
        <v>0</v>
      </c>
      <c r="K552" t="n">
        <v>0</v>
      </c>
      <c r="L552" t="n">
        <v>0</v>
      </c>
      <c r="M552" t="n">
        <v>0</v>
      </c>
      <c r="N552" t="n">
        <v>0</v>
      </c>
      <c r="O552" t="n">
        <v>0</v>
      </c>
      <c r="P552" t="n">
        <v>0</v>
      </c>
      <c r="Q552" t="n">
        <v>0</v>
      </c>
      <c r="R552" s="2" t="inlineStr"/>
    </row>
    <row r="553" ht="15" customHeight="1">
      <c r="A553" t="inlineStr">
        <is>
          <t>A 48360-2025</t>
        </is>
      </c>
      <c r="B553" s="1" t="n">
        <v>45933.66253472222</v>
      </c>
      <c r="C553" s="1" t="n">
        <v>46123</v>
      </c>
      <c r="D553" t="inlineStr">
        <is>
          <t>STOCKHOLMS LÄN</t>
        </is>
      </c>
      <c r="E553" t="inlineStr">
        <is>
          <t>NORRTÄLJE</t>
        </is>
      </c>
      <c r="G553" t="n">
        <v>4.1</v>
      </c>
      <c r="H553" t="n">
        <v>0</v>
      </c>
      <c r="I553" t="n">
        <v>0</v>
      </c>
      <c r="J553" t="n">
        <v>0</v>
      </c>
      <c r="K553" t="n">
        <v>0</v>
      </c>
      <c r="L553" t="n">
        <v>0</v>
      </c>
      <c r="M553" t="n">
        <v>0</v>
      </c>
      <c r="N553" t="n">
        <v>0</v>
      </c>
      <c r="O553" t="n">
        <v>0</v>
      </c>
      <c r="P553" t="n">
        <v>0</v>
      </c>
      <c r="Q553" t="n">
        <v>0</v>
      </c>
      <c r="R553" s="2" t="inlineStr"/>
    </row>
    <row r="554" ht="15" customHeight="1">
      <c r="A554" t="inlineStr">
        <is>
          <t>A 48370-2025</t>
        </is>
      </c>
      <c r="B554" s="1" t="n">
        <v>45933.67854166667</v>
      </c>
      <c r="C554" s="1" t="n">
        <v>46123</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60185-2024</t>
        </is>
      </c>
      <c r="B555" s="1" t="n">
        <v>45642.64634259259</v>
      </c>
      <c r="C555" s="1" t="n">
        <v>46123</v>
      </c>
      <c r="D555" t="inlineStr">
        <is>
          <t>STOCKHOLMS LÄN</t>
        </is>
      </c>
      <c r="E555" t="inlineStr">
        <is>
          <t>NORRTÄLJE</t>
        </is>
      </c>
      <c r="G555" t="n">
        <v>0.3</v>
      </c>
      <c r="H555" t="n">
        <v>0</v>
      </c>
      <c r="I555" t="n">
        <v>0</v>
      </c>
      <c r="J555" t="n">
        <v>0</v>
      </c>
      <c r="K555" t="n">
        <v>0</v>
      </c>
      <c r="L555" t="n">
        <v>0</v>
      </c>
      <c r="M555" t="n">
        <v>0</v>
      </c>
      <c r="N555" t="n">
        <v>0</v>
      </c>
      <c r="O555" t="n">
        <v>0</v>
      </c>
      <c r="P555" t="n">
        <v>0</v>
      </c>
      <c r="Q555" t="n">
        <v>0</v>
      </c>
      <c r="R555" s="2" t="inlineStr"/>
    </row>
    <row r="556" ht="15" customHeight="1">
      <c r="A556" t="inlineStr">
        <is>
          <t>A 59893-2022</t>
        </is>
      </c>
      <c r="B556" s="1" t="n">
        <v>44908.77368055555</v>
      </c>
      <c r="C556" s="1" t="n">
        <v>46123</v>
      </c>
      <c r="D556" t="inlineStr">
        <is>
          <t>STOCKHOLMS LÄN</t>
        </is>
      </c>
      <c r="E556" t="inlineStr">
        <is>
          <t>NORRTÄLJE</t>
        </is>
      </c>
      <c r="G556" t="n">
        <v>3</v>
      </c>
      <c r="H556" t="n">
        <v>0</v>
      </c>
      <c r="I556" t="n">
        <v>0</v>
      </c>
      <c r="J556" t="n">
        <v>0</v>
      </c>
      <c r="K556" t="n">
        <v>0</v>
      </c>
      <c r="L556" t="n">
        <v>0</v>
      </c>
      <c r="M556" t="n">
        <v>0</v>
      </c>
      <c r="N556" t="n">
        <v>0</v>
      </c>
      <c r="O556" t="n">
        <v>0</v>
      </c>
      <c r="P556" t="n">
        <v>0</v>
      </c>
      <c r="Q556" t="n">
        <v>0</v>
      </c>
      <c r="R556" s="2" t="inlineStr"/>
    </row>
    <row r="557" ht="15" customHeight="1">
      <c r="A557" t="inlineStr">
        <is>
          <t>A 8414-2025</t>
        </is>
      </c>
      <c r="B557" s="1" t="n">
        <v>45709.39361111111</v>
      </c>
      <c r="C557" s="1" t="n">
        <v>46123</v>
      </c>
      <c r="D557" t="inlineStr">
        <is>
          <t>STOCKHOLMS LÄN</t>
        </is>
      </c>
      <c r="E557" t="inlineStr">
        <is>
          <t>NORRTÄLJE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48364-2025</t>
        </is>
      </c>
      <c r="B558" s="1" t="n">
        <v>45933.66796296297</v>
      </c>
      <c r="C558" s="1" t="n">
        <v>46123</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48686-2023</t>
        </is>
      </c>
      <c r="B559" s="1" t="n">
        <v>45208</v>
      </c>
      <c r="C559" s="1" t="n">
        <v>46123</v>
      </c>
      <c r="D559" t="inlineStr">
        <is>
          <t>STOCKHOLMS LÄN</t>
        </is>
      </c>
      <c r="E559" t="inlineStr">
        <is>
          <t>NORRTÄLJE</t>
        </is>
      </c>
      <c r="G559" t="n">
        <v>6</v>
      </c>
      <c r="H559" t="n">
        <v>0</v>
      </c>
      <c r="I559" t="n">
        <v>0</v>
      </c>
      <c r="J559" t="n">
        <v>0</v>
      </c>
      <c r="K559" t="n">
        <v>0</v>
      </c>
      <c r="L559" t="n">
        <v>0</v>
      </c>
      <c r="M559" t="n">
        <v>0</v>
      </c>
      <c r="N559" t="n">
        <v>0</v>
      </c>
      <c r="O559" t="n">
        <v>0</v>
      </c>
      <c r="P559" t="n">
        <v>0</v>
      </c>
      <c r="Q559" t="n">
        <v>0</v>
      </c>
      <c r="R559" s="2" t="inlineStr"/>
    </row>
    <row r="560" ht="15" customHeight="1">
      <c r="A560" t="inlineStr">
        <is>
          <t>A 48691-2023</t>
        </is>
      </c>
      <c r="B560" s="1" t="n">
        <v>45208</v>
      </c>
      <c r="C560" s="1" t="n">
        <v>46123</v>
      </c>
      <c r="D560" t="inlineStr">
        <is>
          <t>STOCKHOLMS LÄN</t>
        </is>
      </c>
      <c r="E560" t="inlineStr">
        <is>
          <t>NORRTÄLJE</t>
        </is>
      </c>
      <c r="G560" t="n">
        <v>5.8</v>
      </c>
      <c r="H560" t="n">
        <v>0</v>
      </c>
      <c r="I560" t="n">
        <v>0</v>
      </c>
      <c r="J560" t="n">
        <v>0</v>
      </c>
      <c r="K560" t="n">
        <v>0</v>
      </c>
      <c r="L560" t="n">
        <v>0</v>
      </c>
      <c r="M560" t="n">
        <v>0</v>
      </c>
      <c r="N560" t="n">
        <v>0</v>
      </c>
      <c r="O560" t="n">
        <v>0</v>
      </c>
      <c r="P560" t="n">
        <v>0</v>
      </c>
      <c r="Q560" t="n">
        <v>0</v>
      </c>
      <c r="R560" s="2" t="inlineStr"/>
    </row>
    <row r="561" ht="15" customHeight="1">
      <c r="A561" t="inlineStr">
        <is>
          <t>A 39905-2023</t>
        </is>
      </c>
      <c r="B561" s="1" t="n">
        <v>45168.44489583333</v>
      </c>
      <c r="C561" s="1" t="n">
        <v>46123</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5645-2023</t>
        </is>
      </c>
      <c r="B562" s="1" t="n">
        <v>44960.60469907407</v>
      </c>
      <c r="C562" s="1" t="n">
        <v>46123</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68361-2021</t>
        </is>
      </c>
      <c r="B563" s="1" t="n">
        <v>44528.91494212963</v>
      </c>
      <c r="C563" s="1" t="n">
        <v>46123</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60529-2023</t>
        </is>
      </c>
      <c r="B564" s="1" t="n">
        <v>45259</v>
      </c>
      <c r="C564" s="1" t="n">
        <v>46123</v>
      </c>
      <c r="D564" t="inlineStr">
        <is>
          <t>STOCKHOLMS LÄN</t>
        </is>
      </c>
      <c r="E564" t="inlineStr">
        <is>
          <t>NORRTÄLJE</t>
        </is>
      </c>
      <c r="G564" t="n">
        <v>2.6</v>
      </c>
      <c r="H564" t="n">
        <v>0</v>
      </c>
      <c r="I564" t="n">
        <v>0</v>
      </c>
      <c r="J564" t="n">
        <v>0</v>
      </c>
      <c r="K564" t="n">
        <v>0</v>
      </c>
      <c r="L564" t="n">
        <v>0</v>
      </c>
      <c r="M564" t="n">
        <v>0</v>
      </c>
      <c r="N564" t="n">
        <v>0</v>
      </c>
      <c r="O564" t="n">
        <v>0</v>
      </c>
      <c r="P564" t="n">
        <v>0</v>
      </c>
      <c r="Q564" t="n">
        <v>0</v>
      </c>
      <c r="R564" s="2" t="inlineStr"/>
    </row>
    <row r="565" ht="15" customHeight="1">
      <c r="A565" t="inlineStr">
        <is>
          <t>A 48174-2025</t>
        </is>
      </c>
      <c r="B565" s="1" t="n">
        <v>45933.44230324074</v>
      </c>
      <c r="C565" s="1" t="n">
        <v>46123</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36625-2024</t>
        </is>
      </c>
      <c r="B566" s="1" t="n">
        <v>45537</v>
      </c>
      <c r="C566" s="1" t="n">
        <v>46123</v>
      </c>
      <c r="D566" t="inlineStr">
        <is>
          <t>STOCKHOLMS LÄN</t>
        </is>
      </c>
      <c r="E566" t="inlineStr">
        <is>
          <t>NORRTÄLJE</t>
        </is>
      </c>
      <c r="G566" t="n">
        <v>3.8</v>
      </c>
      <c r="H566" t="n">
        <v>0</v>
      </c>
      <c r="I566" t="n">
        <v>0</v>
      </c>
      <c r="J566" t="n">
        <v>0</v>
      </c>
      <c r="K566" t="n">
        <v>0</v>
      </c>
      <c r="L566" t="n">
        <v>0</v>
      </c>
      <c r="M566" t="n">
        <v>0</v>
      </c>
      <c r="N566" t="n">
        <v>0</v>
      </c>
      <c r="O566" t="n">
        <v>0</v>
      </c>
      <c r="P566" t="n">
        <v>0</v>
      </c>
      <c r="Q566" t="n">
        <v>0</v>
      </c>
      <c r="R566" s="2" t="inlineStr"/>
    </row>
    <row r="567" ht="15" customHeight="1">
      <c r="A567" t="inlineStr">
        <is>
          <t>A 48127-2025</t>
        </is>
      </c>
      <c r="B567" s="1" t="n">
        <v>45933.36621527778</v>
      </c>
      <c r="C567" s="1" t="n">
        <v>46123</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48179-2025</t>
        </is>
      </c>
      <c r="B568" s="1" t="n">
        <v>45933.44907407407</v>
      </c>
      <c r="C568" s="1" t="n">
        <v>46123</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21726-2022</t>
        </is>
      </c>
      <c r="B569" s="1" t="n">
        <v>44708</v>
      </c>
      <c r="C569" s="1" t="n">
        <v>46123</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21739-2022</t>
        </is>
      </c>
      <c r="B570" s="1" t="n">
        <v>44708.36708333333</v>
      </c>
      <c r="C570" s="1" t="n">
        <v>46123</v>
      </c>
      <c r="D570" t="inlineStr">
        <is>
          <t>STOCKHOLMS LÄN</t>
        </is>
      </c>
      <c r="E570" t="inlineStr">
        <is>
          <t>NORRTÄLJE</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35210-2023</t>
        </is>
      </c>
      <c r="B571" s="1" t="n">
        <v>45145.63584490741</v>
      </c>
      <c r="C571" s="1" t="n">
        <v>46123</v>
      </c>
      <c r="D571" t="inlineStr">
        <is>
          <t>STOCKHOLMS LÄN</t>
        </is>
      </c>
      <c r="E571" t="inlineStr">
        <is>
          <t>NORRTÄLJE</t>
        </is>
      </c>
      <c r="G571" t="n">
        <v>1.2</v>
      </c>
      <c r="H571" t="n">
        <v>0</v>
      </c>
      <c r="I571" t="n">
        <v>0</v>
      </c>
      <c r="J571" t="n">
        <v>0</v>
      </c>
      <c r="K571" t="n">
        <v>0</v>
      </c>
      <c r="L571" t="n">
        <v>0</v>
      </c>
      <c r="M571" t="n">
        <v>0</v>
      </c>
      <c r="N571" t="n">
        <v>0</v>
      </c>
      <c r="O571" t="n">
        <v>0</v>
      </c>
      <c r="P571" t="n">
        <v>0</v>
      </c>
      <c r="Q571" t="n">
        <v>0</v>
      </c>
      <c r="R571" s="2" t="inlineStr"/>
    </row>
    <row r="572" ht="15" customHeight="1">
      <c r="A572" t="inlineStr">
        <is>
          <t>A 48718-2025</t>
        </is>
      </c>
      <c r="B572" s="1" t="n">
        <v>45936</v>
      </c>
      <c r="C572" s="1" t="n">
        <v>46123</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19706-2023</t>
        </is>
      </c>
      <c r="B573" s="1" t="n">
        <v>45051.455</v>
      </c>
      <c r="C573" s="1" t="n">
        <v>46123</v>
      </c>
      <c r="D573" t="inlineStr">
        <is>
          <t>STOCKHOLMS LÄN</t>
        </is>
      </c>
      <c r="E573" t="inlineStr">
        <is>
          <t>NORRTÄLJE</t>
        </is>
      </c>
      <c r="G573" t="n">
        <v>0.2</v>
      </c>
      <c r="H573" t="n">
        <v>0</v>
      </c>
      <c r="I573" t="n">
        <v>0</v>
      </c>
      <c r="J573" t="n">
        <v>0</v>
      </c>
      <c r="K573" t="n">
        <v>0</v>
      </c>
      <c r="L573" t="n">
        <v>0</v>
      </c>
      <c r="M573" t="n">
        <v>0</v>
      </c>
      <c r="N573" t="n">
        <v>0</v>
      </c>
      <c r="O573" t="n">
        <v>0</v>
      </c>
      <c r="P573" t="n">
        <v>0</v>
      </c>
      <c r="Q573" t="n">
        <v>0</v>
      </c>
      <c r="R573" s="2" t="inlineStr"/>
    </row>
    <row r="574" ht="15" customHeight="1">
      <c r="A574" t="inlineStr">
        <is>
          <t>A 44891-2023</t>
        </is>
      </c>
      <c r="B574" s="1" t="n">
        <v>45187</v>
      </c>
      <c r="C574" s="1" t="n">
        <v>46123</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12902-2024</t>
        </is>
      </c>
      <c r="B575" s="1" t="n">
        <v>45385.38146990741</v>
      </c>
      <c r="C575" s="1" t="n">
        <v>46123</v>
      </c>
      <c r="D575" t="inlineStr">
        <is>
          <t>STOCKHOLMS LÄN</t>
        </is>
      </c>
      <c r="E575" t="inlineStr">
        <is>
          <t>NORRTÄLJE</t>
        </is>
      </c>
      <c r="G575" t="n">
        <v>3.7</v>
      </c>
      <c r="H575" t="n">
        <v>0</v>
      </c>
      <c r="I575" t="n">
        <v>0</v>
      </c>
      <c r="J575" t="n">
        <v>0</v>
      </c>
      <c r="K575" t="n">
        <v>0</v>
      </c>
      <c r="L575" t="n">
        <v>0</v>
      </c>
      <c r="M575" t="n">
        <v>0</v>
      </c>
      <c r="N575" t="n">
        <v>0</v>
      </c>
      <c r="O575" t="n">
        <v>0</v>
      </c>
      <c r="P575" t="n">
        <v>0</v>
      </c>
      <c r="Q575" t="n">
        <v>0</v>
      </c>
      <c r="R575" s="2" t="inlineStr"/>
    </row>
    <row r="576" ht="15" customHeight="1">
      <c r="A576" t="inlineStr">
        <is>
          <t>A 44032-2024</t>
        </is>
      </c>
      <c r="B576" s="1" t="n">
        <v>45572.57828703704</v>
      </c>
      <c r="C576" s="1" t="n">
        <v>46123</v>
      </c>
      <c r="D576" t="inlineStr">
        <is>
          <t>STOCKHOLMS LÄN</t>
        </is>
      </c>
      <c r="E576" t="inlineStr">
        <is>
          <t>NORRTÄLJE</t>
        </is>
      </c>
      <c r="G576" t="n">
        <v>8.6</v>
      </c>
      <c r="H576" t="n">
        <v>0</v>
      </c>
      <c r="I576" t="n">
        <v>0</v>
      </c>
      <c r="J576" t="n">
        <v>0</v>
      </c>
      <c r="K576" t="n">
        <v>0</v>
      </c>
      <c r="L576" t="n">
        <v>0</v>
      </c>
      <c r="M576" t="n">
        <v>0</v>
      </c>
      <c r="N576" t="n">
        <v>0</v>
      </c>
      <c r="O576" t="n">
        <v>0</v>
      </c>
      <c r="P576" t="n">
        <v>0</v>
      </c>
      <c r="Q576" t="n">
        <v>0</v>
      </c>
      <c r="R576" s="2" t="inlineStr"/>
    </row>
    <row r="577" ht="15" customHeight="1">
      <c r="A577" t="inlineStr">
        <is>
          <t>A 59767-2022</t>
        </is>
      </c>
      <c r="B577" s="1" t="n">
        <v>44900</v>
      </c>
      <c r="C577" s="1" t="n">
        <v>46123</v>
      </c>
      <c r="D577" t="inlineStr">
        <is>
          <t>STOCKHOLMS LÄN</t>
        </is>
      </c>
      <c r="E577" t="inlineStr">
        <is>
          <t>NORRTÄLJE</t>
        </is>
      </c>
      <c r="G577" t="n">
        <v>2.2</v>
      </c>
      <c r="H577" t="n">
        <v>0</v>
      </c>
      <c r="I577" t="n">
        <v>0</v>
      </c>
      <c r="J577" t="n">
        <v>0</v>
      </c>
      <c r="K577" t="n">
        <v>0</v>
      </c>
      <c r="L577" t="n">
        <v>0</v>
      </c>
      <c r="M577" t="n">
        <v>0</v>
      </c>
      <c r="N577" t="n">
        <v>0</v>
      </c>
      <c r="O577" t="n">
        <v>0</v>
      </c>
      <c r="P577" t="n">
        <v>0</v>
      </c>
      <c r="Q577" t="n">
        <v>0</v>
      </c>
      <c r="R577" s="2" t="inlineStr"/>
    </row>
    <row r="578" ht="15" customHeight="1">
      <c r="A578" t="inlineStr">
        <is>
          <t>A 24563-2024</t>
        </is>
      </c>
      <c r="B578" s="1" t="n">
        <v>45460.44347222222</v>
      </c>
      <c r="C578" s="1" t="n">
        <v>46123</v>
      </c>
      <c r="D578" t="inlineStr">
        <is>
          <t>STOCKHOLMS LÄN</t>
        </is>
      </c>
      <c r="E578" t="inlineStr">
        <is>
          <t>NORRTÄLJE</t>
        </is>
      </c>
      <c r="G578" t="n">
        <v>1.9</v>
      </c>
      <c r="H578" t="n">
        <v>0</v>
      </c>
      <c r="I578" t="n">
        <v>0</v>
      </c>
      <c r="J578" t="n">
        <v>0</v>
      </c>
      <c r="K578" t="n">
        <v>0</v>
      </c>
      <c r="L578" t="n">
        <v>0</v>
      </c>
      <c r="M578" t="n">
        <v>0</v>
      </c>
      <c r="N578" t="n">
        <v>0</v>
      </c>
      <c r="O578" t="n">
        <v>0</v>
      </c>
      <c r="P578" t="n">
        <v>0</v>
      </c>
      <c r="Q578" t="n">
        <v>0</v>
      </c>
      <c r="R578" s="2" t="inlineStr"/>
    </row>
    <row r="579" ht="15" customHeight="1">
      <c r="A579" t="inlineStr">
        <is>
          <t>A 48593-2025</t>
        </is>
      </c>
      <c r="B579" s="1" t="n">
        <v>45936.4627662037</v>
      </c>
      <c r="C579" s="1" t="n">
        <v>46123</v>
      </c>
      <c r="D579" t="inlineStr">
        <is>
          <t>STOCKHOLMS LÄN</t>
        </is>
      </c>
      <c r="E579" t="inlineStr">
        <is>
          <t>NORRTÄLJE</t>
        </is>
      </c>
      <c r="G579" t="n">
        <v>4.2</v>
      </c>
      <c r="H579" t="n">
        <v>0</v>
      </c>
      <c r="I579" t="n">
        <v>0</v>
      </c>
      <c r="J579" t="n">
        <v>0</v>
      </c>
      <c r="K579" t="n">
        <v>0</v>
      </c>
      <c r="L579" t="n">
        <v>0</v>
      </c>
      <c r="M579" t="n">
        <v>0</v>
      </c>
      <c r="N579" t="n">
        <v>0</v>
      </c>
      <c r="O579" t="n">
        <v>0</v>
      </c>
      <c r="P579" t="n">
        <v>0</v>
      </c>
      <c r="Q579" t="n">
        <v>0</v>
      </c>
      <c r="R579" s="2" t="inlineStr"/>
    </row>
    <row r="580" ht="15" customHeight="1">
      <c r="A580" t="inlineStr">
        <is>
          <t>A 39237-2024</t>
        </is>
      </c>
      <c r="B580" s="1" t="n">
        <v>45549</v>
      </c>
      <c r="C580" s="1" t="n">
        <v>46123</v>
      </c>
      <c r="D580" t="inlineStr">
        <is>
          <t>STOCKHOLMS LÄN</t>
        </is>
      </c>
      <c r="E580" t="inlineStr">
        <is>
          <t>NORRTÄLJE</t>
        </is>
      </c>
      <c r="G580" t="n">
        <v>13.3</v>
      </c>
      <c r="H580" t="n">
        <v>0</v>
      </c>
      <c r="I580" t="n">
        <v>0</v>
      </c>
      <c r="J580" t="n">
        <v>0</v>
      </c>
      <c r="K580" t="n">
        <v>0</v>
      </c>
      <c r="L580" t="n">
        <v>0</v>
      </c>
      <c r="M580" t="n">
        <v>0</v>
      </c>
      <c r="N580" t="n">
        <v>0</v>
      </c>
      <c r="O580" t="n">
        <v>0</v>
      </c>
      <c r="P580" t="n">
        <v>0</v>
      </c>
      <c r="Q580" t="n">
        <v>0</v>
      </c>
      <c r="R580" s="2" t="inlineStr"/>
    </row>
    <row r="581" ht="15" customHeight="1">
      <c r="A581" t="inlineStr">
        <is>
          <t>A 5823-2023</t>
        </is>
      </c>
      <c r="B581" s="1" t="n">
        <v>44963</v>
      </c>
      <c r="C581" s="1" t="n">
        <v>46123</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45746-2024</t>
        </is>
      </c>
      <c r="B582" s="1" t="n">
        <v>45579</v>
      </c>
      <c r="C582" s="1" t="n">
        <v>46123</v>
      </c>
      <c r="D582" t="inlineStr">
        <is>
          <t>STOCKHOLMS LÄN</t>
        </is>
      </c>
      <c r="E582" t="inlineStr">
        <is>
          <t>NORRTÄLJE</t>
        </is>
      </c>
      <c r="G582" t="n">
        <v>3.3</v>
      </c>
      <c r="H582" t="n">
        <v>0</v>
      </c>
      <c r="I582" t="n">
        <v>0</v>
      </c>
      <c r="J582" t="n">
        <v>0</v>
      </c>
      <c r="K582" t="n">
        <v>0</v>
      </c>
      <c r="L582" t="n">
        <v>0</v>
      </c>
      <c r="M582" t="n">
        <v>0</v>
      </c>
      <c r="N582" t="n">
        <v>0</v>
      </c>
      <c r="O582" t="n">
        <v>0</v>
      </c>
      <c r="P582" t="n">
        <v>0</v>
      </c>
      <c r="Q582" t="n">
        <v>0</v>
      </c>
      <c r="R582" s="2" t="inlineStr"/>
    </row>
    <row r="583" ht="15" customHeight="1">
      <c r="A583" t="inlineStr">
        <is>
          <t>A 18539-2021</t>
        </is>
      </c>
      <c r="B583" s="1" t="n">
        <v>44306</v>
      </c>
      <c r="C583" s="1" t="n">
        <v>46123</v>
      </c>
      <c r="D583" t="inlineStr">
        <is>
          <t>STOCKHOLMS LÄN</t>
        </is>
      </c>
      <c r="E583" t="inlineStr">
        <is>
          <t>NORRTÄLJE</t>
        </is>
      </c>
      <c r="F583" t="inlineStr">
        <is>
          <t>Holmen skog AB</t>
        </is>
      </c>
      <c r="G583" t="n">
        <v>5.5</v>
      </c>
      <c r="H583" t="n">
        <v>0</v>
      </c>
      <c r="I583" t="n">
        <v>0</v>
      </c>
      <c r="J583" t="n">
        <v>0</v>
      </c>
      <c r="K583" t="n">
        <v>0</v>
      </c>
      <c r="L583" t="n">
        <v>0</v>
      </c>
      <c r="M583" t="n">
        <v>0</v>
      </c>
      <c r="N583" t="n">
        <v>0</v>
      </c>
      <c r="O583" t="n">
        <v>0</v>
      </c>
      <c r="P583" t="n">
        <v>0</v>
      </c>
      <c r="Q583" t="n">
        <v>0</v>
      </c>
      <c r="R583" s="2" t="inlineStr"/>
    </row>
    <row r="584" ht="15" customHeight="1">
      <c r="A584" t="inlineStr">
        <is>
          <t>A 19915-2024</t>
        </is>
      </c>
      <c r="B584" s="1" t="n">
        <v>45433.58431712963</v>
      </c>
      <c r="C584" s="1" t="n">
        <v>46123</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15217-2023</t>
        </is>
      </c>
      <c r="B585" s="1" t="n">
        <v>45019.28847222222</v>
      </c>
      <c r="C585" s="1" t="n">
        <v>46123</v>
      </c>
      <c r="D585" t="inlineStr">
        <is>
          <t>STOCKHOLMS LÄN</t>
        </is>
      </c>
      <c r="E585" t="inlineStr">
        <is>
          <t>NORRTÄLJE</t>
        </is>
      </c>
      <c r="G585" t="n">
        <v>3.6</v>
      </c>
      <c r="H585" t="n">
        <v>0</v>
      </c>
      <c r="I585" t="n">
        <v>0</v>
      </c>
      <c r="J585" t="n">
        <v>0</v>
      </c>
      <c r="K585" t="n">
        <v>0</v>
      </c>
      <c r="L585" t="n">
        <v>0</v>
      </c>
      <c r="M585" t="n">
        <v>0</v>
      </c>
      <c r="N585" t="n">
        <v>0</v>
      </c>
      <c r="O585" t="n">
        <v>0</v>
      </c>
      <c r="P585" t="n">
        <v>0</v>
      </c>
      <c r="Q585" t="n">
        <v>0</v>
      </c>
      <c r="R585" s="2" t="inlineStr"/>
    </row>
    <row r="586" ht="15" customHeight="1">
      <c r="A586" t="inlineStr">
        <is>
          <t>A 8400-2024</t>
        </is>
      </c>
      <c r="B586" s="1" t="n">
        <v>45352.74090277778</v>
      </c>
      <c r="C586" s="1" t="n">
        <v>46123</v>
      </c>
      <c r="D586" t="inlineStr">
        <is>
          <t>STOCKHOLMS LÄN</t>
        </is>
      </c>
      <c r="E586" t="inlineStr">
        <is>
          <t>NORRTÄLJE</t>
        </is>
      </c>
      <c r="G586" t="n">
        <v>4.7</v>
      </c>
      <c r="H586" t="n">
        <v>0</v>
      </c>
      <c r="I586" t="n">
        <v>0</v>
      </c>
      <c r="J586" t="n">
        <v>0</v>
      </c>
      <c r="K586" t="n">
        <v>0</v>
      </c>
      <c r="L586" t="n">
        <v>0</v>
      </c>
      <c r="M586" t="n">
        <v>0</v>
      </c>
      <c r="N586" t="n">
        <v>0</v>
      </c>
      <c r="O586" t="n">
        <v>0</v>
      </c>
      <c r="P586" t="n">
        <v>0</v>
      </c>
      <c r="Q586" t="n">
        <v>0</v>
      </c>
      <c r="R586" s="2" t="inlineStr"/>
    </row>
    <row r="587" ht="15" customHeight="1">
      <c r="A587" t="inlineStr">
        <is>
          <t>A 17612-2022</t>
        </is>
      </c>
      <c r="B587" s="1" t="n">
        <v>44680</v>
      </c>
      <c r="C587" s="1" t="n">
        <v>46123</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48443-2025</t>
        </is>
      </c>
      <c r="B588" s="1" t="n">
        <v>45935.55326388889</v>
      </c>
      <c r="C588" s="1" t="n">
        <v>46123</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16835-2022</t>
        </is>
      </c>
      <c r="B589" s="1" t="n">
        <v>44673</v>
      </c>
      <c r="C589" s="1" t="n">
        <v>46123</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62765-2022</t>
        </is>
      </c>
      <c r="B590" s="1" t="n">
        <v>44637</v>
      </c>
      <c r="C590" s="1" t="n">
        <v>46123</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50143-2023</t>
        </is>
      </c>
      <c r="B591" s="1" t="n">
        <v>45215</v>
      </c>
      <c r="C591" s="1" t="n">
        <v>46123</v>
      </c>
      <c r="D591" t="inlineStr">
        <is>
          <t>STOCKHOLMS LÄN</t>
        </is>
      </c>
      <c r="E591" t="inlineStr">
        <is>
          <t>NORRTÄLJE</t>
        </is>
      </c>
      <c r="G591" t="n">
        <v>10.3</v>
      </c>
      <c r="H591" t="n">
        <v>0</v>
      </c>
      <c r="I591" t="n">
        <v>0</v>
      </c>
      <c r="J591" t="n">
        <v>0</v>
      </c>
      <c r="K591" t="n">
        <v>0</v>
      </c>
      <c r="L591" t="n">
        <v>0</v>
      </c>
      <c r="M591" t="n">
        <v>0</v>
      </c>
      <c r="N591" t="n">
        <v>0</v>
      </c>
      <c r="O591" t="n">
        <v>0</v>
      </c>
      <c r="P591" t="n">
        <v>0</v>
      </c>
      <c r="Q591" t="n">
        <v>0</v>
      </c>
      <c r="R591" s="2" t="inlineStr"/>
    </row>
    <row r="592" ht="15" customHeight="1">
      <c r="A592" t="inlineStr">
        <is>
          <t>A 58404-2023</t>
        </is>
      </c>
      <c r="B592" s="1" t="n">
        <v>45245</v>
      </c>
      <c r="C592" s="1" t="n">
        <v>46123</v>
      </c>
      <c r="D592" t="inlineStr">
        <is>
          <t>STOCKHOLMS LÄN</t>
        </is>
      </c>
      <c r="E592" t="inlineStr">
        <is>
          <t>NORRTÄLJE</t>
        </is>
      </c>
      <c r="G592" t="n">
        <v>53.5</v>
      </c>
      <c r="H592" t="n">
        <v>0</v>
      </c>
      <c r="I592" t="n">
        <v>0</v>
      </c>
      <c r="J592" t="n">
        <v>0</v>
      </c>
      <c r="K592" t="n">
        <v>0</v>
      </c>
      <c r="L592" t="n">
        <v>0</v>
      </c>
      <c r="M592" t="n">
        <v>0</v>
      </c>
      <c r="N592" t="n">
        <v>0</v>
      </c>
      <c r="O592" t="n">
        <v>0</v>
      </c>
      <c r="P592" t="n">
        <v>0</v>
      </c>
      <c r="Q592" t="n">
        <v>0</v>
      </c>
      <c r="R592" s="2" t="inlineStr"/>
    </row>
    <row r="593" ht="15" customHeight="1">
      <c r="A593" t="inlineStr">
        <is>
          <t>A 29176-2024</t>
        </is>
      </c>
      <c r="B593" s="1" t="n">
        <v>45482.53388888889</v>
      </c>
      <c r="C593" s="1" t="n">
        <v>46123</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8586-2023</t>
        </is>
      </c>
      <c r="B594" s="1" t="n">
        <v>44977</v>
      </c>
      <c r="C594" s="1" t="n">
        <v>46123</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36430-2024</t>
        </is>
      </c>
      <c r="B595" s="1" t="n">
        <v>45536</v>
      </c>
      <c r="C595" s="1" t="n">
        <v>46123</v>
      </c>
      <c r="D595" t="inlineStr">
        <is>
          <t>STOCKHOLMS LÄN</t>
        </is>
      </c>
      <c r="E595" t="inlineStr">
        <is>
          <t>NORRTÄLJE</t>
        </is>
      </c>
      <c r="G595" t="n">
        <v>1</v>
      </c>
      <c r="H595" t="n">
        <v>0</v>
      </c>
      <c r="I595" t="n">
        <v>0</v>
      </c>
      <c r="J595" t="n">
        <v>0</v>
      </c>
      <c r="K595" t="n">
        <v>0</v>
      </c>
      <c r="L595" t="n">
        <v>0</v>
      </c>
      <c r="M595" t="n">
        <v>0</v>
      </c>
      <c r="N595" t="n">
        <v>0</v>
      </c>
      <c r="O595" t="n">
        <v>0</v>
      </c>
      <c r="P595" t="n">
        <v>0</v>
      </c>
      <c r="Q595" t="n">
        <v>0</v>
      </c>
      <c r="R595" s="2" t="inlineStr"/>
    </row>
    <row r="596" ht="15" customHeight="1">
      <c r="A596" t="inlineStr">
        <is>
          <t>A 51312-2023</t>
        </is>
      </c>
      <c r="B596" s="1" t="n">
        <v>45219.56697916667</v>
      </c>
      <c r="C596" s="1" t="n">
        <v>46123</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35640-2024</t>
        </is>
      </c>
      <c r="B597" s="1" t="n">
        <v>45531</v>
      </c>
      <c r="C597" s="1" t="n">
        <v>46123</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48780-2025</t>
        </is>
      </c>
      <c r="B598" s="1" t="n">
        <v>45937.30377314815</v>
      </c>
      <c r="C598" s="1" t="n">
        <v>46123</v>
      </c>
      <c r="D598" t="inlineStr">
        <is>
          <t>STOCKHOLMS LÄN</t>
        </is>
      </c>
      <c r="E598" t="inlineStr">
        <is>
          <t>NORRTÄLJE</t>
        </is>
      </c>
      <c r="G598" t="n">
        <v>7.7</v>
      </c>
      <c r="H598" t="n">
        <v>0</v>
      </c>
      <c r="I598" t="n">
        <v>0</v>
      </c>
      <c r="J598" t="n">
        <v>0</v>
      </c>
      <c r="K598" t="n">
        <v>0</v>
      </c>
      <c r="L598" t="n">
        <v>0</v>
      </c>
      <c r="M598" t="n">
        <v>0</v>
      </c>
      <c r="N598" t="n">
        <v>0</v>
      </c>
      <c r="O598" t="n">
        <v>0</v>
      </c>
      <c r="P598" t="n">
        <v>0</v>
      </c>
      <c r="Q598" t="n">
        <v>0</v>
      </c>
      <c r="R598" s="2" t="inlineStr"/>
    </row>
    <row r="599" ht="15" customHeight="1">
      <c r="A599" t="inlineStr">
        <is>
          <t>A 16202-2022</t>
        </is>
      </c>
      <c r="B599" s="1" t="n">
        <v>44670</v>
      </c>
      <c r="C599" s="1" t="n">
        <v>46123</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43212-2022</t>
        </is>
      </c>
      <c r="B600" s="1" t="n">
        <v>44834.38636574074</v>
      </c>
      <c r="C600" s="1" t="n">
        <v>46123</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55018-2024</t>
        </is>
      </c>
      <c r="B601" s="1" t="n">
        <v>45621.35712962963</v>
      </c>
      <c r="C601" s="1" t="n">
        <v>46123</v>
      </c>
      <c r="D601" t="inlineStr">
        <is>
          <t>STOCKHOLMS LÄN</t>
        </is>
      </c>
      <c r="E601" t="inlineStr">
        <is>
          <t>NORRTÄLJE</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51653-2022</t>
        </is>
      </c>
      <c r="B602" s="1" t="n">
        <v>44867</v>
      </c>
      <c r="C602" s="1" t="n">
        <v>46123</v>
      </c>
      <c r="D602" t="inlineStr">
        <is>
          <t>STOCKHOLMS LÄN</t>
        </is>
      </c>
      <c r="E602" t="inlineStr">
        <is>
          <t>NORRTÄLJE</t>
        </is>
      </c>
      <c r="G602" t="n">
        <v>6.6</v>
      </c>
      <c r="H602" t="n">
        <v>0</v>
      </c>
      <c r="I602" t="n">
        <v>0</v>
      </c>
      <c r="J602" t="n">
        <v>0</v>
      </c>
      <c r="K602" t="n">
        <v>0</v>
      </c>
      <c r="L602" t="n">
        <v>0</v>
      </c>
      <c r="M602" t="n">
        <v>0</v>
      </c>
      <c r="N602" t="n">
        <v>0</v>
      </c>
      <c r="O602" t="n">
        <v>0</v>
      </c>
      <c r="P602" t="n">
        <v>0</v>
      </c>
      <c r="Q602" t="n">
        <v>0</v>
      </c>
      <c r="R602" s="2" t="inlineStr"/>
    </row>
    <row r="603" ht="15" customHeight="1">
      <c r="A603" t="inlineStr">
        <is>
          <t>A 50136-2023</t>
        </is>
      </c>
      <c r="B603" s="1" t="n">
        <v>45215</v>
      </c>
      <c r="C603" s="1" t="n">
        <v>46123</v>
      </c>
      <c r="D603" t="inlineStr">
        <is>
          <t>STOCKHOLMS LÄN</t>
        </is>
      </c>
      <c r="E603" t="inlineStr">
        <is>
          <t>NORRTÄLJE</t>
        </is>
      </c>
      <c r="G603" t="n">
        <v>5.2</v>
      </c>
      <c r="H603" t="n">
        <v>0</v>
      </c>
      <c r="I603" t="n">
        <v>0</v>
      </c>
      <c r="J603" t="n">
        <v>0</v>
      </c>
      <c r="K603" t="n">
        <v>0</v>
      </c>
      <c r="L603" t="n">
        <v>0</v>
      </c>
      <c r="M603" t="n">
        <v>0</v>
      </c>
      <c r="N603" t="n">
        <v>0</v>
      </c>
      <c r="O603" t="n">
        <v>0</v>
      </c>
      <c r="P603" t="n">
        <v>0</v>
      </c>
      <c r="Q603" t="n">
        <v>0</v>
      </c>
      <c r="R603" s="2" t="inlineStr"/>
    </row>
    <row r="604" ht="15" customHeight="1">
      <c r="A604" t="inlineStr">
        <is>
          <t>A 25656-2023</t>
        </is>
      </c>
      <c r="B604" s="1" t="n">
        <v>45089</v>
      </c>
      <c r="C604" s="1" t="n">
        <v>46123</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6003-2025</t>
        </is>
      </c>
      <c r="B605" s="1" t="n">
        <v>45695.57881944445</v>
      </c>
      <c r="C605" s="1" t="n">
        <v>46123</v>
      </c>
      <c r="D605" t="inlineStr">
        <is>
          <t>STOCKHOLMS LÄN</t>
        </is>
      </c>
      <c r="E605" t="inlineStr">
        <is>
          <t>NORRTÄLJE</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49129-2025</t>
        </is>
      </c>
      <c r="B606" s="1" t="n">
        <v>45937.89517361111</v>
      </c>
      <c r="C606" s="1" t="n">
        <v>46123</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11902-2024</t>
        </is>
      </c>
      <c r="B607" s="1" t="n">
        <v>45376.55704861111</v>
      </c>
      <c r="C607" s="1" t="n">
        <v>46123</v>
      </c>
      <c r="D607" t="inlineStr">
        <is>
          <t>STOCKHOLMS LÄN</t>
        </is>
      </c>
      <c r="E607" t="inlineStr">
        <is>
          <t>NORRTÄLJE</t>
        </is>
      </c>
      <c r="G607" t="n">
        <v>2.5</v>
      </c>
      <c r="H607" t="n">
        <v>0</v>
      </c>
      <c r="I607" t="n">
        <v>0</v>
      </c>
      <c r="J607" t="n">
        <v>0</v>
      </c>
      <c r="K607" t="n">
        <v>0</v>
      </c>
      <c r="L607" t="n">
        <v>0</v>
      </c>
      <c r="M607" t="n">
        <v>0</v>
      </c>
      <c r="N607" t="n">
        <v>0</v>
      </c>
      <c r="O607" t="n">
        <v>0</v>
      </c>
      <c r="P607" t="n">
        <v>0</v>
      </c>
      <c r="Q607" t="n">
        <v>0</v>
      </c>
      <c r="R607" s="2" t="inlineStr"/>
    </row>
    <row r="608" ht="15" customHeight="1">
      <c r="A608" t="inlineStr">
        <is>
          <t>A 38049-2023</t>
        </is>
      </c>
      <c r="B608" s="1" t="n">
        <v>45159</v>
      </c>
      <c r="C608" s="1" t="n">
        <v>46123</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59535-2024</t>
        </is>
      </c>
      <c r="B609" s="1" t="n">
        <v>45638.59979166667</v>
      </c>
      <c r="C609" s="1" t="n">
        <v>46123</v>
      </c>
      <c r="D609" t="inlineStr">
        <is>
          <t>STOCKHOLMS LÄN</t>
        </is>
      </c>
      <c r="E609" t="inlineStr">
        <is>
          <t>NORRTÄLJE</t>
        </is>
      </c>
      <c r="F609" t="inlineStr">
        <is>
          <t>Holmen skog AB</t>
        </is>
      </c>
      <c r="G609" t="n">
        <v>1.1</v>
      </c>
      <c r="H609" t="n">
        <v>0</v>
      </c>
      <c r="I609" t="n">
        <v>0</v>
      </c>
      <c r="J609" t="n">
        <v>0</v>
      </c>
      <c r="K609" t="n">
        <v>0</v>
      </c>
      <c r="L609" t="n">
        <v>0</v>
      </c>
      <c r="M609" t="n">
        <v>0</v>
      </c>
      <c r="N609" t="n">
        <v>0</v>
      </c>
      <c r="O609" t="n">
        <v>0</v>
      </c>
      <c r="P609" t="n">
        <v>0</v>
      </c>
      <c r="Q609" t="n">
        <v>0</v>
      </c>
      <c r="R609" s="2" t="inlineStr"/>
    </row>
    <row r="610" ht="15" customHeight="1">
      <c r="A610" t="inlineStr">
        <is>
          <t>A 4183-2025</t>
        </is>
      </c>
      <c r="B610" s="1" t="n">
        <v>45685.44592592592</v>
      </c>
      <c r="C610" s="1" t="n">
        <v>46123</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9480-2025</t>
        </is>
      </c>
      <c r="B611" s="1" t="n">
        <v>45715</v>
      </c>
      <c r="C611" s="1" t="n">
        <v>46123</v>
      </c>
      <c r="D611" t="inlineStr">
        <is>
          <t>STOCKHOLMS LÄN</t>
        </is>
      </c>
      <c r="E611" t="inlineStr">
        <is>
          <t>NORRTÄLJE</t>
        </is>
      </c>
      <c r="F611" t="inlineStr">
        <is>
          <t>Övriga Aktiebolag</t>
        </is>
      </c>
      <c r="G611" t="n">
        <v>3.9</v>
      </c>
      <c r="H611" t="n">
        <v>0</v>
      </c>
      <c r="I611" t="n">
        <v>0</v>
      </c>
      <c r="J611" t="n">
        <v>0</v>
      </c>
      <c r="K611" t="n">
        <v>0</v>
      </c>
      <c r="L611" t="n">
        <v>0</v>
      </c>
      <c r="M611" t="n">
        <v>0</v>
      </c>
      <c r="N611" t="n">
        <v>0</v>
      </c>
      <c r="O611" t="n">
        <v>0</v>
      </c>
      <c r="P611" t="n">
        <v>0</v>
      </c>
      <c r="Q611" t="n">
        <v>0</v>
      </c>
      <c r="R611" s="2" t="inlineStr"/>
    </row>
    <row r="612" ht="15" customHeight="1">
      <c r="A612" t="inlineStr">
        <is>
          <t>A 50097-2025</t>
        </is>
      </c>
      <c r="B612" s="1" t="n">
        <v>45943.50207175926</v>
      </c>
      <c r="C612" s="1" t="n">
        <v>46123</v>
      </c>
      <c r="D612" t="inlineStr">
        <is>
          <t>STOCKHOLMS LÄN</t>
        </is>
      </c>
      <c r="E612" t="inlineStr">
        <is>
          <t>NORRTÄLJE</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49836-2025</t>
        </is>
      </c>
      <c r="B613" s="1" t="n">
        <v>45940.46862268518</v>
      </c>
      <c r="C613" s="1" t="n">
        <v>46123</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50327-2025</t>
        </is>
      </c>
      <c r="B614" s="1" t="n">
        <v>45944.46387731482</v>
      </c>
      <c r="C614" s="1" t="n">
        <v>46123</v>
      </c>
      <c r="D614" t="inlineStr">
        <is>
          <t>STOCKHOLMS LÄN</t>
        </is>
      </c>
      <c r="E614" t="inlineStr">
        <is>
          <t>NORRTÄLJE</t>
        </is>
      </c>
      <c r="G614" t="n">
        <v>0.3</v>
      </c>
      <c r="H614" t="n">
        <v>0</v>
      </c>
      <c r="I614" t="n">
        <v>0</v>
      </c>
      <c r="J614" t="n">
        <v>0</v>
      </c>
      <c r="K614" t="n">
        <v>0</v>
      </c>
      <c r="L614" t="n">
        <v>0</v>
      </c>
      <c r="M614" t="n">
        <v>0</v>
      </c>
      <c r="N614" t="n">
        <v>0</v>
      </c>
      <c r="O614" t="n">
        <v>0</v>
      </c>
      <c r="P614" t="n">
        <v>0</v>
      </c>
      <c r="Q614" t="n">
        <v>0</v>
      </c>
      <c r="R614" s="2" t="inlineStr"/>
    </row>
    <row r="615" ht="15" customHeight="1">
      <c r="A615" t="inlineStr">
        <is>
          <t>A 50563-2025</t>
        </is>
      </c>
      <c r="B615" s="1" t="n">
        <v>45944</v>
      </c>
      <c r="C615" s="1" t="n">
        <v>46123</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24522-2023</t>
        </is>
      </c>
      <c r="B616" s="1" t="n">
        <v>45082.69179398148</v>
      </c>
      <c r="C616" s="1" t="n">
        <v>46123</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25625-2023</t>
        </is>
      </c>
      <c r="B617" s="1" t="n">
        <v>45089</v>
      </c>
      <c r="C617" s="1" t="n">
        <v>46123</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50333-2025</t>
        </is>
      </c>
      <c r="B618" s="1" t="n">
        <v>45944.47178240741</v>
      </c>
      <c r="C618" s="1" t="n">
        <v>46123</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37147-2023</t>
        </is>
      </c>
      <c r="B619" s="1" t="n">
        <v>45155</v>
      </c>
      <c r="C619" s="1" t="n">
        <v>46123</v>
      </c>
      <c r="D619" t="inlineStr">
        <is>
          <t>STOCKHOLMS LÄN</t>
        </is>
      </c>
      <c r="E619" t="inlineStr">
        <is>
          <t>NORRTÄLJE</t>
        </is>
      </c>
      <c r="G619" t="n">
        <v>8</v>
      </c>
      <c r="H619" t="n">
        <v>0</v>
      </c>
      <c r="I619" t="n">
        <v>0</v>
      </c>
      <c r="J619" t="n">
        <v>0</v>
      </c>
      <c r="K619" t="n">
        <v>0</v>
      </c>
      <c r="L619" t="n">
        <v>0</v>
      </c>
      <c r="M619" t="n">
        <v>0</v>
      </c>
      <c r="N619" t="n">
        <v>0</v>
      </c>
      <c r="O619" t="n">
        <v>0</v>
      </c>
      <c r="P619" t="n">
        <v>0</v>
      </c>
      <c r="Q619" t="n">
        <v>0</v>
      </c>
      <c r="R619" s="2" t="inlineStr"/>
    </row>
    <row r="620" ht="15" customHeight="1">
      <c r="A620" t="inlineStr">
        <is>
          <t>A 7186-2024</t>
        </is>
      </c>
      <c r="B620" s="1" t="n">
        <v>45344</v>
      </c>
      <c r="C620" s="1" t="n">
        <v>46123</v>
      </c>
      <c r="D620" t="inlineStr">
        <is>
          <t>STOCKHOLMS LÄN</t>
        </is>
      </c>
      <c r="E620" t="inlineStr">
        <is>
          <t>NORRTÄLJE</t>
        </is>
      </c>
      <c r="G620" t="n">
        <v>4.9</v>
      </c>
      <c r="H620" t="n">
        <v>0</v>
      </c>
      <c r="I620" t="n">
        <v>0</v>
      </c>
      <c r="J620" t="n">
        <v>0</v>
      </c>
      <c r="K620" t="n">
        <v>0</v>
      </c>
      <c r="L620" t="n">
        <v>0</v>
      </c>
      <c r="M620" t="n">
        <v>0</v>
      </c>
      <c r="N620" t="n">
        <v>0</v>
      </c>
      <c r="O620" t="n">
        <v>0</v>
      </c>
      <c r="P620" t="n">
        <v>0</v>
      </c>
      <c r="Q620" t="n">
        <v>0</v>
      </c>
      <c r="R620" s="2" t="inlineStr"/>
    </row>
    <row r="621" ht="15" customHeight="1">
      <c r="A621" t="inlineStr">
        <is>
          <t>A 51122-2025</t>
        </is>
      </c>
      <c r="B621" s="1" t="n">
        <v>45947.53693287037</v>
      </c>
      <c r="C621" s="1" t="n">
        <v>46123</v>
      </c>
      <c r="D621" t="inlineStr">
        <is>
          <t>STOCKHOLMS LÄN</t>
        </is>
      </c>
      <c r="E621" t="inlineStr">
        <is>
          <t>NORRTÄLJE</t>
        </is>
      </c>
      <c r="G621" t="n">
        <v>3.8</v>
      </c>
      <c r="H621" t="n">
        <v>0</v>
      </c>
      <c r="I621" t="n">
        <v>0</v>
      </c>
      <c r="J621" t="n">
        <v>0</v>
      </c>
      <c r="K621" t="n">
        <v>0</v>
      </c>
      <c r="L621" t="n">
        <v>0</v>
      </c>
      <c r="M621" t="n">
        <v>0</v>
      </c>
      <c r="N621" t="n">
        <v>0</v>
      </c>
      <c r="O621" t="n">
        <v>0</v>
      </c>
      <c r="P621" t="n">
        <v>0</v>
      </c>
      <c r="Q621" t="n">
        <v>0</v>
      </c>
      <c r="R621" s="2" t="inlineStr"/>
    </row>
    <row r="622" ht="15" customHeight="1">
      <c r="A622" t="inlineStr">
        <is>
          <t>A 57602-2024</t>
        </is>
      </c>
      <c r="B622" s="1" t="n">
        <v>45630.52866898148</v>
      </c>
      <c r="C622" s="1" t="n">
        <v>46123</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64600-2021</t>
        </is>
      </c>
      <c r="B623" s="1" t="n">
        <v>44511.70518518519</v>
      </c>
      <c r="C623" s="1" t="n">
        <v>46123</v>
      </c>
      <c r="D623" t="inlineStr">
        <is>
          <t>STOCKHOLMS LÄN</t>
        </is>
      </c>
      <c r="E623" t="inlineStr">
        <is>
          <t>NORRTÄLJE</t>
        </is>
      </c>
      <c r="G623" t="n">
        <v>6.2</v>
      </c>
      <c r="H623" t="n">
        <v>0</v>
      </c>
      <c r="I623" t="n">
        <v>0</v>
      </c>
      <c r="J623" t="n">
        <v>0</v>
      </c>
      <c r="K623" t="n">
        <v>0</v>
      </c>
      <c r="L623" t="n">
        <v>0</v>
      </c>
      <c r="M623" t="n">
        <v>0</v>
      </c>
      <c r="N623" t="n">
        <v>0</v>
      </c>
      <c r="O623" t="n">
        <v>0</v>
      </c>
      <c r="P623" t="n">
        <v>0</v>
      </c>
      <c r="Q623" t="n">
        <v>0</v>
      </c>
      <c r="R623" s="2" t="inlineStr"/>
    </row>
    <row r="624" ht="15" customHeight="1">
      <c r="A624" t="inlineStr">
        <is>
          <t>A 50602-2021</t>
        </is>
      </c>
      <c r="B624" s="1" t="n">
        <v>44459</v>
      </c>
      <c r="C624" s="1" t="n">
        <v>46123</v>
      </c>
      <c r="D624" t="inlineStr">
        <is>
          <t>STOCKHOLMS LÄN</t>
        </is>
      </c>
      <c r="E624" t="inlineStr">
        <is>
          <t>NORRTÄLJE</t>
        </is>
      </c>
      <c r="F624" t="inlineStr">
        <is>
          <t>Holmen skog AB</t>
        </is>
      </c>
      <c r="G624" t="n">
        <v>2</v>
      </c>
      <c r="H624" t="n">
        <v>0</v>
      </c>
      <c r="I624" t="n">
        <v>0</v>
      </c>
      <c r="J624" t="n">
        <v>0</v>
      </c>
      <c r="K624" t="n">
        <v>0</v>
      </c>
      <c r="L624" t="n">
        <v>0</v>
      </c>
      <c r="M624" t="n">
        <v>0</v>
      </c>
      <c r="N624" t="n">
        <v>0</v>
      </c>
      <c r="O624" t="n">
        <v>0</v>
      </c>
      <c r="P624" t="n">
        <v>0</v>
      </c>
      <c r="Q624" t="n">
        <v>0</v>
      </c>
      <c r="R624" s="2" t="inlineStr"/>
    </row>
    <row r="625" ht="15" customHeight="1">
      <c r="A625" t="inlineStr">
        <is>
          <t>A 26365-2024</t>
        </is>
      </c>
      <c r="B625" s="1" t="n">
        <v>45469</v>
      </c>
      <c r="C625" s="1" t="n">
        <v>46123</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62998-2023</t>
        </is>
      </c>
      <c r="B626" s="1" t="n">
        <v>45272.64479166667</v>
      </c>
      <c r="C626" s="1" t="n">
        <v>46123</v>
      </c>
      <c r="D626" t="inlineStr">
        <is>
          <t>STOCKHOLMS LÄN</t>
        </is>
      </c>
      <c r="E626" t="inlineStr">
        <is>
          <t>NORRTÄLJE</t>
        </is>
      </c>
      <c r="G626" t="n">
        <v>16.3</v>
      </c>
      <c r="H626" t="n">
        <v>0</v>
      </c>
      <c r="I626" t="n">
        <v>0</v>
      </c>
      <c r="J626" t="n">
        <v>0</v>
      </c>
      <c r="K626" t="n">
        <v>0</v>
      </c>
      <c r="L626" t="n">
        <v>0</v>
      </c>
      <c r="M626" t="n">
        <v>0</v>
      </c>
      <c r="N626" t="n">
        <v>0</v>
      </c>
      <c r="O626" t="n">
        <v>0</v>
      </c>
      <c r="P626" t="n">
        <v>0</v>
      </c>
      <c r="Q626" t="n">
        <v>0</v>
      </c>
      <c r="R626" s="2" t="inlineStr"/>
    </row>
    <row r="627" ht="15" customHeight="1">
      <c r="A627" t="inlineStr">
        <is>
          <t>A 63015-2023</t>
        </is>
      </c>
      <c r="B627" s="1" t="n">
        <v>45272</v>
      </c>
      <c r="C627" s="1" t="n">
        <v>46123</v>
      </c>
      <c r="D627" t="inlineStr">
        <is>
          <t>STOCKHOLMS LÄN</t>
        </is>
      </c>
      <c r="E627" t="inlineStr">
        <is>
          <t>NORRTÄLJE</t>
        </is>
      </c>
      <c r="G627" t="n">
        <v>13.1</v>
      </c>
      <c r="H627" t="n">
        <v>0</v>
      </c>
      <c r="I627" t="n">
        <v>0</v>
      </c>
      <c r="J627" t="n">
        <v>0</v>
      </c>
      <c r="K627" t="n">
        <v>0</v>
      </c>
      <c r="L627" t="n">
        <v>0</v>
      </c>
      <c r="M627" t="n">
        <v>0</v>
      </c>
      <c r="N627" t="n">
        <v>0</v>
      </c>
      <c r="O627" t="n">
        <v>0</v>
      </c>
      <c r="P627" t="n">
        <v>0</v>
      </c>
      <c r="Q627" t="n">
        <v>0</v>
      </c>
      <c r="R627" s="2" t="inlineStr"/>
    </row>
    <row r="628" ht="15" customHeight="1">
      <c r="A628" t="inlineStr">
        <is>
          <t>A 27831-2024</t>
        </is>
      </c>
      <c r="B628" s="1" t="n">
        <v>45475.61896990741</v>
      </c>
      <c r="C628" s="1" t="n">
        <v>46123</v>
      </c>
      <c r="D628" t="inlineStr">
        <is>
          <t>STOCKHOLMS LÄN</t>
        </is>
      </c>
      <c r="E628" t="inlineStr">
        <is>
          <t>NORRTÄLJE</t>
        </is>
      </c>
      <c r="G628" t="n">
        <v>3.8</v>
      </c>
      <c r="H628" t="n">
        <v>0</v>
      </c>
      <c r="I628" t="n">
        <v>0</v>
      </c>
      <c r="J628" t="n">
        <v>0</v>
      </c>
      <c r="K628" t="n">
        <v>0</v>
      </c>
      <c r="L628" t="n">
        <v>0</v>
      </c>
      <c r="M628" t="n">
        <v>0</v>
      </c>
      <c r="N628" t="n">
        <v>0</v>
      </c>
      <c r="O628" t="n">
        <v>0</v>
      </c>
      <c r="P628" t="n">
        <v>0</v>
      </c>
      <c r="Q628" t="n">
        <v>0</v>
      </c>
      <c r="R628" s="2" t="inlineStr"/>
    </row>
    <row r="629" ht="15" customHeight="1">
      <c r="A629" t="inlineStr">
        <is>
          <t>A 33175-2024</t>
        </is>
      </c>
      <c r="B629" s="1" t="n">
        <v>45518</v>
      </c>
      <c r="C629" s="1" t="n">
        <v>46123</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21803-2022</t>
        </is>
      </c>
      <c r="B630" s="1" t="n">
        <v>44708.67822916667</v>
      </c>
      <c r="C630" s="1" t="n">
        <v>46123</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20730-2024</t>
        </is>
      </c>
      <c r="B631" s="1" t="n">
        <v>45436</v>
      </c>
      <c r="C631" s="1" t="n">
        <v>46123</v>
      </c>
      <c r="D631" t="inlineStr">
        <is>
          <t>STOCKHOLMS LÄN</t>
        </is>
      </c>
      <c r="E631" t="inlineStr">
        <is>
          <t>NORRTÄLJE</t>
        </is>
      </c>
      <c r="G631" t="n">
        <v>7.3</v>
      </c>
      <c r="H631" t="n">
        <v>0</v>
      </c>
      <c r="I631" t="n">
        <v>0</v>
      </c>
      <c r="J631" t="n">
        <v>0</v>
      </c>
      <c r="K631" t="n">
        <v>0</v>
      </c>
      <c r="L631" t="n">
        <v>0</v>
      </c>
      <c r="M631" t="n">
        <v>0</v>
      </c>
      <c r="N631" t="n">
        <v>0</v>
      </c>
      <c r="O631" t="n">
        <v>0</v>
      </c>
      <c r="P631" t="n">
        <v>0</v>
      </c>
      <c r="Q631" t="n">
        <v>0</v>
      </c>
      <c r="R631" s="2" t="inlineStr"/>
    </row>
    <row r="632" ht="15" customHeight="1">
      <c r="A632" t="inlineStr">
        <is>
          <t>A 51233-2025</t>
        </is>
      </c>
      <c r="B632" s="1" t="n">
        <v>45947.68232638889</v>
      </c>
      <c r="C632" s="1" t="n">
        <v>46123</v>
      </c>
      <c r="D632" t="inlineStr">
        <is>
          <t>STOCKHOLMS LÄN</t>
        </is>
      </c>
      <c r="E632" t="inlineStr">
        <is>
          <t>NORRTÄLJE</t>
        </is>
      </c>
      <c r="F632" t="inlineStr">
        <is>
          <t>Naturvårdsverket</t>
        </is>
      </c>
      <c r="G632" t="n">
        <v>8.1</v>
      </c>
      <c r="H632" t="n">
        <v>0</v>
      </c>
      <c r="I632" t="n">
        <v>0</v>
      </c>
      <c r="J632" t="n">
        <v>0</v>
      </c>
      <c r="K632" t="n">
        <v>0</v>
      </c>
      <c r="L632" t="n">
        <v>0</v>
      </c>
      <c r="M632" t="n">
        <v>0</v>
      </c>
      <c r="N632" t="n">
        <v>0</v>
      </c>
      <c r="O632" t="n">
        <v>0</v>
      </c>
      <c r="P632" t="n">
        <v>0</v>
      </c>
      <c r="Q632" t="n">
        <v>0</v>
      </c>
      <c r="R632" s="2" t="inlineStr"/>
    </row>
    <row r="633" ht="15" customHeight="1">
      <c r="A633" t="inlineStr">
        <is>
          <t>A 51236-2025</t>
        </is>
      </c>
      <c r="B633" s="1" t="n">
        <v>45947.69078703703</v>
      </c>
      <c r="C633" s="1" t="n">
        <v>46123</v>
      </c>
      <c r="D633" t="inlineStr">
        <is>
          <t>STOCKHOLMS LÄN</t>
        </is>
      </c>
      <c r="E633" t="inlineStr">
        <is>
          <t>NORRTÄLJE</t>
        </is>
      </c>
      <c r="F633" t="inlineStr">
        <is>
          <t>Naturvårdsverket</t>
        </is>
      </c>
      <c r="G633" t="n">
        <v>6.3</v>
      </c>
      <c r="H633" t="n">
        <v>0</v>
      </c>
      <c r="I633" t="n">
        <v>0</v>
      </c>
      <c r="J633" t="n">
        <v>0</v>
      </c>
      <c r="K633" t="n">
        <v>0</v>
      </c>
      <c r="L633" t="n">
        <v>0</v>
      </c>
      <c r="M633" t="n">
        <v>0</v>
      </c>
      <c r="N633" t="n">
        <v>0</v>
      </c>
      <c r="O633" t="n">
        <v>0</v>
      </c>
      <c r="P633" t="n">
        <v>0</v>
      </c>
      <c r="Q633" t="n">
        <v>0</v>
      </c>
      <c r="R633" s="2" t="inlineStr"/>
    </row>
    <row r="634" ht="15" customHeight="1">
      <c r="A634" t="inlineStr">
        <is>
          <t>A 51241-2025</t>
        </is>
      </c>
      <c r="B634" s="1" t="n">
        <v>45947.71726851852</v>
      </c>
      <c r="C634" s="1" t="n">
        <v>46123</v>
      </c>
      <c r="D634" t="inlineStr">
        <is>
          <t>STOCKHOLMS LÄN</t>
        </is>
      </c>
      <c r="E634" t="inlineStr">
        <is>
          <t>NORRTÄLJE</t>
        </is>
      </c>
      <c r="F634" t="inlineStr">
        <is>
          <t>Naturvårdsverket</t>
        </is>
      </c>
      <c r="G634" t="n">
        <v>6.4</v>
      </c>
      <c r="H634" t="n">
        <v>0</v>
      </c>
      <c r="I634" t="n">
        <v>0</v>
      </c>
      <c r="J634" t="n">
        <v>0</v>
      </c>
      <c r="K634" t="n">
        <v>0</v>
      </c>
      <c r="L634" t="n">
        <v>0</v>
      </c>
      <c r="M634" t="n">
        <v>0</v>
      </c>
      <c r="N634" t="n">
        <v>0</v>
      </c>
      <c r="O634" t="n">
        <v>0</v>
      </c>
      <c r="P634" t="n">
        <v>0</v>
      </c>
      <c r="Q634" t="n">
        <v>0</v>
      </c>
      <c r="R634" s="2" t="inlineStr"/>
    </row>
    <row r="635" ht="15" customHeight="1">
      <c r="A635" t="inlineStr">
        <is>
          <t>A 51240-2025</t>
        </is>
      </c>
      <c r="B635" s="1" t="n">
        <v>45947.70420138889</v>
      </c>
      <c r="C635" s="1" t="n">
        <v>46123</v>
      </c>
      <c r="D635" t="inlineStr">
        <is>
          <t>STOCKHOLMS LÄN</t>
        </is>
      </c>
      <c r="E635" t="inlineStr">
        <is>
          <t>NORRTÄLJE</t>
        </is>
      </c>
      <c r="F635" t="inlineStr">
        <is>
          <t>Naturvårdsverket</t>
        </is>
      </c>
      <c r="G635" t="n">
        <v>3</v>
      </c>
      <c r="H635" t="n">
        <v>0</v>
      </c>
      <c r="I635" t="n">
        <v>0</v>
      </c>
      <c r="J635" t="n">
        <v>0</v>
      </c>
      <c r="K635" t="n">
        <v>0</v>
      </c>
      <c r="L635" t="n">
        <v>0</v>
      </c>
      <c r="M635" t="n">
        <v>0</v>
      </c>
      <c r="N635" t="n">
        <v>0</v>
      </c>
      <c r="O635" t="n">
        <v>0</v>
      </c>
      <c r="P635" t="n">
        <v>0</v>
      </c>
      <c r="Q635" t="n">
        <v>0</v>
      </c>
      <c r="R635" s="2" t="inlineStr"/>
    </row>
    <row r="636" ht="15" customHeight="1">
      <c r="A636" t="inlineStr">
        <is>
          <t>A 26640-2023</t>
        </is>
      </c>
      <c r="B636" s="1" t="n">
        <v>45092</v>
      </c>
      <c r="C636" s="1" t="n">
        <v>46123</v>
      </c>
      <c r="D636" t="inlineStr">
        <is>
          <t>STOCKHOLMS LÄN</t>
        </is>
      </c>
      <c r="E636" t="inlineStr">
        <is>
          <t>NORRTÄLJE</t>
        </is>
      </c>
      <c r="G636" t="n">
        <v>5.7</v>
      </c>
      <c r="H636" t="n">
        <v>0</v>
      </c>
      <c r="I636" t="n">
        <v>0</v>
      </c>
      <c r="J636" t="n">
        <v>0</v>
      </c>
      <c r="K636" t="n">
        <v>0</v>
      </c>
      <c r="L636" t="n">
        <v>0</v>
      </c>
      <c r="M636" t="n">
        <v>0</v>
      </c>
      <c r="N636" t="n">
        <v>0</v>
      </c>
      <c r="O636" t="n">
        <v>0</v>
      </c>
      <c r="P636" t="n">
        <v>0</v>
      </c>
      <c r="Q636" t="n">
        <v>0</v>
      </c>
      <c r="R636" s="2" t="inlineStr"/>
    </row>
    <row r="637" ht="15" customHeight="1">
      <c r="A637" t="inlineStr">
        <is>
          <t>A 51121-2025</t>
        </is>
      </c>
      <c r="B637" s="1" t="n">
        <v>45947.53293981482</v>
      </c>
      <c r="C637" s="1" t="n">
        <v>46123</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31827-2023</t>
        </is>
      </c>
      <c r="B638" s="1" t="n">
        <v>45118</v>
      </c>
      <c r="C638" s="1" t="n">
        <v>46123</v>
      </c>
      <c r="D638" t="inlineStr">
        <is>
          <t>STOCKHOLMS LÄN</t>
        </is>
      </c>
      <c r="E638" t="inlineStr">
        <is>
          <t>NORRTÄLJE</t>
        </is>
      </c>
      <c r="F638" t="inlineStr">
        <is>
          <t>Kyrkan</t>
        </is>
      </c>
      <c r="G638" t="n">
        <v>4.9</v>
      </c>
      <c r="H638" t="n">
        <v>0</v>
      </c>
      <c r="I638" t="n">
        <v>0</v>
      </c>
      <c r="J638" t="n">
        <v>0</v>
      </c>
      <c r="K638" t="n">
        <v>0</v>
      </c>
      <c r="L638" t="n">
        <v>0</v>
      </c>
      <c r="M638" t="n">
        <v>0</v>
      </c>
      <c r="N638" t="n">
        <v>0</v>
      </c>
      <c r="O638" t="n">
        <v>0</v>
      </c>
      <c r="P638" t="n">
        <v>0</v>
      </c>
      <c r="Q638" t="n">
        <v>0</v>
      </c>
      <c r="R638" s="2" t="inlineStr"/>
    </row>
    <row r="639" ht="15" customHeight="1">
      <c r="A639" t="inlineStr">
        <is>
          <t>A 58993-2022</t>
        </is>
      </c>
      <c r="B639" s="1" t="n">
        <v>44903</v>
      </c>
      <c r="C639" s="1" t="n">
        <v>46123</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12901-2024</t>
        </is>
      </c>
      <c r="B640" s="1" t="n">
        <v>45385.37922453704</v>
      </c>
      <c r="C640" s="1" t="n">
        <v>46123</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8950-2025</t>
        </is>
      </c>
      <c r="B641" s="1" t="n">
        <v>45713</v>
      </c>
      <c r="C641" s="1" t="n">
        <v>46123</v>
      </c>
      <c r="D641" t="inlineStr">
        <is>
          <t>STOCKHOLMS LÄN</t>
        </is>
      </c>
      <c r="E641" t="inlineStr">
        <is>
          <t>NORRTÄLJE</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28900-2022</t>
        </is>
      </c>
      <c r="B642" s="1" t="n">
        <v>44749.55258101852</v>
      </c>
      <c r="C642" s="1" t="n">
        <v>46123</v>
      </c>
      <c r="D642" t="inlineStr">
        <is>
          <t>STOCKHOLMS LÄN</t>
        </is>
      </c>
      <c r="E642" t="inlineStr">
        <is>
          <t>NORRTÄLJE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17574-2025</t>
        </is>
      </c>
      <c r="B643" s="1" t="n">
        <v>45757.65178240741</v>
      </c>
      <c r="C643" s="1" t="n">
        <v>46123</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59477-2025</t>
        </is>
      </c>
      <c r="B644" s="1" t="n">
        <v>45989.58679398148</v>
      </c>
      <c r="C644" s="1" t="n">
        <v>46123</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12301-2025</t>
        </is>
      </c>
      <c r="B645" s="1" t="n">
        <v>45729.7271875</v>
      </c>
      <c r="C645" s="1" t="n">
        <v>46123</v>
      </c>
      <c r="D645" t="inlineStr">
        <is>
          <t>STOCKHOLMS LÄN</t>
        </is>
      </c>
      <c r="E645" t="inlineStr">
        <is>
          <t>NORRTÄLJE</t>
        </is>
      </c>
      <c r="G645" t="n">
        <v>3.2</v>
      </c>
      <c r="H645" t="n">
        <v>0</v>
      </c>
      <c r="I645" t="n">
        <v>0</v>
      </c>
      <c r="J645" t="n">
        <v>0</v>
      </c>
      <c r="K645" t="n">
        <v>0</v>
      </c>
      <c r="L645" t="n">
        <v>0</v>
      </c>
      <c r="M645" t="n">
        <v>0</v>
      </c>
      <c r="N645" t="n">
        <v>0</v>
      </c>
      <c r="O645" t="n">
        <v>0</v>
      </c>
      <c r="P645" t="n">
        <v>0</v>
      </c>
      <c r="Q645" t="n">
        <v>0</v>
      </c>
      <c r="R645" s="2" t="inlineStr"/>
    </row>
    <row r="646" ht="15" customHeight="1">
      <c r="A646" t="inlineStr">
        <is>
          <t>A 24351-2025</t>
        </is>
      </c>
      <c r="B646" s="1" t="n">
        <v>45797.58399305555</v>
      </c>
      <c r="C646" s="1" t="n">
        <v>46123</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13283-2025</t>
        </is>
      </c>
      <c r="B647" s="1" t="n">
        <v>45735</v>
      </c>
      <c r="C647" s="1" t="n">
        <v>46123</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24687-2025</t>
        </is>
      </c>
      <c r="B648" s="1" t="n">
        <v>45798.66767361111</v>
      </c>
      <c r="C648" s="1" t="n">
        <v>46123</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24638-2025</t>
        </is>
      </c>
      <c r="B649" s="1" t="n">
        <v>45798</v>
      </c>
      <c r="C649" s="1" t="n">
        <v>46123</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58297-2023</t>
        </is>
      </c>
      <c r="B650" s="1" t="n">
        <v>45245</v>
      </c>
      <c r="C650" s="1" t="n">
        <v>46123</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51532-2025</t>
        </is>
      </c>
      <c r="B651" s="1" t="n">
        <v>45950.68297453703</v>
      </c>
      <c r="C651" s="1" t="n">
        <v>46123</v>
      </c>
      <c r="D651" t="inlineStr">
        <is>
          <t>STOCKHOLMS LÄN</t>
        </is>
      </c>
      <c r="E651" t="inlineStr">
        <is>
          <t>NORRTÄLJE</t>
        </is>
      </c>
      <c r="F651" t="inlineStr">
        <is>
          <t>Naturvårdsverket</t>
        </is>
      </c>
      <c r="G651" t="n">
        <v>17.3</v>
      </c>
      <c r="H651" t="n">
        <v>0</v>
      </c>
      <c r="I651" t="n">
        <v>0</v>
      </c>
      <c r="J651" t="n">
        <v>0</v>
      </c>
      <c r="K651" t="n">
        <v>0</v>
      </c>
      <c r="L651" t="n">
        <v>0</v>
      </c>
      <c r="M651" t="n">
        <v>0</v>
      </c>
      <c r="N651" t="n">
        <v>0</v>
      </c>
      <c r="O651" t="n">
        <v>0</v>
      </c>
      <c r="P651" t="n">
        <v>0</v>
      </c>
      <c r="Q651" t="n">
        <v>0</v>
      </c>
      <c r="R651" s="2" t="inlineStr"/>
    </row>
    <row r="652" ht="15" customHeight="1">
      <c r="A652" t="inlineStr">
        <is>
          <t>A 51789-2025</t>
        </is>
      </c>
      <c r="B652" s="1" t="n">
        <v>45951.68046296296</v>
      </c>
      <c r="C652" s="1" t="n">
        <v>46123</v>
      </c>
      <c r="D652" t="inlineStr">
        <is>
          <t>STOCKHOLMS LÄN</t>
        </is>
      </c>
      <c r="E652" t="inlineStr">
        <is>
          <t>NORRTÄLJE</t>
        </is>
      </c>
      <c r="F652" t="inlineStr">
        <is>
          <t>Naturvårdsverket</t>
        </is>
      </c>
      <c r="G652" t="n">
        <v>8.9</v>
      </c>
      <c r="H652" t="n">
        <v>0</v>
      </c>
      <c r="I652" t="n">
        <v>0</v>
      </c>
      <c r="J652" t="n">
        <v>0</v>
      </c>
      <c r="K652" t="n">
        <v>0</v>
      </c>
      <c r="L652" t="n">
        <v>0</v>
      </c>
      <c r="M652" t="n">
        <v>0</v>
      </c>
      <c r="N652" t="n">
        <v>0</v>
      </c>
      <c r="O652" t="n">
        <v>0</v>
      </c>
      <c r="P652" t="n">
        <v>0</v>
      </c>
      <c r="Q652" t="n">
        <v>0</v>
      </c>
      <c r="R652" s="2" t="inlineStr"/>
    </row>
    <row r="653" ht="15" customHeight="1">
      <c r="A653" t="inlineStr">
        <is>
          <t>A 28603-2024</t>
        </is>
      </c>
      <c r="B653" s="1" t="n">
        <v>45478.42887731481</v>
      </c>
      <c r="C653" s="1" t="n">
        <v>46123</v>
      </c>
      <c r="D653" t="inlineStr">
        <is>
          <t>STOCKHOLMS LÄN</t>
        </is>
      </c>
      <c r="E653" t="inlineStr">
        <is>
          <t>NORRTÄLJE</t>
        </is>
      </c>
      <c r="G653" t="n">
        <v>5.6</v>
      </c>
      <c r="H653" t="n">
        <v>0</v>
      </c>
      <c r="I653" t="n">
        <v>0</v>
      </c>
      <c r="J653" t="n">
        <v>0</v>
      </c>
      <c r="K653" t="n">
        <v>0</v>
      </c>
      <c r="L653" t="n">
        <v>0</v>
      </c>
      <c r="M653" t="n">
        <v>0</v>
      </c>
      <c r="N653" t="n">
        <v>0</v>
      </c>
      <c r="O653" t="n">
        <v>0</v>
      </c>
      <c r="P653" t="n">
        <v>0</v>
      </c>
      <c r="Q653" t="n">
        <v>0</v>
      </c>
      <c r="R653" s="2" t="inlineStr"/>
    </row>
    <row r="654" ht="15" customHeight="1">
      <c r="A654" t="inlineStr">
        <is>
          <t>A 20304-2023</t>
        </is>
      </c>
      <c r="B654" s="1" t="n">
        <v>45056</v>
      </c>
      <c r="C654" s="1" t="n">
        <v>46123</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12299-2025</t>
        </is>
      </c>
      <c r="B655" s="1" t="n">
        <v>45729.71065972222</v>
      </c>
      <c r="C655" s="1" t="n">
        <v>46123</v>
      </c>
      <c r="D655" t="inlineStr">
        <is>
          <t>STOCKHOLMS LÄN</t>
        </is>
      </c>
      <c r="E655" t="inlineStr">
        <is>
          <t>NORRTÄLJE</t>
        </is>
      </c>
      <c r="F655" t="inlineStr">
        <is>
          <t>Holmen skog AB</t>
        </is>
      </c>
      <c r="G655" t="n">
        <v>6.9</v>
      </c>
      <c r="H655" t="n">
        <v>0</v>
      </c>
      <c r="I655" t="n">
        <v>0</v>
      </c>
      <c r="J655" t="n">
        <v>0</v>
      </c>
      <c r="K655" t="n">
        <v>0</v>
      </c>
      <c r="L655" t="n">
        <v>0</v>
      </c>
      <c r="M655" t="n">
        <v>0</v>
      </c>
      <c r="N655" t="n">
        <v>0</v>
      </c>
      <c r="O655" t="n">
        <v>0</v>
      </c>
      <c r="P655" t="n">
        <v>0</v>
      </c>
      <c r="Q655" t="n">
        <v>0</v>
      </c>
      <c r="R655" s="2" t="inlineStr"/>
    </row>
    <row r="656" ht="15" customHeight="1">
      <c r="A656" t="inlineStr">
        <is>
          <t>A 22157-2023</t>
        </is>
      </c>
      <c r="B656" s="1" t="n">
        <v>45069</v>
      </c>
      <c r="C656" s="1" t="n">
        <v>46123</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c r="U656">
        <f>HYPERLINK("https://klasma.github.io/Logging_0188/knärot/A 22157-2023 karta knärot.png", "A 22157-2023")</f>
        <v/>
      </c>
      <c r="V656">
        <f>HYPERLINK("https://klasma.github.io/Logging_0188/klagomål/A 22157-2023 FSC-klagomål.docx", "A 22157-2023")</f>
        <v/>
      </c>
      <c r="W656">
        <f>HYPERLINK("https://klasma.github.io/Logging_0188/klagomålsmail/A 22157-2023 FSC-klagomål mail.docx", "A 22157-2023")</f>
        <v/>
      </c>
      <c r="X656">
        <f>HYPERLINK("https://klasma.github.io/Logging_0188/tillsyn/A 22157-2023 tillsynsbegäran.docx", "A 22157-2023")</f>
        <v/>
      </c>
      <c r="Y656">
        <f>HYPERLINK("https://klasma.github.io/Logging_0188/tillsynsmail/A 22157-2023 tillsynsbegäran mail.docx", "A 22157-2023")</f>
        <v/>
      </c>
    </row>
    <row r="657" ht="15" customHeight="1">
      <c r="A657" t="inlineStr">
        <is>
          <t>A 11929-2024</t>
        </is>
      </c>
      <c r="B657" s="1" t="n">
        <v>45376.64532407407</v>
      </c>
      <c r="C657" s="1" t="n">
        <v>46123</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24690-2025</t>
        </is>
      </c>
      <c r="B658" s="1" t="n">
        <v>45798.67082175926</v>
      </c>
      <c r="C658" s="1" t="n">
        <v>46123</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47259-2024</t>
        </is>
      </c>
      <c r="B659" s="1" t="n">
        <v>45586</v>
      </c>
      <c r="C659" s="1" t="n">
        <v>46123</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25702-2025</t>
        </is>
      </c>
      <c r="B660" s="1" t="n">
        <v>45800</v>
      </c>
      <c r="C660" s="1" t="n">
        <v>46123</v>
      </c>
      <c r="D660" t="inlineStr">
        <is>
          <t>STOCKHOLMS LÄN</t>
        </is>
      </c>
      <c r="E660" t="inlineStr">
        <is>
          <t>NORRTÄLJE</t>
        </is>
      </c>
      <c r="G660" t="n">
        <v>5.3</v>
      </c>
      <c r="H660" t="n">
        <v>0</v>
      </c>
      <c r="I660" t="n">
        <v>0</v>
      </c>
      <c r="J660" t="n">
        <v>0</v>
      </c>
      <c r="K660" t="n">
        <v>0</v>
      </c>
      <c r="L660" t="n">
        <v>0</v>
      </c>
      <c r="M660" t="n">
        <v>0</v>
      </c>
      <c r="N660" t="n">
        <v>0</v>
      </c>
      <c r="O660" t="n">
        <v>0</v>
      </c>
      <c r="P660" t="n">
        <v>0</v>
      </c>
      <c r="Q660" t="n">
        <v>0</v>
      </c>
      <c r="R660" s="2" t="inlineStr"/>
    </row>
    <row r="661" ht="15" customHeight="1">
      <c r="A661" t="inlineStr">
        <is>
          <t>A 51960-2025</t>
        </is>
      </c>
      <c r="B661" s="1" t="n">
        <v>45952.54755787037</v>
      </c>
      <c r="C661" s="1" t="n">
        <v>46123</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8296-2023</t>
        </is>
      </c>
      <c r="B662" s="1" t="n">
        <v>44974</v>
      </c>
      <c r="C662" s="1" t="n">
        <v>46123</v>
      </c>
      <c r="D662" t="inlineStr">
        <is>
          <t>STOCKHOLMS LÄN</t>
        </is>
      </c>
      <c r="E662" t="inlineStr">
        <is>
          <t>NORRTÄLJE</t>
        </is>
      </c>
      <c r="G662" t="n">
        <v>3.8</v>
      </c>
      <c r="H662" t="n">
        <v>0</v>
      </c>
      <c r="I662" t="n">
        <v>0</v>
      </c>
      <c r="J662" t="n">
        <v>0</v>
      </c>
      <c r="K662" t="n">
        <v>0</v>
      </c>
      <c r="L662" t="n">
        <v>0</v>
      </c>
      <c r="M662" t="n">
        <v>0</v>
      </c>
      <c r="N662" t="n">
        <v>0</v>
      </c>
      <c r="O662" t="n">
        <v>0</v>
      </c>
      <c r="P662" t="n">
        <v>0</v>
      </c>
      <c r="Q662" t="n">
        <v>0</v>
      </c>
      <c r="R662" s="2" t="inlineStr"/>
    </row>
    <row r="663" ht="15" customHeight="1">
      <c r="A663" t="inlineStr">
        <is>
          <t>A 24575-2024</t>
        </is>
      </c>
      <c r="B663" s="1" t="n">
        <v>45460.45523148148</v>
      </c>
      <c r="C663" s="1" t="n">
        <v>46123</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64899-2023</t>
        </is>
      </c>
      <c r="B664" s="1" t="n">
        <v>45282</v>
      </c>
      <c r="C664" s="1" t="n">
        <v>46123</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51941-2025</t>
        </is>
      </c>
      <c r="B665" s="1" t="n">
        <v>45952.52261574074</v>
      </c>
      <c r="C665" s="1" t="n">
        <v>46123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25712-2025</t>
        </is>
      </c>
      <c r="B666" s="1" t="n">
        <v>45803.69228009259</v>
      </c>
      <c r="C666" s="1" t="n">
        <v>46123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52593-2024</t>
        </is>
      </c>
      <c r="B667" s="1" t="n">
        <v>45609.70778935185</v>
      </c>
      <c r="C667" s="1" t="n">
        <v>46123</v>
      </c>
      <c r="D667" t="inlineStr">
        <is>
          <t>STOCKHOLMS LÄN</t>
        </is>
      </c>
      <c r="E667" t="inlineStr">
        <is>
          <t>NORRTÄLJE</t>
        </is>
      </c>
      <c r="F667" t="inlineStr">
        <is>
          <t>Holmen skog AB</t>
        </is>
      </c>
      <c r="G667" t="n">
        <v>2.4</v>
      </c>
      <c r="H667" t="n">
        <v>0</v>
      </c>
      <c r="I667" t="n">
        <v>0</v>
      </c>
      <c r="J667" t="n">
        <v>0</v>
      </c>
      <c r="K667" t="n">
        <v>0</v>
      </c>
      <c r="L667" t="n">
        <v>0</v>
      </c>
      <c r="M667" t="n">
        <v>0</v>
      </c>
      <c r="N667" t="n">
        <v>0</v>
      </c>
      <c r="O667" t="n">
        <v>0</v>
      </c>
      <c r="P667" t="n">
        <v>0</v>
      </c>
      <c r="Q667" t="n">
        <v>0</v>
      </c>
      <c r="R667" s="2" t="inlineStr"/>
    </row>
    <row r="668" ht="15" customHeight="1">
      <c r="A668" t="inlineStr">
        <is>
          <t>A 52617-2024</t>
        </is>
      </c>
      <c r="B668" s="1" t="n">
        <v>45609.85146990741</v>
      </c>
      <c r="C668" s="1" t="n">
        <v>46123</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52061-2025</t>
        </is>
      </c>
      <c r="B669" s="1" t="n">
        <v>45952.63679398148</v>
      </c>
      <c r="C669" s="1" t="n">
        <v>46123</v>
      </c>
      <c r="D669" t="inlineStr">
        <is>
          <t>STOCKHOLMS LÄN</t>
        </is>
      </c>
      <c r="E669" t="inlineStr">
        <is>
          <t>NORRTÄLJE</t>
        </is>
      </c>
      <c r="G669" t="n">
        <v>9.5</v>
      </c>
      <c r="H669" t="n">
        <v>0</v>
      </c>
      <c r="I669" t="n">
        <v>0</v>
      </c>
      <c r="J669" t="n">
        <v>0</v>
      </c>
      <c r="K669" t="n">
        <v>0</v>
      </c>
      <c r="L669" t="n">
        <v>0</v>
      </c>
      <c r="M669" t="n">
        <v>0</v>
      </c>
      <c r="N669" t="n">
        <v>0</v>
      </c>
      <c r="O669" t="n">
        <v>0</v>
      </c>
      <c r="P669" t="n">
        <v>0</v>
      </c>
      <c r="Q669" t="n">
        <v>0</v>
      </c>
      <c r="R669" s="2" t="inlineStr"/>
    </row>
    <row r="670" ht="15" customHeight="1">
      <c r="A670" t="inlineStr">
        <is>
          <t>A 25733-2025</t>
        </is>
      </c>
      <c r="B670" s="1" t="n">
        <v>45800</v>
      </c>
      <c r="C670" s="1" t="n">
        <v>46123</v>
      </c>
      <c r="D670" t="inlineStr">
        <is>
          <t>STOCKHOLMS LÄN</t>
        </is>
      </c>
      <c r="E670" t="inlineStr">
        <is>
          <t>NORRTÄLJE</t>
        </is>
      </c>
      <c r="G670" t="n">
        <v>2.2</v>
      </c>
      <c r="H670" t="n">
        <v>0</v>
      </c>
      <c r="I670" t="n">
        <v>0</v>
      </c>
      <c r="J670" t="n">
        <v>0</v>
      </c>
      <c r="K670" t="n">
        <v>0</v>
      </c>
      <c r="L670" t="n">
        <v>0</v>
      </c>
      <c r="M670" t="n">
        <v>0</v>
      </c>
      <c r="N670" t="n">
        <v>0</v>
      </c>
      <c r="O670" t="n">
        <v>0</v>
      </c>
      <c r="P670" t="n">
        <v>0</v>
      </c>
      <c r="Q670" t="n">
        <v>0</v>
      </c>
      <c r="R670" s="2" t="inlineStr"/>
    </row>
    <row r="671" ht="15" customHeight="1">
      <c r="A671" t="inlineStr">
        <is>
          <t>A 39238-2024</t>
        </is>
      </c>
      <c r="B671" s="1" t="n">
        <v>45549</v>
      </c>
      <c r="C671" s="1" t="n">
        <v>46123</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51945-2025</t>
        </is>
      </c>
      <c r="B672" s="1" t="n">
        <v>45952.52679398148</v>
      </c>
      <c r="C672" s="1" t="n">
        <v>46123</v>
      </c>
      <c r="D672" t="inlineStr">
        <is>
          <t>STOCKHOLMS LÄN</t>
        </is>
      </c>
      <c r="E672" t="inlineStr">
        <is>
          <t>NORRTÄLJE</t>
        </is>
      </c>
      <c r="G672" t="n">
        <v>7</v>
      </c>
      <c r="H672" t="n">
        <v>0</v>
      </c>
      <c r="I672" t="n">
        <v>0</v>
      </c>
      <c r="J672" t="n">
        <v>0</v>
      </c>
      <c r="K672" t="n">
        <v>0</v>
      </c>
      <c r="L672" t="n">
        <v>0</v>
      </c>
      <c r="M672" t="n">
        <v>0</v>
      </c>
      <c r="N672" t="n">
        <v>0</v>
      </c>
      <c r="O672" t="n">
        <v>0</v>
      </c>
      <c r="P672" t="n">
        <v>0</v>
      </c>
      <c r="Q672" t="n">
        <v>0</v>
      </c>
      <c r="R672" s="2" t="inlineStr"/>
    </row>
    <row r="673" ht="15" customHeight="1">
      <c r="A673" t="inlineStr">
        <is>
          <t>A 52251-2025</t>
        </is>
      </c>
      <c r="B673" s="1" t="n">
        <v>45953.49185185185</v>
      </c>
      <c r="C673" s="1" t="n">
        <v>46123</v>
      </c>
      <c r="D673" t="inlineStr">
        <is>
          <t>STOCKHOLMS LÄN</t>
        </is>
      </c>
      <c r="E673" t="inlineStr">
        <is>
          <t>NORRTÄLJE</t>
        </is>
      </c>
      <c r="G673" t="n">
        <v>6.2</v>
      </c>
      <c r="H673" t="n">
        <v>0</v>
      </c>
      <c r="I673" t="n">
        <v>0</v>
      </c>
      <c r="J673" t="n">
        <v>0</v>
      </c>
      <c r="K673" t="n">
        <v>0</v>
      </c>
      <c r="L673" t="n">
        <v>0</v>
      </c>
      <c r="M673" t="n">
        <v>0</v>
      </c>
      <c r="N673" t="n">
        <v>0</v>
      </c>
      <c r="O673" t="n">
        <v>0</v>
      </c>
      <c r="P673" t="n">
        <v>0</v>
      </c>
      <c r="Q673" t="n">
        <v>0</v>
      </c>
      <c r="R673" s="2" t="inlineStr"/>
    </row>
    <row r="674" ht="15" customHeight="1">
      <c r="A674" t="inlineStr">
        <is>
          <t>A 52254-2025</t>
        </is>
      </c>
      <c r="B674" s="1" t="n">
        <v>45953.49519675926</v>
      </c>
      <c r="C674" s="1" t="n">
        <v>46123</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52773-2025</t>
        </is>
      </c>
      <c r="B675" s="1" t="n">
        <v>45957.41457175926</v>
      </c>
      <c r="C675" s="1" t="n">
        <v>46123</v>
      </c>
      <c r="D675" t="inlineStr">
        <is>
          <t>STOCKHOLMS LÄN</t>
        </is>
      </c>
      <c r="E675" t="inlineStr">
        <is>
          <t>NORRTÄLJE</t>
        </is>
      </c>
      <c r="F675" t="inlineStr">
        <is>
          <t>Sveaskog</t>
        </is>
      </c>
      <c r="G675" t="n">
        <v>10.5</v>
      </c>
      <c r="H675" t="n">
        <v>0</v>
      </c>
      <c r="I675" t="n">
        <v>0</v>
      </c>
      <c r="J675" t="n">
        <v>0</v>
      </c>
      <c r="K675" t="n">
        <v>0</v>
      </c>
      <c r="L675" t="n">
        <v>0</v>
      </c>
      <c r="M675" t="n">
        <v>0</v>
      </c>
      <c r="N675" t="n">
        <v>0</v>
      </c>
      <c r="O675" t="n">
        <v>0</v>
      </c>
      <c r="P675" t="n">
        <v>0</v>
      </c>
      <c r="Q675" t="n">
        <v>0</v>
      </c>
      <c r="R675" s="2" t="inlineStr"/>
    </row>
    <row r="676" ht="15" customHeight="1">
      <c r="A676" t="inlineStr">
        <is>
          <t>A 52777-2025</t>
        </is>
      </c>
      <c r="B676" s="1" t="n">
        <v>45957.41832175926</v>
      </c>
      <c r="C676" s="1" t="n">
        <v>46123</v>
      </c>
      <c r="D676" t="inlineStr">
        <is>
          <t>STOCKHOLMS LÄN</t>
        </is>
      </c>
      <c r="E676" t="inlineStr">
        <is>
          <t>NORRTÄLJE</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25571-2025</t>
        </is>
      </c>
      <c r="B677" s="1" t="n">
        <v>45803.4675</v>
      </c>
      <c r="C677" s="1" t="n">
        <v>46123</v>
      </c>
      <c r="D677" t="inlineStr">
        <is>
          <t>STOCKHOLMS LÄN</t>
        </is>
      </c>
      <c r="E677" t="inlineStr">
        <is>
          <t>NORRTÄLJE</t>
        </is>
      </c>
      <c r="G677" t="n">
        <v>5.4</v>
      </c>
      <c r="H677" t="n">
        <v>0</v>
      </c>
      <c r="I677" t="n">
        <v>0</v>
      </c>
      <c r="J677" t="n">
        <v>0</v>
      </c>
      <c r="K677" t="n">
        <v>0</v>
      </c>
      <c r="L677" t="n">
        <v>0</v>
      </c>
      <c r="M677" t="n">
        <v>0</v>
      </c>
      <c r="N677" t="n">
        <v>0</v>
      </c>
      <c r="O677" t="n">
        <v>0</v>
      </c>
      <c r="P677" t="n">
        <v>0</v>
      </c>
      <c r="Q677" t="n">
        <v>0</v>
      </c>
      <c r="R677" s="2" t="inlineStr"/>
    </row>
    <row r="678" ht="15" customHeight="1">
      <c r="A678" t="inlineStr">
        <is>
          <t>A 25721-2025</t>
        </is>
      </c>
      <c r="B678" s="1" t="n">
        <v>45800</v>
      </c>
      <c r="C678" s="1" t="n">
        <v>46123</v>
      </c>
      <c r="D678" t="inlineStr">
        <is>
          <t>STOCKHOLMS LÄN</t>
        </is>
      </c>
      <c r="E678" t="inlineStr">
        <is>
          <t>NORRTÄLJE</t>
        </is>
      </c>
      <c r="G678" t="n">
        <v>6</v>
      </c>
      <c r="H678" t="n">
        <v>0</v>
      </c>
      <c r="I678" t="n">
        <v>0</v>
      </c>
      <c r="J678" t="n">
        <v>0</v>
      </c>
      <c r="K678" t="n">
        <v>0</v>
      </c>
      <c r="L678" t="n">
        <v>0</v>
      </c>
      <c r="M678" t="n">
        <v>0</v>
      </c>
      <c r="N678" t="n">
        <v>0</v>
      </c>
      <c r="O678" t="n">
        <v>0</v>
      </c>
      <c r="P678" t="n">
        <v>0</v>
      </c>
      <c r="Q678" t="n">
        <v>0</v>
      </c>
      <c r="R678" s="2" t="inlineStr"/>
    </row>
    <row r="679" ht="15" customHeight="1">
      <c r="A679" t="inlineStr">
        <is>
          <t>A 22816-2021</t>
        </is>
      </c>
      <c r="B679" s="1" t="n">
        <v>44325</v>
      </c>
      <c r="C679" s="1" t="n">
        <v>46123</v>
      </c>
      <c r="D679" t="inlineStr">
        <is>
          <t>STOCKHOLMS LÄN</t>
        </is>
      </c>
      <c r="E679" t="inlineStr">
        <is>
          <t>NORRTÄLJE</t>
        </is>
      </c>
      <c r="G679" t="n">
        <v>4.5</v>
      </c>
      <c r="H679" t="n">
        <v>0</v>
      </c>
      <c r="I679" t="n">
        <v>0</v>
      </c>
      <c r="J679" t="n">
        <v>0</v>
      </c>
      <c r="K679" t="n">
        <v>0</v>
      </c>
      <c r="L679" t="n">
        <v>0</v>
      </c>
      <c r="M679" t="n">
        <v>0</v>
      </c>
      <c r="N679" t="n">
        <v>0</v>
      </c>
      <c r="O679" t="n">
        <v>0</v>
      </c>
      <c r="P679" t="n">
        <v>0</v>
      </c>
      <c r="Q679" t="n">
        <v>0</v>
      </c>
      <c r="R679" s="2" t="inlineStr"/>
    </row>
    <row r="680" ht="15" customHeight="1">
      <c r="A680" t="inlineStr">
        <is>
          <t>A 59904-2023</t>
        </is>
      </c>
      <c r="B680" s="1" t="n">
        <v>45257</v>
      </c>
      <c r="C680" s="1" t="n">
        <v>46123</v>
      </c>
      <c r="D680" t="inlineStr">
        <is>
          <t>STOCKHOLMS LÄN</t>
        </is>
      </c>
      <c r="E680" t="inlineStr">
        <is>
          <t>NORRTÄLJE</t>
        </is>
      </c>
      <c r="G680" t="n">
        <v>17.4</v>
      </c>
      <c r="H680" t="n">
        <v>0</v>
      </c>
      <c r="I680" t="n">
        <v>0</v>
      </c>
      <c r="J680" t="n">
        <v>0</v>
      </c>
      <c r="K680" t="n">
        <v>0</v>
      </c>
      <c r="L680" t="n">
        <v>0</v>
      </c>
      <c r="M680" t="n">
        <v>0</v>
      </c>
      <c r="N680" t="n">
        <v>0</v>
      </c>
      <c r="O680" t="n">
        <v>0</v>
      </c>
      <c r="P680" t="n">
        <v>0</v>
      </c>
      <c r="Q680" t="n">
        <v>0</v>
      </c>
      <c r="R680" s="2" t="inlineStr"/>
    </row>
    <row r="681" ht="15" customHeight="1">
      <c r="A681" t="inlineStr">
        <is>
          <t>A 9914-2023</t>
        </is>
      </c>
      <c r="B681" s="1" t="n">
        <v>44985</v>
      </c>
      <c r="C681" s="1" t="n">
        <v>46123</v>
      </c>
      <c r="D681" t="inlineStr">
        <is>
          <t>STOCKHOLMS LÄN</t>
        </is>
      </c>
      <c r="E681" t="inlineStr">
        <is>
          <t>NORRTÄLJE</t>
        </is>
      </c>
      <c r="G681" t="n">
        <v>4.2</v>
      </c>
      <c r="H681" t="n">
        <v>0</v>
      </c>
      <c r="I681" t="n">
        <v>0</v>
      </c>
      <c r="J681" t="n">
        <v>0</v>
      </c>
      <c r="K681" t="n">
        <v>0</v>
      </c>
      <c r="L681" t="n">
        <v>0</v>
      </c>
      <c r="M681" t="n">
        <v>0</v>
      </c>
      <c r="N681" t="n">
        <v>0</v>
      </c>
      <c r="O681" t="n">
        <v>0</v>
      </c>
      <c r="P681" t="n">
        <v>0</v>
      </c>
      <c r="Q681" t="n">
        <v>0</v>
      </c>
      <c r="R681" s="2" t="inlineStr"/>
    </row>
    <row r="682" ht="15" customHeight="1">
      <c r="A682" t="inlineStr">
        <is>
          <t>A 52526-2025</t>
        </is>
      </c>
      <c r="B682" s="1" t="n">
        <v>45954.53061342592</v>
      </c>
      <c r="C682" s="1" t="n">
        <v>46123</v>
      </c>
      <c r="D682" t="inlineStr">
        <is>
          <t>STOCKHOLMS LÄN</t>
        </is>
      </c>
      <c r="E682" t="inlineStr">
        <is>
          <t>NORRTÄLJE</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53000-2025</t>
        </is>
      </c>
      <c r="B683" s="1" t="n">
        <v>45957.74357638889</v>
      </c>
      <c r="C683" s="1" t="n">
        <v>46123</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25697-2025</t>
        </is>
      </c>
      <c r="B684" s="1" t="n">
        <v>45803.66587962963</v>
      </c>
      <c r="C684" s="1" t="n">
        <v>46123</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41218-2024</t>
        </is>
      </c>
      <c r="B685" s="1" t="n">
        <v>45559.54706018518</v>
      </c>
      <c r="C685" s="1" t="n">
        <v>46123</v>
      </c>
      <c r="D685" t="inlineStr">
        <is>
          <t>STOCKHOLMS LÄN</t>
        </is>
      </c>
      <c r="E685" t="inlineStr">
        <is>
          <t>NORRTÄLJE</t>
        </is>
      </c>
      <c r="G685" t="n">
        <v>6</v>
      </c>
      <c r="H685" t="n">
        <v>0</v>
      </c>
      <c r="I685" t="n">
        <v>0</v>
      </c>
      <c r="J685" t="n">
        <v>0</v>
      </c>
      <c r="K685" t="n">
        <v>0</v>
      </c>
      <c r="L685" t="n">
        <v>0</v>
      </c>
      <c r="M685" t="n">
        <v>0</v>
      </c>
      <c r="N685" t="n">
        <v>0</v>
      </c>
      <c r="O685" t="n">
        <v>0</v>
      </c>
      <c r="P685" t="n">
        <v>0</v>
      </c>
      <c r="Q685" t="n">
        <v>0</v>
      </c>
      <c r="R685" s="2" t="inlineStr"/>
    </row>
    <row r="686" ht="15" customHeight="1">
      <c r="A686" t="inlineStr">
        <is>
          <t>A 11062-2024</t>
        </is>
      </c>
      <c r="B686" s="1" t="n">
        <v>45370</v>
      </c>
      <c r="C686" s="1" t="n">
        <v>46123</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52703-2025</t>
        </is>
      </c>
      <c r="B687" s="1" t="n">
        <v>45956.88643518519</v>
      </c>
      <c r="C687" s="1" t="n">
        <v>46123</v>
      </c>
      <c r="D687" t="inlineStr">
        <is>
          <t>STOCKHOLMS LÄN</t>
        </is>
      </c>
      <c r="E687" t="inlineStr">
        <is>
          <t>NORRTÄLJE</t>
        </is>
      </c>
      <c r="G687" t="n">
        <v>4.7</v>
      </c>
      <c r="H687" t="n">
        <v>0</v>
      </c>
      <c r="I687" t="n">
        <v>0</v>
      </c>
      <c r="J687" t="n">
        <v>0</v>
      </c>
      <c r="K687" t="n">
        <v>0</v>
      </c>
      <c r="L687" t="n">
        <v>0</v>
      </c>
      <c r="M687" t="n">
        <v>0</v>
      </c>
      <c r="N687" t="n">
        <v>0</v>
      </c>
      <c r="O687" t="n">
        <v>0</v>
      </c>
      <c r="P687" t="n">
        <v>0</v>
      </c>
      <c r="Q687" t="n">
        <v>0</v>
      </c>
      <c r="R687" s="2" t="inlineStr"/>
    </row>
    <row r="688" ht="15" customHeight="1">
      <c r="A688" t="inlineStr">
        <is>
          <t>A 52729-2025</t>
        </is>
      </c>
      <c r="B688" s="1" t="n">
        <v>45957.3636574074</v>
      </c>
      <c r="C688" s="1" t="n">
        <v>46123</v>
      </c>
      <c r="D688" t="inlineStr">
        <is>
          <t>STOCKHOLMS LÄN</t>
        </is>
      </c>
      <c r="E688" t="inlineStr">
        <is>
          <t>NORRTÄLJE</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52734-2025</t>
        </is>
      </c>
      <c r="B689" s="1" t="n">
        <v>45957.3710300926</v>
      </c>
      <c r="C689" s="1" t="n">
        <v>46123</v>
      </c>
      <c r="D689" t="inlineStr">
        <is>
          <t>STOCKHOLMS LÄN</t>
        </is>
      </c>
      <c r="E689" t="inlineStr">
        <is>
          <t>NORRTÄLJE</t>
        </is>
      </c>
      <c r="G689" t="n">
        <v>0.5</v>
      </c>
      <c r="H689" t="n">
        <v>0</v>
      </c>
      <c r="I689" t="n">
        <v>0</v>
      </c>
      <c r="J689" t="n">
        <v>0</v>
      </c>
      <c r="K689" t="n">
        <v>0</v>
      </c>
      <c r="L689" t="n">
        <v>0</v>
      </c>
      <c r="M689" t="n">
        <v>0</v>
      </c>
      <c r="N689" t="n">
        <v>0</v>
      </c>
      <c r="O689" t="n">
        <v>0</v>
      </c>
      <c r="P689" t="n">
        <v>0</v>
      </c>
      <c r="Q689" t="n">
        <v>0</v>
      </c>
      <c r="R689" s="2" t="inlineStr"/>
    </row>
    <row r="690" ht="15" customHeight="1">
      <c r="A690" t="inlineStr">
        <is>
          <t>A 33569-2023</t>
        </is>
      </c>
      <c r="B690" s="1" t="n">
        <v>45131.666875</v>
      </c>
      <c r="C690" s="1" t="n">
        <v>46123</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15905-2023</t>
        </is>
      </c>
      <c r="B691" s="1" t="n">
        <v>45022</v>
      </c>
      <c r="C691" s="1" t="n">
        <v>46123</v>
      </c>
      <c r="D691" t="inlineStr">
        <is>
          <t>STOCKHOLMS LÄN</t>
        </is>
      </c>
      <c r="E691" t="inlineStr">
        <is>
          <t>NORRTÄLJE</t>
        </is>
      </c>
      <c r="G691" t="n">
        <v>3.2</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46123</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15956-2023</t>
        </is>
      </c>
      <c r="B693" s="1" t="n">
        <v>45022.61003472222</v>
      </c>
      <c r="C693" s="1" t="n">
        <v>46123</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52529-2025</t>
        </is>
      </c>
      <c r="B694" s="1" t="n">
        <v>45954.53229166667</v>
      </c>
      <c r="C694" s="1" t="n">
        <v>46123</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38449-2022</t>
        </is>
      </c>
      <c r="B695" s="1" t="n">
        <v>44813</v>
      </c>
      <c r="C695" s="1" t="n">
        <v>46123</v>
      </c>
      <c r="D695" t="inlineStr">
        <is>
          <t>STOCKHOLMS LÄN</t>
        </is>
      </c>
      <c r="E695" t="inlineStr">
        <is>
          <t>NORRTÄLJE</t>
        </is>
      </c>
      <c r="G695" t="n">
        <v>4.2</v>
      </c>
      <c r="H695" t="n">
        <v>0</v>
      </c>
      <c r="I695" t="n">
        <v>0</v>
      </c>
      <c r="J695" t="n">
        <v>0</v>
      </c>
      <c r="K695" t="n">
        <v>0</v>
      </c>
      <c r="L695" t="n">
        <v>0</v>
      </c>
      <c r="M695" t="n">
        <v>0</v>
      </c>
      <c r="N695" t="n">
        <v>0</v>
      </c>
      <c r="O695" t="n">
        <v>0</v>
      </c>
      <c r="P695" t="n">
        <v>0</v>
      </c>
      <c r="Q695" t="n">
        <v>0</v>
      </c>
      <c r="R695" s="2" t="inlineStr"/>
    </row>
    <row r="696" ht="15" customHeight="1">
      <c r="A696" t="inlineStr">
        <is>
          <t>A 52704-2025</t>
        </is>
      </c>
      <c r="B696" s="1" t="n">
        <v>45956.89097222222</v>
      </c>
      <c r="C696" s="1" t="n">
        <v>46123</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52553-2025</t>
        </is>
      </c>
      <c r="B697" s="1" t="n">
        <v>45954.5624537037</v>
      </c>
      <c r="C697" s="1" t="n">
        <v>46123</v>
      </c>
      <c r="D697" t="inlineStr">
        <is>
          <t>STOCKHOLMS LÄN</t>
        </is>
      </c>
      <c r="E697" t="inlineStr">
        <is>
          <t>NORRTÄLJE</t>
        </is>
      </c>
      <c r="G697" t="n">
        <v>4.4</v>
      </c>
      <c r="H697" t="n">
        <v>0</v>
      </c>
      <c r="I697" t="n">
        <v>0</v>
      </c>
      <c r="J697" t="n">
        <v>0</v>
      </c>
      <c r="K697" t="n">
        <v>0</v>
      </c>
      <c r="L697" t="n">
        <v>0</v>
      </c>
      <c r="M697" t="n">
        <v>0</v>
      </c>
      <c r="N697" t="n">
        <v>0</v>
      </c>
      <c r="O697" t="n">
        <v>0</v>
      </c>
      <c r="P697" t="n">
        <v>0</v>
      </c>
      <c r="Q697" t="n">
        <v>0</v>
      </c>
      <c r="R697" s="2" t="inlineStr"/>
    </row>
    <row r="698" ht="15" customHeight="1">
      <c r="A698" t="inlineStr">
        <is>
          <t>A 47626-2022</t>
        </is>
      </c>
      <c r="B698" s="1" t="n">
        <v>44854</v>
      </c>
      <c r="C698" s="1" t="n">
        <v>46123</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62206-2022</t>
        </is>
      </c>
      <c r="B699" s="1" t="n">
        <v>44922</v>
      </c>
      <c r="C699" s="1" t="n">
        <v>46123</v>
      </c>
      <c r="D699" t="inlineStr">
        <is>
          <t>STOCKHOLMS LÄN</t>
        </is>
      </c>
      <c r="E699" t="inlineStr">
        <is>
          <t>NORRTÄLJE</t>
        </is>
      </c>
      <c r="G699" t="n">
        <v>2.9</v>
      </c>
      <c r="H699" t="n">
        <v>0</v>
      </c>
      <c r="I699" t="n">
        <v>0</v>
      </c>
      <c r="J699" t="n">
        <v>0</v>
      </c>
      <c r="K699" t="n">
        <v>0</v>
      </c>
      <c r="L699" t="n">
        <v>0</v>
      </c>
      <c r="M699" t="n">
        <v>0</v>
      </c>
      <c r="N699" t="n">
        <v>0</v>
      </c>
      <c r="O699" t="n">
        <v>0</v>
      </c>
      <c r="P699" t="n">
        <v>0</v>
      </c>
      <c r="Q699" t="n">
        <v>0</v>
      </c>
      <c r="R699" s="2" t="inlineStr"/>
    </row>
    <row r="700" ht="15" customHeight="1">
      <c r="A700" t="inlineStr">
        <is>
          <t>A 20618-2022</t>
        </is>
      </c>
      <c r="B700" s="1" t="n">
        <v>44700.50659722222</v>
      </c>
      <c r="C700" s="1" t="n">
        <v>46123</v>
      </c>
      <c r="D700" t="inlineStr">
        <is>
          <t>STOCKHOLMS LÄN</t>
        </is>
      </c>
      <c r="E700" t="inlineStr">
        <is>
          <t>NORRTÄLJE</t>
        </is>
      </c>
      <c r="G700" t="n">
        <v>1.5</v>
      </c>
      <c r="H700" t="n">
        <v>0</v>
      </c>
      <c r="I700" t="n">
        <v>0</v>
      </c>
      <c r="J700" t="n">
        <v>0</v>
      </c>
      <c r="K700" t="n">
        <v>0</v>
      </c>
      <c r="L700" t="n">
        <v>0</v>
      </c>
      <c r="M700" t="n">
        <v>0</v>
      </c>
      <c r="N700" t="n">
        <v>0</v>
      </c>
      <c r="O700" t="n">
        <v>0</v>
      </c>
      <c r="P700" t="n">
        <v>0</v>
      </c>
      <c r="Q700" t="n">
        <v>0</v>
      </c>
      <c r="R700" s="2" t="inlineStr"/>
    </row>
    <row r="701" ht="15" customHeight="1">
      <c r="A701" t="inlineStr">
        <is>
          <t>A 40192-2023</t>
        </is>
      </c>
      <c r="B701" s="1" t="n">
        <v>45169</v>
      </c>
      <c r="C701" s="1" t="n">
        <v>46123</v>
      </c>
      <c r="D701" t="inlineStr">
        <is>
          <t>STOCKHOLMS LÄN</t>
        </is>
      </c>
      <c r="E701" t="inlineStr">
        <is>
          <t>NORRTÄLJE</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53561-2023</t>
        </is>
      </c>
      <c r="B702" s="1" t="n">
        <v>45224</v>
      </c>
      <c r="C702" s="1" t="n">
        <v>46123</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53299-2025</t>
        </is>
      </c>
      <c r="B703" s="1" t="n">
        <v>45959.31901620371</v>
      </c>
      <c r="C703" s="1" t="n">
        <v>46123</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11900-2022</t>
        </is>
      </c>
      <c r="B704" s="1" t="n">
        <v>44635</v>
      </c>
      <c r="C704" s="1" t="n">
        <v>46123</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53087-2025</t>
        </is>
      </c>
      <c r="B705" s="1" t="n">
        <v>45958.41065972222</v>
      </c>
      <c r="C705" s="1" t="n">
        <v>46123</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10973-2025</t>
        </is>
      </c>
      <c r="B706" s="1" t="n">
        <v>45723</v>
      </c>
      <c r="C706" s="1" t="n">
        <v>46123</v>
      </c>
      <c r="D706" t="inlineStr">
        <is>
          <t>STOCKHOLMS LÄN</t>
        </is>
      </c>
      <c r="E706" t="inlineStr">
        <is>
          <t>NORRTÄLJE</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53115-2025</t>
        </is>
      </c>
      <c r="B707" s="1" t="n">
        <v>45958.44614583333</v>
      </c>
      <c r="C707" s="1" t="n">
        <v>46123</v>
      </c>
      <c r="D707" t="inlineStr">
        <is>
          <t>STOCKHOLMS LÄN</t>
        </is>
      </c>
      <c r="E707" t="inlineStr">
        <is>
          <t>NORRTÄLJE</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53629-2025</t>
        </is>
      </c>
      <c r="B708" s="1" t="n">
        <v>45960.49570601852</v>
      </c>
      <c r="C708" s="1" t="n">
        <v>46123</v>
      </c>
      <c r="D708" t="inlineStr">
        <is>
          <t>STOCKHOLMS LÄN</t>
        </is>
      </c>
      <c r="E708" t="inlineStr">
        <is>
          <t>NORRTÄLJE</t>
        </is>
      </c>
      <c r="F708" t="inlineStr">
        <is>
          <t>Naturvårdsverket</t>
        </is>
      </c>
      <c r="G708" t="n">
        <v>7.9</v>
      </c>
      <c r="H708" t="n">
        <v>0</v>
      </c>
      <c r="I708" t="n">
        <v>0</v>
      </c>
      <c r="J708" t="n">
        <v>0</v>
      </c>
      <c r="K708" t="n">
        <v>0</v>
      </c>
      <c r="L708" t="n">
        <v>0</v>
      </c>
      <c r="M708" t="n">
        <v>0</v>
      </c>
      <c r="N708" t="n">
        <v>0</v>
      </c>
      <c r="O708" t="n">
        <v>0</v>
      </c>
      <c r="P708" t="n">
        <v>0</v>
      </c>
      <c r="Q708" t="n">
        <v>0</v>
      </c>
      <c r="R708" s="2" t="inlineStr"/>
    </row>
    <row r="709" ht="15" customHeight="1">
      <c r="A709" t="inlineStr">
        <is>
          <t>A 27885-2022</t>
        </is>
      </c>
      <c r="B709" s="1" t="n">
        <v>44743.67418981482</v>
      </c>
      <c r="C709" s="1" t="n">
        <v>46123</v>
      </c>
      <c r="D709" t="inlineStr">
        <is>
          <t>STOCKHOLMS LÄN</t>
        </is>
      </c>
      <c r="E709" t="inlineStr">
        <is>
          <t>NORRTÄLJE</t>
        </is>
      </c>
      <c r="F709" t="inlineStr">
        <is>
          <t>Holmen skog AB</t>
        </is>
      </c>
      <c r="G709" t="n">
        <v>0.8</v>
      </c>
      <c r="H709" t="n">
        <v>0</v>
      </c>
      <c r="I709" t="n">
        <v>0</v>
      </c>
      <c r="J709" t="n">
        <v>0</v>
      </c>
      <c r="K709" t="n">
        <v>0</v>
      </c>
      <c r="L709" t="n">
        <v>0</v>
      </c>
      <c r="M709" t="n">
        <v>0</v>
      </c>
      <c r="N709" t="n">
        <v>0</v>
      </c>
      <c r="O709" t="n">
        <v>0</v>
      </c>
      <c r="P709" t="n">
        <v>0</v>
      </c>
      <c r="Q709" t="n">
        <v>0</v>
      </c>
      <c r="R709" s="2" t="inlineStr"/>
    </row>
    <row r="710" ht="15" customHeight="1">
      <c r="A710" t="inlineStr">
        <is>
          <t>A 53747-2025</t>
        </is>
      </c>
      <c r="B710" s="1" t="n">
        <v>45960.65415509259</v>
      </c>
      <c r="C710" s="1" t="n">
        <v>46123</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26051-2025</t>
        </is>
      </c>
      <c r="B711" s="1" t="n">
        <v>45804.74479166666</v>
      </c>
      <c r="C711" s="1" t="n">
        <v>46123</v>
      </c>
      <c r="D711" t="inlineStr">
        <is>
          <t>STOCKHOLMS LÄN</t>
        </is>
      </c>
      <c r="E711" t="inlineStr">
        <is>
          <t>NORRTÄLJE</t>
        </is>
      </c>
      <c r="G711" t="n">
        <v>3.2</v>
      </c>
      <c r="H711" t="n">
        <v>0</v>
      </c>
      <c r="I711" t="n">
        <v>0</v>
      </c>
      <c r="J711" t="n">
        <v>0</v>
      </c>
      <c r="K711" t="n">
        <v>0</v>
      </c>
      <c r="L711" t="n">
        <v>0</v>
      </c>
      <c r="M711" t="n">
        <v>0</v>
      </c>
      <c r="N711" t="n">
        <v>0</v>
      </c>
      <c r="O711" t="n">
        <v>0</v>
      </c>
      <c r="P711" t="n">
        <v>0</v>
      </c>
      <c r="Q711" t="n">
        <v>0</v>
      </c>
      <c r="R711" s="2" t="inlineStr"/>
    </row>
    <row r="712" ht="15" customHeight="1">
      <c r="A712" t="inlineStr">
        <is>
          <t>A 26708-2025</t>
        </is>
      </c>
      <c r="B712" s="1" t="n">
        <v>45810.45633101852</v>
      </c>
      <c r="C712" s="1" t="n">
        <v>46123</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26702-2025</t>
        </is>
      </c>
      <c r="B713" s="1" t="n">
        <v>45810.45236111111</v>
      </c>
      <c r="C713" s="1" t="n">
        <v>46123</v>
      </c>
      <c r="D713" t="inlineStr">
        <is>
          <t>STOCKHOLMS LÄN</t>
        </is>
      </c>
      <c r="E713" t="inlineStr">
        <is>
          <t>NORRTÄLJE</t>
        </is>
      </c>
      <c r="G713" t="n">
        <v>7.3</v>
      </c>
      <c r="H713" t="n">
        <v>0</v>
      </c>
      <c r="I713" t="n">
        <v>0</v>
      </c>
      <c r="J713" t="n">
        <v>0</v>
      </c>
      <c r="K713" t="n">
        <v>0</v>
      </c>
      <c r="L713" t="n">
        <v>0</v>
      </c>
      <c r="M713" t="n">
        <v>0</v>
      </c>
      <c r="N713" t="n">
        <v>0</v>
      </c>
      <c r="O713" t="n">
        <v>0</v>
      </c>
      <c r="P713" t="n">
        <v>0</v>
      </c>
      <c r="Q713" t="n">
        <v>0</v>
      </c>
      <c r="R713" s="2" t="inlineStr"/>
    </row>
    <row r="714" ht="15" customHeight="1">
      <c r="A714" t="inlineStr">
        <is>
          <t>A 60224-2023</t>
        </is>
      </c>
      <c r="B714" s="1" t="n">
        <v>45257</v>
      </c>
      <c r="C714" s="1" t="n">
        <v>46123</v>
      </c>
      <c r="D714" t="inlineStr">
        <is>
          <t>STOCKHOLMS LÄN</t>
        </is>
      </c>
      <c r="E714" t="inlineStr">
        <is>
          <t>NORRTÄLJE</t>
        </is>
      </c>
      <c r="G714" t="n">
        <v>8.1</v>
      </c>
      <c r="H714" t="n">
        <v>0</v>
      </c>
      <c r="I714" t="n">
        <v>0</v>
      </c>
      <c r="J714" t="n">
        <v>0</v>
      </c>
      <c r="K714" t="n">
        <v>0</v>
      </c>
      <c r="L714" t="n">
        <v>0</v>
      </c>
      <c r="M714" t="n">
        <v>0</v>
      </c>
      <c r="N714" t="n">
        <v>0</v>
      </c>
      <c r="O714" t="n">
        <v>0</v>
      </c>
      <c r="P714" t="n">
        <v>0</v>
      </c>
      <c r="Q714" t="n">
        <v>0</v>
      </c>
      <c r="R714" s="2" t="inlineStr"/>
    </row>
    <row r="715" ht="15" customHeight="1">
      <c r="A715" t="inlineStr">
        <is>
          <t>A 23061-2025</t>
        </is>
      </c>
      <c r="B715" s="1" t="n">
        <v>45790.81410879629</v>
      </c>
      <c r="C715" s="1" t="n">
        <v>46123</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27040-2025</t>
        </is>
      </c>
      <c r="B716" s="1" t="n">
        <v>45811.60451388889</v>
      </c>
      <c r="C716" s="1" t="n">
        <v>46123</v>
      </c>
      <c r="D716" t="inlineStr">
        <is>
          <t>STOCKHOLMS LÄN</t>
        </is>
      </c>
      <c r="E716" t="inlineStr">
        <is>
          <t>NORRTÄLJE</t>
        </is>
      </c>
      <c r="G716" t="n">
        <v>4.3</v>
      </c>
      <c r="H716" t="n">
        <v>0</v>
      </c>
      <c r="I716" t="n">
        <v>0</v>
      </c>
      <c r="J716" t="n">
        <v>0</v>
      </c>
      <c r="K716" t="n">
        <v>0</v>
      </c>
      <c r="L716" t="n">
        <v>0</v>
      </c>
      <c r="M716" t="n">
        <v>0</v>
      </c>
      <c r="N716" t="n">
        <v>0</v>
      </c>
      <c r="O716" t="n">
        <v>0</v>
      </c>
      <c r="P716" t="n">
        <v>0</v>
      </c>
      <c r="Q716" t="n">
        <v>0</v>
      </c>
      <c r="R716" s="2" t="inlineStr"/>
    </row>
    <row r="717" ht="15" customHeight="1">
      <c r="A717" t="inlineStr">
        <is>
          <t>A 26747-2025</t>
        </is>
      </c>
      <c r="B717" s="1" t="n">
        <v>45810.5333912037</v>
      </c>
      <c r="C717" s="1" t="n">
        <v>46123</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5158-2024</t>
        </is>
      </c>
      <c r="B718" s="1" t="n">
        <v>45330.50098379629</v>
      </c>
      <c r="C718" s="1" t="n">
        <v>46123</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26675-2025</t>
        </is>
      </c>
      <c r="B719" s="1" t="n">
        <v>45810.42393518519</v>
      </c>
      <c r="C719" s="1" t="n">
        <v>46123</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9130-2025</t>
        </is>
      </c>
      <c r="B720" s="1" t="n">
        <v>45713.92623842593</v>
      </c>
      <c r="C720" s="1" t="n">
        <v>46123</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54907-2025</t>
        </is>
      </c>
      <c r="B721" s="1" t="n">
        <v>45967.37137731481</v>
      </c>
      <c r="C721" s="1" t="n">
        <v>46123</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17551-2025</t>
        </is>
      </c>
      <c r="B722" s="1" t="n">
        <v>45757.61421296297</v>
      </c>
      <c r="C722" s="1" t="n">
        <v>46123</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55010-2024</t>
        </is>
      </c>
      <c r="B723" s="1" t="n">
        <v>45621.34425925926</v>
      </c>
      <c r="C723" s="1" t="n">
        <v>46123</v>
      </c>
      <c r="D723" t="inlineStr">
        <is>
          <t>STOCKHOLMS LÄN</t>
        </is>
      </c>
      <c r="E723" t="inlineStr">
        <is>
          <t>NORRTÄLJE</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31105-2022</t>
        </is>
      </c>
      <c r="B724" s="1" t="n">
        <v>44769.66039351852</v>
      </c>
      <c r="C724" s="1" t="n">
        <v>46123</v>
      </c>
      <c r="D724" t="inlineStr">
        <is>
          <t>STOCKHOLMS LÄN</t>
        </is>
      </c>
      <c r="E724" t="inlineStr">
        <is>
          <t>NORRTÄLJE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55503-2025</t>
        </is>
      </c>
      <c r="B725" s="1" t="n">
        <v>45971</v>
      </c>
      <c r="C725" s="1" t="n">
        <v>46123</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27554-2025</t>
        </is>
      </c>
      <c r="B726" s="1" t="n">
        <v>45813.4709375</v>
      </c>
      <c r="C726" s="1" t="n">
        <v>46123</v>
      </c>
      <c r="D726" t="inlineStr">
        <is>
          <t>STOCKHOLMS LÄN</t>
        </is>
      </c>
      <c r="E726" t="inlineStr">
        <is>
          <t>NORRTÄLJE</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55599-2025</t>
        </is>
      </c>
      <c r="B727" s="1" t="n">
        <v>45971.76810185185</v>
      </c>
      <c r="C727" s="1" t="n">
        <v>46123</v>
      </c>
      <c r="D727" t="inlineStr">
        <is>
          <t>STOCKHOLMS LÄN</t>
        </is>
      </c>
      <c r="E727" t="inlineStr">
        <is>
          <t>NORRTÄLJE</t>
        </is>
      </c>
      <c r="F727" t="inlineStr">
        <is>
          <t>Holmen skog AB</t>
        </is>
      </c>
      <c r="G727" t="n">
        <v>6.4</v>
      </c>
      <c r="H727" t="n">
        <v>0</v>
      </c>
      <c r="I727" t="n">
        <v>0</v>
      </c>
      <c r="J727" t="n">
        <v>0</v>
      </c>
      <c r="K727" t="n">
        <v>0</v>
      </c>
      <c r="L727" t="n">
        <v>0</v>
      </c>
      <c r="M727" t="n">
        <v>0</v>
      </c>
      <c r="N727" t="n">
        <v>0</v>
      </c>
      <c r="O727" t="n">
        <v>0</v>
      </c>
      <c r="P727" t="n">
        <v>0</v>
      </c>
      <c r="Q727" t="n">
        <v>0</v>
      </c>
      <c r="R727" s="2" t="inlineStr"/>
    </row>
    <row r="728" ht="15" customHeight="1">
      <c r="A728" t="inlineStr">
        <is>
          <t>A 56114-2025</t>
        </is>
      </c>
      <c r="B728" s="1" t="n">
        <v>45973.74474537037</v>
      </c>
      <c r="C728" s="1" t="n">
        <v>46123</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27700-2025</t>
        </is>
      </c>
      <c r="B729" s="1" t="n">
        <v>45813.6799537037</v>
      </c>
      <c r="C729" s="1" t="n">
        <v>46123</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30620-2022</t>
        </is>
      </c>
      <c r="B730" s="1" t="n">
        <v>44763.40914351852</v>
      </c>
      <c r="C730" s="1" t="n">
        <v>46123</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27697-2025</t>
        </is>
      </c>
      <c r="B731" s="1" t="n">
        <v>45813.66961805556</v>
      </c>
      <c r="C731" s="1" t="n">
        <v>46123</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50113-2024</t>
        </is>
      </c>
      <c r="B732" s="1" t="n">
        <v>45600.411875</v>
      </c>
      <c r="C732" s="1" t="n">
        <v>46123</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28365-2022</t>
        </is>
      </c>
      <c r="B733" s="1" t="n">
        <v>44747</v>
      </c>
      <c r="C733" s="1" t="n">
        <v>46123</v>
      </c>
      <c r="D733" t="inlineStr">
        <is>
          <t>STOCKHOLMS LÄN</t>
        </is>
      </c>
      <c r="E733" t="inlineStr">
        <is>
          <t>NORRTÄLJE</t>
        </is>
      </c>
      <c r="G733" t="n">
        <v>5.1</v>
      </c>
      <c r="H733" t="n">
        <v>0</v>
      </c>
      <c r="I733" t="n">
        <v>0</v>
      </c>
      <c r="J733" t="n">
        <v>0</v>
      </c>
      <c r="K733" t="n">
        <v>0</v>
      </c>
      <c r="L733" t="n">
        <v>0</v>
      </c>
      <c r="M733" t="n">
        <v>0</v>
      </c>
      <c r="N733" t="n">
        <v>0</v>
      </c>
      <c r="O733" t="n">
        <v>0</v>
      </c>
      <c r="P733" t="n">
        <v>0</v>
      </c>
      <c r="Q733" t="n">
        <v>0</v>
      </c>
      <c r="R733" s="2" t="inlineStr"/>
    </row>
    <row r="734" ht="15" customHeight="1">
      <c r="A734" t="inlineStr">
        <is>
          <t>A 27802-2025</t>
        </is>
      </c>
      <c r="B734" s="1" t="n">
        <v>45817.2565625</v>
      </c>
      <c r="C734" s="1" t="n">
        <v>46123</v>
      </c>
      <c r="D734" t="inlineStr">
        <is>
          <t>STOCKHOLMS LÄN</t>
        </is>
      </c>
      <c r="E734" t="inlineStr">
        <is>
          <t>NORRTÄLJE</t>
        </is>
      </c>
      <c r="G734" t="n">
        <v>3</v>
      </c>
      <c r="H734" t="n">
        <v>0</v>
      </c>
      <c r="I734" t="n">
        <v>0</v>
      </c>
      <c r="J734" t="n">
        <v>0</v>
      </c>
      <c r="K734" t="n">
        <v>0</v>
      </c>
      <c r="L734" t="n">
        <v>0</v>
      </c>
      <c r="M734" t="n">
        <v>0</v>
      </c>
      <c r="N734" t="n">
        <v>0</v>
      </c>
      <c r="O734" t="n">
        <v>0</v>
      </c>
      <c r="P734" t="n">
        <v>0</v>
      </c>
      <c r="Q734" t="n">
        <v>0</v>
      </c>
      <c r="R734" s="2" t="inlineStr"/>
    </row>
    <row r="735" ht="15" customHeight="1">
      <c r="A735" t="inlineStr">
        <is>
          <t>A 27806-2025</t>
        </is>
      </c>
      <c r="B735" s="1" t="n">
        <v>45817.30329861111</v>
      </c>
      <c r="C735" s="1" t="n">
        <v>46123</v>
      </c>
      <c r="D735" t="inlineStr">
        <is>
          <t>STOCKHOLMS LÄN</t>
        </is>
      </c>
      <c r="E735" t="inlineStr">
        <is>
          <t>NORRTÄLJE</t>
        </is>
      </c>
      <c r="G735" t="n">
        <v>3</v>
      </c>
      <c r="H735" t="n">
        <v>0</v>
      </c>
      <c r="I735" t="n">
        <v>0</v>
      </c>
      <c r="J735" t="n">
        <v>0</v>
      </c>
      <c r="K735" t="n">
        <v>0</v>
      </c>
      <c r="L735" t="n">
        <v>0</v>
      </c>
      <c r="M735" t="n">
        <v>0</v>
      </c>
      <c r="N735" t="n">
        <v>0</v>
      </c>
      <c r="O735" t="n">
        <v>0</v>
      </c>
      <c r="P735" t="n">
        <v>0</v>
      </c>
      <c r="Q735" t="n">
        <v>0</v>
      </c>
      <c r="R735" s="2" t="inlineStr"/>
    </row>
    <row r="736" ht="15" customHeight="1">
      <c r="A736" t="inlineStr">
        <is>
          <t>A 27808-2025</t>
        </is>
      </c>
      <c r="B736" s="1" t="n">
        <v>45817.31085648148</v>
      </c>
      <c r="C736" s="1" t="n">
        <v>46123</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27810-2025</t>
        </is>
      </c>
      <c r="B737" s="1" t="n">
        <v>45817.31708333334</v>
      </c>
      <c r="C737" s="1" t="n">
        <v>46123</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27811-2025</t>
        </is>
      </c>
      <c r="B738" s="1" t="n">
        <v>45817.31986111111</v>
      </c>
      <c r="C738" s="1" t="n">
        <v>46123</v>
      </c>
      <c r="D738" t="inlineStr">
        <is>
          <t>STOCKHOLMS LÄN</t>
        </is>
      </c>
      <c r="E738" t="inlineStr">
        <is>
          <t>NORRTÄLJE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27818-2025</t>
        </is>
      </c>
      <c r="B739" s="1" t="n">
        <v>45817.33503472222</v>
      </c>
      <c r="C739" s="1" t="n">
        <v>46123</v>
      </c>
      <c r="D739" t="inlineStr">
        <is>
          <t>STOCKHOLMS LÄN</t>
        </is>
      </c>
      <c r="E739" t="inlineStr">
        <is>
          <t>NORRTÄLJE</t>
        </is>
      </c>
      <c r="F739" t="inlineStr">
        <is>
          <t>Sveaskog</t>
        </is>
      </c>
      <c r="G739" t="n">
        <v>0.3</v>
      </c>
      <c r="H739" t="n">
        <v>0</v>
      </c>
      <c r="I739" t="n">
        <v>0</v>
      </c>
      <c r="J739" t="n">
        <v>0</v>
      </c>
      <c r="K739" t="n">
        <v>0</v>
      </c>
      <c r="L739" t="n">
        <v>0</v>
      </c>
      <c r="M739" t="n">
        <v>0</v>
      </c>
      <c r="N739" t="n">
        <v>0</v>
      </c>
      <c r="O739" t="n">
        <v>0</v>
      </c>
      <c r="P739" t="n">
        <v>0</v>
      </c>
      <c r="Q739" t="n">
        <v>0</v>
      </c>
      <c r="R739" s="2" t="inlineStr"/>
    </row>
    <row r="740" ht="15" customHeight="1">
      <c r="A740" t="inlineStr">
        <is>
          <t>A 42955-2022</t>
        </is>
      </c>
      <c r="B740" s="1" t="n">
        <v>44833.40876157407</v>
      </c>
      <c r="C740" s="1" t="n">
        <v>46123</v>
      </c>
      <c r="D740" t="inlineStr">
        <is>
          <t>STOCKHOLMS LÄN</t>
        </is>
      </c>
      <c r="E740" t="inlineStr">
        <is>
          <t>NORRTÄLJE</t>
        </is>
      </c>
      <c r="G740" t="n">
        <v>13.1</v>
      </c>
      <c r="H740" t="n">
        <v>0</v>
      </c>
      <c r="I740" t="n">
        <v>0</v>
      </c>
      <c r="J740" t="n">
        <v>0</v>
      </c>
      <c r="K740" t="n">
        <v>0</v>
      </c>
      <c r="L740" t="n">
        <v>0</v>
      </c>
      <c r="M740" t="n">
        <v>0</v>
      </c>
      <c r="N740" t="n">
        <v>0</v>
      </c>
      <c r="O740" t="n">
        <v>0</v>
      </c>
      <c r="P740" t="n">
        <v>0</v>
      </c>
      <c r="Q740" t="n">
        <v>0</v>
      </c>
      <c r="R740" s="2" t="inlineStr"/>
    </row>
    <row r="741" ht="15" customHeight="1">
      <c r="A741" t="inlineStr">
        <is>
          <t>A 1283-2025</t>
        </is>
      </c>
      <c r="B741" s="1" t="n">
        <v>45667.49878472222</v>
      </c>
      <c r="C741" s="1" t="n">
        <v>46123</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27801-2025</t>
        </is>
      </c>
      <c r="B742" s="1" t="n">
        <v>45817.25471064815</v>
      </c>
      <c r="C742" s="1" t="n">
        <v>46123</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27803-2025</t>
        </is>
      </c>
      <c r="B743" s="1" t="n">
        <v>45817.291875</v>
      </c>
      <c r="C743" s="1" t="n">
        <v>46123</v>
      </c>
      <c r="D743" t="inlineStr">
        <is>
          <t>STOCKHOLMS LÄN</t>
        </is>
      </c>
      <c r="E743" t="inlineStr">
        <is>
          <t>NORRTÄLJE</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27813-2025</t>
        </is>
      </c>
      <c r="B744" s="1" t="n">
        <v>45817.32538194444</v>
      </c>
      <c r="C744" s="1" t="n">
        <v>46123</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27821-2025</t>
        </is>
      </c>
      <c r="B745" s="1" t="n">
        <v>45817.34083333334</v>
      </c>
      <c r="C745" s="1" t="n">
        <v>46123</v>
      </c>
      <c r="D745" t="inlineStr">
        <is>
          <t>STOCKHOLMS LÄN</t>
        </is>
      </c>
      <c r="E745" t="inlineStr">
        <is>
          <t>NORRTÄLJE</t>
        </is>
      </c>
      <c r="G745" t="n">
        <v>3.2</v>
      </c>
      <c r="H745" t="n">
        <v>0</v>
      </c>
      <c r="I745" t="n">
        <v>0</v>
      </c>
      <c r="J745" t="n">
        <v>0</v>
      </c>
      <c r="K745" t="n">
        <v>0</v>
      </c>
      <c r="L745" t="n">
        <v>0</v>
      </c>
      <c r="M745" t="n">
        <v>0</v>
      </c>
      <c r="N745" t="n">
        <v>0</v>
      </c>
      <c r="O745" t="n">
        <v>0</v>
      </c>
      <c r="P745" t="n">
        <v>0</v>
      </c>
      <c r="Q745" t="n">
        <v>0</v>
      </c>
      <c r="R745" s="2" t="inlineStr"/>
    </row>
    <row r="746" ht="15" customHeight="1">
      <c r="A746" t="inlineStr">
        <is>
          <t>A 13767-2025</t>
        </is>
      </c>
      <c r="B746" s="1" t="n">
        <v>45737.43347222222</v>
      </c>
      <c r="C746" s="1" t="n">
        <v>46123</v>
      </c>
      <c r="D746" t="inlineStr">
        <is>
          <t>STOCKHOLMS LÄN</t>
        </is>
      </c>
      <c r="E746" t="inlineStr">
        <is>
          <t>NORRTÄLJE</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20013-2025</t>
        </is>
      </c>
      <c r="B747" s="1" t="n">
        <v>45772.30436342592</v>
      </c>
      <c r="C747" s="1" t="n">
        <v>46123</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56207-2025</t>
        </is>
      </c>
      <c r="B748" s="1" t="n">
        <v>45974.47329861111</v>
      </c>
      <c r="C748" s="1" t="n">
        <v>46123</v>
      </c>
      <c r="D748" t="inlineStr">
        <is>
          <t>STOCKHOLMS LÄN</t>
        </is>
      </c>
      <c r="E748" t="inlineStr">
        <is>
          <t>NORRTÄLJE</t>
        </is>
      </c>
      <c r="G748" t="n">
        <v>3.2</v>
      </c>
      <c r="H748" t="n">
        <v>0</v>
      </c>
      <c r="I748" t="n">
        <v>0</v>
      </c>
      <c r="J748" t="n">
        <v>0</v>
      </c>
      <c r="K748" t="n">
        <v>0</v>
      </c>
      <c r="L748" t="n">
        <v>0</v>
      </c>
      <c r="M748" t="n">
        <v>0</v>
      </c>
      <c r="N748" t="n">
        <v>0</v>
      </c>
      <c r="O748" t="n">
        <v>0</v>
      </c>
      <c r="P748" t="n">
        <v>0</v>
      </c>
      <c r="Q748" t="n">
        <v>0</v>
      </c>
      <c r="R748" s="2" t="inlineStr"/>
    </row>
    <row r="749" ht="15" customHeight="1">
      <c r="A749" t="inlineStr">
        <is>
          <t>A 53362-2023</t>
        </is>
      </c>
      <c r="B749" s="1" t="n">
        <v>45223</v>
      </c>
      <c r="C749" s="1" t="n">
        <v>46123</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15422-2024</t>
        </is>
      </c>
      <c r="B750" s="1" t="n">
        <v>45401.3653125</v>
      </c>
      <c r="C750" s="1" t="n">
        <v>46123</v>
      </c>
      <c r="D750" t="inlineStr">
        <is>
          <t>STOCKHOLMS LÄN</t>
        </is>
      </c>
      <c r="E750" t="inlineStr">
        <is>
          <t>NORRTÄLJE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15528-2025</t>
        </is>
      </c>
      <c r="B751" s="1" t="n">
        <v>45747.63471064815</v>
      </c>
      <c r="C751" s="1" t="n">
        <v>46123</v>
      </c>
      <c r="D751" t="inlineStr">
        <is>
          <t>STOCKHOLMS LÄN</t>
        </is>
      </c>
      <c r="E751" t="inlineStr">
        <is>
          <t>NORRTÄLJE</t>
        </is>
      </c>
      <c r="G751" t="n">
        <v>10</v>
      </c>
      <c r="H751" t="n">
        <v>0</v>
      </c>
      <c r="I751" t="n">
        <v>0</v>
      </c>
      <c r="J751" t="n">
        <v>0</v>
      </c>
      <c r="K751" t="n">
        <v>0</v>
      </c>
      <c r="L751" t="n">
        <v>0</v>
      </c>
      <c r="M751" t="n">
        <v>0</v>
      </c>
      <c r="N751" t="n">
        <v>0</v>
      </c>
      <c r="O751" t="n">
        <v>0</v>
      </c>
      <c r="P751" t="n">
        <v>0</v>
      </c>
      <c r="Q751" t="n">
        <v>0</v>
      </c>
      <c r="R751" s="2" t="inlineStr"/>
    </row>
    <row r="752" ht="15" customHeight="1">
      <c r="A752" t="inlineStr">
        <is>
          <t>A 11901-2024</t>
        </is>
      </c>
      <c r="B752" s="1" t="n">
        <v>45376.55638888889</v>
      </c>
      <c r="C752" s="1" t="n">
        <v>46123</v>
      </c>
      <c r="D752" t="inlineStr">
        <is>
          <t>STOCKHOLMS LÄN</t>
        </is>
      </c>
      <c r="E752" t="inlineStr">
        <is>
          <t>NORRTÄLJE</t>
        </is>
      </c>
      <c r="F752" t="inlineStr">
        <is>
          <t>Holmen skog AB</t>
        </is>
      </c>
      <c r="G752" t="n">
        <v>3.5</v>
      </c>
      <c r="H752" t="n">
        <v>0</v>
      </c>
      <c r="I752" t="n">
        <v>0</v>
      </c>
      <c r="J752" t="n">
        <v>0</v>
      </c>
      <c r="K752" t="n">
        <v>0</v>
      </c>
      <c r="L752" t="n">
        <v>0</v>
      </c>
      <c r="M752" t="n">
        <v>0</v>
      </c>
      <c r="N752" t="n">
        <v>0</v>
      </c>
      <c r="O752" t="n">
        <v>0</v>
      </c>
      <c r="P752" t="n">
        <v>0</v>
      </c>
      <c r="Q752" t="n">
        <v>0</v>
      </c>
      <c r="R752" s="2" t="inlineStr"/>
    </row>
    <row r="753" ht="15" customHeight="1">
      <c r="A753" t="inlineStr">
        <is>
          <t>A 30508-2023</t>
        </is>
      </c>
      <c r="B753" s="1" t="n">
        <v>45111</v>
      </c>
      <c r="C753" s="1" t="n">
        <v>46123</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16008-2025</t>
        </is>
      </c>
      <c r="B754" s="1" t="n">
        <v>45749</v>
      </c>
      <c r="C754" s="1" t="n">
        <v>46123</v>
      </c>
      <c r="D754" t="inlineStr">
        <is>
          <t>STOCKHOLMS LÄN</t>
        </is>
      </c>
      <c r="E754" t="inlineStr">
        <is>
          <t>NORRTÄLJE</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21158-2022</t>
        </is>
      </c>
      <c r="B755" s="1" t="n">
        <v>44704</v>
      </c>
      <c r="C755" s="1" t="n">
        <v>46123</v>
      </c>
      <c r="D755" t="inlineStr">
        <is>
          <t>STOCKHOLMS LÄN</t>
        </is>
      </c>
      <c r="E755" t="inlineStr">
        <is>
          <t>NORRTÄLJE</t>
        </is>
      </c>
      <c r="G755" t="n">
        <v>17.8</v>
      </c>
      <c r="H755" t="n">
        <v>0</v>
      </c>
      <c r="I755" t="n">
        <v>0</v>
      </c>
      <c r="J755" t="n">
        <v>0</v>
      </c>
      <c r="K755" t="n">
        <v>0</v>
      </c>
      <c r="L755" t="n">
        <v>0</v>
      </c>
      <c r="M755" t="n">
        <v>0</v>
      </c>
      <c r="N755" t="n">
        <v>0</v>
      </c>
      <c r="O755" t="n">
        <v>0</v>
      </c>
      <c r="P755" t="n">
        <v>0</v>
      </c>
      <c r="Q755" t="n">
        <v>0</v>
      </c>
      <c r="R755" s="2" t="inlineStr"/>
    </row>
    <row r="756" ht="15" customHeight="1">
      <c r="A756" t="inlineStr">
        <is>
          <t>A 44075-2023</t>
        </is>
      </c>
      <c r="B756" s="1" t="n">
        <v>45188.41637731482</v>
      </c>
      <c r="C756" s="1" t="n">
        <v>46123</v>
      </c>
      <c r="D756" t="inlineStr">
        <is>
          <t>STOCKHOLMS LÄN</t>
        </is>
      </c>
      <c r="E756" t="inlineStr">
        <is>
          <t>NORRTÄLJE</t>
        </is>
      </c>
      <c r="F756" t="inlineStr">
        <is>
          <t>Holmen skog AB</t>
        </is>
      </c>
      <c r="G756" t="n">
        <v>2.4</v>
      </c>
      <c r="H756" t="n">
        <v>0</v>
      </c>
      <c r="I756" t="n">
        <v>0</v>
      </c>
      <c r="J756" t="n">
        <v>0</v>
      </c>
      <c r="K756" t="n">
        <v>0</v>
      </c>
      <c r="L756" t="n">
        <v>0</v>
      </c>
      <c r="M756" t="n">
        <v>0</v>
      </c>
      <c r="N756" t="n">
        <v>0</v>
      </c>
      <c r="O756" t="n">
        <v>0</v>
      </c>
      <c r="P756" t="n">
        <v>0</v>
      </c>
      <c r="Q756" t="n">
        <v>0</v>
      </c>
      <c r="R756" s="2" t="inlineStr"/>
    </row>
    <row r="757" ht="15" customHeight="1">
      <c r="A757" t="inlineStr">
        <is>
          <t>A 32101-2022</t>
        </is>
      </c>
      <c r="B757" s="1" t="n">
        <v>44778.69210648148</v>
      </c>
      <c r="C757" s="1" t="n">
        <v>46123</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23150-2024</t>
        </is>
      </c>
      <c r="B758" s="1" t="n">
        <v>45450.64643518518</v>
      </c>
      <c r="C758" s="1" t="n">
        <v>46123</v>
      </c>
      <c r="D758" t="inlineStr">
        <is>
          <t>STOCKHOLMS LÄN</t>
        </is>
      </c>
      <c r="E758" t="inlineStr">
        <is>
          <t>NORRTÄLJE</t>
        </is>
      </c>
      <c r="F758" t="inlineStr">
        <is>
          <t>Kommuner</t>
        </is>
      </c>
      <c r="G758" t="n">
        <v>2.7</v>
      </c>
      <c r="H758" t="n">
        <v>0</v>
      </c>
      <c r="I758" t="n">
        <v>0</v>
      </c>
      <c r="J758" t="n">
        <v>0</v>
      </c>
      <c r="K758" t="n">
        <v>0</v>
      </c>
      <c r="L758" t="n">
        <v>0</v>
      </c>
      <c r="M758" t="n">
        <v>0</v>
      </c>
      <c r="N758" t="n">
        <v>0</v>
      </c>
      <c r="O758" t="n">
        <v>0</v>
      </c>
      <c r="P758" t="n">
        <v>0</v>
      </c>
      <c r="Q758" t="n">
        <v>0</v>
      </c>
      <c r="R758" s="2" t="inlineStr"/>
    </row>
    <row r="759" ht="15" customHeight="1">
      <c r="A759" t="inlineStr">
        <is>
          <t>A 24933-2023</t>
        </is>
      </c>
      <c r="B759" s="1" t="n">
        <v>45085.5309375</v>
      </c>
      <c r="C759" s="1" t="n">
        <v>46123</v>
      </c>
      <c r="D759" t="inlineStr">
        <is>
          <t>STOCKHOLMS LÄN</t>
        </is>
      </c>
      <c r="E759" t="inlineStr">
        <is>
          <t>NORRTÄLJE</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56631-2024</t>
        </is>
      </c>
      <c r="B760" s="1" t="n">
        <v>45625</v>
      </c>
      <c r="C760" s="1" t="n">
        <v>46123</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652-2025</t>
        </is>
      </c>
      <c r="B761" s="1" t="n">
        <v>45664</v>
      </c>
      <c r="C761" s="1" t="n">
        <v>46123</v>
      </c>
      <c r="D761" t="inlineStr">
        <is>
          <t>STOCKHOLMS LÄN</t>
        </is>
      </c>
      <c r="E761" t="inlineStr">
        <is>
          <t>NORRTÄLJE</t>
        </is>
      </c>
      <c r="G761" t="n">
        <v>2.5</v>
      </c>
      <c r="H761" t="n">
        <v>0</v>
      </c>
      <c r="I761" t="n">
        <v>0</v>
      </c>
      <c r="J761" t="n">
        <v>0</v>
      </c>
      <c r="K761" t="n">
        <v>0</v>
      </c>
      <c r="L761" t="n">
        <v>0</v>
      </c>
      <c r="M761" t="n">
        <v>0</v>
      </c>
      <c r="N761" t="n">
        <v>0</v>
      </c>
      <c r="O761" t="n">
        <v>0</v>
      </c>
      <c r="P761" t="n">
        <v>0</v>
      </c>
      <c r="Q761" t="n">
        <v>0</v>
      </c>
      <c r="R761" s="2" t="inlineStr"/>
    </row>
    <row r="762" ht="15" customHeight="1">
      <c r="A762" t="inlineStr">
        <is>
          <t>A 29250-2025</t>
        </is>
      </c>
      <c r="B762" s="1" t="n">
        <v>45824.37275462963</v>
      </c>
      <c r="C762" s="1" t="n">
        <v>46123</v>
      </c>
      <c r="D762" t="inlineStr">
        <is>
          <t>STOCKHOLMS LÄN</t>
        </is>
      </c>
      <c r="E762" t="inlineStr">
        <is>
          <t>NORRTÄLJE</t>
        </is>
      </c>
      <c r="F762" t="inlineStr">
        <is>
          <t>Sveaskog</t>
        </is>
      </c>
      <c r="G762" t="n">
        <v>6.4</v>
      </c>
      <c r="H762" t="n">
        <v>0</v>
      </c>
      <c r="I762" t="n">
        <v>0</v>
      </c>
      <c r="J762" t="n">
        <v>0</v>
      </c>
      <c r="K762" t="n">
        <v>0</v>
      </c>
      <c r="L762" t="n">
        <v>0</v>
      </c>
      <c r="M762" t="n">
        <v>0</v>
      </c>
      <c r="N762" t="n">
        <v>0</v>
      </c>
      <c r="O762" t="n">
        <v>0</v>
      </c>
      <c r="P762" t="n">
        <v>0</v>
      </c>
      <c r="Q762" t="n">
        <v>0</v>
      </c>
      <c r="R762" s="2" t="inlineStr"/>
    </row>
    <row r="763" ht="15" customHeight="1">
      <c r="A763" t="inlineStr">
        <is>
          <t>A 5389-2025</t>
        </is>
      </c>
      <c r="B763" s="1" t="n">
        <v>45692</v>
      </c>
      <c r="C763" s="1" t="n">
        <v>46123</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11499-2023</t>
        </is>
      </c>
      <c r="B764" s="1" t="n">
        <v>44993.66707175926</v>
      </c>
      <c r="C764" s="1" t="n">
        <v>46123</v>
      </c>
      <c r="D764" t="inlineStr">
        <is>
          <t>STOCKHOLMS LÄN</t>
        </is>
      </c>
      <c r="E764" t="inlineStr">
        <is>
          <t>NORRTÄLJE</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58403-2025</t>
        </is>
      </c>
      <c r="B765" s="1" t="n">
        <v>45985.56777777777</v>
      </c>
      <c r="C765" s="1" t="n">
        <v>46123</v>
      </c>
      <c r="D765" t="inlineStr">
        <is>
          <t>STOCKHOLMS LÄN</t>
        </is>
      </c>
      <c r="E765" t="inlineStr">
        <is>
          <t>NORRTÄLJE</t>
        </is>
      </c>
      <c r="F765" t="inlineStr">
        <is>
          <t>Naturvårdsverket</t>
        </is>
      </c>
      <c r="G765" t="n">
        <v>13.5</v>
      </c>
      <c r="H765" t="n">
        <v>0</v>
      </c>
      <c r="I765" t="n">
        <v>0</v>
      </c>
      <c r="J765" t="n">
        <v>0</v>
      </c>
      <c r="K765" t="n">
        <v>0</v>
      </c>
      <c r="L765" t="n">
        <v>0</v>
      </c>
      <c r="M765" t="n">
        <v>0</v>
      </c>
      <c r="N765" t="n">
        <v>0</v>
      </c>
      <c r="O765" t="n">
        <v>0</v>
      </c>
      <c r="P765" t="n">
        <v>0</v>
      </c>
      <c r="Q765" t="n">
        <v>0</v>
      </c>
      <c r="R765" s="2" t="inlineStr"/>
    </row>
    <row r="766" ht="15" customHeight="1">
      <c r="A766" t="inlineStr">
        <is>
          <t>A 576-2023</t>
        </is>
      </c>
      <c r="B766" s="1" t="n">
        <v>44925</v>
      </c>
      <c r="C766" s="1" t="n">
        <v>46123</v>
      </c>
      <c r="D766" t="inlineStr">
        <is>
          <t>STOCKHOLMS LÄN</t>
        </is>
      </c>
      <c r="E766" t="inlineStr">
        <is>
          <t>NORRTÄLJE</t>
        </is>
      </c>
      <c r="G766" t="n">
        <v>7.2</v>
      </c>
      <c r="H766" t="n">
        <v>0</v>
      </c>
      <c r="I766" t="n">
        <v>0</v>
      </c>
      <c r="J766" t="n">
        <v>0</v>
      </c>
      <c r="K766" t="n">
        <v>0</v>
      </c>
      <c r="L766" t="n">
        <v>0</v>
      </c>
      <c r="M766" t="n">
        <v>0</v>
      </c>
      <c r="N766" t="n">
        <v>0</v>
      </c>
      <c r="O766" t="n">
        <v>0</v>
      </c>
      <c r="P766" t="n">
        <v>0</v>
      </c>
      <c r="Q766" t="n">
        <v>0</v>
      </c>
      <c r="R766" s="2" t="inlineStr"/>
    </row>
    <row r="767" ht="15" customHeight="1">
      <c r="A767" t="inlineStr">
        <is>
          <t>A 58142-2025</t>
        </is>
      </c>
      <c r="B767" s="1" t="n">
        <v>45982.63791666667</v>
      </c>
      <c r="C767" s="1" t="n">
        <v>46123</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57953-2025</t>
        </is>
      </c>
      <c r="B768" s="1" t="n">
        <v>45982.35016203704</v>
      </c>
      <c r="C768" s="1" t="n">
        <v>46123</v>
      </c>
      <c r="D768" t="inlineStr">
        <is>
          <t>STOCKHOLMS LÄN</t>
        </is>
      </c>
      <c r="E768" t="inlineStr">
        <is>
          <t>NORRTÄLJE</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10678-2025</t>
        </is>
      </c>
      <c r="B769" s="1" t="n">
        <v>45721.89123842592</v>
      </c>
      <c r="C769" s="1" t="n">
        <v>46123</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31936-2022</t>
        </is>
      </c>
      <c r="B770" s="1" t="n">
        <v>44777</v>
      </c>
      <c r="C770" s="1" t="n">
        <v>46123</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59873-2024</t>
        </is>
      </c>
      <c r="B771" s="1" t="n">
        <v>45640.57305555556</v>
      </c>
      <c r="C771" s="1" t="n">
        <v>46123</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35916-2024</t>
        </is>
      </c>
      <c r="B772" s="1" t="n">
        <v>45533</v>
      </c>
      <c r="C772" s="1" t="n">
        <v>46123</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30639-2025</t>
        </is>
      </c>
      <c r="B773" s="1" t="n">
        <v>45831.4844212963</v>
      </c>
      <c r="C773" s="1" t="n">
        <v>46123</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30668-2025</t>
        </is>
      </c>
      <c r="B774" s="1" t="n">
        <v>45831.51659722222</v>
      </c>
      <c r="C774" s="1" t="n">
        <v>46123</v>
      </c>
      <c r="D774" t="inlineStr">
        <is>
          <t>STOCKHOLMS LÄN</t>
        </is>
      </c>
      <c r="E774" t="inlineStr">
        <is>
          <t>NORRTÄLJE</t>
        </is>
      </c>
      <c r="G774" t="n">
        <v>4.9</v>
      </c>
      <c r="H774" t="n">
        <v>0</v>
      </c>
      <c r="I774" t="n">
        <v>0</v>
      </c>
      <c r="J774" t="n">
        <v>0</v>
      </c>
      <c r="K774" t="n">
        <v>0</v>
      </c>
      <c r="L774" t="n">
        <v>0</v>
      </c>
      <c r="M774" t="n">
        <v>0</v>
      </c>
      <c r="N774" t="n">
        <v>0</v>
      </c>
      <c r="O774" t="n">
        <v>0</v>
      </c>
      <c r="P774" t="n">
        <v>0</v>
      </c>
      <c r="Q774" t="n">
        <v>0</v>
      </c>
      <c r="R774" s="2" t="inlineStr"/>
    </row>
    <row r="775" ht="15" customHeight="1">
      <c r="A775" t="inlineStr">
        <is>
          <t>A 58939-2025</t>
        </is>
      </c>
      <c r="B775" s="1" t="n">
        <v>45987.5681712963</v>
      </c>
      <c r="C775" s="1" t="n">
        <v>46123</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10098-2022</t>
        </is>
      </c>
      <c r="B776" s="1" t="n">
        <v>44621</v>
      </c>
      <c r="C776" s="1" t="n">
        <v>46123</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63161-2023</t>
        </is>
      </c>
      <c r="B777" s="1" t="n">
        <v>45273</v>
      </c>
      <c r="C777" s="1" t="n">
        <v>46123</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7796-2025</t>
        </is>
      </c>
      <c r="B778" s="1" t="n">
        <v>45706.60130787037</v>
      </c>
      <c r="C778" s="1" t="n">
        <v>46123</v>
      </c>
      <c r="D778" t="inlineStr">
        <is>
          <t>STOCKHOLMS LÄN</t>
        </is>
      </c>
      <c r="E778" t="inlineStr">
        <is>
          <t>NORRTÄLJE</t>
        </is>
      </c>
      <c r="F778" t="inlineStr">
        <is>
          <t>Holmen skog AB</t>
        </is>
      </c>
      <c r="G778" t="n">
        <v>2.4</v>
      </c>
      <c r="H778" t="n">
        <v>0</v>
      </c>
      <c r="I778" t="n">
        <v>0</v>
      </c>
      <c r="J778" t="n">
        <v>0</v>
      </c>
      <c r="K778" t="n">
        <v>0</v>
      </c>
      <c r="L778" t="n">
        <v>0</v>
      </c>
      <c r="M778" t="n">
        <v>0</v>
      </c>
      <c r="N778" t="n">
        <v>0</v>
      </c>
      <c r="O778" t="n">
        <v>0</v>
      </c>
      <c r="P778" t="n">
        <v>0</v>
      </c>
      <c r="Q778" t="n">
        <v>0</v>
      </c>
      <c r="R778" s="2" t="inlineStr"/>
    </row>
    <row r="779" ht="15" customHeight="1">
      <c r="A779" t="inlineStr">
        <is>
          <t>A 58040-2024</t>
        </is>
      </c>
      <c r="B779" s="1" t="n">
        <v>45631.73952546297</v>
      </c>
      <c r="C779" s="1" t="n">
        <v>46123</v>
      </c>
      <c r="D779" t="inlineStr">
        <is>
          <t>STOCKHOLMS LÄN</t>
        </is>
      </c>
      <c r="E779" t="inlineStr">
        <is>
          <t>NORRTÄLJE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58041-2024</t>
        </is>
      </c>
      <c r="B780" s="1" t="n">
        <v>45631.74673611111</v>
      </c>
      <c r="C780" s="1" t="n">
        <v>46123</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30268-2024</t>
        </is>
      </c>
      <c r="B781" s="1" t="n">
        <v>45490.60572916667</v>
      </c>
      <c r="C781" s="1" t="n">
        <v>46123</v>
      </c>
      <c r="D781" t="inlineStr">
        <is>
          <t>STOCKHOLMS LÄN</t>
        </is>
      </c>
      <c r="E781" t="inlineStr">
        <is>
          <t>NORRTÄLJE</t>
        </is>
      </c>
      <c r="G781" t="n">
        <v>5.6</v>
      </c>
      <c r="H781" t="n">
        <v>0</v>
      </c>
      <c r="I781" t="n">
        <v>0</v>
      </c>
      <c r="J781" t="n">
        <v>0</v>
      </c>
      <c r="K781" t="n">
        <v>0</v>
      </c>
      <c r="L781" t="n">
        <v>0</v>
      </c>
      <c r="M781" t="n">
        <v>0</v>
      </c>
      <c r="N781" t="n">
        <v>0</v>
      </c>
      <c r="O781" t="n">
        <v>0</v>
      </c>
      <c r="P781" t="n">
        <v>0</v>
      </c>
      <c r="Q781" t="n">
        <v>0</v>
      </c>
      <c r="R781" s="2" t="inlineStr"/>
    </row>
    <row r="782" ht="15" customHeight="1">
      <c r="A782" t="inlineStr">
        <is>
          <t>A 12407-2025</t>
        </is>
      </c>
      <c r="B782" s="1" t="n">
        <v>45730.42851851852</v>
      </c>
      <c r="C782" s="1" t="n">
        <v>46123</v>
      </c>
      <c r="D782" t="inlineStr">
        <is>
          <t>STOCKHOLMS LÄN</t>
        </is>
      </c>
      <c r="E782" t="inlineStr">
        <is>
          <t>NORRTÄLJE</t>
        </is>
      </c>
      <c r="F782" t="inlineStr">
        <is>
          <t>Holmen skog AB</t>
        </is>
      </c>
      <c r="G782" t="n">
        <v>2.6</v>
      </c>
      <c r="H782" t="n">
        <v>0</v>
      </c>
      <c r="I782" t="n">
        <v>0</v>
      </c>
      <c r="J782" t="n">
        <v>0</v>
      </c>
      <c r="K782" t="n">
        <v>0</v>
      </c>
      <c r="L782" t="n">
        <v>0</v>
      </c>
      <c r="M782" t="n">
        <v>0</v>
      </c>
      <c r="N782" t="n">
        <v>0</v>
      </c>
      <c r="O782" t="n">
        <v>0</v>
      </c>
      <c r="P782" t="n">
        <v>0</v>
      </c>
      <c r="Q782" t="n">
        <v>0</v>
      </c>
      <c r="R782" s="2" t="inlineStr"/>
    </row>
    <row r="783" ht="15" customHeight="1">
      <c r="A783" t="inlineStr">
        <is>
          <t>A 19025-2025</t>
        </is>
      </c>
      <c r="B783" s="1" t="n">
        <v>45764.6359837963</v>
      </c>
      <c r="C783" s="1" t="n">
        <v>46123</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54276-2021</t>
        </is>
      </c>
      <c r="B784" s="1" t="n">
        <v>44470</v>
      </c>
      <c r="C784" s="1" t="n">
        <v>46123</v>
      </c>
      <c r="D784" t="inlineStr">
        <is>
          <t>STOCKHOLMS LÄN</t>
        </is>
      </c>
      <c r="E784" t="inlineStr">
        <is>
          <t>NORRTÄLJE</t>
        </is>
      </c>
      <c r="G784" t="n">
        <v>7.3</v>
      </c>
      <c r="H784" t="n">
        <v>0</v>
      </c>
      <c r="I784" t="n">
        <v>0</v>
      </c>
      <c r="J784" t="n">
        <v>0</v>
      </c>
      <c r="K784" t="n">
        <v>0</v>
      </c>
      <c r="L784" t="n">
        <v>0</v>
      </c>
      <c r="M784" t="n">
        <v>0</v>
      </c>
      <c r="N784" t="n">
        <v>0</v>
      </c>
      <c r="O784" t="n">
        <v>0</v>
      </c>
      <c r="P784" t="n">
        <v>0</v>
      </c>
      <c r="Q784" t="n">
        <v>0</v>
      </c>
      <c r="R784" s="2" t="inlineStr"/>
    </row>
    <row r="785" ht="15" customHeight="1">
      <c r="A785" t="inlineStr">
        <is>
          <t>A 4316-2023</t>
        </is>
      </c>
      <c r="B785" s="1" t="n">
        <v>44953.67443287037</v>
      </c>
      <c r="C785" s="1" t="n">
        <v>46123</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41587-2023</t>
        </is>
      </c>
      <c r="B786" s="1" t="n">
        <v>45175</v>
      </c>
      <c r="C786" s="1" t="n">
        <v>46123</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31170-2025</t>
        </is>
      </c>
      <c r="B787" s="1" t="n">
        <v>45832.66385416667</v>
      </c>
      <c r="C787" s="1" t="n">
        <v>46123</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17304-2024</t>
        </is>
      </c>
      <c r="B788" s="1" t="n">
        <v>45414</v>
      </c>
      <c r="C788" s="1" t="n">
        <v>46123</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59041-2025</t>
        </is>
      </c>
      <c r="B789" s="1" t="n">
        <v>45988</v>
      </c>
      <c r="C789" s="1" t="n">
        <v>46123</v>
      </c>
      <c r="D789" t="inlineStr">
        <is>
          <t>STOCKHOLMS LÄN</t>
        </is>
      </c>
      <c r="E789" t="inlineStr">
        <is>
          <t>NORRTÄLJE</t>
        </is>
      </c>
      <c r="G789" t="n">
        <v>6.6</v>
      </c>
      <c r="H789" t="n">
        <v>0</v>
      </c>
      <c r="I789" t="n">
        <v>0</v>
      </c>
      <c r="J789" t="n">
        <v>0</v>
      </c>
      <c r="K789" t="n">
        <v>0</v>
      </c>
      <c r="L789" t="n">
        <v>0</v>
      </c>
      <c r="M789" t="n">
        <v>0</v>
      </c>
      <c r="N789" t="n">
        <v>0</v>
      </c>
      <c r="O789" t="n">
        <v>0</v>
      </c>
      <c r="P789" t="n">
        <v>0</v>
      </c>
      <c r="Q789" t="n">
        <v>0</v>
      </c>
      <c r="R789" s="2" t="inlineStr"/>
    </row>
    <row r="790" ht="15" customHeight="1">
      <c r="A790" t="inlineStr">
        <is>
          <t>A 59914-2025</t>
        </is>
      </c>
      <c r="B790" s="1" t="n">
        <v>45993.37056712963</v>
      </c>
      <c r="C790" s="1" t="n">
        <v>46123</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31880-2025</t>
        </is>
      </c>
      <c r="B791" s="1" t="n">
        <v>45834.65538194445</v>
      </c>
      <c r="C791" s="1" t="n">
        <v>46123</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59672-2025</t>
        </is>
      </c>
      <c r="B792" s="1" t="n">
        <v>45992.45884259259</v>
      </c>
      <c r="C792" s="1" t="n">
        <v>46123</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11280-2023</t>
        </is>
      </c>
      <c r="B793" s="1" t="n">
        <v>44992</v>
      </c>
      <c r="C793" s="1" t="n">
        <v>46123</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57788-2025</t>
        </is>
      </c>
      <c r="B794" s="1" t="n">
        <v>45981.5778125</v>
      </c>
      <c r="C794" s="1" t="n">
        <v>46123</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32122-2025</t>
        </is>
      </c>
      <c r="B795" s="1" t="n">
        <v>45835.4928125</v>
      </c>
      <c r="C795" s="1" t="n">
        <v>46123</v>
      </c>
      <c r="D795" t="inlineStr">
        <is>
          <t>STOCKHOLMS LÄN</t>
        </is>
      </c>
      <c r="E795" t="inlineStr">
        <is>
          <t>NORRTÄLJE</t>
        </is>
      </c>
      <c r="F795" t="inlineStr">
        <is>
          <t>Holmen skog AB</t>
        </is>
      </c>
      <c r="G795" t="n">
        <v>1.9</v>
      </c>
      <c r="H795" t="n">
        <v>0</v>
      </c>
      <c r="I795" t="n">
        <v>0</v>
      </c>
      <c r="J795" t="n">
        <v>0</v>
      </c>
      <c r="K795" t="n">
        <v>0</v>
      </c>
      <c r="L795" t="n">
        <v>0</v>
      </c>
      <c r="M795" t="n">
        <v>0</v>
      </c>
      <c r="N795" t="n">
        <v>0</v>
      </c>
      <c r="O795" t="n">
        <v>0</v>
      </c>
      <c r="P795" t="n">
        <v>0</v>
      </c>
      <c r="Q795" t="n">
        <v>0</v>
      </c>
      <c r="R795" s="2" t="inlineStr"/>
    </row>
    <row r="796" ht="15" customHeight="1">
      <c r="A796" t="inlineStr">
        <is>
          <t>A 59907-2025</t>
        </is>
      </c>
      <c r="B796" s="1" t="n">
        <v>45993.35350694445</v>
      </c>
      <c r="C796" s="1" t="n">
        <v>46123</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31868-2025</t>
        </is>
      </c>
      <c r="B797" s="1" t="n">
        <v>45834.6447337963</v>
      </c>
      <c r="C797" s="1" t="n">
        <v>46123</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6413-2025</t>
        </is>
      </c>
      <c r="B798" s="1" t="n">
        <v>45699.46283564815</v>
      </c>
      <c r="C798" s="1" t="n">
        <v>46123</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26668-2024</t>
        </is>
      </c>
      <c r="B799" s="1" t="n">
        <v>45469</v>
      </c>
      <c r="C799" s="1" t="n">
        <v>46123</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59924-2025</t>
        </is>
      </c>
      <c r="B800" s="1" t="n">
        <v>45993.38928240741</v>
      </c>
      <c r="C800" s="1" t="n">
        <v>46123</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32016-2025</t>
        </is>
      </c>
      <c r="B801" s="1" t="n">
        <v>45835</v>
      </c>
      <c r="C801" s="1" t="n">
        <v>46123</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60253-2025</t>
        </is>
      </c>
      <c r="B802" s="1" t="n">
        <v>45994.59827546297</v>
      </c>
      <c r="C802" s="1" t="n">
        <v>46123</v>
      </c>
      <c r="D802" t="inlineStr">
        <is>
          <t>STOCKHOLMS LÄN</t>
        </is>
      </c>
      <c r="E802" t="inlineStr">
        <is>
          <t>NORRTÄLJE</t>
        </is>
      </c>
      <c r="F802" t="inlineStr">
        <is>
          <t>Holmen skog AB</t>
        </is>
      </c>
      <c r="G802" t="n">
        <v>3.6</v>
      </c>
      <c r="H802" t="n">
        <v>0</v>
      </c>
      <c r="I802" t="n">
        <v>0</v>
      </c>
      <c r="J802" t="n">
        <v>0</v>
      </c>
      <c r="K802" t="n">
        <v>0</v>
      </c>
      <c r="L802" t="n">
        <v>0</v>
      </c>
      <c r="M802" t="n">
        <v>0</v>
      </c>
      <c r="N802" t="n">
        <v>0</v>
      </c>
      <c r="O802" t="n">
        <v>0</v>
      </c>
      <c r="P802" t="n">
        <v>0</v>
      </c>
      <c r="Q802" t="n">
        <v>0</v>
      </c>
      <c r="R802" s="2" t="inlineStr"/>
    </row>
    <row r="803" ht="15" customHeight="1">
      <c r="A803" t="inlineStr">
        <is>
          <t>A 32283-2025</t>
        </is>
      </c>
      <c r="B803" s="1" t="n">
        <v>45835.68076388889</v>
      </c>
      <c r="C803" s="1" t="n">
        <v>46123</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31874-2025</t>
        </is>
      </c>
      <c r="B804" s="1" t="n">
        <v>45834</v>
      </c>
      <c r="C804" s="1" t="n">
        <v>46123</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32094-2025</t>
        </is>
      </c>
      <c r="B805" s="1" t="n">
        <v>45835.46034722222</v>
      </c>
      <c r="C805" s="1" t="n">
        <v>46123</v>
      </c>
      <c r="D805" t="inlineStr">
        <is>
          <t>STOCKHOLMS LÄN</t>
        </is>
      </c>
      <c r="E805" t="inlineStr">
        <is>
          <t>NORRTÄLJE</t>
        </is>
      </c>
      <c r="F805" t="inlineStr">
        <is>
          <t>Holmen skog AB</t>
        </is>
      </c>
      <c r="G805" t="n">
        <v>2.9</v>
      </c>
      <c r="H805" t="n">
        <v>0</v>
      </c>
      <c r="I805" t="n">
        <v>0</v>
      </c>
      <c r="J805" t="n">
        <v>0</v>
      </c>
      <c r="K805" t="n">
        <v>0</v>
      </c>
      <c r="L805" t="n">
        <v>0</v>
      </c>
      <c r="M805" t="n">
        <v>0</v>
      </c>
      <c r="N805" t="n">
        <v>0</v>
      </c>
      <c r="O805" t="n">
        <v>0</v>
      </c>
      <c r="P805" t="n">
        <v>0</v>
      </c>
      <c r="Q805" t="n">
        <v>0</v>
      </c>
      <c r="R805" s="2" t="inlineStr"/>
    </row>
    <row r="806" ht="15" customHeight="1">
      <c r="A806" t="inlineStr">
        <is>
          <t>A 31926-2022</t>
        </is>
      </c>
      <c r="B806" s="1" t="n">
        <v>44777</v>
      </c>
      <c r="C806" s="1" t="n">
        <v>46123</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60214-2025</t>
        </is>
      </c>
      <c r="B807" s="1" t="n">
        <v>45994.53761574074</v>
      </c>
      <c r="C807" s="1" t="n">
        <v>46123</v>
      </c>
      <c r="D807" t="inlineStr">
        <is>
          <t>STOCKHOLMS LÄN</t>
        </is>
      </c>
      <c r="E807" t="inlineStr">
        <is>
          <t>NORRTÄLJE</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21480-2022</t>
        </is>
      </c>
      <c r="B808" s="1" t="n">
        <v>44704</v>
      </c>
      <c r="C808" s="1" t="n">
        <v>46123</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32480-2025</t>
        </is>
      </c>
      <c r="B809" s="1" t="n">
        <v>45838.43261574074</v>
      </c>
      <c r="C809" s="1" t="n">
        <v>46123</v>
      </c>
      <c r="D809" t="inlineStr">
        <is>
          <t>STOCKHOLMS LÄN</t>
        </is>
      </c>
      <c r="E809" t="inlineStr">
        <is>
          <t>NORRTÄLJE</t>
        </is>
      </c>
      <c r="F809" t="inlineStr">
        <is>
          <t>Holmen skog AB</t>
        </is>
      </c>
      <c r="G809" t="n">
        <v>0.7</v>
      </c>
      <c r="H809" t="n">
        <v>0</v>
      </c>
      <c r="I809" t="n">
        <v>0</v>
      </c>
      <c r="J809" t="n">
        <v>0</v>
      </c>
      <c r="K809" t="n">
        <v>0</v>
      </c>
      <c r="L809" t="n">
        <v>0</v>
      </c>
      <c r="M809" t="n">
        <v>0</v>
      </c>
      <c r="N809" t="n">
        <v>0</v>
      </c>
      <c r="O809" t="n">
        <v>0</v>
      </c>
      <c r="P809" t="n">
        <v>0</v>
      </c>
      <c r="Q809" t="n">
        <v>0</v>
      </c>
      <c r="R809" s="2" t="inlineStr"/>
    </row>
    <row r="810" ht="15" customHeight="1">
      <c r="A810" t="inlineStr">
        <is>
          <t>A 11041-2025</t>
        </is>
      </c>
      <c r="B810" s="1" t="n">
        <v>45723</v>
      </c>
      <c r="C810" s="1" t="n">
        <v>46123</v>
      </c>
      <c r="D810" t="inlineStr">
        <is>
          <t>STOCKHOLMS LÄN</t>
        </is>
      </c>
      <c r="E810" t="inlineStr">
        <is>
          <t>NORRTÄLJE</t>
        </is>
      </c>
      <c r="F810" t="inlineStr">
        <is>
          <t>Övriga Aktiebolag</t>
        </is>
      </c>
      <c r="G810" t="n">
        <v>1.8</v>
      </c>
      <c r="H810" t="n">
        <v>0</v>
      </c>
      <c r="I810" t="n">
        <v>0</v>
      </c>
      <c r="J810" t="n">
        <v>0</v>
      </c>
      <c r="K810" t="n">
        <v>0</v>
      </c>
      <c r="L810" t="n">
        <v>0</v>
      </c>
      <c r="M810" t="n">
        <v>0</v>
      </c>
      <c r="N810" t="n">
        <v>0</v>
      </c>
      <c r="O810" t="n">
        <v>0</v>
      </c>
      <c r="P810" t="n">
        <v>0</v>
      </c>
      <c r="Q810" t="n">
        <v>0</v>
      </c>
      <c r="R810" s="2" t="inlineStr"/>
    </row>
    <row r="811" ht="15" customHeight="1">
      <c r="A811" t="inlineStr">
        <is>
          <t>A 60223-2025</t>
        </is>
      </c>
      <c r="B811" s="1" t="n">
        <v>45994.54497685185</v>
      </c>
      <c r="C811" s="1" t="n">
        <v>46123</v>
      </c>
      <c r="D811" t="inlineStr">
        <is>
          <t>STOCKHOLMS LÄN</t>
        </is>
      </c>
      <c r="E811" t="inlineStr">
        <is>
          <t>NORRTÄLJE</t>
        </is>
      </c>
      <c r="G811" t="n">
        <v>2.4</v>
      </c>
      <c r="H811" t="n">
        <v>0</v>
      </c>
      <c r="I811" t="n">
        <v>0</v>
      </c>
      <c r="J811" t="n">
        <v>0</v>
      </c>
      <c r="K811" t="n">
        <v>0</v>
      </c>
      <c r="L811" t="n">
        <v>0</v>
      </c>
      <c r="M811" t="n">
        <v>0</v>
      </c>
      <c r="N811" t="n">
        <v>0</v>
      </c>
      <c r="O811" t="n">
        <v>0</v>
      </c>
      <c r="P811" t="n">
        <v>0</v>
      </c>
      <c r="Q811" t="n">
        <v>0</v>
      </c>
      <c r="R811" s="2" t="inlineStr"/>
    </row>
    <row r="812" ht="15" customHeight="1">
      <c r="A812" t="inlineStr">
        <is>
          <t>A 24024-2024</t>
        </is>
      </c>
      <c r="B812" s="1" t="n">
        <v>45456</v>
      </c>
      <c r="C812" s="1" t="n">
        <v>46123</v>
      </c>
      <c r="D812" t="inlineStr">
        <is>
          <t>STOCKHOLMS LÄN</t>
        </is>
      </c>
      <c r="E812" t="inlineStr">
        <is>
          <t>NORRTÄLJE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32872-2025</t>
        </is>
      </c>
      <c r="B813" s="1" t="n">
        <v>45839</v>
      </c>
      <c r="C813" s="1" t="n">
        <v>46123</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28809-2023</t>
        </is>
      </c>
      <c r="B814" s="1" t="n">
        <v>45104</v>
      </c>
      <c r="C814" s="1" t="n">
        <v>46123</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32903-2025</t>
        </is>
      </c>
      <c r="B815" s="1" t="n">
        <v>45839.62398148148</v>
      </c>
      <c r="C815" s="1" t="n">
        <v>46123</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28813-2023</t>
        </is>
      </c>
      <c r="B816" s="1" t="n">
        <v>45104</v>
      </c>
      <c r="C816" s="1" t="n">
        <v>46123</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32395-2025</t>
        </is>
      </c>
      <c r="B817" s="1" t="n">
        <v>45837.93730324074</v>
      </c>
      <c r="C817" s="1" t="n">
        <v>46123</v>
      </c>
      <c r="D817" t="inlineStr">
        <is>
          <t>STOCKHOLMS LÄN</t>
        </is>
      </c>
      <c r="E817" t="inlineStr">
        <is>
          <t>NORRTÄLJE</t>
        </is>
      </c>
      <c r="G817" t="n">
        <v>2.2</v>
      </c>
      <c r="H817" t="n">
        <v>0</v>
      </c>
      <c r="I817" t="n">
        <v>0</v>
      </c>
      <c r="J817" t="n">
        <v>0</v>
      </c>
      <c r="K817" t="n">
        <v>0</v>
      </c>
      <c r="L817" t="n">
        <v>0</v>
      </c>
      <c r="M817" t="n">
        <v>0</v>
      </c>
      <c r="N817" t="n">
        <v>0</v>
      </c>
      <c r="O817" t="n">
        <v>0</v>
      </c>
      <c r="P817" t="n">
        <v>0</v>
      </c>
      <c r="Q817" t="n">
        <v>0</v>
      </c>
      <c r="R817" s="2" t="inlineStr"/>
    </row>
    <row r="818" ht="15" customHeight="1">
      <c r="A818" t="inlineStr">
        <is>
          <t>A 32396-2025</t>
        </is>
      </c>
      <c r="B818" s="1" t="n">
        <v>45837</v>
      </c>
      <c r="C818" s="1" t="n">
        <v>46123</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32397-2025</t>
        </is>
      </c>
      <c r="B819" s="1" t="n">
        <v>45837.94081018519</v>
      </c>
      <c r="C819" s="1" t="n">
        <v>46123</v>
      </c>
      <c r="D819" t="inlineStr">
        <is>
          <t>STOCKHOLMS LÄN</t>
        </is>
      </c>
      <c r="E819" t="inlineStr">
        <is>
          <t>NORRTÄLJE</t>
        </is>
      </c>
      <c r="G819" t="n">
        <v>5.9</v>
      </c>
      <c r="H819" t="n">
        <v>0</v>
      </c>
      <c r="I819" t="n">
        <v>0</v>
      </c>
      <c r="J819" t="n">
        <v>0</v>
      </c>
      <c r="K819" t="n">
        <v>0</v>
      </c>
      <c r="L819" t="n">
        <v>0</v>
      </c>
      <c r="M819" t="n">
        <v>0</v>
      </c>
      <c r="N819" t="n">
        <v>0</v>
      </c>
      <c r="O819" t="n">
        <v>0</v>
      </c>
      <c r="P819" t="n">
        <v>0</v>
      </c>
      <c r="Q819" t="n">
        <v>0</v>
      </c>
      <c r="R819" s="2" t="inlineStr"/>
    </row>
    <row r="820" ht="15" customHeight="1">
      <c r="A820" t="inlineStr">
        <is>
          <t>A 40656-2022</t>
        </is>
      </c>
      <c r="B820" s="1" t="n">
        <v>44824.36069444445</v>
      </c>
      <c r="C820" s="1" t="n">
        <v>46123</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60745-2025</t>
        </is>
      </c>
      <c r="B821" s="1" t="n">
        <v>45999.37753472223</v>
      </c>
      <c r="C821" s="1" t="n">
        <v>46123</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60694-2024</t>
        </is>
      </c>
      <c r="B822" s="1" t="n">
        <v>45644.47878472223</v>
      </c>
      <c r="C822" s="1" t="n">
        <v>46123</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60649-2025</t>
        </is>
      </c>
      <c r="B823" s="1" t="n">
        <v>45996.4560300926</v>
      </c>
      <c r="C823" s="1" t="n">
        <v>46123</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60948-2025</t>
        </is>
      </c>
      <c r="B824" s="1" t="n">
        <v>45999.650625</v>
      </c>
      <c r="C824" s="1" t="n">
        <v>46123</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60928-2025</t>
        </is>
      </c>
      <c r="B825" s="1" t="n">
        <v>45999.633125</v>
      </c>
      <c r="C825" s="1" t="n">
        <v>46123</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19450-2025</t>
        </is>
      </c>
      <c r="B826" s="1" t="n">
        <v>45770</v>
      </c>
      <c r="C826" s="1" t="n">
        <v>46123</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61160-2025</t>
        </is>
      </c>
      <c r="B827" s="1" t="n">
        <v>46000.55262731481</v>
      </c>
      <c r="C827" s="1" t="n">
        <v>46123</v>
      </c>
      <c r="D827" t="inlineStr">
        <is>
          <t>STOCKHOLMS LÄN</t>
        </is>
      </c>
      <c r="E827" t="inlineStr">
        <is>
          <t>NORRTÄLJE</t>
        </is>
      </c>
      <c r="G827" t="n">
        <v>5.3</v>
      </c>
      <c r="H827" t="n">
        <v>0</v>
      </c>
      <c r="I827" t="n">
        <v>0</v>
      </c>
      <c r="J827" t="n">
        <v>0</v>
      </c>
      <c r="K827" t="n">
        <v>0</v>
      </c>
      <c r="L827" t="n">
        <v>0</v>
      </c>
      <c r="M827" t="n">
        <v>0</v>
      </c>
      <c r="N827" t="n">
        <v>0</v>
      </c>
      <c r="O827" t="n">
        <v>0</v>
      </c>
      <c r="P827" t="n">
        <v>0</v>
      </c>
      <c r="Q827" t="n">
        <v>0</v>
      </c>
      <c r="R827" s="2" t="inlineStr"/>
    </row>
    <row r="828" ht="15" customHeight="1">
      <c r="A828" t="inlineStr">
        <is>
          <t>A 61419-2025</t>
        </is>
      </c>
      <c r="B828" s="1" t="n">
        <v>46001.54137731482</v>
      </c>
      <c r="C828" s="1" t="n">
        <v>46123</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61430-2025</t>
        </is>
      </c>
      <c r="B829" s="1" t="n">
        <v>46001.55583333333</v>
      </c>
      <c r="C829" s="1" t="n">
        <v>46123</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61452-2025</t>
        </is>
      </c>
      <c r="B830" s="1" t="n">
        <v>46001.58043981482</v>
      </c>
      <c r="C830" s="1" t="n">
        <v>46123</v>
      </c>
      <c r="D830" t="inlineStr">
        <is>
          <t>STOCKHOLMS LÄN</t>
        </is>
      </c>
      <c r="E830" t="inlineStr">
        <is>
          <t>NORRTÄLJE</t>
        </is>
      </c>
      <c r="F830" t="inlineStr">
        <is>
          <t>Holmen skog AB</t>
        </is>
      </c>
      <c r="G830" t="n">
        <v>3.7</v>
      </c>
      <c r="H830" t="n">
        <v>0</v>
      </c>
      <c r="I830" t="n">
        <v>0</v>
      </c>
      <c r="J830" t="n">
        <v>0</v>
      </c>
      <c r="K830" t="n">
        <v>0</v>
      </c>
      <c r="L830" t="n">
        <v>0</v>
      </c>
      <c r="M830" t="n">
        <v>0</v>
      </c>
      <c r="N830" t="n">
        <v>0</v>
      </c>
      <c r="O830" t="n">
        <v>0</v>
      </c>
      <c r="P830" t="n">
        <v>0</v>
      </c>
      <c r="Q830" t="n">
        <v>0</v>
      </c>
      <c r="R830" s="2" t="inlineStr"/>
    </row>
    <row r="831" ht="15" customHeight="1">
      <c r="A831" t="inlineStr">
        <is>
          <t>A 33702-2025</t>
        </is>
      </c>
      <c r="B831" s="1" t="n">
        <v>45841.74596064815</v>
      </c>
      <c r="C831" s="1" t="n">
        <v>46123</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61289-2025</t>
        </is>
      </c>
      <c r="B832" s="1" t="n">
        <v>46000.73659722223</v>
      </c>
      <c r="C832" s="1" t="n">
        <v>46123</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61769-2025</t>
        </is>
      </c>
      <c r="B833" s="1" t="n">
        <v>46002.64556712963</v>
      </c>
      <c r="C833" s="1" t="n">
        <v>46123</v>
      </c>
      <c r="D833" t="inlineStr">
        <is>
          <t>STOCKHOLMS LÄN</t>
        </is>
      </c>
      <c r="E833" t="inlineStr">
        <is>
          <t>NORRTÄLJE</t>
        </is>
      </c>
      <c r="G833" t="n">
        <v>2.9</v>
      </c>
      <c r="H833" t="n">
        <v>0</v>
      </c>
      <c r="I833" t="n">
        <v>0</v>
      </c>
      <c r="J833" t="n">
        <v>0</v>
      </c>
      <c r="K833" t="n">
        <v>0</v>
      </c>
      <c r="L833" t="n">
        <v>0</v>
      </c>
      <c r="M833" t="n">
        <v>0</v>
      </c>
      <c r="N833" t="n">
        <v>0</v>
      </c>
      <c r="O833" t="n">
        <v>0</v>
      </c>
      <c r="P833" t="n">
        <v>0</v>
      </c>
      <c r="Q833" t="n">
        <v>0</v>
      </c>
      <c r="R833" s="2" t="inlineStr"/>
    </row>
    <row r="834" ht="15" customHeight="1">
      <c r="A834" t="inlineStr">
        <is>
          <t>A 33211-2025</t>
        </is>
      </c>
      <c r="B834" s="1" t="n">
        <v>45840.62755787037</v>
      </c>
      <c r="C834" s="1" t="n">
        <v>46123</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33353-2023</t>
        </is>
      </c>
      <c r="B835" s="1" t="n">
        <v>45128</v>
      </c>
      <c r="C835" s="1" t="n">
        <v>46123</v>
      </c>
      <c r="D835" t="inlineStr">
        <is>
          <t>STOCKHOLMS LÄN</t>
        </is>
      </c>
      <c r="E835" t="inlineStr">
        <is>
          <t>NORRTÄLJE</t>
        </is>
      </c>
      <c r="G835" t="n">
        <v>0.8</v>
      </c>
      <c r="H835" t="n">
        <v>0</v>
      </c>
      <c r="I835" t="n">
        <v>0</v>
      </c>
      <c r="J835" t="n">
        <v>0</v>
      </c>
      <c r="K835" t="n">
        <v>0</v>
      </c>
      <c r="L835" t="n">
        <v>0</v>
      </c>
      <c r="M835" t="n">
        <v>0</v>
      </c>
      <c r="N835" t="n">
        <v>0</v>
      </c>
      <c r="O835" t="n">
        <v>0</v>
      </c>
      <c r="P835" t="n">
        <v>0</v>
      </c>
      <c r="Q835" t="n">
        <v>0</v>
      </c>
      <c r="R835" s="2" t="inlineStr"/>
    </row>
    <row r="836" ht="15" customHeight="1">
      <c r="A836" t="inlineStr">
        <is>
          <t>A 61764-2025</t>
        </is>
      </c>
      <c r="B836" s="1" t="n">
        <v>46002.62763888889</v>
      </c>
      <c r="C836" s="1" t="n">
        <v>46123</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3966-2024</t>
        </is>
      </c>
      <c r="B837" s="1" t="n">
        <v>45322</v>
      </c>
      <c r="C837" s="1" t="n">
        <v>46123</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33265-2025</t>
        </is>
      </c>
      <c r="B838" s="1" t="n">
        <v>45840.67829861111</v>
      </c>
      <c r="C838" s="1" t="n">
        <v>46123</v>
      </c>
      <c r="D838" t="inlineStr">
        <is>
          <t>STOCKHOLMS LÄN</t>
        </is>
      </c>
      <c r="E838" t="inlineStr">
        <is>
          <t>NORRTÄLJE</t>
        </is>
      </c>
      <c r="G838" t="n">
        <v>5.5</v>
      </c>
      <c r="H838" t="n">
        <v>0</v>
      </c>
      <c r="I838" t="n">
        <v>0</v>
      </c>
      <c r="J838" t="n">
        <v>0</v>
      </c>
      <c r="K838" t="n">
        <v>0</v>
      </c>
      <c r="L838" t="n">
        <v>0</v>
      </c>
      <c r="M838" t="n">
        <v>0</v>
      </c>
      <c r="N838" t="n">
        <v>0</v>
      </c>
      <c r="O838" t="n">
        <v>0</v>
      </c>
      <c r="P838" t="n">
        <v>0</v>
      </c>
      <c r="Q838" t="n">
        <v>0</v>
      </c>
      <c r="R838" s="2" t="inlineStr"/>
    </row>
    <row r="839" ht="15" customHeight="1">
      <c r="A839" t="inlineStr">
        <is>
          <t>A 33552-2025</t>
        </is>
      </c>
      <c r="B839" s="1" t="n">
        <v>45841.5737962963</v>
      </c>
      <c r="C839" s="1" t="n">
        <v>46123</v>
      </c>
      <c r="D839" t="inlineStr">
        <is>
          <t>STOCKHOLMS LÄN</t>
        </is>
      </c>
      <c r="E839" t="inlineStr">
        <is>
          <t>NORRTÄLJE</t>
        </is>
      </c>
      <c r="G839" t="n">
        <v>8.9</v>
      </c>
      <c r="H839" t="n">
        <v>0</v>
      </c>
      <c r="I839" t="n">
        <v>0</v>
      </c>
      <c r="J839" t="n">
        <v>0</v>
      </c>
      <c r="K839" t="n">
        <v>0</v>
      </c>
      <c r="L839" t="n">
        <v>0</v>
      </c>
      <c r="M839" t="n">
        <v>0</v>
      </c>
      <c r="N839" t="n">
        <v>0</v>
      </c>
      <c r="O839" t="n">
        <v>0</v>
      </c>
      <c r="P839" t="n">
        <v>0</v>
      </c>
      <c r="Q839" t="n">
        <v>0</v>
      </c>
      <c r="R839" s="2" t="inlineStr"/>
    </row>
    <row r="840" ht="15" customHeight="1">
      <c r="A840" t="inlineStr">
        <is>
          <t>A 33336-2025</t>
        </is>
      </c>
      <c r="B840" s="1" t="n">
        <v>45841.35611111111</v>
      </c>
      <c r="C840" s="1" t="n">
        <v>46123</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33279-2025</t>
        </is>
      </c>
      <c r="B841" s="1" t="n">
        <v>45840</v>
      </c>
      <c r="C841" s="1" t="n">
        <v>46123</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53499-2025</t>
        </is>
      </c>
      <c r="B842" s="1" t="n">
        <v>45960</v>
      </c>
      <c r="C842" s="1" t="n">
        <v>46123</v>
      </c>
      <c r="D842" t="inlineStr">
        <is>
          <t>STOCKHOLMS LÄN</t>
        </is>
      </c>
      <c r="E842" t="inlineStr">
        <is>
          <t>NORRTÄLJE</t>
        </is>
      </c>
      <c r="G842" t="n">
        <v>23.8</v>
      </c>
      <c r="H842" t="n">
        <v>0</v>
      </c>
      <c r="I842" t="n">
        <v>0</v>
      </c>
      <c r="J842" t="n">
        <v>0</v>
      </c>
      <c r="K842" t="n">
        <v>0</v>
      </c>
      <c r="L842" t="n">
        <v>0</v>
      </c>
      <c r="M842" t="n">
        <v>0</v>
      </c>
      <c r="N842" t="n">
        <v>0</v>
      </c>
      <c r="O842" t="n">
        <v>0</v>
      </c>
      <c r="P842" t="n">
        <v>0</v>
      </c>
      <c r="Q842" t="n">
        <v>0</v>
      </c>
      <c r="R842" s="2" t="inlineStr"/>
    </row>
    <row r="843" ht="15" customHeight="1">
      <c r="A843" t="inlineStr">
        <is>
          <t>A 33824-2025</t>
        </is>
      </c>
      <c r="B843" s="1" t="n">
        <v>45842.46885416667</v>
      </c>
      <c r="C843" s="1" t="n">
        <v>46123</v>
      </c>
      <c r="D843" t="inlineStr">
        <is>
          <t>STOCKHOLMS LÄN</t>
        </is>
      </c>
      <c r="E843" t="inlineStr">
        <is>
          <t>NORRTÄLJE</t>
        </is>
      </c>
      <c r="G843" t="n">
        <v>1.9</v>
      </c>
      <c r="H843" t="n">
        <v>0</v>
      </c>
      <c r="I843" t="n">
        <v>0</v>
      </c>
      <c r="J843" t="n">
        <v>0</v>
      </c>
      <c r="K843" t="n">
        <v>0</v>
      </c>
      <c r="L843" t="n">
        <v>0</v>
      </c>
      <c r="M843" t="n">
        <v>0</v>
      </c>
      <c r="N843" t="n">
        <v>0</v>
      </c>
      <c r="O843" t="n">
        <v>0</v>
      </c>
      <c r="P843" t="n">
        <v>0</v>
      </c>
      <c r="Q843" t="n">
        <v>0</v>
      </c>
      <c r="R843" s="2" t="inlineStr"/>
    </row>
    <row r="844" ht="15" customHeight="1">
      <c r="A844" t="inlineStr">
        <is>
          <t>A 23262-2023</t>
        </is>
      </c>
      <c r="B844" s="1" t="n">
        <v>45075.90270833333</v>
      </c>
      <c r="C844" s="1" t="n">
        <v>46123</v>
      </c>
      <c r="D844" t="inlineStr">
        <is>
          <t>STOCKHOLMS LÄN</t>
        </is>
      </c>
      <c r="E844" t="inlineStr">
        <is>
          <t>NORRTÄLJE</t>
        </is>
      </c>
      <c r="F844" t="inlineStr">
        <is>
          <t>Kommuner</t>
        </is>
      </c>
      <c r="G844" t="n">
        <v>1.9</v>
      </c>
      <c r="H844" t="n">
        <v>0</v>
      </c>
      <c r="I844" t="n">
        <v>0</v>
      </c>
      <c r="J844" t="n">
        <v>0</v>
      </c>
      <c r="K844" t="n">
        <v>0</v>
      </c>
      <c r="L844" t="n">
        <v>0</v>
      </c>
      <c r="M844" t="n">
        <v>0</v>
      </c>
      <c r="N844" t="n">
        <v>0</v>
      </c>
      <c r="O844" t="n">
        <v>0</v>
      </c>
      <c r="P844" t="n">
        <v>0</v>
      </c>
      <c r="Q844" t="n">
        <v>0</v>
      </c>
      <c r="R844" s="2" t="inlineStr"/>
    </row>
    <row r="845" ht="15" customHeight="1">
      <c r="A845" t="inlineStr">
        <is>
          <t>A 23268-2023</t>
        </is>
      </c>
      <c r="B845" s="1" t="n">
        <v>45075.91042824074</v>
      </c>
      <c r="C845" s="1" t="n">
        <v>46123</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23270-2023</t>
        </is>
      </c>
      <c r="B846" s="1" t="n">
        <v>45075.91265046296</v>
      </c>
      <c r="C846" s="1" t="n">
        <v>46123</v>
      </c>
      <c r="D846" t="inlineStr">
        <is>
          <t>STOCKHOLMS LÄN</t>
        </is>
      </c>
      <c r="E846" t="inlineStr">
        <is>
          <t>NORRTÄLJE</t>
        </is>
      </c>
      <c r="G846" t="n">
        <v>12.3</v>
      </c>
      <c r="H846" t="n">
        <v>0</v>
      </c>
      <c r="I846" t="n">
        <v>0</v>
      </c>
      <c r="J846" t="n">
        <v>0</v>
      </c>
      <c r="K846" t="n">
        <v>0</v>
      </c>
      <c r="L846" t="n">
        <v>0</v>
      </c>
      <c r="M846" t="n">
        <v>0</v>
      </c>
      <c r="N846" t="n">
        <v>0</v>
      </c>
      <c r="O846" t="n">
        <v>0</v>
      </c>
      <c r="P846" t="n">
        <v>0</v>
      </c>
      <c r="Q846" t="n">
        <v>0</v>
      </c>
      <c r="R846" s="2" t="inlineStr"/>
    </row>
    <row r="847" ht="15" customHeight="1">
      <c r="A847" t="inlineStr">
        <is>
          <t>A 23274-2023</t>
        </is>
      </c>
      <c r="B847" s="1" t="n">
        <v>45075.92153935185</v>
      </c>
      <c r="C847" s="1" t="n">
        <v>46123</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17843-2024</t>
        </is>
      </c>
      <c r="B848" s="1" t="n">
        <v>45418</v>
      </c>
      <c r="C848" s="1" t="n">
        <v>46123</v>
      </c>
      <c r="D848" t="inlineStr">
        <is>
          <t>STOCKHOLMS LÄN</t>
        </is>
      </c>
      <c r="E848" t="inlineStr">
        <is>
          <t>NORRTÄLJE</t>
        </is>
      </c>
      <c r="G848" t="n">
        <v>5.4</v>
      </c>
      <c r="H848" t="n">
        <v>0</v>
      </c>
      <c r="I848" t="n">
        <v>0</v>
      </c>
      <c r="J848" t="n">
        <v>0</v>
      </c>
      <c r="K848" t="n">
        <v>0</v>
      </c>
      <c r="L848" t="n">
        <v>0</v>
      </c>
      <c r="M848" t="n">
        <v>0</v>
      </c>
      <c r="N848" t="n">
        <v>0</v>
      </c>
      <c r="O848" t="n">
        <v>0</v>
      </c>
      <c r="P848" t="n">
        <v>0</v>
      </c>
      <c r="Q848" t="n">
        <v>0</v>
      </c>
      <c r="R848" s="2" t="inlineStr"/>
    </row>
    <row r="849" ht="15" customHeight="1">
      <c r="A849" t="inlineStr">
        <is>
          <t>A 26636-2023</t>
        </is>
      </c>
      <c r="B849" s="1" t="n">
        <v>45092</v>
      </c>
      <c r="C849" s="1" t="n">
        <v>46123</v>
      </c>
      <c r="D849" t="inlineStr">
        <is>
          <t>STOCKHOLMS LÄN</t>
        </is>
      </c>
      <c r="E849" t="inlineStr">
        <is>
          <t>NORRTÄLJE</t>
        </is>
      </c>
      <c r="G849" t="n">
        <v>1.7</v>
      </c>
      <c r="H849" t="n">
        <v>0</v>
      </c>
      <c r="I849" t="n">
        <v>0</v>
      </c>
      <c r="J849" t="n">
        <v>0</v>
      </c>
      <c r="K849" t="n">
        <v>0</v>
      </c>
      <c r="L849" t="n">
        <v>0</v>
      </c>
      <c r="M849" t="n">
        <v>0</v>
      </c>
      <c r="N849" t="n">
        <v>0</v>
      </c>
      <c r="O849" t="n">
        <v>0</v>
      </c>
      <c r="P849" t="n">
        <v>0</v>
      </c>
      <c r="Q849" t="n">
        <v>0</v>
      </c>
      <c r="R849" s="2" t="inlineStr"/>
    </row>
    <row r="850" ht="15" customHeight="1">
      <c r="A850" t="inlineStr">
        <is>
          <t>A 26637-2023</t>
        </is>
      </c>
      <c r="B850" s="1" t="n">
        <v>45092</v>
      </c>
      <c r="C850" s="1" t="n">
        <v>46123</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34006-2025</t>
        </is>
      </c>
      <c r="B851" s="1" t="n">
        <v>45844.62609953704</v>
      </c>
      <c r="C851" s="1" t="n">
        <v>46123</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34139-2025</t>
        </is>
      </c>
      <c r="B852" s="1" t="n">
        <v>45845</v>
      </c>
      <c r="C852" s="1" t="n">
        <v>46123</v>
      </c>
      <c r="D852" t="inlineStr">
        <is>
          <t>STOCKHOLMS LÄN</t>
        </is>
      </c>
      <c r="E852" t="inlineStr">
        <is>
          <t>NORRTÄLJE</t>
        </is>
      </c>
      <c r="G852" t="n">
        <v>5.5</v>
      </c>
      <c r="H852" t="n">
        <v>0</v>
      </c>
      <c r="I852" t="n">
        <v>0</v>
      </c>
      <c r="J852" t="n">
        <v>0</v>
      </c>
      <c r="K852" t="n">
        <v>0</v>
      </c>
      <c r="L852" t="n">
        <v>0</v>
      </c>
      <c r="M852" t="n">
        <v>0</v>
      </c>
      <c r="N852" t="n">
        <v>0</v>
      </c>
      <c r="O852" t="n">
        <v>0</v>
      </c>
      <c r="P852" t="n">
        <v>0</v>
      </c>
      <c r="Q852" t="n">
        <v>0</v>
      </c>
      <c r="R852" s="2" t="inlineStr"/>
    </row>
    <row r="853" ht="15" customHeight="1">
      <c r="A853" t="inlineStr">
        <is>
          <t>A 62708-2025</t>
        </is>
      </c>
      <c r="B853" s="1" t="n">
        <v>46008.50986111111</v>
      </c>
      <c r="C853" s="1" t="n">
        <v>46123</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34478-2025</t>
        </is>
      </c>
      <c r="B854" s="1" t="n">
        <v>45847</v>
      </c>
      <c r="C854" s="1" t="n">
        <v>46123</v>
      </c>
      <c r="D854" t="inlineStr">
        <is>
          <t>STOCKHOLMS LÄN</t>
        </is>
      </c>
      <c r="E854" t="inlineStr">
        <is>
          <t>NORRTÄLJE</t>
        </is>
      </c>
      <c r="F854" t="inlineStr">
        <is>
          <t>Övriga Aktiebolag</t>
        </is>
      </c>
      <c r="G854" t="n">
        <v>10.8</v>
      </c>
      <c r="H854" t="n">
        <v>0</v>
      </c>
      <c r="I854" t="n">
        <v>0</v>
      </c>
      <c r="J854" t="n">
        <v>0</v>
      </c>
      <c r="K854" t="n">
        <v>0</v>
      </c>
      <c r="L854" t="n">
        <v>0</v>
      </c>
      <c r="M854" t="n">
        <v>0</v>
      </c>
      <c r="N854" t="n">
        <v>0</v>
      </c>
      <c r="O854" t="n">
        <v>0</v>
      </c>
      <c r="P854" t="n">
        <v>0</v>
      </c>
      <c r="Q854" t="n">
        <v>0</v>
      </c>
      <c r="R854" s="2" t="inlineStr"/>
    </row>
    <row r="855" ht="15" customHeight="1">
      <c r="A855" t="inlineStr">
        <is>
          <t>A 34010-2025</t>
        </is>
      </c>
      <c r="B855" s="1" t="n">
        <v>45844.91234953704</v>
      </c>
      <c r="C855" s="1" t="n">
        <v>46123</v>
      </c>
      <c r="D855" t="inlineStr">
        <is>
          <t>STOCKHOLMS LÄN</t>
        </is>
      </c>
      <c r="E855" t="inlineStr">
        <is>
          <t>NORRTÄLJE</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72704-2021</t>
        </is>
      </c>
      <c r="B856" s="1" t="n">
        <v>44546</v>
      </c>
      <c r="C856" s="1" t="n">
        <v>46123</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62681-2025</t>
        </is>
      </c>
      <c r="B857" s="1" t="n">
        <v>46008.45534722223</v>
      </c>
      <c r="C857" s="1" t="n">
        <v>46123</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62922-2025</t>
        </is>
      </c>
      <c r="B858" s="1" t="n">
        <v>46009.38064814815</v>
      </c>
      <c r="C858" s="1" t="n">
        <v>46123</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52743-2024</t>
        </is>
      </c>
      <c r="B859" s="1" t="n">
        <v>45610.47414351852</v>
      </c>
      <c r="C859" s="1" t="n">
        <v>46123</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16852-2024</t>
        </is>
      </c>
      <c r="B860" s="1" t="n">
        <v>45411.54768518519</v>
      </c>
      <c r="C860" s="1" t="n">
        <v>46123</v>
      </c>
      <c r="D860" t="inlineStr">
        <is>
          <t>STOCKHOLMS LÄN</t>
        </is>
      </c>
      <c r="E860" t="inlineStr">
        <is>
          <t>NORRTÄLJE</t>
        </is>
      </c>
      <c r="F860" t="inlineStr">
        <is>
          <t>Holmen skog AB</t>
        </is>
      </c>
      <c r="G860" t="n">
        <v>1.2</v>
      </c>
      <c r="H860" t="n">
        <v>0</v>
      </c>
      <c r="I860" t="n">
        <v>0</v>
      </c>
      <c r="J860" t="n">
        <v>0</v>
      </c>
      <c r="K860" t="n">
        <v>0</v>
      </c>
      <c r="L860" t="n">
        <v>0</v>
      </c>
      <c r="M860" t="n">
        <v>0</v>
      </c>
      <c r="N860" t="n">
        <v>0</v>
      </c>
      <c r="O860" t="n">
        <v>0</v>
      </c>
      <c r="P860" t="n">
        <v>0</v>
      </c>
      <c r="Q860" t="n">
        <v>0</v>
      </c>
      <c r="R860" s="2" t="inlineStr"/>
    </row>
    <row r="861" ht="15" customHeight="1">
      <c r="A861" t="inlineStr">
        <is>
          <t>A 62689-2025</t>
        </is>
      </c>
      <c r="B861" s="1" t="n">
        <v>46008.47171296296</v>
      </c>
      <c r="C861" s="1" t="n">
        <v>46123</v>
      </c>
      <c r="D861" t="inlineStr">
        <is>
          <t>STOCKHOLMS LÄN</t>
        </is>
      </c>
      <c r="E861" t="inlineStr">
        <is>
          <t>NORRTÄLJE</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36689-2023</t>
        </is>
      </c>
      <c r="B862" s="1" t="n">
        <v>45152</v>
      </c>
      <c r="C862" s="1" t="n">
        <v>46123</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46073-2024</t>
        </is>
      </c>
      <c r="B863" s="1" t="n">
        <v>45581</v>
      </c>
      <c r="C863" s="1" t="n">
        <v>46123</v>
      </c>
      <c r="D863" t="inlineStr">
        <is>
          <t>STOCKHOLMS LÄN</t>
        </is>
      </c>
      <c r="E863" t="inlineStr">
        <is>
          <t>NORRTÄLJE</t>
        </is>
      </c>
      <c r="G863" t="n">
        <v>2</v>
      </c>
      <c r="H863" t="n">
        <v>0</v>
      </c>
      <c r="I863" t="n">
        <v>0</v>
      </c>
      <c r="J863" t="n">
        <v>0</v>
      </c>
      <c r="K863" t="n">
        <v>0</v>
      </c>
      <c r="L863" t="n">
        <v>0</v>
      </c>
      <c r="M863" t="n">
        <v>0</v>
      </c>
      <c r="N863" t="n">
        <v>0</v>
      </c>
      <c r="O863" t="n">
        <v>0</v>
      </c>
      <c r="P863" t="n">
        <v>0</v>
      </c>
      <c r="Q863" t="n">
        <v>0</v>
      </c>
      <c r="R863" s="2" t="inlineStr"/>
    </row>
    <row r="864" ht="15" customHeight="1">
      <c r="A864" t="inlineStr">
        <is>
          <t>A 55755-2023</t>
        </is>
      </c>
      <c r="B864" s="1" t="n">
        <v>45239</v>
      </c>
      <c r="C864" s="1" t="n">
        <v>46123</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17348-2024</t>
        </is>
      </c>
      <c r="B865" s="1" t="n">
        <v>45414.58650462963</v>
      </c>
      <c r="C865" s="1" t="n">
        <v>46123</v>
      </c>
      <c r="D865" t="inlineStr">
        <is>
          <t>STOCKHOLMS LÄN</t>
        </is>
      </c>
      <c r="E865" t="inlineStr">
        <is>
          <t>NORRTÄLJE</t>
        </is>
      </c>
      <c r="G865" t="n">
        <v>2.3</v>
      </c>
      <c r="H865" t="n">
        <v>0</v>
      </c>
      <c r="I865" t="n">
        <v>0</v>
      </c>
      <c r="J865" t="n">
        <v>0</v>
      </c>
      <c r="K865" t="n">
        <v>0</v>
      </c>
      <c r="L865" t="n">
        <v>0</v>
      </c>
      <c r="M865" t="n">
        <v>0</v>
      </c>
      <c r="N865" t="n">
        <v>0</v>
      </c>
      <c r="O865" t="n">
        <v>0</v>
      </c>
      <c r="P865" t="n">
        <v>0</v>
      </c>
      <c r="Q865" t="n">
        <v>0</v>
      </c>
      <c r="R865" s="2" t="inlineStr"/>
    </row>
    <row r="866" ht="15" customHeight="1">
      <c r="A866" t="inlineStr">
        <is>
          <t>A 13089-2022</t>
        </is>
      </c>
      <c r="B866" s="1" t="n">
        <v>44643</v>
      </c>
      <c r="C866" s="1" t="n">
        <v>46123</v>
      </c>
      <c r="D866" t="inlineStr">
        <is>
          <t>STOCKHOLMS LÄN</t>
        </is>
      </c>
      <c r="E866" t="inlineStr">
        <is>
          <t>NORRTÄLJE</t>
        </is>
      </c>
      <c r="G866" t="n">
        <v>4.5</v>
      </c>
      <c r="H866" t="n">
        <v>0</v>
      </c>
      <c r="I866" t="n">
        <v>0</v>
      </c>
      <c r="J866" t="n">
        <v>0</v>
      </c>
      <c r="K866" t="n">
        <v>0</v>
      </c>
      <c r="L866" t="n">
        <v>0</v>
      </c>
      <c r="M866" t="n">
        <v>0</v>
      </c>
      <c r="N866" t="n">
        <v>0</v>
      </c>
      <c r="O866" t="n">
        <v>0</v>
      </c>
      <c r="P866" t="n">
        <v>0</v>
      </c>
      <c r="Q866" t="n">
        <v>0</v>
      </c>
      <c r="R866" s="2" t="inlineStr"/>
    </row>
    <row r="867" ht="15" customHeight="1">
      <c r="A867" t="inlineStr">
        <is>
          <t>A 48145-2024</t>
        </is>
      </c>
      <c r="B867" s="1" t="n">
        <v>45589.6756712963</v>
      </c>
      <c r="C867" s="1" t="n">
        <v>46123</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23998-2024</t>
        </is>
      </c>
      <c r="B868" s="1" t="n">
        <v>45456</v>
      </c>
      <c r="C868" s="1" t="n">
        <v>46123</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15447-2023</t>
        </is>
      </c>
      <c r="B869" s="1" t="n">
        <v>45020</v>
      </c>
      <c r="C869" s="1" t="n">
        <v>46123</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54358-2022</t>
        </is>
      </c>
      <c r="B870" s="1" t="n">
        <v>44882</v>
      </c>
      <c r="C870" s="1" t="n">
        <v>46123</v>
      </c>
      <c r="D870" t="inlineStr">
        <is>
          <t>STOCKHOLMS LÄN</t>
        </is>
      </c>
      <c r="E870" t="inlineStr">
        <is>
          <t>NORRTÄLJE</t>
        </is>
      </c>
      <c r="G870" t="n">
        <v>3.3</v>
      </c>
      <c r="H870" t="n">
        <v>0</v>
      </c>
      <c r="I870" t="n">
        <v>0</v>
      </c>
      <c r="J870" t="n">
        <v>0</v>
      </c>
      <c r="K870" t="n">
        <v>0</v>
      </c>
      <c r="L870" t="n">
        <v>0</v>
      </c>
      <c r="M870" t="n">
        <v>0</v>
      </c>
      <c r="N870" t="n">
        <v>0</v>
      </c>
      <c r="O870" t="n">
        <v>0</v>
      </c>
      <c r="P870" t="n">
        <v>0</v>
      </c>
      <c r="Q870" t="n">
        <v>0</v>
      </c>
      <c r="R870" s="2" t="inlineStr"/>
    </row>
    <row r="871" ht="15" customHeight="1">
      <c r="A871" t="inlineStr">
        <is>
          <t>A 197-2026</t>
        </is>
      </c>
      <c r="B871" s="1" t="n">
        <v>46026</v>
      </c>
      <c r="C871" s="1" t="n">
        <v>46123</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124-2026</t>
        </is>
      </c>
      <c r="B872" s="1" t="n">
        <v>46024.58378472222</v>
      </c>
      <c r="C872" s="1" t="n">
        <v>46123</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23263-2023</t>
        </is>
      </c>
      <c r="B873" s="1" t="n">
        <v>45075</v>
      </c>
      <c r="C873" s="1" t="n">
        <v>46123</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23264-2023</t>
        </is>
      </c>
      <c r="B874" s="1" t="n">
        <v>45075</v>
      </c>
      <c r="C874" s="1" t="n">
        <v>46123</v>
      </c>
      <c r="D874" t="inlineStr">
        <is>
          <t>STOCKHOLMS LÄN</t>
        </is>
      </c>
      <c r="E874" t="inlineStr">
        <is>
          <t>NORRTÄLJE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23267-2023</t>
        </is>
      </c>
      <c r="B875" s="1" t="n">
        <v>45075.90934027778</v>
      </c>
      <c r="C875" s="1" t="n">
        <v>46123</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23269-2023</t>
        </is>
      </c>
      <c r="B876" s="1" t="n">
        <v>45075.91148148148</v>
      </c>
      <c r="C876" s="1" t="n">
        <v>46123</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19911-2025</t>
        </is>
      </c>
      <c r="B877" s="1" t="n">
        <v>45771</v>
      </c>
      <c r="C877" s="1" t="n">
        <v>46123</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5831-2022</t>
        </is>
      </c>
      <c r="B878" s="1" t="n">
        <v>44596</v>
      </c>
      <c r="C878" s="1" t="n">
        <v>46123</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5867-2022</t>
        </is>
      </c>
      <c r="B879" s="1" t="n">
        <v>44596.66335648148</v>
      </c>
      <c r="C879" s="1" t="n">
        <v>46123</v>
      </c>
      <c r="D879" t="inlineStr">
        <is>
          <t>STOCKHOLMS LÄN</t>
        </is>
      </c>
      <c r="E879" t="inlineStr">
        <is>
          <t>NORRTÄLJE</t>
        </is>
      </c>
      <c r="F879" t="inlineStr">
        <is>
          <t>Naturvårdsverket</t>
        </is>
      </c>
      <c r="G879" t="n">
        <v>1.6</v>
      </c>
      <c r="H879" t="n">
        <v>0</v>
      </c>
      <c r="I879" t="n">
        <v>0</v>
      </c>
      <c r="J879" t="n">
        <v>0</v>
      </c>
      <c r="K879" t="n">
        <v>0</v>
      </c>
      <c r="L879" t="n">
        <v>0</v>
      </c>
      <c r="M879" t="n">
        <v>0</v>
      </c>
      <c r="N879" t="n">
        <v>0</v>
      </c>
      <c r="O879" t="n">
        <v>0</v>
      </c>
      <c r="P879" t="n">
        <v>0</v>
      </c>
      <c r="Q879" t="n">
        <v>0</v>
      </c>
      <c r="R879" s="2" t="inlineStr"/>
    </row>
    <row r="880" ht="15" customHeight="1">
      <c r="A880" t="inlineStr">
        <is>
          <t>A 20244-2025</t>
        </is>
      </c>
      <c r="B880" s="1" t="n">
        <v>45772.71221064815</v>
      </c>
      <c r="C880" s="1" t="n">
        <v>46123</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48633-2023</t>
        </is>
      </c>
      <c r="B881" s="1" t="n">
        <v>45208.58004629629</v>
      </c>
      <c r="C881" s="1" t="n">
        <v>46123</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718-2026</t>
        </is>
      </c>
      <c r="B882" s="1" t="n">
        <v>46029.63174768518</v>
      </c>
      <c r="C882" s="1" t="n">
        <v>46123</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694-2026</t>
        </is>
      </c>
      <c r="B883" s="1" t="n">
        <v>46029.61375</v>
      </c>
      <c r="C883" s="1" t="n">
        <v>46123</v>
      </c>
      <c r="D883" t="inlineStr">
        <is>
          <t>STOCKHOLMS LÄN</t>
        </is>
      </c>
      <c r="E883" t="inlineStr">
        <is>
          <t>NORRTÄLJE</t>
        </is>
      </c>
      <c r="G883" t="n">
        <v>9.6</v>
      </c>
      <c r="H883" t="n">
        <v>0</v>
      </c>
      <c r="I883" t="n">
        <v>0</v>
      </c>
      <c r="J883" t="n">
        <v>0</v>
      </c>
      <c r="K883" t="n">
        <v>0</v>
      </c>
      <c r="L883" t="n">
        <v>0</v>
      </c>
      <c r="M883" t="n">
        <v>0</v>
      </c>
      <c r="N883" t="n">
        <v>0</v>
      </c>
      <c r="O883" t="n">
        <v>0</v>
      </c>
      <c r="P883" t="n">
        <v>0</v>
      </c>
      <c r="Q883" t="n">
        <v>0</v>
      </c>
      <c r="R883" s="2" t="inlineStr"/>
    </row>
    <row r="884" ht="15" customHeight="1">
      <c r="A884" t="inlineStr">
        <is>
          <t>A 39669-2024</t>
        </is>
      </c>
      <c r="B884" s="1" t="n">
        <v>45552.52827546297</v>
      </c>
      <c r="C884" s="1" t="n">
        <v>46123</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35110-2025</t>
        </is>
      </c>
      <c r="B885" s="1" t="n">
        <v>45852.58030092593</v>
      </c>
      <c r="C885" s="1" t="n">
        <v>46123</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693-2026</t>
        </is>
      </c>
      <c r="B886" s="1" t="n">
        <v>46029.6133449074</v>
      </c>
      <c r="C886" s="1" t="n">
        <v>46123</v>
      </c>
      <c r="D886" t="inlineStr">
        <is>
          <t>STOCKHOLMS LÄN</t>
        </is>
      </c>
      <c r="E886" t="inlineStr">
        <is>
          <t>NORRTÄLJE</t>
        </is>
      </c>
      <c r="G886" t="n">
        <v>9.6</v>
      </c>
      <c r="H886" t="n">
        <v>0</v>
      </c>
      <c r="I886" t="n">
        <v>0</v>
      </c>
      <c r="J886" t="n">
        <v>0</v>
      </c>
      <c r="K886" t="n">
        <v>0</v>
      </c>
      <c r="L886" t="n">
        <v>0</v>
      </c>
      <c r="M886" t="n">
        <v>0</v>
      </c>
      <c r="N886" t="n">
        <v>0</v>
      </c>
      <c r="O886" t="n">
        <v>0</v>
      </c>
      <c r="P886" t="n">
        <v>0</v>
      </c>
      <c r="Q886" t="n">
        <v>0</v>
      </c>
      <c r="R886" s="2" t="inlineStr"/>
    </row>
    <row r="887" ht="15" customHeight="1">
      <c r="A887" t="inlineStr">
        <is>
          <t>A 475-2026</t>
        </is>
      </c>
      <c r="B887" s="1" t="n">
        <v>46029.39351851852</v>
      </c>
      <c r="C887" s="1" t="n">
        <v>46123</v>
      </c>
      <c r="D887" t="inlineStr">
        <is>
          <t>STOCKHOLMS LÄN</t>
        </is>
      </c>
      <c r="E887" t="inlineStr">
        <is>
          <t>NORRTÄLJE</t>
        </is>
      </c>
      <c r="G887" t="n">
        <v>4.6</v>
      </c>
      <c r="H887" t="n">
        <v>0</v>
      </c>
      <c r="I887" t="n">
        <v>0</v>
      </c>
      <c r="J887" t="n">
        <v>0</v>
      </c>
      <c r="K887" t="n">
        <v>0</v>
      </c>
      <c r="L887" t="n">
        <v>0</v>
      </c>
      <c r="M887" t="n">
        <v>0</v>
      </c>
      <c r="N887" t="n">
        <v>0</v>
      </c>
      <c r="O887" t="n">
        <v>0</v>
      </c>
      <c r="P887" t="n">
        <v>0</v>
      </c>
      <c r="Q887" t="n">
        <v>0</v>
      </c>
      <c r="R887" s="2" t="inlineStr"/>
    </row>
    <row r="888" ht="15" customHeight="1">
      <c r="A888" t="inlineStr">
        <is>
          <t>A 717-2026</t>
        </is>
      </c>
      <c r="B888" s="1" t="n">
        <v>46029.63028935185</v>
      </c>
      <c r="C888" s="1" t="n">
        <v>46123</v>
      </c>
      <c r="D888" t="inlineStr">
        <is>
          <t>STOCKHOLMS LÄN</t>
        </is>
      </c>
      <c r="E888" t="inlineStr">
        <is>
          <t>NORRTÄLJE</t>
        </is>
      </c>
      <c r="G888" t="n">
        <v>2.4</v>
      </c>
      <c r="H888" t="n">
        <v>0</v>
      </c>
      <c r="I888" t="n">
        <v>0</v>
      </c>
      <c r="J888" t="n">
        <v>0</v>
      </c>
      <c r="K888" t="n">
        <v>0</v>
      </c>
      <c r="L888" t="n">
        <v>0</v>
      </c>
      <c r="M888" t="n">
        <v>0</v>
      </c>
      <c r="N888" t="n">
        <v>0</v>
      </c>
      <c r="O888" t="n">
        <v>0</v>
      </c>
      <c r="P888" t="n">
        <v>0</v>
      </c>
      <c r="Q888" t="n">
        <v>0</v>
      </c>
      <c r="R888" s="2" t="inlineStr"/>
    </row>
    <row r="889" ht="15" customHeight="1">
      <c r="A889" t="inlineStr">
        <is>
          <t>A 35254-2025</t>
        </is>
      </c>
      <c r="B889" s="1" t="n">
        <v>45853</v>
      </c>
      <c r="C889" s="1" t="n">
        <v>46123</v>
      </c>
      <c r="D889" t="inlineStr">
        <is>
          <t>STOCKHOLMS LÄN</t>
        </is>
      </c>
      <c r="E889" t="inlineStr">
        <is>
          <t>NORRTÄLJE</t>
        </is>
      </c>
      <c r="G889" t="n">
        <v>6.5</v>
      </c>
      <c r="H889" t="n">
        <v>0</v>
      </c>
      <c r="I889" t="n">
        <v>0</v>
      </c>
      <c r="J889" t="n">
        <v>0</v>
      </c>
      <c r="K889" t="n">
        <v>0</v>
      </c>
      <c r="L889" t="n">
        <v>0</v>
      </c>
      <c r="M889" t="n">
        <v>0</v>
      </c>
      <c r="N889" t="n">
        <v>0</v>
      </c>
      <c r="O889" t="n">
        <v>0</v>
      </c>
      <c r="P889" t="n">
        <v>0</v>
      </c>
      <c r="Q889" t="n">
        <v>0</v>
      </c>
      <c r="R889" s="2" t="inlineStr"/>
    </row>
    <row r="890" ht="15" customHeight="1">
      <c r="A890" t="inlineStr">
        <is>
          <t>A 812-2026</t>
        </is>
      </c>
      <c r="B890" s="1" t="n">
        <v>46030.33358796296</v>
      </c>
      <c r="C890" s="1" t="n">
        <v>46123</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35479-2025</t>
        </is>
      </c>
      <c r="B891" s="1" t="n">
        <v>45855.69387731481</v>
      </c>
      <c r="C891" s="1" t="n">
        <v>46123</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35451-2025</t>
        </is>
      </c>
      <c r="B892" s="1" t="n">
        <v>45855.57033564815</v>
      </c>
      <c r="C892" s="1" t="n">
        <v>46123</v>
      </c>
      <c r="D892" t="inlineStr">
        <is>
          <t>STOCKHOLMS LÄN</t>
        </is>
      </c>
      <c r="E892" t="inlineStr">
        <is>
          <t>NORRTÄLJE</t>
        </is>
      </c>
      <c r="F892" t="inlineStr">
        <is>
          <t>Holmen skog AB</t>
        </is>
      </c>
      <c r="G892" t="n">
        <v>7.4</v>
      </c>
      <c r="H892" t="n">
        <v>0</v>
      </c>
      <c r="I892" t="n">
        <v>0</v>
      </c>
      <c r="J892" t="n">
        <v>0</v>
      </c>
      <c r="K892" t="n">
        <v>0</v>
      </c>
      <c r="L892" t="n">
        <v>0</v>
      </c>
      <c r="M892" t="n">
        <v>0</v>
      </c>
      <c r="N892" t="n">
        <v>0</v>
      </c>
      <c r="O892" t="n">
        <v>0</v>
      </c>
      <c r="P892" t="n">
        <v>0</v>
      </c>
      <c r="Q892" t="n">
        <v>0</v>
      </c>
      <c r="R892" s="2" t="inlineStr"/>
    </row>
    <row r="893" ht="15" customHeight="1">
      <c r="A893" t="inlineStr">
        <is>
          <t>A 35478-2025</t>
        </is>
      </c>
      <c r="B893" s="1" t="n">
        <v>45855.68413194444</v>
      </c>
      <c r="C893" s="1" t="n">
        <v>46123</v>
      </c>
      <c r="D893" t="inlineStr">
        <is>
          <t>STOCKHOLMS LÄN</t>
        </is>
      </c>
      <c r="E893" t="inlineStr">
        <is>
          <t>NORRTÄLJE</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43170-2023</t>
        </is>
      </c>
      <c r="B894" s="1" t="n">
        <v>45183</v>
      </c>
      <c r="C894" s="1" t="n">
        <v>46123</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9-2024</t>
        </is>
      </c>
      <c r="B895" s="1" t="n">
        <v>45293</v>
      </c>
      <c r="C895" s="1" t="n">
        <v>46123</v>
      </c>
      <c r="D895" t="inlineStr">
        <is>
          <t>STOCKHOLMS LÄN</t>
        </is>
      </c>
      <c r="E895" t="inlineStr">
        <is>
          <t>NORRTÄLJE</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22832-2021</t>
        </is>
      </c>
      <c r="B896" s="1" t="n">
        <v>44325</v>
      </c>
      <c r="C896" s="1" t="n">
        <v>46123</v>
      </c>
      <c r="D896" t="inlineStr">
        <is>
          <t>STOCKHOLMS LÄN</t>
        </is>
      </c>
      <c r="E896" t="inlineStr">
        <is>
          <t>NORRTÄLJE</t>
        </is>
      </c>
      <c r="G896" t="n">
        <v>6.8</v>
      </c>
      <c r="H896" t="n">
        <v>0</v>
      </c>
      <c r="I896" t="n">
        <v>0</v>
      </c>
      <c r="J896" t="n">
        <v>0</v>
      </c>
      <c r="K896" t="n">
        <v>0</v>
      </c>
      <c r="L896" t="n">
        <v>0</v>
      </c>
      <c r="M896" t="n">
        <v>0</v>
      </c>
      <c r="N896" t="n">
        <v>0</v>
      </c>
      <c r="O896" t="n">
        <v>0</v>
      </c>
      <c r="P896" t="n">
        <v>0</v>
      </c>
      <c r="Q896" t="n">
        <v>0</v>
      </c>
      <c r="R896" s="2" t="inlineStr"/>
    </row>
    <row r="897" ht="15" customHeight="1">
      <c r="A897" t="inlineStr">
        <is>
          <t>A 16913-2025</t>
        </is>
      </c>
      <c r="B897" s="1" t="n">
        <v>45755.36583333334</v>
      </c>
      <c r="C897" s="1" t="n">
        <v>46123</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4035-2023</t>
        </is>
      </c>
      <c r="B898" s="1" t="n">
        <v>44952.57989583333</v>
      </c>
      <c r="C898" s="1" t="n">
        <v>46123</v>
      </c>
      <c r="D898" t="inlineStr">
        <is>
          <t>STOCKHOLMS LÄN</t>
        </is>
      </c>
      <c r="E898" t="inlineStr">
        <is>
          <t>NORRTÄLJE</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46123</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53600-2022</t>
        </is>
      </c>
      <c r="B900" s="1" t="n">
        <v>44879.70518518519</v>
      </c>
      <c r="C900" s="1" t="n">
        <v>46123</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7697-2025</t>
        </is>
      </c>
      <c r="B901" s="1" t="n">
        <v>45706.40086805556</v>
      </c>
      <c r="C901" s="1" t="n">
        <v>46123</v>
      </c>
      <c r="D901" t="inlineStr">
        <is>
          <t>STOCKHOLMS LÄN</t>
        </is>
      </c>
      <c r="E901" t="inlineStr">
        <is>
          <t>NORRTÄLJE</t>
        </is>
      </c>
      <c r="F901" t="inlineStr">
        <is>
          <t>Holmen skog AB</t>
        </is>
      </c>
      <c r="G901" t="n">
        <v>1.8</v>
      </c>
      <c r="H901" t="n">
        <v>0</v>
      </c>
      <c r="I901" t="n">
        <v>0</v>
      </c>
      <c r="J901" t="n">
        <v>0</v>
      </c>
      <c r="K901" t="n">
        <v>0</v>
      </c>
      <c r="L901" t="n">
        <v>0</v>
      </c>
      <c r="M901" t="n">
        <v>0</v>
      </c>
      <c r="N901" t="n">
        <v>0</v>
      </c>
      <c r="O901" t="n">
        <v>0</v>
      </c>
      <c r="P901" t="n">
        <v>0</v>
      </c>
      <c r="Q901" t="n">
        <v>0</v>
      </c>
      <c r="R901" s="2" t="inlineStr"/>
    </row>
    <row r="902" ht="15" customHeight="1">
      <c r="A902" t="inlineStr">
        <is>
          <t>A 30221-2024</t>
        </is>
      </c>
      <c r="B902" s="1" t="n">
        <v>45490.45342592592</v>
      </c>
      <c r="C902" s="1" t="n">
        <v>46123</v>
      </c>
      <c r="D902" t="inlineStr">
        <is>
          <t>STOCKHOLMS LÄN</t>
        </is>
      </c>
      <c r="E902" t="inlineStr">
        <is>
          <t>NORRTÄLJE</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1755-2026</t>
        </is>
      </c>
      <c r="B903" s="1" t="n">
        <v>46034.66230324074</v>
      </c>
      <c r="C903" s="1" t="n">
        <v>46123</v>
      </c>
      <c r="D903" t="inlineStr">
        <is>
          <t>STOCKHOLMS LÄN</t>
        </is>
      </c>
      <c r="E903" t="inlineStr">
        <is>
          <t>NORRTÄLJE</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13-2024</t>
        </is>
      </c>
      <c r="B904" s="1" t="n">
        <v>45293.37263888889</v>
      </c>
      <c r="C904" s="1" t="n">
        <v>46123</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19-2024</t>
        </is>
      </c>
      <c r="B905" s="1" t="n">
        <v>45293</v>
      </c>
      <c r="C905" s="1" t="n">
        <v>46123</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1789-2026</t>
        </is>
      </c>
      <c r="B906" s="1" t="n">
        <v>46034</v>
      </c>
      <c r="C906" s="1" t="n">
        <v>46123</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31559-2022</t>
        </is>
      </c>
      <c r="B907" s="1" t="n">
        <v>44775</v>
      </c>
      <c r="C907" s="1" t="n">
        <v>46123</v>
      </c>
      <c r="D907" t="inlineStr">
        <is>
          <t>STOCKHOLMS LÄN</t>
        </is>
      </c>
      <c r="E907" t="inlineStr">
        <is>
          <t>NORRTÄLJE</t>
        </is>
      </c>
      <c r="G907" t="n">
        <v>5.6</v>
      </c>
      <c r="H907" t="n">
        <v>0</v>
      </c>
      <c r="I907" t="n">
        <v>0</v>
      </c>
      <c r="J907" t="n">
        <v>0</v>
      </c>
      <c r="K907" t="n">
        <v>0</v>
      </c>
      <c r="L907" t="n">
        <v>0</v>
      </c>
      <c r="M907" t="n">
        <v>0</v>
      </c>
      <c r="N907" t="n">
        <v>0</v>
      </c>
      <c r="O907" t="n">
        <v>0</v>
      </c>
      <c r="P907" t="n">
        <v>0</v>
      </c>
      <c r="Q907" t="n">
        <v>0</v>
      </c>
      <c r="R907" s="2" t="inlineStr"/>
    </row>
    <row r="908" ht="15" customHeight="1">
      <c r="A908" t="inlineStr">
        <is>
          <t>A 8419-2025</t>
        </is>
      </c>
      <c r="B908" s="1" t="n">
        <v>45709.40231481481</v>
      </c>
      <c r="C908" s="1" t="n">
        <v>46123</v>
      </c>
      <c r="D908" t="inlineStr">
        <is>
          <t>STOCKHOLMS LÄN</t>
        </is>
      </c>
      <c r="E908" t="inlineStr">
        <is>
          <t>NORRTÄLJE</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35161-2022</t>
        </is>
      </c>
      <c r="B909" s="1" t="n">
        <v>44797</v>
      </c>
      <c r="C909" s="1" t="n">
        <v>46123</v>
      </c>
      <c r="D909" t="inlineStr">
        <is>
          <t>STOCKHOLMS LÄN</t>
        </is>
      </c>
      <c r="E909" t="inlineStr">
        <is>
          <t>NORRTÄLJE</t>
        </is>
      </c>
      <c r="G909" t="n">
        <v>6</v>
      </c>
      <c r="H909" t="n">
        <v>0</v>
      </c>
      <c r="I909" t="n">
        <v>0</v>
      </c>
      <c r="J909" t="n">
        <v>0</v>
      </c>
      <c r="K909" t="n">
        <v>0</v>
      </c>
      <c r="L909" t="n">
        <v>0</v>
      </c>
      <c r="M909" t="n">
        <v>0</v>
      </c>
      <c r="N909" t="n">
        <v>0</v>
      </c>
      <c r="O909" t="n">
        <v>0</v>
      </c>
      <c r="P909" t="n">
        <v>0</v>
      </c>
      <c r="Q909" t="n">
        <v>0</v>
      </c>
      <c r="R909" s="2" t="inlineStr"/>
    </row>
    <row r="910" ht="15" customHeight="1">
      <c r="A910" t="inlineStr">
        <is>
          <t>A 58989-2021</t>
        </is>
      </c>
      <c r="B910" s="1" t="n">
        <v>44490.02482638889</v>
      </c>
      <c r="C910" s="1" t="n">
        <v>46123</v>
      </c>
      <c r="D910" t="inlineStr">
        <is>
          <t>STOCKHOLMS LÄN</t>
        </is>
      </c>
      <c r="E910" t="inlineStr">
        <is>
          <t>NORRTÄLJE</t>
        </is>
      </c>
      <c r="G910" t="n">
        <v>0.3</v>
      </c>
      <c r="H910" t="n">
        <v>0</v>
      </c>
      <c r="I910" t="n">
        <v>0</v>
      </c>
      <c r="J910" t="n">
        <v>0</v>
      </c>
      <c r="K910" t="n">
        <v>0</v>
      </c>
      <c r="L910" t="n">
        <v>0</v>
      </c>
      <c r="M910" t="n">
        <v>0</v>
      </c>
      <c r="N910" t="n">
        <v>0</v>
      </c>
      <c r="O910" t="n">
        <v>0</v>
      </c>
      <c r="P910" t="n">
        <v>0</v>
      </c>
      <c r="Q910" t="n">
        <v>0</v>
      </c>
      <c r="R910" s="2" t="inlineStr"/>
    </row>
    <row r="911" ht="15" customHeight="1">
      <c r="A911" t="inlineStr">
        <is>
          <t>A 46988-2024</t>
        </is>
      </c>
      <c r="B911" s="1" t="n">
        <v>45586</v>
      </c>
      <c r="C911" s="1" t="n">
        <v>46123</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21529-2021</t>
        </is>
      </c>
      <c r="B912" s="1" t="n">
        <v>44321</v>
      </c>
      <c r="C912" s="1" t="n">
        <v>46123</v>
      </c>
      <c r="D912" t="inlineStr">
        <is>
          <t>STOCKHOLMS LÄN</t>
        </is>
      </c>
      <c r="E912" t="inlineStr">
        <is>
          <t>NORRTÄLJE</t>
        </is>
      </c>
      <c r="G912" t="n">
        <v>2.7</v>
      </c>
      <c r="H912" t="n">
        <v>0</v>
      </c>
      <c r="I912" t="n">
        <v>0</v>
      </c>
      <c r="J912" t="n">
        <v>0</v>
      </c>
      <c r="K912" t="n">
        <v>0</v>
      </c>
      <c r="L912" t="n">
        <v>0</v>
      </c>
      <c r="M912" t="n">
        <v>0</v>
      </c>
      <c r="N912" t="n">
        <v>0</v>
      </c>
      <c r="O912" t="n">
        <v>0</v>
      </c>
      <c r="P912" t="n">
        <v>0</v>
      </c>
      <c r="Q912" t="n">
        <v>0</v>
      </c>
      <c r="R912" s="2" t="inlineStr"/>
    </row>
    <row r="913" ht="15" customHeight="1">
      <c r="A913" t="inlineStr">
        <is>
          <t>A 13701-2022</t>
        </is>
      </c>
      <c r="B913" s="1" t="n">
        <v>44648</v>
      </c>
      <c r="C913" s="1" t="n">
        <v>46123</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34444-2024</t>
        </is>
      </c>
      <c r="B914" s="1" t="n">
        <v>45525</v>
      </c>
      <c r="C914" s="1" t="n">
        <v>46123</v>
      </c>
      <c r="D914" t="inlineStr">
        <is>
          <t>STOCKHOLMS LÄN</t>
        </is>
      </c>
      <c r="E914" t="inlineStr">
        <is>
          <t>NORRTÄLJE</t>
        </is>
      </c>
      <c r="G914" t="n">
        <v>1.8</v>
      </c>
      <c r="H914" t="n">
        <v>0</v>
      </c>
      <c r="I914" t="n">
        <v>0</v>
      </c>
      <c r="J914" t="n">
        <v>0</v>
      </c>
      <c r="K914" t="n">
        <v>0</v>
      </c>
      <c r="L914" t="n">
        <v>0</v>
      </c>
      <c r="M914" t="n">
        <v>0</v>
      </c>
      <c r="N914" t="n">
        <v>0</v>
      </c>
      <c r="O914" t="n">
        <v>0</v>
      </c>
      <c r="P914" t="n">
        <v>0</v>
      </c>
      <c r="Q914" t="n">
        <v>0</v>
      </c>
      <c r="R914" s="2" t="inlineStr"/>
    </row>
    <row r="915" ht="15" customHeight="1">
      <c r="A915" t="inlineStr">
        <is>
          <t>A 20698-2025</t>
        </is>
      </c>
      <c r="B915" s="1" t="n">
        <v>45776.47122685185</v>
      </c>
      <c r="C915" s="1" t="n">
        <v>46123</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2088-2026</t>
        </is>
      </c>
      <c r="B916" s="1" t="n">
        <v>46036.35909722222</v>
      </c>
      <c r="C916" s="1" t="n">
        <v>46123</v>
      </c>
      <c r="D916" t="inlineStr">
        <is>
          <t>STOCKHOLMS LÄN</t>
        </is>
      </c>
      <c r="E916" t="inlineStr">
        <is>
          <t>NORRTÄLJE</t>
        </is>
      </c>
      <c r="G916" t="n">
        <v>7</v>
      </c>
      <c r="H916" t="n">
        <v>0</v>
      </c>
      <c r="I916" t="n">
        <v>0</v>
      </c>
      <c r="J916" t="n">
        <v>0</v>
      </c>
      <c r="K916" t="n">
        <v>0</v>
      </c>
      <c r="L916" t="n">
        <v>0</v>
      </c>
      <c r="M916" t="n">
        <v>0</v>
      </c>
      <c r="N916" t="n">
        <v>0</v>
      </c>
      <c r="O916" t="n">
        <v>0</v>
      </c>
      <c r="P916" t="n">
        <v>0</v>
      </c>
      <c r="Q916" t="n">
        <v>0</v>
      </c>
      <c r="R916" s="2" t="inlineStr"/>
    </row>
    <row r="917" ht="15" customHeight="1">
      <c r="A917" t="inlineStr">
        <is>
          <t>A 14132-2025</t>
        </is>
      </c>
      <c r="B917" s="1" t="n">
        <v>45740.47550925926</v>
      </c>
      <c r="C917" s="1" t="n">
        <v>46123</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14133-2025</t>
        </is>
      </c>
      <c r="B918" s="1" t="n">
        <v>45740.47724537037</v>
      </c>
      <c r="C918" s="1" t="n">
        <v>46123</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8792-2025</t>
        </is>
      </c>
      <c r="B919" s="1" t="n">
        <v>45712</v>
      </c>
      <c r="C919" s="1" t="n">
        <v>46123</v>
      </c>
      <c r="D919" t="inlineStr">
        <is>
          <t>STOCKHOLMS LÄN</t>
        </is>
      </c>
      <c r="E919" t="inlineStr">
        <is>
          <t>NORRTÄLJE</t>
        </is>
      </c>
      <c r="F919" t="inlineStr">
        <is>
          <t>Övriga Aktiebolag</t>
        </is>
      </c>
      <c r="G919" t="n">
        <v>6.6</v>
      </c>
      <c r="H919" t="n">
        <v>0</v>
      </c>
      <c r="I919" t="n">
        <v>0</v>
      </c>
      <c r="J919" t="n">
        <v>0</v>
      </c>
      <c r="K919" t="n">
        <v>0</v>
      </c>
      <c r="L919" t="n">
        <v>0</v>
      </c>
      <c r="M919" t="n">
        <v>0</v>
      </c>
      <c r="N919" t="n">
        <v>0</v>
      </c>
      <c r="O919" t="n">
        <v>0</v>
      </c>
      <c r="P919" t="n">
        <v>0</v>
      </c>
      <c r="Q919" t="n">
        <v>0</v>
      </c>
      <c r="R919" s="2" t="inlineStr"/>
    </row>
    <row r="920" ht="15" customHeight="1">
      <c r="A920" t="inlineStr">
        <is>
          <t>A 24887-2023</t>
        </is>
      </c>
      <c r="B920" s="1" t="n">
        <v>45085</v>
      </c>
      <c r="C920" s="1" t="n">
        <v>46123</v>
      </c>
      <c r="D920" t="inlineStr">
        <is>
          <t>STOCKHOLMS LÄN</t>
        </is>
      </c>
      <c r="E920" t="inlineStr">
        <is>
          <t>NORRTÄLJE</t>
        </is>
      </c>
      <c r="G920" t="n">
        <v>13.9</v>
      </c>
      <c r="H920" t="n">
        <v>0</v>
      </c>
      <c r="I920" t="n">
        <v>0</v>
      </c>
      <c r="J920" t="n">
        <v>0</v>
      </c>
      <c r="K920" t="n">
        <v>0</v>
      </c>
      <c r="L920" t="n">
        <v>0</v>
      </c>
      <c r="M920" t="n">
        <v>0</v>
      </c>
      <c r="N920" t="n">
        <v>0</v>
      </c>
      <c r="O920" t="n">
        <v>0</v>
      </c>
      <c r="P920" t="n">
        <v>0</v>
      </c>
      <c r="Q920" t="n">
        <v>0</v>
      </c>
      <c r="R920" s="2" t="inlineStr"/>
    </row>
    <row r="921" ht="15" customHeight="1">
      <c r="A921" t="inlineStr">
        <is>
          <t>A 38612-2022</t>
        </is>
      </c>
      <c r="B921" s="1" t="n">
        <v>44813</v>
      </c>
      <c r="C921" s="1" t="n">
        <v>46123</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4326-2023</t>
        </is>
      </c>
      <c r="B922" s="1" t="n">
        <v>44953.70481481482</v>
      </c>
      <c r="C922" s="1" t="n">
        <v>46123</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54504-2024</t>
        </is>
      </c>
      <c r="B923" s="1" t="n">
        <v>45617.58453703704</v>
      </c>
      <c r="C923" s="1" t="n">
        <v>46123</v>
      </c>
      <c r="D923" t="inlineStr">
        <is>
          <t>STOCKHOLMS LÄN</t>
        </is>
      </c>
      <c r="E923" t="inlineStr">
        <is>
          <t>NORRTÄLJE</t>
        </is>
      </c>
      <c r="G923" t="n">
        <v>3.4</v>
      </c>
      <c r="H923" t="n">
        <v>0</v>
      </c>
      <c r="I923" t="n">
        <v>0</v>
      </c>
      <c r="J923" t="n">
        <v>0</v>
      </c>
      <c r="K923" t="n">
        <v>0</v>
      </c>
      <c r="L923" t="n">
        <v>0</v>
      </c>
      <c r="M923" t="n">
        <v>0</v>
      </c>
      <c r="N923" t="n">
        <v>0</v>
      </c>
      <c r="O923" t="n">
        <v>0</v>
      </c>
      <c r="P923" t="n">
        <v>0</v>
      </c>
      <c r="Q923" t="n">
        <v>0</v>
      </c>
      <c r="R923" s="2" t="inlineStr"/>
    </row>
    <row r="924" ht="15" customHeight="1">
      <c r="A924" t="inlineStr">
        <is>
          <t>A 2116-2026</t>
        </is>
      </c>
      <c r="B924" s="1" t="n">
        <v>46036.38108796296</v>
      </c>
      <c r="C924" s="1" t="n">
        <v>46123</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22232-2024</t>
        </is>
      </c>
      <c r="B925" s="1" t="n">
        <v>45446.4287962963</v>
      </c>
      <c r="C925" s="1" t="n">
        <v>46123</v>
      </c>
      <c r="D925" t="inlineStr">
        <is>
          <t>STOCKHOLMS LÄN</t>
        </is>
      </c>
      <c r="E925" t="inlineStr">
        <is>
          <t>NORRTÄLJE</t>
        </is>
      </c>
      <c r="G925" t="n">
        <v>12.8</v>
      </c>
      <c r="H925" t="n">
        <v>0</v>
      </c>
      <c r="I925" t="n">
        <v>0</v>
      </c>
      <c r="J925" t="n">
        <v>0</v>
      </c>
      <c r="K925" t="n">
        <v>0</v>
      </c>
      <c r="L925" t="n">
        <v>0</v>
      </c>
      <c r="M925" t="n">
        <v>0</v>
      </c>
      <c r="N925" t="n">
        <v>0</v>
      </c>
      <c r="O925" t="n">
        <v>0</v>
      </c>
      <c r="P925" t="n">
        <v>0</v>
      </c>
      <c r="Q925" t="n">
        <v>0</v>
      </c>
      <c r="R925" s="2" t="inlineStr"/>
    </row>
    <row r="926" ht="15" customHeight="1">
      <c r="A926" t="inlineStr">
        <is>
          <t>A 21745-2023</t>
        </is>
      </c>
      <c r="B926" s="1" t="n">
        <v>45065.55917824074</v>
      </c>
      <c r="C926" s="1" t="n">
        <v>46123</v>
      </c>
      <c r="D926" t="inlineStr">
        <is>
          <t>STOCKHOLMS LÄN</t>
        </is>
      </c>
      <c r="E926" t="inlineStr">
        <is>
          <t>NORRTÄLJE</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21894-2023</t>
        </is>
      </c>
      <c r="B927" s="1" t="n">
        <v>45068.51783564815</v>
      </c>
      <c r="C927" s="1" t="n">
        <v>46123</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13276-2022</t>
        </is>
      </c>
      <c r="B928" s="1" t="n">
        <v>44644</v>
      </c>
      <c r="C928" s="1" t="n">
        <v>46123</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36396-2025</t>
        </is>
      </c>
      <c r="B929" s="1" t="n">
        <v>45868.62267361111</v>
      </c>
      <c r="C929" s="1" t="n">
        <v>46123</v>
      </c>
      <c r="D929" t="inlineStr">
        <is>
          <t>STOCKHOLMS LÄN</t>
        </is>
      </c>
      <c r="E929" t="inlineStr">
        <is>
          <t>NORRTÄLJE</t>
        </is>
      </c>
      <c r="G929" t="n">
        <v>4.1</v>
      </c>
      <c r="H929" t="n">
        <v>0</v>
      </c>
      <c r="I929" t="n">
        <v>0</v>
      </c>
      <c r="J929" t="n">
        <v>0</v>
      </c>
      <c r="K929" t="n">
        <v>0</v>
      </c>
      <c r="L929" t="n">
        <v>0</v>
      </c>
      <c r="M929" t="n">
        <v>0</v>
      </c>
      <c r="N929" t="n">
        <v>0</v>
      </c>
      <c r="O929" t="n">
        <v>0</v>
      </c>
      <c r="P929" t="n">
        <v>0</v>
      </c>
      <c r="Q929" t="n">
        <v>0</v>
      </c>
      <c r="R929" s="2" t="inlineStr"/>
    </row>
    <row r="930" ht="15" customHeight="1">
      <c r="A930" t="inlineStr">
        <is>
          <t>A 28182-2022</t>
        </is>
      </c>
      <c r="B930" s="1" t="n">
        <v>44746.58530092592</v>
      </c>
      <c r="C930" s="1" t="n">
        <v>46123</v>
      </c>
      <c r="D930" t="inlineStr">
        <is>
          <t>STOCKHOLMS LÄN</t>
        </is>
      </c>
      <c r="E930" t="inlineStr">
        <is>
          <t>NORRTÄLJE</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34461-2023</t>
        </is>
      </c>
      <c r="B931" s="1" t="n">
        <v>45139</v>
      </c>
      <c r="C931" s="1" t="n">
        <v>46123</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51046-2023</t>
        </is>
      </c>
      <c r="B932" s="1" t="n">
        <v>45218</v>
      </c>
      <c r="C932" s="1" t="n">
        <v>46123</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3549-2026</t>
        </is>
      </c>
      <c r="B933" s="1" t="n">
        <v>46042</v>
      </c>
      <c r="C933" s="1" t="n">
        <v>46123</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17382-2024</t>
        </is>
      </c>
      <c r="B934" s="1" t="n">
        <v>45414.65855324074</v>
      </c>
      <c r="C934" s="1" t="n">
        <v>46123</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6070-2022</t>
        </is>
      </c>
      <c r="B935" s="1" t="n">
        <v>44599.58428240741</v>
      </c>
      <c r="C935" s="1" t="n">
        <v>46123</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17039-2024</t>
        </is>
      </c>
      <c r="B936" s="1" t="n">
        <v>45412.4104050926</v>
      </c>
      <c r="C936" s="1" t="n">
        <v>46123</v>
      </c>
      <c r="D936" t="inlineStr">
        <is>
          <t>STOCKHOLMS LÄN</t>
        </is>
      </c>
      <c r="E936" t="inlineStr">
        <is>
          <t>NORRTÄLJE</t>
        </is>
      </c>
      <c r="G936" t="n">
        <v>5.9</v>
      </c>
      <c r="H936" t="n">
        <v>0</v>
      </c>
      <c r="I936" t="n">
        <v>0</v>
      </c>
      <c r="J936" t="n">
        <v>0</v>
      </c>
      <c r="K936" t="n">
        <v>0</v>
      </c>
      <c r="L936" t="n">
        <v>0</v>
      </c>
      <c r="M936" t="n">
        <v>0</v>
      </c>
      <c r="N936" t="n">
        <v>0</v>
      </c>
      <c r="O936" t="n">
        <v>0</v>
      </c>
      <c r="P936" t="n">
        <v>0</v>
      </c>
      <c r="Q936" t="n">
        <v>0</v>
      </c>
      <c r="R936" s="2" t="inlineStr"/>
    </row>
    <row r="937" ht="15" customHeight="1">
      <c r="A937" t="inlineStr">
        <is>
          <t>A 48180-2023</t>
        </is>
      </c>
      <c r="B937" s="1" t="n">
        <v>45205</v>
      </c>
      <c r="C937" s="1" t="n">
        <v>46123</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35695-2023</t>
        </is>
      </c>
      <c r="B938" s="1" t="n">
        <v>45147.65407407407</v>
      </c>
      <c r="C938" s="1" t="n">
        <v>46123</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45173-2023</t>
        </is>
      </c>
      <c r="B939" s="1" t="n">
        <v>45191</v>
      </c>
      <c r="C939" s="1" t="n">
        <v>46123</v>
      </c>
      <c r="D939" t="inlineStr">
        <is>
          <t>STOCKHOLMS LÄN</t>
        </is>
      </c>
      <c r="E939" t="inlineStr">
        <is>
          <t>NORRTÄLJE</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11648-2026</t>
        </is>
      </c>
      <c r="B940" s="1" t="n">
        <v>46084.51575231482</v>
      </c>
      <c r="C940" s="1" t="n">
        <v>46123</v>
      </c>
      <c r="D940" t="inlineStr">
        <is>
          <t>STOCKHOLMS LÄN</t>
        </is>
      </c>
      <c r="E940" t="inlineStr">
        <is>
          <t>NORRTÄLJE</t>
        </is>
      </c>
      <c r="G940" t="n">
        <v>4.1</v>
      </c>
      <c r="H940" t="n">
        <v>0</v>
      </c>
      <c r="I940" t="n">
        <v>0</v>
      </c>
      <c r="J940" t="n">
        <v>0</v>
      </c>
      <c r="K940" t="n">
        <v>0</v>
      </c>
      <c r="L940" t="n">
        <v>0</v>
      </c>
      <c r="M940" t="n">
        <v>0</v>
      </c>
      <c r="N940" t="n">
        <v>0</v>
      </c>
      <c r="O940" t="n">
        <v>0</v>
      </c>
      <c r="P940" t="n">
        <v>0</v>
      </c>
      <c r="Q940" t="n">
        <v>0</v>
      </c>
      <c r="R940" s="2" t="inlineStr"/>
    </row>
    <row r="941" ht="15" customHeight="1">
      <c r="A941" t="inlineStr">
        <is>
          <t>A 24705-2023</t>
        </is>
      </c>
      <c r="B941" s="1" t="n">
        <v>45084.54459490741</v>
      </c>
      <c r="C941" s="1" t="n">
        <v>46123</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4227-2026</t>
        </is>
      </c>
      <c r="B942" s="1" t="n">
        <v>46044</v>
      </c>
      <c r="C942" s="1" t="n">
        <v>46123</v>
      </c>
      <c r="D942" t="inlineStr">
        <is>
          <t>STOCKHOLMS LÄN</t>
        </is>
      </c>
      <c r="E942" t="inlineStr">
        <is>
          <t>NORRTÄLJE</t>
        </is>
      </c>
      <c r="G942" t="n">
        <v>3.6</v>
      </c>
      <c r="H942" t="n">
        <v>0</v>
      </c>
      <c r="I942" t="n">
        <v>0</v>
      </c>
      <c r="J942" t="n">
        <v>0</v>
      </c>
      <c r="K942" t="n">
        <v>0</v>
      </c>
      <c r="L942" t="n">
        <v>0</v>
      </c>
      <c r="M942" t="n">
        <v>0</v>
      </c>
      <c r="N942" t="n">
        <v>0</v>
      </c>
      <c r="O942" t="n">
        <v>0</v>
      </c>
      <c r="P942" t="n">
        <v>0</v>
      </c>
      <c r="Q942" t="n">
        <v>0</v>
      </c>
      <c r="R942" s="2" t="inlineStr"/>
    </row>
    <row r="943" ht="15" customHeight="1">
      <c r="A943" t="inlineStr">
        <is>
          <t>A 21696-2024</t>
        </is>
      </c>
      <c r="B943" s="1" t="n">
        <v>45442.45686342593</v>
      </c>
      <c r="C943" s="1" t="n">
        <v>46123</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12234-2026</t>
        </is>
      </c>
      <c r="B944" s="1" t="n">
        <v>46087.4091087963</v>
      </c>
      <c r="C944" s="1" t="n">
        <v>46123</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67990-2021</t>
        </is>
      </c>
      <c r="B945" s="1" t="n">
        <v>44525</v>
      </c>
      <c r="C945" s="1" t="n">
        <v>46123</v>
      </c>
      <c r="D945" t="inlineStr">
        <is>
          <t>STOCKHOLMS LÄN</t>
        </is>
      </c>
      <c r="E945" t="inlineStr">
        <is>
          <t>NORRTÄLJE</t>
        </is>
      </c>
      <c r="F945" t="inlineStr">
        <is>
          <t>Sveaskog</t>
        </is>
      </c>
      <c r="G945" t="n">
        <v>7.8</v>
      </c>
      <c r="H945" t="n">
        <v>0</v>
      </c>
      <c r="I945" t="n">
        <v>0</v>
      </c>
      <c r="J945" t="n">
        <v>0</v>
      </c>
      <c r="K945" t="n">
        <v>0</v>
      </c>
      <c r="L945" t="n">
        <v>0</v>
      </c>
      <c r="M945" t="n">
        <v>0</v>
      </c>
      <c r="N945" t="n">
        <v>0</v>
      </c>
      <c r="O945" t="n">
        <v>0</v>
      </c>
      <c r="P945" t="n">
        <v>0</v>
      </c>
      <c r="Q945" t="n">
        <v>0</v>
      </c>
      <c r="R945" s="2" t="inlineStr"/>
    </row>
    <row r="946" ht="15" customHeight="1">
      <c r="A946" t="inlineStr">
        <is>
          <t>A 71552-2021</t>
        </is>
      </c>
      <c r="B946" s="1" t="n">
        <v>44540</v>
      </c>
      <c r="C946" s="1" t="n">
        <v>46123</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73992-2021</t>
        </is>
      </c>
      <c r="B947" s="1" t="n">
        <v>44556</v>
      </c>
      <c r="C947" s="1" t="n">
        <v>46123</v>
      </c>
      <c r="D947" t="inlineStr">
        <is>
          <t>STOCKHOLMS LÄN</t>
        </is>
      </c>
      <c r="E947" t="inlineStr">
        <is>
          <t>NORRTÄLJE</t>
        </is>
      </c>
      <c r="G947" t="n">
        <v>12.5</v>
      </c>
      <c r="H947" t="n">
        <v>0</v>
      </c>
      <c r="I947" t="n">
        <v>0</v>
      </c>
      <c r="J947" t="n">
        <v>0</v>
      </c>
      <c r="K947" t="n">
        <v>0</v>
      </c>
      <c r="L947" t="n">
        <v>0</v>
      </c>
      <c r="M947" t="n">
        <v>0</v>
      </c>
      <c r="N947" t="n">
        <v>0</v>
      </c>
      <c r="O947" t="n">
        <v>0</v>
      </c>
      <c r="P947" t="n">
        <v>0</v>
      </c>
      <c r="Q947" t="n">
        <v>0</v>
      </c>
      <c r="R947" s="2" t="inlineStr"/>
    </row>
    <row r="948" ht="15" customHeight="1">
      <c r="A948" t="inlineStr">
        <is>
          <t>A 37261-2025</t>
        </is>
      </c>
      <c r="B948" s="1" t="n">
        <v>45876.45253472222</v>
      </c>
      <c r="C948" s="1" t="n">
        <v>46123</v>
      </c>
      <c r="D948" t="inlineStr">
        <is>
          <t>STOCKHOLMS LÄN</t>
        </is>
      </c>
      <c r="E948" t="inlineStr">
        <is>
          <t>NORRTÄLJE</t>
        </is>
      </c>
      <c r="F948" t="inlineStr">
        <is>
          <t>Kommuner</t>
        </is>
      </c>
      <c r="G948" t="n">
        <v>2.2</v>
      </c>
      <c r="H948" t="n">
        <v>0</v>
      </c>
      <c r="I948" t="n">
        <v>0</v>
      </c>
      <c r="J948" t="n">
        <v>0</v>
      </c>
      <c r="K948" t="n">
        <v>0</v>
      </c>
      <c r="L948" t="n">
        <v>0</v>
      </c>
      <c r="M948" t="n">
        <v>0</v>
      </c>
      <c r="N948" t="n">
        <v>0</v>
      </c>
      <c r="O948" t="n">
        <v>0</v>
      </c>
      <c r="P948" t="n">
        <v>0</v>
      </c>
      <c r="Q948" t="n">
        <v>0</v>
      </c>
      <c r="R948" s="2" t="inlineStr"/>
    </row>
    <row r="949" ht="15" customHeight="1">
      <c r="A949" t="inlineStr">
        <is>
          <t>A 4230-2026</t>
        </is>
      </c>
      <c r="B949" s="1" t="n">
        <v>46044.89366898148</v>
      </c>
      <c r="C949" s="1" t="n">
        <v>46123</v>
      </c>
      <c r="D949" t="inlineStr">
        <is>
          <t>STOCKHOLMS LÄN</t>
        </is>
      </c>
      <c r="E949" t="inlineStr">
        <is>
          <t>NORRTÄLJE</t>
        </is>
      </c>
      <c r="G949" t="n">
        <v>10.8</v>
      </c>
      <c r="H949" t="n">
        <v>0</v>
      </c>
      <c r="I949" t="n">
        <v>0</v>
      </c>
      <c r="J949" t="n">
        <v>0</v>
      </c>
      <c r="K949" t="n">
        <v>0</v>
      </c>
      <c r="L949" t="n">
        <v>0</v>
      </c>
      <c r="M949" t="n">
        <v>0</v>
      </c>
      <c r="N949" t="n">
        <v>0</v>
      </c>
      <c r="O949" t="n">
        <v>0</v>
      </c>
      <c r="P949" t="n">
        <v>0</v>
      </c>
      <c r="Q949" t="n">
        <v>0</v>
      </c>
      <c r="R949" s="2" t="inlineStr"/>
    </row>
    <row r="950" ht="15" customHeight="1">
      <c r="A950" t="inlineStr">
        <is>
          <t>A 4231-2026</t>
        </is>
      </c>
      <c r="B950" s="1" t="n">
        <v>46044</v>
      </c>
      <c r="C950" s="1" t="n">
        <v>46123</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4232-2026</t>
        </is>
      </c>
      <c r="B951" s="1" t="n">
        <v>46044.89594907407</v>
      </c>
      <c r="C951" s="1" t="n">
        <v>46123</v>
      </c>
      <c r="D951" t="inlineStr">
        <is>
          <t>STOCKHOLMS LÄN</t>
        </is>
      </c>
      <c r="E951" t="inlineStr">
        <is>
          <t>NORRTÄLJE</t>
        </is>
      </c>
      <c r="G951" t="n">
        <v>3.8</v>
      </c>
      <c r="H951" t="n">
        <v>0</v>
      </c>
      <c r="I951" t="n">
        <v>0</v>
      </c>
      <c r="J951" t="n">
        <v>0</v>
      </c>
      <c r="K951" t="n">
        <v>0</v>
      </c>
      <c r="L951" t="n">
        <v>0</v>
      </c>
      <c r="M951" t="n">
        <v>0</v>
      </c>
      <c r="N951" t="n">
        <v>0</v>
      </c>
      <c r="O951" t="n">
        <v>0</v>
      </c>
      <c r="P951" t="n">
        <v>0</v>
      </c>
      <c r="Q951" t="n">
        <v>0</v>
      </c>
      <c r="R951" s="2" t="inlineStr"/>
    </row>
    <row r="952" ht="15" customHeight="1">
      <c r="A952" t="inlineStr">
        <is>
          <t>A 26113-2024</t>
        </is>
      </c>
      <c r="B952" s="1" t="n">
        <v>45468.45541666666</v>
      </c>
      <c r="C952" s="1" t="n">
        <v>46123</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26116-2024</t>
        </is>
      </c>
      <c r="B953" s="1" t="n">
        <v>45468.45747685185</v>
      </c>
      <c r="C953" s="1" t="n">
        <v>46123</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3933-2026</t>
        </is>
      </c>
      <c r="B954" s="1" t="n">
        <v>46043.79916666666</v>
      </c>
      <c r="C954" s="1" t="n">
        <v>46123</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4235-2026</t>
        </is>
      </c>
      <c r="B955" s="1" t="n">
        <v>46044</v>
      </c>
      <c r="C955" s="1" t="n">
        <v>46123</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15978-2024</t>
        </is>
      </c>
      <c r="B956" s="1" t="n">
        <v>45405.57927083333</v>
      </c>
      <c r="C956" s="1" t="n">
        <v>46123</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37628-2025</t>
        </is>
      </c>
      <c r="B957" s="1" t="n">
        <v>45880.46189814815</v>
      </c>
      <c r="C957" s="1" t="n">
        <v>46123</v>
      </c>
      <c r="D957" t="inlineStr">
        <is>
          <t>STOCKHOLMS LÄN</t>
        </is>
      </c>
      <c r="E957" t="inlineStr">
        <is>
          <t>NORRTÄLJE</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11333-2025</t>
        </is>
      </c>
      <c r="B958" s="1" t="n">
        <v>45726.48377314815</v>
      </c>
      <c r="C958" s="1" t="n">
        <v>46123</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29369-2024</t>
        </is>
      </c>
      <c r="B959" s="1" t="n">
        <v>45483.57244212963</v>
      </c>
      <c r="C959" s="1" t="n">
        <v>46123</v>
      </c>
      <c r="D959" t="inlineStr">
        <is>
          <t>STOCKHOLMS LÄN</t>
        </is>
      </c>
      <c r="E959" t="inlineStr">
        <is>
          <t>NORRTÄLJE</t>
        </is>
      </c>
      <c r="G959" t="n">
        <v>15.9</v>
      </c>
      <c r="H959" t="n">
        <v>0</v>
      </c>
      <c r="I959" t="n">
        <v>0</v>
      </c>
      <c r="J959" t="n">
        <v>0</v>
      </c>
      <c r="K959" t="n">
        <v>0</v>
      </c>
      <c r="L959" t="n">
        <v>0</v>
      </c>
      <c r="M959" t="n">
        <v>0</v>
      </c>
      <c r="N959" t="n">
        <v>0</v>
      </c>
      <c r="O959" t="n">
        <v>0</v>
      </c>
      <c r="P959" t="n">
        <v>0</v>
      </c>
      <c r="Q959" t="n">
        <v>0</v>
      </c>
      <c r="R959" s="2" t="inlineStr"/>
    </row>
    <row r="960" ht="15" customHeight="1">
      <c r="A960" t="inlineStr">
        <is>
          <t>A 37632-2025</t>
        </is>
      </c>
      <c r="B960" s="1" t="n">
        <v>45880.46524305556</v>
      </c>
      <c r="C960" s="1" t="n">
        <v>46123</v>
      </c>
      <c r="D960" t="inlineStr">
        <is>
          <t>STOCKHOLMS LÄN</t>
        </is>
      </c>
      <c r="E960" t="inlineStr">
        <is>
          <t>NORRTÄLJE</t>
        </is>
      </c>
      <c r="F960" t="inlineStr">
        <is>
          <t>Sveaskog</t>
        </is>
      </c>
      <c r="G960" t="n">
        <v>6.4</v>
      </c>
      <c r="H960" t="n">
        <v>0</v>
      </c>
      <c r="I960" t="n">
        <v>0</v>
      </c>
      <c r="J960" t="n">
        <v>0</v>
      </c>
      <c r="K960" t="n">
        <v>0</v>
      </c>
      <c r="L960" t="n">
        <v>0</v>
      </c>
      <c r="M960" t="n">
        <v>0</v>
      </c>
      <c r="N960" t="n">
        <v>0</v>
      </c>
      <c r="O960" t="n">
        <v>0</v>
      </c>
      <c r="P960" t="n">
        <v>0</v>
      </c>
      <c r="Q960" t="n">
        <v>0</v>
      </c>
      <c r="R960" s="2" t="inlineStr"/>
    </row>
    <row r="961" ht="15" customHeight="1">
      <c r="A961" t="inlineStr">
        <is>
          <t>A 12718-2026</t>
        </is>
      </c>
      <c r="B961" s="1" t="n">
        <v>46091.60412037037</v>
      </c>
      <c r="C961" s="1" t="n">
        <v>46123</v>
      </c>
      <c r="D961" t="inlineStr">
        <is>
          <t>STOCKHOLMS LÄN</t>
        </is>
      </c>
      <c r="E961" t="inlineStr">
        <is>
          <t>NORRTÄLJE</t>
        </is>
      </c>
      <c r="F961" t="inlineStr">
        <is>
          <t>Holmen skog AB</t>
        </is>
      </c>
      <c r="G961" t="n">
        <v>1</v>
      </c>
      <c r="H961" t="n">
        <v>0</v>
      </c>
      <c r="I961" t="n">
        <v>0</v>
      </c>
      <c r="J961" t="n">
        <v>0</v>
      </c>
      <c r="K961" t="n">
        <v>0</v>
      </c>
      <c r="L961" t="n">
        <v>0</v>
      </c>
      <c r="M961" t="n">
        <v>0</v>
      </c>
      <c r="N961" t="n">
        <v>0</v>
      </c>
      <c r="O961" t="n">
        <v>0</v>
      </c>
      <c r="P961" t="n">
        <v>0</v>
      </c>
      <c r="Q961" t="n">
        <v>0</v>
      </c>
      <c r="R961" s="2" t="inlineStr"/>
    </row>
    <row r="962" ht="15" customHeight="1">
      <c r="A962" t="inlineStr">
        <is>
          <t>A 12703-2026</t>
        </is>
      </c>
      <c r="B962" s="1" t="n">
        <v>46091.58175925926</v>
      </c>
      <c r="C962" s="1" t="n">
        <v>46123</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29841-2024</t>
        </is>
      </c>
      <c r="B963" s="1" t="n">
        <v>45485.60261574074</v>
      </c>
      <c r="C963" s="1" t="n">
        <v>46123</v>
      </c>
      <c r="D963" t="inlineStr">
        <is>
          <t>STOCKHOLMS LÄN</t>
        </is>
      </c>
      <c r="E963" t="inlineStr">
        <is>
          <t>NORRTÄLJE</t>
        </is>
      </c>
      <c r="G963" t="n">
        <v>15.9</v>
      </c>
      <c r="H963" t="n">
        <v>0</v>
      </c>
      <c r="I963" t="n">
        <v>0</v>
      </c>
      <c r="J963" t="n">
        <v>0</v>
      </c>
      <c r="K963" t="n">
        <v>0</v>
      </c>
      <c r="L963" t="n">
        <v>0</v>
      </c>
      <c r="M963" t="n">
        <v>0</v>
      </c>
      <c r="N963" t="n">
        <v>0</v>
      </c>
      <c r="O963" t="n">
        <v>0</v>
      </c>
      <c r="P963" t="n">
        <v>0</v>
      </c>
      <c r="Q963" t="n">
        <v>0</v>
      </c>
      <c r="R963" s="2" t="inlineStr"/>
    </row>
    <row r="964" ht="15" customHeight="1">
      <c r="A964" t="inlineStr">
        <is>
          <t>A 20692-2025</t>
        </is>
      </c>
      <c r="B964" s="1" t="n">
        <v>45776.46369212963</v>
      </c>
      <c r="C964" s="1" t="n">
        <v>46123</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34391-2023</t>
        </is>
      </c>
      <c r="B965" s="1" t="n">
        <v>45139.51457175926</v>
      </c>
      <c r="C965" s="1" t="n">
        <v>46123</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4549-2026</t>
        </is>
      </c>
      <c r="B966" s="1" t="n">
        <v>46047</v>
      </c>
      <c r="C966" s="1" t="n">
        <v>46123</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37630-2025</t>
        </is>
      </c>
      <c r="B967" s="1" t="n">
        <v>45880.46372685185</v>
      </c>
      <c r="C967" s="1" t="n">
        <v>46123</v>
      </c>
      <c r="D967" t="inlineStr">
        <is>
          <t>STOCKHOLMS LÄN</t>
        </is>
      </c>
      <c r="E967" t="inlineStr">
        <is>
          <t>NORRTÄLJE</t>
        </is>
      </c>
      <c r="F967" t="inlineStr">
        <is>
          <t>Sveaskog</t>
        </is>
      </c>
      <c r="G967" t="n">
        <v>12.9</v>
      </c>
      <c r="H967" t="n">
        <v>0</v>
      </c>
      <c r="I967" t="n">
        <v>0</v>
      </c>
      <c r="J967" t="n">
        <v>0</v>
      </c>
      <c r="K967" t="n">
        <v>0</v>
      </c>
      <c r="L967" t="n">
        <v>0</v>
      </c>
      <c r="M967" t="n">
        <v>0</v>
      </c>
      <c r="N967" t="n">
        <v>0</v>
      </c>
      <c r="O967" t="n">
        <v>0</v>
      </c>
      <c r="P967" t="n">
        <v>0</v>
      </c>
      <c r="Q967" t="n">
        <v>0</v>
      </c>
      <c r="R967" s="2" t="inlineStr"/>
    </row>
    <row r="968" ht="15" customHeight="1">
      <c r="A968" t="inlineStr">
        <is>
          <t>A 46071-2024</t>
        </is>
      </c>
      <c r="B968" s="1" t="n">
        <v>45581</v>
      </c>
      <c r="C968" s="1" t="n">
        <v>46123</v>
      </c>
      <c r="D968" t="inlineStr">
        <is>
          <t>STOCKHOLMS LÄN</t>
        </is>
      </c>
      <c r="E968" t="inlineStr">
        <is>
          <t>NORRTÄLJE</t>
        </is>
      </c>
      <c r="G968" t="n">
        <v>2.3</v>
      </c>
      <c r="H968" t="n">
        <v>0</v>
      </c>
      <c r="I968" t="n">
        <v>0</v>
      </c>
      <c r="J968" t="n">
        <v>0</v>
      </c>
      <c r="K968" t="n">
        <v>0</v>
      </c>
      <c r="L968" t="n">
        <v>0</v>
      </c>
      <c r="M968" t="n">
        <v>0</v>
      </c>
      <c r="N968" t="n">
        <v>0</v>
      </c>
      <c r="O968" t="n">
        <v>0</v>
      </c>
      <c r="P968" t="n">
        <v>0</v>
      </c>
      <c r="Q968" t="n">
        <v>0</v>
      </c>
      <c r="R968" s="2" t="inlineStr"/>
    </row>
    <row r="969" ht="15" customHeight="1">
      <c r="A969" t="inlineStr">
        <is>
          <t>A 13137-2024</t>
        </is>
      </c>
      <c r="B969" s="1" t="n">
        <v>45386.34175925926</v>
      </c>
      <c r="C969" s="1" t="n">
        <v>46123</v>
      </c>
      <c r="D969" t="inlineStr">
        <is>
          <t>STOCKHOLMS LÄN</t>
        </is>
      </c>
      <c r="E969" t="inlineStr">
        <is>
          <t>NORRTÄLJE</t>
        </is>
      </c>
      <c r="G969" t="n">
        <v>5</v>
      </c>
      <c r="H969" t="n">
        <v>0</v>
      </c>
      <c r="I969" t="n">
        <v>0</v>
      </c>
      <c r="J969" t="n">
        <v>0</v>
      </c>
      <c r="K969" t="n">
        <v>0</v>
      </c>
      <c r="L969" t="n">
        <v>0</v>
      </c>
      <c r="M969" t="n">
        <v>0</v>
      </c>
      <c r="N969" t="n">
        <v>0</v>
      </c>
      <c r="O969" t="n">
        <v>0</v>
      </c>
      <c r="P969" t="n">
        <v>0</v>
      </c>
      <c r="Q969" t="n">
        <v>0</v>
      </c>
      <c r="R969" s="2" t="inlineStr"/>
    </row>
    <row r="970" ht="15" customHeight="1">
      <c r="A970" t="inlineStr">
        <is>
          <t>A 67921-2021</t>
        </is>
      </c>
      <c r="B970" s="1" t="n">
        <v>44525</v>
      </c>
      <c r="C970" s="1" t="n">
        <v>46123</v>
      </c>
      <c r="D970" t="inlineStr">
        <is>
          <t>STOCKHOLMS LÄN</t>
        </is>
      </c>
      <c r="E970" t="inlineStr">
        <is>
          <t>NORRTÄLJE</t>
        </is>
      </c>
      <c r="G970" t="n">
        <v>6.3</v>
      </c>
      <c r="H970" t="n">
        <v>0</v>
      </c>
      <c r="I970" t="n">
        <v>0</v>
      </c>
      <c r="J970" t="n">
        <v>0</v>
      </c>
      <c r="K970" t="n">
        <v>0</v>
      </c>
      <c r="L970" t="n">
        <v>0</v>
      </c>
      <c r="M970" t="n">
        <v>0</v>
      </c>
      <c r="N970" t="n">
        <v>0</v>
      </c>
      <c r="O970" t="n">
        <v>0</v>
      </c>
      <c r="P970" t="n">
        <v>0</v>
      </c>
      <c r="Q970" t="n">
        <v>0</v>
      </c>
      <c r="R970" s="2" t="inlineStr"/>
    </row>
    <row r="971" ht="15" customHeight="1">
      <c r="A971" t="inlineStr">
        <is>
          <t>A 25681-2024</t>
        </is>
      </c>
      <c r="B971" s="1" t="n">
        <v>45463.80486111111</v>
      </c>
      <c r="C971" s="1" t="n">
        <v>46123</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4886-2026</t>
        </is>
      </c>
      <c r="B972" s="1" t="n">
        <v>46048.66328703704</v>
      </c>
      <c r="C972" s="1" t="n">
        <v>46123</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24350-2025</t>
        </is>
      </c>
      <c r="B973" s="1" t="n">
        <v>45797.58350694444</v>
      </c>
      <c r="C973" s="1" t="n">
        <v>46123</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26703-2025</t>
        </is>
      </c>
      <c r="B974" s="1" t="n">
        <v>45810.45263888889</v>
      </c>
      <c r="C974" s="1" t="n">
        <v>46123</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58853-2024</t>
        </is>
      </c>
      <c r="B975" s="1" t="n">
        <v>45636.38974537037</v>
      </c>
      <c r="C975" s="1" t="n">
        <v>46123</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13109-2026</t>
        </is>
      </c>
      <c r="B976" s="1" t="n">
        <v>46093.42730324074</v>
      </c>
      <c r="C976" s="1" t="n">
        <v>46123</v>
      </c>
      <c r="D976" t="inlineStr">
        <is>
          <t>STOCKHOLMS LÄN</t>
        </is>
      </c>
      <c r="E976" t="inlineStr">
        <is>
          <t>NORRTÄLJE</t>
        </is>
      </c>
      <c r="G976" t="n">
        <v>4</v>
      </c>
      <c r="H976" t="n">
        <v>0</v>
      </c>
      <c r="I976" t="n">
        <v>0</v>
      </c>
      <c r="J976" t="n">
        <v>0</v>
      </c>
      <c r="K976" t="n">
        <v>0</v>
      </c>
      <c r="L976" t="n">
        <v>0</v>
      </c>
      <c r="M976" t="n">
        <v>0</v>
      </c>
      <c r="N976" t="n">
        <v>0</v>
      </c>
      <c r="O976" t="n">
        <v>0</v>
      </c>
      <c r="P976" t="n">
        <v>0</v>
      </c>
      <c r="Q976" t="n">
        <v>0</v>
      </c>
      <c r="R976" s="2" t="inlineStr"/>
    </row>
    <row r="977" ht="15" customHeight="1">
      <c r="A977" t="inlineStr">
        <is>
          <t>A 13204-2026</t>
        </is>
      </c>
      <c r="B977" s="1" t="n">
        <v>46093.60788194444</v>
      </c>
      <c r="C977" s="1" t="n">
        <v>46123</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35438-2023</t>
        </is>
      </c>
      <c r="B978" s="1" t="n">
        <v>45146</v>
      </c>
      <c r="C978" s="1" t="n">
        <v>46123</v>
      </c>
      <c r="D978" t="inlineStr">
        <is>
          <t>STOCKHOLMS LÄN</t>
        </is>
      </c>
      <c r="E978" t="inlineStr">
        <is>
          <t>NORRTÄLJE</t>
        </is>
      </c>
      <c r="F978" t="inlineStr">
        <is>
          <t>Kommuner</t>
        </is>
      </c>
      <c r="G978" t="n">
        <v>1.9</v>
      </c>
      <c r="H978" t="n">
        <v>0</v>
      </c>
      <c r="I978" t="n">
        <v>0</v>
      </c>
      <c r="J978" t="n">
        <v>0</v>
      </c>
      <c r="K978" t="n">
        <v>0</v>
      </c>
      <c r="L978" t="n">
        <v>0</v>
      </c>
      <c r="M978" t="n">
        <v>0</v>
      </c>
      <c r="N978" t="n">
        <v>0</v>
      </c>
      <c r="O978" t="n">
        <v>0</v>
      </c>
      <c r="P978" t="n">
        <v>0</v>
      </c>
      <c r="Q978" t="n">
        <v>0</v>
      </c>
      <c r="R978" s="2" t="inlineStr"/>
    </row>
    <row r="979" ht="15" customHeight="1">
      <c r="A979" t="inlineStr">
        <is>
          <t>A 38153-2025</t>
        </is>
      </c>
      <c r="B979" s="1" t="n">
        <v>45882.59722222222</v>
      </c>
      <c r="C979" s="1" t="n">
        <v>46123</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20291-2022</t>
        </is>
      </c>
      <c r="B980" s="1" t="n">
        <v>44698</v>
      </c>
      <c r="C980" s="1" t="n">
        <v>46123</v>
      </c>
      <c r="D980" t="inlineStr">
        <is>
          <t>STOCKHOLMS LÄN</t>
        </is>
      </c>
      <c r="E980" t="inlineStr">
        <is>
          <t>NORRTÄLJE</t>
        </is>
      </c>
      <c r="F980" t="inlineStr">
        <is>
          <t>Naturvårdsverket</t>
        </is>
      </c>
      <c r="G980" t="n">
        <v>2</v>
      </c>
      <c r="H980" t="n">
        <v>0</v>
      </c>
      <c r="I980" t="n">
        <v>0</v>
      </c>
      <c r="J980" t="n">
        <v>0</v>
      </c>
      <c r="K980" t="n">
        <v>0</v>
      </c>
      <c r="L980" t="n">
        <v>0</v>
      </c>
      <c r="M980" t="n">
        <v>0</v>
      </c>
      <c r="N980" t="n">
        <v>0</v>
      </c>
      <c r="O980" t="n">
        <v>0</v>
      </c>
      <c r="P980" t="n">
        <v>0</v>
      </c>
      <c r="Q980" t="n">
        <v>0</v>
      </c>
      <c r="R980" s="2" t="inlineStr"/>
    </row>
    <row r="981" ht="15" customHeight="1">
      <c r="A981" t="inlineStr">
        <is>
          <t>A 26115-2024</t>
        </is>
      </c>
      <c r="B981" s="1" t="n">
        <v>45468.45628472222</v>
      </c>
      <c r="C981" s="1" t="n">
        <v>46123</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22816-2021</t>
        </is>
      </c>
      <c r="B982" s="1" t="n">
        <v>44325</v>
      </c>
      <c r="C982" s="1" t="n">
        <v>46123</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5226-2026</t>
        </is>
      </c>
      <c r="B983" s="1" t="n">
        <v>46049.79961805556</v>
      </c>
      <c r="C983" s="1" t="n">
        <v>46123</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13122-2026</t>
        </is>
      </c>
      <c r="B984" s="1" t="n">
        <v>46093.45657407407</v>
      </c>
      <c r="C984" s="1" t="n">
        <v>46123</v>
      </c>
      <c r="D984" t="inlineStr">
        <is>
          <t>STOCKHOLMS LÄN</t>
        </is>
      </c>
      <c r="E984" t="inlineStr">
        <is>
          <t>NORRTÄLJE</t>
        </is>
      </c>
      <c r="G984" t="n">
        <v>4</v>
      </c>
      <c r="H984" t="n">
        <v>0</v>
      </c>
      <c r="I984" t="n">
        <v>0</v>
      </c>
      <c r="J984" t="n">
        <v>0</v>
      </c>
      <c r="K984" t="n">
        <v>0</v>
      </c>
      <c r="L984" t="n">
        <v>0</v>
      </c>
      <c r="M984" t="n">
        <v>0</v>
      </c>
      <c r="N984" t="n">
        <v>0</v>
      </c>
      <c r="O984" t="n">
        <v>0</v>
      </c>
      <c r="P984" t="n">
        <v>0</v>
      </c>
      <c r="Q984" t="n">
        <v>0</v>
      </c>
      <c r="R984" s="2" t="inlineStr"/>
    </row>
    <row r="985" ht="15" customHeight="1">
      <c r="A985" t="inlineStr">
        <is>
          <t>A 5224-2026</t>
        </is>
      </c>
      <c r="B985" s="1" t="n">
        <v>46049.79521990741</v>
      </c>
      <c r="C985" s="1" t="n">
        <v>46123</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5227-2026</t>
        </is>
      </c>
      <c r="B986" s="1" t="n">
        <v>46049.80460648148</v>
      </c>
      <c r="C986" s="1" t="n">
        <v>46123</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19118-2022</t>
        </is>
      </c>
      <c r="B987" s="1" t="n">
        <v>44691.5652662037</v>
      </c>
      <c r="C987" s="1" t="n">
        <v>46123</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5241-2026</t>
        </is>
      </c>
      <c r="B988" s="1" t="n">
        <v>46049.86471064815</v>
      </c>
      <c r="C988" s="1" t="n">
        <v>46123</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8739-2024</t>
        </is>
      </c>
      <c r="B989" s="1" t="n">
        <v>45356.47784722222</v>
      </c>
      <c r="C989" s="1" t="n">
        <v>46123</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13544-2026</t>
        </is>
      </c>
      <c r="B990" s="1" t="n">
        <v>46094.68538194444</v>
      </c>
      <c r="C990" s="1" t="n">
        <v>46123</v>
      </c>
      <c r="D990" t="inlineStr">
        <is>
          <t>STOCKHOLMS LÄN</t>
        </is>
      </c>
      <c r="E990" t="inlineStr">
        <is>
          <t>NORRTÄLJE</t>
        </is>
      </c>
      <c r="F990" t="inlineStr">
        <is>
          <t>Holmen skog AB</t>
        </is>
      </c>
      <c r="G990" t="n">
        <v>3.2</v>
      </c>
      <c r="H990" t="n">
        <v>0</v>
      </c>
      <c r="I990" t="n">
        <v>0</v>
      </c>
      <c r="J990" t="n">
        <v>0</v>
      </c>
      <c r="K990" t="n">
        <v>0</v>
      </c>
      <c r="L990" t="n">
        <v>0</v>
      </c>
      <c r="M990" t="n">
        <v>0</v>
      </c>
      <c r="N990" t="n">
        <v>0</v>
      </c>
      <c r="O990" t="n">
        <v>0</v>
      </c>
      <c r="P990" t="n">
        <v>0</v>
      </c>
      <c r="Q990" t="n">
        <v>0</v>
      </c>
      <c r="R990" s="2" t="inlineStr"/>
    </row>
    <row r="991" ht="15" customHeight="1">
      <c r="A991" t="inlineStr">
        <is>
          <t>A 38759-2022</t>
        </is>
      </c>
      <c r="B991" s="1" t="n">
        <v>44816</v>
      </c>
      <c r="C991" s="1" t="n">
        <v>46123</v>
      </c>
      <c r="D991" t="inlineStr">
        <is>
          <t>STOCKHOLMS LÄN</t>
        </is>
      </c>
      <c r="E991" t="inlineStr">
        <is>
          <t>NORRTÄLJE</t>
        </is>
      </c>
      <c r="G991" t="n">
        <v>2.8</v>
      </c>
      <c r="H991" t="n">
        <v>0</v>
      </c>
      <c r="I991" t="n">
        <v>0</v>
      </c>
      <c r="J991" t="n">
        <v>0</v>
      </c>
      <c r="K991" t="n">
        <v>0</v>
      </c>
      <c r="L991" t="n">
        <v>0</v>
      </c>
      <c r="M991" t="n">
        <v>0</v>
      </c>
      <c r="N991" t="n">
        <v>0</v>
      </c>
      <c r="O991" t="n">
        <v>0</v>
      </c>
      <c r="P991" t="n">
        <v>0</v>
      </c>
      <c r="Q991" t="n">
        <v>0</v>
      </c>
      <c r="R991" s="2" t="inlineStr"/>
    </row>
    <row r="992" ht="15" customHeight="1">
      <c r="A992" t="inlineStr">
        <is>
          <t>A 39610-2025</t>
        </is>
      </c>
      <c r="B992" s="1" t="n">
        <v>45890</v>
      </c>
      <c r="C992" s="1" t="n">
        <v>46123</v>
      </c>
      <c r="D992" t="inlineStr">
        <is>
          <t>STOCKHOLMS LÄN</t>
        </is>
      </c>
      <c r="E992" t="inlineStr">
        <is>
          <t>NORRTÄLJE</t>
        </is>
      </c>
      <c r="G992" t="n">
        <v>28.6</v>
      </c>
      <c r="H992" t="n">
        <v>0</v>
      </c>
      <c r="I992" t="n">
        <v>0</v>
      </c>
      <c r="J992" t="n">
        <v>0</v>
      </c>
      <c r="K992" t="n">
        <v>0</v>
      </c>
      <c r="L992" t="n">
        <v>0</v>
      </c>
      <c r="M992" t="n">
        <v>0</v>
      </c>
      <c r="N992" t="n">
        <v>0</v>
      </c>
      <c r="O992" t="n">
        <v>0</v>
      </c>
      <c r="P992" t="n">
        <v>0</v>
      </c>
      <c r="Q992" t="n">
        <v>0</v>
      </c>
      <c r="R992" s="2" t="inlineStr"/>
    </row>
    <row r="993" ht="15" customHeight="1">
      <c r="A993" t="inlineStr">
        <is>
          <t>A 13545-2026</t>
        </is>
      </c>
      <c r="B993" s="1" t="n">
        <v>46094.6911574074</v>
      </c>
      <c r="C993" s="1" t="n">
        <v>46123</v>
      </c>
      <c r="D993" t="inlineStr">
        <is>
          <t>STOCKHOLMS LÄN</t>
        </is>
      </c>
      <c r="E993" t="inlineStr">
        <is>
          <t>NORRTÄLJE</t>
        </is>
      </c>
      <c r="F993" t="inlineStr">
        <is>
          <t>Holmen skog AB</t>
        </is>
      </c>
      <c r="G993" t="n">
        <v>0.8</v>
      </c>
      <c r="H993" t="n">
        <v>0</v>
      </c>
      <c r="I993" t="n">
        <v>0</v>
      </c>
      <c r="J993" t="n">
        <v>0</v>
      </c>
      <c r="K993" t="n">
        <v>0</v>
      </c>
      <c r="L993" t="n">
        <v>0</v>
      </c>
      <c r="M993" t="n">
        <v>0</v>
      </c>
      <c r="N993" t="n">
        <v>0</v>
      </c>
      <c r="O993" t="n">
        <v>0</v>
      </c>
      <c r="P993" t="n">
        <v>0</v>
      </c>
      <c r="Q993" t="n">
        <v>0</v>
      </c>
      <c r="R993" s="2" t="inlineStr"/>
    </row>
    <row r="994" ht="15" customHeight="1">
      <c r="A994" t="inlineStr">
        <is>
          <t>A 32857-2021</t>
        </is>
      </c>
      <c r="B994" s="1" t="n">
        <v>44375</v>
      </c>
      <c r="C994" s="1" t="n">
        <v>46123</v>
      </c>
      <c r="D994" t="inlineStr">
        <is>
          <t>STOCKHOLMS LÄN</t>
        </is>
      </c>
      <c r="E994" t="inlineStr">
        <is>
          <t>NORRTÄLJE</t>
        </is>
      </c>
      <c r="G994" t="n">
        <v>2.9</v>
      </c>
      <c r="H994" t="n">
        <v>0</v>
      </c>
      <c r="I994" t="n">
        <v>0</v>
      </c>
      <c r="J994" t="n">
        <v>0</v>
      </c>
      <c r="K994" t="n">
        <v>0</v>
      </c>
      <c r="L994" t="n">
        <v>0</v>
      </c>
      <c r="M994" t="n">
        <v>0</v>
      </c>
      <c r="N994" t="n">
        <v>0</v>
      </c>
      <c r="O994" t="n">
        <v>0</v>
      </c>
      <c r="P994" t="n">
        <v>0</v>
      </c>
      <c r="Q994" t="n">
        <v>0</v>
      </c>
      <c r="R994" s="2" t="inlineStr"/>
    </row>
    <row r="995" ht="15" customHeight="1">
      <c r="A995" t="inlineStr">
        <is>
          <t>A 29714-2023</t>
        </is>
      </c>
      <c r="B995" s="1" t="n">
        <v>45107.42538194444</v>
      </c>
      <c r="C995" s="1" t="n">
        <v>46123</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23271-2023</t>
        </is>
      </c>
      <c r="B996" s="1" t="n">
        <v>45075.91362268518</v>
      </c>
      <c r="C996" s="1" t="n">
        <v>46123</v>
      </c>
      <c r="D996" t="inlineStr">
        <is>
          <t>STOCKHOLMS LÄN</t>
        </is>
      </c>
      <c r="E996" t="inlineStr">
        <is>
          <t>NORRTÄLJE</t>
        </is>
      </c>
      <c r="G996" t="n">
        <v>5.1</v>
      </c>
      <c r="H996" t="n">
        <v>0</v>
      </c>
      <c r="I996" t="n">
        <v>0</v>
      </c>
      <c r="J996" t="n">
        <v>0</v>
      </c>
      <c r="K996" t="n">
        <v>0</v>
      </c>
      <c r="L996" t="n">
        <v>0</v>
      </c>
      <c r="M996" t="n">
        <v>0</v>
      </c>
      <c r="N996" t="n">
        <v>0</v>
      </c>
      <c r="O996" t="n">
        <v>0</v>
      </c>
      <c r="P996" t="n">
        <v>0</v>
      </c>
      <c r="Q996" t="n">
        <v>0</v>
      </c>
      <c r="R996" s="2" t="inlineStr"/>
    </row>
    <row r="997" ht="15" customHeight="1">
      <c r="A997" t="inlineStr">
        <is>
          <t>A 23273-2023</t>
        </is>
      </c>
      <c r="B997" s="1" t="n">
        <v>45075.91971064815</v>
      </c>
      <c r="C997" s="1" t="n">
        <v>46123</v>
      </c>
      <c r="D997" t="inlineStr">
        <is>
          <t>STOCKHOLMS LÄN</t>
        </is>
      </c>
      <c r="E997" t="inlineStr">
        <is>
          <t>NORRTÄLJE</t>
        </is>
      </c>
      <c r="G997" t="n">
        <v>7.5</v>
      </c>
      <c r="H997" t="n">
        <v>0</v>
      </c>
      <c r="I997" t="n">
        <v>0</v>
      </c>
      <c r="J997" t="n">
        <v>0</v>
      </c>
      <c r="K997" t="n">
        <v>0</v>
      </c>
      <c r="L997" t="n">
        <v>0</v>
      </c>
      <c r="M997" t="n">
        <v>0</v>
      </c>
      <c r="N997" t="n">
        <v>0</v>
      </c>
      <c r="O997" t="n">
        <v>0</v>
      </c>
      <c r="P997" t="n">
        <v>0</v>
      </c>
      <c r="Q997" t="n">
        <v>0</v>
      </c>
      <c r="R997" s="2" t="inlineStr"/>
    </row>
    <row r="998" ht="15" customHeight="1">
      <c r="A998" t="inlineStr">
        <is>
          <t>A 5934-2026</t>
        </is>
      </c>
      <c r="B998" s="1" t="n">
        <v>46052.47082175926</v>
      </c>
      <c r="C998" s="1" t="n">
        <v>46123</v>
      </c>
      <c r="D998" t="inlineStr">
        <is>
          <t>STOCKHOLMS LÄN</t>
        </is>
      </c>
      <c r="E998" t="inlineStr">
        <is>
          <t>NORRTÄLJE</t>
        </is>
      </c>
      <c r="F998" t="inlineStr">
        <is>
          <t>Holmen skog AB</t>
        </is>
      </c>
      <c r="G998" t="n">
        <v>5.5</v>
      </c>
      <c r="H998" t="n">
        <v>0</v>
      </c>
      <c r="I998" t="n">
        <v>0</v>
      </c>
      <c r="J998" t="n">
        <v>0</v>
      </c>
      <c r="K998" t="n">
        <v>0</v>
      </c>
      <c r="L998" t="n">
        <v>0</v>
      </c>
      <c r="M998" t="n">
        <v>0</v>
      </c>
      <c r="N998" t="n">
        <v>0</v>
      </c>
      <c r="O998" t="n">
        <v>0</v>
      </c>
      <c r="P998" t="n">
        <v>0</v>
      </c>
      <c r="Q998" t="n">
        <v>0</v>
      </c>
      <c r="R998" s="2" t="inlineStr"/>
    </row>
    <row r="999" ht="15" customHeight="1">
      <c r="A999" t="inlineStr">
        <is>
          <t>A 13546-2026</t>
        </is>
      </c>
      <c r="B999" s="1" t="n">
        <v>46094.69196759259</v>
      </c>
      <c r="C999" s="1" t="n">
        <v>46123</v>
      </c>
      <c r="D999" t="inlineStr">
        <is>
          <t>STOCKHOLMS LÄN</t>
        </is>
      </c>
      <c r="E999" t="inlineStr">
        <is>
          <t>NORRTÄLJE</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7603-2025</t>
        </is>
      </c>
      <c r="B1000" s="1" t="n">
        <v>45705.66126157407</v>
      </c>
      <c r="C1000" s="1" t="n">
        <v>46123</v>
      </c>
      <c r="D1000" t="inlineStr">
        <is>
          <t>STOCKHOLMS LÄN</t>
        </is>
      </c>
      <c r="E1000" t="inlineStr">
        <is>
          <t>NORRTÄLJE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6724-2026</t>
        </is>
      </c>
      <c r="B1001" s="1" t="n">
        <v>46056.67717592593</v>
      </c>
      <c r="C1001" s="1" t="n">
        <v>46123</v>
      </c>
      <c r="D1001" t="inlineStr">
        <is>
          <t>STOCKHOLMS LÄN</t>
        </is>
      </c>
      <c r="E1001" t="inlineStr">
        <is>
          <t>NORRTÄLJE</t>
        </is>
      </c>
      <c r="F1001" t="inlineStr">
        <is>
          <t>Holmen skog AB</t>
        </is>
      </c>
      <c r="G1001" t="n">
        <v>16.2</v>
      </c>
      <c r="H1001" t="n">
        <v>0</v>
      </c>
      <c r="I1001" t="n">
        <v>0</v>
      </c>
      <c r="J1001" t="n">
        <v>0</v>
      </c>
      <c r="K1001" t="n">
        <v>0</v>
      </c>
      <c r="L1001" t="n">
        <v>0</v>
      </c>
      <c r="M1001" t="n">
        <v>0</v>
      </c>
      <c r="N1001" t="n">
        <v>0</v>
      </c>
      <c r="O1001" t="n">
        <v>0</v>
      </c>
      <c r="P1001" t="n">
        <v>0</v>
      </c>
      <c r="Q1001" t="n">
        <v>0</v>
      </c>
      <c r="R1001" s="2" t="inlineStr"/>
    </row>
    <row r="1002" ht="15" customHeight="1">
      <c r="A1002" t="inlineStr">
        <is>
          <t>A 30802-2022</t>
        </is>
      </c>
      <c r="B1002" s="1" t="n">
        <v>44764</v>
      </c>
      <c r="C1002" s="1" t="n">
        <v>46123</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6828-2026</t>
        </is>
      </c>
      <c r="B1003" s="1" t="n">
        <v>46057</v>
      </c>
      <c r="C1003" s="1" t="n">
        <v>46123</v>
      </c>
      <c r="D1003" t="inlineStr">
        <is>
          <t>STOCKHOLMS LÄN</t>
        </is>
      </c>
      <c r="E1003" t="inlineStr">
        <is>
          <t>NORRTÄLJE</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6838-2026</t>
        </is>
      </c>
      <c r="B1004" s="1" t="n">
        <v>46057.41151620371</v>
      </c>
      <c r="C1004" s="1" t="n">
        <v>46123</v>
      </c>
      <c r="D1004" t="inlineStr">
        <is>
          <t>STOCKHOLMS LÄN</t>
        </is>
      </c>
      <c r="E1004" t="inlineStr">
        <is>
          <t>NORRTÄLJE</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55369-2023</t>
        </is>
      </c>
      <c r="B1005" s="1" t="n">
        <v>45238</v>
      </c>
      <c r="C1005" s="1" t="n">
        <v>46123</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6874-2026</t>
        </is>
      </c>
      <c r="B1006" s="1" t="n">
        <v>46057.45295138889</v>
      </c>
      <c r="C1006" s="1" t="n">
        <v>46123</v>
      </c>
      <c r="D1006" t="inlineStr">
        <is>
          <t>STOCKHOLMS LÄN</t>
        </is>
      </c>
      <c r="E1006" t="inlineStr">
        <is>
          <t>NORRTÄLJE</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61113-2023</t>
        </is>
      </c>
      <c r="B1007" s="1" t="n">
        <v>45261</v>
      </c>
      <c r="C1007" s="1" t="n">
        <v>46123</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3283-2025</t>
        </is>
      </c>
      <c r="B1008" s="1" t="n">
        <v>45679</v>
      </c>
      <c r="C1008" s="1" t="n">
        <v>46123</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6532-2026</t>
        </is>
      </c>
      <c r="B1009" s="1" t="n">
        <v>46056.41300925926</v>
      </c>
      <c r="C1009" s="1" t="n">
        <v>46123</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6701-2026</t>
        </is>
      </c>
      <c r="B1010" s="1" t="n">
        <v>46056</v>
      </c>
      <c r="C1010" s="1" t="n">
        <v>46123</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34295-2024</t>
        </is>
      </c>
      <c r="B1011" s="1" t="n">
        <v>45524</v>
      </c>
      <c r="C1011" s="1" t="n">
        <v>46123</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58311-2023</t>
        </is>
      </c>
      <c r="B1012" s="1" t="n">
        <v>45245</v>
      </c>
      <c r="C1012" s="1" t="n">
        <v>46123</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23692-2024</t>
        </is>
      </c>
      <c r="B1013" s="1" t="n">
        <v>45454.65774305556</v>
      </c>
      <c r="C1013" s="1" t="n">
        <v>46123</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20473-2021</t>
        </is>
      </c>
      <c r="B1014" s="1" t="n">
        <v>44315</v>
      </c>
      <c r="C1014" s="1" t="n">
        <v>46123</v>
      </c>
      <c r="D1014" t="inlineStr">
        <is>
          <t>STOCKHOLMS LÄN</t>
        </is>
      </c>
      <c r="E1014" t="inlineStr">
        <is>
          <t>NORRTÄLJE</t>
        </is>
      </c>
      <c r="F1014" t="inlineStr">
        <is>
          <t>Övriga Aktiebolag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54273-2021</t>
        </is>
      </c>
      <c r="B1015" s="1" t="n">
        <v>44470.72987268519</v>
      </c>
      <c r="C1015" s="1" t="n">
        <v>46123</v>
      </c>
      <c r="D1015" t="inlineStr">
        <is>
          <t>STOCKHOLMS LÄN</t>
        </is>
      </c>
      <c r="E1015" t="inlineStr">
        <is>
          <t>NORRTÄLJE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14348-2026</t>
        </is>
      </c>
      <c r="B1016" s="1" t="n">
        <v>46100.34112268518</v>
      </c>
      <c r="C1016" s="1" t="n">
        <v>46123</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7308-2026</t>
        </is>
      </c>
      <c r="B1017" s="1" t="n">
        <v>46058.66025462963</v>
      </c>
      <c r="C1017" s="1" t="n">
        <v>46123</v>
      </c>
      <c r="D1017" t="inlineStr">
        <is>
          <t>STOCKHOLMS LÄN</t>
        </is>
      </c>
      <c r="E1017" t="inlineStr">
        <is>
          <t>NORRTÄLJE</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7532-2026</t>
        </is>
      </c>
      <c r="B1018" s="1" t="n">
        <v>46059</v>
      </c>
      <c r="C1018" s="1" t="n">
        <v>46123</v>
      </c>
      <c r="D1018" t="inlineStr">
        <is>
          <t>STOCKHOLMS LÄN</t>
        </is>
      </c>
      <c r="E1018" t="inlineStr">
        <is>
          <t>NORRTÄLJE</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14475-2026</t>
        </is>
      </c>
      <c r="B1019" s="1" t="n">
        <v>46100.57251157407</v>
      </c>
      <c r="C1019" s="1" t="n">
        <v>46123</v>
      </c>
      <c r="D1019" t="inlineStr">
        <is>
          <t>STOCKHOLMS LÄN</t>
        </is>
      </c>
      <c r="E1019" t="inlineStr">
        <is>
          <t>NORRTÄLJE</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7806-2025</t>
        </is>
      </c>
      <c r="B1020" s="1" t="n">
        <v>45706.61178240741</v>
      </c>
      <c r="C1020" s="1" t="n">
        <v>46123</v>
      </c>
      <c r="D1020" t="inlineStr">
        <is>
          <t>STOCKHOLMS LÄN</t>
        </is>
      </c>
      <c r="E1020" t="inlineStr">
        <is>
          <t>NORRTÄLJE</t>
        </is>
      </c>
      <c r="F1020" t="inlineStr">
        <is>
          <t>Holmen skog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53792-2023</t>
        </is>
      </c>
      <c r="B1021" s="1" t="n">
        <v>45231.34144675926</v>
      </c>
      <c r="C1021" s="1" t="n">
        <v>46123</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8055-2026</t>
        </is>
      </c>
      <c r="B1022" s="1" t="n">
        <v>46063.62002314815</v>
      </c>
      <c r="C1022" s="1" t="n">
        <v>46123</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21329-2022</t>
        </is>
      </c>
      <c r="B1023" s="1" t="n">
        <v>44705.60626157407</v>
      </c>
      <c r="C1023" s="1" t="n">
        <v>46123</v>
      </c>
      <c r="D1023" t="inlineStr">
        <is>
          <t>STOCKHOLMS LÄN</t>
        </is>
      </c>
      <c r="E1023" t="inlineStr">
        <is>
          <t>NORRTÄLJE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50569-2022</t>
        </is>
      </c>
      <c r="B1024" s="1" t="n">
        <v>44866.63775462963</v>
      </c>
      <c r="C1024" s="1" t="n">
        <v>46123</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7793-2026</t>
        </is>
      </c>
      <c r="B1025" s="1" t="n">
        <v>46062.59496527778</v>
      </c>
      <c r="C1025" s="1" t="n">
        <v>46123</v>
      </c>
      <c r="D1025" t="inlineStr">
        <is>
          <t>STOCKHOLMS LÄN</t>
        </is>
      </c>
      <c r="E1025" t="inlineStr">
        <is>
          <t>NORRTÄLJE</t>
        </is>
      </c>
      <c r="F1025" t="inlineStr">
        <is>
          <t>Holmen skog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24501-2023</t>
        </is>
      </c>
      <c r="B1026" s="1" t="n">
        <v>45082</v>
      </c>
      <c r="C1026" s="1" t="n">
        <v>46123</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24520-2023</t>
        </is>
      </c>
      <c r="B1027" s="1" t="n">
        <v>45082.68922453704</v>
      </c>
      <c r="C1027" s="1" t="n">
        <v>46123</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60654-2023</t>
        </is>
      </c>
      <c r="B1028" s="1" t="n">
        <v>45260.43225694444</v>
      </c>
      <c r="C1028" s="1" t="n">
        <v>46123</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60656-2023</t>
        </is>
      </c>
      <c r="B1029" s="1" t="n">
        <v>45260.4333449074</v>
      </c>
      <c r="C1029" s="1" t="n">
        <v>46123</v>
      </c>
      <c r="D1029" t="inlineStr">
        <is>
          <t>STOCKHOLMS LÄN</t>
        </is>
      </c>
      <c r="E1029" t="inlineStr">
        <is>
          <t>NORRTÄLJE</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54496-2024</t>
        </is>
      </c>
      <c r="B1030" s="1" t="n">
        <v>45617.57439814815</v>
      </c>
      <c r="C1030" s="1" t="n">
        <v>46123</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8096-2026</t>
        </is>
      </c>
      <c r="B1031" s="1" t="n">
        <v>46063.714375</v>
      </c>
      <c r="C1031" s="1" t="n">
        <v>46123</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21386-2023</t>
        </is>
      </c>
      <c r="B1032" s="1" t="n">
        <v>45063.35880787037</v>
      </c>
      <c r="C1032" s="1" t="n">
        <v>46123</v>
      </c>
      <c r="D1032" t="inlineStr">
        <is>
          <t>STOCKHOLMS LÄN</t>
        </is>
      </c>
      <c r="E1032" t="inlineStr">
        <is>
          <t>NORRTÄLJE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7723-2026</t>
        </is>
      </c>
      <c r="B1033" s="1" t="n">
        <v>46062.49905092592</v>
      </c>
      <c r="C1033" s="1" t="n">
        <v>46123</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10642-2025</t>
        </is>
      </c>
      <c r="B1034" s="1" t="n">
        <v>45721.65858796296</v>
      </c>
      <c r="C1034" s="1" t="n">
        <v>46123</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7729-2026</t>
        </is>
      </c>
      <c r="B1035" s="1" t="n">
        <v>46062.51100694444</v>
      </c>
      <c r="C1035" s="1" t="n">
        <v>46123</v>
      </c>
      <c r="D1035" t="inlineStr">
        <is>
          <t>STOCKHOLMS LÄN</t>
        </is>
      </c>
      <c r="E1035" t="inlineStr">
        <is>
          <t>NORRTÄLJE</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7582-2026</t>
        </is>
      </c>
      <c r="B1036" s="1" t="n">
        <v>46061</v>
      </c>
      <c r="C1036" s="1" t="n">
        <v>46123</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20144-2023</t>
        </is>
      </c>
      <c r="B1037" s="1" t="n">
        <v>45055.43509259259</v>
      </c>
      <c r="C1037" s="1" t="n">
        <v>46123</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53312-2024</t>
        </is>
      </c>
      <c r="B1038" s="1" t="n">
        <v>45614.39627314815</v>
      </c>
      <c r="C1038" s="1" t="n">
        <v>46123</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39202-2024</t>
        </is>
      </c>
      <c r="B1039" s="1" t="n">
        <v>45548.72306712963</v>
      </c>
      <c r="C1039" s="1" t="n">
        <v>46123</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22756-2022</t>
        </is>
      </c>
      <c r="B1040" s="1" t="n">
        <v>44714.92253472222</v>
      </c>
      <c r="C1040" s="1" t="n">
        <v>46123</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4581-2025</t>
        </is>
      </c>
      <c r="B1041" s="1" t="n">
        <v>45687</v>
      </c>
      <c r="C1041" s="1" t="n">
        <v>46123</v>
      </c>
      <c r="D1041" t="inlineStr">
        <is>
          <t>STOCKHOLMS LÄN</t>
        </is>
      </c>
      <c r="E1041" t="inlineStr">
        <is>
          <t>NORRTÄLJE</t>
        </is>
      </c>
      <c r="F1041" t="inlineStr">
        <is>
          <t>Holmen skog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60765-2023</t>
        </is>
      </c>
      <c r="B1042" s="1" t="n">
        <v>45260</v>
      </c>
      <c r="C1042" s="1" t="n">
        <v>46123</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23801-2022</t>
        </is>
      </c>
      <c r="B1043" s="1" t="n">
        <v>44722</v>
      </c>
      <c r="C1043" s="1" t="n">
        <v>46123</v>
      </c>
      <c r="D1043" t="inlineStr">
        <is>
          <t>STOCKHOLMS LÄN</t>
        </is>
      </c>
      <c r="E1043" t="inlineStr">
        <is>
          <t>NORRTÄLJE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59276-2023</t>
        </is>
      </c>
      <c r="B1044" s="1" t="n">
        <v>45253.55641203704</v>
      </c>
      <c r="C1044" s="1" t="n">
        <v>46123</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46914-2022</t>
        </is>
      </c>
      <c r="B1045" s="1" t="n">
        <v>44851</v>
      </c>
      <c r="C1045" s="1" t="n">
        <v>46123</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18541-2023</t>
        </is>
      </c>
      <c r="B1046" s="1" t="n">
        <v>45042.74291666667</v>
      </c>
      <c r="C1046" s="1" t="n">
        <v>46123</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3509-2022</t>
        </is>
      </c>
      <c r="B1047" s="1" t="n">
        <v>44585</v>
      </c>
      <c r="C1047" s="1" t="n">
        <v>46123</v>
      </c>
      <c r="D1047" t="inlineStr">
        <is>
          <t>STOCKHOLMS LÄN</t>
        </is>
      </c>
      <c r="E1047" t="inlineStr">
        <is>
          <t>NORRTÄLJE</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26407-2024</t>
        </is>
      </c>
      <c r="B1048" s="1" t="n">
        <v>45469</v>
      </c>
      <c r="C1048" s="1" t="n">
        <v>46123</v>
      </c>
      <c r="D1048" t="inlineStr">
        <is>
          <t>STOCKHOLMS LÄN</t>
        </is>
      </c>
      <c r="E1048" t="inlineStr">
        <is>
          <t>NORRTÄLJE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8091-2026</t>
        </is>
      </c>
      <c r="B1049" s="1" t="n">
        <v>46063.70944444444</v>
      </c>
      <c r="C1049" s="1" t="n">
        <v>46123</v>
      </c>
      <c r="D1049" t="inlineStr">
        <is>
          <t>STOCKHOLMS LÄN</t>
        </is>
      </c>
      <c r="E1049" t="inlineStr">
        <is>
          <t>NORRTÄLJE</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12890-2024</t>
        </is>
      </c>
      <c r="B1050" s="1" t="n">
        <v>45385.36243055556</v>
      </c>
      <c r="C1050" s="1" t="n">
        <v>46123</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47419-2023</t>
        </is>
      </c>
      <c r="B1051" s="1" t="n">
        <v>45202.65660879629</v>
      </c>
      <c r="C1051" s="1" t="n">
        <v>46123</v>
      </c>
      <c r="D1051" t="inlineStr">
        <is>
          <t>STOCKHOLMS LÄN</t>
        </is>
      </c>
      <c r="E1051" t="inlineStr">
        <is>
          <t>NORRTÄLJE</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23070-2023</t>
        </is>
      </c>
      <c r="B1052" s="1" t="n">
        <v>45075</v>
      </c>
      <c r="C1052" s="1" t="n">
        <v>46123</v>
      </c>
      <c r="D1052" t="inlineStr">
        <is>
          <t>STOCKHOLMS LÄN</t>
        </is>
      </c>
      <c r="E1052" t="inlineStr">
        <is>
          <t>NORRTÄLJE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8410-2026</t>
        </is>
      </c>
      <c r="B1053" s="1" t="n">
        <v>46065.34261574074</v>
      </c>
      <c r="C1053" s="1" t="n">
        <v>46123</v>
      </c>
      <c r="D1053" t="inlineStr">
        <is>
          <t>STOCKHOLMS LÄN</t>
        </is>
      </c>
      <c r="E1053" t="inlineStr">
        <is>
          <t>NORRTÄLJE</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27824-2022</t>
        </is>
      </c>
      <c r="B1054" s="1" t="n">
        <v>44743.59331018518</v>
      </c>
      <c r="C1054" s="1" t="n">
        <v>46123</v>
      </c>
      <c r="D1054" t="inlineStr">
        <is>
          <t>STOCKHOLMS LÄN</t>
        </is>
      </c>
      <c r="E1054" t="inlineStr">
        <is>
          <t>NORRTÄLJE</t>
        </is>
      </c>
      <c r="F1054" t="inlineStr">
        <is>
          <t>Kommuner</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25619-2022</t>
        </is>
      </c>
      <c r="B1055" s="1" t="n">
        <v>44732</v>
      </c>
      <c r="C1055" s="1" t="n">
        <v>46123</v>
      </c>
      <c r="D1055" t="inlineStr">
        <is>
          <t>STOCKHOLMS LÄN</t>
        </is>
      </c>
      <c r="E1055" t="inlineStr">
        <is>
          <t>NORRTÄLJE</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36246-2021</t>
        </is>
      </c>
      <c r="B1056" s="1" t="n">
        <v>44390</v>
      </c>
      <c r="C1056" s="1" t="n">
        <v>46123</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8489-2026</t>
        </is>
      </c>
      <c r="B1057" s="1" t="n">
        <v>46065.48268518518</v>
      </c>
      <c r="C1057" s="1" t="n">
        <v>46123</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19952-2023</t>
        </is>
      </c>
      <c r="B1058" s="1" t="n">
        <v>45054.54091435186</v>
      </c>
      <c r="C1058" s="1" t="n">
        <v>46123</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19994-2023</t>
        </is>
      </c>
      <c r="B1059" s="1" t="n">
        <v>45054</v>
      </c>
      <c r="C1059" s="1" t="n">
        <v>46123</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14130-2025</t>
        </is>
      </c>
      <c r="B1060" s="1" t="n">
        <v>45740.47288194444</v>
      </c>
      <c r="C1060" s="1" t="n">
        <v>46123</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8465-2026</t>
        </is>
      </c>
      <c r="B1061" s="1" t="n">
        <v>46065.44141203703</v>
      </c>
      <c r="C1061" s="1" t="n">
        <v>46123</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574-2023</t>
        </is>
      </c>
      <c r="B1062" s="1" t="n">
        <v>44925</v>
      </c>
      <c r="C1062" s="1" t="n">
        <v>46123</v>
      </c>
      <c r="D1062" t="inlineStr">
        <is>
          <t>STOCKHOLMS LÄN</t>
        </is>
      </c>
      <c r="E1062" t="inlineStr">
        <is>
          <t>NORRTÄLJE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30283-2022</t>
        </is>
      </c>
      <c r="B1063" s="1" t="n">
        <v>44760</v>
      </c>
      <c r="C1063" s="1" t="n">
        <v>46123</v>
      </c>
      <c r="D1063" t="inlineStr">
        <is>
          <t>STOCKHOLMS LÄN</t>
        </is>
      </c>
      <c r="E1063" t="inlineStr">
        <is>
          <t>NORRTÄLJE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30290-2022</t>
        </is>
      </c>
      <c r="B1064" s="1" t="n">
        <v>44760</v>
      </c>
      <c r="C1064" s="1" t="n">
        <v>46123</v>
      </c>
      <c r="D1064" t="inlineStr">
        <is>
          <t>STOCKHOLMS LÄN</t>
        </is>
      </c>
      <c r="E1064" t="inlineStr">
        <is>
          <t>NORRTÄLJE</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29684-2021</t>
        </is>
      </c>
      <c r="B1065" s="1" t="n">
        <v>44362.37172453704</v>
      </c>
      <c r="C1065" s="1" t="n">
        <v>46123</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15836-2026</t>
        </is>
      </c>
      <c r="B1066" s="1" t="n">
        <v>46107.56134259259</v>
      </c>
      <c r="C1066" s="1" t="n">
        <v>46123</v>
      </c>
      <c r="D1066" t="inlineStr">
        <is>
          <t>STOCKHOLMS LÄN</t>
        </is>
      </c>
      <c r="E1066" t="inlineStr">
        <is>
          <t>NORRTÄLJE</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8454-2026</t>
        </is>
      </c>
      <c r="B1067" s="1" t="n">
        <v>46065.42506944444</v>
      </c>
      <c r="C1067" s="1" t="n">
        <v>46123</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60884-2024</t>
        </is>
      </c>
      <c r="B1068" s="1" t="n">
        <v>45644.90815972222</v>
      </c>
      <c r="C1068" s="1" t="n">
        <v>46123</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38610-2022</t>
        </is>
      </c>
      <c r="B1069" s="1" t="n">
        <v>44813.59915509259</v>
      </c>
      <c r="C1069" s="1" t="n">
        <v>46123</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10090-2022</t>
        </is>
      </c>
      <c r="B1070" s="1" t="n">
        <v>44621</v>
      </c>
      <c r="C1070" s="1" t="n">
        <v>46123</v>
      </c>
      <c r="D1070" t="inlineStr">
        <is>
          <t>STOCKHOLMS LÄN</t>
        </is>
      </c>
      <c r="E1070" t="inlineStr">
        <is>
          <t>NORRTÄLJE</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14724-2022</t>
        </is>
      </c>
      <c r="B1071" s="1" t="n">
        <v>44656</v>
      </c>
      <c r="C1071" s="1" t="n">
        <v>46123</v>
      </c>
      <c r="D1071" t="inlineStr">
        <is>
          <t>STOCKHOLMS LÄN</t>
        </is>
      </c>
      <c r="E1071" t="inlineStr">
        <is>
          <t>NORRTÄLJE</t>
        </is>
      </c>
      <c r="F1071" t="inlineStr">
        <is>
          <t>Sveaskog</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16243-2026</t>
        </is>
      </c>
      <c r="B1072" s="1" t="n">
        <v>46111.45902777778</v>
      </c>
      <c r="C1072" s="1" t="n">
        <v>46123</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18846-2022</t>
        </is>
      </c>
      <c r="B1073" s="1" t="n">
        <v>44690</v>
      </c>
      <c r="C1073" s="1" t="n">
        <v>46123</v>
      </c>
      <c r="D1073" t="inlineStr">
        <is>
          <t>STOCKHOLMS LÄN</t>
        </is>
      </c>
      <c r="E1073" t="inlineStr">
        <is>
          <t>NORRTÄLJE</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43300-2023</t>
        </is>
      </c>
      <c r="B1074" s="1" t="n">
        <v>45183</v>
      </c>
      <c r="C1074" s="1" t="n">
        <v>46123</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9103-2026</t>
        </is>
      </c>
      <c r="B1075" s="1" t="n">
        <v>46069.65039351852</v>
      </c>
      <c r="C1075" s="1" t="n">
        <v>46123</v>
      </c>
      <c r="D1075" t="inlineStr">
        <is>
          <t>STOCKHOLMS LÄN</t>
        </is>
      </c>
      <c r="E1075" t="inlineStr">
        <is>
          <t>NORRTÄLJE</t>
        </is>
      </c>
      <c r="F1075" t="inlineStr">
        <is>
          <t>Holmen skog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25654-2023</t>
        </is>
      </c>
      <c r="B1076" s="1" t="n">
        <v>45089</v>
      </c>
      <c r="C1076" s="1" t="n">
        <v>46123</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8989-2026</t>
        </is>
      </c>
      <c r="B1077" s="1" t="n">
        <v>46069.45789351852</v>
      </c>
      <c r="C1077" s="1" t="n">
        <v>46123</v>
      </c>
      <c r="D1077" t="inlineStr">
        <is>
          <t>STOCKHOLMS LÄN</t>
        </is>
      </c>
      <c r="E1077" t="inlineStr">
        <is>
          <t>NORRTÄLJE</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16229-2026</t>
        </is>
      </c>
      <c r="B1078" s="1" t="n">
        <v>46111.45084490741</v>
      </c>
      <c r="C1078" s="1" t="n">
        <v>46123</v>
      </c>
      <c r="D1078" t="inlineStr">
        <is>
          <t>STOCKHOLMS LÄN</t>
        </is>
      </c>
      <c r="E1078" t="inlineStr">
        <is>
          <t>NORRTÄLJE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23125-2022</t>
        </is>
      </c>
      <c r="B1079" s="1" t="n">
        <v>44719</v>
      </c>
      <c r="C1079" s="1" t="n">
        <v>46123</v>
      </c>
      <c r="D1079" t="inlineStr">
        <is>
          <t>STOCKHOLMS LÄN</t>
        </is>
      </c>
      <c r="E1079" t="inlineStr">
        <is>
          <t>NORRTÄLJE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20121-2022</t>
        </is>
      </c>
      <c r="B1080" s="1" t="n">
        <v>44698</v>
      </c>
      <c r="C1080" s="1" t="n">
        <v>46123</v>
      </c>
      <c r="D1080" t="inlineStr">
        <is>
          <t>STOCKHOLMS LÄN</t>
        </is>
      </c>
      <c r="E1080" t="inlineStr">
        <is>
          <t>NORRTÄLJE</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33385-2024</t>
        </is>
      </c>
      <c r="B1081" s="1" t="n">
        <v>45519</v>
      </c>
      <c r="C1081" s="1" t="n">
        <v>46123</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41172-2023</t>
        </is>
      </c>
      <c r="B1082" s="1" t="n">
        <v>45170</v>
      </c>
      <c r="C1082" s="1" t="n">
        <v>46123</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73307-2021</t>
        </is>
      </c>
      <c r="B1083" s="1" t="n">
        <v>44549</v>
      </c>
      <c r="C1083" s="1" t="n">
        <v>46123</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50534-2024</t>
        </is>
      </c>
      <c r="B1084" s="1" t="n">
        <v>45601.56726851852</v>
      </c>
      <c r="C1084" s="1" t="n">
        <v>46123</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14937-2026</t>
        </is>
      </c>
      <c r="B1085" s="1" t="n">
        <v>46104</v>
      </c>
      <c r="C1085" s="1" t="n">
        <v>46123</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8985-2026</t>
        </is>
      </c>
      <c r="B1086" s="1" t="n">
        <v>46069.45234953704</v>
      </c>
      <c r="C1086" s="1" t="n">
        <v>46123</v>
      </c>
      <c r="D1086" t="inlineStr">
        <is>
          <t>STOCKHOLMS LÄN</t>
        </is>
      </c>
      <c r="E1086" t="inlineStr">
        <is>
          <t>NORRTÄLJE</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65499-2021</t>
        </is>
      </c>
      <c r="B1087" s="1" t="n">
        <v>44516</v>
      </c>
      <c r="C1087" s="1" t="n">
        <v>46123</v>
      </c>
      <c r="D1087" t="inlineStr">
        <is>
          <t>STOCKHOLMS LÄN</t>
        </is>
      </c>
      <c r="E1087" t="inlineStr">
        <is>
          <t>NORRTÄLJE</t>
        </is>
      </c>
      <c r="F1087" t="inlineStr">
        <is>
          <t>Kommuner</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65511-2021</t>
        </is>
      </c>
      <c r="B1088" s="1" t="n">
        <v>44516.40674768519</v>
      </c>
      <c r="C1088" s="1" t="n">
        <v>46123</v>
      </c>
      <c r="D1088" t="inlineStr">
        <is>
          <t>STOCKHOLMS LÄN</t>
        </is>
      </c>
      <c r="E1088" t="inlineStr">
        <is>
          <t>NORRTÄLJE</t>
        </is>
      </c>
      <c r="F1088" t="inlineStr">
        <is>
          <t>Kommuner</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8962-2026</t>
        </is>
      </c>
      <c r="B1089" s="1" t="n">
        <v>46069.41644675926</v>
      </c>
      <c r="C1089" s="1" t="n">
        <v>46123</v>
      </c>
      <c r="D1089" t="inlineStr">
        <is>
          <t>STOCKHOLMS LÄN</t>
        </is>
      </c>
      <c r="E1089" t="inlineStr">
        <is>
          <t>NORRTÄLJE</t>
        </is>
      </c>
      <c r="F1089" t="inlineStr">
        <is>
          <t>Holmen skog AB</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22833-2024</t>
        </is>
      </c>
      <c r="B1090" s="1" t="n">
        <v>45448.56746527777</v>
      </c>
      <c r="C1090" s="1" t="n">
        <v>46123</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32514-2022</t>
        </is>
      </c>
      <c r="B1091" s="1" t="n">
        <v>44782</v>
      </c>
      <c r="C1091" s="1" t="n">
        <v>46123</v>
      </c>
      <c r="D1091" t="inlineStr">
        <is>
          <t>STOCKHOLMS LÄN</t>
        </is>
      </c>
      <c r="E1091" t="inlineStr">
        <is>
          <t>NORRTÄLJE</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29362-2022</t>
        </is>
      </c>
      <c r="B1092" s="1" t="n">
        <v>44753</v>
      </c>
      <c r="C1092" s="1" t="n">
        <v>46123</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58492-2022</t>
        </is>
      </c>
      <c r="B1093" s="1" t="n">
        <v>44902</v>
      </c>
      <c r="C1093" s="1" t="n">
        <v>46123</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51315-2021</t>
        </is>
      </c>
      <c r="B1094" s="1" t="n">
        <v>44461</v>
      </c>
      <c r="C1094" s="1" t="n">
        <v>46123</v>
      </c>
      <c r="D1094" t="inlineStr">
        <is>
          <t>STOCKHOLMS LÄN</t>
        </is>
      </c>
      <c r="E1094" t="inlineStr">
        <is>
          <t>NORRTÄLJE</t>
        </is>
      </c>
      <c r="F1094" t="inlineStr">
        <is>
          <t>Holmen skog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14873-2025</t>
        </is>
      </c>
      <c r="B1095" s="1" t="n">
        <v>45743.44953703704</v>
      </c>
      <c r="C1095" s="1" t="n">
        <v>46123</v>
      </c>
      <c r="D1095" t="inlineStr">
        <is>
          <t>STOCKHOLMS LÄN</t>
        </is>
      </c>
      <c r="E1095" t="inlineStr">
        <is>
          <t>NORRTÄLJE</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34773-2022</t>
        </is>
      </c>
      <c r="B1096" s="1" t="n">
        <v>44795</v>
      </c>
      <c r="C1096" s="1" t="n">
        <v>46123</v>
      </c>
      <c r="D1096" t="inlineStr">
        <is>
          <t>STOCKHOLMS LÄN</t>
        </is>
      </c>
      <c r="E1096" t="inlineStr">
        <is>
          <t>NORRTÄLJE</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33173-2024</t>
        </is>
      </c>
      <c r="B1097" s="1" t="n">
        <v>45518</v>
      </c>
      <c r="C1097" s="1" t="n">
        <v>46123</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4484-2025</t>
        </is>
      </c>
      <c r="B1098" s="1" t="n">
        <v>45686.65545138889</v>
      </c>
      <c r="C1098" s="1" t="n">
        <v>46123</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33878-2024</t>
        </is>
      </c>
      <c r="B1099" s="1" t="n">
        <v>45522.44414351852</v>
      </c>
      <c r="C1099" s="1" t="n">
        <v>46123</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9720-2026</t>
        </is>
      </c>
      <c r="B1100" s="1" t="n">
        <v>46072.45061342593</v>
      </c>
      <c r="C1100" s="1" t="n">
        <v>46123</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9246-2024</t>
        </is>
      </c>
      <c r="B1101" s="1" t="n">
        <v>45357</v>
      </c>
      <c r="C1101" s="1" t="n">
        <v>46123</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35698-2023</t>
        </is>
      </c>
      <c r="B1102" s="1" t="n">
        <v>45147</v>
      </c>
      <c r="C1102" s="1" t="n">
        <v>46123</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62398-2022</t>
        </is>
      </c>
      <c r="B1103" s="1" t="n">
        <v>44923.90159722222</v>
      </c>
      <c r="C1103" s="1" t="n">
        <v>46123</v>
      </c>
      <c r="D1103" t="inlineStr">
        <is>
          <t>STOCKHOLMS LÄN</t>
        </is>
      </c>
      <c r="E1103" t="inlineStr">
        <is>
          <t>NORRTÄLJE</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17025-2026</t>
        </is>
      </c>
      <c r="B1104" s="1" t="n">
        <v>46113</v>
      </c>
      <c r="C1104" s="1" t="n">
        <v>46123</v>
      </c>
      <c r="D1104" t="inlineStr">
        <is>
          <t>STOCKHOLMS LÄN</t>
        </is>
      </c>
      <c r="E1104" t="inlineStr">
        <is>
          <t>NORRTÄLJE</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49700-2023</t>
        </is>
      </c>
      <c r="B1105" s="1" t="n">
        <v>45212</v>
      </c>
      <c r="C1105" s="1" t="n">
        <v>46123</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32071-2023</t>
        </is>
      </c>
      <c r="B1106" s="1" t="n">
        <v>45119.57728009259</v>
      </c>
      <c r="C1106" s="1" t="n">
        <v>46123</v>
      </c>
      <c r="D1106" t="inlineStr">
        <is>
          <t>STOCKHOLMS LÄN</t>
        </is>
      </c>
      <c r="E1106" t="inlineStr">
        <is>
          <t>NORRTÄLJE</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1425-2025</t>
        </is>
      </c>
      <c r="B1107" s="1" t="n">
        <v>45668.67446759259</v>
      </c>
      <c r="C1107" s="1" t="n">
        <v>46123</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17775-2022</t>
        </is>
      </c>
      <c r="B1108" s="1" t="n">
        <v>44682.78430555556</v>
      </c>
      <c r="C1108" s="1" t="n">
        <v>46123</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10646-2026</t>
        </is>
      </c>
      <c r="B1109" s="1" t="n">
        <v>46078.34157407407</v>
      </c>
      <c r="C1109" s="1" t="n">
        <v>46123</v>
      </c>
      <c r="D1109" t="inlineStr">
        <is>
          <t>STOCKHOLMS LÄN</t>
        </is>
      </c>
      <c r="E1109" t="inlineStr">
        <is>
          <t>NORRTÄLJE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17345-2026</t>
        </is>
      </c>
      <c r="B1110" s="1" t="n">
        <v>46119.64990740741</v>
      </c>
      <c r="C1110" s="1" t="n">
        <v>46123</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38720-2022</t>
        </is>
      </c>
      <c r="B1111" s="1" t="n">
        <v>44815.74539351852</v>
      </c>
      <c r="C1111" s="1" t="n">
        <v>46123</v>
      </c>
      <c r="D1111" t="inlineStr">
        <is>
          <t>STOCKHOLMS LÄN</t>
        </is>
      </c>
      <c r="E1111" t="inlineStr">
        <is>
          <t>NORRTÄLJE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10399-2026</t>
        </is>
      </c>
      <c r="B1112" s="1" t="n">
        <v>46077</v>
      </c>
      <c r="C1112" s="1" t="n">
        <v>46123</v>
      </c>
      <c r="D1112" t="inlineStr">
        <is>
          <t>STOCKHOLMS LÄN</t>
        </is>
      </c>
      <c r="E1112" t="inlineStr">
        <is>
          <t>NORRTÄLJE</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10215-2023</t>
        </is>
      </c>
      <c r="B1113" s="1" t="n">
        <v>44986.5887962963</v>
      </c>
      <c r="C1113" s="1" t="n">
        <v>46123</v>
      </c>
      <c r="D1113" t="inlineStr">
        <is>
          <t>STOCKHOLMS LÄN</t>
        </is>
      </c>
      <c r="E1113" t="inlineStr">
        <is>
          <t>NORRTÄLJE</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17347-2026</t>
        </is>
      </c>
      <c r="B1114" s="1" t="n">
        <v>46119.65369212963</v>
      </c>
      <c r="C1114" s="1" t="n">
        <v>46123</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25609-2023</t>
        </is>
      </c>
      <c r="B1115" s="1" t="n">
        <v>45089</v>
      </c>
      <c r="C1115" s="1" t="n">
        <v>46123</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17209-2026</t>
        </is>
      </c>
      <c r="B1116" s="1" t="n">
        <v>46119.33341435185</v>
      </c>
      <c r="C1116" s="1" t="n">
        <v>46123</v>
      </c>
      <c r="D1116" t="inlineStr">
        <is>
          <t>STOCKHOLMS LÄN</t>
        </is>
      </c>
      <c r="E1116" t="inlineStr">
        <is>
          <t>NORRTÄLJE</t>
        </is>
      </c>
      <c r="F1116" t="inlineStr">
        <is>
          <t>Holmen skog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20014-2025</t>
        </is>
      </c>
      <c r="B1117" s="1" t="n">
        <v>45772.3078125</v>
      </c>
      <c r="C1117" s="1" t="n">
        <v>46123</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10586-2026</t>
        </is>
      </c>
      <c r="B1118" s="1" t="n">
        <v>46077.68192129629</v>
      </c>
      <c r="C1118" s="1" t="n">
        <v>46123</v>
      </c>
      <c r="D1118" t="inlineStr">
        <is>
          <t>STOCKHOLMS LÄN</t>
        </is>
      </c>
      <c r="E1118" t="inlineStr">
        <is>
          <t>NORRTÄLJE</t>
        </is>
      </c>
      <c r="F1118" t="inlineStr">
        <is>
          <t>Holmen skog AB</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10429-2026</t>
        </is>
      </c>
      <c r="B1119" s="1" t="n">
        <v>46077.3822337963</v>
      </c>
      <c r="C1119" s="1" t="n">
        <v>46123</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20136-2025</t>
        </is>
      </c>
      <c r="B1120" s="1" t="n">
        <v>45772.51127314815</v>
      </c>
      <c r="C1120" s="1" t="n">
        <v>46123</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17215-2026</t>
        </is>
      </c>
      <c r="B1121" s="1" t="n">
        <v>46119.36524305555</v>
      </c>
      <c r="C1121" s="1" t="n">
        <v>46123</v>
      </c>
      <c r="D1121" t="inlineStr">
        <is>
          <t>STOCKHOLMS LÄN</t>
        </is>
      </c>
      <c r="E1121" t="inlineStr">
        <is>
          <t>NORRTÄLJE</t>
        </is>
      </c>
      <c r="F1121" t="inlineStr">
        <is>
          <t>Holmen skog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17220-2026</t>
        </is>
      </c>
      <c r="B1122" s="1" t="n">
        <v>46119.37436342592</v>
      </c>
      <c r="C1122" s="1" t="n">
        <v>46123</v>
      </c>
      <c r="D1122" t="inlineStr">
        <is>
          <t>STOCKHOLMS LÄN</t>
        </is>
      </c>
      <c r="E1122" t="inlineStr">
        <is>
          <t>NORRTÄLJE</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10553-2026</t>
        </is>
      </c>
      <c r="B1123" s="1" t="n">
        <v>46077.62944444444</v>
      </c>
      <c r="C1123" s="1" t="n">
        <v>46123</v>
      </c>
      <c r="D1123" t="inlineStr">
        <is>
          <t>STOCKHOLMS LÄN</t>
        </is>
      </c>
      <c r="E1123" t="inlineStr">
        <is>
          <t>NORRTÄLJE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17207-2026</t>
        </is>
      </c>
      <c r="B1124" s="1" t="n">
        <v>46119.31914351852</v>
      </c>
      <c r="C1124" s="1" t="n">
        <v>46123</v>
      </c>
      <c r="D1124" t="inlineStr">
        <is>
          <t>STOCKHOLMS LÄN</t>
        </is>
      </c>
      <c r="E1124" t="inlineStr">
        <is>
          <t>NORRTÄLJE</t>
        </is>
      </c>
      <c r="F1124" t="inlineStr">
        <is>
          <t>Holmen skog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10444-2026</t>
        </is>
      </c>
      <c r="B1125" s="1" t="n">
        <v>46077.42230324074</v>
      </c>
      <c r="C1125" s="1" t="n">
        <v>46123</v>
      </c>
      <c r="D1125" t="inlineStr">
        <is>
          <t>STOCKHOLMS LÄN</t>
        </is>
      </c>
      <c r="E1125" t="inlineStr">
        <is>
          <t>NORRTÄLJE</t>
        </is>
      </c>
      <c r="F1125" t="inlineStr">
        <is>
          <t>Holmen skog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2287-2024</t>
        </is>
      </c>
      <c r="B1126" s="1" t="n">
        <v>45310</v>
      </c>
      <c r="C1126" s="1" t="n">
        <v>46123</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13785-2024</t>
        </is>
      </c>
      <c r="B1127" s="1" t="n">
        <v>45391.3395949074</v>
      </c>
      <c r="C1127" s="1" t="n">
        <v>46123</v>
      </c>
      <c r="D1127" t="inlineStr">
        <is>
          <t>STOCKHOLMS LÄN</t>
        </is>
      </c>
      <c r="E1127" t="inlineStr">
        <is>
          <t>NORRTÄLJE</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50469-2022</t>
        </is>
      </c>
      <c r="B1128" s="1" t="n">
        <v>44866.49827546296</v>
      </c>
      <c r="C1128" s="1" t="n">
        <v>46123</v>
      </c>
      <c r="D1128" t="inlineStr">
        <is>
          <t>STOCKHOLMS LÄN</t>
        </is>
      </c>
      <c r="E1128" t="inlineStr">
        <is>
          <t>NORRTÄLJE</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51116-2022</t>
        </is>
      </c>
      <c r="B1129" s="1" t="n">
        <v>44868.45741898148</v>
      </c>
      <c r="C1129" s="1" t="n">
        <v>46123</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60217-2021</t>
        </is>
      </c>
      <c r="B1130" s="1" t="n">
        <v>44495.5893287037</v>
      </c>
      <c r="C1130" s="1" t="n">
        <v>46123</v>
      </c>
      <c r="D1130" t="inlineStr">
        <is>
          <t>STOCKHOLMS LÄN</t>
        </is>
      </c>
      <c r="E1130" t="inlineStr">
        <is>
          <t>NORRTÄLJE</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5839-2023</t>
        </is>
      </c>
      <c r="B1131" s="1" t="n">
        <v>44963</v>
      </c>
      <c r="C1131" s="1" t="n">
        <v>46123</v>
      </c>
      <c r="D1131" t="inlineStr">
        <is>
          <t>STOCKHOLMS LÄN</t>
        </is>
      </c>
      <c r="E1131" t="inlineStr">
        <is>
          <t>NORRTÄLJE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38985-2022</t>
        </is>
      </c>
      <c r="B1132" s="1" t="n">
        <v>44816</v>
      </c>
      <c r="C1132" s="1" t="n">
        <v>46123</v>
      </c>
      <c r="D1132" t="inlineStr">
        <is>
          <t>STOCKHOLMS LÄN</t>
        </is>
      </c>
      <c r="E1132" t="inlineStr">
        <is>
          <t>NORRTÄLJE</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5665-2025</t>
        </is>
      </c>
      <c r="B1133" s="1" t="n">
        <v>45693</v>
      </c>
      <c r="C1133" s="1" t="n">
        <v>46123</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3426-2025</t>
        </is>
      </c>
      <c r="B1134" s="1" t="n">
        <v>45680.42665509259</v>
      </c>
      <c r="C1134" s="1" t="n">
        <v>46123</v>
      </c>
      <c r="D1134" t="inlineStr">
        <is>
          <t>STOCKHOLMS LÄN</t>
        </is>
      </c>
      <c r="E1134" t="inlineStr">
        <is>
          <t>NORRTÄLJE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17651-2026</t>
        </is>
      </c>
      <c r="B1135" s="1" t="n">
        <v>46121.55334490741</v>
      </c>
      <c r="C1135" s="1" t="n">
        <v>46123</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58530-2024</t>
        </is>
      </c>
      <c r="B1136" s="1" t="n">
        <v>45635.44788194444</v>
      </c>
      <c r="C1136" s="1" t="n">
        <v>46123</v>
      </c>
      <c r="D1136" t="inlineStr">
        <is>
          <t>STOCKHOLMS LÄN</t>
        </is>
      </c>
      <c r="E1136" t="inlineStr">
        <is>
          <t>NORRTÄLJE</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22421-2021</t>
        </is>
      </c>
      <c r="B1137" s="1" t="n">
        <v>44326</v>
      </c>
      <c r="C1137" s="1" t="n">
        <v>46123</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40761-2024</t>
        </is>
      </c>
      <c r="B1138" s="1" t="n">
        <v>45558.46283564815</v>
      </c>
      <c r="C1138" s="1" t="n">
        <v>46123</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4553-2023</t>
        </is>
      </c>
      <c r="B1139" s="1" t="n">
        <v>44956.65920138889</v>
      </c>
      <c r="C1139" s="1" t="n">
        <v>46123</v>
      </c>
      <c r="D1139" t="inlineStr">
        <is>
          <t>STOCKHOLMS LÄN</t>
        </is>
      </c>
      <c r="E1139" t="inlineStr">
        <is>
          <t>NORRTÄLJE</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4593-2023</t>
        </is>
      </c>
      <c r="B1140" s="1" t="n">
        <v>44956</v>
      </c>
      <c r="C1140" s="1" t="n">
        <v>46123</v>
      </c>
      <c r="D1140" t="inlineStr">
        <is>
          <t>STOCKHOLMS LÄN</t>
        </is>
      </c>
      <c r="E1140" t="inlineStr">
        <is>
          <t>NORRTÄLJE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13171-2025</t>
        </is>
      </c>
      <c r="B1141" s="1" t="n">
        <v>45735.36594907408</v>
      </c>
      <c r="C1141" s="1" t="n">
        <v>46123</v>
      </c>
      <c r="D1141" t="inlineStr">
        <is>
          <t>STOCKHOLMS LÄN</t>
        </is>
      </c>
      <c r="E1141" t="inlineStr">
        <is>
          <t>NORRTÄLJE</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51978-2023</t>
        </is>
      </c>
      <c r="B1142" s="1" t="n">
        <v>45223</v>
      </c>
      <c r="C1142" s="1" t="n">
        <v>46123</v>
      </c>
      <c r="D1142" t="inlineStr">
        <is>
          <t>STOCKHOLMS LÄN</t>
        </is>
      </c>
      <c r="E1142" t="inlineStr">
        <is>
          <t>NORRTÄLJE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18092-2022</t>
        </is>
      </c>
      <c r="B1143" s="1" t="n">
        <v>44684</v>
      </c>
      <c r="C1143" s="1" t="n">
        <v>46123</v>
      </c>
      <c r="D1143" t="inlineStr">
        <is>
          <t>STOCKHOLMS LÄN</t>
        </is>
      </c>
      <c r="E1143" t="inlineStr">
        <is>
          <t>NORRTÄLJE</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59310-2023</t>
        </is>
      </c>
      <c r="B1144" s="1" t="n">
        <v>45253.61146990741</v>
      </c>
      <c r="C1144" s="1" t="n">
        <v>46123</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9329-2023</t>
        </is>
      </c>
      <c r="B1145" s="1" t="n">
        <v>44980</v>
      </c>
      <c r="C1145" s="1" t="n">
        <v>46123</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59878-2024</t>
        </is>
      </c>
      <c r="B1146" s="1" t="n">
        <v>45640.60240740741</v>
      </c>
      <c r="C1146" s="1" t="n">
        <v>46123</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41335-2023</t>
        </is>
      </c>
      <c r="B1147" s="1" t="n">
        <v>45174.68702546296</v>
      </c>
      <c r="C1147" s="1" t="n">
        <v>46123</v>
      </c>
      <c r="D1147" t="inlineStr">
        <is>
          <t>STOCKHOLMS LÄN</t>
        </is>
      </c>
      <c r="E1147" t="inlineStr">
        <is>
          <t>NORRTÄLJE</t>
        </is>
      </c>
      <c r="F1147" t="inlineStr">
        <is>
          <t>Holmen skog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33040-2021</t>
        </is>
      </c>
      <c r="B1148" s="1" t="n">
        <v>44376.50728009259</v>
      </c>
      <c r="C1148" s="1" t="n">
        <v>46123</v>
      </c>
      <c r="D1148" t="inlineStr">
        <is>
          <t>STOCKHOLMS LÄN</t>
        </is>
      </c>
      <c r="E1148" t="inlineStr">
        <is>
          <t>NORRTÄLJE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33053-2021</t>
        </is>
      </c>
      <c r="B1149" s="1" t="n">
        <v>44376</v>
      </c>
      <c r="C1149" s="1" t="n">
        <v>46123</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43150-2023</t>
        </is>
      </c>
      <c r="B1150" s="1" t="n">
        <v>45183</v>
      </c>
      <c r="C1150" s="1" t="n">
        <v>46123</v>
      </c>
      <c r="D1150" t="inlineStr">
        <is>
          <t>STOCKHOLMS LÄN</t>
        </is>
      </c>
      <c r="E1150" t="inlineStr">
        <is>
          <t>NORRTÄLJE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54259-2023</t>
        </is>
      </c>
      <c r="B1151" s="1" t="n">
        <v>45232</v>
      </c>
      <c r="C1151" s="1" t="n">
        <v>46123</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60822-2023</t>
        </is>
      </c>
      <c r="B1152" s="1" t="n">
        <v>45259</v>
      </c>
      <c r="C1152" s="1" t="n">
        <v>46123</v>
      </c>
      <c r="D1152" t="inlineStr">
        <is>
          <t>STOCKHOLMS LÄN</t>
        </is>
      </c>
      <c r="E1152" t="inlineStr">
        <is>
          <t>NORRTÄLJE</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27381-2024</t>
        </is>
      </c>
      <c r="B1153" s="1" t="n">
        <v>45473.94501157408</v>
      </c>
      <c r="C1153" s="1" t="n">
        <v>46123</v>
      </c>
      <c r="D1153" t="inlineStr">
        <is>
          <t>STOCKHOLMS LÄN</t>
        </is>
      </c>
      <c r="E1153" t="inlineStr">
        <is>
          <t>NORRTÄLJE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23265-2023</t>
        </is>
      </c>
      <c r="B1154" s="1" t="n">
        <v>45075.90703703704</v>
      </c>
      <c r="C1154" s="1" t="n">
        <v>46123</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26117-2024</t>
        </is>
      </c>
      <c r="B1155" s="1" t="n">
        <v>45468.45877314815</v>
      </c>
      <c r="C1155" s="1" t="n">
        <v>46123</v>
      </c>
      <c r="D1155" t="inlineStr">
        <is>
          <t>STOCKHOLMS LÄN</t>
        </is>
      </c>
      <c r="E1155" t="inlineStr">
        <is>
          <t>NORRTÄLJE</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20336-2024</t>
        </is>
      </c>
      <c r="B1156" s="1" t="n">
        <v>45435.43123842592</v>
      </c>
      <c r="C1156" s="1" t="n">
        <v>46123</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1847-2023</t>
        </is>
      </c>
      <c r="B1157" s="1" t="n">
        <v>44938</v>
      </c>
      <c r="C1157" s="1" t="n">
        <v>46123</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59721-2024</t>
        </is>
      </c>
      <c r="B1158" s="1" t="n">
        <v>45639.47385416667</v>
      </c>
      <c r="C1158" s="1" t="n">
        <v>46123</v>
      </c>
      <c r="D1158" t="inlineStr">
        <is>
          <t>STOCKHOLMS LÄN</t>
        </is>
      </c>
      <c r="E1158" t="inlineStr">
        <is>
          <t>NORRTÄLJE</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37010-2022</t>
        </is>
      </c>
      <c r="B1159" s="1" t="n">
        <v>44806.41576388889</v>
      </c>
      <c r="C1159" s="1" t="n">
        <v>46123</v>
      </c>
      <c r="D1159" t="inlineStr">
        <is>
          <t>STOCKHOLMS LÄN</t>
        </is>
      </c>
      <c r="E1159" t="inlineStr">
        <is>
          <t>NORRTÄLJE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951-2023</t>
        </is>
      </c>
      <c r="B1160" s="1" t="n">
        <v>44934</v>
      </c>
      <c r="C1160" s="1" t="n">
        <v>46123</v>
      </c>
      <c r="D1160" t="inlineStr">
        <is>
          <t>STOCKHOLMS LÄN</t>
        </is>
      </c>
      <c r="E1160" t="inlineStr">
        <is>
          <t>NORRTÄLJE</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5423-2023</t>
        </is>
      </c>
      <c r="B1161" s="1" t="n">
        <v>44959.74533564815</v>
      </c>
      <c r="C1161" s="1" t="n">
        <v>46123</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50182-2024</t>
        </is>
      </c>
      <c r="B1162" s="1" t="n">
        <v>45600.47275462963</v>
      </c>
      <c r="C1162" s="1" t="n">
        <v>46123</v>
      </c>
      <c r="D1162" t="inlineStr">
        <is>
          <t>STOCKHOLMS LÄN</t>
        </is>
      </c>
      <c r="E1162" t="inlineStr">
        <is>
          <t>NORRTÄLJE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12629-2024</t>
        </is>
      </c>
      <c r="B1163" s="1" t="n">
        <v>45383</v>
      </c>
      <c r="C1163" s="1" t="n">
        <v>46123</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35708-2022</t>
        </is>
      </c>
      <c r="B1164" s="1" t="n">
        <v>44799.65013888889</v>
      </c>
      <c r="C1164" s="1" t="n">
        <v>46123</v>
      </c>
      <c r="D1164" t="inlineStr">
        <is>
          <t>STOCKHOLMS LÄN</t>
        </is>
      </c>
      <c r="E1164" t="inlineStr">
        <is>
          <t>NORRTÄLJE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45220-2024</t>
        </is>
      </c>
      <c r="B1165" s="1" t="n">
        <v>45575</v>
      </c>
      <c r="C1165" s="1" t="n">
        <v>46123</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21731-2023</t>
        </is>
      </c>
      <c r="B1166" s="1" t="n">
        <v>45063</v>
      </c>
      <c r="C1166" s="1" t="n">
        <v>46123</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23266-2023</t>
        </is>
      </c>
      <c r="B1167" s="1" t="n">
        <v>45075.90817129629</v>
      </c>
      <c r="C1167" s="1" t="n">
        <v>46123</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47521-2024</t>
        </is>
      </c>
      <c r="B1168" s="1" t="n">
        <v>45587.62565972222</v>
      </c>
      <c r="C1168" s="1" t="n">
        <v>46123</v>
      </c>
      <c r="D1168" t="inlineStr">
        <is>
          <t>STOCKHOLMS LÄN</t>
        </is>
      </c>
      <c r="E1168" t="inlineStr">
        <is>
          <t>NORRTÄLJE</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58260-2023</t>
        </is>
      </c>
      <c r="B1169" s="1" t="n">
        <v>45245</v>
      </c>
      <c r="C1169" s="1" t="n">
        <v>46123</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58261-2023</t>
        </is>
      </c>
      <c r="B1170" s="1" t="n">
        <v>45245</v>
      </c>
      <c r="C1170" s="1" t="n">
        <v>46123</v>
      </c>
      <c r="D1170" t="inlineStr">
        <is>
          <t>STOCKHOLMS LÄN</t>
        </is>
      </c>
      <c r="E1170" t="inlineStr">
        <is>
          <t>NORRTÄLJE</t>
        </is>
      </c>
      <c r="G1170" t="n">
        <v>53.5</v>
      </c>
      <c r="H1170" t="n">
        <v>0</v>
      </c>
      <c r="I1170" t="n">
        <v>0</v>
      </c>
      <c r="J1170" t="n">
        <v>0</v>
      </c>
      <c r="K1170" t="n">
        <v>0</v>
      </c>
      <c r="L1170" t="n">
        <v>0</v>
      </c>
      <c r="M1170" t="n">
        <v>0</v>
      </c>
      <c r="N1170" t="n">
        <v>0</v>
      </c>
      <c r="O1170" t="n">
        <v>0</v>
      </c>
      <c r="P1170" t="n">
        <v>0</v>
      </c>
      <c r="Q1170" t="n">
        <v>0</v>
      </c>
      <c r="R1170" s="2" t="inlineStr"/>
    </row>
    <row r="1171" ht="15" customHeight="1">
      <c r="A1171" t="inlineStr">
        <is>
          <t>A 29266-2022</t>
        </is>
      </c>
      <c r="B1171" s="1" t="n">
        <v>44750.66068287037</v>
      </c>
      <c r="C1171" s="1" t="n">
        <v>46123</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29278-2022</t>
        </is>
      </c>
      <c r="B1172" s="1" t="n">
        <v>44750</v>
      </c>
      <c r="C1172" s="1" t="n">
        <v>46123</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37273-2024</t>
        </is>
      </c>
      <c r="B1173" s="1" t="n">
        <v>45540</v>
      </c>
      <c r="C1173" s="1" t="n">
        <v>46123</v>
      </c>
      <c r="D1173" t="inlineStr">
        <is>
          <t>STOCKHOLMS LÄN</t>
        </is>
      </c>
      <c r="E1173" t="inlineStr">
        <is>
          <t>NORRTÄLJE</t>
        </is>
      </c>
      <c r="F1173" t="inlineStr">
        <is>
          <t>Sveaskog</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12908-2025</t>
        </is>
      </c>
      <c r="B1174" s="1" t="n">
        <v>45733.82105324074</v>
      </c>
      <c r="C1174" s="1" t="n">
        <v>46123</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c r="A1175" t="inlineStr">
        <is>
          <t>A 23060-2023</t>
        </is>
      </c>
      <c r="B1175" s="1" t="n">
        <v>45075</v>
      </c>
      <c r="C1175" s="1" t="n">
        <v>46123</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2026-04-11T10:34:48Z</dcterms:created>
  <dcterms:modified xmlns:dcterms="http://purl.org/dc/terms/" xmlns:xsi="http://www.w3.org/2001/XMLSchema-instance" xsi:type="dcterms:W3CDTF">2026-04-11T10:34:49Z</dcterms:modified>
</cp:coreProperties>
</file>