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46219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46219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46219</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46219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46219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46219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46219</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46219</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46219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46219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46219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46219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46219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46219</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46219</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46219</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46219</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46219</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46219</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46219</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46219</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46219</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46219</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46219</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46219</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46219</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46219</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46219</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46219</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46219</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46219</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46219</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73093-2021</t>
        </is>
      </c>
      <c r="B34" t="inlineStr">
        <is>
          <t>avverkningsanmälan</t>
        </is>
      </c>
      <c r="C34" t="inlineStr">
        <is>
          <t>Föryngringsavverkning</t>
        </is>
      </c>
      <c r="D34" s="1" t="n">
        <v>44550</v>
      </c>
      <c r="E34" s="1" t="n">
        <v>46219</v>
      </c>
      <c r="F34" t="inlineStr">
        <is>
          <t>STOCKHOLMS LÄN</t>
        </is>
      </c>
      <c r="G34" t="inlineStr">
        <is>
          <t>NORRTÄLJE</t>
        </is>
      </c>
      <c r="I34" t="n">
        <v>5.1</v>
      </c>
      <c r="J34" t="n">
        <v>8</v>
      </c>
      <c r="K34" t="n">
        <v>6</v>
      </c>
      <c r="L34" t="n">
        <v>1</v>
      </c>
      <c r="M34" t="n">
        <v>0</v>
      </c>
      <c r="N34" t="n">
        <v>0</v>
      </c>
      <c r="O34" t="n">
        <v>0</v>
      </c>
      <c r="P34" t="n">
        <v>0</v>
      </c>
      <c r="Q34" t="n">
        <v>1</v>
      </c>
      <c r="R34" t="n">
        <v>0</v>
      </c>
      <c r="S34" t="n">
        <v>11</v>
      </c>
      <c r="T34" t="n">
        <v>13</v>
      </c>
      <c r="U34" s="2" t="inlineStr">
        <is>
          <t>Rödvingetrast
Guckusko
Myskmadra
Nästrot
Skogsknipprot
Tibast
Vätteros
Blåsippa
Spillkråka
Grönsiska
Nattviol</t>
        </is>
      </c>
      <c r="V34">
        <f>HYPERLINK("https://klasma.github.io/Logging_0188/artfynd/A 73093-2021 artfynd.xlsx", "A 73093-2021")</f>
        <v/>
      </c>
      <c r="W34">
        <f>HYPERLINK("https://klasma.github.io/Logging_0188/kartor/A 73093-2021 karta.png", "A 73093-2021")</f>
        <v/>
      </c>
      <c r="Y34">
        <f>HYPERLINK("https://klasma.github.io/Logging_0188/klagomål/A 73093-2021 FSC-klagomål.docx", "A 73093-2021")</f>
        <v/>
      </c>
      <c r="Z34">
        <f>HYPERLINK("https://klasma.github.io/Logging_0188/klagomålsmail/A 73093-2021 FSC-klagomål mail.docx", "A 73093-2021")</f>
        <v/>
      </c>
      <c r="AA34">
        <f>HYPERLINK("https://klasma.github.io/Logging_0188/tillsyn/A 73093-2021 tillsynsbegäran.docx", "A 73093-2021")</f>
        <v/>
      </c>
      <c r="AB34">
        <f>HYPERLINK("https://klasma.github.io/Logging_0188/tillsynsmail/A 73093-2021 tillsynsbegäran mail.docx", "A 73093-2021")</f>
        <v/>
      </c>
      <c r="AC34">
        <f>HYPERLINK("https://klasma.github.io/Logging_0188/fåglar/A 73093-2021 prioriterade fågelarter.docx", "A 73093-2021")</f>
        <v/>
      </c>
    </row>
    <row r="35" ht="15" customHeight="1">
      <c r="A35" t="inlineStr">
        <is>
          <t>A 25732-2025</t>
        </is>
      </c>
      <c r="B35" t="inlineStr">
        <is>
          <t>avverkningsanmälan</t>
        </is>
      </c>
      <c r="C35" t="inlineStr">
        <is>
          <t>Föryngringsavverkning</t>
        </is>
      </c>
      <c r="D35" s="1" t="n">
        <v>45800</v>
      </c>
      <c r="E35" s="1" t="n">
        <v>46219</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s="2" t="inlineStr">
        <is>
          <t>Knärot
Skrovlig taggsvamp
Blå taggsvamp
Dropptaggsvamp
Motaggsvamp
Talltita
Björksplintborre
Grönpyrola
Plattlummer
Spillkråka
Kungsfågel</t>
        </is>
      </c>
      <c r="V35">
        <f>HYPERLINK("https://klasma.github.io/Logging_0188/artfynd/A 25732-2025 artfynd.xlsx", "A 25732-2025")</f>
        <v/>
      </c>
      <c r="W35">
        <f>HYPERLINK("https://klasma.github.io/Logging_0188/kartor/A 25732-2025 karta.png", "A 25732-2025")</f>
        <v/>
      </c>
      <c r="X35">
        <f>HYPERLINK("https://klasma.github.io/Logging_0188/knärot/A 25732-2025 karta knärot.png", "A 25732-2025")</f>
        <v/>
      </c>
      <c r="Y35">
        <f>HYPERLINK("https://klasma.github.io/Logging_0188/klagomål/A 25732-2025 FSC-klagomål.docx", "A 25732-2025")</f>
        <v/>
      </c>
      <c r="Z35">
        <f>HYPERLINK("https://klasma.github.io/Logging_0188/klagomålsmail/A 25732-2025 FSC-klagomål mail.docx", "A 25732-2025")</f>
        <v/>
      </c>
      <c r="AA35">
        <f>HYPERLINK("https://klasma.github.io/Logging_0188/tillsyn/A 25732-2025 tillsynsbegäran.docx", "A 25732-2025")</f>
        <v/>
      </c>
      <c r="AB35">
        <f>HYPERLINK("https://klasma.github.io/Logging_0188/tillsynsmail/A 25732-2025 tillsynsbegäran mail.docx", "A 25732-2025")</f>
        <v/>
      </c>
      <c r="AC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46219</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s="2" t="inlineStr">
        <is>
          <t>Blackticka
Tallticka
Ullticka
Vårärt
Aspvedgnagare
Platt fjädermossa
Rävticka
Rökmusseron
Stor aspticka
Svavelriska
Blåsippa</t>
        </is>
      </c>
      <c r="V36">
        <f>HYPERLINK("https://klasma.github.io/Logging_0188/artfynd/A 3472-2023 artfynd.xlsx", "A 3472-2023")</f>
        <v/>
      </c>
      <c r="W36">
        <f>HYPERLINK("https://klasma.github.io/Logging_0188/kartor/A 3472-2023 karta.png", "A 3472-2023")</f>
        <v/>
      </c>
      <c r="Y36">
        <f>HYPERLINK("https://klasma.github.io/Logging_0188/klagomål/A 3472-2023 FSC-klagomål.docx", "A 3472-2023")</f>
        <v/>
      </c>
      <c r="Z36">
        <f>HYPERLINK("https://klasma.github.io/Logging_0188/klagomålsmail/A 3472-2023 FSC-klagomål mail.docx", "A 3472-2023")</f>
        <v/>
      </c>
      <c r="AA36">
        <f>HYPERLINK("https://klasma.github.io/Logging_0188/tillsyn/A 3472-2023 tillsynsbegäran.docx", "A 3472-2023")</f>
        <v/>
      </c>
      <c r="AB36">
        <f>HYPERLINK("https://klasma.github.io/Logging_0188/tillsynsmail/A 3472-2023 tillsynsbegäran mail.docx", "A 3472-2023")</f>
        <v/>
      </c>
    </row>
    <row r="37" ht="15" customHeight="1">
      <c r="A37" t="inlineStr">
        <is>
          <t>A 50326-2024</t>
        </is>
      </c>
      <c r="B37" t="inlineStr">
        <is>
          <t>avverkningsanmälan</t>
        </is>
      </c>
      <c r="C37" t="inlineStr">
        <is>
          <t>Avverkning för att bevara och utveckla /försöksver</t>
        </is>
      </c>
      <c r="D37" s="1" t="n">
        <v>45600</v>
      </c>
      <c r="E37" s="1" t="n">
        <v>46219</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s="2" t="inlineStr">
        <is>
          <t>Sommarfibbla
Vårärt
Nästrot
Slät lönnlav
Svart trolldruva
Tibast
Tvåblad
Blåsippa
Tandrot
Fläcknycklar
Gullviva</t>
        </is>
      </c>
      <c r="V37">
        <f>HYPERLINK("https://klasma.github.io/Logging_0188/artfynd/A 50326-2024 artfynd.xlsx", "A 50326-2024")</f>
        <v/>
      </c>
      <c r="W37">
        <f>HYPERLINK("https://klasma.github.io/Logging_0188/kartor/A 50326-2024 karta.png", "A 50326-2024")</f>
        <v/>
      </c>
      <c r="Y37">
        <f>HYPERLINK("https://klasma.github.io/Logging_0188/klagomål/A 50326-2024 FSC-klagomål.docx", "A 50326-2024")</f>
        <v/>
      </c>
      <c r="Z37">
        <f>HYPERLINK("https://klasma.github.io/Logging_0188/klagomålsmail/A 50326-2024 FSC-klagomål mail.docx", "A 50326-2024")</f>
        <v/>
      </c>
      <c r="AA37">
        <f>HYPERLINK("https://klasma.github.io/Logging_0188/tillsyn/A 50326-2024 tillsynsbegäran.docx", "A 50326-2024")</f>
        <v/>
      </c>
      <c r="AB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46219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46219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46219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46219</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s="2" t="inlineStr">
        <is>
          <t>Knärot
Fjällig taggsvamp s.str.
Sårläka
Ullticka
Kamjordstjärna
Svart trolldruva
Svavelriska
Blåsippa
Spillkråka
Tofsmes</t>
        </is>
      </c>
      <c r="V41">
        <f>HYPERLINK("https://klasma.github.io/Logging_0188/artfynd/A 15925-2026 artfynd.xlsx", "A 15925-2026")</f>
        <v/>
      </c>
      <c r="W41">
        <f>HYPERLINK("https://klasma.github.io/Logging_0188/kartor/A 15925-2026 karta.png", "A 15925-2026")</f>
        <v/>
      </c>
      <c r="X41">
        <f>HYPERLINK("https://klasma.github.io/Logging_0188/knärot/A 15925-2026 karta knärot.png", "A 15925-2026")</f>
        <v/>
      </c>
      <c r="Y41">
        <f>HYPERLINK("https://klasma.github.io/Logging_0188/klagomål/A 15925-2026 FSC-klagomål.docx", "A 15925-2026")</f>
        <v/>
      </c>
      <c r="Z41">
        <f>HYPERLINK("https://klasma.github.io/Logging_0188/klagomålsmail/A 15925-2026 FSC-klagomål mail.docx", "A 15925-2026")</f>
        <v/>
      </c>
      <c r="AA41">
        <f>HYPERLINK("https://klasma.github.io/Logging_0188/tillsyn/A 15925-2026 tillsynsbegäran.docx", "A 15925-2026")</f>
        <v/>
      </c>
      <c r="AB41">
        <f>HYPERLINK("https://klasma.github.io/Logging_0188/tillsynsmail/A 15925-2026 tillsynsbegäran mail.docx", "A 15925-2026")</f>
        <v/>
      </c>
      <c r="AC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46219</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s="2" t="inlineStr">
        <is>
          <t>Ejder
Havstrut
Gråtrut
Knärot
Stare
Skrattmås
Strandskata
Grönsiska
Havsörn
Kråka</t>
        </is>
      </c>
      <c r="V42">
        <f>HYPERLINK("https://klasma.github.io/Logging_0188/artfynd/A 44847-2023 artfynd.xlsx", "A 44847-2023")</f>
        <v/>
      </c>
      <c r="W42">
        <f>HYPERLINK("https://klasma.github.io/Logging_0188/kartor/A 44847-2023 karta.png", "A 44847-2023")</f>
        <v/>
      </c>
      <c r="X42">
        <f>HYPERLINK("https://klasma.github.io/Logging_0188/knärot/A 44847-2023 karta knärot.png", "A 44847-2023")</f>
        <v/>
      </c>
      <c r="Y42">
        <f>HYPERLINK("https://klasma.github.io/Logging_0188/klagomål/A 44847-2023 FSC-klagomål.docx", "A 44847-2023")</f>
        <v/>
      </c>
      <c r="Z42">
        <f>HYPERLINK("https://klasma.github.io/Logging_0188/klagomålsmail/A 44847-2023 FSC-klagomål mail.docx", "A 44847-2023")</f>
        <v/>
      </c>
      <c r="AA42">
        <f>HYPERLINK("https://klasma.github.io/Logging_0188/tillsyn/A 44847-2023 tillsynsbegäran.docx", "A 44847-2023")</f>
        <v/>
      </c>
      <c r="AB42">
        <f>HYPERLINK("https://klasma.github.io/Logging_0188/tillsynsmail/A 44847-2023 tillsynsbegäran mail.docx", "A 44847-2023")</f>
        <v/>
      </c>
      <c r="AC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46219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46219</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s="2" t="inlineStr">
        <is>
          <t>Knärot
Tallkötticka
Vedtrappmossa
Skogshakmossa
Stubbspretmossa
Blåsippa
Spillkråka
Kungsfågel
Nattviol</t>
        </is>
      </c>
      <c r="V44">
        <f>HYPERLINK("https://klasma.github.io/Logging_0188/artfynd/A 61099-2025 artfynd.xlsx", "A 61099-2025")</f>
        <v/>
      </c>
      <c r="W44">
        <f>HYPERLINK("https://klasma.github.io/Logging_0188/kartor/A 61099-2025 karta.png", "A 61099-2025")</f>
        <v/>
      </c>
      <c r="X44">
        <f>HYPERLINK("https://klasma.github.io/Logging_0188/knärot/A 61099-2025 karta knärot.png", "A 61099-2025")</f>
        <v/>
      </c>
      <c r="Y44">
        <f>HYPERLINK("https://klasma.github.io/Logging_0188/klagomål/A 61099-2025 FSC-klagomål.docx", "A 61099-2025")</f>
        <v/>
      </c>
      <c r="Z44">
        <f>HYPERLINK("https://klasma.github.io/Logging_0188/klagomålsmail/A 61099-2025 FSC-klagomål mail.docx", "A 61099-2025")</f>
        <v/>
      </c>
      <c r="AA44">
        <f>HYPERLINK("https://klasma.github.io/Logging_0188/tillsyn/A 61099-2025 tillsynsbegäran.docx", "A 61099-2025")</f>
        <v/>
      </c>
      <c r="AB44">
        <f>HYPERLINK("https://klasma.github.io/Logging_0188/tillsynsmail/A 61099-2025 tillsynsbegäran mail.docx", "A 61099-2025")</f>
        <v/>
      </c>
      <c r="AC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46219</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s="2" t="inlineStr">
        <is>
          <t>Knärot
Dropptaggsvamp
Grönhjon
Motaggsvamp
Ullticka
Vedskivlav
Grönpyrola
Svavelriska
Blåsippa</t>
        </is>
      </c>
      <c r="V45">
        <f>HYPERLINK("https://klasma.github.io/Logging_0188/artfynd/A 47274-2024 artfynd.xlsx", "A 47274-2024")</f>
        <v/>
      </c>
      <c r="W45">
        <f>HYPERLINK("https://klasma.github.io/Logging_0188/kartor/A 47274-2024 karta.png", "A 47274-2024")</f>
        <v/>
      </c>
      <c r="X45">
        <f>HYPERLINK("https://klasma.github.io/Logging_0188/knärot/A 47274-2024 karta knärot.png", "A 47274-2024")</f>
        <v/>
      </c>
      <c r="Y45">
        <f>HYPERLINK("https://klasma.github.io/Logging_0188/klagomål/A 47274-2024 FSC-klagomål.docx", "A 47274-2024")</f>
        <v/>
      </c>
      <c r="Z45">
        <f>HYPERLINK("https://klasma.github.io/Logging_0188/klagomålsmail/A 47274-2024 FSC-klagomål mail.docx", "A 47274-2024")</f>
        <v/>
      </c>
      <c r="AA45">
        <f>HYPERLINK("https://klasma.github.io/Logging_0188/tillsyn/A 47274-2024 tillsynsbegäran.docx", "A 47274-2024")</f>
        <v/>
      </c>
      <c r="AB45">
        <f>HYPERLINK("https://klasma.github.io/Logging_0188/tillsynsmail/A 47274-2024 tillsynsbegäran mail.docx", "A 47274-2024")</f>
        <v/>
      </c>
    </row>
    <row r="46" ht="15" customHeight="1">
      <c r="A46" t="inlineStr">
        <is>
          <t>A 52815-2021</t>
        </is>
      </c>
      <c r="B46" t="inlineStr">
        <is>
          <t>avverkningsanmälan</t>
        </is>
      </c>
      <c r="C46" t="inlineStr">
        <is>
          <t>Föryngringsavverkning</t>
        </is>
      </c>
      <c r="D46" s="1" t="n">
        <v>44467</v>
      </c>
      <c r="E46" s="1" t="n">
        <v>46219</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s="2" t="inlineStr">
        <is>
          <t>Koppartaggsvamp
Raggtaggsvamp
Spricktaggsvamp
Gul lammticka
Svartfjällig musseron
Bittermusseron
Fjällig taggsvamp s.str.
Flattoppad klubbsvamp
Diskvaxskivling</t>
        </is>
      </c>
      <c r="V46">
        <f>HYPERLINK("https://klasma.github.io/Logging_0188/artfynd/A 52815-2021 artfynd.xlsx", "A 52815-2021")</f>
        <v/>
      </c>
      <c r="W46">
        <f>HYPERLINK("https://klasma.github.io/Logging_0188/kartor/A 52815-2021 karta.png", "A 52815-2021")</f>
        <v/>
      </c>
      <c r="Y46">
        <f>HYPERLINK("https://klasma.github.io/Logging_0188/klagomål/A 52815-2021 FSC-klagomål.docx", "A 52815-2021")</f>
        <v/>
      </c>
      <c r="Z46">
        <f>HYPERLINK("https://klasma.github.io/Logging_0188/klagomålsmail/A 52815-2021 FSC-klagomål mail.docx", "A 52815-2021")</f>
        <v/>
      </c>
      <c r="AA46">
        <f>HYPERLINK("https://klasma.github.io/Logging_0188/tillsyn/A 52815-2021 tillsynsbegäran.docx", "A 52815-2021")</f>
        <v/>
      </c>
      <c r="AB46">
        <f>HYPERLINK("https://klasma.github.io/Logging_0188/tillsynsmail/A 52815-2021 tillsynsbegäran mail.docx", "A 52815-2021")</f>
        <v/>
      </c>
    </row>
    <row r="47" ht="15" customHeight="1">
      <c r="A47" t="inlineStr">
        <is>
          <t>A 26081-2026</t>
        </is>
      </c>
      <c r="B47" t="inlineStr">
        <is>
          <t>avverkningsanmälan</t>
        </is>
      </c>
      <c r="C47" t="inlineStr">
        <is>
          <t>Föryngringsavverkning</t>
        </is>
      </c>
      <c r="D47" s="1" t="n">
        <v>46181</v>
      </c>
      <c r="E47" s="1" t="n">
        <v>46219</v>
      </c>
      <c r="F47" t="inlineStr">
        <is>
          <t>STOCKHOLMS LÄN</t>
        </is>
      </c>
      <c r="G47" t="inlineStr">
        <is>
          <t>NORRTÄLJE</t>
        </is>
      </c>
      <c r="I47" t="n">
        <v>13.9</v>
      </c>
      <c r="J47" t="n">
        <v>1</v>
      </c>
      <c r="K47" t="n">
        <v>3</v>
      </c>
      <c r="L47" t="n">
        <v>4</v>
      </c>
      <c r="M47" t="n">
        <v>0</v>
      </c>
      <c r="N47" t="n">
        <v>1</v>
      </c>
      <c r="O47" t="n">
        <v>0</v>
      </c>
      <c r="P47" t="n">
        <v>0</v>
      </c>
      <c r="Q47" t="n">
        <v>5</v>
      </c>
      <c r="R47" t="n">
        <v>1</v>
      </c>
      <c r="S47" t="n">
        <v>9</v>
      </c>
      <c r="T47" t="n">
        <v>12</v>
      </c>
      <c r="U47" s="2" t="inlineStr">
        <is>
          <t>Koppartaggsvamp
Dofttaggsvamp
Fjällig taggsvamp s.str.
Orange taggsvamp
Ullticka
Grönpyrola
Kamjordstjärna
Svavelriska
Blåsippa</t>
        </is>
      </c>
      <c r="V47">
        <f>HYPERLINK("https://klasma.github.io/Logging_0188/artfynd/A 26081-2026 artfynd.xlsx", "A 26081-2026")</f>
        <v/>
      </c>
      <c r="W47">
        <f>HYPERLINK("https://klasma.github.io/Logging_0188/kartor/A 26081-2026 karta.png", "A 26081-2026")</f>
        <v/>
      </c>
      <c r="Y47">
        <f>HYPERLINK("https://klasma.github.io/Logging_0188/klagomål/A 26081-2026 FSC-klagomål.docx", "A 26081-2026")</f>
        <v/>
      </c>
      <c r="Z47">
        <f>HYPERLINK("https://klasma.github.io/Logging_0188/klagomålsmail/A 26081-2026 FSC-klagomål mail.docx", "A 26081-2026")</f>
        <v/>
      </c>
      <c r="AA47">
        <f>HYPERLINK("https://klasma.github.io/Logging_0188/tillsyn/A 26081-2026 tillsynsbegäran.docx", "A 26081-2026")</f>
        <v/>
      </c>
      <c r="AB47">
        <f>HYPERLINK("https://klasma.github.io/Logging_0188/tillsynsmail/A 26081-2026 tillsynsbegäran mail.docx", "A 26081-2026")</f>
        <v/>
      </c>
    </row>
    <row r="48" ht="15" customHeight="1">
      <c r="A48" t="inlineStr">
        <is>
          <t>S 1235-2020</t>
        </is>
      </c>
      <c r="B48" t="inlineStr">
        <is>
          <t>samrådsanmälan</t>
        </is>
      </c>
      <c r="C48" t="inlineStr">
        <is>
          <t>Åtgärd i nyckelbiotop</t>
        </is>
      </c>
      <c r="D48" s="1" t="n">
        <v>43969</v>
      </c>
      <c r="E48" s="1" t="n">
        <v>46219</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46219</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46219</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46219</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46219</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46219</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46219</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46219</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s="2" t="inlineStr">
        <is>
          <t>Grönfink
Björktrast
Skogsknipprot
Röd glada
Svartvit flugsnappare
Åkergroda
Vanlig groda</t>
        </is>
      </c>
      <c r="V55">
        <f>HYPERLINK("https://klasma.github.io/Logging_0188/artfynd/A 22190-2024 artfynd.xlsx", "A 22190-2024")</f>
        <v/>
      </c>
      <c r="W55">
        <f>HYPERLINK("https://klasma.github.io/Logging_0188/kartor/A 22190-2024 karta.png", "A 22190-2024")</f>
        <v/>
      </c>
      <c r="Y55">
        <f>HYPERLINK("https://klasma.github.io/Logging_0188/klagomål/A 22190-2024 FSC-klagomål.docx", "A 22190-2024")</f>
        <v/>
      </c>
      <c r="Z55">
        <f>HYPERLINK("https://klasma.github.io/Logging_0188/klagomålsmail/A 22190-2024 FSC-klagomål mail.docx", "A 22190-2024")</f>
        <v/>
      </c>
      <c r="AA55">
        <f>HYPERLINK("https://klasma.github.io/Logging_0188/tillsyn/A 22190-2024 tillsynsbegäran.docx", "A 22190-2024")</f>
        <v/>
      </c>
      <c r="AB55">
        <f>HYPERLINK("https://klasma.github.io/Logging_0188/tillsynsmail/A 22190-2024 tillsynsbegäran mail.docx", "A 22190-2024")</f>
        <v/>
      </c>
      <c r="AC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46219</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s="2" t="inlineStr">
        <is>
          <t>Grangråticka
Lunglav
Oxtungssvamp
Sårläka
Vårärt
Scharlakansvårskål agg.
Blåsippa</t>
        </is>
      </c>
      <c r="V56">
        <f>HYPERLINK("https://klasma.github.io/Logging_0188/artfynd/A 72111-2021 artfynd.xlsx", "A 72111-2021")</f>
        <v/>
      </c>
      <c r="W56">
        <f>HYPERLINK("https://klasma.github.io/Logging_0188/kartor/A 72111-2021 karta.png", "A 72111-2021")</f>
        <v/>
      </c>
      <c r="Y56">
        <f>HYPERLINK("https://klasma.github.io/Logging_0188/klagomål/A 72111-2021 FSC-klagomål.docx", "A 72111-2021")</f>
        <v/>
      </c>
      <c r="Z56">
        <f>HYPERLINK("https://klasma.github.io/Logging_0188/klagomålsmail/A 72111-2021 FSC-klagomål mail.docx", "A 72111-2021")</f>
        <v/>
      </c>
      <c r="AA56">
        <f>HYPERLINK("https://klasma.github.io/Logging_0188/tillsyn/A 72111-2021 tillsynsbegäran.docx", "A 72111-2021")</f>
        <v/>
      </c>
      <c r="AB56">
        <f>HYPERLINK("https://klasma.github.io/Logging_0188/tillsynsmail/A 72111-2021 tillsynsbegäran mail.docx", "A 72111-2021")</f>
        <v/>
      </c>
    </row>
    <row r="57" ht="15" customHeight="1">
      <c r="A57" t="inlineStr">
        <is>
          <t>A 13933-2022</t>
        </is>
      </c>
      <c r="B57" t="inlineStr">
        <is>
          <t>avverkningsanmälan</t>
        </is>
      </c>
      <c r="C57" t="inlineStr">
        <is>
          <t>Föryngringsavverkning</t>
        </is>
      </c>
      <c r="D57" s="1" t="n">
        <v>44650</v>
      </c>
      <c r="E57" s="1" t="n">
        <v>46219</v>
      </c>
      <c r="F57" t="inlineStr">
        <is>
          <t>STOCKHOLMS LÄN</t>
        </is>
      </c>
      <c r="G57" t="inlineStr">
        <is>
          <t>NORRTÄLJE</t>
        </is>
      </c>
      <c r="I57" t="n">
        <v>4.4</v>
      </c>
      <c r="J57" t="n">
        <v>3</v>
      </c>
      <c r="K57" t="n">
        <v>5</v>
      </c>
      <c r="L57" t="n">
        <v>1</v>
      </c>
      <c r="M57" t="n">
        <v>0</v>
      </c>
      <c r="N57" t="n">
        <v>0</v>
      </c>
      <c r="O57" t="n">
        <v>0</v>
      </c>
      <c r="P57" t="n">
        <v>0</v>
      </c>
      <c r="Q57" t="n">
        <v>1</v>
      </c>
      <c r="R57" t="n">
        <v>0</v>
      </c>
      <c r="S57" t="n">
        <v>7</v>
      </c>
      <c r="T57" t="n">
        <v>7</v>
      </c>
      <c r="U57" s="2" t="inlineStr">
        <is>
          <t>Ullticka
Grön sköldmossa
Nästrot
Skogshakmossa
Tibast
Ögonpyrola
Blåsippa</t>
        </is>
      </c>
      <c r="V57">
        <f>HYPERLINK("https://klasma.github.io/Logging_0188/artfynd/A 13933-2022 artfynd.xlsx", "A 13933-2022")</f>
        <v/>
      </c>
      <c r="W57">
        <f>HYPERLINK("https://klasma.github.io/Logging_0188/kartor/A 13933-2022 karta.png", "A 13933-2022")</f>
        <v/>
      </c>
      <c r="Y57">
        <f>HYPERLINK("https://klasma.github.io/Logging_0188/klagomål/A 13933-2022 FSC-klagomål.docx", "A 13933-2022")</f>
        <v/>
      </c>
      <c r="Z57">
        <f>HYPERLINK("https://klasma.github.io/Logging_0188/klagomålsmail/A 13933-2022 FSC-klagomål mail.docx", "A 13933-2022")</f>
        <v/>
      </c>
      <c r="AA57">
        <f>HYPERLINK("https://klasma.github.io/Logging_0188/tillsyn/A 13933-2022 tillsynsbegäran.docx", "A 13933-2022")</f>
        <v/>
      </c>
      <c r="AB57">
        <f>HYPERLINK("https://klasma.github.io/Logging_0188/tillsynsmail/A 13933-2022 tillsynsbegäran mail.docx", "A 13933-2022")</f>
        <v/>
      </c>
    </row>
    <row r="58" ht="15" customHeight="1">
      <c r="A58" t="inlineStr">
        <is>
          <t>A 21922-2023</t>
        </is>
      </c>
      <c r="B58" t="inlineStr">
        <is>
          <t>avverkningsanmälan</t>
        </is>
      </c>
      <c r="C58" t="inlineStr">
        <is>
          <t>Avverkning för annat ändamål</t>
        </is>
      </c>
      <c r="D58" s="1" t="n">
        <v>45068</v>
      </c>
      <c r="E58" s="1" t="n">
        <v>46219</v>
      </c>
      <c r="F58" t="inlineStr">
        <is>
          <t>STOCKHOLMS LÄN</t>
        </is>
      </c>
      <c r="G58" t="inlineStr">
        <is>
          <t>NORRTÄLJE</t>
        </is>
      </c>
      <c r="I58" t="n">
        <v>4.9</v>
      </c>
      <c r="J58" t="n">
        <v>3</v>
      </c>
      <c r="K58" t="n">
        <v>2</v>
      </c>
      <c r="L58" t="n">
        <v>3</v>
      </c>
      <c r="M58" t="n">
        <v>0</v>
      </c>
      <c r="N58" t="n">
        <v>0</v>
      </c>
      <c r="O58" t="n">
        <v>0</v>
      </c>
      <c r="P58" t="n">
        <v>0</v>
      </c>
      <c r="Q58" t="n">
        <v>3</v>
      </c>
      <c r="R58" t="n">
        <v>0</v>
      </c>
      <c r="S58" t="n">
        <v>7</v>
      </c>
      <c r="T58" t="n">
        <v>18</v>
      </c>
      <c r="U58" s="2" t="inlineStr">
        <is>
          <t>Adam och eva
Jungfrulin
Solvända
Stor aspticka
Svavelriska
Blåsippa
Gullviva</t>
        </is>
      </c>
      <c r="V58">
        <f>HYPERLINK("https://klasma.github.io/Logging_0188/artfynd/A 21922-2023 artfynd.xlsx", "A 21922-2023")</f>
        <v/>
      </c>
      <c r="W58">
        <f>HYPERLINK("https://klasma.github.io/Logging_0188/kartor/A 21922-2023 karta.png", "A 21922-2023")</f>
        <v/>
      </c>
      <c r="Y58">
        <f>HYPERLINK("https://klasma.github.io/Logging_0188/klagomål/A 21922-2023 FSC-klagomål.docx", "A 21922-2023")</f>
        <v/>
      </c>
      <c r="Z58">
        <f>HYPERLINK("https://klasma.github.io/Logging_0188/klagomålsmail/A 21922-2023 FSC-klagomål mail.docx", "A 21922-2023")</f>
        <v/>
      </c>
      <c r="AA58">
        <f>HYPERLINK("https://klasma.github.io/Logging_0188/tillsyn/A 21922-2023 tillsynsbegäran.docx", "A 21922-2023")</f>
        <v/>
      </c>
      <c r="AB58">
        <f>HYPERLINK("https://klasma.github.io/Logging_0188/tillsynsmail/A 21922-2023 tillsynsbegäran mail.docx", "A 21922-2023")</f>
        <v/>
      </c>
    </row>
    <row r="59" ht="15" customHeight="1">
      <c r="A59" t="inlineStr">
        <is>
          <t>A 15913-2026</t>
        </is>
      </c>
      <c r="B59" t="inlineStr">
        <is>
          <t>avverkningsanmälan</t>
        </is>
      </c>
      <c r="C59" t="inlineStr">
        <is>
          <t>Föryngringsavverkning</t>
        </is>
      </c>
      <c r="D59" s="1" t="n">
        <v>46107</v>
      </c>
      <c r="E59" s="1" t="n">
        <v>46219</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s="2" t="inlineStr">
        <is>
          <t>Knärot
Fjällig taggsvamp s.str.
Talltita
Vårärt
Nästrot
Blåsippa
Nattviol</t>
        </is>
      </c>
      <c r="V59">
        <f>HYPERLINK("https://klasma.github.io/Logging_0188/artfynd/A 15913-2026 artfynd.xlsx", "A 15913-2026")</f>
        <v/>
      </c>
      <c r="W59">
        <f>HYPERLINK("https://klasma.github.io/Logging_0188/kartor/A 15913-2026 karta.png", "A 15913-2026")</f>
        <v/>
      </c>
      <c r="X59">
        <f>HYPERLINK("https://klasma.github.io/Logging_0188/knärot/A 15913-2026 karta knärot.png", "A 15913-2026")</f>
        <v/>
      </c>
      <c r="Y59">
        <f>HYPERLINK("https://klasma.github.io/Logging_0188/klagomål/A 15913-2026 FSC-klagomål.docx", "A 15913-2026")</f>
        <v/>
      </c>
      <c r="Z59">
        <f>HYPERLINK("https://klasma.github.io/Logging_0188/klagomålsmail/A 15913-2026 FSC-klagomål mail.docx", "A 15913-2026")</f>
        <v/>
      </c>
      <c r="AA59">
        <f>HYPERLINK("https://klasma.github.io/Logging_0188/tillsyn/A 15913-2026 tillsynsbegäran.docx", "A 15913-2026")</f>
        <v/>
      </c>
      <c r="AB59">
        <f>HYPERLINK("https://klasma.github.io/Logging_0188/tillsynsmail/A 15913-2026 tillsynsbegäran mail.docx", "A 15913-2026")</f>
        <v/>
      </c>
      <c r="AC59">
        <f>HYPERLINK("https://klasma.github.io/Logging_0188/fåglar/A 15913-2026 prioriterade fågelarter.docx", "A 15913-2026")</f>
        <v/>
      </c>
    </row>
    <row r="60" ht="15" customHeight="1">
      <c r="A60" t="inlineStr">
        <is>
          <t>A 3444-2023</t>
        </is>
      </c>
      <c r="B60" t="inlineStr">
        <is>
          <t>avverkningsanmälan</t>
        </is>
      </c>
      <c r="C60" t="inlineStr">
        <is>
          <t>Föryngringsavverkning</t>
        </is>
      </c>
      <c r="D60" s="1" t="n">
        <v>44949</v>
      </c>
      <c r="E60" s="1" t="n">
        <v>46219</v>
      </c>
      <c r="F60" t="inlineStr">
        <is>
          <t>STOCKHOLMS LÄN</t>
        </is>
      </c>
      <c r="G60" t="inlineStr">
        <is>
          <t>NORRTÄLJE</t>
        </is>
      </c>
      <c r="I60" t="n">
        <v>5.1</v>
      </c>
      <c r="J60" t="n">
        <v>6</v>
      </c>
      <c r="K60" t="n">
        <v>0</v>
      </c>
      <c r="L60" t="n">
        <v>2</v>
      </c>
      <c r="M60" t="n">
        <v>0</v>
      </c>
      <c r="N60" t="n">
        <v>0</v>
      </c>
      <c r="O60" t="n">
        <v>0</v>
      </c>
      <c r="P60" t="n">
        <v>0</v>
      </c>
      <c r="Q60" t="n">
        <v>2</v>
      </c>
      <c r="R60" t="n">
        <v>0</v>
      </c>
      <c r="S60" t="n">
        <v>7</v>
      </c>
      <c r="T60" t="n">
        <v>10</v>
      </c>
      <c r="U60" s="2" t="inlineStr">
        <is>
          <t>Jungfrulin
Nordfladdermus
Dvärgpipistrell
Gråskimlig fladdermus
Större brunfladdermus
Trollpipistrell
Gullviva</t>
        </is>
      </c>
      <c r="V60">
        <f>HYPERLINK("https://klasma.github.io/Logging_0188/artfynd/A 3444-2023 artfynd.xlsx", "A 3444-2023")</f>
        <v/>
      </c>
      <c r="W60">
        <f>HYPERLINK("https://klasma.github.io/Logging_0188/kartor/A 3444-2023 karta.png", "A 3444-2023")</f>
        <v/>
      </c>
      <c r="Y60">
        <f>HYPERLINK("https://klasma.github.io/Logging_0188/klagomål/A 3444-2023 FSC-klagomål.docx", "A 3444-2023")</f>
        <v/>
      </c>
      <c r="Z60">
        <f>HYPERLINK("https://klasma.github.io/Logging_0188/klagomålsmail/A 3444-2023 FSC-klagomål mail.docx", "A 3444-2023")</f>
        <v/>
      </c>
      <c r="AA60">
        <f>HYPERLINK("https://klasma.github.io/Logging_0188/tillsyn/A 3444-2023 tillsynsbegäran.docx", "A 3444-2023")</f>
        <v/>
      </c>
      <c r="AB60">
        <f>HYPERLINK("https://klasma.github.io/Logging_0188/tillsynsmail/A 3444-2023 tillsynsbegäran mail.docx", "A 3444-2023")</f>
        <v/>
      </c>
    </row>
    <row r="61" ht="15" customHeight="1">
      <c r="A61" t="inlineStr">
        <is>
          <t>A 15278-2024</t>
        </is>
      </c>
      <c r="B61" t="inlineStr">
        <is>
          <t>avverkningsanmälan</t>
        </is>
      </c>
      <c r="C61" t="inlineStr">
        <is>
          <t>Föryngringsavverkning</t>
        </is>
      </c>
      <c r="D61" s="1" t="n">
        <v>45400</v>
      </c>
      <c r="E61" s="1" t="n">
        <v>46219</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s="2" t="inlineStr">
        <is>
          <t>Knärot
Fjällig taggsvamp s.str.
Kattfotslav
Ullticka
Grönpyrola
Vedticka
Blåsippa</t>
        </is>
      </c>
      <c r="V61">
        <f>HYPERLINK("https://klasma.github.io/Logging_0188/artfynd/A 15278-2024 artfynd.xlsx", "A 15278-2024")</f>
        <v/>
      </c>
      <c r="W61">
        <f>HYPERLINK("https://klasma.github.io/Logging_0188/kartor/A 15278-2024 karta.png", "A 15278-2024")</f>
        <v/>
      </c>
      <c r="X61">
        <f>HYPERLINK("https://klasma.github.io/Logging_0188/knärot/A 15278-2024 karta knärot.png", "A 15278-2024")</f>
        <v/>
      </c>
      <c r="Y61">
        <f>HYPERLINK("https://klasma.github.io/Logging_0188/klagomål/A 15278-2024 FSC-klagomål.docx", "A 15278-2024")</f>
        <v/>
      </c>
      <c r="Z61">
        <f>HYPERLINK("https://klasma.github.io/Logging_0188/klagomålsmail/A 15278-2024 FSC-klagomål mail.docx", "A 15278-2024")</f>
        <v/>
      </c>
      <c r="AA61">
        <f>HYPERLINK("https://klasma.github.io/Logging_0188/tillsyn/A 15278-2024 tillsynsbegäran.docx", "A 15278-2024")</f>
        <v/>
      </c>
      <c r="AB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46219</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s="2" t="inlineStr">
        <is>
          <t>Kattfotslav
Tallticka
Vedtrappmossa
Bronshjon
Kornknutmossa
Stubbspretmossa
Vanlig rörsvepemossa</t>
        </is>
      </c>
      <c r="V62">
        <f>HYPERLINK("https://klasma.github.io/Logging_0188/artfynd/A 34524-2025 artfynd.xlsx", "A 34524-2025")</f>
        <v/>
      </c>
      <c r="W62">
        <f>HYPERLINK("https://klasma.github.io/Logging_0188/kartor/A 34524-2025 karta.png", "A 34524-2025")</f>
        <v/>
      </c>
      <c r="Y62">
        <f>HYPERLINK("https://klasma.github.io/Logging_0188/klagomål/A 34524-2025 FSC-klagomål.docx", "A 34524-2025")</f>
        <v/>
      </c>
      <c r="Z62">
        <f>HYPERLINK("https://klasma.github.io/Logging_0188/klagomålsmail/A 34524-2025 FSC-klagomål mail.docx", "A 34524-2025")</f>
        <v/>
      </c>
      <c r="AA62">
        <f>HYPERLINK("https://klasma.github.io/Logging_0188/tillsyn/A 34524-2025 tillsynsbegäran.docx", "A 34524-2025")</f>
        <v/>
      </c>
      <c r="AB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46219</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46219</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s="2" t="inlineStr">
        <is>
          <t>Gulyxne
Igelkott
Källmossa
Dubbelnycklar
Kärrknipprot
Ängsnycklar</t>
        </is>
      </c>
      <c r="V64">
        <f>HYPERLINK("https://klasma.github.io/Logging_0188/artfynd/A 48370-2025 artfynd.xlsx", "A 48370-2025")</f>
        <v/>
      </c>
      <c r="W64">
        <f>HYPERLINK("https://klasma.github.io/Logging_0188/kartor/A 48370-2025 karta.png", "A 48370-2025")</f>
        <v/>
      </c>
      <c r="Y64">
        <f>HYPERLINK("https://klasma.github.io/Logging_0188/klagomål/A 48370-2025 FSC-klagomål.docx", "A 48370-2025")</f>
        <v/>
      </c>
      <c r="Z64">
        <f>HYPERLINK("https://klasma.github.io/Logging_0188/klagomålsmail/A 48370-2025 FSC-klagomål mail.docx", "A 48370-2025")</f>
        <v/>
      </c>
      <c r="AA64">
        <f>HYPERLINK("https://klasma.github.io/Logging_0188/tillsyn/A 48370-2025 tillsynsbegäran.docx", "A 48370-2025")</f>
        <v/>
      </c>
      <c r="AB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46219</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s="2" t="inlineStr">
        <is>
          <t>Asknätfjäril
Hålskenknäppare
Björksplintborre
Robust tickgnagare
Spillkråka
Orre</t>
        </is>
      </c>
      <c r="V65">
        <f>HYPERLINK("https://klasma.github.io/Logging_0188/artfynd/A 53608-2025 artfynd.xlsx", "A 53608-2025")</f>
        <v/>
      </c>
      <c r="W65">
        <f>HYPERLINK("https://klasma.github.io/Logging_0188/kartor/A 53608-2025 karta.png", "A 53608-2025")</f>
        <v/>
      </c>
      <c r="Y65">
        <f>HYPERLINK("https://klasma.github.io/Logging_0188/klagomål/A 53608-2025 FSC-klagomål.docx", "A 53608-2025")</f>
        <v/>
      </c>
      <c r="Z65">
        <f>HYPERLINK("https://klasma.github.io/Logging_0188/klagomålsmail/A 53608-2025 FSC-klagomål mail.docx", "A 53608-2025")</f>
        <v/>
      </c>
      <c r="AA65">
        <f>HYPERLINK("https://klasma.github.io/Logging_0188/tillsyn/A 53608-2025 tillsynsbegäran.docx", "A 53608-2025")</f>
        <v/>
      </c>
      <c r="AB65">
        <f>HYPERLINK("https://klasma.github.io/Logging_0188/tillsynsmail/A 53608-2025 tillsynsbegäran mail.docx", "A 53608-2025")</f>
        <v/>
      </c>
      <c r="AC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46219</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s="2" t="inlineStr">
        <is>
          <t>Gyllenfingersvamp
Fjällig taggsvamp s.str.
Gammelgransskål
Motaggsvamp
Svavelriska
Spillkråka</t>
        </is>
      </c>
      <c r="V66">
        <f>HYPERLINK("https://klasma.github.io/Logging_0188/artfynd/A 34528-2025 artfynd.xlsx", "A 34528-2025")</f>
        <v/>
      </c>
      <c r="W66">
        <f>HYPERLINK("https://klasma.github.io/Logging_0188/kartor/A 34528-2025 karta.png", "A 34528-2025")</f>
        <v/>
      </c>
      <c r="Y66">
        <f>HYPERLINK("https://klasma.github.io/Logging_0188/klagomål/A 34528-2025 FSC-klagomål.docx", "A 34528-2025")</f>
        <v/>
      </c>
      <c r="Z66">
        <f>HYPERLINK("https://klasma.github.io/Logging_0188/klagomålsmail/A 34528-2025 FSC-klagomål mail.docx", "A 34528-2025")</f>
        <v/>
      </c>
      <c r="AA66">
        <f>HYPERLINK("https://klasma.github.io/Logging_0188/tillsyn/A 34528-2025 tillsynsbegäran.docx", "A 34528-2025")</f>
        <v/>
      </c>
      <c r="AB66">
        <f>HYPERLINK("https://klasma.github.io/Logging_0188/tillsynsmail/A 34528-2025 tillsynsbegäran mail.docx", "A 34528-2025")</f>
        <v/>
      </c>
      <c r="AC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46219</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46219</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38591-2023</t>
        </is>
      </c>
      <c r="B69" t="inlineStr">
        <is>
          <t>avverkningsanmälan</t>
        </is>
      </c>
      <c r="C69" t="inlineStr">
        <is>
          <t>Avverkning för annat ändamål</t>
        </is>
      </c>
      <c r="D69" s="1" t="n">
        <v>45162</v>
      </c>
      <c r="E69" s="1" t="n">
        <v>46219</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s="2" t="inlineStr">
        <is>
          <t>Brun mårfältmätare
Porfyrljusmott
Brunflammig fältmätare
Sädesärla
Trädlärka</t>
        </is>
      </c>
      <c r="V69">
        <f>HYPERLINK("https://klasma.github.io/Logging_0188/artfynd/A 38591-2023 artfynd.xlsx", "A 38591-2023")</f>
        <v/>
      </c>
      <c r="W69">
        <f>HYPERLINK("https://klasma.github.io/Logging_0188/kartor/A 38591-2023 karta.png", "A 38591-2023")</f>
        <v/>
      </c>
      <c r="Y69">
        <f>HYPERLINK("https://klasma.github.io/Logging_0188/klagomål/A 38591-2023 FSC-klagomål.docx", "A 38591-2023")</f>
        <v/>
      </c>
      <c r="Z69">
        <f>HYPERLINK("https://klasma.github.io/Logging_0188/klagomålsmail/A 38591-2023 FSC-klagomål mail.docx", "A 38591-2023")</f>
        <v/>
      </c>
      <c r="AA69">
        <f>HYPERLINK("https://klasma.github.io/Logging_0188/tillsyn/A 38591-2023 tillsynsbegäran.docx", "A 38591-2023")</f>
        <v/>
      </c>
      <c r="AB69">
        <f>HYPERLINK("https://klasma.github.io/Logging_0188/tillsynsmail/A 38591-2023 tillsynsbegäran mail.docx", "A 38591-2023")</f>
        <v/>
      </c>
      <c r="AC69">
        <f>HYPERLINK("https://klasma.github.io/Logging_0188/fåglar/A 38591-2023 prioriterade fågelarter.docx", "A 38591-2023")</f>
        <v/>
      </c>
    </row>
    <row r="70" ht="15" customHeight="1">
      <c r="A70" t="inlineStr">
        <is>
          <t>A 22071-2022</t>
        </is>
      </c>
      <c r="B70" t="inlineStr">
        <is>
          <t>avverkningsanmälan</t>
        </is>
      </c>
      <c r="C70" t="inlineStr">
        <is>
          <t>Föryngringsavverkning</t>
        </is>
      </c>
      <c r="D70" s="1" t="n">
        <v>44711</v>
      </c>
      <c r="E70" s="1" t="n">
        <v>46219</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s="2" t="inlineStr">
        <is>
          <t>Kattfotslav
Slåtterfibbla
Vedskivlav
Björksplintborre
Spillkråka</t>
        </is>
      </c>
      <c r="V70">
        <f>HYPERLINK("https://klasma.github.io/Logging_0188/artfynd/A 22071-2022 artfynd.xlsx", "A 22071-2022")</f>
        <v/>
      </c>
      <c r="W70">
        <f>HYPERLINK("https://klasma.github.io/Logging_0188/kartor/A 22071-2022 karta.png", "A 22071-2022")</f>
        <v/>
      </c>
      <c r="Y70">
        <f>HYPERLINK("https://klasma.github.io/Logging_0188/klagomål/A 22071-2022 FSC-klagomål.docx", "A 22071-2022")</f>
        <v/>
      </c>
      <c r="Z70">
        <f>HYPERLINK("https://klasma.github.io/Logging_0188/klagomålsmail/A 22071-2022 FSC-klagomål mail.docx", "A 22071-2022")</f>
        <v/>
      </c>
      <c r="AA70">
        <f>HYPERLINK("https://klasma.github.io/Logging_0188/tillsyn/A 22071-2022 tillsynsbegäran.docx", "A 22071-2022")</f>
        <v/>
      </c>
      <c r="AB70">
        <f>HYPERLINK("https://klasma.github.io/Logging_0188/tillsynsmail/A 22071-2022 tillsynsbegäran mail.docx", "A 22071-2022")</f>
        <v/>
      </c>
      <c r="AC70">
        <f>HYPERLINK("https://klasma.github.io/Logging_0188/fåglar/A 22071-2022 prioriterade fågelarter.docx", "A 22071-2022")</f>
        <v/>
      </c>
    </row>
    <row r="71" ht="15" customHeight="1">
      <c r="A71" t="inlineStr">
        <is>
          <t>A 4438-2023</t>
        </is>
      </c>
      <c r="B71" t="inlineStr">
        <is>
          <t>avverkningsanmälan</t>
        </is>
      </c>
      <c r="C71" t="inlineStr">
        <is>
          <t>Föryngringsavverkning</t>
        </is>
      </c>
      <c r="D71" s="1" t="n">
        <v>44956</v>
      </c>
      <c r="E71" s="1" t="n">
        <v>46219</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s="2" t="inlineStr">
        <is>
          <t>Ask
Skogsalm
Jungfrulin
Blåsippa
Spillkråka</t>
        </is>
      </c>
      <c r="V71">
        <f>HYPERLINK("https://klasma.github.io/Logging_0188/artfynd/A 4438-2023 artfynd.xlsx", "A 4438-2023")</f>
        <v/>
      </c>
      <c r="W71">
        <f>HYPERLINK("https://klasma.github.io/Logging_0188/kartor/A 4438-2023 karta.png", "A 4438-2023")</f>
        <v/>
      </c>
      <c r="Y71">
        <f>HYPERLINK("https://klasma.github.io/Logging_0188/klagomål/A 4438-2023 FSC-klagomål.docx", "A 4438-2023")</f>
        <v/>
      </c>
      <c r="Z71">
        <f>HYPERLINK("https://klasma.github.io/Logging_0188/klagomålsmail/A 4438-2023 FSC-klagomål mail.docx", "A 4438-2023")</f>
        <v/>
      </c>
      <c r="AA71">
        <f>HYPERLINK("https://klasma.github.io/Logging_0188/tillsyn/A 4438-2023 tillsynsbegäran.docx", "A 4438-2023")</f>
        <v/>
      </c>
      <c r="AB71">
        <f>HYPERLINK("https://klasma.github.io/Logging_0188/tillsynsmail/A 4438-2023 tillsynsbegäran mail.docx", "A 4438-2023")</f>
        <v/>
      </c>
      <c r="AC71">
        <f>HYPERLINK("https://klasma.github.io/Logging_0188/fåglar/A 4438-2023 prioriterade fågelarter.docx", "A 4438-2023")</f>
        <v/>
      </c>
    </row>
    <row r="72" ht="15" customHeight="1">
      <c r="A72" t="inlineStr">
        <is>
          <t>A 29558-2026</t>
        </is>
      </c>
      <c r="B72" t="inlineStr">
        <is>
          <t>avverkningsanmälan</t>
        </is>
      </c>
      <c r="C72" t="inlineStr">
        <is>
          <t>Föryngringsavverkning</t>
        </is>
      </c>
      <c r="D72" s="1" t="n">
        <v>46204</v>
      </c>
      <c r="E72" s="1" t="n">
        <v>46219</v>
      </c>
      <c r="F72" t="inlineStr">
        <is>
          <t>STOCKHOLMS LÄN</t>
        </is>
      </c>
      <c r="G72" t="inlineStr">
        <is>
          <t>NORRTÄLJE</t>
        </is>
      </c>
      <c r="I72" t="n">
        <v>1.3</v>
      </c>
      <c r="J72" t="n">
        <v>5</v>
      </c>
      <c r="K72" t="n">
        <v>0</v>
      </c>
      <c r="L72" t="n">
        <v>1</v>
      </c>
      <c r="M72" t="n">
        <v>0</v>
      </c>
      <c r="N72" t="n">
        <v>0</v>
      </c>
      <c r="O72" t="n">
        <v>0</v>
      </c>
      <c r="P72" t="n">
        <v>0</v>
      </c>
      <c r="Q72" t="n">
        <v>1</v>
      </c>
      <c r="R72" t="n">
        <v>0</v>
      </c>
      <c r="S72" t="n">
        <v>5</v>
      </c>
      <c r="T72" t="n">
        <v>5</v>
      </c>
      <c r="U72" s="2" t="inlineStr">
        <is>
          <t>Nordfladdermus
Dvärgpipistrell
Havsörn
Större brunfladdermus
Trollpipistrell</t>
        </is>
      </c>
      <c r="V72">
        <f>HYPERLINK("https://klasma.github.io/Logging_0188/artfynd/A 29558-2026 artfynd.xlsx", "A 29558-2026")</f>
        <v/>
      </c>
      <c r="W72">
        <f>HYPERLINK("https://klasma.github.io/Logging_0188/kartor/A 29558-2026 karta.png", "A 29558-2026")</f>
        <v/>
      </c>
      <c r="Y72">
        <f>HYPERLINK("https://klasma.github.io/Logging_0188/klagomål/A 29558-2026 FSC-klagomål.docx", "A 29558-2026")</f>
        <v/>
      </c>
      <c r="Z72">
        <f>HYPERLINK("https://klasma.github.io/Logging_0188/klagomålsmail/A 29558-2026 FSC-klagomål mail.docx", "A 29558-2026")</f>
        <v/>
      </c>
      <c r="AA72">
        <f>HYPERLINK("https://klasma.github.io/Logging_0188/tillsyn/A 29558-2026 tillsynsbegäran.docx", "A 29558-2026")</f>
        <v/>
      </c>
      <c r="AB72">
        <f>HYPERLINK("https://klasma.github.io/Logging_0188/tillsynsmail/A 29558-2026 tillsynsbegäran mail.docx", "A 29558-2026")</f>
        <v/>
      </c>
      <c r="AC72">
        <f>HYPERLINK("https://klasma.github.io/Logging_0188/fåglar/A 29558-2026 prioriterade fågelarter.docx", "A 29558-2026")</f>
        <v/>
      </c>
    </row>
    <row r="73" ht="15" customHeight="1">
      <c r="A73" t="inlineStr">
        <is>
          <t>A 29972-2024</t>
        </is>
      </c>
      <c r="B73" t="inlineStr">
        <is>
          <t>avverkningsanmälan</t>
        </is>
      </c>
      <c r="C73" t="inlineStr">
        <is>
          <t>Föryngringsavverkning</t>
        </is>
      </c>
      <c r="D73" s="1" t="n">
        <v>45485</v>
      </c>
      <c r="E73" s="1" t="n">
        <v>46219</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s="2" t="inlineStr">
        <is>
          <t>Ask
Sårläka
Bronshjon
Granbarkgnagare
Blåsippa</t>
        </is>
      </c>
      <c r="V73">
        <f>HYPERLINK("https://klasma.github.io/Logging_0188/artfynd/A 29972-2024 artfynd.xlsx", "A 29972-2024")</f>
        <v/>
      </c>
      <c r="W73">
        <f>HYPERLINK("https://klasma.github.io/Logging_0188/kartor/A 29972-2024 karta.png", "A 29972-2024")</f>
        <v/>
      </c>
      <c r="Y73">
        <f>HYPERLINK("https://klasma.github.io/Logging_0188/klagomål/A 29972-2024 FSC-klagomål.docx", "A 29972-2024")</f>
        <v/>
      </c>
      <c r="Z73">
        <f>HYPERLINK("https://klasma.github.io/Logging_0188/klagomålsmail/A 29972-2024 FSC-klagomål mail.docx", "A 29972-2024")</f>
        <v/>
      </c>
      <c r="AA73">
        <f>HYPERLINK("https://klasma.github.io/Logging_0188/tillsyn/A 29972-2024 tillsynsbegäran.docx", "A 29972-2024")</f>
        <v/>
      </c>
      <c r="AB73">
        <f>HYPERLINK("https://klasma.github.io/Logging_0188/tillsynsmail/A 29972-2024 tillsynsbegäran mail.docx", "A 29972-2024")</f>
        <v/>
      </c>
    </row>
    <row r="74" ht="15" customHeight="1">
      <c r="A74" t="inlineStr">
        <is>
          <t>A 21730-2025</t>
        </is>
      </c>
      <c r="B74" t="inlineStr">
        <is>
          <t>avverkningsanmälan</t>
        </is>
      </c>
      <c r="C74" t="inlineStr">
        <is>
          <t>Föryngringsavverkning</t>
        </is>
      </c>
      <c r="D74" s="1" t="n">
        <v>45783</v>
      </c>
      <c r="E74" s="1" t="n">
        <v>46219</v>
      </c>
      <c r="F74" t="inlineStr">
        <is>
          <t>STOCKHOLMS LÄN</t>
        </is>
      </c>
      <c r="G74" t="inlineStr">
        <is>
          <t>NORRTÄLJE</t>
        </is>
      </c>
      <c r="I74" t="n">
        <v>4.2</v>
      </c>
      <c r="J74" t="n">
        <v>2</v>
      </c>
      <c r="K74" t="n">
        <v>3</v>
      </c>
      <c r="L74" t="n">
        <v>0</v>
      </c>
      <c r="M74" t="n">
        <v>0</v>
      </c>
      <c r="N74" t="n">
        <v>0</v>
      </c>
      <c r="O74" t="n">
        <v>0</v>
      </c>
      <c r="P74" t="n">
        <v>0</v>
      </c>
      <c r="Q74" t="n">
        <v>0</v>
      </c>
      <c r="R74" t="n">
        <v>0</v>
      </c>
      <c r="S74" t="n">
        <v>5</v>
      </c>
      <c r="T74" t="n">
        <v>10</v>
      </c>
      <c r="U74" s="2" t="inlineStr">
        <is>
          <t>Blåmossa
Brandticka
Skogsbräsma
Blåsippa
Revlummer</t>
        </is>
      </c>
      <c r="V74">
        <f>HYPERLINK("https://klasma.github.io/Logging_0188/artfynd/A 21730-2025 artfynd.xlsx", "A 21730-2025")</f>
        <v/>
      </c>
      <c r="W74">
        <f>HYPERLINK("https://klasma.github.io/Logging_0188/kartor/A 21730-2025 karta.png", "A 21730-2025")</f>
        <v/>
      </c>
      <c r="Y74">
        <f>HYPERLINK("https://klasma.github.io/Logging_0188/klagomål/A 21730-2025 FSC-klagomål.docx", "A 21730-2025")</f>
        <v/>
      </c>
      <c r="Z74">
        <f>HYPERLINK("https://klasma.github.io/Logging_0188/klagomålsmail/A 21730-2025 FSC-klagomål mail.docx", "A 21730-2025")</f>
        <v/>
      </c>
      <c r="AA74">
        <f>HYPERLINK("https://klasma.github.io/Logging_0188/tillsyn/A 21730-2025 tillsynsbegäran.docx", "A 21730-2025")</f>
        <v/>
      </c>
      <c r="AB74">
        <f>HYPERLINK("https://klasma.github.io/Logging_0188/tillsynsmail/A 21730-2025 tillsynsbegäran mail.docx", "A 21730-2025")</f>
        <v/>
      </c>
    </row>
    <row r="75" ht="15" customHeight="1">
      <c r="A75" t="inlineStr">
        <is>
          <t>A 652-2025</t>
        </is>
      </c>
      <c r="B75" t="inlineStr">
        <is>
          <t>avverkningsanmälan</t>
        </is>
      </c>
      <c r="C75" t="inlineStr">
        <is>
          <t>Avverkning för annat ändamål</t>
        </is>
      </c>
      <c r="D75" s="1" t="n">
        <v>45664</v>
      </c>
      <c r="E75" s="1" t="n">
        <v>46219</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s="2" t="inlineStr">
        <is>
          <t>Fransfladdermus
Nordfladdermus
Dvärgpipistrell
Större brunfladdermus
Vattenfladdermus</t>
        </is>
      </c>
      <c r="V75">
        <f>HYPERLINK("https://klasma.github.io/Logging_0188/artfynd/A 652-2025 artfynd.xlsx", "A 652-2025")</f>
        <v/>
      </c>
      <c r="W75">
        <f>HYPERLINK("https://klasma.github.io/Logging_0188/kartor/A 652-2025 karta.png", "A 652-2025")</f>
        <v/>
      </c>
      <c r="Y75">
        <f>HYPERLINK("https://klasma.github.io/Logging_0188/klagomål/A 652-2025 FSC-klagomål.docx", "A 652-2025")</f>
        <v/>
      </c>
      <c r="Z75">
        <f>HYPERLINK("https://klasma.github.io/Logging_0188/klagomålsmail/A 652-2025 FSC-klagomål mail.docx", "A 652-2025")</f>
        <v/>
      </c>
      <c r="AA75">
        <f>HYPERLINK("https://klasma.github.io/Logging_0188/tillsyn/A 652-2025 tillsynsbegäran.docx", "A 652-2025")</f>
        <v/>
      </c>
      <c r="AB75">
        <f>HYPERLINK("https://klasma.github.io/Logging_0188/tillsynsmail/A 652-2025 tillsynsbegäran mail.docx", "A 652-2025")</f>
        <v/>
      </c>
    </row>
    <row r="76" ht="15" customHeight="1">
      <c r="A76" t="inlineStr">
        <is>
          <t>A 26703-2025</t>
        </is>
      </c>
      <c r="B76" t="inlineStr">
        <is>
          <t>avverkningsanmälan</t>
        </is>
      </c>
      <c r="C76" t="inlineStr">
        <is>
          <t>Föryngringsavverkning</t>
        </is>
      </c>
      <c r="D76" s="1" t="n">
        <v>45810</v>
      </c>
      <c r="E76" s="1" t="n">
        <v>46219</v>
      </c>
      <c r="F76" t="inlineStr">
        <is>
          <t>STOCKHOLMS LÄN</t>
        </is>
      </c>
      <c r="G76" t="inlineStr">
        <is>
          <t>NORRTÄLJE</t>
        </is>
      </c>
      <c r="I76" t="n">
        <v>1.8</v>
      </c>
      <c r="J76" t="n">
        <v>1</v>
      </c>
      <c r="K76" t="n">
        <v>1</v>
      </c>
      <c r="L76" t="n">
        <v>1</v>
      </c>
      <c r="M76" t="n">
        <v>2</v>
      </c>
      <c r="N76" t="n">
        <v>0</v>
      </c>
      <c r="O76" t="n">
        <v>0</v>
      </c>
      <c r="P76" t="n">
        <v>0</v>
      </c>
      <c r="Q76" t="n">
        <v>3</v>
      </c>
      <c r="R76" t="n">
        <v>2</v>
      </c>
      <c r="S76" t="n">
        <v>5</v>
      </c>
      <c r="T76" t="n">
        <v>6</v>
      </c>
      <c r="U76" s="2" t="inlineStr">
        <is>
          <t>Aspgelélav
Grangråticka
Fjällig taggsvamp s.str.
Svavelriska
Blåsippa</t>
        </is>
      </c>
      <c r="V76">
        <f>HYPERLINK("https://klasma.github.io/Logging_0188/artfynd/A 26703-2025 artfynd.xlsx", "A 26703-2025")</f>
        <v/>
      </c>
      <c r="W76">
        <f>HYPERLINK("https://klasma.github.io/Logging_0188/kartor/A 26703-2025 karta.png", "A 26703-2025")</f>
        <v/>
      </c>
      <c r="Y76">
        <f>HYPERLINK("https://klasma.github.io/Logging_0188/klagomål/A 26703-2025 FSC-klagomål.docx", "A 26703-2025")</f>
        <v/>
      </c>
      <c r="Z76">
        <f>HYPERLINK("https://klasma.github.io/Logging_0188/klagomålsmail/A 26703-2025 FSC-klagomål mail.docx", "A 26703-2025")</f>
        <v/>
      </c>
      <c r="AA76">
        <f>HYPERLINK("https://klasma.github.io/Logging_0188/tillsyn/A 26703-2025 tillsynsbegäran.docx", "A 26703-2025")</f>
        <v/>
      </c>
      <c r="AB76">
        <f>HYPERLINK("https://klasma.github.io/Logging_0188/tillsynsmail/A 26703-2025 tillsynsbegäran mail.docx", "A 26703-2025")</f>
        <v/>
      </c>
    </row>
    <row r="77" ht="15" customHeight="1">
      <c r="A77" t="inlineStr">
        <is>
          <t>S 529-2023</t>
        </is>
      </c>
      <c r="B77" t="inlineStr">
        <is>
          <t>samrådsanmälan</t>
        </is>
      </c>
      <c r="C77" t="inlineStr">
        <is>
          <t>Annan skogsbruksåtgärd</t>
        </is>
      </c>
      <c r="D77" s="1" t="n">
        <v>44972</v>
      </c>
      <c r="E77" s="1" t="n">
        <v>46219</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46219</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46219</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46219</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32103-2022</t>
        </is>
      </c>
      <c r="B81" t="inlineStr">
        <is>
          <t>avverkningsanmälan</t>
        </is>
      </c>
      <c r="C81" t="inlineStr">
        <is>
          <t>Föryngringsavverkning</t>
        </is>
      </c>
      <c r="D81" s="1" t="n">
        <v>44778</v>
      </c>
      <c r="E81" s="1" t="n">
        <v>46219</v>
      </c>
      <c r="F81" t="inlineStr">
        <is>
          <t>STOCKHOLMS LÄN</t>
        </is>
      </c>
      <c r="G81" t="inlineStr">
        <is>
          <t>NORRTÄLJE</t>
        </is>
      </c>
      <c r="I81" t="n">
        <v>3.4</v>
      </c>
      <c r="J81" t="n">
        <v>4</v>
      </c>
      <c r="K81" t="n">
        <v>0</v>
      </c>
      <c r="L81" t="n">
        <v>1</v>
      </c>
      <c r="M81" t="n">
        <v>1</v>
      </c>
      <c r="N81" t="n">
        <v>1</v>
      </c>
      <c r="O81" t="n">
        <v>0</v>
      </c>
      <c r="P81" t="n">
        <v>0</v>
      </c>
      <c r="Q81" t="n">
        <v>3</v>
      </c>
      <c r="R81" t="n">
        <v>2</v>
      </c>
      <c r="S81" t="n">
        <v>4</v>
      </c>
      <c r="T81" t="n">
        <v>4</v>
      </c>
      <c r="U81" s="2" t="inlineStr">
        <is>
          <t>Kornknarr
Gräshoppsångare
Rörsångare
Näktergal</t>
        </is>
      </c>
      <c r="V81">
        <f>HYPERLINK("https://klasma.github.io/Logging_0188/artfynd/A 32103-2022 artfynd.xlsx", "A 32103-2022")</f>
        <v/>
      </c>
      <c r="W81">
        <f>HYPERLINK("https://klasma.github.io/Logging_0188/kartor/A 32103-2022 karta.png", "A 32103-2022")</f>
        <v/>
      </c>
      <c r="Y81">
        <f>HYPERLINK("https://klasma.github.io/Logging_0188/klagomål/A 32103-2022 FSC-klagomål.docx", "A 32103-2022")</f>
        <v/>
      </c>
      <c r="Z81">
        <f>HYPERLINK("https://klasma.github.io/Logging_0188/klagomålsmail/A 32103-2022 FSC-klagomål mail.docx", "A 32103-2022")</f>
        <v/>
      </c>
      <c r="AA81">
        <f>HYPERLINK("https://klasma.github.io/Logging_0188/tillsyn/A 32103-2022 tillsynsbegäran.docx", "A 32103-2022")</f>
        <v/>
      </c>
      <c r="AB81">
        <f>HYPERLINK("https://klasma.github.io/Logging_0188/tillsynsmail/A 32103-2022 tillsynsbegäran mail.docx", "A 32103-2022")</f>
        <v/>
      </c>
      <c r="AC81">
        <f>HYPERLINK("https://klasma.github.io/Logging_0188/fåglar/A 32103-2022 prioriterade fågelarter.docx", "A 32103-2022")</f>
        <v/>
      </c>
    </row>
    <row r="82" ht="15" customHeight="1">
      <c r="A82" t="inlineStr">
        <is>
          <t>A 51980-2022</t>
        </is>
      </c>
      <c r="B82" t="inlineStr">
        <is>
          <t>avverkningsanmälan</t>
        </is>
      </c>
      <c r="C82" t="inlineStr">
        <is>
          <t>Föryngringsavverkning</t>
        </is>
      </c>
      <c r="D82" s="1" t="n">
        <v>44872</v>
      </c>
      <c r="E82" s="1" t="n">
        <v>46219</v>
      </c>
      <c r="F82" t="inlineStr">
        <is>
          <t>STOCKHOLMS LÄN</t>
        </is>
      </c>
      <c r="G82" t="inlineStr">
        <is>
          <t>NORRTÄLJE</t>
        </is>
      </c>
      <c r="I82" t="n">
        <v>7.9</v>
      </c>
      <c r="J82" t="n">
        <v>2</v>
      </c>
      <c r="K82" t="n">
        <v>4</v>
      </c>
      <c r="L82" t="n">
        <v>0</v>
      </c>
      <c r="M82" t="n">
        <v>0</v>
      </c>
      <c r="N82" t="n">
        <v>0</v>
      </c>
      <c r="O82" t="n">
        <v>0</v>
      </c>
      <c r="P82" t="n">
        <v>0</v>
      </c>
      <c r="Q82" t="n">
        <v>0</v>
      </c>
      <c r="R82" t="n">
        <v>0</v>
      </c>
      <c r="S82" t="n">
        <v>4</v>
      </c>
      <c r="T82" t="n">
        <v>6</v>
      </c>
      <c r="U82" s="2" t="inlineStr">
        <is>
          <t>Rödgul trumpetsvamp
Skogsknipprot
Trådfräken
Tvåblad</t>
        </is>
      </c>
      <c r="V82">
        <f>HYPERLINK("https://klasma.github.io/Logging_0188/artfynd/A 51980-2022 artfynd.xlsx", "A 51980-2022")</f>
        <v/>
      </c>
      <c r="W82">
        <f>HYPERLINK("https://klasma.github.io/Logging_0188/kartor/A 51980-2022 karta.png", "A 51980-2022")</f>
        <v/>
      </c>
      <c r="Y82">
        <f>HYPERLINK("https://klasma.github.io/Logging_0188/klagomål/A 51980-2022 FSC-klagomål.docx", "A 51980-2022")</f>
        <v/>
      </c>
      <c r="Z82">
        <f>HYPERLINK("https://klasma.github.io/Logging_0188/klagomålsmail/A 51980-2022 FSC-klagomål mail.docx", "A 51980-2022")</f>
        <v/>
      </c>
      <c r="AA82">
        <f>HYPERLINK("https://klasma.github.io/Logging_0188/tillsyn/A 51980-2022 tillsynsbegäran.docx", "A 51980-2022")</f>
        <v/>
      </c>
      <c r="AB82">
        <f>HYPERLINK("https://klasma.github.io/Logging_0188/tillsynsmail/A 51980-2022 tillsynsbegäran mail.docx", "A 51980-2022")</f>
        <v/>
      </c>
    </row>
    <row r="83" ht="15" customHeight="1">
      <c r="A83" t="inlineStr">
        <is>
          <t>A 47898-2022</t>
        </is>
      </c>
      <c r="B83" t="inlineStr">
        <is>
          <t>avverkningsanmälan</t>
        </is>
      </c>
      <c r="C83" t="inlineStr">
        <is>
          <t>Föryngringsavverkning</t>
        </is>
      </c>
      <c r="D83" s="1" t="n">
        <v>44855</v>
      </c>
      <c r="E83" s="1" t="n">
        <v>46219</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s="2" t="inlineStr">
        <is>
          <t>Hällebräcka
Mindre bastardsvärmare
Backklöver
Guckusko</t>
        </is>
      </c>
      <c r="V83">
        <f>HYPERLINK("https://klasma.github.io/Logging_0188/artfynd/A 47898-2022 artfynd.xlsx", "A 47898-2022")</f>
        <v/>
      </c>
      <c r="W83">
        <f>HYPERLINK("https://klasma.github.io/Logging_0188/kartor/A 47898-2022 karta.png", "A 47898-2022")</f>
        <v/>
      </c>
      <c r="Y83">
        <f>HYPERLINK("https://klasma.github.io/Logging_0188/klagomål/A 47898-2022 FSC-klagomål.docx", "A 47898-2022")</f>
        <v/>
      </c>
      <c r="Z83">
        <f>HYPERLINK("https://klasma.github.io/Logging_0188/klagomålsmail/A 47898-2022 FSC-klagomål mail.docx", "A 47898-2022")</f>
        <v/>
      </c>
      <c r="AA83">
        <f>HYPERLINK("https://klasma.github.io/Logging_0188/tillsyn/A 47898-2022 tillsynsbegäran.docx", "A 47898-2022")</f>
        <v/>
      </c>
      <c r="AB83">
        <f>HYPERLINK("https://klasma.github.io/Logging_0188/tillsynsmail/A 47898-2022 tillsynsbegäran mail.docx", "A 47898-2022")</f>
        <v/>
      </c>
    </row>
    <row r="84" ht="15" customHeight="1">
      <c r="A84" t="inlineStr">
        <is>
          <t>A 17952-2022</t>
        </is>
      </c>
      <c r="B84" t="inlineStr">
        <is>
          <t>avverkningsanmälan</t>
        </is>
      </c>
      <c r="C84" t="inlineStr">
        <is>
          <t>Föryngringsavverkning</t>
        </is>
      </c>
      <c r="D84" s="1" t="n">
        <v>44683</v>
      </c>
      <c r="E84" s="1" t="n">
        <v>46219</v>
      </c>
      <c r="F84" t="inlineStr">
        <is>
          <t>STOCKHOLMS LÄN</t>
        </is>
      </c>
      <c r="G84" t="inlineStr">
        <is>
          <t>NORRTÄLJE</t>
        </is>
      </c>
      <c r="I84" t="n">
        <v>51.1</v>
      </c>
      <c r="J84" t="n">
        <v>3</v>
      </c>
      <c r="K84" t="n">
        <v>0</v>
      </c>
      <c r="L84" t="n">
        <v>2</v>
      </c>
      <c r="M84" t="n">
        <v>1</v>
      </c>
      <c r="N84" t="n">
        <v>0</v>
      </c>
      <c r="O84" t="n">
        <v>0</v>
      </c>
      <c r="P84" t="n">
        <v>0</v>
      </c>
      <c r="Q84" t="n">
        <v>3</v>
      </c>
      <c r="R84" t="n">
        <v>1</v>
      </c>
      <c r="S84" t="n">
        <v>4</v>
      </c>
      <c r="T84" t="n">
        <v>4</v>
      </c>
      <c r="U84" s="2" t="inlineStr">
        <is>
          <t>Kattunvisslare
Mindre hackspett
Talltita
Revlummer</t>
        </is>
      </c>
      <c r="V84">
        <f>HYPERLINK("https://klasma.github.io/Logging_0188/artfynd/A 17952-2022 artfynd.xlsx", "A 17952-2022")</f>
        <v/>
      </c>
      <c r="W84">
        <f>HYPERLINK("https://klasma.github.io/Logging_0188/kartor/A 17952-2022 karta.png", "A 17952-2022")</f>
        <v/>
      </c>
      <c r="Y84">
        <f>HYPERLINK("https://klasma.github.io/Logging_0188/klagomål/A 17952-2022 FSC-klagomål.docx", "A 17952-2022")</f>
        <v/>
      </c>
      <c r="Z84">
        <f>HYPERLINK("https://klasma.github.io/Logging_0188/klagomålsmail/A 17952-2022 FSC-klagomål mail.docx", "A 17952-2022")</f>
        <v/>
      </c>
      <c r="AA84">
        <f>HYPERLINK("https://klasma.github.io/Logging_0188/tillsyn/A 17952-2022 tillsynsbegäran.docx", "A 17952-2022")</f>
        <v/>
      </c>
      <c r="AB84">
        <f>HYPERLINK("https://klasma.github.io/Logging_0188/tillsynsmail/A 17952-2022 tillsynsbegäran mail.docx", "A 17952-2022")</f>
        <v/>
      </c>
      <c r="AC84">
        <f>HYPERLINK("https://klasma.github.io/Logging_0188/fåglar/A 17952-2022 prioriterade fågelarter.docx", "A 17952-2022")</f>
        <v/>
      </c>
    </row>
    <row r="85" ht="15" customHeight="1">
      <c r="A85" t="inlineStr">
        <is>
          <t>A 41276-2025</t>
        </is>
      </c>
      <c r="B85" t="inlineStr">
        <is>
          <t>avverkningsanmälan</t>
        </is>
      </c>
      <c r="C85" t="inlineStr">
        <is>
          <t>Avverkning för att bevara och utveckla /försöksver</t>
        </is>
      </c>
      <c r="D85" s="1" t="n">
        <v>45898</v>
      </c>
      <c r="E85" s="1" t="n">
        <v>46219</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s="2" t="inlineStr">
        <is>
          <t>Ask
Vårärt
Underviol
Blåsippa</t>
        </is>
      </c>
      <c r="V85">
        <f>HYPERLINK("https://klasma.github.io/Logging_0188/artfynd/A 41276-2025 artfynd.xlsx", "A 41276-2025")</f>
        <v/>
      </c>
      <c r="W85">
        <f>HYPERLINK("https://klasma.github.io/Logging_0188/kartor/A 41276-2025 karta.png", "A 41276-2025")</f>
        <v/>
      </c>
      <c r="Y85">
        <f>HYPERLINK("https://klasma.github.io/Logging_0188/klagomål/A 41276-2025 FSC-klagomål.docx", "A 41276-2025")</f>
        <v/>
      </c>
      <c r="Z85">
        <f>HYPERLINK("https://klasma.github.io/Logging_0188/klagomålsmail/A 41276-2025 FSC-klagomål mail.docx", "A 41276-2025")</f>
        <v/>
      </c>
      <c r="AA85">
        <f>HYPERLINK("https://klasma.github.io/Logging_0188/tillsyn/A 41276-2025 tillsynsbegäran.docx", "A 41276-2025")</f>
        <v/>
      </c>
      <c r="AB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46219</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s="2" t="inlineStr">
        <is>
          <t>Kandelabersvamp
Stinkbrosking
Svart trolldruva
Blåsippa</t>
        </is>
      </c>
      <c r="V86">
        <f>HYPERLINK("https://klasma.github.io/Logging_0188/artfynd/A 30687-2025 artfynd.xlsx", "A 30687-2025")</f>
        <v/>
      </c>
      <c r="W86">
        <f>HYPERLINK("https://klasma.github.io/Logging_0188/kartor/A 30687-2025 karta.png", "A 30687-2025")</f>
        <v/>
      </c>
      <c r="Y86">
        <f>HYPERLINK("https://klasma.github.io/Logging_0188/klagomål/A 30687-2025 FSC-klagomål.docx", "A 30687-2025")</f>
        <v/>
      </c>
      <c r="Z86">
        <f>HYPERLINK("https://klasma.github.io/Logging_0188/klagomålsmail/A 30687-2025 FSC-klagomål mail.docx", "A 30687-2025")</f>
        <v/>
      </c>
      <c r="AA86">
        <f>HYPERLINK("https://klasma.github.io/Logging_0188/tillsyn/A 30687-2025 tillsynsbegäran.docx", "A 30687-2025")</f>
        <v/>
      </c>
      <c r="AB86">
        <f>HYPERLINK("https://klasma.github.io/Logging_0188/tillsynsmail/A 30687-2025 tillsynsbegäran mail.docx", "A 30687-2025")</f>
        <v/>
      </c>
    </row>
    <row r="87" ht="15" customHeight="1">
      <c r="A87" t="inlineStr">
        <is>
          <t>A 24535-2023</t>
        </is>
      </c>
      <c r="B87" t="inlineStr">
        <is>
          <t>avverkningsanmälan</t>
        </is>
      </c>
      <c r="C87" t="inlineStr">
        <is>
          <t>Föryngringsavverkning</t>
        </is>
      </c>
      <c r="D87" s="1" t="n">
        <v>45082</v>
      </c>
      <c r="E87" s="1" t="n">
        <v>46219</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s="2" t="inlineStr">
        <is>
          <t>Nästrot
Svavelriska
Blåsippa
Mindre flugsnappare</t>
        </is>
      </c>
      <c r="V87">
        <f>HYPERLINK("https://klasma.github.io/Logging_0188/artfynd/A 24535-2023 artfynd.xlsx", "A 24535-2023")</f>
        <v/>
      </c>
      <c r="W87">
        <f>HYPERLINK("https://klasma.github.io/Logging_0188/kartor/A 24535-2023 karta.png", "A 24535-2023")</f>
        <v/>
      </c>
      <c r="Y87">
        <f>HYPERLINK("https://klasma.github.io/Logging_0188/klagomål/A 24535-2023 FSC-klagomål.docx", "A 24535-2023")</f>
        <v/>
      </c>
      <c r="Z87">
        <f>HYPERLINK("https://klasma.github.io/Logging_0188/klagomålsmail/A 24535-2023 FSC-klagomål mail.docx", "A 24535-2023")</f>
        <v/>
      </c>
      <c r="AA87">
        <f>HYPERLINK("https://klasma.github.io/Logging_0188/tillsyn/A 24535-2023 tillsynsbegäran.docx", "A 24535-2023")</f>
        <v/>
      </c>
      <c r="AB87">
        <f>HYPERLINK("https://klasma.github.io/Logging_0188/tillsynsmail/A 24535-2023 tillsynsbegäran mail.docx", "A 24535-2023")</f>
        <v/>
      </c>
      <c r="AC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46219</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s="2" t="inlineStr">
        <is>
          <t>Sårläka
Vårärt
Svart trolldruva
Blåsippa</t>
        </is>
      </c>
      <c r="V88">
        <f>HYPERLINK("https://klasma.github.io/Logging_0188/artfynd/A 72305-2021 artfynd.xlsx", "A 72305-2021")</f>
        <v/>
      </c>
      <c r="W88">
        <f>HYPERLINK("https://klasma.github.io/Logging_0188/kartor/A 72305-2021 karta.png", "A 72305-2021")</f>
        <v/>
      </c>
      <c r="Y88">
        <f>HYPERLINK("https://klasma.github.io/Logging_0188/klagomål/A 72305-2021 FSC-klagomål.docx", "A 72305-2021")</f>
        <v/>
      </c>
      <c r="Z88">
        <f>HYPERLINK("https://klasma.github.io/Logging_0188/klagomålsmail/A 72305-2021 FSC-klagomål mail.docx", "A 72305-2021")</f>
        <v/>
      </c>
      <c r="AA88">
        <f>HYPERLINK("https://klasma.github.io/Logging_0188/tillsyn/A 72305-2021 tillsynsbegäran.docx", "A 72305-2021")</f>
        <v/>
      </c>
      <c r="AB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46219</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s="2" t="inlineStr">
        <is>
          <t>Enkelbeckasin
Jungfrulin
Spillkråka
Orre</t>
        </is>
      </c>
      <c r="V89">
        <f>HYPERLINK("https://klasma.github.io/Logging_0188/artfynd/A 44709-2022 artfynd.xlsx", "A 44709-2022")</f>
        <v/>
      </c>
      <c r="W89">
        <f>HYPERLINK("https://klasma.github.io/Logging_0188/kartor/A 44709-2022 karta.png", "A 44709-2022")</f>
        <v/>
      </c>
      <c r="Y89">
        <f>HYPERLINK("https://klasma.github.io/Logging_0188/klagomål/A 44709-2022 FSC-klagomål.docx", "A 44709-2022")</f>
        <v/>
      </c>
      <c r="Z89">
        <f>HYPERLINK("https://klasma.github.io/Logging_0188/klagomålsmail/A 44709-2022 FSC-klagomål mail.docx", "A 44709-2022")</f>
        <v/>
      </c>
      <c r="AA89">
        <f>HYPERLINK("https://klasma.github.io/Logging_0188/tillsyn/A 44709-2022 tillsynsbegäran.docx", "A 44709-2022")</f>
        <v/>
      </c>
      <c r="AB89">
        <f>HYPERLINK("https://klasma.github.io/Logging_0188/tillsynsmail/A 44709-2022 tillsynsbegäran mail.docx", "A 44709-2022")</f>
        <v/>
      </c>
      <c r="AC89">
        <f>HYPERLINK("https://klasma.github.io/Logging_0188/fåglar/A 44709-2022 prioriterade fågelarter.docx", "A 44709-2022")</f>
        <v/>
      </c>
    </row>
    <row r="90" ht="15" customHeight="1">
      <c r="A90" t="inlineStr">
        <is>
          <t>A 54110-2024</t>
        </is>
      </c>
      <c r="B90" t="inlineStr">
        <is>
          <t>avverkningsanmälan</t>
        </is>
      </c>
      <c r="C90" t="inlineStr">
        <is>
          <t>Föryngringsavverkning</t>
        </is>
      </c>
      <c r="D90" s="1" t="n">
        <v>45616</v>
      </c>
      <c r="E90" s="1" t="n">
        <v>46219</v>
      </c>
      <c r="F90" t="inlineStr">
        <is>
          <t>STOCKHOLMS LÄN</t>
        </is>
      </c>
      <c r="G90" t="inlineStr">
        <is>
          <t>NORRTÄLJE</t>
        </is>
      </c>
      <c r="I90" t="n">
        <v>6.7</v>
      </c>
      <c r="J90" t="n">
        <v>2</v>
      </c>
      <c r="K90" t="n">
        <v>0</v>
      </c>
      <c r="L90" t="n">
        <v>2</v>
      </c>
      <c r="M90" t="n">
        <v>0</v>
      </c>
      <c r="N90" t="n">
        <v>0</v>
      </c>
      <c r="O90" t="n">
        <v>0</v>
      </c>
      <c r="P90" t="n">
        <v>0</v>
      </c>
      <c r="Q90" t="n">
        <v>2</v>
      </c>
      <c r="R90" t="n">
        <v>0</v>
      </c>
      <c r="S90" t="n">
        <v>4</v>
      </c>
      <c r="T90" t="n">
        <v>4</v>
      </c>
      <c r="U90" s="2" t="inlineStr">
        <is>
          <t>Jungfrulin
Klasefibbla
Nattviol
Gullviva</t>
        </is>
      </c>
      <c r="V90">
        <f>HYPERLINK("https://klasma.github.io/Logging_0188/artfynd/A 54110-2024 artfynd.xlsx", "A 54110-2024")</f>
        <v/>
      </c>
      <c r="W90">
        <f>HYPERLINK("https://klasma.github.io/Logging_0188/kartor/A 54110-2024 karta.png", "A 54110-2024")</f>
        <v/>
      </c>
      <c r="Y90">
        <f>HYPERLINK("https://klasma.github.io/Logging_0188/klagomål/A 54110-2024 FSC-klagomål.docx", "A 54110-2024")</f>
        <v/>
      </c>
      <c r="Z90">
        <f>HYPERLINK("https://klasma.github.io/Logging_0188/klagomålsmail/A 54110-2024 FSC-klagomål mail.docx", "A 54110-2024")</f>
        <v/>
      </c>
      <c r="AA90">
        <f>HYPERLINK("https://klasma.github.io/Logging_0188/tillsyn/A 54110-2024 tillsynsbegäran.docx", "A 54110-2024")</f>
        <v/>
      </c>
      <c r="AB90">
        <f>HYPERLINK("https://klasma.github.io/Logging_0188/tillsynsmail/A 54110-2024 tillsynsbegäran mail.docx", "A 54110-2024")</f>
        <v/>
      </c>
    </row>
    <row r="91" ht="15" customHeight="1">
      <c r="A91" t="inlineStr">
        <is>
          <t>A 29185-2025</t>
        </is>
      </c>
      <c r="B91" t="inlineStr">
        <is>
          <t>avverkningsanmälan</t>
        </is>
      </c>
      <c r="C91" t="inlineStr">
        <is>
          <t>Föryngringsavverkning</t>
        </is>
      </c>
      <c r="D91" s="1" t="n">
        <v>45821</v>
      </c>
      <c r="E91" s="1" t="n">
        <v>46219</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s="2" t="inlineStr">
        <is>
          <t>Vårärt
Blåsippa
Tjäder
Fläcknycklar</t>
        </is>
      </c>
      <c r="V91">
        <f>HYPERLINK("https://klasma.github.io/Logging_0188/artfynd/A 29185-2025 artfynd.xlsx", "A 29185-2025")</f>
        <v/>
      </c>
      <c r="W91">
        <f>HYPERLINK("https://klasma.github.io/Logging_0188/kartor/A 29185-2025 karta.png", "A 29185-2025")</f>
        <v/>
      </c>
      <c r="Y91">
        <f>HYPERLINK("https://klasma.github.io/Logging_0188/klagomål/A 29185-2025 FSC-klagomål.docx", "A 29185-2025")</f>
        <v/>
      </c>
      <c r="Z91">
        <f>HYPERLINK("https://klasma.github.io/Logging_0188/klagomålsmail/A 29185-2025 FSC-klagomål mail.docx", "A 29185-2025")</f>
        <v/>
      </c>
      <c r="AA91">
        <f>HYPERLINK("https://klasma.github.io/Logging_0188/tillsyn/A 29185-2025 tillsynsbegäran.docx", "A 29185-2025")</f>
        <v/>
      </c>
      <c r="AB91">
        <f>HYPERLINK("https://klasma.github.io/Logging_0188/tillsynsmail/A 29185-2025 tillsynsbegäran mail.docx", "A 29185-2025")</f>
        <v/>
      </c>
      <c r="AC91">
        <f>HYPERLINK("https://klasma.github.io/Logging_0188/fåglar/A 29185-2025 prioriterade fågelarter.docx", "A 29185-2025")</f>
        <v/>
      </c>
    </row>
    <row r="92" ht="15" customHeight="1">
      <c r="A92" t="inlineStr">
        <is>
          <t>A 27870-2022</t>
        </is>
      </c>
      <c r="B92" t="inlineStr">
        <is>
          <t>avverkningsanmälan</t>
        </is>
      </c>
      <c r="C92" t="inlineStr">
        <is>
          <t>Föryngringsavverkning</t>
        </is>
      </c>
      <c r="D92" s="1" t="n">
        <v>44743</v>
      </c>
      <c r="E92" s="1" t="n">
        <v>46219</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s="2" t="inlineStr">
        <is>
          <t>Ask
Nordfladdermus
Dvärgpipistrell
Större brunfladdermus</t>
        </is>
      </c>
      <c r="V92">
        <f>HYPERLINK("https://klasma.github.io/Logging_0188/artfynd/A 27870-2022 artfynd.xlsx", "A 27870-2022")</f>
        <v/>
      </c>
      <c r="W92">
        <f>HYPERLINK("https://klasma.github.io/Logging_0188/kartor/A 27870-2022 karta.png", "A 27870-2022")</f>
        <v/>
      </c>
      <c r="Y92">
        <f>HYPERLINK("https://klasma.github.io/Logging_0188/klagomål/A 27870-2022 FSC-klagomål.docx", "A 27870-2022")</f>
        <v/>
      </c>
      <c r="Z92">
        <f>HYPERLINK("https://klasma.github.io/Logging_0188/klagomålsmail/A 27870-2022 FSC-klagomål mail.docx", "A 27870-2022")</f>
        <v/>
      </c>
      <c r="AA92">
        <f>HYPERLINK("https://klasma.github.io/Logging_0188/tillsyn/A 27870-2022 tillsynsbegäran.docx", "A 27870-2022")</f>
        <v/>
      </c>
      <c r="AB92">
        <f>HYPERLINK("https://klasma.github.io/Logging_0188/tillsynsmail/A 27870-2022 tillsynsbegäran mail.docx", "A 27870-2022")</f>
        <v/>
      </c>
    </row>
    <row r="93" ht="15" customHeight="1">
      <c r="A93" t="inlineStr">
        <is>
          <t>A 25913-2026</t>
        </is>
      </c>
      <c r="B93" t="inlineStr">
        <is>
          <t>avverkningsanmälan</t>
        </is>
      </c>
      <c r="C93" t="inlineStr">
        <is>
          <t>Föryngringsavverkning</t>
        </is>
      </c>
      <c r="D93" s="1" t="n">
        <v>46178</v>
      </c>
      <c r="E93" s="1" t="n">
        <v>46219</v>
      </c>
      <c r="F93" t="inlineStr">
        <is>
          <t>STOCKHOLMS LÄN</t>
        </is>
      </c>
      <c r="G93" t="inlineStr">
        <is>
          <t>NORRTÄLJE</t>
        </is>
      </c>
      <c r="I93" t="n">
        <v>10.3</v>
      </c>
      <c r="J93" t="n">
        <v>3</v>
      </c>
      <c r="K93" t="n">
        <v>0</v>
      </c>
      <c r="L93" t="n">
        <v>1</v>
      </c>
      <c r="M93" t="n">
        <v>1</v>
      </c>
      <c r="N93" t="n">
        <v>0</v>
      </c>
      <c r="O93" t="n">
        <v>0</v>
      </c>
      <c r="P93" t="n">
        <v>0</v>
      </c>
      <c r="Q93" t="n">
        <v>2</v>
      </c>
      <c r="R93" t="n">
        <v>1</v>
      </c>
      <c r="S93" t="n">
        <v>4</v>
      </c>
      <c r="T93" t="n">
        <v>4</v>
      </c>
      <c r="U93" s="2" t="inlineStr">
        <is>
          <t>Igelkott
Talltita
Grönsiska
Havsörn</t>
        </is>
      </c>
      <c r="V93">
        <f>HYPERLINK("https://klasma.github.io/Logging_0188/artfynd/A 25913-2026 artfynd.xlsx", "A 25913-2026")</f>
        <v/>
      </c>
      <c r="W93">
        <f>HYPERLINK("https://klasma.github.io/Logging_0188/kartor/A 25913-2026 karta.png", "A 25913-2026")</f>
        <v/>
      </c>
      <c r="Y93">
        <f>HYPERLINK("https://klasma.github.io/Logging_0188/klagomål/A 25913-2026 FSC-klagomål.docx", "A 25913-2026")</f>
        <v/>
      </c>
      <c r="Z93">
        <f>HYPERLINK("https://klasma.github.io/Logging_0188/klagomålsmail/A 25913-2026 FSC-klagomål mail.docx", "A 25913-2026")</f>
        <v/>
      </c>
      <c r="AA93">
        <f>HYPERLINK("https://klasma.github.io/Logging_0188/tillsyn/A 25913-2026 tillsynsbegäran.docx", "A 25913-2026")</f>
        <v/>
      </c>
      <c r="AB93">
        <f>HYPERLINK("https://klasma.github.io/Logging_0188/tillsynsmail/A 25913-2026 tillsynsbegäran mail.docx", "A 25913-2026")</f>
        <v/>
      </c>
      <c r="AC93">
        <f>HYPERLINK("https://klasma.github.io/Logging_0188/fåglar/A 25913-2026 prioriterade fågelarter.docx", "A 25913-2026")</f>
        <v/>
      </c>
    </row>
    <row r="94" ht="15" customHeight="1">
      <c r="A94" t="inlineStr">
        <is>
          <t>S 2204-2022</t>
        </is>
      </c>
      <c r="B94" t="inlineStr">
        <is>
          <t>samrådsanmälan</t>
        </is>
      </c>
      <c r="C94" t="inlineStr">
        <is>
          <t>Åtgärd i nyckelbiotop</t>
        </is>
      </c>
      <c r="D94" s="1" t="n">
        <v>44679</v>
      </c>
      <c r="E94" s="1" t="n">
        <v>46219</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46219</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46219</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46219</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46219</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Y98">
        <f>HYPERLINK("https://klasma.github.io/Logging_0188/klagomål/A 30693-2022 FSC-klagomål.docx", "A 30693-2022")</f>
        <v/>
      </c>
      <c r="Z98">
        <f>HYPERLINK("https://klasma.github.io/Logging_0188/klagomålsmail/A 30693-2022 FSC-klagomål mail.docx", "A 30693-2022")</f>
        <v/>
      </c>
      <c r="AA98">
        <f>HYPERLINK("https://klasma.github.io/Logging_0188/tillsyn/A 30693-2022 tillsynsbegäran.docx", "A 30693-2022")</f>
        <v/>
      </c>
      <c r="AB98">
        <f>HYPERLINK("https://klasma.github.io/Logging_0188/tillsynsmail/A 30693-2022 tillsynsbegäran mail.docx", "A 30693-2022")</f>
        <v/>
      </c>
      <c r="AC98">
        <f>HYPERLINK("https://klasma.github.io/Logging_0188/fåglar/A 30693-2022 prioriterade fågelarter.docx", "A 30693-2022")</f>
        <v/>
      </c>
    </row>
    <row r="99" ht="15" customHeight="1">
      <c r="A99" t="inlineStr">
        <is>
          <t>A 20185-2022</t>
        </is>
      </c>
      <c r="B99" t="inlineStr">
        <is>
          <t>avverkningsanmälan</t>
        </is>
      </c>
      <c r="C99" t="inlineStr">
        <is>
          <t>Föryngringsavverkning</t>
        </is>
      </c>
      <c r="D99" s="1" t="n">
        <v>44698</v>
      </c>
      <c r="E99" s="1" t="n">
        <v>46219</v>
      </c>
      <c r="F99" t="inlineStr">
        <is>
          <t>STOCKHOLMS LÄN</t>
        </is>
      </c>
      <c r="G99" t="inlineStr">
        <is>
          <t>NORRTÄLJE</t>
        </is>
      </c>
      <c r="I99" t="n">
        <v>8.4</v>
      </c>
      <c r="J99" t="n">
        <v>1</v>
      </c>
      <c r="K99" t="n">
        <v>2</v>
      </c>
      <c r="L99" t="n">
        <v>0</v>
      </c>
      <c r="M99" t="n">
        <v>0</v>
      </c>
      <c r="N99" t="n">
        <v>0</v>
      </c>
      <c r="O99" t="n">
        <v>0</v>
      </c>
      <c r="P99" t="n">
        <v>0</v>
      </c>
      <c r="Q99" t="n">
        <v>0</v>
      </c>
      <c r="R99" t="n">
        <v>0</v>
      </c>
      <c r="S99" t="n">
        <v>3</v>
      </c>
      <c r="T99" t="n">
        <v>3</v>
      </c>
      <c r="U99" s="2" t="inlineStr">
        <is>
          <t>Gullgröppa
Vedticka
Tallbit</t>
        </is>
      </c>
      <c r="V99">
        <f>HYPERLINK("https://klasma.github.io/Logging_0188/artfynd/A 20185-2022 artfynd.xlsx", "A 20185-2022")</f>
        <v/>
      </c>
      <c r="W99">
        <f>HYPERLINK("https://klasma.github.io/Logging_0188/kartor/A 20185-2022 karta.png", "A 20185-2022")</f>
        <v/>
      </c>
      <c r="Y99">
        <f>HYPERLINK("https://klasma.github.io/Logging_0188/klagomål/A 20185-2022 FSC-klagomål.docx", "A 20185-2022")</f>
        <v/>
      </c>
      <c r="Z99">
        <f>HYPERLINK("https://klasma.github.io/Logging_0188/klagomålsmail/A 20185-2022 FSC-klagomål mail.docx", "A 20185-2022")</f>
        <v/>
      </c>
      <c r="AA99">
        <f>HYPERLINK("https://klasma.github.io/Logging_0188/tillsyn/A 20185-2022 tillsynsbegäran.docx", "A 20185-2022")</f>
        <v/>
      </c>
      <c r="AB99">
        <f>HYPERLINK("https://klasma.github.io/Logging_0188/tillsynsmail/A 20185-2022 tillsynsbegäran mail.docx", "A 20185-2022")</f>
        <v/>
      </c>
      <c r="AC99">
        <f>HYPERLINK("https://klasma.github.io/Logging_0188/fåglar/A 20185-2022 prioriterade fågelarter.docx", "A 20185-2022")</f>
        <v/>
      </c>
    </row>
    <row r="100" ht="15" customHeight="1">
      <c r="A100" t="inlineStr">
        <is>
          <t>A 40192-2023</t>
        </is>
      </c>
      <c r="B100" t="inlineStr">
        <is>
          <t>avverkningsanmälan</t>
        </is>
      </c>
      <c r="C100" t="inlineStr">
        <is>
          <t>Föryngringsavverkning</t>
        </is>
      </c>
      <c r="D100" s="1" t="n">
        <v>45169</v>
      </c>
      <c r="E100" s="1" t="n">
        <v>46219</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s="2" t="inlineStr">
        <is>
          <t>Grönsiska
Skogsduva
Törnskata</t>
        </is>
      </c>
      <c r="V100">
        <f>HYPERLINK("https://klasma.github.io/Logging_0188/artfynd/A 40192-2023 artfynd.xlsx", "A 40192-2023")</f>
        <v/>
      </c>
      <c r="W100">
        <f>HYPERLINK("https://klasma.github.io/Logging_0188/kartor/A 40192-2023 karta.png", "A 40192-2023")</f>
        <v/>
      </c>
      <c r="Y100">
        <f>HYPERLINK("https://klasma.github.io/Logging_0188/klagomål/A 40192-2023 FSC-klagomål.docx", "A 40192-2023")</f>
        <v/>
      </c>
      <c r="Z100">
        <f>HYPERLINK("https://klasma.github.io/Logging_0188/klagomålsmail/A 40192-2023 FSC-klagomål mail.docx", "A 40192-2023")</f>
        <v/>
      </c>
      <c r="AA100">
        <f>HYPERLINK("https://klasma.github.io/Logging_0188/tillsyn/A 40192-2023 tillsynsbegäran.docx", "A 40192-2023")</f>
        <v/>
      </c>
      <c r="AB100">
        <f>HYPERLINK("https://klasma.github.io/Logging_0188/tillsynsmail/A 40192-2023 tillsynsbegäran mail.docx", "A 40192-2023")</f>
        <v/>
      </c>
      <c r="AC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46219</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s="2" t="inlineStr">
        <is>
          <t>Orange taggsvamp
Olivspindling
Zontaggsvamp</t>
        </is>
      </c>
      <c r="V101">
        <f>HYPERLINK("https://klasma.github.io/Logging_0188/artfynd/A 9914-2023 artfynd.xlsx", "A 9914-2023")</f>
        <v/>
      </c>
      <c r="W101">
        <f>HYPERLINK("https://klasma.github.io/Logging_0188/kartor/A 9914-2023 karta.png", "A 9914-2023")</f>
        <v/>
      </c>
      <c r="Y101">
        <f>HYPERLINK("https://klasma.github.io/Logging_0188/klagomål/A 9914-2023 FSC-klagomål.docx", "A 9914-2023")</f>
        <v/>
      </c>
      <c r="Z101">
        <f>HYPERLINK("https://klasma.github.io/Logging_0188/klagomålsmail/A 9914-2023 FSC-klagomål mail.docx", "A 9914-2023")</f>
        <v/>
      </c>
      <c r="AA101">
        <f>HYPERLINK("https://klasma.github.io/Logging_0188/tillsyn/A 9914-2023 tillsynsbegäran.docx", "A 9914-2023")</f>
        <v/>
      </c>
      <c r="AB101">
        <f>HYPERLINK("https://klasma.github.io/Logging_0188/tillsynsmail/A 9914-2023 tillsynsbegäran mail.docx", "A 9914-2023")</f>
        <v/>
      </c>
    </row>
    <row r="102" ht="15" customHeight="1">
      <c r="A102" t="inlineStr">
        <is>
          <t>A 52776-2025</t>
        </is>
      </c>
      <c r="B102" t="inlineStr">
        <is>
          <t>avverkningsanmälan</t>
        </is>
      </c>
      <c r="C102" t="inlineStr">
        <is>
          <t>Föryngringsavverkning</t>
        </is>
      </c>
      <c r="D102" s="1" t="n">
        <v>45957</v>
      </c>
      <c r="E102" s="1" t="n">
        <v>46219</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s="2" t="inlineStr">
        <is>
          <t>Slaguggla
Sångsvan
Trana</t>
        </is>
      </c>
      <c r="V102">
        <f>HYPERLINK("https://klasma.github.io/Logging_0188/artfynd/A 52776-2025 artfynd.xlsx", "A 52776-2025")</f>
        <v/>
      </c>
      <c r="W102">
        <f>HYPERLINK("https://klasma.github.io/Logging_0188/kartor/A 52776-2025 karta.png", "A 52776-2025")</f>
        <v/>
      </c>
      <c r="Y102">
        <f>HYPERLINK("https://klasma.github.io/Logging_0188/klagomål/A 52776-2025 FSC-klagomål.docx", "A 52776-2025")</f>
        <v/>
      </c>
      <c r="Z102">
        <f>HYPERLINK("https://klasma.github.io/Logging_0188/klagomålsmail/A 52776-2025 FSC-klagomål mail.docx", "A 52776-2025")</f>
        <v/>
      </c>
      <c r="AA102">
        <f>HYPERLINK("https://klasma.github.io/Logging_0188/tillsyn/A 52776-2025 tillsynsbegäran.docx", "A 52776-2025")</f>
        <v/>
      </c>
      <c r="AB102">
        <f>HYPERLINK("https://klasma.github.io/Logging_0188/tillsynsmail/A 52776-2025 tillsynsbegäran mail.docx", "A 52776-2025")</f>
        <v/>
      </c>
      <c r="AC102">
        <f>HYPERLINK("https://klasma.github.io/Logging_0188/fåglar/A 52776-2025 prioriterade fågelarter.docx", "A 52776-2025")</f>
        <v/>
      </c>
    </row>
    <row r="103" ht="15" customHeight="1">
      <c r="A103" t="inlineStr">
        <is>
          <t>A 19829-2022</t>
        </is>
      </c>
      <c r="B103" t="inlineStr">
        <is>
          <t>avverkningsanmälan</t>
        </is>
      </c>
      <c r="C103" t="inlineStr">
        <is>
          <t>Föryngringsavverkning</t>
        </is>
      </c>
      <c r="D103" s="1" t="n">
        <v>44695</v>
      </c>
      <c r="E103" s="1" t="n">
        <v>46219</v>
      </c>
      <c r="F103" t="inlineStr">
        <is>
          <t>STOCKHOLMS LÄN</t>
        </is>
      </c>
      <c r="G103" t="inlineStr">
        <is>
          <t>NORRTÄLJE</t>
        </is>
      </c>
      <c r="I103" t="n">
        <v>2</v>
      </c>
      <c r="J103" t="n">
        <v>3</v>
      </c>
      <c r="K103" t="n">
        <v>3</v>
      </c>
      <c r="L103" t="n">
        <v>0</v>
      </c>
      <c r="M103" t="n">
        <v>0</v>
      </c>
      <c r="N103" t="n">
        <v>0</v>
      </c>
      <c r="O103" t="n">
        <v>0</v>
      </c>
      <c r="P103" t="n">
        <v>0</v>
      </c>
      <c r="Q103" t="n">
        <v>0</v>
      </c>
      <c r="R103" t="n">
        <v>0</v>
      </c>
      <c r="S103" t="n">
        <v>3</v>
      </c>
      <c r="T103" t="n">
        <v>4</v>
      </c>
      <c r="U103" s="2" t="inlineStr">
        <is>
          <t>Guckusko
Skogsknipprot
Tvåblad</t>
        </is>
      </c>
      <c r="V103">
        <f>HYPERLINK("https://klasma.github.io/Logging_0188/artfynd/A 19829-2022 artfynd.xlsx", "A 19829-2022")</f>
        <v/>
      </c>
      <c r="W103">
        <f>HYPERLINK("https://klasma.github.io/Logging_0188/kartor/A 19829-2022 karta.png", "A 19829-2022")</f>
        <v/>
      </c>
      <c r="Y103">
        <f>HYPERLINK("https://klasma.github.io/Logging_0188/klagomål/A 19829-2022 FSC-klagomål.docx", "A 19829-2022")</f>
        <v/>
      </c>
      <c r="Z103">
        <f>HYPERLINK("https://klasma.github.io/Logging_0188/klagomålsmail/A 19829-2022 FSC-klagomål mail.docx", "A 19829-2022")</f>
        <v/>
      </c>
      <c r="AA103">
        <f>HYPERLINK("https://klasma.github.io/Logging_0188/tillsyn/A 19829-2022 tillsynsbegäran.docx", "A 19829-2022")</f>
        <v/>
      </c>
      <c r="AB103">
        <f>HYPERLINK("https://klasma.github.io/Logging_0188/tillsynsmail/A 19829-2022 tillsynsbegäran mail.docx", "A 19829-2022")</f>
        <v/>
      </c>
    </row>
    <row r="104" ht="15" customHeight="1">
      <c r="A104" t="inlineStr">
        <is>
          <t>A 23548-2026</t>
        </is>
      </c>
      <c r="B104" t="inlineStr">
        <is>
          <t>avverkningsanmälan</t>
        </is>
      </c>
      <c r="C104" t="inlineStr">
        <is>
          <t>Föryngringsavverkning</t>
        </is>
      </c>
      <c r="D104" s="1" t="n">
        <v>46163</v>
      </c>
      <c r="E104" s="1" t="n">
        <v>46219</v>
      </c>
      <c r="F104" t="inlineStr">
        <is>
          <t>STOCKHOLMS LÄN</t>
        </is>
      </c>
      <c r="G104" t="inlineStr">
        <is>
          <t>NORRTÄLJE</t>
        </is>
      </c>
      <c r="I104" t="n">
        <v>2.3</v>
      </c>
      <c r="J104" t="n">
        <v>2</v>
      </c>
      <c r="K104" t="n">
        <v>0</v>
      </c>
      <c r="L104" t="n">
        <v>1</v>
      </c>
      <c r="M104" t="n">
        <v>0</v>
      </c>
      <c r="N104" t="n">
        <v>0</v>
      </c>
      <c r="O104" t="n">
        <v>0</v>
      </c>
      <c r="P104" t="n">
        <v>0</v>
      </c>
      <c r="Q104" t="n">
        <v>1</v>
      </c>
      <c r="R104" t="n">
        <v>0</v>
      </c>
      <c r="S104" t="n">
        <v>3</v>
      </c>
      <c r="T104" t="n">
        <v>3</v>
      </c>
      <c r="U104" s="2" t="inlineStr">
        <is>
          <t>Backklöver
Nattviol × grönvit nattviol
Ängsnattviol × grönvit nattviol</t>
        </is>
      </c>
      <c r="V104">
        <f>HYPERLINK("https://klasma.github.io/Logging_0188/artfynd/A 23548-2026 artfynd.xlsx", "A 23548-2026")</f>
        <v/>
      </c>
      <c r="W104">
        <f>HYPERLINK("https://klasma.github.io/Logging_0188/kartor/A 23548-2026 karta.png", "A 23548-2026")</f>
        <v/>
      </c>
      <c r="Y104">
        <f>HYPERLINK("https://klasma.github.io/Logging_0188/klagomål/A 23548-2026 FSC-klagomål.docx", "A 23548-2026")</f>
        <v/>
      </c>
      <c r="Z104">
        <f>HYPERLINK("https://klasma.github.io/Logging_0188/klagomålsmail/A 23548-2026 FSC-klagomål mail.docx", "A 23548-2026")</f>
        <v/>
      </c>
      <c r="AA104">
        <f>HYPERLINK("https://klasma.github.io/Logging_0188/tillsyn/A 23548-2026 tillsynsbegäran.docx", "A 23548-2026")</f>
        <v/>
      </c>
      <c r="AB104">
        <f>HYPERLINK("https://klasma.github.io/Logging_0188/tillsynsmail/A 23548-2026 tillsynsbegäran mail.docx", "A 23548-2026")</f>
        <v/>
      </c>
    </row>
    <row r="105" ht="15" customHeight="1">
      <c r="A105" t="inlineStr">
        <is>
          <t>A 52360-2024</t>
        </is>
      </c>
      <c r="B105" t="inlineStr">
        <is>
          <t>avverkningsanmälan</t>
        </is>
      </c>
      <c r="C105" t="inlineStr">
        <is>
          <t>Föryngringsavverkning</t>
        </is>
      </c>
      <c r="D105" s="1" t="n">
        <v>45609</v>
      </c>
      <c r="E105" s="1" t="n">
        <v>46219</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s="2" t="inlineStr">
        <is>
          <t>Brandticka
Blåsippa
Revlummer</t>
        </is>
      </c>
      <c r="V105">
        <f>HYPERLINK("https://klasma.github.io/Logging_0188/artfynd/A 52360-2024 artfynd.xlsx", "A 52360-2024")</f>
        <v/>
      </c>
      <c r="W105">
        <f>HYPERLINK("https://klasma.github.io/Logging_0188/kartor/A 52360-2024 karta.png", "A 52360-2024")</f>
        <v/>
      </c>
      <c r="Y105">
        <f>HYPERLINK("https://klasma.github.io/Logging_0188/klagomål/A 52360-2024 FSC-klagomål.docx", "A 52360-2024")</f>
        <v/>
      </c>
      <c r="Z105">
        <f>HYPERLINK("https://klasma.github.io/Logging_0188/klagomålsmail/A 52360-2024 FSC-klagomål mail.docx", "A 52360-2024")</f>
        <v/>
      </c>
      <c r="AA105">
        <f>HYPERLINK("https://klasma.github.io/Logging_0188/tillsyn/A 52360-2024 tillsynsbegäran.docx", "A 52360-2024")</f>
        <v/>
      </c>
      <c r="AB105">
        <f>HYPERLINK("https://klasma.github.io/Logging_0188/tillsynsmail/A 52360-2024 tillsynsbegäran mail.docx", "A 52360-2024")</f>
        <v/>
      </c>
    </row>
    <row r="106" ht="15" customHeight="1">
      <c r="A106" t="inlineStr">
        <is>
          <t>A 27827-2022</t>
        </is>
      </c>
      <c r="B106" t="inlineStr">
        <is>
          <t>avverkningsanmälan</t>
        </is>
      </c>
      <c r="C106" t="inlineStr">
        <is>
          <t>Föryngringsavverkning</t>
        </is>
      </c>
      <c r="D106" s="1" t="n">
        <v>44743</v>
      </c>
      <c r="E106" s="1" t="n">
        <v>46219</v>
      </c>
      <c r="F106" t="inlineStr">
        <is>
          <t>STOCKHOLMS LÄN</t>
        </is>
      </c>
      <c r="G106" t="inlineStr">
        <is>
          <t>NORRTÄLJE</t>
        </is>
      </c>
      <c r="H106" t="inlineStr">
        <is>
          <t>Holmen skog AB</t>
        </is>
      </c>
      <c r="I106" t="n">
        <v>4.7</v>
      </c>
      <c r="J106" t="n">
        <v>1</v>
      </c>
      <c r="K106" t="n">
        <v>0</v>
      </c>
      <c r="L106" t="n">
        <v>2</v>
      </c>
      <c r="M106" t="n">
        <v>0</v>
      </c>
      <c r="N106" t="n">
        <v>1</v>
      </c>
      <c r="O106" t="n">
        <v>0</v>
      </c>
      <c r="P106" t="n">
        <v>0</v>
      </c>
      <c r="Q106" t="n">
        <v>3</v>
      </c>
      <c r="R106" t="n">
        <v>1</v>
      </c>
      <c r="S106" t="n">
        <v>3</v>
      </c>
      <c r="T106" t="n">
        <v>4</v>
      </c>
      <c r="U106" s="2" t="inlineStr">
        <is>
          <t>Ask
Berggräsfjäril
Nordfladdermus</t>
        </is>
      </c>
      <c r="V106">
        <f>HYPERLINK("https://klasma.github.io/Logging_0188/artfynd/A 27827-2022 artfynd.xlsx", "A 27827-2022")</f>
        <v/>
      </c>
      <c r="W106">
        <f>HYPERLINK("https://klasma.github.io/Logging_0188/kartor/A 27827-2022 karta.png", "A 27827-2022")</f>
        <v/>
      </c>
      <c r="Y106">
        <f>HYPERLINK("https://klasma.github.io/Logging_0188/klagomål/A 27827-2022 FSC-klagomål.docx", "A 27827-2022")</f>
        <v/>
      </c>
      <c r="Z106">
        <f>HYPERLINK("https://klasma.github.io/Logging_0188/klagomålsmail/A 27827-2022 FSC-klagomål mail.docx", "A 27827-2022")</f>
        <v/>
      </c>
      <c r="AA106">
        <f>HYPERLINK("https://klasma.github.io/Logging_0188/tillsyn/A 27827-2022 tillsynsbegäran.docx", "A 27827-2022")</f>
        <v/>
      </c>
      <c r="AB106">
        <f>HYPERLINK("https://klasma.github.io/Logging_0188/tillsynsmail/A 27827-2022 tillsynsbegäran mail.docx", "A 27827-2022")</f>
        <v/>
      </c>
    </row>
    <row r="107" ht="15" customHeight="1">
      <c r="A107" t="inlineStr">
        <is>
          <t>A 364-2026</t>
        </is>
      </c>
      <c r="B107" t="inlineStr">
        <is>
          <t>avverkningsanmälan</t>
        </is>
      </c>
      <c r="C107" t="inlineStr">
        <is>
          <t>Föryngringsavverkning</t>
        </is>
      </c>
      <c r="D107" s="1" t="n">
        <v>46027</v>
      </c>
      <c r="E107" s="1" t="n">
        <v>46219</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s="2" t="inlineStr">
        <is>
          <t>Asknätfjäril
Vårärt
Guckusko</t>
        </is>
      </c>
      <c r="V107">
        <f>HYPERLINK("https://klasma.github.io/Logging_0188/artfynd/A 364-2026 artfynd.xlsx", "A 364-2026")</f>
        <v/>
      </c>
      <c r="W107">
        <f>HYPERLINK("https://klasma.github.io/Logging_0188/kartor/A 364-2026 karta.png", "A 364-2026")</f>
        <v/>
      </c>
      <c r="Y107">
        <f>HYPERLINK("https://klasma.github.io/Logging_0188/klagomål/A 364-2026 FSC-klagomål.docx", "A 364-2026")</f>
        <v/>
      </c>
      <c r="Z107">
        <f>HYPERLINK("https://klasma.github.io/Logging_0188/klagomålsmail/A 364-2026 FSC-klagomål mail.docx", "A 364-2026")</f>
        <v/>
      </c>
      <c r="AA107">
        <f>HYPERLINK("https://klasma.github.io/Logging_0188/tillsyn/A 364-2026 tillsynsbegäran.docx", "A 364-2026")</f>
        <v/>
      </c>
      <c r="AB107">
        <f>HYPERLINK("https://klasma.github.io/Logging_0188/tillsynsmail/A 364-2026 tillsynsbegäran mail.docx", "A 364-2026")</f>
        <v/>
      </c>
    </row>
    <row r="108" ht="15" customHeight="1">
      <c r="A108" t="inlineStr">
        <is>
          <t>A 50618-2022</t>
        </is>
      </c>
      <c r="B108" t="inlineStr">
        <is>
          <t>avverkningsanmälan</t>
        </is>
      </c>
      <c r="C108" t="inlineStr">
        <is>
          <t>Avverkning för annat ändamål</t>
        </is>
      </c>
      <c r="D108" s="1" t="n">
        <v>44866</v>
      </c>
      <c r="E108" s="1" t="n">
        <v>46219</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s="2" t="inlineStr">
        <is>
          <t>Vårärt
Skogsknipprot
Blåsippa</t>
        </is>
      </c>
      <c r="V108">
        <f>HYPERLINK("https://klasma.github.io/Logging_0188/artfynd/A 50618-2022 artfynd.xlsx", "A 50618-2022")</f>
        <v/>
      </c>
      <c r="W108">
        <f>HYPERLINK("https://klasma.github.io/Logging_0188/kartor/A 50618-2022 karta.png", "A 50618-2022")</f>
        <v/>
      </c>
      <c r="Y108">
        <f>HYPERLINK("https://klasma.github.io/Logging_0188/klagomål/A 50618-2022 FSC-klagomål.docx", "A 50618-2022")</f>
        <v/>
      </c>
      <c r="Z108">
        <f>HYPERLINK("https://klasma.github.io/Logging_0188/klagomålsmail/A 50618-2022 FSC-klagomål mail.docx", "A 50618-2022")</f>
        <v/>
      </c>
      <c r="AA108">
        <f>HYPERLINK("https://klasma.github.io/Logging_0188/tillsyn/A 50618-2022 tillsynsbegäran.docx", "A 50618-2022")</f>
        <v/>
      </c>
      <c r="AB108">
        <f>HYPERLINK("https://klasma.github.io/Logging_0188/tillsynsmail/A 50618-2022 tillsynsbegäran mail.docx", "A 50618-2022")</f>
        <v/>
      </c>
    </row>
    <row r="109" ht="15" customHeight="1">
      <c r="A109" t="inlineStr">
        <is>
          <t>A 14365-2025</t>
        </is>
      </c>
      <c r="B109" t="inlineStr">
        <is>
          <t>avverkningsanmälan</t>
        </is>
      </c>
      <c r="C109" t="inlineStr">
        <is>
          <t>Föryngringsavverkning</t>
        </is>
      </c>
      <c r="D109" s="1" t="n">
        <v>45741</v>
      </c>
      <c r="E109" s="1" t="n">
        <v>46219</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s="2" t="inlineStr">
        <is>
          <t>Adam och eva
Jungfrulin
Underviol</t>
        </is>
      </c>
      <c r="V109">
        <f>HYPERLINK("https://klasma.github.io/Logging_0188/artfynd/A 14365-2025 artfynd.xlsx", "A 14365-2025")</f>
        <v/>
      </c>
      <c r="W109">
        <f>HYPERLINK("https://klasma.github.io/Logging_0188/kartor/A 14365-2025 karta.png", "A 14365-2025")</f>
        <v/>
      </c>
      <c r="Y109">
        <f>HYPERLINK("https://klasma.github.io/Logging_0188/klagomål/A 14365-2025 FSC-klagomål.docx", "A 14365-2025")</f>
        <v/>
      </c>
      <c r="Z109">
        <f>HYPERLINK("https://klasma.github.io/Logging_0188/klagomålsmail/A 14365-2025 FSC-klagomål mail.docx", "A 14365-2025")</f>
        <v/>
      </c>
      <c r="AA109">
        <f>HYPERLINK("https://klasma.github.io/Logging_0188/tillsyn/A 14365-2025 tillsynsbegäran.docx", "A 14365-2025")</f>
        <v/>
      </c>
      <c r="AB109">
        <f>HYPERLINK("https://klasma.github.io/Logging_0188/tillsynsmail/A 14365-2025 tillsynsbegäran mail.docx", "A 14365-2025")</f>
        <v/>
      </c>
    </row>
    <row r="110" ht="15" customHeight="1">
      <c r="A110" t="inlineStr">
        <is>
          <t>A 16870-2025</t>
        </is>
      </c>
      <c r="B110" t="inlineStr">
        <is>
          <t>avverkningsanmälan</t>
        </is>
      </c>
      <c r="C110" t="inlineStr">
        <is>
          <t>Avverkning för annat ändamål</t>
        </is>
      </c>
      <c r="D110" s="1" t="n">
        <v>45754</v>
      </c>
      <c r="E110" s="1" t="n">
        <v>46219</v>
      </c>
      <c r="F110" t="inlineStr">
        <is>
          <t>STOCKHOLMS LÄN</t>
        </is>
      </c>
      <c r="G110" t="inlineStr">
        <is>
          <t>NORRTÄLJE</t>
        </is>
      </c>
      <c r="I110" t="n">
        <v>24.6</v>
      </c>
      <c r="J110" t="n">
        <v>1</v>
      </c>
      <c r="K110" t="n">
        <v>0</v>
      </c>
      <c r="L110" t="n">
        <v>0</v>
      </c>
      <c r="M110" t="n">
        <v>0</v>
      </c>
      <c r="N110" t="n">
        <v>0</v>
      </c>
      <c r="O110" t="n">
        <v>0</v>
      </c>
      <c r="P110" t="n">
        <v>0</v>
      </c>
      <c r="Q110" t="n">
        <v>0</v>
      </c>
      <c r="R110" t="n">
        <v>0</v>
      </c>
      <c r="S110" t="n">
        <v>3</v>
      </c>
      <c r="T110" t="n">
        <v>3</v>
      </c>
      <c r="U110" s="2" t="inlineStr">
        <is>
          <t>Getrams
Kärrviol
Vanlig groda</t>
        </is>
      </c>
      <c r="V110">
        <f>HYPERLINK("https://klasma.github.io/Logging_0188/artfynd/A 16870-2025 artfynd.xlsx", "A 16870-2025")</f>
        <v/>
      </c>
      <c r="W110">
        <f>HYPERLINK("https://klasma.github.io/Logging_0188/kartor/A 16870-2025 karta.png", "A 16870-2025")</f>
        <v/>
      </c>
      <c r="Y110">
        <f>HYPERLINK("https://klasma.github.io/Logging_0188/klagomål/A 16870-2025 FSC-klagomål.docx", "A 16870-2025")</f>
        <v/>
      </c>
      <c r="Z110">
        <f>HYPERLINK("https://klasma.github.io/Logging_0188/klagomålsmail/A 16870-2025 FSC-klagomål mail.docx", "A 16870-2025")</f>
        <v/>
      </c>
      <c r="AA110">
        <f>HYPERLINK("https://klasma.github.io/Logging_0188/tillsyn/A 16870-2025 tillsynsbegäran.docx", "A 16870-2025")</f>
        <v/>
      </c>
      <c r="AB110">
        <f>HYPERLINK("https://klasma.github.io/Logging_0188/tillsynsmail/A 16870-2025 tillsynsbegäran mail.docx", "A 16870-2025")</f>
        <v/>
      </c>
    </row>
    <row r="111" ht="15" customHeight="1">
      <c r="A111" t="inlineStr">
        <is>
          <t>A 31281-2022</t>
        </is>
      </c>
      <c r="B111" t="inlineStr">
        <is>
          <t>avverkningsanmälan</t>
        </is>
      </c>
      <c r="C111" t="inlineStr">
        <is>
          <t>Föryngringsavverkning</t>
        </is>
      </c>
      <c r="D111" s="1" t="n">
        <v>44771</v>
      </c>
      <c r="E111" s="1" t="n">
        <v>46219</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s="2" t="inlineStr">
        <is>
          <t>Nattskärra
Kråka
Näktergal</t>
        </is>
      </c>
      <c r="V111">
        <f>HYPERLINK("https://klasma.github.io/Logging_0188/artfynd/A 31281-2022 artfynd.xlsx", "A 31281-2022")</f>
        <v/>
      </c>
      <c r="W111">
        <f>HYPERLINK("https://klasma.github.io/Logging_0188/kartor/A 31281-2022 karta.png", "A 31281-2022")</f>
        <v/>
      </c>
      <c r="Y111">
        <f>HYPERLINK("https://klasma.github.io/Logging_0188/klagomål/A 31281-2022 FSC-klagomål.docx", "A 31281-2022")</f>
        <v/>
      </c>
      <c r="Z111">
        <f>HYPERLINK("https://klasma.github.io/Logging_0188/klagomålsmail/A 31281-2022 FSC-klagomål mail.docx", "A 31281-2022")</f>
        <v/>
      </c>
      <c r="AA111">
        <f>HYPERLINK("https://klasma.github.io/Logging_0188/tillsyn/A 31281-2022 tillsynsbegäran.docx", "A 31281-2022")</f>
        <v/>
      </c>
      <c r="AB111">
        <f>HYPERLINK("https://klasma.github.io/Logging_0188/tillsynsmail/A 31281-2022 tillsynsbegäran mail.docx", "A 31281-2022")</f>
        <v/>
      </c>
      <c r="AC111">
        <f>HYPERLINK("https://klasma.github.io/Logging_0188/fåglar/A 31281-2022 prioriterade fågelarter.docx", "A 31281-2022")</f>
        <v/>
      </c>
    </row>
    <row r="112" ht="15" customHeight="1">
      <c r="A112" t="inlineStr">
        <is>
          <t>A 26399-2026</t>
        </is>
      </c>
      <c r="B112" t="inlineStr">
        <is>
          <t>avverkningsanmälan</t>
        </is>
      </c>
      <c r="C112" t="inlineStr">
        <is>
          <t>Föryngringsavverkning</t>
        </is>
      </c>
      <c r="D112" s="1" t="n">
        <v>46183</v>
      </c>
      <c r="E112" s="1" t="n">
        <v>46219</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s="2" t="inlineStr">
        <is>
          <t>Asknätfjäril
Spinnfingersvamp
Stor aspticka</t>
        </is>
      </c>
      <c r="V112">
        <f>HYPERLINK("https://klasma.github.io/Logging_0188/artfynd/A 26399-2026 artfynd.xlsx", "A 26399-2026")</f>
        <v/>
      </c>
      <c r="W112">
        <f>HYPERLINK("https://klasma.github.io/Logging_0188/kartor/A 26399-2026 karta.png", "A 26399-2026")</f>
        <v/>
      </c>
      <c r="Y112">
        <f>HYPERLINK("https://klasma.github.io/Logging_0188/klagomål/A 26399-2026 FSC-klagomål.docx", "A 26399-2026")</f>
        <v/>
      </c>
      <c r="Z112">
        <f>HYPERLINK("https://klasma.github.io/Logging_0188/klagomålsmail/A 26399-2026 FSC-klagomål mail.docx", "A 26399-2026")</f>
        <v/>
      </c>
      <c r="AA112">
        <f>HYPERLINK("https://klasma.github.io/Logging_0188/tillsyn/A 26399-2026 tillsynsbegäran.docx", "A 26399-2026")</f>
        <v/>
      </c>
      <c r="AB112">
        <f>HYPERLINK("https://klasma.github.io/Logging_0188/tillsynsmail/A 26399-2026 tillsynsbegäran mail.docx", "A 26399-2026")</f>
        <v/>
      </c>
    </row>
    <row r="113" ht="15" customHeight="1">
      <c r="A113" t="inlineStr">
        <is>
          <t>A 26525-2026</t>
        </is>
      </c>
      <c r="B113" t="inlineStr">
        <is>
          <t>avverkningsanmälan</t>
        </is>
      </c>
      <c r="C113" t="inlineStr">
        <is>
          <t>Föryngringsavverkning</t>
        </is>
      </c>
      <c r="D113" s="1" t="n">
        <v>46183</v>
      </c>
      <c r="E113" s="1" t="n">
        <v>46219</v>
      </c>
      <c r="F113" t="inlineStr">
        <is>
          <t>STOCKHOLMS LÄN</t>
        </is>
      </c>
      <c r="G113" t="inlineStr">
        <is>
          <t>NORRTÄLJE</t>
        </is>
      </c>
      <c r="I113" t="n">
        <v>2.4</v>
      </c>
      <c r="J113" t="n">
        <v>0</v>
      </c>
      <c r="K113" t="n">
        <v>1</v>
      </c>
      <c r="L113" t="n">
        <v>2</v>
      </c>
      <c r="M113" t="n">
        <v>0</v>
      </c>
      <c r="N113" t="n">
        <v>0</v>
      </c>
      <c r="O113" t="n">
        <v>0</v>
      </c>
      <c r="P113" t="n">
        <v>0</v>
      </c>
      <c r="Q113" t="n">
        <v>2</v>
      </c>
      <c r="R113" t="n">
        <v>0</v>
      </c>
      <c r="S113" t="n">
        <v>3</v>
      </c>
      <c r="T113" t="n">
        <v>3</v>
      </c>
      <c r="U113" s="2" t="inlineStr">
        <is>
          <t>Fjällig taggsvamp s.str.
Skarp dropptaggsvamp
Olivspindling</t>
        </is>
      </c>
      <c r="V113">
        <f>HYPERLINK("https://klasma.github.io/Logging_0188/artfynd/A 26525-2026 artfynd.xlsx", "A 26525-2026")</f>
        <v/>
      </c>
      <c r="W113">
        <f>HYPERLINK("https://klasma.github.io/Logging_0188/kartor/A 26525-2026 karta.png", "A 26525-2026")</f>
        <v/>
      </c>
      <c r="Y113">
        <f>HYPERLINK("https://klasma.github.io/Logging_0188/klagomål/A 26525-2026 FSC-klagomål.docx", "A 26525-2026")</f>
        <v/>
      </c>
      <c r="Z113">
        <f>HYPERLINK("https://klasma.github.io/Logging_0188/klagomålsmail/A 26525-2026 FSC-klagomål mail.docx", "A 26525-2026")</f>
        <v/>
      </c>
      <c r="AA113">
        <f>HYPERLINK("https://klasma.github.io/Logging_0188/tillsyn/A 26525-2026 tillsynsbegäran.docx", "A 26525-2026")</f>
        <v/>
      </c>
      <c r="AB113">
        <f>HYPERLINK("https://klasma.github.io/Logging_0188/tillsynsmail/A 26525-2026 tillsynsbegäran mail.docx", "A 26525-2026")</f>
        <v/>
      </c>
    </row>
    <row r="114" ht="15" customHeight="1">
      <c r="A114" t="inlineStr">
        <is>
          <t>S 1342-2022</t>
        </is>
      </c>
      <c r="B114" t="inlineStr">
        <is>
          <t>samrådsanmälan</t>
        </is>
      </c>
      <c r="C114" t="inlineStr">
        <is>
          <t>Åtgärd i nyckelbiotop</t>
        </is>
      </c>
      <c r="D114" s="1" t="n">
        <v>44629</v>
      </c>
      <c r="E114" s="1" t="n">
        <v>46219</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46219</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46219</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46219</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Y117">
        <f>HYPERLINK("https://klasma.github.io/Logging_0188/klagomål/A 53884-2022 FSC-klagomål.docx", "A 53884-2022")</f>
        <v/>
      </c>
      <c r="Z117">
        <f>HYPERLINK("https://klasma.github.io/Logging_0188/klagomålsmail/A 53884-2022 FSC-klagomål mail.docx", "A 53884-2022")</f>
        <v/>
      </c>
      <c r="AA117">
        <f>HYPERLINK("https://klasma.github.io/Logging_0188/tillsyn/A 53884-2022 tillsynsbegäran.docx", "A 53884-2022")</f>
        <v/>
      </c>
      <c r="AB117">
        <f>HYPERLINK("https://klasma.github.io/Logging_0188/tillsynsmail/A 53884-2022 tillsynsbegäran mail.docx", "A 53884-2022")</f>
        <v/>
      </c>
    </row>
    <row r="118" ht="15" customHeight="1">
      <c r="A118" t="inlineStr">
        <is>
          <t>A 38991-2022</t>
        </is>
      </c>
      <c r="B118" t="inlineStr">
        <is>
          <t>avverkningsanmälan</t>
        </is>
      </c>
      <c r="C118" t="inlineStr">
        <is>
          <t>Föryngringsavverkning</t>
        </is>
      </c>
      <c r="D118" s="1" t="n">
        <v>44816</v>
      </c>
      <c r="E118" s="1" t="n">
        <v>46219</v>
      </c>
      <c r="F118" t="inlineStr">
        <is>
          <t>STOCKHOLMS LÄN</t>
        </is>
      </c>
      <c r="G118" t="inlineStr">
        <is>
          <t>NORRTÄLJE</t>
        </is>
      </c>
      <c r="I118" t="n">
        <v>1.9</v>
      </c>
      <c r="J118" t="n">
        <v>0</v>
      </c>
      <c r="K118" t="n">
        <v>2</v>
      </c>
      <c r="L118" t="n">
        <v>0</v>
      </c>
      <c r="M118" t="n">
        <v>0</v>
      </c>
      <c r="N118" t="n">
        <v>0</v>
      </c>
      <c r="O118" t="n">
        <v>0</v>
      </c>
      <c r="P118" t="n">
        <v>0</v>
      </c>
      <c r="Q118" t="n">
        <v>0</v>
      </c>
      <c r="R118" t="n">
        <v>0</v>
      </c>
      <c r="S118" t="n">
        <v>2</v>
      </c>
      <c r="T118" t="n">
        <v>2</v>
      </c>
      <c r="U118" s="2" t="inlineStr">
        <is>
          <t>Bronshjon
Grovticka</t>
        </is>
      </c>
      <c r="V118">
        <f>HYPERLINK("https://klasma.github.io/Logging_0188/artfynd/A 38991-2022 artfynd.xlsx", "A 38991-2022")</f>
        <v/>
      </c>
      <c r="W118">
        <f>HYPERLINK("https://klasma.github.io/Logging_0188/kartor/A 38991-2022 karta.png", "A 38991-2022")</f>
        <v/>
      </c>
      <c r="Y118">
        <f>HYPERLINK("https://klasma.github.io/Logging_0188/klagomål/A 38991-2022 FSC-klagomål.docx", "A 38991-2022")</f>
        <v/>
      </c>
      <c r="Z118">
        <f>HYPERLINK("https://klasma.github.io/Logging_0188/klagomålsmail/A 38991-2022 FSC-klagomål mail.docx", "A 38991-2022")</f>
        <v/>
      </c>
      <c r="AA118">
        <f>HYPERLINK("https://klasma.github.io/Logging_0188/tillsyn/A 38991-2022 tillsynsbegäran.docx", "A 38991-2022")</f>
        <v/>
      </c>
      <c r="AB118">
        <f>HYPERLINK("https://klasma.github.io/Logging_0188/tillsynsmail/A 38991-2022 tillsynsbegäran mail.docx", "A 38991-2022")</f>
        <v/>
      </c>
    </row>
    <row r="119" ht="15" customHeight="1">
      <c r="A119" t="inlineStr">
        <is>
          <t>A 62030-2021</t>
        </is>
      </c>
      <c r="B119" t="inlineStr">
        <is>
          <t>avverkningsanmälan</t>
        </is>
      </c>
      <c r="C119" t="inlineStr">
        <is>
          <t>Föryngringsavverkning</t>
        </is>
      </c>
      <c r="D119" s="1" t="n">
        <v>44502</v>
      </c>
      <c r="E119" s="1" t="n">
        <v>46219</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s="2" t="inlineStr">
        <is>
          <t>Tvåblad
Slaguggla</t>
        </is>
      </c>
      <c r="V119">
        <f>HYPERLINK("https://klasma.github.io/Logging_0188/artfynd/A 62030-2021 artfynd.xlsx", "A 62030-2021")</f>
        <v/>
      </c>
      <c r="W119">
        <f>HYPERLINK("https://klasma.github.io/Logging_0188/kartor/A 62030-2021 karta.png", "A 62030-2021")</f>
        <v/>
      </c>
      <c r="Y119">
        <f>HYPERLINK("https://klasma.github.io/Logging_0188/klagomål/A 62030-2021 FSC-klagomål.docx", "A 62030-2021")</f>
        <v/>
      </c>
      <c r="Z119">
        <f>HYPERLINK("https://klasma.github.io/Logging_0188/klagomålsmail/A 62030-2021 FSC-klagomål mail.docx", "A 62030-2021")</f>
        <v/>
      </c>
      <c r="AA119">
        <f>HYPERLINK("https://klasma.github.io/Logging_0188/tillsyn/A 62030-2021 tillsynsbegäran.docx", "A 62030-2021")</f>
        <v/>
      </c>
      <c r="AB119">
        <f>HYPERLINK("https://klasma.github.io/Logging_0188/tillsynsmail/A 62030-2021 tillsynsbegäran mail.docx", "A 62030-2021")</f>
        <v/>
      </c>
      <c r="AC119">
        <f>HYPERLINK("https://klasma.github.io/Logging_0188/fåglar/A 62030-2021 prioriterade fågelarter.docx", "A 62030-2021")</f>
        <v/>
      </c>
    </row>
    <row r="120" ht="15" customHeight="1">
      <c r="A120" t="inlineStr">
        <is>
          <t>A 41823-2021</t>
        </is>
      </c>
      <c r="B120" t="inlineStr">
        <is>
          <t>avverkningsanmälan</t>
        </is>
      </c>
      <c r="C120" t="inlineStr">
        <is>
          <t>Föryngringsavverkning</t>
        </is>
      </c>
      <c r="D120" s="1" t="n">
        <v>44425</v>
      </c>
      <c r="E120" s="1" t="n">
        <v>46219</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s="2" t="inlineStr">
        <is>
          <t>Fläckfingersvamp
Orange taggsvamp</t>
        </is>
      </c>
      <c r="V120">
        <f>HYPERLINK("https://klasma.github.io/Logging_0188/artfynd/A 41823-2021 artfynd.xlsx", "A 41823-2021")</f>
        <v/>
      </c>
      <c r="W120">
        <f>HYPERLINK("https://klasma.github.io/Logging_0188/kartor/A 41823-2021 karta.png", "A 41823-2021")</f>
        <v/>
      </c>
      <c r="Y120">
        <f>HYPERLINK("https://klasma.github.io/Logging_0188/klagomål/A 41823-2021 FSC-klagomål.docx", "A 41823-2021")</f>
        <v/>
      </c>
      <c r="Z120">
        <f>HYPERLINK("https://klasma.github.io/Logging_0188/klagomålsmail/A 41823-2021 FSC-klagomål mail.docx", "A 41823-2021")</f>
        <v/>
      </c>
      <c r="AA120">
        <f>HYPERLINK("https://klasma.github.io/Logging_0188/tillsyn/A 41823-2021 tillsynsbegäran.docx", "A 41823-2021")</f>
        <v/>
      </c>
      <c r="AB120">
        <f>HYPERLINK("https://klasma.github.io/Logging_0188/tillsynsmail/A 41823-2021 tillsynsbegäran mail.docx", "A 41823-2021")</f>
        <v/>
      </c>
    </row>
    <row r="121" ht="15" customHeight="1">
      <c r="A121" t="inlineStr">
        <is>
          <t>A 22456-2023</t>
        </is>
      </c>
      <c r="B121" t="inlineStr">
        <is>
          <t>avverkningsanmälan</t>
        </is>
      </c>
      <c r="C121" t="inlineStr">
        <is>
          <t>Föryngringsavverkning</t>
        </is>
      </c>
      <c r="D121" s="1" t="n">
        <v>45070</v>
      </c>
      <c r="E121" s="1" t="n">
        <v>46219</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s="2" t="inlineStr">
        <is>
          <t>Asknätfjäril
Underviol</t>
        </is>
      </c>
      <c r="V121">
        <f>HYPERLINK("https://klasma.github.io/Logging_0188/artfynd/A 22456-2023 artfynd.xlsx", "A 22456-2023")</f>
        <v/>
      </c>
      <c r="W121">
        <f>HYPERLINK("https://klasma.github.io/Logging_0188/kartor/A 22456-2023 karta.png", "A 22456-2023")</f>
        <v/>
      </c>
      <c r="Y121">
        <f>HYPERLINK("https://klasma.github.io/Logging_0188/klagomål/A 22456-2023 FSC-klagomål.docx", "A 22456-2023")</f>
        <v/>
      </c>
      <c r="Z121">
        <f>HYPERLINK("https://klasma.github.io/Logging_0188/klagomålsmail/A 22456-2023 FSC-klagomål mail.docx", "A 22456-2023")</f>
        <v/>
      </c>
      <c r="AA121">
        <f>HYPERLINK("https://klasma.github.io/Logging_0188/tillsyn/A 22456-2023 tillsynsbegäran.docx", "A 22456-2023")</f>
        <v/>
      </c>
      <c r="AB121">
        <f>HYPERLINK("https://klasma.github.io/Logging_0188/tillsynsmail/A 22456-2023 tillsynsbegäran mail.docx", "A 22456-2023")</f>
        <v/>
      </c>
    </row>
    <row r="122" ht="15" customHeight="1">
      <c r="A122" t="inlineStr">
        <is>
          <t>A 51220-2023</t>
        </is>
      </c>
      <c r="B122" t="inlineStr">
        <is>
          <t>avverkningsanmälan</t>
        </is>
      </c>
      <c r="C122" t="inlineStr">
        <is>
          <t>Föryngringsavverkning</t>
        </is>
      </c>
      <c r="D122" s="1" t="n">
        <v>45219</v>
      </c>
      <c r="E122" s="1" t="n">
        <v>46219</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s="2" t="inlineStr">
        <is>
          <t>Ullticka
Blåsippa</t>
        </is>
      </c>
      <c r="V122">
        <f>HYPERLINK("https://klasma.github.io/Logging_0188/artfynd/A 51220-2023 artfynd.xlsx", "A 51220-2023")</f>
        <v/>
      </c>
      <c r="W122">
        <f>HYPERLINK("https://klasma.github.io/Logging_0188/kartor/A 51220-2023 karta.png", "A 51220-2023")</f>
        <v/>
      </c>
      <c r="Y122">
        <f>HYPERLINK("https://klasma.github.io/Logging_0188/klagomål/A 51220-2023 FSC-klagomål.docx", "A 51220-2023")</f>
        <v/>
      </c>
      <c r="Z122">
        <f>HYPERLINK("https://klasma.github.io/Logging_0188/klagomålsmail/A 51220-2023 FSC-klagomål mail.docx", "A 51220-2023")</f>
        <v/>
      </c>
      <c r="AA122">
        <f>HYPERLINK("https://klasma.github.io/Logging_0188/tillsyn/A 51220-2023 tillsynsbegäran.docx", "A 51220-2023")</f>
        <v/>
      </c>
      <c r="AB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46219</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s="2" t="inlineStr">
        <is>
          <t>Mindre hackspett
Sävsparv</t>
        </is>
      </c>
      <c r="V123">
        <f>HYPERLINK("https://klasma.github.io/Logging_0188/artfynd/A 12629-2024 artfynd.xlsx", "A 12629-2024")</f>
        <v/>
      </c>
      <c r="W123">
        <f>HYPERLINK("https://klasma.github.io/Logging_0188/kartor/A 12629-2024 karta.png", "A 12629-2024")</f>
        <v/>
      </c>
      <c r="Y123">
        <f>HYPERLINK("https://klasma.github.io/Logging_0188/klagomål/A 12629-2024 FSC-klagomål.docx", "A 12629-2024")</f>
        <v/>
      </c>
      <c r="Z123">
        <f>HYPERLINK("https://klasma.github.io/Logging_0188/klagomålsmail/A 12629-2024 FSC-klagomål mail.docx", "A 12629-2024")</f>
        <v/>
      </c>
      <c r="AA123">
        <f>HYPERLINK("https://klasma.github.io/Logging_0188/tillsyn/A 12629-2024 tillsynsbegäran.docx", "A 12629-2024")</f>
        <v/>
      </c>
      <c r="AB123">
        <f>HYPERLINK("https://klasma.github.io/Logging_0188/tillsynsmail/A 12629-2024 tillsynsbegäran mail.docx", "A 12629-2024")</f>
        <v/>
      </c>
      <c r="AC123">
        <f>HYPERLINK("https://klasma.github.io/Logging_0188/fåglar/A 12629-2024 prioriterade fågelarter.docx", "A 12629-2024")</f>
        <v/>
      </c>
    </row>
    <row r="124" ht="15" customHeight="1">
      <c r="A124" t="inlineStr">
        <is>
          <t>A 4595-2023</t>
        </is>
      </c>
      <c r="B124" t="inlineStr">
        <is>
          <t>avverkningsanmälan</t>
        </is>
      </c>
      <c r="C124" t="inlineStr">
        <is>
          <t>Avverkning för annat ändamål</t>
        </is>
      </c>
      <c r="D124" s="1" t="n">
        <v>44956</v>
      </c>
      <c r="E124" s="1" t="n">
        <v>46219</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s="2" t="inlineStr">
        <is>
          <t>Hasselticka
Blåsippa</t>
        </is>
      </c>
      <c r="V124">
        <f>HYPERLINK("https://klasma.github.io/Logging_0188/artfynd/A 4595-2023 artfynd.xlsx", "A 4595-2023")</f>
        <v/>
      </c>
      <c r="W124">
        <f>HYPERLINK("https://klasma.github.io/Logging_0188/kartor/A 4595-2023 karta.png", "A 4595-2023")</f>
        <v/>
      </c>
      <c r="Y124">
        <f>HYPERLINK("https://klasma.github.io/Logging_0188/klagomål/A 4595-2023 FSC-klagomål.docx", "A 4595-2023")</f>
        <v/>
      </c>
      <c r="Z124">
        <f>HYPERLINK("https://klasma.github.io/Logging_0188/klagomålsmail/A 4595-2023 FSC-klagomål mail.docx", "A 4595-2023")</f>
        <v/>
      </c>
      <c r="AA124">
        <f>HYPERLINK("https://klasma.github.io/Logging_0188/tillsyn/A 4595-2023 tillsynsbegäran.docx", "A 4595-2023")</f>
        <v/>
      </c>
      <c r="AB124">
        <f>HYPERLINK("https://klasma.github.io/Logging_0188/tillsynsmail/A 4595-2023 tillsynsbegäran mail.docx", "A 4595-2023")</f>
        <v/>
      </c>
    </row>
    <row r="125" ht="15" customHeight="1">
      <c r="A125" t="inlineStr">
        <is>
          <t>A 55058-2021</t>
        </is>
      </c>
      <c r="B125" t="inlineStr">
        <is>
          <t>avverkningsanmälan</t>
        </is>
      </c>
      <c r="C125" t="inlineStr">
        <is>
          <t>Föryngringsavverkning</t>
        </is>
      </c>
      <c r="D125" s="1" t="n">
        <v>44474</v>
      </c>
      <c r="E125" s="1" t="n">
        <v>46219</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s="2" t="inlineStr">
        <is>
          <t>Tallkötticka
Blodvaxing</t>
        </is>
      </c>
      <c r="V125">
        <f>HYPERLINK("https://klasma.github.io/Logging_0188/artfynd/A 55058-2021 artfynd.xlsx", "A 55058-2021")</f>
        <v/>
      </c>
      <c r="W125">
        <f>HYPERLINK("https://klasma.github.io/Logging_0188/kartor/A 55058-2021 karta.png", "A 55058-2021")</f>
        <v/>
      </c>
      <c r="Y125">
        <f>HYPERLINK("https://klasma.github.io/Logging_0188/klagomål/A 55058-2021 FSC-klagomål.docx", "A 55058-2021")</f>
        <v/>
      </c>
      <c r="Z125">
        <f>HYPERLINK("https://klasma.github.io/Logging_0188/klagomålsmail/A 55058-2021 FSC-klagomål mail.docx", "A 55058-2021")</f>
        <v/>
      </c>
      <c r="AA125">
        <f>HYPERLINK("https://klasma.github.io/Logging_0188/tillsyn/A 55058-2021 tillsynsbegäran.docx", "A 55058-2021")</f>
        <v/>
      </c>
      <c r="AB125">
        <f>HYPERLINK("https://klasma.github.io/Logging_0188/tillsynsmail/A 55058-2021 tillsynsbegäran mail.docx", "A 55058-2021")</f>
        <v/>
      </c>
    </row>
    <row r="126" ht="15" customHeight="1">
      <c r="A126" t="inlineStr">
        <is>
          <t>A 50097-2025</t>
        </is>
      </c>
      <c r="B126" t="inlineStr">
        <is>
          <t>avverkningsanmälan</t>
        </is>
      </c>
      <c r="C126" t="inlineStr">
        <is>
          <t>Föryngringsavverkning</t>
        </is>
      </c>
      <c r="D126" s="1" t="n">
        <v>45943</v>
      </c>
      <c r="E126" s="1" t="n">
        <v>46219</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s="2" t="inlineStr">
        <is>
          <t>Asknätfjäril
Kattfotslav</t>
        </is>
      </c>
      <c r="V126">
        <f>HYPERLINK("https://klasma.github.io/Logging_0188/artfynd/A 50097-2025 artfynd.xlsx", "A 50097-2025")</f>
        <v/>
      </c>
      <c r="W126">
        <f>HYPERLINK("https://klasma.github.io/Logging_0188/kartor/A 50097-2025 karta.png", "A 50097-2025")</f>
        <v/>
      </c>
      <c r="Y126">
        <f>HYPERLINK("https://klasma.github.io/Logging_0188/klagomål/A 50097-2025 FSC-klagomål.docx", "A 50097-2025")</f>
        <v/>
      </c>
      <c r="Z126">
        <f>HYPERLINK("https://klasma.github.io/Logging_0188/klagomålsmail/A 50097-2025 FSC-klagomål mail.docx", "A 50097-2025")</f>
        <v/>
      </c>
      <c r="AA126">
        <f>HYPERLINK("https://klasma.github.io/Logging_0188/tillsyn/A 50097-2025 tillsynsbegäran.docx", "A 50097-2025")</f>
        <v/>
      </c>
      <c r="AB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46219</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s="2" t="inlineStr">
        <is>
          <t>Skogsklocka
Småflikig brosklav</t>
        </is>
      </c>
      <c r="V127">
        <f>HYPERLINK("https://klasma.github.io/Logging_0188/artfynd/A 50697-2025 artfynd.xlsx", "A 50697-2025")</f>
        <v/>
      </c>
      <c r="W127">
        <f>HYPERLINK("https://klasma.github.io/Logging_0188/kartor/A 50697-2025 karta.png", "A 50697-2025")</f>
        <v/>
      </c>
      <c r="Y127">
        <f>HYPERLINK("https://klasma.github.io/Logging_0188/klagomål/A 50697-2025 FSC-klagomål.docx", "A 50697-2025")</f>
        <v/>
      </c>
      <c r="Z127">
        <f>HYPERLINK("https://klasma.github.io/Logging_0188/klagomålsmail/A 50697-2025 FSC-klagomål mail.docx", "A 50697-2025")</f>
        <v/>
      </c>
      <c r="AA127">
        <f>HYPERLINK("https://klasma.github.io/Logging_0188/tillsyn/A 50697-2025 tillsynsbegäran.docx", "A 50697-2025")</f>
        <v/>
      </c>
      <c r="AB127">
        <f>HYPERLINK("https://klasma.github.io/Logging_0188/tillsynsmail/A 50697-2025 tillsynsbegäran mail.docx", "A 50697-2025")</f>
        <v/>
      </c>
    </row>
    <row r="128" ht="15" customHeight="1">
      <c r="A128" t="inlineStr">
        <is>
          <t>A 39202-2024</t>
        </is>
      </c>
      <c r="B128" t="inlineStr">
        <is>
          <t>avverkningsanmälan</t>
        </is>
      </c>
      <c r="C128" t="inlineStr">
        <is>
          <t>Föryngringsavverkning</t>
        </is>
      </c>
      <c r="D128" s="1" t="n">
        <v>45548</v>
      </c>
      <c r="E128" s="1" t="n">
        <v>46219</v>
      </c>
      <c r="F128" t="inlineStr">
        <is>
          <t>STOCKHOLMS LÄN</t>
        </is>
      </c>
      <c r="G128" t="inlineStr">
        <is>
          <t>NORRTÄLJE</t>
        </is>
      </c>
      <c r="I128" t="n">
        <v>1.9</v>
      </c>
      <c r="J128" t="n">
        <v>0</v>
      </c>
      <c r="K128" t="n">
        <v>0</v>
      </c>
      <c r="L128" t="n">
        <v>0</v>
      </c>
      <c r="M128" t="n">
        <v>2</v>
      </c>
      <c r="N128" t="n">
        <v>0</v>
      </c>
      <c r="O128" t="n">
        <v>0</v>
      </c>
      <c r="P128" t="n">
        <v>0</v>
      </c>
      <c r="Q128" t="n">
        <v>2</v>
      </c>
      <c r="R128" t="n">
        <v>2</v>
      </c>
      <c r="S128" t="n">
        <v>2</v>
      </c>
      <c r="T128" t="n">
        <v>2</v>
      </c>
      <c r="U128" s="2" t="inlineStr">
        <is>
          <t>Mindre bastardsvärmare
Sexfläckig bastardsvärmare</t>
        </is>
      </c>
      <c r="V128">
        <f>HYPERLINK("https://klasma.github.io/Logging_0188/artfynd/A 39202-2024 artfynd.xlsx", "A 39202-2024")</f>
        <v/>
      </c>
      <c r="W128">
        <f>HYPERLINK("https://klasma.github.io/Logging_0188/kartor/A 39202-2024 karta.png", "A 39202-2024")</f>
        <v/>
      </c>
      <c r="Y128">
        <f>HYPERLINK("https://klasma.github.io/Logging_0188/klagomål/A 39202-2024 FSC-klagomål.docx", "A 39202-2024")</f>
        <v/>
      </c>
      <c r="Z128">
        <f>HYPERLINK("https://klasma.github.io/Logging_0188/klagomålsmail/A 39202-2024 FSC-klagomål mail.docx", "A 39202-2024")</f>
        <v/>
      </c>
      <c r="AA128">
        <f>HYPERLINK("https://klasma.github.io/Logging_0188/tillsyn/A 39202-2024 tillsynsbegäran.docx", "A 39202-2024")</f>
        <v/>
      </c>
      <c r="AB128">
        <f>HYPERLINK("https://klasma.github.io/Logging_0188/tillsynsmail/A 39202-2024 tillsynsbegäran mail.docx", "A 39202-2024")</f>
        <v/>
      </c>
    </row>
    <row r="129" ht="15" customHeight="1">
      <c r="A129" t="inlineStr">
        <is>
          <t>A 26635-2023</t>
        </is>
      </c>
      <c r="B129" t="inlineStr">
        <is>
          <t>avverkningsanmälan</t>
        </is>
      </c>
      <c r="C129" t="inlineStr">
        <is>
          <t>Föryngringsavverkning</t>
        </is>
      </c>
      <c r="D129" s="1" t="n">
        <v>45092</v>
      </c>
      <c r="E129" s="1" t="n">
        <v>46219</v>
      </c>
      <c r="F129" t="inlineStr">
        <is>
          <t>STOCKHOLMS LÄN</t>
        </is>
      </c>
      <c r="G129" t="inlineStr">
        <is>
          <t>NORRTÄLJE</t>
        </is>
      </c>
      <c r="I129" t="n">
        <v>3.1</v>
      </c>
      <c r="J129" t="n">
        <v>1</v>
      </c>
      <c r="K129" t="n">
        <v>0</v>
      </c>
      <c r="L129" t="n">
        <v>0</v>
      </c>
      <c r="M129" t="n">
        <v>0</v>
      </c>
      <c r="N129" t="n">
        <v>0</v>
      </c>
      <c r="O129" t="n">
        <v>0</v>
      </c>
      <c r="P129" t="n">
        <v>0</v>
      </c>
      <c r="Q129" t="n">
        <v>0</v>
      </c>
      <c r="R129" t="n">
        <v>0</v>
      </c>
      <c r="S129" t="n">
        <v>2</v>
      </c>
      <c r="T129" t="n">
        <v>2</v>
      </c>
      <c r="U129" s="2" t="inlineStr">
        <is>
          <t>Stjärnstarr
Fläcknycklar</t>
        </is>
      </c>
      <c r="V129">
        <f>HYPERLINK("https://klasma.github.io/Logging_0188/artfynd/A 26635-2023 artfynd.xlsx", "A 26635-2023")</f>
        <v/>
      </c>
      <c r="W129">
        <f>HYPERLINK("https://klasma.github.io/Logging_0188/kartor/A 26635-2023 karta.png", "A 26635-2023")</f>
        <v/>
      </c>
      <c r="Y129">
        <f>HYPERLINK("https://klasma.github.io/Logging_0188/klagomål/A 26635-2023 FSC-klagomål.docx", "A 26635-2023")</f>
        <v/>
      </c>
      <c r="Z129">
        <f>HYPERLINK("https://klasma.github.io/Logging_0188/klagomålsmail/A 26635-2023 FSC-klagomål mail.docx", "A 26635-2023")</f>
        <v/>
      </c>
      <c r="AA129">
        <f>HYPERLINK("https://klasma.github.io/Logging_0188/tillsyn/A 26635-2023 tillsynsbegäran.docx", "A 26635-2023")</f>
        <v/>
      </c>
      <c r="AB129">
        <f>HYPERLINK("https://klasma.github.io/Logging_0188/tillsynsmail/A 26635-2023 tillsynsbegäran mail.docx", "A 26635-2023")</f>
        <v/>
      </c>
    </row>
    <row r="130" ht="15" customHeight="1">
      <c r="A130" t="inlineStr">
        <is>
          <t>A 53716-2025</t>
        </is>
      </c>
      <c r="B130" t="inlineStr">
        <is>
          <t>avverkningsanmälan</t>
        </is>
      </c>
      <c r="C130" t="inlineStr">
        <is>
          <t>Föryngringsavverkning</t>
        </is>
      </c>
      <c r="D130" s="1" t="n">
        <v>45960</v>
      </c>
      <c r="E130" s="1" t="n">
        <v>46219</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s="2" t="inlineStr">
        <is>
          <t>Fältgentiana
Fjällig jordtunga</t>
        </is>
      </c>
      <c r="V130">
        <f>HYPERLINK("https://klasma.github.io/Logging_0188/artfynd/A 53716-2025 artfynd.xlsx", "A 53716-2025")</f>
        <v/>
      </c>
      <c r="W130">
        <f>HYPERLINK("https://klasma.github.io/Logging_0188/kartor/A 53716-2025 karta.png", "A 53716-2025")</f>
        <v/>
      </c>
      <c r="Y130">
        <f>HYPERLINK("https://klasma.github.io/Logging_0188/klagomål/A 53716-2025 FSC-klagomål.docx", "A 53716-2025")</f>
        <v/>
      </c>
      <c r="Z130">
        <f>HYPERLINK("https://klasma.github.io/Logging_0188/klagomålsmail/A 53716-2025 FSC-klagomål mail.docx", "A 53716-2025")</f>
        <v/>
      </c>
      <c r="AA130">
        <f>HYPERLINK("https://klasma.github.io/Logging_0188/tillsyn/A 53716-2025 tillsynsbegäran.docx", "A 53716-2025")</f>
        <v/>
      </c>
      <c r="AB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46219</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s="2" t="inlineStr">
        <is>
          <t>Sårläka
Blåsippa</t>
        </is>
      </c>
      <c r="V131">
        <f>HYPERLINK("https://klasma.github.io/Logging_0188/artfynd/A 31827-2023 artfynd.xlsx", "A 31827-2023")</f>
        <v/>
      </c>
      <c r="W131">
        <f>HYPERLINK("https://klasma.github.io/Logging_0188/kartor/A 31827-2023 karta.png", "A 31827-2023")</f>
        <v/>
      </c>
      <c r="Y131">
        <f>HYPERLINK("https://klasma.github.io/Logging_0188/klagomål/A 31827-2023 FSC-klagomål.docx", "A 31827-2023")</f>
        <v/>
      </c>
      <c r="Z131">
        <f>HYPERLINK("https://klasma.github.io/Logging_0188/klagomålsmail/A 31827-2023 FSC-klagomål mail.docx", "A 31827-2023")</f>
        <v/>
      </c>
      <c r="AA131">
        <f>HYPERLINK("https://klasma.github.io/Logging_0188/tillsyn/A 31827-2023 tillsynsbegäran.docx", "A 31827-2023")</f>
        <v/>
      </c>
      <c r="AB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46219</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s="2" t="inlineStr">
        <is>
          <t>Knärot
Grönpyrola</t>
        </is>
      </c>
      <c r="V132">
        <f>HYPERLINK("https://klasma.github.io/Logging_0188/artfynd/A 22157-2023 artfynd.xlsx", "A 22157-2023")</f>
        <v/>
      </c>
      <c r="W132">
        <f>HYPERLINK("https://klasma.github.io/Logging_0188/kartor/A 22157-2023 karta.png", "A 22157-2023")</f>
        <v/>
      </c>
      <c r="X132">
        <f>HYPERLINK("https://klasma.github.io/Logging_0188/knärot/A 22157-2023 karta knärot.png", "A 22157-2023")</f>
        <v/>
      </c>
      <c r="Y132">
        <f>HYPERLINK("https://klasma.github.io/Logging_0188/klagomål/A 22157-2023 FSC-klagomål.docx", "A 22157-2023")</f>
        <v/>
      </c>
      <c r="Z132">
        <f>HYPERLINK("https://klasma.github.io/Logging_0188/klagomålsmail/A 22157-2023 FSC-klagomål mail.docx", "A 22157-2023")</f>
        <v/>
      </c>
      <c r="AA132">
        <f>HYPERLINK("https://klasma.github.io/Logging_0188/tillsyn/A 22157-2023 tillsynsbegäran.docx", "A 22157-2023")</f>
        <v/>
      </c>
      <c r="AB132">
        <f>HYPERLINK("https://klasma.github.io/Logging_0188/tillsynsmail/A 22157-2023 tillsynsbegäran mail.docx", "A 22157-2023")</f>
        <v/>
      </c>
    </row>
    <row r="133" ht="15" customHeight="1">
      <c r="A133" t="inlineStr">
        <is>
          <t>A 52825-2023</t>
        </is>
      </c>
      <c r="B133" t="inlineStr">
        <is>
          <t>avverkningsanmälan</t>
        </is>
      </c>
      <c r="C133" t="inlineStr">
        <is>
          <t>Föryngringsavverkning</t>
        </is>
      </c>
      <c r="D133" s="1" t="n">
        <v>45226</v>
      </c>
      <c r="E133" s="1" t="n">
        <v>46219</v>
      </c>
      <c r="F133" t="inlineStr">
        <is>
          <t>STOCKHOLMS LÄN</t>
        </is>
      </c>
      <c r="G133" t="inlineStr">
        <is>
          <t>NORRTÄLJE</t>
        </is>
      </c>
      <c r="I133" t="n">
        <v>1</v>
      </c>
      <c r="J133" t="n">
        <v>0</v>
      </c>
      <c r="K133" t="n">
        <v>1</v>
      </c>
      <c r="L133" t="n">
        <v>1</v>
      </c>
      <c r="M133" t="n">
        <v>0</v>
      </c>
      <c r="N133" t="n">
        <v>0</v>
      </c>
      <c r="O133" t="n">
        <v>0</v>
      </c>
      <c r="P133" t="n">
        <v>0</v>
      </c>
      <c r="Q133" t="n">
        <v>1</v>
      </c>
      <c r="R133" t="n">
        <v>0</v>
      </c>
      <c r="S133" t="n">
        <v>2</v>
      </c>
      <c r="T133" t="n">
        <v>2</v>
      </c>
      <c r="U133" s="2" t="inlineStr">
        <is>
          <t>Fjällig taggsvamp s.str.
Strimspindling</t>
        </is>
      </c>
      <c r="V133">
        <f>HYPERLINK("https://klasma.github.io/Logging_0188/artfynd/A 52825-2023 artfynd.xlsx", "A 52825-2023")</f>
        <v/>
      </c>
      <c r="W133">
        <f>HYPERLINK("https://klasma.github.io/Logging_0188/kartor/A 52825-2023 karta.png", "A 52825-2023")</f>
        <v/>
      </c>
      <c r="Y133">
        <f>HYPERLINK("https://klasma.github.io/Logging_0188/klagomål/A 52825-2023 FSC-klagomål.docx", "A 52825-2023")</f>
        <v/>
      </c>
      <c r="Z133">
        <f>HYPERLINK("https://klasma.github.io/Logging_0188/klagomålsmail/A 52825-2023 FSC-klagomål mail.docx", "A 52825-2023")</f>
        <v/>
      </c>
      <c r="AA133">
        <f>HYPERLINK("https://klasma.github.io/Logging_0188/tillsyn/A 52825-2023 tillsynsbegäran.docx", "A 52825-2023")</f>
        <v/>
      </c>
      <c r="AB133">
        <f>HYPERLINK("https://klasma.github.io/Logging_0188/tillsynsmail/A 52825-2023 tillsynsbegäran mail.docx", "A 52825-2023")</f>
        <v/>
      </c>
    </row>
    <row r="134" ht="15" customHeight="1">
      <c r="A134" t="inlineStr">
        <is>
          <t>A 35649-2023</t>
        </is>
      </c>
      <c r="B134" t="inlineStr">
        <is>
          <t>avverkningsanmälan</t>
        </is>
      </c>
      <c r="C134" t="inlineStr">
        <is>
          <t>Avverkning för annat ändamål</t>
        </is>
      </c>
      <c r="D134" s="1" t="n">
        <v>45146</v>
      </c>
      <c r="E134" s="1" t="n">
        <v>46219</v>
      </c>
      <c r="F134" t="inlineStr">
        <is>
          <t>STOCKHOLMS LÄN</t>
        </is>
      </c>
      <c r="G134" t="inlineStr">
        <is>
          <t>NORRTÄLJE</t>
        </is>
      </c>
      <c r="I134" t="n">
        <v>25.1</v>
      </c>
      <c r="J134" t="n">
        <v>0</v>
      </c>
      <c r="K134" t="n">
        <v>0</v>
      </c>
      <c r="L134" t="n">
        <v>2</v>
      </c>
      <c r="M134" t="n">
        <v>0</v>
      </c>
      <c r="N134" t="n">
        <v>0</v>
      </c>
      <c r="O134" t="n">
        <v>0</v>
      </c>
      <c r="P134" t="n">
        <v>0</v>
      </c>
      <c r="Q134" t="n">
        <v>2</v>
      </c>
      <c r="R134" t="n">
        <v>0</v>
      </c>
      <c r="S134" t="n">
        <v>2</v>
      </c>
      <c r="T134" t="n">
        <v>2</v>
      </c>
      <c r="U134" s="2" t="inlineStr">
        <is>
          <t>Majviva
Månlåsbräken</t>
        </is>
      </c>
      <c r="V134">
        <f>HYPERLINK("https://klasma.github.io/Logging_0188/artfynd/A 35649-2023 artfynd.xlsx", "A 35649-2023")</f>
        <v/>
      </c>
      <c r="W134">
        <f>HYPERLINK("https://klasma.github.io/Logging_0188/kartor/A 35649-2023 karta.png", "A 35649-2023")</f>
        <v/>
      </c>
      <c r="Y134">
        <f>HYPERLINK("https://klasma.github.io/Logging_0188/klagomål/A 35649-2023 FSC-klagomål.docx", "A 35649-2023")</f>
        <v/>
      </c>
      <c r="Z134">
        <f>HYPERLINK("https://klasma.github.io/Logging_0188/klagomålsmail/A 35649-2023 FSC-klagomål mail.docx", "A 35649-2023")</f>
        <v/>
      </c>
      <c r="AA134">
        <f>HYPERLINK("https://klasma.github.io/Logging_0188/tillsyn/A 35649-2023 tillsynsbegäran.docx", "A 35649-2023")</f>
        <v/>
      </c>
      <c r="AB134">
        <f>HYPERLINK("https://klasma.github.io/Logging_0188/tillsynsmail/A 35649-2023 tillsynsbegäran mail.docx", "A 35649-2023")</f>
        <v/>
      </c>
    </row>
    <row r="135" ht="15" customHeight="1">
      <c r="A135" t="inlineStr">
        <is>
          <t>A 41218-2024</t>
        </is>
      </c>
      <c r="B135" t="inlineStr">
        <is>
          <t>avverkningsanmälan</t>
        </is>
      </c>
      <c r="C135" t="inlineStr">
        <is>
          <t>Föryngringsavverkning</t>
        </is>
      </c>
      <c r="D135" s="1" t="n">
        <v>45559</v>
      </c>
      <c r="E135" s="1" t="n">
        <v>46219</v>
      </c>
      <c r="F135" t="inlineStr">
        <is>
          <t>STOCKHOLMS LÄN</t>
        </is>
      </c>
      <c r="G135" t="inlineStr">
        <is>
          <t>NORRTÄLJE</t>
        </is>
      </c>
      <c r="I135" t="n">
        <v>6</v>
      </c>
      <c r="J135" t="n">
        <v>1</v>
      </c>
      <c r="K135" t="n">
        <v>0</v>
      </c>
      <c r="L135" t="n">
        <v>0</v>
      </c>
      <c r="M135" t="n">
        <v>1</v>
      </c>
      <c r="N135" t="n">
        <v>0</v>
      </c>
      <c r="O135" t="n">
        <v>0</v>
      </c>
      <c r="P135" t="n">
        <v>0</v>
      </c>
      <c r="Q135" t="n">
        <v>1</v>
      </c>
      <c r="R135" t="n">
        <v>1</v>
      </c>
      <c r="S135" t="n">
        <v>2</v>
      </c>
      <c r="T135" t="n">
        <v>2</v>
      </c>
      <c r="U135" s="2" t="inlineStr">
        <is>
          <t>Igelkott
Näktergal</t>
        </is>
      </c>
      <c r="V135">
        <f>HYPERLINK("https://klasma.github.io/Logging_0188/artfynd/A 41218-2024 artfynd.xlsx", "A 41218-2024")</f>
        <v/>
      </c>
      <c r="W135">
        <f>HYPERLINK("https://klasma.github.io/Logging_0188/kartor/A 41218-2024 karta.png", "A 41218-2024")</f>
        <v/>
      </c>
      <c r="Y135">
        <f>HYPERLINK("https://klasma.github.io/Logging_0188/klagomål/A 41218-2024 FSC-klagomål.docx", "A 41218-2024")</f>
        <v/>
      </c>
      <c r="Z135">
        <f>HYPERLINK("https://klasma.github.io/Logging_0188/klagomålsmail/A 41218-2024 FSC-klagomål mail.docx", "A 41218-2024")</f>
        <v/>
      </c>
      <c r="AA135">
        <f>HYPERLINK("https://klasma.github.io/Logging_0188/tillsyn/A 41218-2024 tillsynsbegäran.docx", "A 41218-2024")</f>
        <v/>
      </c>
      <c r="AB135">
        <f>HYPERLINK("https://klasma.github.io/Logging_0188/tillsynsmail/A 41218-2024 tillsynsbegäran mail.docx", "A 41218-2024")</f>
        <v/>
      </c>
      <c r="AC135">
        <f>HYPERLINK("https://klasma.github.io/Logging_0188/fåglar/A 41218-2024 prioriterade fågelarter.docx", "A 41218-2024")</f>
        <v/>
      </c>
    </row>
    <row r="136" ht="15" customHeight="1">
      <c r="A136" t="inlineStr">
        <is>
          <t>A 25669-2025</t>
        </is>
      </c>
      <c r="B136" t="inlineStr">
        <is>
          <t>avverkningsanmälan</t>
        </is>
      </c>
      <c r="C136" t="inlineStr">
        <is>
          <t>Föryngringsavverkning</t>
        </is>
      </c>
      <c r="D136" s="1" t="n">
        <v>45803</v>
      </c>
      <c r="E136" s="1" t="n">
        <v>46219</v>
      </c>
      <c r="F136" t="inlineStr">
        <is>
          <t>STOCKHOLMS LÄN</t>
        </is>
      </c>
      <c r="G136" t="inlineStr">
        <is>
          <t>NORRTÄLJE</t>
        </is>
      </c>
      <c r="H136" t="inlineStr">
        <is>
          <t>Holmen skog AB</t>
        </is>
      </c>
      <c r="I136" t="n">
        <v>3.1</v>
      </c>
      <c r="J136" t="n">
        <v>2</v>
      </c>
      <c r="K136" t="n">
        <v>0</v>
      </c>
      <c r="L136" t="n">
        <v>0</v>
      </c>
      <c r="M136" t="n">
        <v>0</v>
      </c>
      <c r="N136" t="n">
        <v>0</v>
      </c>
      <c r="O136" t="n">
        <v>0</v>
      </c>
      <c r="P136" t="n">
        <v>0</v>
      </c>
      <c r="Q136" t="n">
        <v>0</v>
      </c>
      <c r="R136" t="n">
        <v>0</v>
      </c>
      <c r="S136" t="n">
        <v>2</v>
      </c>
      <c r="T136" t="n">
        <v>2</v>
      </c>
      <c r="U136" s="2" t="inlineStr">
        <is>
          <t>Tjäder
Revlummer</t>
        </is>
      </c>
      <c r="V136">
        <f>HYPERLINK("https://klasma.github.io/Logging_0188/artfynd/A 25669-2025 artfynd.xlsx", "A 25669-2025")</f>
        <v/>
      </c>
      <c r="W136">
        <f>HYPERLINK("https://klasma.github.io/Logging_0188/kartor/A 25669-2025 karta.png", "A 25669-2025")</f>
        <v/>
      </c>
      <c r="Y136">
        <f>HYPERLINK("https://klasma.github.io/Logging_0188/klagomål/A 25669-2025 FSC-klagomål.docx", "A 25669-2025")</f>
        <v/>
      </c>
      <c r="Z136">
        <f>HYPERLINK("https://klasma.github.io/Logging_0188/klagomålsmail/A 25669-2025 FSC-klagomål mail.docx", "A 25669-2025")</f>
        <v/>
      </c>
      <c r="AA136">
        <f>HYPERLINK("https://klasma.github.io/Logging_0188/tillsyn/A 25669-2025 tillsynsbegäran.docx", "A 25669-2025")</f>
        <v/>
      </c>
      <c r="AB136">
        <f>HYPERLINK("https://klasma.github.io/Logging_0188/tillsynsmail/A 25669-2025 tillsynsbegäran mail.docx", "A 25669-2025")</f>
        <v/>
      </c>
      <c r="AC136">
        <f>HYPERLINK("https://klasma.github.io/Logging_0188/fåglar/A 25669-2025 prioriterade fågelarter.docx", "A 25669-2025")</f>
        <v/>
      </c>
    </row>
    <row r="137" ht="15" customHeight="1">
      <c r="A137" t="inlineStr">
        <is>
          <t>A 50854-2022</t>
        </is>
      </c>
      <c r="B137" t="inlineStr">
        <is>
          <t>avverkningsanmälan</t>
        </is>
      </c>
      <c r="C137" t="inlineStr">
        <is>
          <t>Avverkning för att bevara och utveckla /försöksver</t>
        </is>
      </c>
      <c r="D137" s="1" t="n">
        <v>44863</v>
      </c>
      <c r="E137" s="1" t="n">
        <v>46219</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s="2" t="inlineStr">
        <is>
          <t>Mindre hackspett
Tibast</t>
        </is>
      </c>
      <c r="V137">
        <f>HYPERLINK("https://klasma.github.io/Logging_0188/artfynd/A 50854-2022 artfynd.xlsx", "A 50854-2022")</f>
        <v/>
      </c>
      <c r="W137">
        <f>HYPERLINK("https://klasma.github.io/Logging_0188/kartor/A 50854-2022 karta.png", "A 50854-2022")</f>
        <v/>
      </c>
      <c r="Y137">
        <f>HYPERLINK("https://klasma.github.io/Logging_0188/klagomål/A 50854-2022 FSC-klagomål.docx", "A 50854-2022")</f>
        <v/>
      </c>
      <c r="Z137">
        <f>HYPERLINK("https://klasma.github.io/Logging_0188/klagomålsmail/A 50854-2022 FSC-klagomål mail.docx", "A 50854-2022")</f>
        <v/>
      </c>
      <c r="AA137">
        <f>HYPERLINK("https://klasma.github.io/Logging_0188/tillsyn/A 50854-2022 tillsynsbegäran.docx", "A 50854-2022")</f>
        <v/>
      </c>
      <c r="AB137">
        <f>HYPERLINK("https://klasma.github.io/Logging_0188/tillsynsmail/A 50854-2022 tillsynsbegäran mail.docx", "A 50854-2022")</f>
        <v/>
      </c>
      <c r="AC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46219</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s="2" t="inlineStr">
        <is>
          <t>Kandelabersvamp
Blåsippa</t>
        </is>
      </c>
      <c r="V138">
        <f>HYPERLINK("https://klasma.github.io/Logging_0188/artfynd/A 52124-2022 artfynd.xlsx", "A 52124-2022")</f>
        <v/>
      </c>
      <c r="W138">
        <f>HYPERLINK("https://klasma.github.io/Logging_0188/kartor/A 52124-2022 karta.png", "A 52124-2022")</f>
        <v/>
      </c>
      <c r="Y138">
        <f>HYPERLINK("https://klasma.github.io/Logging_0188/klagomål/A 52124-2022 FSC-klagomål.docx", "A 52124-2022")</f>
        <v/>
      </c>
      <c r="Z138">
        <f>HYPERLINK("https://klasma.github.io/Logging_0188/klagomålsmail/A 52124-2022 FSC-klagomål mail.docx", "A 52124-2022")</f>
        <v/>
      </c>
      <c r="AA138">
        <f>HYPERLINK("https://klasma.github.io/Logging_0188/tillsyn/A 52124-2022 tillsynsbegäran.docx", "A 52124-2022")</f>
        <v/>
      </c>
      <c r="AB138">
        <f>HYPERLINK("https://klasma.github.io/Logging_0188/tillsynsmail/A 52124-2022 tillsynsbegäran mail.docx", "A 52124-2022")</f>
        <v/>
      </c>
    </row>
    <row r="139" ht="15" customHeight="1">
      <c r="A139" t="inlineStr">
        <is>
          <t>A 26207-2026</t>
        </is>
      </c>
      <c r="B139" t="inlineStr">
        <is>
          <t>avverkningsanmälan</t>
        </is>
      </c>
      <c r="C139" t="inlineStr">
        <is>
          <t>Föryngringsavverkning</t>
        </is>
      </c>
      <c r="D139" s="1" t="n">
        <v>46182</v>
      </c>
      <c r="E139" s="1" t="n">
        <v>46219</v>
      </c>
      <c r="F139" t="inlineStr">
        <is>
          <t>STOCKHOLMS LÄN</t>
        </is>
      </c>
      <c r="G139" t="inlineStr">
        <is>
          <t>NORRTÄLJE</t>
        </is>
      </c>
      <c r="I139" t="n">
        <v>4.2</v>
      </c>
      <c r="J139" t="n">
        <v>2</v>
      </c>
      <c r="K139" t="n">
        <v>0</v>
      </c>
      <c r="L139" t="n">
        <v>1</v>
      </c>
      <c r="M139" t="n">
        <v>0</v>
      </c>
      <c r="N139" t="n">
        <v>0</v>
      </c>
      <c r="O139" t="n">
        <v>0</v>
      </c>
      <c r="P139" t="n">
        <v>0</v>
      </c>
      <c r="Q139" t="n">
        <v>1</v>
      </c>
      <c r="R139" t="n">
        <v>0</v>
      </c>
      <c r="S139" t="n">
        <v>2</v>
      </c>
      <c r="T139" t="n">
        <v>2</v>
      </c>
      <c r="U139" s="2" t="inlineStr">
        <is>
          <t>Björktrast
Grönsiska</t>
        </is>
      </c>
      <c r="V139">
        <f>HYPERLINK("https://klasma.github.io/Logging_0188/artfynd/A 26207-2026 artfynd.xlsx", "A 26207-2026")</f>
        <v/>
      </c>
      <c r="W139">
        <f>HYPERLINK("https://klasma.github.io/Logging_0188/kartor/A 26207-2026 karta.png", "A 26207-2026")</f>
        <v/>
      </c>
      <c r="Y139">
        <f>HYPERLINK("https://klasma.github.io/Logging_0188/klagomål/A 26207-2026 FSC-klagomål.docx", "A 26207-2026")</f>
        <v/>
      </c>
      <c r="Z139">
        <f>HYPERLINK("https://klasma.github.io/Logging_0188/klagomålsmail/A 26207-2026 FSC-klagomål mail.docx", "A 26207-2026")</f>
        <v/>
      </c>
      <c r="AA139">
        <f>HYPERLINK("https://klasma.github.io/Logging_0188/tillsyn/A 26207-2026 tillsynsbegäran.docx", "A 26207-2026")</f>
        <v/>
      </c>
      <c r="AB139">
        <f>HYPERLINK("https://klasma.github.io/Logging_0188/tillsynsmail/A 26207-2026 tillsynsbegäran mail.docx", "A 26207-2026")</f>
        <v/>
      </c>
      <c r="AC139">
        <f>HYPERLINK("https://klasma.github.io/Logging_0188/fåglar/A 26207-2026 prioriterade fågelarter.docx", "A 26207-2026")</f>
        <v/>
      </c>
    </row>
    <row r="140" ht="15" customHeight="1">
      <c r="A140" t="inlineStr">
        <is>
          <t>A 26221-2026</t>
        </is>
      </c>
      <c r="B140" t="inlineStr">
        <is>
          <t>avverkningsanmälan</t>
        </is>
      </c>
      <c r="C140" t="inlineStr">
        <is>
          <t>Föryngringsavverkning</t>
        </is>
      </c>
      <c r="D140" s="1" t="n">
        <v>46182</v>
      </c>
      <c r="E140" s="1" t="n">
        <v>46219</v>
      </c>
      <c r="F140" t="inlineStr">
        <is>
          <t>STOCKHOLMS LÄN</t>
        </is>
      </c>
      <c r="G140" t="inlineStr">
        <is>
          <t>NORRTÄLJE</t>
        </is>
      </c>
      <c r="I140" t="n">
        <v>4.1</v>
      </c>
      <c r="J140" t="n">
        <v>2</v>
      </c>
      <c r="K140" t="n">
        <v>0</v>
      </c>
      <c r="L140" t="n">
        <v>1</v>
      </c>
      <c r="M140" t="n">
        <v>0</v>
      </c>
      <c r="N140" t="n">
        <v>0</v>
      </c>
      <c r="O140" t="n">
        <v>0</v>
      </c>
      <c r="P140" t="n">
        <v>0</v>
      </c>
      <c r="Q140" t="n">
        <v>1</v>
      </c>
      <c r="R140" t="n">
        <v>0</v>
      </c>
      <c r="S140" t="n">
        <v>2</v>
      </c>
      <c r="T140" t="n">
        <v>2</v>
      </c>
      <c r="U140" s="2" t="inlineStr">
        <is>
          <t>Duvhök
Havsörn</t>
        </is>
      </c>
      <c r="V140">
        <f>HYPERLINK("https://klasma.github.io/Logging_0188/artfynd/A 26221-2026 artfynd.xlsx", "A 26221-2026")</f>
        <v/>
      </c>
      <c r="W140">
        <f>HYPERLINK("https://klasma.github.io/Logging_0188/kartor/A 26221-2026 karta.png", "A 26221-2026")</f>
        <v/>
      </c>
      <c r="Y140">
        <f>HYPERLINK("https://klasma.github.io/Logging_0188/klagomål/A 26221-2026 FSC-klagomål.docx", "A 26221-2026")</f>
        <v/>
      </c>
      <c r="Z140">
        <f>HYPERLINK("https://klasma.github.io/Logging_0188/klagomålsmail/A 26221-2026 FSC-klagomål mail.docx", "A 26221-2026")</f>
        <v/>
      </c>
      <c r="AA140">
        <f>HYPERLINK("https://klasma.github.io/Logging_0188/tillsyn/A 26221-2026 tillsynsbegäran.docx", "A 26221-2026")</f>
        <v/>
      </c>
      <c r="AB140">
        <f>HYPERLINK("https://klasma.github.io/Logging_0188/tillsynsmail/A 26221-2026 tillsynsbegäran mail.docx", "A 26221-2026")</f>
        <v/>
      </c>
      <c r="AC140">
        <f>HYPERLINK("https://klasma.github.io/Logging_0188/fåglar/A 26221-2026 prioriterade fågelarter.docx", "A 26221-2026")</f>
        <v/>
      </c>
    </row>
    <row r="141" ht="15" customHeight="1">
      <c r="A141" t="inlineStr">
        <is>
          <t>A 26418-2026</t>
        </is>
      </c>
      <c r="B141" t="inlineStr">
        <is>
          <t>avverkningsanmälan</t>
        </is>
      </c>
      <c r="C141" t="inlineStr">
        <is>
          <t>Föryngringsavverkning</t>
        </is>
      </c>
      <c r="D141" s="1" t="n">
        <v>46183</v>
      </c>
      <c r="E141" s="1" t="n">
        <v>46219</v>
      </c>
      <c r="F141" t="inlineStr">
        <is>
          <t>STOCKHOLMS LÄN</t>
        </is>
      </c>
      <c r="G141" t="inlineStr">
        <is>
          <t>NORRTÄLJE</t>
        </is>
      </c>
      <c r="I141" t="n">
        <v>2.2</v>
      </c>
      <c r="J141" t="n">
        <v>2</v>
      </c>
      <c r="K141" t="n">
        <v>1</v>
      </c>
      <c r="L141" t="n">
        <v>0</v>
      </c>
      <c r="M141" t="n">
        <v>0</v>
      </c>
      <c r="N141" t="n">
        <v>0</v>
      </c>
      <c r="O141" t="n">
        <v>0</v>
      </c>
      <c r="P141" t="n">
        <v>0</v>
      </c>
      <c r="Q141" t="n">
        <v>0</v>
      </c>
      <c r="R141" t="n">
        <v>0</v>
      </c>
      <c r="S141" t="n">
        <v>2</v>
      </c>
      <c r="T141" t="n">
        <v>2</v>
      </c>
      <c r="U141" s="2" t="inlineStr">
        <is>
          <t>Korallrot
Brudsporre</t>
        </is>
      </c>
      <c r="V141">
        <f>HYPERLINK("https://klasma.github.io/Logging_0188/artfynd/A 26418-2026 artfynd.xlsx", "A 26418-2026")</f>
        <v/>
      </c>
      <c r="W141">
        <f>HYPERLINK("https://klasma.github.io/Logging_0188/kartor/A 26418-2026 karta.png", "A 26418-2026")</f>
        <v/>
      </c>
      <c r="Y141">
        <f>HYPERLINK("https://klasma.github.io/Logging_0188/klagomål/A 26418-2026 FSC-klagomål.docx", "A 26418-2026")</f>
        <v/>
      </c>
      <c r="Z141">
        <f>HYPERLINK("https://klasma.github.io/Logging_0188/klagomålsmail/A 26418-2026 FSC-klagomål mail.docx", "A 26418-2026")</f>
        <v/>
      </c>
      <c r="AA141">
        <f>HYPERLINK("https://klasma.github.io/Logging_0188/tillsyn/A 26418-2026 tillsynsbegäran.docx", "A 26418-2026")</f>
        <v/>
      </c>
      <c r="AB141">
        <f>HYPERLINK("https://klasma.github.io/Logging_0188/tillsynsmail/A 26418-2026 tillsynsbegäran mail.docx", "A 26418-2026")</f>
        <v/>
      </c>
    </row>
    <row r="142" ht="15" customHeight="1">
      <c r="A142" t="inlineStr">
        <is>
          <t>A 21821-2026</t>
        </is>
      </c>
      <c r="B142" t="inlineStr">
        <is>
          <t>avverkningsanmälan</t>
        </is>
      </c>
      <c r="C142" t="inlineStr">
        <is>
          <t>Föryngringsavverkning</t>
        </is>
      </c>
      <c r="D142" s="1" t="n">
        <v>46150</v>
      </c>
      <c r="E142" s="1" t="n">
        <v>46219</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s="2" t="inlineStr">
        <is>
          <t>Bredgentiana
Fältgentiana</t>
        </is>
      </c>
      <c r="V142">
        <f>HYPERLINK("https://klasma.github.io/Logging_0188/artfynd/A 21821-2026 artfynd.xlsx", "A 21821-2026")</f>
        <v/>
      </c>
      <c r="W142">
        <f>HYPERLINK("https://klasma.github.io/Logging_0188/kartor/A 21821-2026 karta.png", "A 21821-2026")</f>
        <v/>
      </c>
      <c r="Y142">
        <f>HYPERLINK("https://klasma.github.io/Logging_0188/klagomål/A 21821-2026 FSC-klagomål.docx", "A 21821-2026")</f>
        <v/>
      </c>
      <c r="Z142">
        <f>HYPERLINK("https://klasma.github.io/Logging_0188/klagomålsmail/A 21821-2026 FSC-klagomål mail.docx", "A 21821-2026")</f>
        <v/>
      </c>
      <c r="AA142">
        <f>HYPERLINK("https://klasma.github.io/Logging_0188/tillsyn/A 21821-2026 tillsynsbegäran.docx", "A 21821-2026")</f>
        <v/>
      </c>
      <c r="AB142">
        <f>HYPERLINK("https://klasma.github.io/Logging_0188/tillsynsmail/A 21821-2026 tillsynsbegäran mail.docx", "A 21821-2026")</f>
        <v/>
      </c>
    </row>
    <row r="143" ht="15" customHeight="1">
      <c r="A143" t="inlineStr">
        <is>
          <t>A 21781-2026</t>
        </is>
      </c>
      <c r="B143" t="inlineStr">
        <is>
          <t>avverkningsanmälan</t>
        </is>
      </c>
      <c r="C143" t="inlineStr">
        <is>
          <t>Föryngringsavverkning</t>
        </is>
      </c>
      <c r="D143" s="1" t="n">
        <v>46150</v>
      </c>
      <c r="E143" s="1" t="n">
        <v>46219</v>
      </c>
      <c r="F143" t="inlineStr">
        <is>
          <t>STOCKHOLMS LÄN</t>
        </is>
      </c>
      <c r="G143" t="inlineStr">
        <is>
          <t>NORRTÄLJE</t>
        </is>
      </c>
      <c r="I143" t="n">
        <v>6.2</v>
      </c>
      <c r="J143" t="n">
        <v>1</v>
      </c>
      <c r="K143" t="n">
        <v>0</v>
      </c>
      <c r="L143" t="n">
        <v>1</v>
      </c>
      <c r="M143" t="n">
        <v>1</v>
      </c>
      <c r="N143" t="n">
        <v>0</v>
      </c>
      <c r="O143" t="n">
        <v>0</v>
      </c>
      <c r="P143" t="n">
        <v>0</v>
      </c>
      <c r="Q143" t="n">
        <v>2</v>
      </c>
      <c r="R143" t="n">
        <v>1</v>
      </c>
      <c r="S143" t="n">
        <v>2</v>
      </c>
      <c r="T143" t="n">
        <v>2</v>
      </c>
      <c r="U143" s="2" t="inlineStr">
        <is>
          <t>Hällebräcka
Slåtterfibbla</t>
        </is>
      </c>
      <c r="V143">
        <f>HYPERLINK("https://klasma.github.io/Logging_0188/artfynd/A 21781-2026 artfynd.xlsx", "A 21781-2026")</f>
        <v/>
      </c>
      <c r="W143">
        <f>HYPERLINK("https://klasma.github.io/Logging_0188/kartor/A 21781-2026 karta.png", "A 21781-2026")</f>
        <v/>
      </c>
      <c r="Y143">
        <f>HYPERLINK("https://klasma.github.io/Logging_0188/klagomål/A 21781-2026 FSC-klagomål.docx", "A 21781-2026")</f>
        <v/>
      </c>
      <c r="Z143">
        <f>HYPERLINK("https://klasma.github.io/Logging_0188/klagomålsmail/A 21781-2026 FSC-klagomål mail.docx", "A 21781-2026")</f>
        <v/>
      </c>
      <c r="AA143">
        <f>HYPERLINK("https://klasma.github.io/Logging_0188/tillsyn/A 21781-2026 tillsynsbegäran.docx", "A 21781-2026")</f>
        <v/>
      </c>
      <c r="AB143">
        <f>HYPERLINK("https://klasma.github.io/Logging_0188/tillsynsmail/A 21781-2026 tillsynsbegäran mail.docx", "A 21781-2026")</f>
        <v/>
      </c>
    </row>
    <row r="144" ht="15" customHeight="1">
      <c r="A144" t="inlineStr">
        <is>
          <t>S 2192-2022</t>
        </is>
      </c>
      <c r="B144" t="inlineStr">
        <is>
          <t>samrådsanmälan</t>
        </is>
      </c>
      <c r="C144" t="inlineStr">
        <is>
          <t>Åtgärd i nyckelbiotop</t>
        </is>
      </c>
      <c r="D144" s="1" t="n">
        <v>44678</v>
      </c>
      <c r="E144" s="1" t="n">
        <v>46219</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s="2" t="inlineStr">
        <is>
          <t>Ask
Adam och eva</t>
        </is>
      </c>
      <c r="V144">
        <f>HYPERLINK("https://klasma.github.io/Logging_0188/artfynd/S 2192-2022 artfynd.xlsx", "S 2192-2022")</f>
        <v/>
      </c>
      <c r="W144">
        <f>HYPERLINK("https://klasma.github.io/Logging_0188/kartor/S 2192-2022 karta.png", "S 2192-2022")</f>
        <v/>
      </c>
      <c r="Y144">
        <f>HYPERLINK("https://klasma.github.io/Logging_0188/klagomål/S 2192-2022 FSC-klagomål.docx", "S 2192-2022")</f>
        <v/>
      </c>
      <c r="Z144">
        <f>HYPERLINK("https://klasma.github.io/Logging_0188/klagomålsmail/S 2192-2022 FSC-klagomål mail.docx", "S 2192-2022")</f>
        <v/>
      </c>
      <c r="AA144">
        <f>HYPERLINK("https://klasma.github.io/Logging_0188/tillsyn/S 2192-2022 tillsynsbegäran.docx", "S 2192-2022")</f>
        <v/>
      </c>
      <c r="AB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46219</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s="2" t="inlineStr">
        <is>
          <t>Mindre hackspett
Tibast</t>
        </is>
      </c>
      <c r="V145">
        <f>HYPERLINK("https://klasma.github.io/Logging_0188/artfynd/S 6865-2022 artfynd.xlsx", "S 6865-2022")</f>
        <v/>
      </c>
      <c r="W145">
        <f>HYPERLINK("https://klasma.github.io/Logging_0188/kartor/S 6865-2022 karta.png", "S 6865-2022")</f>
        <v/>
      </c>
      <c r="Y145">
        <f>HYPERLINK("https://klasma.github.io/Logging_0188/klagomål/S 6865-2022 FSC-klagomål.docx", "S 6865-2022")</f>
        <v/>
      </c>
      <c r="Z145">
        <f>HYPERLINK("https://klasma.github.io/Logging_0188/klagomålsmail/S 6865-2022 FSC-klagomål mail.docx", "S 6865-2022")</f>
        <v/>
      </c>
      <c r="AA145">
        <f>HYPERLINK("https://klasma.github.io/Logging_0188/tillsyn/S 6865-2022 tillsynsbegäran.docx", "S 6865-2022")</f>
        <v/>
      </c>
      <c r="AB145">
        <f>HYPERLINK("https://klasma.github.io/Logging_0188/tillsynsmail/S 6865-2022 tillsynsbegäran mail.docx", "S 6865-2022")</f>
        <v/>
      </c>
      <c r="AC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46219</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46219</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46219</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46219</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46219</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46219</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s="2" t="inlineStr">
        <is>
          <t>Svart trolldruva</t>
        </is>
      </c>
      <c r="V151">
        <f>HYPERLINK("https://klasma.github.io/Logging_0188/artfynd/A 188-2022 artfynd.xlsx", "A 188-2022")</f>
        <v/>
      </c>
      <c r="W151">
        <f>HYPERLINK("https://klasma.github.io/Logging_0188/kartor/A 188-2022 karta.png", "A 188-2022")</f>
        <v/>
      </c>
      <c r="Y151">
        <f>HYPERLINK("https://klasma.github.io/Logging_0188/klagomål/A 188-2022 FSC-klagomål.docx", "A 188-2022")</f>
        <v/>
      </c>
      <c r="Z151">
        <f>HYPERLINK("https://klasma.github.io/Logging_0188/klagomålsmail/A 188-2022 FSC-klagomål mail.docx", "A 188-2022")</f>
        <v/>
      </c>
      <c r="AA151">
        <f>HYPERLINK("https://klasma.github.io/Logging_0188/tillsyn/A 188-2022 tillsynsbegäran.docx", "A 188-2022")</f>
        <v/>
      </c>
      <c r="AB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46219</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s="2" t="inlineStr">
        <is>
          <t>Gulsparv</t>
        </is>
      </c>
      <c r="V152">
        <f>HYPERLINK("https://klasma.github.io/Logging_0188/artfynd/A 48492-2022 artfynd.xlsx", "A 48492-2022")</f>
        <v/>
      </c>
      <c r="W152">
        <f>HYPERLINK("https://klasma.github.io/Logging_0188/kartor/A 48492-2022 karta.png", "A 48492-2022")</f>
        <v/>
      </c>
      <c r="Y152">
        <f>HYPERLINK("https://klasma.github.io/Logging_0188/klagomål/A 48492-2022 FSC-klagomål.docx", "A 48492-2022")</f>
        <v/>
      </c>
      <c r="Z152">
        <f>HYPERLINK("https://klasma.github.io/Logging_0188/klagomålsmail/A 48492-2022 FSC-klagomål mail.docx", "A 48492-2022")</f>
        <v/>
      </c>
      <c r="AA152">
        <f>HYPERLINK("https://klasma.github.io/Logging_0188/tillsyn/A 48492-2022 tillsynsbegäran.docx", "A 48492-2022")</f>
        <v/>
      </c>
      <c r="AB152">
        <f>HYPERLINK("https://klasma.github.io/Logging_0188/tillsynsmail/A 48492-2022 tillsynsbegäran mail.docx", "A 48492-2022")</f>
        <v/>
      </c>
      <c r="AC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46219</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46219</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50907-2022</t>
        </is>
      </c>
      <c r="B155" t="inlineStr">
        <is>
          <t>avverkningsanmälan</t>
        </is>
      </c>
      <c r="C155" t="inlineStr">
        <is>
          <t>Föryngringsavverkning</t>
        </is>
      </c>
      <c r="D155" s="1" t="n">
        <v>44867</v>
      </c>
      <c r="E155" s="1" t="n">
        <v>46219</v>
      </c>
      <c r="F155" t="inlineStr">
        <is>
          <t>STOCKHOLMS LÄN</t>
        </is>
      </c>
      <c r="G155" t="inlineStr">
        <is>
          <t>NORRTÄLJE</t>
        </is>
      </c>
      <c r="I155" t="n">
        <v>8.199999999999999</v>
      </c>
      <c r="J155" t="n">
        <v>0</v>
      </c>
      <c r="K155" t="n">
        <v>1</v>
      </c>
      <c r="L155" t="n">
        <v>0</v>
      </c>
      <c r="M155" t="n">
        <v>0</v>
      </c>
      <c r="N155" t="n">
        <v>0</v>
      </c>
      <c r="O155" t="n">
        <v>0</v>
      </c>
      <c r="P155" t="n">
        <v>0</v>
      </c>
      <c r="Q155" t="n">
        <v>0</v>
      </c>
      <c r="R155" t="n">
        <v>0</v>
      </c>
      <c r="S155" t="n">
        <v>1</v>
      </c>
      <c r="T155" t="n">
        <v>1</v>
      </c>
      <c r="U155" s="2" t="inlineStr">
        <is>
          <t>Tibast</t>
        </is>
      </c>
      <c r="V155">
        <f>HYPERLINK("https://klasma.github.io/Logging_0188/artfynd/A 50907-2022 artfynd.xlsx", "A 50907-2022")</f>
        <v/>
      </c>
      <c r="W155">
        <f>HYPERLINK("https://klasma.github.io/Logging_0188/kartor/A 50907-2022 karta.png", "A 50907-2022")</f>
        <v/>
      </c>
      <c r="Y155">
        <f>HYPERLINK("https://klasma.github.io/Logging_0188/klagomål/A 50907-2022 FSC-klagomål.docx", "A 50907-2022")</f>
        <v/>
      </c>
      <c r="Z155">
        <f>HYPERLINK("https://klasma.github.io/Logging_0188/klagomålsmail/A 50907-2022 FSC-klagomål mail.docx", "A 50907-2022")</f>
        <v/>
      </c>
      <c r="AA155">
        <f>HYPERLINK("https://klasma.github.io/Logging_0188/tillsyn/A 50907-2022 tillsynsbegäran.docx", "A 50907-2022")</f>
        <v/>
      </c>
      <c r="AB155">
        <f>HYPERLINK("https://klasma.github.io/Logging_0188/tillsynsmail/A 50907-2022 tillsynsbegäran mail.docx", "A 50907-2022")</f>
        <v/>
      </c>
    </row>
    <row r="156" ht="15" customHeight="1">
      <c r="A156" t="inlineStr">
        <is>
          <t>A 15226-2022</t>
        </is>
      </c>
      <c r="B156" t="inlineStr">
        <is>
          <t>avverkningsanmälan</t>
        </is>
      </c>
      <c r="C156" t="inlineStr">
        <is>
          <t>Föryngringsavverkning</t>
        </is>
      </c>
      <c r="D156" s="1" t="n">
        <v>44658</v>
      </c>
      <c r="E156" s="1" t="n">
        <v>46219</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Y156">
        <f>HYPERLINK("https://klasma.github.io/Logging_0188/klagomål/A 15226-2022 FSC-klagomål.docx", "A 15226-2022")</f>
        <v/>
      </c>
      <c r="Z156">
        <f>HYPERLINK("https://klasma.github.io/Logging_0188/klagomålsmail/A 15226-2022 FSC-klagomål mail.docx", "A 15226-2022")</f>
        <v/>
      </c>
      <c r="AA156">
        <f>HYPERLINK("https://klasma.github.io/Logging_0188/tillsyn/A 15226-2022 tillsynsbegäran.docx", "A 15226-2022")</f>
        <v/>
      </c>
      <c r="AB156">
        <f>HYPERLINK("https://klasma.github.io/Logging_0188/tillsynsmail/A 15226-2022 tillsynsbegäran mail.docx", "A 15226-2022")</f>
        <v/>
      </c>
    </row>
    <row r="157" ht="15" customHeight="1">
      <c r="A157" t="inlineStr">
        <is>
          <t>A 52139-2022</t>
        </is>
      </c>
      <c r="B157" t="inlineStr">
        <is>
          <t>avverkningsanmälan</t>
        </is>
      </c>
      <c r="C157" t="inlineStr">
        <is>
          <t>Avverkning för annat ändamål</t>
        </is>
      </c>
      <c r="D157" s="1" t="n">
        <v>44868</v>
      </c>
      <c r="E157" s="1" t="n">
        <v>46219</v>
      </c>
      <c r="F157" t="inlineStr">
        <is>
          <t>STOCKHOLMS LÄN</t>
        </is>
      </c>
      <c r="G157" t="inlineStr">
        <is>
          <t>NORRTÄLJE</t>
        </is>
      </c>
      <c r="I157" t="n">
        <v>3.2</v>
      </c>
      <c r="J157" t="n">
        <v>1</v>
      </c>
      <c r="K157" t="n">
        <v>0</v>
      </c>
      <c r="L157" t="n">
        <v>0</v>
      </c>
      <c r="M157" t="n">
        <v>1</v>
      </c>
      <c r="N157" t="n">
        <v>0</v>
      </c>
      <c r="O157" t="n">
        <v>0</v>
      </c>
      <c r="P157" t="n">
        <v>0</v>
      </c>
      <c r="Q157" t="n">
        <v>1</v>
      </c>
      <c r="R157" t="n">
        <v>1</v>
      </c>
      <c r="S157" t="n">
        <v>1</v>
      </c>
      <c r="T157" t="n">
        <v>1</v>
      </c>
      <c r="U157" s="2" t="inlineStr">
        <is>
          <t>Knärot</t>
        </is>
      </c>
      <c r="V157">
        <f>HYPERLINK("https://klasma.github.io/Logging_0188/artfynd/A 52139-2022 artfynd.xlsx", "A 52139-2022")</f>
        <v/>
      </c>
      <c r="W157">
        <f>HYPERLINK("https://klasma.github.io/Logging_0188/kartor/A 52139-2022 karta.png", "A 52139-2022")</f>
        <v/>
      </c>
      <c r="X157">
        <f>HYPERLINK("https://klasma.github.io/Logging_0188/knärot/A 52139-2022 karta knärot.png", "A 52139-2022")</f>
        <v/>
      </c>
      <c r="Y157">
        <f>HYPERLINK("https://klasma.github.io/Logging_0188/klagomål/A 52139-2022 FSC-klagomål.docx", "A 52139-2022")</f>
        <v/>
      </c>
      <c r="Z157">
        <f>HYPERLINK("https://klasma.github.io/Logging_0188/klagomålsmail/A 52139-2022 FSC-klagomål mail.docx", "A 52139-2022")</f>
        <v/>
      </c>
      <c r="AA157">
        <f>HYPERLINK("https://klasma.github.io/Logging_0188/tillsyn/A 52139-2022 tillsynsbegäran.docx", "A 52139-2022")</f>
        <v/>
      </c>
      <c r="AB157">
        <f>HYPERLINK("https://klasma.github.io/Logging_0188/tillsynsmail/A 52139-2022 tillsynsbegäran mail.docx", "A 52139-2022")</f>
        <v/>
      </c>
    </row>
    <row r="158" ht="15" customHeight="1">
      <c r="A158" t="inlineStr">
        <is>
          <t>A 12348-2025</t>
        </is>
      </c>
      <c r="B158" t="inlineStr">
        <is>
          <t>avverkningsanmälan</t>
        </is>
      </c>
      <c r="C158" t="inlineStr">
        <is>
          <t>Föryngringsavverkning</t>
        </is>
      </c>
      <c r="D158" s="1" t="n">
        <v>45730</v>
      </c>
      <c r="E158" s="1" t="n">
        <v>46219</v>
      </c>
      <c r="F158" t="inlineStr">
        <is>
          <t>STOCKHOLMS LÄN</t>
        </is>
      </c>
      <c r="G158" t="inlineStr">
        <is>
          <t>NORRTÄLJE</t>
        </is>
      </c>
      <c r="I158" t="n">
        <v>1.5</v>
      </c>
      <c r="J158" t="n">
        <v>0</v>
      </c>
      <c r="K158" t="n">
        <v>0</v>
      </c>
      <c r="L158" t="n">
        <v>0</v>
      </c>
      <c r="M158" t="n">
        <v>1</v>
      </c>
      <c r="N158" t="n">
        <v>0</v>
      </c>
      <c r="O158" t="n">
        <v>0</v>
      </c>
      <c r="P158" t="n">
        <v>0</v>
      </c>
      <c r="Q158" t="n">
        <v>1</v>
      </c>
      <c r="R158" t="n">
        <v>1</v>
      </c>
      <c r="S158" t="n">
        <v>1</v>
      </c>
      <c r="T158" t="n">
        <v>1</v>
      </c>
      <c r="U158" s="2" t="inlineStr">
        <is>
          <t>Plattsäv</t>
        </is>
      </c>
      <c r="V158">
        <f>HYPERLINK("https://klasma.github.io/Logging_0188/artfynd/A 12348-2025 artfynd.xlsx", "A 12348-2025")</f>
        <v/>
      </c>
      <c r="W158">
        <f>HYPERLINK("https://klasma.github.io/Logging_0188/kartor/A 12348-2025 karta.png", "A 12348-2025")</f>
        <v/>
      </c>
      <c r="Y158">
        <f>HYPERLINK("https://klasma.github.io/Logging_0188/klagomål/A 12348-2025 FSC-klagomål.docx", "A 12348-2025")</f>
        <v/>
      </c>
      <c r="Z158">
        <f>HYPERLINK("https://klasma.github.io/Logging_0188/klagomålsmail/A 12348-2025 FSC-klagomål mail.docx", "A 12348-2025")</f>
        <v/>
      </c>
      <c r="AA158">
        <f>HYPERLINK("https://klasma.github.io/Logging_0188/tillsyn/A 12348-2025 tillsynsbegäran.docx", "A 12348-2025")</f>
        <v/>
      </c>
      <c r="AB158">
        <f>HYPERLINK("https://klasma.github.io/Logging_0188/tillsynsmail/A 12348-2025 tillsynsbegäran mail.docx", "A 12348-2025")</f>
        <v/>
      </c>
    </row>
    <row r="159" ht="15" customHeight="1">
      <c r="A159" t="inlineStr">
        <is>
          <t>A 5823-2023</t>
        </is>
      </c>
      <c r="B159" t="inlineStr">
        <is>
          <t>avverkningsanmälan</t>
        </is>
      </c>
      <c r="C159" t="inlineStr">
        <is>
          <t>Föryngringsavverkning</t>
        </is>
      </c>
      <c r="D159" s="1" t="n">
        <v>44963</v>
      </c>
      <c r="E159" s="1" t="n">
        <v>46219</v>
      </c>
      <c r="F159" t="inlineStr">
        <is>
          <t>STOCKHOLMS LÄN</t>
        </is>
      </c>
      <c r="G159" t="inlineStr">
        <is>
          <t>NORRTÄLJE</t>
        </is>
      </c>
      <c r="I159" t="n">
        <v>0.7</v>
      </c>
      <c r="J159" t="n">
        <v>0</v>
      </c>
      <c r="K159" t="n">
        <v>0</v>
      </c>
      <c r="L159" t="n">
        <v>1</v>
      </c>
      <c r="M159" t="n">
        <v>0</v>
      </c>
      <c r="N159" t="n">
        <v>0</v>
      </c>
      <c r="O159" t="n">
        <v>0</v>
      </c>
      <c r="P159" t="n">
        <v>0</v>
      </c>
      <c r="Q159" t="n">
        <v>1</v>
      </c>
      <c r="R159" t="n">
        <v>0</v>
      </c>
      <c r="S159" t="n">
        <v>1</v>
      </c>
      <c r="T159" t="n">
        <v>2</v>
      </c>
      <c r="U159" s="2" t="inlineStr">
        <is>
          <t>Slåtterfibbla</t>
        </is>
      </c>
      <c r="V159">
        <f>HYPERLINK("https://klasma.github.io/Logging_0188/artfynd/A 5823-2023 artfynd.xlsx", "A 5823-2023")</f>
        <v/>
      </c>
      <c r="W159">
        <f>HYPERLINK("https://klasma.github.io/Logging_0188/kartor/A 5823-2023 karta.png", "A 5823-2023")</f>
        <v/>
      </c>
      <c r="Y159">
        <f>HYPERLINK("https://klasma.github.io/Logging_0188/klagomål/A 5823-2023 FSC-klagomål.docx", "A 5823-2023")</f>
        <v/>
      </c>
      <c r="Z159">
        <f>HYPERLINK("https://klasma.github.io/Logging_0188/klagomålsmail/A 5823-2023 FSC-klagomål mail.docx", "A 5823-2023")</f>
        <v/>
      </c>
      <c r="AA159">
        <f>HYPERLINK("https://klasma.github.io/Logging_0188/tillsyn/A 5823-2023 tillsynsbegäran.docx", "A 5823-2023")</f>
        <v/>
      </c>
      <c r="AB159">
        <f>HYPERLINK("https://klasma.github.io/Logging_0188/tillsynsmail/A 5823-2023 tillsynsbegäran mail.docx", "A 5823-2023")</f>
        <v/>
      </c>
    </row>
    <row r="160" ht="15" customHeight="1">
      <c r="A160" t="inlineStr">
        <is>
          <t>A 30731-2023</t>
        </is>
      </c>
      <c r="B160" t="inlineStr">
        <is>
          <t>avverkningsanmälan</t>
        </is>
      </c>
      <c r="C160" t="inlineStr">
        <is>
          <t>Föryngringsavverkning</t>
        </is>
      </c>
      <c r="D160" s="1" t="n">
        <v>45112</v>
      </c>
      <c r="E160" s="1" t="n">
        <v>46219</v>
      </c>
      <c r="F160" t="inlineStr">
        <is>
          <t>STOCKHOLMS LÄN</t>
        </is>
      </c>
      <c r="G160" t="inlineStr">
        <is>
          <t>NORRTÄLJE</t>
        </is>
      </c>
      <c r="I160" t="n">
        <v>1.6</v>
      </c>
      <c r="J160" t="n">
        <v>0</v>
      </c>
      <c r="K160" t="n">
        <v>0</v>
      </c>
      <c r="L160" t="n">
        <v>1</v>
      </c>
      <c r="M160" t="n">
        <v>0</v>
      </c>
      <c r="N160" t="n">
        <v>0</v>
      </c>
      <c r="O160" t="n">
        <v>0</v>
      </c>
      <c r="P160" t="n">
        <v>0</v>
      </c>
      <c r="Q160" t="n">
        <v>1</v>
      </c>
      <c r="R160" t="n">
        <v>0</v>
      </c>
      <c r="S160" t="n">
        <v>1</v>
      </c>
      <c r="T160" t="n">
        <v>1</v>
      </c>
      <c r="U160" s="2" t="inlineStr">
        <is>
          <t>Slåtterfibbla</t>
        </is>
      </c>
      <c r="V160">
        <f>HYPERLINK("https://klasma.github.io/Logging_0188/artfynd/A 30731-2023 artfynd.xlsx", "A 30731-2023")</f>
        <v/>
      </c>
      <c r="W160">
        <f>HYPERLINK("https://klasma.github.io/Logging_0188/kartor/A 30731-2023 karta.png", "A 30731-2023")</f>
        <v/>
      </c>
      <c r="Y160">
        <f>HYPERLINK("https://klasma.github.io/Logging_0188/klagomål/A 30731-2023 FSC-klagomål.docx", "A 30731-2023")</f>
        <v/>
      </c>
      <c r="Z160">
        <f>HYPERLINK("https://klasma.github.io/Logging_0188/klagomålsmail/A 30731-2023 FSC-klagomål mail.docx", "A 30731-2023")</f>
        <v/>
      </c>
      <c r="AA160">
        <f>HYPERLINK("https://klasma.github.io/Logging_0188/tillsyn/A 30731-2023 tillsynsbegäran.docx", "A 30731-2023")</f>
        <v/>
      </c>
      <c r="AB160">
        <f>HYPERLINK("https://klasma.github.io/Logging_0188/tillsynsmail/A 30731-2023 tillsynsbegäran mail.docx", "A 30731-2023")</f>
        <v/>
      </c>
    </row>
    <row r="161" ht="15" customHeight="1">
      <c r="A161" t="inlineStr">
        <is>
          <t>A 32111-2022</t>
        </is>
      </c>
      <c r="B161" t="inlineStr">
        <is>
          <t>avverkningsanmälan</t>
        </is>
      </c>
      <c r="C161" t="inlineStr">
        <is>
          <t>Föryngringsavverkning</t>
        </is>
      </c>
      <c r="D161" s="1" t="n">
        <v>44778</v>
      </c>
      <c r="E161" s="1" t="n">
        <v>46219</v>
      </c>
      <c r="F161" t="inlineStr">
        <is>
          <t>STOCKHOLMS LÄN</t>
        </is>
      </c>
      <c r="G161" t="inlineStr">
        <is>
          <t>NORRTÄLJE</t>
        </is>
      </c>
      <c r="I161" t="n">
        <v>3.1</v>
      </c>
      <c r="J161" t="n">
        <v>0</v>
      </c>
      <c r="K161" t="n">
        <v>0</v>
      </c>
      <c r="L161" t="n">
        <v>1</v>
      </c>
      <c r="M161" t="n">
        <v>0</v>
      </c>
      <c r="N161" t="n">
        <v>0</v>
      </c>
      <c r="O161" t="n">
        <v>0</v>
      </c>
      <c r="P161" t="n">
        <v>0</v>
      </c>
      <c r="Q161" t="n">
        <v>1</v>
      </c>
      <c r="R161" t="n">
        <v>0</v>
      </c>
      <c r="S161" t="n">
        <v>1</v>
      </c>
      <c r="T161" t="n">
        <v>1</v>
      </c>
      <c r="U161" s="2" t="inlineStr">
        <is>
          <t>Orange taggsvamp</t>
        </is>
      </c>
      <c r="V161">
        <f>HYPERLINK("https://klasma.github.io/Logging_0188/artfynd/A 32111-2022 artfynd.xlsx", "A 32111-2022")</f>
        <v/>
      </c>
      <c r="W161">
        <f>HYPERLINK("https://klasma.github.io/Logging_0188/kartor/A 32111-2022 karta.png", "A 32111-2022")</f>
        <v/>
      </c>
      <c r="Y161">
        <f>HYPERLINK("https://klasma.github.io/Logging_0188/klagomål/A 32111-2022 FSC-klagomål.docx", "A 32111-2022")</f>
        <v/>
      </c>
      <c r="Z161">
        <f>HYPERLINK("https://klasma.github.io/Logging_0188/klagomålsmail/A 32111-2022 FSC-klagomål mail.docx", "A 32111-2022")</f>
        <v/>
      </c>
      <c r="AA161">
        <f>HYPERLINK("https://klasma.github.io/Logging_0188/tillsyn/A 32111-2022 tillsynsbegäran.docx", "A 32111-2022")</f>
        <v/>
      </c>
      <c r="AB161">
        <f>HYPERLINK("https://klasma.github.io/Logging_0188/tillsynsmail/A 32111-2022 tillsynsbegäran mail.docx", "A 32111-2022")</f>
        <v/>
      </c>
    </row>
    <row r="162" ht="15" customHeight="1">
      <c r="A162" t="inlineStr">
        <is>
          <t>A 58888-2021</t>
        </is>
      </c>
      <c r="B162" t="inlineStr">
        <is>
          <t>avverkningsanmälan</t>
        </is>
      </c>
      <c r="C162" t="inlineStr">
        <is>
          <t>Föryngringsavverkning</t>
        </is>
      </c>
      <c r="D162" s="1" t="n">
        <v>44489</v>
      </c>
      <c r="E162" s="1" t="n">
        <v>46219</v>
      </c>
      <c r="F162" t="inlineStr">
        <is>
          <t>STOCKHOLMS LÄN</t>
        </is>
      </c>
      <c r="G162" t="inlineStr">
        <is>
          <t>NORRTÄLJE</t>
        </is>
      </c>
      <c r="H162" t="inlineStr">
        <is>
          <t>Holmen skog AB</t>
        </is>
      </c>
      <c r="I162" t="n">
        <v>2.5</v>
      </c>
      <c r="J162" t="n">
        <v>1</v>
      </c>
      <c r="K162" t="n">
        <v>0</v>
      </c>
      <c r="L162" t="n">
        <v>0</v>
      </c>
      <c r="M162" t="n">
        <v>0</v>
      </c>
      <c r="N162" t="n">
        <v>1</v>
      </c>
      <c r="O162" t="n">
        <v>0</v>
      </c>
      <c r="P162" t="n">
        <v>0</v>
      </c>
      <c r="Q162" t="n">
        <v>1</v>
      </c>
      <c r="R162" t="n">
        <v>1</v>
      </c>
      <c r="S162" t="n">
        <v>1</v>
      </c>
      <c r="T162" t="n">
        <v>1</v>
      </c>
      <c r="U162" s="2" t="inlineStr">
        <is>
          <t>Asknätfjäril</t>
        </is>
      </c>
      <c r="V162">
        <f>HYPERLINK("https://klasma.github.io/Logging_0188/artfynd/A 58888-2021 artfynd.xlsx", "A 58888-2021")</f>
        <v/>
      </c>
      <c r="W162">
        <f>HYPERLINK("https://klasma.github.io/Logging_0188/kartor/A 58888-2021 karta.png", "A 58888-2021")</f>
        <v/>
      </c>
      <c r="Y162">
        <f>HYPERLINK("https://klasma.github.io/Logging_0188/klagomål/A 58888-2021 FSC-klagomål.docx", "A 58888-2021")</f>
        <v/>
      </c>
      <c r="Z162">
        <f>HYPERLINK("https://klasma.github.io/Logging_0188/klagomålsmail/A 58888-2021 FSC-klagomål mail.docx", "A 58888-2021")</f>
        <v/>
      </c>
      <c r="AA162">
        <f>HYPERLINK("https://klasma.github.io/Logging_0188/tillsyn/A 58888-2021 tillsynsbegäran.docx", "A 58888-2021")</f>
        <v/>
      </c>
      <c r="AB162">
        <f>HYPERLINK("https://klasma.github.io/Logging_0188/tillsynsmail/A 58888-2021 tillsynsbegäran mail.docx", "A 58888-2021")</f>
        <v/>
      </c>
    </row>
    <row r="163" ht="15" customHeight="1">
      <c r="A163" t="inlineStr">
        <is>
          <t>A 55952-2024</t>
        </is>
      </c>
      <c r="B163" t="inlineStr">
        <is>
          <t>avverkningsanmälan</t>
        </is>
      </c>
      <c r="C163" t="inlineStr">
        <is>
          <t>Föryngringsavverkning</t>
        </is>
      </c>
      <c r="D163" s="1" t="n">
        <v>45623</v>
      </c>
      <c r="E163" s="1" t="n">
        <v>46219</v>
      </c>
      <c r="F163" t="inlineStr">
        <is>
          <t>STOCKHOLMS LÄN</t>
        </is>
      </c>
      <c r="G163" t="inlineStr">
        <is>
          <t>NORRTÄLJE</t>
        </is>
      </c>
      <c r="H163" t="inlineStr">
        <is>
          <t>Holmen skog AB</t>
        </is>
      </c>
      <c r="I163" t="n">
        <v>2.8</v>
      </c>
      <c r="J163" t="n">
        <v>1</v>
      </c>
      <c r="K163" t="n">
        <v>0</v>
      </c>
      <c r="L163" t="n">
        <v>0</v>
      </c>
      <c r="M163" t="n">
        <v>0</v>
      </c>
      <c r="N163" t="n">
        <v>1</v>
      </c>
      <c r="O163" t="n">
        <v>0</v>
      </c>
      <c r="P163" t="n">
        <v>0</v>
      </c>
      <c r="Q163" t="n">
        <v>1</v>
      </c>
      <c r="R163" t="n">
        <v>1</v>
      </c>
      <c r="S163" t="n">
        <v>1</v>
      </c>
      <c r="T163" t="n">
        <v>61</v>
      </c>
      <c r="U163" s="2" t="inlineStr">
        <is>
          <t>Asknätfjäril</t>
        </is>
      </c>
      <c r="V163">
        <f>HYPERLINK("https://klasma.github.io/Logging_0188/artfynd/A 55952-2024 artfynd.xlsx", "A 55952-2024")</f>
        <v/>
      </c>
      <c r="W163">
        <f>HYPERLINK("https://klasma.github.io/Logging_0188/kartor/A 55952-2024 karta.png", "A 55952-2024")</f>
        <v/>
      </c>
      <c r="Y163">
        <f>HYPERLINK("https://klasma.github.io/Logging_0188/klagomål/A 55952-2024 FSC-klagomål.docx", "A 55952-2024")</f>
        <v/>
      </c>
      <c r="Z163">
        <f>HYPERLINK("https://klasma.github.io/Logging_0188/klagomålsmail/A 55952-2024 FSC-klagomål mail.docx", "A 55952-2024")</f>
        <v/>
      </c>
      <c r="AA163">
        <f>HYPERLINK("https://klasma.github.io/Logging_0188/tillsyn/A 55952-2024 tillsynsbegäran.docx", "A 55952-2024")</f>
        <v/>
      </c>
      <c r="AB163">
        <f>HYPERLINK("https://klasma.github.io/Logging_0188/tillsynsmail/A 55952-2024 tillsynsbegäran mail.docx", "A 55952-2024")</f>
        <v/>
      </c>
    </row>
    <row r="164" ht="15" customHeight="1">
      <c r="A164" t="inlineStr">
        <is>
          <t>A 35161-2022</t>
        </is>
      </c>
      <c r="B164" t="inlineStr">
        <is>
          <t>avverkningsanmälan</t>
        </is>
      </c>
      <c r="C164" t="inlineStr">
        <is>
          <t>Föryngringsavverkning</t>
        </is>
      </c>
      <c r="D164" s="1" t="n">
        <v>44797</v>
      </c>
      <c r="E164" s="1" t="n">
        <v>46219</v>
      </c>
      <c r="F164" t="inlineStr">
        <is>
          <t>STOCKHOLMS LÄN</t>
        </is>
      </c>
      <c r="G164" t="inlineStr">
        <is>
          <t>NORRTÄLJE</t>
        </is>
      </c>
      <c r="I164" t="n">
        <v>6</v>
      </c>
      <c r="J164" t="n">
        <v>1</v>
      </c>
      <c r="K164" t="n">
        <v>1</v>
      </c>
      <c r="L164" t="n">
        <v>0</v>
      </c>
      <c r="M164" t="n">
        <v>0</v>
      </c>
      <c r="N164" t="n">
        <v>0</v>
      </c>
      <c r="O164" t="n">
        <v>0</v>
      </c>
      <c r="P164" t="n">
        <v>0</v>
      </c>
      <c r="Q164" t="n">
        <v>0</v>
      </c>
      <c r="R164" t="n">
        <v>0</v>
      </c>
      <c r="S164" t="n">
        <v>1</v>
      </c>
      <c r="T164" t="n">
        <v>1</v>
      </c>
      <c r="U164" s="2" t="inlineStr">
        <is>
          <t>Skogsknipprot</t>
        </is>
      </c>
      <c r="V164">
        <f>HYPERLINK("https://klasma.github.io/Logging_0188/artfynd/A 35161-2022 artfynd.xlsx", "A 35161-2022")</f>
        <v/>
      </c>
      <c r="W164">
        <f>HYPERLINK("https://klasma.github.io/Logging_0188/kartor/A 35161-2022 karta.png", "A 35161-2022")</f>
        <v/>
      </c>
      <c r="Y164">
        <f>HYPERLINK("https://klasma.github.io/Logging_0188/klagomål/A 35161-2022 FSC-klagomål.docx", "A 35161-2022")</f>
        <v/>
      </c>
      <c r="Z164">
        <f>HYPERLINK("https://klasma.github.io/Logging_0188/klagomålsmail/A 35161-2022 FSC-klagomål mail.docx", "A 35161-2022")</f>
        <v/>
      </c>
      <c r="AA164">
        <f>HYPERLINK("https://klasma.github.io/Logging_0188/tillsyn/A 35161-2022 tillsynsbegäran.docx", "A 35161-2022")</f>
        <v/>
      </c>
      <c r="AB164">
        <f>HYPERLINK("https://klasma.github.io/Logging_0188/tillsynsmail/A 35161-2022 tillsynsbegäran mail.docx", "A 35161-2022")</f>
        <v/>
      </c>
    </row>
    <row r="165" ht="15" customHeight="1">
      <c r="A165" t="inlineStr">
        <is>
          <t>A 58993-2022</t>
        </is>
      </c>
      <c r="B165" t="inlineStr">
        <is>
          <t>avverkningsanmälan</t>
        </is>
      </c>
      <c r="C165" t="inlineStr">
        <is>
          <t>Föryngringsavverkning</t>
        </is>
      </c>
      <c r="D165" s="1" t="n">
        <v>44903</v>
      </c>
      <c r="E165" s="1" t="n">
        <v>46219</v>
      </c>
      <c r="F165" t="inlineStr">
        <is>
          <t>STOCKHOLMS LÄN</t>
        </is>
      </c>
      <c r="G165" t="inlineStr">
        <is>
          <t>NORRTÄLJE</t>
        </is>
      </c>
      <c r="I165" t="n">
        <v>2.3</v>
      </c>
      <c r="J165" t="n">
        <v>0</v>
      </c>
      <c r="K165" t="n">
        <v>0</v>
      </c>
      <c r="L165" t="n">
        <v>1</v>
      </c>
      <c r="M165" t="n">
        <v>0</v>
      </c>
      <c r="N165" t="n">
        <v>0</v>
      </c>
      <c r="O165" t="n">
        <v>0</v>
      </c>
      <c r="P165" t="n">
        <v>0</v>
      </c>
      <c r="Q165" t="n">
        <v>1</v>
      </c>
      <c r="R165" t="n">
        <v>0</v>
      </c>
      <c r="S165" t="n">
        <v>1</v>
      </c>
      <c r="T165" t="n">
        <v>1</v>
      </c>
      <c r="U165" s="2" t="inlineStr">
        <is>
          <t>Rödlånke</t>
        </is>
      </c>
      <c r="V165">
        <f>HYPERLINK("https://klasma.github.io/Logging_0188/artfynd/A 58993-2022 artfynd.xlsx", "A 58993-2022")</f>
        <v/>
      </c>
      <c r="W165">
        <f>HYPERLINK("https://klasma.github.io/Logging_0188/kartor/A 58993-2022 karta.png", "A 58993-2022")</f>
        <v/>
      </c>
      <c r="Y165">
        <f>HYPERLINK("https://klasma.github.io/Logging_0188/klagomål/A 58993-2022 FSC-klagomål.docx", "A 58993-2022")</f>
        <v/>
      </c>
      <c r="Z165">
        <f>HYPERLINK("https://klasma.github.io/Logging_0188/klagomålsmail/A 58993-2022 FSC-klagomål mail.docx", "A 58993-2022")</f>
        <v/>
      </c>
      <c r="AA165">
        <f>HYPERLINK("https://klasma.github.io/Logging_0188/tillsyn/A 58993-2022 tillsynsbegäran.docx", "A 58993-2022")</f>
        <v/>
      </c>
      <c r="AB165">
        <f>HYPERLINK("https://klasma.github.io/Logging_0188/tillsynsmail/A 58993-2022 tillsynsbegäran mail.docx", "A 58993-2022")</f>
        <v/>
      </c>
    </row>
    <row r="166" ht="15" customHeight="1">
      <c r="A166" t="inlineStr">
        <is>
          <t>A 51978-2023</t>
        </is>
      </c>
      <c r="B166" t="inlineStr">
        <is>
          <t>avverkningsanmälan</t>
        </is>
      </c>
      <c r="C166" t="inlineStr">
        <is>
          <t>Föryngringsavverkning</t>
        </is>
      </c>
      <c r="D166" s="1" t="n">
        <v>45223</v>
      </c>
      <c r="E166" s="1" t="n">
        <v>46219</v>
      </c>
      <c r="F166" t="inlineStr">
        <is>
          <t>STOCKHOLMS LÄN</t>
        </is>
      </c>
      <c r="G166" t="inlineStr">
        <is>
          <t>NORRTÄLJE</t>
        </is>
      </c>
      <c r="I166" t="n">
        <v>1.9</v>
      </c>
      <c r="J166" t="n">
        <v>1</v>
      </c>
      <c r="K166" t="n">
        <v>1</v>
      </c>
      <c r="L166" t="n">
        <v>0</v>
      </c>
      <c r="M166" t="n">
        <v>0</v>
      </c>
      <c r="N166" t="n">
        <v>0</v>
      </c>
      <c r="O166" t="n">
        <v>0</v>
      </c>
      <c r="P166" t="n">
        <v>0</v>
      </c>
      <c r="Q166" t="n">
        <v>0</v>
      </c>
      <c r="R166" t="n">
        <v>0</v>
      </c>
      <c r="S166" t="n">
        <v>1</v>
      </c>
      <c r="T166" t="n">
        <v>1</v>
      </c>
      <c r="U166" s="2" t="inlineStr">
        <is>
          <t>Skogsknipprot</t>
        </is>
      </c>
      <c r="V166">
        <f>HYPERLINK("https://klasma.github.io/Logging_0188/artfynd/A 51978-2023 artfynd.xlsx", "A 51978-2023")</f>
        <v/>
      </c>
      <c r="W166">
        <f>HYPERLINK("https://klasma.github.io/Logging_0188/kartor/A 51978-2023 karta.png", "A 51978-2023")</f>
        <v/>
      </c>
      <c r="Y166">
        <f>HYPERLINK("https://klasma.github.io/Logging_0188/klagomål/A 51978-2023 FSC-klagomål.docx", "A 51978-2023")</f>
        <v/>
      </c>
      <c r="Z166">
        <f>HYPERLINK("https://klasma.github.io/Logging_0188/klagomålsmail/A 51978-2023 FSC-klagomål mail.docx", "A 51978-2023")</f>
        <v/>
      </c>
      <c r="AA166">
        <f>HYPERLINK("https://klasma.github.io/Logging_0188/tillsyn/A 51978-2023 tillsynsbegäran.docx", "A 51978-2023")</f>
        <v/>
      </c>
      <c r="AB166">
        <f>HYPERLINK("https://klasma.github.io/Logging_0188/tillsynsmail/A 51978-2023 tillsynsbegäran mail.docx", "A 51978-2023")</f>
        <v/>
      </c>
    </row>
    <row r="167" ht="15" customHeight="1">
      <c r="A167" t="inlineStr">
        <is>
          <t>A 24245-2024</t>
        </is>
      </c>
      <c r="B167" t="inlineStr">
        <is>
          <t>avverkningsanmälan</t>
        </is>
      </c>
      <c r="C167" t="inlineStr">
        <is>
          <t>Föryngringsavverkning</t>
        </is>
      </c>
      <c r="D167" s="1" t="n">
        <v>45457</v>
      </c>
      <c r="E167" s="1" t="n">
        <v>46219</v>
      </c>
      <c r="F167" t="inlineStr">
        <is>
          <t>STOCKHOLMS LÄN</t>
        </is>
      </c>
      <c r="G167" t="inlineStr">
        <is>
          <t>NORRTÄLJE</t>
        </is>
      </c>
      <c r="H167" t="inlineStr">
        <is>
          <t>Holmen skog AB</t>
        </is>
      </c>
      <c r="I167" t="n">
        <v>3.4</v>
      </c>
      <c r="J167" t="n">
        <v>1</v>
      </c>
      <c r="K167" t="n">
        <v>0</v>
      </c>
      <c r="L167" t="n">
        <v>0</v>
      </c>
      <c r="M167" t="n">
        <v>1</v>
      </c>
      <c r="N167" t="n">
        <v>0</v>
      </c>
      <c r="O167" t="n">
        <v>0</v>
      </c>
      <c r="P167" t="n">
        <v>0</v>
      </c>
      <c r="Q167" t="n">
        <v>1</v>
      </c>
      <c r="R167" t="n">
        <v>1</v>
      </c>
      <c r="S167" t="n">
        <v>1</v>
      </c>
      <c r="T167" t="n">
        <v>1</v>
      </c>
      <c r="U167" s="2" t="inlineStr">
        <is>
          <t>Hällebräcka</t>
        </is>
      </c>
      <c r="V167">
        <f>HYPERLINK("https://klasma.github.io/Logging_0188/artfynd/A 24245-2024 artfynd.xlsx", "A 24245-2024")</f>
        <v/>
      </c>
      <c r="W167">
        <f>HYPERLINK("https://klasma.github.io/Logging_0188/kartor/A 24245-2024 karta.png", "A 24245-2024")</f>
        <v/>
      </c>
      <c r="Y167">
        <f>HYPERLINK("https://klasma.github.io/Logging_0188/klagomål/A 24245-2024 FSC-klagomål.docx", "A 24245-2024")</f>
        <v/>
      </c>
      <c r="Z167">
        <f>HYPERLINK("https://klasma.github.io/Logging_0188/klagomålsmail/A 24245-2024 FSC-klagomål mail.docx", "A 24245-2024")</f>
        <v/>
      </c>
      <c r="AA167">
        <f>HYPERLINK("https://klasma.github.io/Logging_0188/tillsyn/A 24245-2024 tillsynsbegäran.docx", "A 24245-2024")</f>
        <v/>
      </c>
      <c r="AB167">
        <f>HYPERLINK("https://klasma.github.io/Logging_0188/tillsynsmail/A 24245-2024 tillsynsbegäran mail.docx", "A 24245-2024")</f>
        <v/>
      </c>
    </row>
    <row r="168" ht="15" customHeight="1">
      <c r="A168" t="inlineStr">
        <is>
          <t>A 40861-2025</t>
        </is>
      </c>
      <c r="B168" t="inlineStr">
        <is>
          <t>avverkningsanmälan</t>
        </is>
      </c>
      <c r="C168" t="inlineStr">
        <is>
          <t>Föryngringsavverkning</t>
        </is>
      </c>
      <c r="D168" s="1" t="n">
        <v>45897</v>
      </c>
      <c r="E168" s="1" t="n">
        <v>46219</v>
      </c>
      <c r="F168" t="inlineStr">
        <is>
          <t>STOCKHOLMS LÄN</t>
        </is>
      </c>
      <c r="G168" t="inlineStr">
        <is>
          <t>NORRTÄLJE</t>
        </is>
      </c>
      <c r="I168" t="n">
        <v>4</v>
      </c>
      <c r="J168" t="n">
        <v>0</v>
      </c>
      <c r="K168" t="n">
        <v>0</v>
      </c>
      <c r="L168" t="n">
        <v>1</v>
      </c>
      <c r="M168" t="n">
        <v>0</v>
      </c>
      <c r="N168" t="n">
        <v>0</v>
      </c>
      <c r="O168" t="n">
        <v>0</v>
      </c>
      <c r="P168" t="n">
        <v>0</v>
      </c>
      <c r="Q168" t="n">
        <v>1</v>
      </c>
      <c r="R168" t="n">
        <v>0</v>
      </c>
      <c r="S168" t="n">
        <v>1</v>
      </c>
      <c r="T168" t="n">
        <v>2</v>
      </c>
      <c r="U168" s="2" t="inlineStr">
        <is>
          <t>Skogsklocka</t>
        </is>
      </c>
      <c r="V168">
        <f>HYPERLINK("https://klasma.github.io/Logging_0188/artfynd/A 40861-2025 artfynd.xlsx", "A 40861-2025")</f>
        <v/>
      </c>
      <c r="W168">
        <f>HYPERLINK("https://klasma.github.io/Logging_0188/kartor/A 40861-2025 karta.png", "A 40861-2025")</f>
        <v/>
      </c>
      <c r="Y168">
        <f>HYPERLINK("https://klasma.github.io/Logging_0188/klagomål/A 40861-2025 FSC-klagomål.docx", "A 40861-2025")</f>
        <v/>
      </c>
      <c r="Z168">
        <f>HYPERLINK("https://klasma.github.io/Logging_0188/klagomålsmail/A 40861-2025 FSC-klagomål mail.docx", "A 40861-2025")</f>
        <v/>
      </c>
      <c r="AA168">
        <f>HYPERLINK("https://klasma.github.io/Logging_0188/tillsyn/A 40861-2025 tillsynsbegäran.docx", "A 40861-2025")</f>
        <v/>
      </c>
      <c r="AB168">
        <f>HYPERLINK("https://klasma.github.io/Logging_0188/tillsynsmail/A 40861-2025 tillsynsbegäran mail.docx", "A 40861-2025")</f>
        <v/>
      </c>
    </row>
    <row r="169" ht="15" customHeight="1">
      <c r="A169" t="inlineStr">
        <is>
          <t>A 52260-2022</t>
        </is>
      </c>
      <c r="B169" t="inlineStr">
        <is>
          <t>avverkningsanmälan</t>
        </is>
      </c>
      <c r="C169" t="inlineStr">
        <is>
          <t>Avverkning för annat ändamål</t>
        </is>
      </c>
      <c r="D169" s="1" t="n">
        <v>44869</v>
      </c>
      <c r="E169" s="1" t="n">
        <v>46219</v>
      </c>
      <c r="F169" t="inlineStr">
        <is>
          <t>STOCKHOLMS LÄN</t>
        </is>
      </c>
      <c r="G169" t="inlineStr">
        <is>
          <t>NORRTÄLJE</t>
        </is>
      </c>
      <c r="I169" t="n">
        <v>3.1</v>
      </c>
      <c r="J169" t="n">
        <v>1</v>
      </c>
      <c r="K169" t="n">
        <v>0</v>
      </c>
      <c r="L169" t="n">
        <v>0</v>
      </c>
      <c r="M169" t="n">
        <v>0</v>
      </c>
      <c r="N169" t="n">
        <v>0</v>
      </c>
      <c r="O169" t="n">
        <v>0</v>
      </c>
      <c r="P169" t="n">
        <v>0</v>
      </c>
      <c r="Q169" t="n">
        <v>0</v>
      </c>
      <c r="R169" t="n">
        <v>0</v>
      </c>
      <c r="S169" t="n">
        <v>1</v>
      </c>
      <c r="T169" t="n">
        <v>1</v>
      </c>
      <c r="U169" s="2" t="inlineStr">
        <is>
          <t>Blåsippa</t>
        </is>
      </c>
      <c r="V169">
        <f>HYPERLINK("https://klasma.github.io/Logging_0188/artfynd/A 52260-2022 artfynd.xlsx", "A 52260-2022")</f>
        <v/>
      </c>
      <c r="W169">
        <f>HYPERLINK("https://klasma.github.io/Logging_0188/kartor/A 52260-2022 karta.png", "A 52260-2022")</f>
        <v/>
      </c>
      <c r="Y169">
        <f>HYPERLINK("https://klasma.github.io/Logging_0188/klagomål/A 52260-2022 FSC-klagomål.docx", "A 52260-2022")</f>
        <v/>
      </c>
      <c r="Z169">
        <f>HYPERLINK("https://klasma.github.io/Logging_0188/klagomålsmail/A 52260-2022 FSC-klagomål mail.docx", "A 52260-2022")</f>
        <v/>
      </c>
      <c r="AA169">
        <f>HYPERLINK("https://klasma.github.io/Logging_0188/tillsyn/A 52260-2022 tillsynsbegäran.docx", "A 52260-2022")</f>
        <v/>
      </c>
      <c r="AB169">
        <f>HYPERLINK("https://klasma.github.io/Logging_0188/tillsynsmail/A 52260-2022 tillsynsbegäran mail.docx", "A 52260-2022")</f>
        <v/>
      </c>
    </row>
    <row r="170" ht="15" customHeight="1">
      <c r="A170" t="inlineStr">
        <is>
          <t>A 23146-2024</t>
        </is>
      </c>
      <c r="B170" t="inlineStr">
        <is>
          <t>avverkningsanmälan</t>
        </is>
      </c>
      <c r="C170" t="inlineStr">
        <is>
          <t>Föryngringsavverkning</t>
        </is>
      </c>
      <c r="D170" s="1" t="n">
        <v>45450</v>
      </c>
      <c r="E170" s="1" t="n">
        <v>46219</v>
      </c>
      <c r="F170" t="inlineStr">
        <is>
          <t>STOCKHOLMS LÄN</t>
        </is>
      </c>
      <c r="G170" t="inlineStr">
        <is>
          <t>NORRTÄLJE</t>
        </is>
      </c>
      <c r="H170" t="inlineStr">
        <is>
          <t>Kommuner</t>
        </is>
      </c>
      <c r="I170" t="n">
        <v>6</v>
      </c>
      <c r="J170" t="n">
        <v>0</v>
      </c>
      <c r="K170" t="n">
        <v>0</v>
      </c>
      <c r="L170" t="n">
        <v>1</v>
      </c>
      <c r="M170" t="n">
        <v>0</v>
      </c>
      <c r="N170" t="n">
        <v>0</v>
      </c>
      <c r="O170" t="n">
        <v>0</v>
      </c>
      <c r="P170" t="n">
        <v>0</v>
      </c>
      <c r="Q170" t="n">
        <v>1</v>
      </c>
      <c r="R170" t="n">
        <v>0</v>
      </c>
      <c r="S170" t="n">
        <v>1</v>
      </c>
      <c r="T170" t="n">
        <v>1</v>
      </c>
      <c r="U170" s="2" t="inlineStr">
        <is>
          <t>Motaggsvamp</t>
        </is>
      </c>
      <c r="V170">
        <f>HYPERLINK("https://klasma.github.io/Logging_0188/artfynd/A 23146-2024 artfynd.xlsx", "A 23146-2024")</f>
        <v/>
      </c>
      <c r="W170">
        <f>HYPERLINK("https://klasma.github.io/Logging_0188/kartor/A 23146-2024 karta.png", "A 23146-2024")</f>
        <v/>
      </c>
      <c r="Y170">
        <f>HYPERLINK("https://klasma.github.io/Logging_0188/klagomål/A 23146-2024 FSC-klagomål.docx", "A 23146-2024")</f>
        <v/>
      </c>
      <c r="Z170">
        <f>HYPERLINK("https://klasma.github.io/Logging_0188/klagomålsmail/A 23146-2024 FSC-klagomål mail.docx", "A 23146-2024")</f>
        <v/>
      </c>
      <c r="AA170">
        <f>HYPERLINK("https://klasma.github.io/Logging_0188/tillsyn/A 23146-2024 tillsynsbegäran.docx", "A 23146-2024")</f>
        <v/>
      </c>
      <c r="AB170">
        <f>HYPERLINK("https://klasma.github.io/Logging_0188/tillsynsmail/A 23146-2024 tillsynsbegäran mail.docx", "A 23146-2024")</f>
        <v/>
      </c>
    </row>
    <row r="171" ht="15" customHeight="1">
      <c r="A171" t="inlineStr">
        <is>
          <t>A 27538-2024</t>
        </is>
      </c>
      <c r="B171" t="inlineStr">
        <is>
          <t>avverkningsanmälan</t>
        </is>
      </c>
      <c r="C171" t="inlineStr">
        <is>
          <t>Föryngringsavverkning</t>
        </is>
      </c>
      <c r="D171" s="1" t="n">
        <v>45474</v>
      </c>
      <c r="E171" s="1" t="n">
        <v>46219</v>
      </c>
      <c r="F171" t="inlineStr">
        <is>
          <t>STOCKHOLMS LÄN</t>
        </is>
      </c>
      <c r="G171" t="inlineStr">
        <is>
          <t>NORRTÄLJE</t>
        </is>
      </c>
      <c r="I171" t="n">
        <v>1.5</v>
      </c>
      <c r="J171" t="n">
        <v>1</v>
      </c>
      <c r="K171" t="n">
        <v>1</v>
      </c>
      <c r="L171" t="n">
        <v>0</v>
      </c>
      <c r="M171" t="n">
        <v>0</v>
      </c>
      <c r="N171" t="n">
        <v>0</v>
      </c>
      <c r="O171" t="n">
        <v>0</v>
      </c>
      <c r="P171" t="n">
        <v>0</v>
      </c>
      <c r="Q171" t="n">
        <v>0</v>
      </c>
      <c r="R171" t="n">
        <v>0</v>
      </c>
      <c r="S171" t="n">
        <v>1</v>
      </c>
      <c r="T171" t="n">
        <v>1</v>
      </c>
      <c r="U171" s="2" t="inlineStr">
        <is>
          <t>Skogsknipprot</t>
        </is>
      </c>
      <c r="V171">
        <f>HYPERLINK("https://klasma.github.io/Logging_0188/artfynd/A 27538-2024 artfynd.xlsx", "A 27538-2024")</f>
        <v/>
      </c>
      <c r="W171">
        <f>HYPERLINK("https://klasma.github.io/Logging_0188/kartor/A 27538-2024 karta.png", "A 27538-2024")</f>
        <v/>
      </c>
      <c r="Y171">
        <f>HYPERLINK("https://klasma.github.io/Logging_0188/klagomål/A 27538-2024 FSC-klagomål.docx", "A 27538-2024")</f>
        <v/>
      </c>
      <c r="Z171">
        <f>HYPERLINK("https://klasma.github.io/Logging_0188/klagomålsmail/A 27538-2024 FSC-klagomål mail.docx", "A 27538-2024")</f>
        <v/>
      </c>
      <c r="AA171">
        <f>HYPERLINK("https://klasma.github.io/Logging_0188/tillsyn/A 27538-2024 tillsynsbegäran.docx", "A 27538-2024")</f>
        <v/>
      </c>
      <c r="AB171">
        <f>HYPERLINK("https://klasma.github.io/Logging_0188/tillsynsmail/A 27538-2024 tillsynsbegäran mail.docx", "A 27538-2024")</f>
        <v/>
      </c>
    </row>
    <row r="172" ht="15" customHeight="1">
      <c r="A172" t="inlineStr">
        <is>
          <t>A 4860-2022</t>
        </is>
      </c>
      <c r="B172" t="inlineStr">
        <is>
          <t>avverkningsanmälan</t>
        </is>
      </c>
      <c r="C172" t="inlineStr">
        <is>
          <t>Föryngringsavverkning</t>
        </is>
      </c>
      <c r="D172" s="1" t="n">
        <v>44592</v>
      </c>
      <c r="E172" s="1" t="n">
        <v>46219</v>
      </c>
      <c r="F172" t="inlineStr">
        <is>
          <t>STOCKHOLMS LÄN</t>
        </is>
      </c>
      <c r="G172" t="inlineStr">
        <is>
          <t>NORRTÄLJE</t>
        </is>
      </c>
      <c r="I172" t="n">
        <v>22.3</v>
      </c>
      <c r="J172" t="n">
        <v>0</v>
      </c>
      <c r="K172" t="n">
        <v>0</v>
      </c>
      <c r="L172" t="n">
        <v>0</v>
      </c>
      <c r="M172" t="n">
        <v>1</v>
      </c>
      <c r="N172" t="n">
        <v>0</v>
      </c>
      <c r="O172" t="n">
        <v>0</v>
      </c>
      <c r="P172" t="n">
        <v>0</v>
      </c>
      <c r="Q172" t="n">
        <v>1</v>
      </c>
      <c r="R172" t="n">
        <v>1</v>
      </c>
      <c r="S172" t="n">
        <v>1</v>
      </c>
      <c r="T172" t="n">
        <v>1</v>
      </c>
      <c r="U172" s="2" t="inlineStr">
        <is>
          <t>Igelkott</t>
        </is>
      </c>
      <c r="V172">
        <f>HYPERLINK("https://klasma.github.io/Logging_0188/artfynd/A 4860-2022 artfynd.xlsx", "A 4860-2022")</f>
        <v/>
      </c>
      <c r="W172">
        <f>HYPERLINK("https://klasma.github.io/Logging_0188/kartor/A 4860-2022 karta.png", "A 4860-2022")</f>
        <v/>
      </c>
      <c r="Y172">
        <f>HYPERLINK("https://klasma.github.io/Logging_0188/klagomål/A 4860-2022 FSC-klagomål.docx", "A 4860-2022")</f>
        <v/>
      </c>
      <c r="Z172">
        <f>HYPERLINK("https://klasma.github.io/Logging_0188/klagomålsmail/A 4860-2022 FSC-klagomål mail.docx", "A 4860-2022")</f>
        <v/>
      </c>
      <c r="AA172">
        <f>HYPERLINK("https://klasma.github.io/Logging_0188/tillsyn/A 4860-2022 tillsynsbegäran.docx", "A 4860-2022")</f>
        <v/>
      </c>
      <c r="AB172">
        <f>HYPERLINK("https://klasma.github.io/Logging_0188/tillsynsmail/A 4860-2022 tillsynsbegäran mail.docx", "A 4860-2022")</f>
        <v/>
      </c>
    </row>
    <row r="173" ht="15" customHeight="1">
      <c r="A173" t="inlineStr">
        <is>
          <t>A 48131-2023</t>
        </is>
      </c>
      <c r="B173" t="inlineStr">
        <is>
          <t>avverkningsanmälan</t>
        </is>
      </c>
      <c r="C173" t="inlineStr">
        <is>
          <t>Föryngringsavverkning</t>
        </is>
      </c>
      <c r="D173" s="1" t="n">
        <v>45205</v>
      </c>
      <c r="E173" s="1" t="n">
        <v>46219</v>
      </c>
      <c r="F173" t="inlineStr">
        <is>
          <t>STOCKHOLMS LÄN</t>
        </is>
      </c>
      <c r="G173" t="inlineStr">
        <is>
          <t>NORRTÄLJE</t>
        </is>
      </c>
      <c r="I173" t="n">
        <v>2.3</v>
      </c>
      <c r="J173" t="n">
        <v>0</v>
      </c>
      <c r="K173" t="n">
        <v>0</v>
      </c>
      <c r="L173" t="n">
        <v>1</v>
      </c>
      <c r="M173" t="n">
        <v>0</v>
      </c>
      <c r="N173" t="n">
        <v>0</v>
      </c>
      <c r="O173" t="n">
        <v>0</v>
      </c>
      <c r="P173" t="n">
        <v>0</v>
      </c>
      <c r="Q173" t="n">
        <v>1</v>
      </c>
      <c r="R173" t="n">
        <v>0</v>
      </c>
      <c r="S173" t="n">
        <v>1</v>
      </c>
      <c r="T173" t="n">
        <v>1</v>
      </c>
      <c r="U173" s="2" t="inlineStr">
        <is>
          <t>Slåtterfibbla</t>
        </is>
      </c>
      <c r="V173">
        <f>HYPERLINK("https://klasma.github.io/Logging_0188/artfynd/A 48131-2023 artfynd.xlsx", "A 48131-2023")</f>
        <v/>
      </c>
      <c r="W173">
        <f>HYPERLINK("https://klasma.github.io/Logging_0188/kartor/A 48131-2023 karta.png", "A 48131-2023")</f>
        <v/>
      </c>
      <c r="Y173">
        <f>HYPERLINK("https://klasma.github.io/Logging_0188/klagomål/A 48131-2023 FSC-klagomål.docx", "A 48131-2023")</f>
        <v/>
      </c>
      <c r="Z173">
        <f>HYPERLINK("https://klasma.github.io/Logging_0188/klagomålsmail/A 48131-2023 FSC-klagomål mail.docx", "A 48131-2023")</f>
        <v/>
      </c>
      <c r="AA173">
        <f>HYPERLINK("https://klasma.github.io/Logging_0188/tillsyn/A 48131-2023 tillsynsbegäran.docx", "A 48131-2023")</f>
        <v/>
      </c>
      <c r="AB173">
        <f>HYPERLINK("https://klasma.github.io/Logging_0188/tillsynsmail/A 48131-2023 tillsynsbegäran mail.docx", "A 48131-2023")</f>
        <v/>
      </c>
    </row>
    <row r="174" ht="15" customHeight="1">
      <c r="A174" t="inlineStr">
        <is>
          <t>A 4385-2023</t>
        </is>
      </c>
      <c r="B174" t="inlineStr">
        <is>
          <t>avverkningsanmälan</t>
        </is>
      </c>
      <c r="C174" t="inlineStr">
        <is>
          <t>Föryngringsavverkning</t>
        </is>
      </c>
      <c r="D174" s="1" t="n">
        <v>44955</v>
      </c>
      <c r="E174" s="1" t="n">
        <v>46219</v>
      </c>
      <c r="F174" t="inlineStr">
        <is>
          <t>STOCKHOLMS LÄN</t>
        </is>
      </c>
      <c r="G174" t="inlineStr">
        <is>
          <t>NORRTÄLJE</t>
        </is>
      </c>
      <c r="I174" t="n">
        <v>7.8</v>
      </c>
      <c r="J174" t="n">
        <v>1</v>
      </c>
      <c r="K174" t="n">
        <v>1</v>
      </c>
      <c r="L174" t="n">
        <v>0</v>
      </c>
      <c r="M174" t="n">
        <v>0</v>
      </c>
      <c r="N174" t="n">
        <v>0</v>
      </c>
      <c r="O174" t="n">
        <v>0</v>
      </c>
      <c r="P174" t="n">
        <v>0</v>
      </c>
      <c r="Q174" t="n">
        <v>0</v>
      </c>
      <c r="R174" t="n">
        <v>0</v>
      </c>
      <c r="S174" t="n">
        <v>1</v>
      </c>
      <c r="T174" t="n">
        <v>2</v>
      </c>
      <c r="U174" s="2" t="inlineStr">
        <is>
          <t>Skogsknipprot</t>
        </is>
      </c>
      <c r="V174">
        <f>HYPERLINK("https://klasma.github.io/Logging_0188/artfynd/A 4385-2023 artfynd.xlsx", "A 4385-2023")</f>
        <v/>
      </c>
      <c r="W174">
        <f>HYPERLINK("https://klasma.github.io/Logging_0188/kartor/A 4385-2023 karta.png", "A 4385-2023")</f>
        <v/>
      </c>
      <c r="Y174">
        <f>HYPERLINK("https://klasma.github.io/Logging_0188/klagomål/A 4385-2023 FSC-klagomål.docx", "A 4385-2023")</f>
        <v/>
      </c>
      <c r="Z174">
        <f>HYPERLINK("https://klasma.github.io/Logging_0188/klagomålsmail/A 4385-2023 FSC-klagomål mail.docx", "A 4385-2023")</f>
        <v/>
      </c>
      <c r="AA174">
        <f>HYPERLINK("https://klasma.github.io/Logging_0188/tillsyn/A 4385-2023 tillsynsbegäran.docx", "A 4385-2023")</f>
        <v/>
      </c>
      <c r="AB174">
        <f>HYPERLINK("https://klasma.github.io/Logging_0188/tillsynsmail/A 4385-2023 tillsynsbegäran mail.docx", "A 4385-2023")</f>
        <v/>
      </c>
    </row>
    <row r="175" ht="15" customHeight="1">
      <c r="A175" t="inlineStr">
        <is>
          <t>A 19025-2025</t>
        </is>
      </c>
      <c r="B175" t="inlineStr">
        <is>
          <t>avverkningsanmälan</t>
        </is>
      </c>
      <c r="C175" t="inlineStr">
        <is>
          <t>Föryngringsavverkning</t>
        </is>
      </c>
      <c r="D175" s="1" t="n">
        <v>45764</v>
      </c>
      <c r="E175" s="1" t="n">
        <v>46219</v>
      </c>
      <c r="F175" t="inlineStr">
        <is>
          <t>STOCKHOLMS LÄN</t>
        </is>
      </c>
      <c r="G175" t="inlineStr">
        <is>
          <t>NORRTÄLJE</t>
        </is>
      </c>
      <c r="I175" t="n">
        <v>1.2</v>
      </c>
      <c r="J175" t="n">
        <v>0</v>
      </c>
      <c r="K175" t="n">
        <v>1</v>
      </c>
      <c r="L175" t="n">
        <v>0</v>
      </c>
      <c r="M175" t="n">
        <v>0</v>
      </c>
      <c r="N175" t="n">
        <v>0</v>
      </c>
      <c r="O175" t="n">
        <v>0</v>
      </c>
      <c r="P175" t="n">
        <v>0</v>
      </c>
      <c r="Q175" t="n">
        <v>0</v>
      </c>
      <c r="R175" t="n">
        <v>0</v>
      </c>
      <c r="S175" t="n">
        <v>1</v>
      </c>
      <c r="T175" t="n">
        <v>1</v>
      </c>
      <c r="U175" s="2" t="inlineStr">
        <is>
          <t>Granbarkgnagare</t>
        </is>
      </c>
      <c r="V175">
        <f>HYPERLINK("https://klasma.github.io/Logging_0188/artfynd/A 19025-2025 artfynd.xlsx", "A 19025-2025")</f>
        <v/>
      </c>
      <c r="W175">
        <f>HYPERLINK("https://klasma.github.io/Logging_0188/kartor/A 19025-2025 karta.png", "A 19025-2025")</f>
        <v/>
      </c>
      <c r="Y175">
        <f>HYPERLINK("https://klasma.github.io/Logging_0188/klagomål/A 19025-2025 FSC-klagomål.docx", "A 19025-2025")</f>
        <v/>
      </c>
      <c r="Z175">
        <f>HYPERLINK("https://klasma.github.io/Logging_0188/klagomålsmail/A 19025-2025 FSC-klagomål mail.docx", "A 19025-2025")</f>
        <v/>
      </c>
      <c r="AA175">
        <f>HYPERLINK("https://klasma.github.io/Logging_0188/tillsyn/A 19025-2025 tillsynsbegäran.docx", "A 19025-2025")</f>
        <v/>
      </c>
      <c r="AB175">
        <f>HYPERLINK("https://klasma.github.io/Logging_0188/tillsynsmail/A 19025-2025 tillsynsbegäran mail.docx", "A 19025-2025")</f>
        <v/>
      </c>
    </row>
    <row r="176" ht="15" customHeight="1">
      <c r="A176" t="inlineStr">
        <is>
          <t>A 24330-2023</t>
        </is>
      </c>
      <c r="B176" t="inlineStr">
        <is>
          <t>avverkningsanmälan</t>
        </is>
      </c>
      <c r="C176" t="inlineStr">
        <is>
          <t>Föryngringsavverkning</t>
        </is>
      </c>
      <c r="D176" s="1" t="n">
        <v>45081</v>
      </c>
      <c r="E176" s="1" t="n">
        <v>46219</v>
      </c>
      <c r="F176" t="inlineStr">
        <is>
          <t>STOCKHOLMS LÄN</t>
        </is>
      </c>
      <c r="G176" t="inlineStr">
        <is>
          <t>NORRTÄLJE</t>
        </is>
      </c>
      <c r="I176" t="n">
        <v>5</v>
      </c>
      <c r="J176" t="n">
        <v>1</v>
      </c>
      <c r="K176" t="n">
        <v>0</v>
      </c>
      <c r="L176" t="n">
        <v>1</v>
      </c>
      <c r="M176" t="n">
        <v>0</v>
      </c>
      <c r="N176" t="n">
        <v>0</v>
      </c>
      <c r="O176" t="n">
        <v>0</v>
      </c>
      <c r="P176" t="n">
        <v>0</v>
      </c>
      <c r="Q176" t="n">
        <v>1</v>
      </c>
      <c r="R176" t="n">
        <v>0</v>
      </c>
      <c r="S176" t="n">
        <v>1</v>
      </c>
      <c r="T176" t="n">
        <v>1</v>
      </c>
      <c r="U176" s="2" t="inlineStr">
        <is>
          <t>Mindre hackspett</t>
        </is>
      </c>
      <c r="V176">
        <f>HYPERLINK("https://klasma.github.io/Logging_0188/artfynd/A 24330-2023 artfynd.xlsx", "A 24330-2023")</f>
        <v/>
      </c>
      <c r="W176">
        <f>HYPERLINK("https://klasma.github.io/Logging_0188/kartor/A 24330-2023 karta.png", "A 24330-2023")</f>
        <v/>
      </c>
      <c r="Y176">
        <f>HYPERLINK("https://klasma.github.io/Logging_0188/klagomål/A 24330-2023 FSC-klagomål.docx", "A 24330-2023")</f>
        <v/>
      </c>
      <c r="Z176">
        <f>HYPERLINK("https://klasma.github.io/Logging_0188/klagomålsmail/A 24330-2023 FSC-klagomål mail.docx", "A 24330-2023")</f>
        <v/>
      </c>
      <c r="AA176">
        <f>HYPERLINK("https://klasma.github.io/Logging_0188/tillsyn/A 24330-2023 tillsynsbegäran.docx", "A 24330-2023")</f>
        <v/>
      </c>
      <c r="AB176">
        <f>HYPERLINK("https://klasma.github.io/Logging_0188/tillsynsmail/A 24330-2023 tillsynsbegäran mail.docx", "A 24330-2023")</f>
        <v/>
      </c>
      <c r="AC176">
        <f>HYPERLINK("https://klasma.github.io/Logging_0188/fåglar/A 24330-2023 prioriterade fågelarter.docx", "A 24330-2023")</f>
        <v/>
      </c>
    </row>
    <row r="177" ht="15" customHeight="1">
      <c r="A177" t="inlineStr">
        <is>
          <t>A 30290-2022</t>
        </is>
      </c>
      <c r="B177" t="inlineStr">
        <is>
          <t>avverkningsanmälan</t>
        </is>
      </c>
      <c r="C177" t="inlineStr">
        <is>
          <t>Föryngringsavverkning</t>
        </is>
      </c>
      <c r="D177" s="1" t="n">
        <v>44760</v>
      </c>
      <c r="E177" s="1" t="n">
        <v>46219</v>
      </c>
      <c r="F177" t="inlineStr">
        <is>
          <t>STOCKHOLMS LÄN</t>
        </is>
      </c>
      <c r="G177" t="inlineStr">
        <is>
          <t>NORRTÄLJE</t>
        </is>
      </c>
      <c r="I177" t="n">
        <v>4.8</v>
      </c>
      <c r="J177" t="n">
        <v>1</v>
      </c>
      <c r="K177" t="n">
        <v>1</v>
      </c>
      <c r="L177" t="n">
        <v>0</v>
      </c>
      <c r="M177" t="n">
        <v>0</v>
      </c>
      <c r="N177" t="n">
        <v>0</v>
      </c>
      <c r="O177" t="n">
        <v>0</v>
      </c>
      <c r="P177" t="n">
        <v>0</v>
      </c>
      <c r="Q177" t="n">
        <v>0</v>
      </c>
      <c r="R177" t="n">
        <v>0</v>
      </c>
      <c r="S177" t="n">
        <v>1</v>
      </c>
      <c r="T177" t="n">
        <v>1</v>
      </c>
      <c r="U177" s="2" t="inlineStr">
        <is>
          <t>Skogsknipprot</t>
        </is>
      </c>
      <c r="V177">
        <f>HYPERLINK("https://klasma.github.io/Logging_0188/artfynd/A 30290-2022 artfynd.xlsx", "A 30290-2022")</f>
        <v/>
      </c>
      <c r="W177">
        <f>HYPERLINK("https://klasma.github.io/Logging_0188/kartor/A 30290-2022 karta.png", "A 30290-2022")</f>
        <v/>
      </c>
      <c r="Y177">
        <f>HYPERLINK("https://klasma.github.io/Logging_0188/klagomål/A 30290-2022 FSC-klagomål.docx", "A 30290-2022")</f>
        <v/>
      </c>
      <c r="Z177">
        <f>HYPERLINK("https://klasma.github.io/Logging_0188/klagomålsmail/A 30290-2022 FSC-klagomål mail.docx", "A 30290-2022")</f>
        <v/>
      </c>
      <c r="AA177">
        <f>HYPERLINK("https://klasma.github.io/Logging_0188/tillsyn/A 30290-2022 tillsynsbegäran.docx", "A 30290-2022")</f>
        <v/>
      </c>
      <c r="AB177">
        <f>HYPERLINK("https://klasma.github.io/Logging_0188/tillsynsmail/A 30290-2022 tillsynsbegäran mail.docx", "A 30290-2022")</f>
        <v/>
      </c>
    </row>
    <row r="178" ht="15" customHeight="1">
      <c r="A178" t="inlineStr">
        <is>
          <t>A 29650-2026</t>
        </is>
      </c>
      <c r="B178" t="inlineStr">
        <is>
          <t>avverkningsanmälan</t>
        </is>
      </c>
      <c r="C178" t="inlineStr">
        <is>
          <t>Föryngringsavverkning</t>
        </is>
      </c>
      <c r="D178" s="1" t="n">
        <v>46204</v>
      </c>
      <c r="E178" s="1" t="n">
        <v>46219</v>
      </c>
      <c r="F178" t="inlineStr">
        <is>
          <t>STOCKHOLMS LÄN</t>
        </is>
      </c>
      <c r="G178" t="inlineStr">
        <is>
          <t>NORRTÄLJE</t>
        </is>
      </c>
      <c r="H178" t="inlineStr">
        <is>
          <t>Sveaskog</t>
        </is>
      </c>
      <c r="I178" t="n">
        <v>1.2</v>
      </c>
      <c r="J178" t="n">
        <v>1</v>
      </c>
      <c r="K178" t="n">
        <v>0</v>
      </c>
      <c r="L178" t="n">
        <v>0</v>
      </c>
      <c r="M178" t="n">
        <v>0</v>
      </c>
      <c r="N178" t="n">
        <v>0</v>
      </c>
      <c r="O178" t="n">
        <v>0</v>
      </c>
      <c r="P178" t="n">
        <v>0</v>
      </c>
      <c r="Q178" t="n">
        <v>0</v>
      </c>
      <c r="R178" t="n">
        <v>0</v>
      </c>
      <c r="S178" t="n">
        <v>1</v>
      </c>
      <c r="T178" t="n">
        <v>1</v>
      </c>
      <c r="U178" s="2" t="inlineStr">
        <is>
          <t>Slaguggla</t>
        </is>
      </c>
      <c r="V178">
        <f>HYPERLINK("https://klasma.github.io/Logging_0188/artfynd/A 29650-2026 artfynd.xlsx", "A 29650-2026")</f>
        <v/>
      </c>
      <c r="W178">
        <f>HYPERLINK("https://klasma.github.io/Logging_0188/kartor/A 29650-2026 karta.png", "A 29650-2026")</f>
        <v/>
      </c>
      <c r="Y178">
        <f>HYPERLINK("https://klasma.github.io/Logging_0188/klagomål/A 29650-2026 FSC-klagomål.docx", "A 29650-2026")</f>
        <v/>
      </c>
      <c r="Z178">
        <f>HYPERLINK("https://klasma.github.io/Logging_0188/klagomålsmail/A 29650-2026 FSC-klagomål mail.docx", "A 29650-2026")</f>
        <v/>
      </c>
      <c r="AA178">
        <f>HYPERLINK("https://klasma.github.io/Logging_0188/tillsyn/A 29650-2026 tillsynsbegäran.docx", "A 29650-2026")</f>
        <v/>
      </c>
      <c r="AB178">
        <f>HYPERLINK("https://klasma.github.io/Logging_0188/tillsynsmail/A 29650-2026 tillsynsbegäran mail.docx", "A 29650-2026")</f>
        <v/>
      </c>
      <c r="AC178">
        <f>HYPERLINK("https://klasma.github.io/Logging_0188/fåglar/A 29650-2026 prioriterade fågelarter.docx", "A 29650-2026")</f>
        <v/>
      </c>
    </row>
    <row r="179" ht="15" customHeight="1">
      <c r="A179" t="inlineStr">
        <is>
          <t>A 52529-2025</t>
        </is>
      </c>
      <c r="B179" t="inlineStr">
        <is>
          <t>avverkningsanmälan</t>
        </is>
      </c>
      <c r="C179" t="inlineStr">
        <is>
          <t>Föryngringsavverkning</t>
        </is>
      </c>
      <c r="D179" s="1" t="n">
        <v>45954</v>
      </c>
      <c r="E179" s="1" t="n">
        <v>46219</v>
      </c>
      <c r="F179" t="inlineStr">
        <is>
          <t>STOCKHOLMS LÄN</t>
        </is>
      </c>
      <c r="G179" t="inlineStr">
        <is>
          <t>NORRTÄLJE</t>
        </is>
      </c>
      <c r="H179" t="inlineStr">
        <is>
          <t>Sveaskog</t>
        </is>
      </c>
      <c r="I179" t="n">
        <v>7.8</v>
      </c>
      <c r="J179" t="n">
        <v>1</v>
      </c>
      <c r="K179" t="n">
        <v>0</v>
      </c>
      <c r="L179" t="n">
        <v>0</v>
      </c>
      <c r="M179" t="n">
        <v>0</v>
      </c>
      <c r="N179" t="n">
        <v>1</v>
      </c>
      <c r="O179" t="n">
        <v>0</v>
      </c>
      <c r="P179" t="n">
        <v>0</v>
      </c>
      <c r="Q179" t="n">
        <v>1</v>
      </c>
      <c r="R179" t="n">
        <v>1</v>
      </c>
      <c r="S179" t="n">
        <v>1</v>
      </c>
      <c r="T179" t="n">
        <v>1</v>
      </c>
      <c r="U179" s="2" t="inlineStr">
        <is>
          <t>Pärluggla</t>
        </is>
      </c>
      <c r="V179">
        <f>HYPERLINK("https://klasma.github.io/Logging_0188/artfynd/A 52529-2025 artfynd.xlsx", "A 52529-2025")</f>
        <v/>
      </c>
      <c r="W179">
        <f>HYPERLINK("https://klasma.github.io/Logging_0188/kartor/A 52529-2025 karta.png", "A 52529-2025")</f>
        <v/>
      </c>
      <c r="Y179">
        <f>HYPERLINK("https://klasma.github.io/Logging_0188/klagomål/A 52529-2025 FSC-klagomål.docx", "A 52529-2025")</f>
        <v/>
      </c>
      <c r="Z179">
        <f>HYPERLINK("https://klasma.github.io/Logging_0188/klagomålsmail/A 52529-2025 FSC-klagomål mail.docx", "A 52529-2025")</f>
        <v/>
      </c>
      <c r="AA179">
        <f>HYPERLINK("https://klasma.github.io/Logging_0188/tillsyn/A 52529-2025 tillsynsbegäran.docx", "A 52529-2025")</f>
        <v/>
      </c>
      <c r="AB179">
        <f>HYPERLINK("https://klasma.github.io/Logging_0188/tillsynsmail/A 52529-2025 tillsynsbegäran mail.docx", "A 52529-2025")</f>
        <v/>
      </c>
      <c r="AC179">
        <f>HYPERLINK("https://klasma.github.io/Logging_0188/fåglar/A 52529-2025 prioriterade fågelarter.docx", "A 52529-2025")</f>
        <v/>
      </c>
    </row>
    <row r="180" ht="15" customHeight="1">
      <c r="A180" t="inlineStr">
        <is>
          <t>A 28816-2023</t>
        </is>
      </c>
      <c r="B180" t="inlineStr">
        <is>
          <t>avverkningsanmälan</t>
        </is>
      </c>
      <c r="C180" t="inlineStr">
        <is>
          <t>Föryngringsavverkning</t>
        </is>
      </c>
      <c r="D180" s="1" t="n">
        <v>45104</v>
      </c>
      <c r="E180" s="1" t="n">
        <v>46219</v>
      </c>
      <c r="F180" t="inlineStr">
        <is>
          <t>STOCKHOLMS LÄN</t>
        </is>
      </c>
      <c r="G180" t="inlineStr">
        <is>
          <t>NORRTÄLJE</t>
        </is>
      </c>
      <c r="H180" t="inlineStr">
        <is>
          <t>Kommuner</t>
        </is>
      </c>
      <c r="I180" t="n">
        <v>0.5</v>
      </c>
      <c r="J180" t="n">
        <v>1</v>
      </c>
      <c r="K180" t="n">
        <v>0</v>
      </c>
      <c r="L180" t="n">
        <v>0</v>
      </c>
      <c r="M180" t="n">
        <v>0</v>
      </c>
      <c r="N180" t="n">
        <v>0</v>
      </c>
      <c r="O180" t="n">
        <v>0</v>
      </c>
      <c r="P180" t="n">
        <v>0</v>
      </c>
      <c r="Q180" t="n">
        <v>0</v>
      </c>
      <c r="R180" t="n">
        <v>0</v>
      </c>
      <c r="S180" t="n">
        <v>1</v>
      </c>
      <c r="T180" t="n">
        <v>1</v>
      </c>
      <c r="U180" s="2" t="inlineStr">
        <is>
          <t>Kungsfågel</t>
        </is>
      </c>
      <c r="V180">
        <f>HYPERLINK("https://klasma.github.io/Logging_0188/artfynd/A 28816-2023 artfynd.xlsx", "A 28816-2023")</f>
        <v/>
      </c>
      <c r="W180">
        <f>HYPERLINK("https://klasma.github.io/Logging_0188/kartor/A 28816-2023 karta.png", "A 28816-2023")</f>
        <v/>
      </c>
      <c r="Y180">
        <f>HYPERLINK("https://klasma.github.io/Logging_0188/klagomål/A 28816-2023 FSC-klagomål.docx", "A 28816-2023")</f>
        <v/>
      </c>
      <c r="Z180">
        <f>HYPERLINK("https://klasma.github.io/Logging_0188/klagomålsmail/A 28816-2023 FSC-klagomål mail.docx", "A 28816-2023")</f>
        <v/>
      </c>
      <c r="AA180">
        <f>HYPERLINK("https://klasma.github.io/Logging_0188/tillsyn/A 28816-2023 tillsynsbegäran.docx", "A 28816-2023")</f>
        <v/>
      </c>
      <c r="AB180">
        <f>HYPERLINK("https://klasma.github.io/Logging_0188/tillsynsmail/A 28816-2023 tillsynsbegäran mail.docx", "A 28816-2023")</f>
        <v/>
      </c>
    </row>
    <row r="181" ht="15" customHeight="1">
      <c r="A181" t="inlineStr">
        <is>
          <t>A 57442-2021</t>
        </is>
      </c>
      <c r="B181" t="inlineStr">
        <is>
          <t>avverkningsanmälan</t>
        </is>
      </c>
      <c r="C181" t="inlineStr">
        <is>
          <t>Föryngringsavverkning</t>
        </is>
      </c>
      <c r="D181" s="1" t="n">
        <v>44483</v>
      </c>
      <c r="E181" s="1" t="n">
        <v>46219</v>
      </c>
      <c r="F181" t="inlineStr">
        <is>
          <t>STOCKHOLMS LÄN</t>
        </is>
      </c>
      <c r="G181" t="inlineStr">
        <is>
          <t>NORRTÄLJE</t>
        </is>
      </c>
      <c r="I181" t="n">
        <v>3.3</v>
      </c>
      <c r="J181" t="n">
        <v>0</v>
      </c>
      <c r="K181" t="n">
        <v>0</v>
      </c>
      <c r="L181" t="n">
        <v>1</v>
      </c>
      <c r="M181" t="n">
        <v>0</v>
      </c>
      <c r="N181" t="n">
        <v>0</v>
      </c>
      <c r="O181" t="n">
        <v>0</v>
      </c>
      <c r="P181" t="n">
        <v>0</v>
      </c>
      <c r="Q181" t="n">
        <v>1</v>
      </c>
      <c r="R181" t="n">
        <v>0</v>
      </c>
      <c r="S181" t="n">
        <v>1</v>
      </c>
      <c r="T181" t="n">
        <v>2</v>
      </c>
      <c r="U181" s="2" t="inlineStr">
        <is>
          <t>Slåtterfibbla</t>
        </is>
      </c>
      <c r="V181">
        <f>HYPERLINK("https://klasma.github.io/Logging_0188/artfynd/A 57442-2021 artfynd.xlsx", "A 57442-2021")</f>
        <v/>
      </c>
      <c r="W181">
        <f>HYPERLINK("https://klasma.github.io/Logging_0188/kartor/A 57442-2021 karta.png", "A 57442-2021")</f>
        <v/>
      </c>
      <c r="Y181">
        <f>HYPERLINK("https://klasma.github.io/Logging_0188/klagomål/A 57442-2021 FSC-klagomål.docx", "A 57442-2021")</f>
        <v/>
      </c>
      <c r="Z181">
        <f>HYPERLINK("https://klasma.github.io/Logging_0188/klagomålsmail/A 57442-2021 FSC-klagomål mail.docx", "A 57442-2021")</f>
        <v/>
      </c>
      <c r="AA181">
        <f>HYPERLINK("https://klasma.github.io/Logging_0188/tillsyn/A 57442-2021 tillsynsbegäran.docx", "A 57442-2021")</f>
        <v/>
      </c>
      <c r="AB181">
        <f>HYPERLINK("https://klasma.github.io/Logging_0188/tillsynsmail/A 57442-2021 tillsynsbegäran mail.docx", "A 57442-2021")</f>
        <v/>
      </c>
    </row>
    <row r="182" ht="15" customHeight="1">
      <c r="A182" t="inlineStr">
        <is>
          <t>A 52775-2025</t>
        </is>
      </c>
      <c r="B182" t="inlineStr">
        <is>
          <t>avverkningsanmälan</t>
        </is>
      </c>
      <c r="C182" t="inlineStr">
        <is>
          <t>Föryngringsavverkning</t>
        </is>
      </c>
      <c r="D182" s="1" t="n">
        <v>45957</v>
      </c>
      <c r="E182" s="1" t="n">
        <v>46219</v>
      </c>
      <c r="F182" t="inlineStr">
        <is>
          <t>STOCKHOLMS LÄN</t>
        </is>
      </c>
      <c r="G182" t="inlineStr">
        <is>
          <t>NORRTÄLJE</t>
        </is>
      </c>
      <c r="H182" t="inlineStr">
        <is>
          <t>Sveaskog</t>
        </is>
      </c>
      <c r="I182" t="n">
        <v>5.6</v>
      </c>
      <c r="J182" t="n">
        <v>0</v>
      </c>
      <c r="K182" t="n">
        <v>0</v>
      </c>
      <c r="L182" t="n">
        <v>1</v>
      </c>
      <c r="M182" t="n">
        <v>0</v>
      </c>
      <c r="N182" t="n">
        <v>0</v>
      </c>
      <c r="O182" t="n">
        <v>0</v>
      </c>
      <c r="P182" t="n">
        <v>0</v>
      </c>
      <c r="Q182" t="n">
        <v>1</v>
      </c>
      <c r="R182" t="n">
        <v>0</v>
      </c>
      <c r="S182" t="n">
        <v>1</v>
      </c>
      <c r="T182" t="n">
        <v>1</v>
      </c>
      <c r="U182" s="2" t="inlineStr">
        <is>
          <t>Vedtrappmossa</t>
        </is>
      </c>
      <c r="V182">
        <f>HYPERLINK("https://klasma.github.io/Logging_0188/artfynd/A 52775-2025 artfynd.xlsx", "A 52775-2025")</f>
        <v/>
      </c>
      <c r="W182">
        <f>HYPERLINK("https://klasma.github.io/Logging_0188/kartor/A 52775-2025 karta.png", "A 52775-2025")</f>
        <v/>
      </c>
      <c r="Y182">
        <f>HYPERLINK("https://klasma.github.io/Logging_0188/klagomål/A 52775-2025 FSC-klagomål.docx", "A 52775-2025")</f>
        <v/>
      </c>
      <c r="Z182">
        <f>HYPERLINK("https://klasma.github.io/Logging_0188/klagomålsmail/A 52775-2025 FSC-klagomål mail.docx", "A 52775-2025")</f>
        <v/>
      </c>
      <c r="AA182">
        <f>HYPERLINK("https://klasma.github.io/Logging_0188/tillsyn/A 52775-2025 tillsynsbegäran.docx", "A 52775-2025")</f>
        <v/>
      </c>
      <c r="AB182">
        <f>HYPERLINK("https://klasma.github.io/Logging_0188/tillsynsmail/A 52775-2025 tillsynsbegäran mail.docx", "A 52775-2025")</f>
        <v/>
      </c>
    </row>
    <row r="183" ht="15" customHeight="1">
      <c r="A183" t="inlineStr">
        <is>
          <t>A 53629-2025</t>
        </is>
      </c>
      <c r="B183" t="inlineStr">
        <is>
          <t>avverkningsanmälan</t>
        </is>
      </c>
      <c r="C183" t="inlineStr">
        <is>
          <t>Föryngringsavverkning</t>
        </is>
      </c>
      <c r="D183" s="1" t="n">
        <v>45960</v>
      </c>
      <c r="E183" s="1" t="n">
        <v>46219</v>
      </c>
      <c r="F183" t="inlineStr">
        <is>
          <t>STOCKHOLMS LÄN</t>
        </is>
      </c>
      <c r="G183" t="inlineStr">
        <is>
          <t>NORRTÄLJE</t>
        </is>
      </c>
      <c r="H183" t="inlineStr">
        <is>
          <t>Naturvårdsverket</t>
        </is>
      </c>
      <c r="I183" t="n">
        <v>7.9</v>
      </c>
      <c r="J183" t="n">
        <v>0</v>
      </c>
      <c r="K183" t="n">
        <v>0</v>
      </c>
      <c r="L183" t="n">
        <v>1</v>
      </c>
      <c r="M183" t="n">
        <v>0</v>
      </c>
      <c r="N183" t="n">
        <v>0</v>
      </c>
      <c r="O183" t="n">
        <v>0</v>
      </c>
      <c r="P183" t="n">
        <v>0</v>
      </c>
      <c r="Q183" t="n">
        <v>1</v>
      </c>
      <c r="R183" t="n">
        <v>0</v>
      </c>
      <c r="S183" t="n">
        <v>1</v>
      </c>
      <c r="T183" t="n">
        <v>1</v>
      </c>
      <c r="U183" s="2" t="inlineStr">
        <is>
          <t>Olvonglasvinge</t>
        </is>
      </c>
      <c r="V183">
        <f>HYPERLINK("https://klasma.github.io/Logging_0188/artfynd/A 53629-2025 artfynd.xlsx", "A 53629-2025")</f>
        <v/>
      </c>
      <c r="W183">
        <f>HYPERLINK("https://klasma.github.io/Logging_0188/kartor/A 53629-2025 karta.png", "A 53629-2025")</f>
        <v/>
      </c>
      <c r="Y183">
        <f>HYPERLINK("https://klasma.github.io/Logging_0188/klagomål/A 53629-2025 FSC-klagomål.docx", "A 53629-2025")</f>
        <v/>
      </c>
      <c r="Z183">
        <f>HYPERLINK("https://klasma.github.io/Logging_0188/klagomålsmail/A 53629-2025 FSC-klagomål mail.docx", "A 53629-2025")</f>
        <v/>
      </c>
      <c r="AA183">
        <f>HYPERLINK("https://klasma.github.io/Logging_0188/tillsyn/A 53629-2025 tillsynsbegäran.docx", "A 53629-2025")</f>
        <v/>
      </c>
      <c r="AB183">
        <f>HYPERLINK("https://klasma.github.io/Logging_0188/tillsynsmail/A 53629-2025 tillsynsbegäran mail.docx", "A 53629-2025")</f>
        <v/>
      </c>
    </row>
    <row r="184" ht="15" customHeight="1">
      <c r="A184" t="inlineStr">
        <is>
          <t>A 35691-2023</t>
        </is>
      </c>
      <c r="B184" t="inlineStr">
        <is>
          <t>avverkningsanmälan</t>
        </is>
      </c>
      <c r="C184" t="inlineStr">
        <is>
          <t>Föryngringsavverkning</t>
        </is>
      </c>
      <c r="D184" s="1" t="n">
        <v>45147</v>
      </c>
      <c r="E184" s="1" t="n">
        <v>46219</v>
      </c>
      <c r="F184" t="inlineStr">
        <is>
          <t>STOCKHOLMS LÄN</t>
        </is>
      </c>
      <c r="G184" t="inlineStr">
        <is>
          <t>NORRTÄLJE</t>
        </is>
      </c>
      <c r="I184" t="n">
        <v>2.3</v>
      </c>
      <c r="J184" t="n">
        <v>1</v>
      </c>
      <c r="K184" t="n">
        <v>0</v>
      </c>
      <c r="L184" t="n">
        <v>0</v>
      </c>
      <c r="M184" t="n">
        <v>0</v>
      </c>
      <c r="N184" t="n">
        <v>0</v>
      </c>
      <c r="O184" t="n">
        <v>0</v>
      </c>
      <c r="P184" t="n">
        <v>0</v>
      </c>
      <c r="Q184" t="n">
        <v>0</v>
      </c>
      <c r="R184" t="n">
        <v>0</v>
      </c>
      <c r="S184" t="n">
        <v>1</v>
      </c>
      <c r="T184" t="n">
        <v>1</v>
      </c>
      <c r="U184" s="2" t="inlineStr">
        <is>
          <t>Kungsfågel</t>
        </is>
      </c>
      <c r="V184">
        <f>HYPERLINK("https://klasma.github.io/Logging_0188/artfynd/A 35691-2023 artfynd.xlsx", "A 35691-2023")</f>
        <v/>
      </c>
      <c r="W184">
        <f>HYPERLINK("https://klasma.github.io/Logging_0188/kartor/A 35691-2023 karta.png", "A 35691-2023")</f>
        <v/>
      </c>
      <c r="Y184">
        <f>HYPERLINK("https://klasma.github.io/Logging_0188/klagomål/A 35691-2023 FSC-klagomål.docx", "A 35691-2023")</f>
        <v/>
      </c>
      <c r="Z184">
        <f>HYPERLINK("https://klasma.github.io/Logging_0188/klagomålsmail/A 35691-2023 FSC-klagomål mail.docx", "A 35691-2023")</f>
        <v/>
      </c>
      <c r="AA184">
        <f>HYPERLINK("https://klasma.github.io/Logging_0188/tillsyn/A 35691-2023 tillsynsbegäran.docx", "A 35691-2023")</f>
        <v/>
      </c>
      <c r="AB184">
        <f>HYPERLINK("https://klasma.github.io/Logging_0188/tillsynsmail/A 35691-2023 tillsynsbegäran mail.docx", "A 35691-2023")</f>
        <v/>
      </c>
    </row>
    <row r="185" ht="15" customHeight="1">
      <c r="A185" t="inlineStr">
        <is>
          <t>A 35693-2023</t>
        </is>
      </c>
      <c r="B185" t="inlineStr">
        <is>
          <t>avverkningsanmälan</t>
        </is>
      </c>
      <c r="C185" t="inlineStr">
        <is>
          <t>Föryngringsavverkning</t>
        </is>
      </c>
      <c r="D185" s="1" t="n">
        <v>45147</v>
      </c>
      <c r="E185" s="1" t="n">
        <v>46219</v>
      </c>
      <c r="F185" t="inlineStr">
        <is>
          <t>STOCKHOLMS LÄN</t>
        </is>
      </c>
      <c r="G185" t="inlineStr">
        <is>
          <t>NORRTÄLJE</t>
        </is>
      </c>
      <c r="I185" t="n">
        <v>2.2</v>
      </c>
      <c r="J185" t="n">
        <v>0</v>
      </c>
      <c r="K185" t="n">
        <v>0</v>
      </c>
      <c r="L185" t="n">
        <v>1</v>
      </c>
      <c r="M185" t="n">
        <v>0</v>
      </c>
      <c r="N185" t="n">
        <v>0</v>
      </c>
      <c r="O185" t="n">
        <v>0</v>
      </c>
      <c r="P185" t="n">
        <v>0</v>
      </c>
      <c r="Q185" t="n">
        <v>1</v>
      </c>
      <c r="R185" t="n">
        <v>0</v>
      </c>
      <c r="S185" t="n">
        <v>1</v>
      </c>
      <c r="T185" t="n">
        <v>1</v>
      </c>
      <c r="U185" s="2" t="inlineStr">
        <is>
          <t>Motaggsvamp</t>
        </is>
      </c>
      <c r="V185">
        <f>HYPERLINK("https://klasma.github.io/Logging_0188/artfynd/A 35693-2023 artfynd.xlsx", "A 35693-2023")</f>
        <v/>
      </c>
      <c r="W185">
        <f>HYPERLINK("https://klasma.github.io/Logging_0188/kartor/A 35693-2023 karta.png", "A 35693-2023")</f>
        <v/>
      </c>
      <c r="Y185">
        <f>HYPERLINK("https://klasma.github.io/Logging_0188/klagomål/A 35693-2023 FSC-klagomål.docx", "A 35693-2023")</f>
        <v/>
      </c>
      <c r="Z185">
        <f>HYPERLINK("https://klasma.github.io/Logging_0188/klagomålsmail/A 35693-2023 FSC-klagomål mail.docx", "A 35693-2023")</f>
        <v/>
      </c>
      <c r="AA185">
        <f>HYPERLINK("https://klasma.github.io/Logging_0188/tillsyn/A 35693-2023 tillsynsbegäran.docx", "A 35693-2023")</f>
        <v/>
      </c>
      <c r="AB185">
        <f>HYPERLINK("https://klasma.github.io/Logging_0188/tillsynsmail/A 35693-2023 tillsynsbegäran mail.docx", "A 35693-2023")</f>
        <v/>
      </c>
    </row>
    <row r="186" ht="15" customHeight="1">
      <c r="A186" t="inlineStr">
        <is>
          <t>A 21329-2022</t>
        </is>
      </c>
      <c r="B186" t="inlineStr">
        <is>
          <t>avverkningsanmälan</t>
        </is>
      </c>
      <c r="C186" t="inlineStr">
        <is>
          <t>Föryngringsavverkning</t>
        </is>
      </c>
      <c r="D186" s="1" t="n">
        <v>44705</v>
      </c>
      <c r="E186" s="1" t="n">
        <v>46219</v>
      </c>
      <c r="F186" t="inlineStr">
        <is>
          <t>STOCKHOLMS LÄN</t>
        </is>
      </c>
      <c r="G186" t="inlineStr">
        <is>
          <t>NORRTÄLJE</t>
        </is>
      </c>
      <c r="I186" t="n">
        <v>4.1</v>
      </c>
      <c r="J186" t="n">
        <v>1</v>
      </c>
      <c r="K186" t="n">
        <v>1</v>
      </c>
      <c r="L186" t="n">
        <v>0</v>
      </c>
      <c r="M186" t="n">
        <v>0</v>
      </c>
      <c r="N186" t="n">
        <v>0</v>
      </c>
      <c r="O186" t="n">
        <v>0</v>
      </c>
      <c r="P186" t="n">
        <v>0</v>
      </c>
      <c r="Q186" t="n">
        <v>0</v>
      </c>
      <c r="R186" t="n">
        <v>0</v>
      </c>
      <c r="S186" t="n">
        <v>1</v>
      </c>
      <c r="T186" t="n">
        <v>1</v>
      </c>
      <c r="U186" s="2" t="inlineStr">
        <is>
          <t>Skogsknipprot</t>
        </is>
      </c>
      <c r="V186">
        <f>HYPERLINK("https://klasma.github.io/Logging_0188/artfynd/A 21329-2022 artfynd.xlsx", "A 21329-2022")</f>
        <v/>
      </c>
      <c r="W186">
        <f>HYPERLINK("https://klasma.github.io/Logging_0188/kartor/A 21329-2022 karta.png", "A 21329-2022")</f>
        <v/>
      </c>
      <c r="Y186">
        <f>HYPERLINK("https://klasma.github.io/Logging_0188/klagomål/A 21329-2022 FSC-klagomål.docx", "A 21329-2022")</f>
        <v/>
      </c>
      <c r="Z186">
        <f>HYPERLINK("https://klasma.github.io/Logging_0188/klagomålsmail/A 21329-2022 FSC-klagomål mail.docx", "A 21329-2022")</f>
        <v/>
      </c>
      <c r="AA186">
        <f>HYPERLINK("https://klasma.github.io/Logging_0188/tillsyn/A 21329-2022 tillsynsbegäran.docx", "A 21329-2022")</f>
        <v/>
      </c>
      <c r="AB186">
        <f>HYPERLINK("https://klasma.github.io/Logging_0188/tillsynsmail/A 21329-2022 tillsynsbegäran mail.docx", "A 21329-2022")</f>
        <v/>
      </c>
    </row>
    <row r="187" ht="15" customHeight="1">
      <c r="A187" t="inlineStr">
        <is>
          <t>A 17843-2024</t>
        </is>
      </c>
      <c r="B187" t="inlineStr">
        <is>
          <t>avverkningsanmälan</t>
        </is>
      </c>
      <c r="C187" t="inlineStr">
        <is>
          <t>Föryngringsavverkning</t>
        </is>
      </c>
      <c r="D187" s="1" t="n">
        <v>45418</v>
      </c>
      <c r="E187" s="1" t="n">
        <v>46219</v>
      </c>
      <c r="F187" t="inlineStr">
        <is>
          <t>STOCKHOLMS LÄN</t>
        </is>
      </c>
      <c r="G187" t="inlineStr">
        <is>
          <t>NORRTÄLJE</t>
        </is>
      </c>
      <c r="I187" t="n">
        <v>5.4</v>
      </c>
      <c r="J187" t="n">
        <v>0</v>
      </c>
      <c r="K187" t="n">
        <v>0</v>
      </c>
      <c r="L187" t="n">
        <v>1</v>
      </c>
      <c r="M187" t="n">
        <v>0</v>
      </c>
      <c r="N187" t="n">
        <v>0</v>
      </c>
      <c r="O187" t="n">
        <v>0</v>
      </c>
      <c r="P187" t="n">
        <v>0</v>
      </c>
      <c r="Q187" t="n">
        <v>1</v>
      </c>
      <c r="R187" t="n">
        <v>0</v>
      </c>
      <c r="S187" t="n">
        <v>1</v>
      </c>
      <c r="T187" t="n">
        <v>1</v>
      </c>
      <c r="U187" s="2" t="inlineStr">
        <is>
          <t>Krisslesköldbagge</t>
        </is>
      </c>
      <c r="V187">
        <f>HYPERLINK("https://klasma.github.io/Logging_0188/artfynd/A 17843-2024 artfynd.xlsx", "A 17843-2024")</f>
        <v/>
      </c>
      <c r="W187">
        <f>HYPERLINK("https://klasma.github.io/Logging_0188/kartor/A 17843-2024 karta.png", "A 17843-2024")</f>
        <v/>
      </c>
      <c r="Y187">
        <f>HYPERLINK("https://klasma.github.io/Logging_0188/klagomål/A 17843-2024 FSC-klagomål.docx", "A 17843-2024")</f>
        <v/>
      </c>
      <c r="Z187">
        <f>HYPERLINK("https://klasma.github.io/Logging_0188/klagomålsmail/A 17843-2024 FSC-klagomål mail.docx", "A 17843-2024")</f>
        <v/>
      </c>
      <c r="AA187">
        <f>HYPERLINK("https://klasma.github.io/Logging_0188/tillsyn/A 17843-2024 tillsynsbegäran.docx", "A 17843-2024")</f>
        <v/>
      </c>
      <c r="AB187">
        <f>HYPERLINK("https://klasma.github.io/Logging_0188/tillsynsmail/A 17843-2024 tillsynsbegäran mail.docx", "A 17843-2024")</f>
        <v/>
      </c>
    </row>
    <row r="188" ht="15" customHeight="1">
      <c r="A188" t="inlineStr">
        <is>
          <t>A 58939-2025</t>
        </is>
      </c>
      <c r="B188" t="inlineStr">
        <is>
          <t>avverkningsanmälan</t>
        </is>
      </c>
      <c r="C188" t="inlineStr">
        <is>
          <t>Föryngringsavverkning</t>
        </is>
      </c>
      <c r="D188" s="1" t="n">
        <v>45987</v>
      </c>
      <c r="E188" s="1" t="n">
        <v>46219</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s="2" t="inlineStr">
        <is>
          <t>Bronshjon</t>
        </is>
      </c>
      <c r="V188">
        <f>HYPERLINK("https://klasma.github.io/Logging_0188/artfynd/A 58939-2025 artfynd.xlsx", "A 58939-2025")</f>
        <v/>
      </c>
      <c r="W188">
        <f>HYPERLINK("https://klasma.github.io/Logging_0188/kartor/A 58939-2025 karta.png", "A 58939-2025")</f>
        <v/>
      </c>
      <c r="Y188">
        <f>HYPERLINK("https://klasma.github.io/Logging_0188/klagomål/A 58939-2025 FSC-klagomål.docx", "A 58939-2025")</f>
        <v/>
      </c>
      <c r="Z188">
        <f>HYPERLINK("https://klasma.github.io/Logging_0188/klagomålsmail/A 58939-2025 FSC-klagomål mail.docx", "A 58939-2025")</f>
        <v/>
      </c>
      <c r="AA188">
        <f>HYPERLINK("https://klasma.github.io/Logging_0188/tillsyn/A 58939-2025 tillsynsbegäran.docx", "A 58939-2025")</f>
        <v/>
      </c>
      <c r="AB188">
        <f>HYPERLINK("https://klasma.github.io/Logging_0188/tillsynsmail/A 58939-2025 tillsynsbegäran mail.docx", "A 58939-2025")</f>
        <v/>
      </c>
    </row>
    <row r="189" ht="15" customHeight="1">
      <c r="A189" t="inlineStr">
        <is>
          <t>A 60765-2023</t>
        </is>
      </c>
      <c r="B189" t="inlineStr">
        <is>
          <t>avverkningsanmälan</t>
        </is>
      </c>
      <c r="C189" t="inlineStr">
        <is>
          <t>Föryngringsavverkning</t>
        </is>
      </c>
      <c r="D189" s="1" t="n">
        <v>45260</v>
      </c>
      <c r="E189" s="1" t="n">
        <v>46219</v>
      </c>
      <c r="F189" t="inlineStr">
        <is>
          <t>STOCKHOLMS LÄN</t>
        </is>
      </c>
      <c r="G189" t="inlineStr">
        <is>
          <t>NORRTÄLJE</t>
        </is>
      </c>
      <c r="I189" t="n">
        <v>3.7</v>
      </c>
      <c r="J189" t="n">
        <v>1</v>
      </c>
      <c r="K189" t="n">
        <v>0</v>
      </c>
      <c r="L189" t="n">
        <v>0</v>
      </c>
      <c r="M189" t="n">
        <v>0</v>
      </c>
      <c r="N189" t="n">
        <v>0</v>
      </c>
      <c r="O189" t="n">
        <v>0</v>
      </c>
      <c r="P189" t="n">
        <v>0</v>
      </c>
      <c r="Q189" t="n">
        <v>0</v>
      </c>
      <c r="R189" t="n">
        <v>0</v>
      </c>
      <c r="S189" t="n">
        <v>1</v>
      </c>
      <c r="T189" t="n">
        <v>1</v>
      </c>
      <c r="U189" s="2" t="inlineStr">
        <is>
          <t>Pudrad kärrtrollslända</t>
        </is>
      </c>
      <c r="V189">
        <f>HYPERLINK("https://klasma.github.io/Logging_0188/artfynd/A 60765-2023 artfynd.xlsx", "A 60765-2023")</f>
        <v/>
      </c>
      <c r="W189">
        <f>HYPERLINK("https://klasma.github.io/Logging_0188/kartor/A 60765-2023 karta.png", "A 60765-2023")</f>
        <v/>
      </c>
      <c r="Y189">
        <f>HYPERLINK("https://klasma.github.io/Logging_0188/klagomål/A 60765-2023 FSC-klagomål.docx", "A 60765-2023")</f>
        <v/>
      </c>
      <c r="Z189">
        <f>HYPERLINK("https://klasma.github.io/Logging_0188/klagomålsmail/A 60765-2023 FSC-klagomål mail.docx", "A 60765-2023")</f>
        <v/>
      </c>
      <c r="AA189">
        <f>HYPERLINK("https://klasma.github.io/Logging_0188/tillsyn/A 60765-2023 tillsynsbegäran.docx", "A 60765-2023")</f>
        <v/>
      </c>
      <c r="AB189">
        <f>HYPERLINK("https://klasma.github.io/Logging_0188/tillsynsmail/A 60765-2023 tillsynsbegäran mail.docx", "A 60765-2023")</f>
        <v/>
      </c>
    </row>
    <row r="190" ht="15" customHeight="1">
      <c r="A190" t="inlineStr">
        <is>
          <t>A 59682-2025</t>
        </is>
      </c>
      <c r="B190" t="inlineStr">
        <is>
          <t>avverkningsanmälan</t>
        </is>
      </c>
      <c r="C190" t="inlineStr">
        <is>
          <t>Föryngringsavverkning</t>
        </is>
      </c>
      <c r="D190" s="1" t="n">
        <v>45992</v>
      </c>
      <c r="E190" s="1" t="n">
        <v>46219</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s="2" t="inlineStr">
        <is>
          <t>Grönpyrola</t>
        </is>
      </c>
      <c r="V190">
        <f>HYPERLINK("https://klasma.github.io/Logging_0188/artfynd/A 59682-2025 artfynd.xlsx", "A 59682-2025")</f>
        <v/>
      </c>
      <c r="W190">
        <f>HYPERLINK("https://klasma.github.io/Logging_0188/kartor/A 59682-2025 karta.png", "A 59682-2025")</f>
        <v/>
      </c>
      <c r="Y190">
        <f>HYPERLINK("https://klasma.github.io/Logging_0188/klagomål/A 59682-2025 FSC-klagomål.docx", "A 59682-2025")</f>
        <v/>
      </c>
      <c r="Z190">
        <f>HYPERLINK("https://klasma.github.io/Logging_0188/klagomålsmail/A 59682-2025 FSC-klagomål mail.docx", "A 59682-2025")</f>
        <v/>
      </c>
      <c r="AA190">
        <f>HYPERLINK("https://klasma.github.io/Logging_0188/tillsyn/A 59682-2025 tillsynsbegäran.docx", "A 59682-2025")</f>
        <v/>
      </c>
      <c r="AB190">
        <f>HYPERLINK("https://klasma.github.io/Logging_0188/tillsynsmail/A 59682-2025 tillsynsbegäran mail.docx", "A 59682-2025")</f>
        <v/>
      </c>
    </row>
    <row r="191" ht="15" customHeight="1">
      <c r="A191" t="inlineStr">
        <is>
          <t>A 51315-2021</t>
        </is>
      </c>
      <c r="B191" t="inlineStr">
        <is>
          <t>avverkningsanmälan</t>
        </is>
      </c>
      <c r="C191" t="inlineStr">
        <is>
          <t>Föryngringsavverkning</t>
        </is>
      </c>
      <c r="D191" s="1" t="n">
        <v>44461</v>
      </c>
      <c r="E191" s="1" t="n">
        <v>46219</v>
      </c>
      <c r="F191" t="inlineStr">
        <is>
          <t>STOCKHOLMS LÄN</t>
        </is>
      </c>
      <c r="G191" t="inlineStr">
        <is>
          <t>NORRTÄLJE</t>
        </is>
      </c>
      <c r="H191" t="inlineStr">
        <is>
          <t>Holmen skog AB</t>
        </is>
      </c>
      <c r="I191" t="n">
        <v>2.2</v>
      </c>
      <c r="J191" t="n">
        <v>1</v>
      </c>
      <c r="K191" t="n">
        <v>0</v>
      </c>
      <c r="L191" t="n">
        <v>0</v>
      </c>
      <c r="M191" t="n">
        <v>1</v>
      </c>
      <c r="N191" t="n">
        <v>0</v>
      </c>
      <c r="O191" t="n">
        <v>0</v>
      </c>
      <c r="P191" t="n">
        <v>0</v>
      </c>
      <c r="Q191" t="n">
        <v>1</v>
      </c>
      <c r="R191" t="n">
        <v>1</v>
      </c>
      <c r="S191" t="n">
        <v>1</v>
      </c>
      <c r="T191" t="n">
        <v>3</v>
      </c>
      <c r="U191" s="2" t="inlineStr">
        <is>
          <t>Hällebräcka</t>
        </is>
      </c>
      <c r="V191">
        <f>HYPERLINK("https://klasma.github.io/Logging_0188/artfynd/A 51315-2021 artfynd.xlsx", "A 51315-2021")</f>
        <v/>
      </c>
      <c r="W191">
        <f>HYPERLINK("https://klasma.github.io/Logging_0188/kartor/A 51315-2021 karta.png", "A 51315-2021")</f>
        <v/>
      </c>
      <c r="Y191">
        <f>HYPERLINK("https://klasma.github.io/Logging_0188/klagomål/A 51315-2021 FSC-klagomål.docx", "A 51315-2021")</f>
        <v/>
      </c>
      <c r="Z191">
        <f>HYPERLINK("https://klasma.github.io/Logging_0188/klagomålsmail/A 51315-2021 FSC-klagomål mail.docx", "A 51315-2021")</f>
        <v/>
      </c>
      <c r="AA191">
        <f>HYPERLINK("https://klasma.github.io/Logging_0188/tillsyn/A 51315-2021 tillsynsbegäran.docx", "A 51315-2021")</f>
        <v/>
      </c>
      <c r="AB191">
        <f>HYPERLINK("https://klasma.github.io/Logging_0188/tillsynsmail/A 51315-2021 tillsynsbegäran mail.docx", "A 51315-2021")</f>
        <v/>
      </c>
    </row>
    <row r="192" ht="15" customHeight="1">
      <c r="A192" t="inlineStr">
        <is>
          <t>A 62765-2022</t>
        </is>
      </c>
      <c r="B192" t="inlineStr">
        <is>
          <t>avverkningsanmälan</t>
        </is>
      </c>
      <c r="C192" t="inlineStr">
        <is>
          <t>Föryngringsavverkning</t>
        </is>
      </c>
      <c r="D192" s="1" t="n">
        <v>44637</v>
      </c>
      <c r="E192" s="1" t="n">
        <v>46219</v>
      </c>
      <c r="F192" t="inlineStr">
        <is>
          <t>STOCKHOLMS LÄN</t>
        </is>
      </c>
      <c r="G192" t="inlineStr">
        <is>
          <t>NORRTÄLJE</t>
        </is>
      </c>
      <c r="I192" t="n">
        <v>2.7</v>
      </c>
      <c r="J192" t="n">
        <v>1</v>
      </c>
      <c r="K192" t="n">
        <v>0</v>
      </c>
      <c r="L192" t="n">
        <v>1</v>
      </c>
      <c r="M192" t="n">
        <v>0</v>
      </c>
      <c r="N192" t="n">
        <v>0</v>
      </c>
      <c r="O192" t="n">
        <v>0</v>
      </c>
      <c r="P192" t="n">
        <v>0</v>
      </c>
      <c r="Q192" t="n">
        <v>1</v>
      </c>
      <c r="R192" t="n">
        <v>0</v>
      </c>
      <c r="S192" t="n">
        <v>1</v>
      </c>
      <c r="T192" t="n">
        <v>1</v>
      </c>
      <c r="U192" s="2" t="inlineStr">
        <is>
          <t>Adam och eva</t>
        </is>
      </c>
      <c r="V192">
        <f>HYPERLINK("https://klasma.github.io/Logging_0188/artfynd/A 62765-2022 artfynd.xlsx", "A 62765-2022")</f>
        <v/>
      </c>
      <c r="W192">
        <f>HYPERLINK("https://klasma.github.io/Logging_0188/kartor/A 62765-2022 karta.png", "A 62765-2022")</f>
        <v/>
      </c>
      <c r="Y192">
        <f>HYPERLINK("https://klasma.github.io/Logging_0188/klagomål/A 62765-2022 FSC-klagomål.docx", "A 62765-2022")</f>
        <v/>
      </c>
      <c r="Z192">
        <f>HYPERLINK("https://klasma.github.io/Logging_0188/klagomålsmail/A 62765-2022 FSC-klagomål mail.docx", "A 62765-2022")</f>
        <v/>
      </c>
      <c r="AA192">
        <f>HYPERLINK("https://klasma.github.io/Logging_0188/tillsyn/A 62765-2022 tillsynsbegäran.docx", "A 62765-2022")</f>
        <v/>
      </c>
      <c r="AB192">
        <f>HYPERLINK("https://klasma.github.io/Logging_0188/tillsynsmail/A 62765-2022 tillsynsbegäran mail.docx", "A 62765-2022")</f>
        <v/>
      </c>
    </row>
    <row r="193" ht="15" customHeight="1">
      <c r="A193" t="inlineStr">
        <is>
          <t>A 42075-2023</t>
        </is>
      </c>
      <c r="B193" t="inlineStr">
        <is>
          <t>avverkningsanmälan</t>
        </is>
      </c>
      <c r="C193" t="inlineStr">
        <is>
          <t>Föryngringsavverkning</t>
        </is>
      </c>
      <c r="D193" s="1" t="n">
        <v>45177</v>
      </c>
      <c r="E193" s="1" t="n">
        <v>46219</v>
      </c>
      <c r="F193" t="inlineStr">
        <is>
          <t>STOCKHOLMS LÄN</t>
        </is>
      </c>
      <c r="G193" t="inlineStr">
        <is>
          <t>NORRTÄLJE</t>
        </is>
      </c>
      <c r="I193" t="n">
        <v>2.5</v>
      </c>
      <c r="J193" t="n">
        <v>1</v>
      </c>
      <c r="K193" t="n">
        <v>1</v>
      </c>
      <c r="L193" t="n">
        <v>0</v>
      </c>
      <c r="M193" t="n">
        <v>0</v>
      </c>
      <c r="N193" t="n">
        <v>0</v>
      </c>
      <c r="O193" t="n">
        <v>0</v>
      </c>
      <c r="P193" t="n">
        <v>0</v>
      </c>
      <c r="Q193" t="n">
        <v>0</v>
      </c>
      <c r="R193" t="n">
        <v>0</v>
      </c>
      <c r="S193" t="n">
        <v>1</v>
      </c>
      <c r="T193" t="n">
        <v>1</v>
      </c>
      <c r="U193" s="2" t="inlineStr">
        <is>
          <t>Skogsknipprot</t>
        </is>
      </c>
      <c r="V193">
        <f>HYPERLINK("https://klasma.github.io/Logging_0188/artfynd/A 42075-2023 artfynd.xlsx", "A 42075-2023")</f>
        <v/>
      </c>
      <c r="W193">
        <f>HYPERLINK("https://klasma.github.io/Logging_0188/kartor/A 42075-2023 karta.png", "A 42075-2023")</f>
        <v/>
      </c>
      <c r="Y193">
        <f>HYPERLINK("https://klasma.github.io/Logging_0188/klagomål/A 42075-2023 FSC-klagomål.docx", "A 42075-2023")</f>
        <v/>
      </c>
      <c r="Z193">
        <f>HYPERLINK("https://klasma.github.io/Logging_0188/klagomålsmail/A 42075-2023 FSC-klagomål mail.docx", "A 42075-2023")</f>
        <v/>
      </c>
      <c r="AA193">
        <f>HYPERLINK("https://klasma.github.io/Logging_0188/tillsyn/A 42075-2023 tillsynsbegäran.docx", "A 42075-2023")</f>
        <v/>
      </c>
      <c r="AB193">
        <f>HYPERLINK("https://klasma.github.io/Logging_0188/tillsynsmail/A 42075-2023 tillsynsbegäran mail.docx", "A 42075-2023")</f>
        <v/>
      </c>
    </row>
    <row r="194" ht="15" customHeight="1">
      <c r="A194" t="inlineStr">
        <is>
          <t>A 53499-2025</t>
        </is>
      </c>
      <c r="B194" t="inlineStr">
        <is>
          <t>avverkningsanmälan</t>
        </is>
      </c>
      <c r="C194" t="inlineStr">
        <is>
          <t>Föryngringsavverkning</t>
        </is>
      </c>
      <c r="D194" s="1" t="n">
        <v>45960</v>
      </c>
      <c r="E194" s="1" t="n">
        <v>46219</v>
      </c>
      <c r="F194" t="inlineStr">
        <is>
          <t>STOCKHOLMS LÄN</t>
        </is>
      </c>
      <c r="G194" t="inlineStr">
        <is>
          <t>NORRTÄLJE</t>
        </is>
      </c>
      <c r="I194" t="n">
        <v>23.8</v>
      </c>
      <c r="J194" t="n">
        <v>1</v>
      </c>
      <c r="K194" t="n">
        <v>0</v>
      </c>
      <c r="L194" t="n">
        <v>1</v>
      </c>
      <c r="M194" t="n">
        <v>0</v>
      </c>
      <c r="N194" t="n">
        <v>0</v>
      </c>
      <c r="O194" t="n">
        <v>0</v>
      </c>
      <c r="P194" t="n">
        <v>0</v>
      </c>
      <c r="Q194" t="n">
        <v>1</v>
      </c>
      <c r="R194" t="n">
        <v>0</v>
      </c>
      <c r="S194" t="n">
        <v>1</v>
      </c>
      <c r="T194" t="n">
        <v>1</v>
      </c>
      <c r="U194" s="2" t="inlineStr">
        <is>
          <t>Talltita</t>
        </is>
      </c>
      <c r="V194">
        <f>HYPERLINK("https://klasma.github.io/Logging_0188/artfynd/A 53499-2025 artfynd.xlsx", "A 53499-2025")</f>
        <v/>
      </c>
      <c r="W194">
        <f>HYPERLINK("https://klasma.github.io/Logging_0188/kartor/A 53499-2025 karta.png", "A 53499-2025")</f>
        <v/>
      </c>
      <c r="Y194">
        <f>HYPERLINK("https://klasma.github.io/Logging_0188/klagomål/A 53499-2025 FSC-klagomål.docx", "A 53499-2025")</f>
        <v/>
      </c>
      <c r="Z194">
        <f>HYPERLINK("https://klasma.github.io/Logging_0188/klagomålsmail/A 53499-2025 FSC-klagomål mail.docx", "A 53499-2025")</f>
        <v/>
      </c>
      <c r="AA194">
        <f>HYPERLINK("https://klasma.github.io/Logging_0188/tillsyn/A 53499-2025 tillsynsbegäran.docx", "A 53499-2025")</f>
        <v/>
      </c>
      <c r="AB194">
        <f>HYPERLINK("https://klasma.github.io/Logging_0188/tillsynsmail/A 53499-2025 tillsynsbegäran mail.docx", "A 53499-2025")</f>
        <v/>
      </c>
      <c r="AC194">
        <f>HYPERLINK("https://klasma.github.io/Logging_0188/fåglar/A 53499-2025 prioriterade fågelarter.docx", "A 53499-2025")</f>
        <v/>
      </c>
    </row>
    <row r="195" ht="15" customHeight="1">
      <c r="A195" t="inlineStr">
        <is>
          <t>A 17956-2025</t>
        </is>
      </c>
      <c r="B195" t="inlineStr">
        <is>
          <t>avverkningsanmälan</t>
        </is>
      </c>
      <c r="C195" t="inlineStr">
        <is>
          <t>Föryngringsavverkning</t>
        </is>
      </c>
      <c r="D195" s="1" t="n">
        <v>45760</v>
      </c>
      <c r="E195" s="1" t="n">
        <v>46219</v>
      </c>
      <c r="F195" t="inlineStr">
        <is>
          <t>STOCKHOLMS LÄN</t>
        </is>
      </c>
      <c r="G195" t="inlineStr">
        <is>
          <t>NORRTÄLJE</t>
        </is>
      </c>
      <c r="I195" t="n">
        <v>4.3</v>
      </c>
      <c r="J195" t="n">
        <v>0</v>
      </c>
      <c r="K195" t="n">
        <v>1</v>
      </c>
      <c r="L195" t="n">
        <v>0</v>
      </c>
      <c r="M195" t="n">
        <v>0</v>
      </c>
      <c r="N195" t="n">
        <v>0</v>
      </c>
      <c r="O195" t="n">
        <v>0</v>
      </c>
      <c r="P195" t="n">
        <v>0</v>
      </c>
      <c r="Q195" t="n">
        <v>0</v>
      </c>
      <c r="R195" t="n">
        <v>0</v>
      </c>
      <c r="S195" t="n">
        <v>1</v>
      </c>
      <c r="T195" t="n">
        <v>1</v>
      </c>
      <c r="U195" s="2" t="inlineStr">
        <is>
          <t>Tibast</t>
        </is>
      </c>
      <c r="V195">
        <f>HYPERLINK("https://klasma.github.io/Logging_0188/artfynd/A 17956-2025 artfynd.xlsx", "A 17956-2025")</f>
        <v/>
      </c>
      <c r="W195">
        <f>HYPERLINK("https://klasma.github.io/Logging_0188/kartor/A 17956-2025 karta.png", "A 17956-2025")</f>
        <v/>
      </c>
      <c r="Y195">
        <f>HYPERLINK("https://klasma.github.io/Logging_0188/klagomål/A 17956-2025 FSC-klagomål.docx", "A 17956-2025")</f>
        <v/>
      </c>
      <c r="Z195">
        <f>HYPERLINK("https://klasma.github.io/Logging_0188/klagomålsmail/A 17956-2025 FSC-klagomål mail.docx", "A 17956-2025")</f>
        <v/>
      </c>
      <c r="AA195">
        <f>HYPERLINK("https://klasma.github.io/Logging_0188/tillsyn/A 17956-2025 tillsynsbegäran.docx", "A 17956-2025")</f>
        <v/>
      </c>
      <c r="AB195">
        <f>HYPERLINK("https://klasma.github.io/Logging_0188/tillsynsmail/A 17956-2025 tillsynsbegäran mail.docx", "A 17956-2025")</f>
        <v/>
      </c>
    </row>
    <row r="196" ht="15" customHeight="1">
      <c r="A196" t="inlineStr">
        <is>
          <t>A 33279-2025</t>
        </is>
      </c>
      <c r="B196" t="inlineStr">
        <is>
          <t>avverkningsanmälan</t>
        </is>
      </c>
      <c r="C196" t="inlineStr">
        <is>
          <t>Föryngringsavverkning</t>
        </is>
      </c>
      <c r="D196" s="1" t="n">
        <v>45840</v>
      </c>
      <c r="E196" s="1" t="n">
        <v>46219</v>
      </c>
      <c r="F196" t="inlineStr">
        <is>
          <t>STOCKHOLMS LÄN</t>
        </is>
      </c>
      <c r="G196" t="inlineStr">
        <is>
          <t>NORRTÄLJE</t>
        </is>
      </c>
      <c r="I196" t="n">
        <v>1.8</v>
      </c>
      <c r="J196" t="n">
        <v>0</v>
      </c>
      <c r="K196" t="n">
        <v>1</v>
      </c>
      <c r="L196" t="n">
        <v>0</v>
      </c>
      <c r="M196" t="n">
        <v>0</v>
      </c>
      <c r="N196" t="n">
        <v>0</v>
      </c>
      <c r="O196" t="n">
        <v>0</v>
      </c>
      <c r="P196" t="n">
        <v>0</v>
      </c>
      <c r="Q196" t="n">
        <v>0</v>
      </c>
      <c r="R196" t="n">
        <v>0</v>
      </c>
      <c r="S196" t="n">
        <v>1</v>
      </c>
      <c r="T196" t="n">
        <v>1</v>
      </c>
      <c r="U196" s="2" t="inlineStr">
        <is>
          <t>Platt fjädermossa</t>
        </is>
      </c>
      <c r="V196">
        <f>HYPERLINK("https://klasma.github.io/Logging_0188/artfynd/A 33279-2025 artfynd.xlsx", "A 33279-2025")</f>
        <v/>
      </c>
      <c r="W196">
        <f>HYPERLINK("https://klasma.github.io/Logging_0188/kartor/A 33279-2025 karta.png", "A 33279-2025")</f>
        <v/>
      </c>
      <c r="Y196">
        <f>HYPERLINK("https://klasma.github.io/Logging_0188/klagomål/A 33279-2025 FSC-klagomål.docx", "A 33279-2025")</f>
        <v/>
      </c>
      <c r="Z196">
        <f>HYPERLINK("https://klasma.github.io/Logging_0188/klagomålsmail/A 33279-2025 FSC-klagomål mail.docx", "A 33279-2025")</f>
        <v/>
      </c>
      <c r="AA196">
        <f>HYPERLINK("https://klasma.github.io/Logging_0188/tillsyn/A 33279-2025 tillsynsbegäran.docx", "A 33279-2025")</f>
        <v/>
      </c>
      <c r="AB196">
        <f>HYPERLINK("https://klasma.github.io/Logging_0188/tillsynsmail/A 33279-2025 tillsynsbegäran mail.docx", "A 33279-2025")</f>
        <v/>
      </c>
    </row>
    <row r="197" ht="15" customHeight="1">
      <c r="A197" t="inlineStr">
        <is>
          <t>A 31140-2023</t>
        </is>
      </c>
      <c r="B197" t="inlineStr">
        <is>
          <t>avverkningsanmälan</t>
        </is>
      </c>
      <c r="C197" t="inlineStr">
        <is>
          <t>Föryngringsavverkning</t>
        </is>
      </c>
      <c r="D197" s="1" t="n">
        <v>45113</v>
      </c>
      <c r="E197" s="1" t="n">
        <v>46219</v>
      </c>
      <c r="F197" t="inlineStr">
        <is>
          <t>STOCKHOLMS LÄN</t>
        </is>
      </c>
      <c r="G197" t="inlineStr">
        <is>
          <t>NORRTÄLJE</t>
        </is>
      </c>
      <c r="I197" t="n">
        <v>1.3</v>
      </c>
      <c r="J197" t="n">
        <v>0</v>
      </c>
      <c r="K197" t="n">
        <v>0</v>
      </c>
      <c r="L197" t="n">
        <v>1</v>
      </c>
      <c r="M197" t="n">
        <v>0</v>
      </c>
      <c r="N197" t="n">
        <v>0</v>
      </c>
      <c r="O197" t="n">
        <v>0</v>
      </c>
      <c r="P197" t="n">
        <v>0</v>
      </c>
      <c r="Q197" t="n">
        <v>1</v>
      </c>
      <c r="R197" t="n">
        <v>0</v>
      </c>
      <c r="S197" t="n">
        <v>1</v>
      </c>
      <c r="T197" t="n">
        <v>1</v>
      </c>
      <c r="U197" s="2" t="inlineStr">
        <is>
          <t>Krusfrö</t>
        </is>
      </c>
      <c r="V197">
        <f>HYPERLINK("https://klasma.github.io/Logging_0188/artfynd/A 31140-2023 artfynd.xlsx", "A 31140-2023")</f>
        <v/>
      </c>
      <c r="W197">
        <f>HYPERLINK("https://klasma.github.io/Logging_0188/kartor/A 31140-2023 karta.png", "A 31140-2023")</f>
        <v/>
      </c>
      <c r="Y197">
        <f>HYPERLINK("https://klasma.github.io/Logging_0188/klagomål/A 31140-2023 FSC-klagomål.docx", "A 31140-2023")</f>
        <v/>
      </c>
      <c r="Z197">
        <f>HYPERLINK("https://klasma.github.io/Logging_0188/klagomålsmail/A 31140-2023 FSC-klagomål mail.docx", "A 31140-2023")</f>
        <v/>
      </c>
      <c r="AA197">
        <f>HYPERLINK("https://klasma.github.io/Logging_0188/tillsyn/A 31140-2023 tillsynsbegäran.docx", "A 31140-2023")</f>
        <v/>
      </c>
      <c r="AB197">
        <f>HYPERLINK("https://klasma.github.io/Logging_0188/tillsynsmail/A 31140-2023 tillsynsbegäran mail.docx", "A 31140-2023")</f>
        <v/>
      </c>
    </row>
    <row r="198" ht="15" customHeight="1">
      <c r="A198" t="inlineStr">
        <is>
          <t>A 27381-2024</t>
        </is>
      </c>
      <c r="B198" t="inlineStr">
        <is>
          <t>avverkningsanmälan</t>
        </is>
      </c>
      <c r="C198" t="inlineStr">
        <is>
          <t>Föryngringsavverkning</t>
        </is>
      </c>
      <c r="D198" s="1" t="n">
        <v>45473</v>
      </c>
      <c r="E198" s="1" t="n">
        <v>46219</v>
      </c>
      <c r="F198" t="inlineStr">
        <is>
          <t>STOCKHOLMS LÄN</t>
        </is>
      </c>
      <c r="G198" t="inlineStr">
        <is>
          <t>NORRTÄLJE</t>
        </is>
      </c>
      <c r="I198" t="n">
        <v>4.5</v>
      </c>
      <c r="J198" t="n">
        <v>1</v>
      </c>
      <c r="K198" t="n">
        <v>0</v>
      </c>
      <c r="L198" t="n">
        <v>0</v>
      </c>
      <c r="M198" t="n">
        <v>0</v>
      </c>
      <c r="N198" t="n">
        <v>0</v>
      </c>
      <c r="O198" t="n">
        <v>0</v>
      </c>
      <c r="P198" t="n">
        <v>0</v>
      </c>
      <c r="Q198" t="n">
        <v>0</v>
      </c>
      <c r="R198" t="n">
        <v>0</v>
      </c>
      <c r="S198" t="n">
        <v>1</v>
      </c>
      <c r="T198" t="n">
        <v>1</v>
      </c>
      <c r="U198" s="2" t="inlineStr">
        <is>
          <t>Trana</t>
        </is>
      </c>
      <c r="V198">
        <f>HYPERLINK("https://klasma.github.io/Logging_0188/artfynd/A 27381-2024 artfynd.xlsx", "A 27381-2024")</f>
        <v/>
      </c>
      <c r="W198">
        <f>HYPERLINK("https://klasma.github.io/Logging_0188/kartor/A 27381-2024 karta.png", "A 27381-2024")</f>
        <v/>
      </c>
      <c r="Y198">
        <f>HYPERLINK("https://klasma.github.io/Logging_0188/klagomål/A 27381-2024 FSC-klagomål.docx", "A 27381-2024")</f>
        <v/>
      </c>
      <c r="Z198">
        <f>HYPERLINK("https://klasma.github.io/Logging_0188/klagomålsmail/A 27381-2024 FSC-klagomål mail.docx", "A 27381-2024")</f>
        <v/>
      </c>
      <c r="AA198">
        <f>HYPERLINK("https://klasma.github.io/Logging_0188/tillsyn/A 27381-2024 tillsynsbegäran.docx", "A 27381-2024")</f>
        <v/>
      </c>
      <c r="AB198">
        <f>HYPERLINK("https://klasma.github.io/Logging_0188/tillsynsmail/A 27381-2024 tillsynsbegäran mail.docx", "A 27381-2024")</f>
        <v/>
      </c>
      <c r="AC198">
        <f>HYPERLINK("https://klasma.github.io/Logging_0188/fåglar/A 27381-2024 prioriterade fågelarter.docx", "A 27381-2024")</f>
        <v/>
      </c>
    </row>
    <row r="199" ht="15" customHeight="1">
      <c r="A199" t="inlineStr">
        <is>
          <t>A 13718-2022</t>
        </is>
      </c>
      <c r="B199" t="inlineStr">
        <is>
          <t>avverkningsanmälan</t>
        </is>
      </c>
      <c r="C199" t="inlineStr">
        <is>
          <t>Föryngringsavverkning</t>
        </is>
      </c>
      <c r="D199" s="1" t="n">
        <v>44649</v>
      </c>
      <c r="E199" s="1" t="n">
        <v>46219</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s="2" t="inlineStr">
        <is>
          <t>Flattoppad klubbsvamp</t>
        </is>
      </c>
      <c r="V199">
        <f>HYPERLINK("https://klasma.github.io/Logging_0188/artfynd/A 13718-2022 artfynd.xlsx", "A 13718-2022")</f>
        <v/>
      </c>
      <c r="W199">
        <f>HYPERLINK("https://klasma.github.io/Logging_0188/kartor/A 13718-2022 karta.png", "A 13718-2022")</f>
        <v/>
      </c>
      <c r="Y199">
        <f>HYPERLINK("https://klasma.github.io/Logging_0188/klagomål/A 13718-2022 FSC-klagomål.docx", "A 13718-2022")</f>
        <v/>
      </c>
      <c r="Z199">
        <f>HYPERLINK("https://klasma.github.io/Logging_0188/klagomålsmail/A 13718-2022 FSC-klagomål mail.docx", "A 13718-2022")</f>
        <v/>
      </c>
      <c r="AA199">
        <f>HYPERLINK("https://klasma.github.io/Logging_0188/tillsyn/A 13718-2022 tillsynsbegäran.docx", "A 13718-2022")</f>
        <v/>
      </c>
      <c r="AB199">
        <f>HYPERLINK("https://klasma.github.io/Logging_0188/tillsynsmail/A 13718-2022 tillsynsbegäran mail.docx", "A 13718-2022")</f>
        <v/>
      </c>
    </row>
    <row r="200" ht="15" customHeight="1">
      <c r="A200" t="inlineStr">
        <is>
          <t>A 4580-2025</t>
        </is>
      </c>
      <c r="B200" t="inlineStr">
        <is>
          <t>avverkningsanmälan</t>
        </is>
      </c>
      <c r="C200" t="inlineStr">
        <is>
          <t>Föryngringsavverkning</t>
        </is>
      </c>
      <c r="D200" s="1" t="n">
        <v>45687</v>
      </c>
      <c r="E200" s="1" t="n">
        <v>46219</v>
      </c>
      <c r="F200" t="inlineStr">
        <is>
          <t>STOCKHOLMS LÄN</t>
        </is>
      </c>
      <c r="G200" t="inlineStr">
        <is>
          <t>NORRTÄLJE</t>
        </is>
      </c>
      <c r="H200" t="inlineStr">
        <is>
          <t>Holmen skog AB</t>
        </is>
      </c>
      <c r="I200" t="n">
        <v>4.8</v>
      </c>
      <c r="J200" t="n">
        <v>1</v>
      </c>
      <c r="K200" t="n">
        <v>0</v>
      </c>
      <c r="L200" t="n">
        <v>0</v>
      </c>
      <c r="M200" t="n">
        <v>0</v>
      </c>
      <c r="N200" t="n">
        <v>1</v>
      </c>
      <c r="O200" t="n">
        <v>0</v>
      </c>
      <c r="P200" t="n">
        <v>0</v>
      </c>
      <c r="Q200" t="n">
        <v>1</v>
      </c>
      <c r="R200" t="n">
        <v>1</v>
      </c>
      <c r="S200" t="n">
        <v>1</v>
      </c>
      <c r="T200" t="n">
        <v>2</v>
      </c>
      <c r="U200" s="2" t="inlineStr">
        <is>
          <t>Asknätfjäril</t>
        </is>
      </c>
      <c r="V200">
        <f>HYPERLINK("https://klasma.github.io/Logging_0188/artfynd/A 4580-2025 artfynd.xlsx", "A 4580-2025")</f>
        <v/>
      </c>
      <c r="W200">
        <f>HYPERLINK("https://klasma.github.io/Logging_0188/kartor/A 4580-2025 karta.png", "A 4580-2025")</f>
        <v/>
      </c>
      <c r="Y200">
        <f>HYPERLINK("https://klasma.github.io/Logging_0188/klagomål/A 4580-2025 FSC-klagomål.docx", "A 4580-2025")</f>
        <v/>
      </c>
      <c r="Z200">
        <f>HYPERLINK("https://klasma.github.io/Logging_0188/klagomålsmail/A 4580-2025 FSC-klagomål mail.docx", "A 4580-2025")</f>
        <v/>
      </c>
      <c r="AA200">
        <f>HYPERLINK("https://klasma.github.io/Logging_0188/tillsyn/A 4580-2025 tillsynsbegäran.docx", "A 4580-2025")</f>
        <v/>
      </c>
      <c r="AB200">
        <f>HYPERLINK("https://klasma.github.io/Logging_0188/tillsynsmail/A 4580-2025 tillsynsbegäran mail.docx", "A 4580-2025")</f>
        <v/>
      </c>
    </row>
    <row r="201" ht="15" customHeight="1">
      <c r="A201" t="inlineStr">
        <is>
          <t>A 52321-2024</t>
        </is>
      </c>
      <c r="B201" t="inlineStr">
        <is>
          <t>avverkningsanmälan</t>
        </is>
      </c>
      <c r="C201" t="inlineStr">
        <is>
          <t>Avverkning för annat ändamål</t>
        </is>
      </c>
      <c r="D201" s="1" t="n">
        <v>45608</v>
      </c>
      <c r="E201" s="1" t="n">
        <v>46219</v>
      </c>
      <c r="F201" t="inlineStr">
        <is>
          <t>STOCKHOLMS LÄN</t>
        </is>
      </c>
      <c r="G201" t="inlineStr">
        <is>
          <t>NORRTÄLJE</t>
        </is>
      </c>
      <c r="I201" t="n">
        <v>18.1</v>
      </c>
      <c r="J201" t="n">
        <v>0</v>
      </c>
      <c r="K201" t="n">
        <v>0</v>
      </c>
      <c r="L201" t="n">
        <v>0</v>
      </c>
      <c r="M201" t="n">
        <v>0</v>
      </c>
      <c r="N201" t="n">
        <v>0</v>
      </c>
      <c r="O201" t="n">
        <v>0</v>
      </c>
      <c r="P201" t="n">
        <v>0</v>
      </c>
      <c r="Q201" t="n">
        <v>0</v>
      </c>
      <c r="R201" t="n">
        <v>0</v>
      </c>
      <c r="S201" t="n">
        <v>1</v>
      </c>
      <c r="T201" t="n">
        <v>1</v>
      </c>
      <c r="U201" s="2" t="inlineStr">
        <is>
          <t>Smånunneört</t>
        </is>
      </c>
      <c r="V201">
        <f>HYPERLINK("https://klasma.github.io/Logging_0188/artfynd/A 52321-2024 artfynd.xlsx", "A 52321-2024")</f>
        <v/>
      </c>
      <c r="W201">
        <f>HYPERLINK("https://klasma.github.io/Logging_0188/kartor/A 52321-2024 karta.png", "A 52321-2024")</f>
        <v/>
      </c>
      <c r="Y201">
        <f>HYPERLINK("https://klasma.github.io/Logging_0188/klagomål/A 52321-2024 FSC-klagomål.docx", "A 52321-2024")</f>
        <v/>
      </c>
      <c r="Z201">
        <f>HYPERLINK("https://klasma.github.io/Logging_0188/klagomålsmail/A 52321-2024 FSC-klagomål mail.docx", "A 52321-2024")</f>
        <v/>
      </c>
      <c r="AA201">
        <f>HYPERLINK("https://klasma.github.io/Logging_0188/tillsyn/A 52321-2024 tillsynsbegäran.docx", "A 52321-2024")</f>
        <v/>
      </c>
      <c r="AB201">
        <f>HYPERLINK("https://klasma.github.io/Logging_0188/tillsynsmail/A 52321-2024 tillsynsbegäran mail.docx", "A 52321-2024")</f>
        <v/>
      </c>
    </row>
    <row r="202" ht="15" customHeight="1">
      <c r="A202" t="inlineStr">
        <is>
          <t>A 9955-2022</t>
        </is>
      </c>
      <c r="B202" t="inlineStr">
        <is>
          <t>avverkningsanmälan</t>
        </is>
      </c>
      <c r="C202" t="inlineStr">
        <is>
          <t>Föryngringsavverkning</t>
        </is>
      </c>
      <c r="D202" s="1" t="n">
        <v>44620</v>
      </c>
      <c r="E202" s="1" t="n">
        <v>46219</v>
      </c>
      <c r="F202" t="inlineStr">
        <is>
          <t>STOCKHOLMS LÄN</t>
        </is>
      </c>
      <c r="G202" t="inlineStr">
        <is>
          <t>NORRTÄLJE</t>
        </is>
      </c>
      <c r="I202" t="n">
        <v>7.8</v>
      </c>
      <c r="J202" t="n">
        <v>1</v>
      </c>
      <c r="K202" t="n">
        <v>0</v>
      </c>
      <c r="L202" t="n">
        <v>0</v>
      </c>
      <c r="M202" t="n">
        <v>0</v>
      </c>
      <c r="N202" t="n">
        <v>0</v>
      </c>
      <c r="O202" t="n">
        <v>0</v>
      </c>
      <c r="P202" t="n">
        <v>0</v>
      </c>
      <c r="Q202" t="n">
        <v>0</v>
      </c>
      <c r="R202" t="n">
        <v>0</v>
      </c>
      <c r="S202" t="n">
        <v>1</v>
      </c>
      <c r="T202" t="n">
        <v>1</v>
      </c>
      <c r="U202" s="2" t="inlineStr">
        <is>
          <t>Åkergroda</t>
        </is>
      </c>
      <c r="V202">
        <f>HYPERLINK("https://klasma.github.io/Logging_0188/artfynd/A 9955-2022 artfynd.xlsx", "A 9955-2022")</f>
        <v/>
      </c>
      <c r="W202">
        <f>HYPERLINK("https://klasma.github.io/Logging_0188/kartor/A 9955-2022 karta.png", "A 9955-2022")</f>
        <v/>
      </c>
      <c r="Y202">
        <f>HYPERLINK("https://klasma.github.io/Logging_0188/klagomål/A 9955-2022 FSC-klagomål.docx", "A 9955-2022")</f>
        <v/>
      </c>
      <c r="Z202">
        <f>HYPERLINK("https://klasma.github.io/Logging_0188/klagomålsmail/A 9955-2022 FSC-klagomål mail.docx", "A 9955-2022")</f>
        <v/>
      </c>
      <c r="AA202">
        <f>HYPERLINK("https://klasma.github.io/Logging_0188/tillsyn/A 9955-2022 tillsynsbegäran.docx", "A 9955-2022")</f>
        <v/>
      </c>
      <c r="AB202">
        <f>HYPERLINK("https://klasma.github.io/Logging_0188/tillsynsmail/A 9955-2022 tillsynsbegäran mail.docx", "A 9955-2022")</f>
        <v/>
      </c>
    </row>
    <row r="203" ht="15" customHeight="1">
      <c r="A203" t="inlineStr">
        <is>
          <t>A 4532-2025</t>
        </is>
      </c>
      <c r="B203" t="inlineStr">
        <is>
          <t>avverkningsanmälan</t>
        </is>
      </c>
      <c r="C203" t="inlineStr">
        <is>
          <t>Föryngringsavverkning</t>
        </is>
      </c>
      <c r="D203" s="1" t="n">
        <v>45687</v>
      </c>
      <c r="E203" s="1" t="n">
        <v>46219</v>
      </c>
      <c r="F203" t="inlineStr">
        <is>
          <t>STOCKHOLMS LÄN</t>
        </is>
      </c>
      <c r="G203" t="inlineStr">
        <is>
          <t>NORRTÄLJE</t>
        </is>
      </c>
      <c r="H203" t="inlineStr">
        <is>
          <t>Holmen skog AB</t>
        </is>
      </c>
      <c r="I203" t="n">
        <v>6.4</v>
      </c>
      <c r="J203" t="n">
        <v>1</v>
      </c>
      <c r="K203" t="n">
        <v>0</v>
      </c>
      <c r="L203" t="n">
        <v>0</v>
      </c>
      <c r="M203" t="n">
        <v>0</v>
      </c>
      <c r="N203" t="n">
        <v>1</v>
      </c>
      <c r="O203" t="n">
        <v>0</v>
      </c>
      <c r="P203" t="n">
        <v>0</v>
      </c>
      <c r="Q203" t="n">
        <v>1</v>
      </c>
      <c r="R203" t="n">
        <v>1</v>
      </c>
      <c r="S203" t="n">
        <v>1</v>
      </c>
      <c r="T203" t="n">
        <v>20</v>
      </c>
      <c r="U203" s="2" t="inlineStr">
        <is>
          <t>Asknätfjäril</t>
        </is>
      </c>
      <c r="V203">
        <f>HYPERLINK("https://klasma.github.io/Logging_0188/artfynd/A 4532-2025 artfynd.xlsx", "A 4532-2025")</f>
        <v/>
      </c>
      <c r="W203">
        <f>HYPERLINK("https://klasma.github.io/Logging_0188/kartor/A 4532-2025 karta.png", "A 4532-2025")</f>
        <v/>
      </c>
      <c r="Y203">
        <f>HYPERLINK("https://klasma.github.io/Logging_0188/klagomål/A 4532-2025 FSC-klagomål.docx", "A 4532-2025")</f>
        <v/>
      </c>
      <c r="Z203">
        <f>HYPERLINK("https://klasma.github.io/Logging_0188/klagomålsmail/A 4532-2025 FSC-klagomål mail.docx", "A 4532-2025")</f>
        <v/>
      </c>
      <c r="AA203">
        <f>HYPERLINK("https://klasma.github.io/Logging_0188/tillsyn/A 4532-2025 tillsynsbegäran.docx", "A 4532-2025")</f>
        <v/>
      </c>
      <c r="AB203">
        <f>HYPERLINK("https://klasma.github.io/Logging_0188/tillsynsmail/A 4532-2025 tillsynsbegäran mail.docx", "A 4532-2025")</f>
        <v/>
      </c>
    </row>
    <row r="204" ht="15" customHeight="1">
      <c r="A204" t="inlineStr">
        <is>
          <t>A 24563-2024</t>
        </is>
      </c>
      <c r="B204" t="inlineStr">
        <is>
          <t>avverkningsanmälan</t>
        </is>
      </c>
      <c r="C204" t="inlineStr">
        <is>
          <t>Föryngringsavverkning</t>
        </is>
      </c>
      <c r="D204" s="1" t="n">
        <v>45460</v>
      </c>
      <c r="E204" s="1" t="n">
        <v>46219</v>
      </c>
      <c r="F204" t="inlineStr">
        <is>
          <t>STOCKHOLMS LÄN</t>
        </is>
      </c>
      <c r="G204" t="inlineStr">
        <is>
          <t>NORRTÄLJE</t>
        </is>
      </c>
      <c r="I204" t="n">
        <v>1.9</v>
      </c>
      <c r="J204" t="n">
        <v>1</v>
      </c>
      <c r="K204" t="n">
        <v>0</v>
      </c>
      <c r="L204" t="n">
        <v>0</v>
      </c>
      <c r="M204" t="n">
        <v>0</v>
      </c>
      <c r="N204" t="n">
        <v>0</v>
      </c>
      <c r="O204" t="n">
        <v>0</v>
      </c>
      <c r="P204" t="n">
        <v>0</v>
      </c>
      <c r="Q204" t="n">
        <v>0</v>
      </c>
      <c r="R204" t="n">
        <v>0</v>
      </c>
      <c r="S204" t="n">
        <v>1</v>
      </c>
      <c r="T204" t="n">
        <v>1</v>
      </c>
      <c r="U204" s="2" t="inlineStr">
        <is>
          <t>Blåsippa</t>
        </is>
      </c>
      <c r="V204">
        <f>HYPERLINK("https://klasma.github.io/Logging_0188/artfynd/A 24563-2024 artfynd.xlsx", "A 24563-2024")</f>
        <v/>
      </c>
      <c r="W204">
        <f>HYPERLINK("https://klasma.github.io/Logging_0188/kartor/A 24563-2024 karta.png", "A 24563-2024")</f>
        <v/>
      </c>
      <c r="Y204">
        <f>HYPERLINK("https://klasma.github.io/Logging_0188/klagomål/A 24563-2024 FSC-klagomål.docx", "A 24563-2024")</f>
        <v/>
      </c>
      <c r="Z204">
        <f>HYPERLINK("https://klasma.github.io/Logging_0188/klagomålsmail/A 24563-2024 FSC-klagomål mail.docx", "A 24563-2024")</f>
        <v/>
      </c>
      <c r="AA204">
        <f>HYPERLINK("https://klasma.github.io/Logging_0188/tillsyn/A 24563-2024 tillsynsbegäran.docx", "A 24563-2024")</f>
        <v/>
      </c>
      <c r="AB204">
        <f>HYPERLINK("https://klasma.github.io/Logging_0188/tillsynsmail/A 24563-2024 tillsynsbegäran mail.docx", "A 24563-2024")</f>
        <v/>
      </c>
    </row>
    <row r="205" ht="15" customHeight="1">
      <c r="A205" t="inlineStr">
        <is>
          <t>A 23905-2025</t>
        </is>
      </c>
      <c r="B205" t="inlineStr">
        <is>
          <t>avverkningsanmälan</t>
        </is>
      </c>
      <c r="C205" t="inlineStr">
        <is>
          <t>Föryngringsavverkning</t>
        </is>
      </c>
      <c r="D205" s="1" t="n">
        <v>45794</v>
      </c>
      <c r="E205" s="1" t="n">
        <v>46219</v>
      </c>
      <c r="F205" t="inlineStr">
        <is>
          <t>STOCKHOLMS LÄN</t>
        </is>
      </c>
      <c r="G205" t="inlineStr">
        <is>
          <t>NORRTÄLJE</t>
        </is>
      </c>
      <c r="I205" t="n">
        <v>8.4</v>
      </c>
      <c r="J205" t="n">
        <v>1</v>
      </c>
      <c r="K205" t="n">
        <v>0</v>
      </c>
      <c r="L205" t="n">
        <v>0</v>
      </c>
      <c r="M205" t="n">
        <v>0</v>
      </c>
      <c r="N205" t="n">
        <v>0</v>
      </c>
      <c r="O205" t="n">
        <v>0</v>
      </c>
      <c r="P205" t="n">
        <v>0</v>
      </c>
      <c r="Q205" t="n">
        <v>0</v>
      </c>
      <c r="R205" t="n">
        <v>0</v>
      </c>
      <c r="S205" t="n">
        <v>1</v>
      </c>
      <c r="T205" t="n">
        <v>1</v>
      </c>
      <c r="U205" s="2" t="inlineStr">
        <is>
          <t>Blåsippa</t>
        </is>
      </c>
      <c r="V205">
        <f>HYPERLINK("https://klasma.github.io/Logging_0188/artfynd/A 23905-2025 artfynd.xlsx", "A 23905-2025")</f>
        <v/>
      </c>
      <c r="W205">
        <f>HYPERLINK("https://klasma.github.io/Logging_0188/kartor/A 23905-2025 karta.png", "A 23905-2025")</f>
        <v/>
      </c>
      <c r="Y205">
        <f>HYPERLINK("https://klasma.github.io/Logging_0188/klagomål/A 23905-2025 FSC-klagomål.docx", "A 23905-2025")</f>
        <v/>
      </c>
      <c r="Z205">
        <f>HYPERLINK("https://klasma.github.io/Logging_0188/klagomålsmail/A 23905-2025 FSC-klagomål mail.docx", "A 23905-2025")</f>
        <v/>
      </c>
      <c r="AA205">
        <f>HYPERLINK("https://klasma.github.io/Logging_0188/tillsyn/A 23905-2025 tillsynsbegäran.docx", "A 23905-2025")</f>
        <v/>
      </c>
      <c r="AB205">
        <f>HYPERLINK("https://klasma.github.io/Logging_0188/tillsynsmail/A 23905-2025 tillsynsbegäran mail.docx", "A 23905-2025")</f>
        <v/>
      </c>
    </row>
    <row r="206" ht="15" customHeight="1">
      <c r="A206" t="inlineStr">
        <is>
          <t>A 51312-2023</t>
        </is>
      </c>
      <c r="B206" t="inlineStr">
        <is>
          <t>avverkningsanmälan</t>
        </is>
      </c>
      <c r="C206" t="inlineStr">
        <is>
          <t>Föryngringsavverkning</t>
        </is>
      </c>
      <c r="D206" s="1" t="n">
        <v>45219</v>
      </c>
      <c r="E206" s="1" t="n">
        <v>46219</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s="2" t="inlineStr">
        <is>
          <t>Hällebräcka</t>
        </is>
      </c>
      <c r="V206">
        <f>HYPERLINK("https://klasma.github.io/Logging_0188/artfynd/A 51312-2023 artfynd.xlsx", "A 51312-2023")</f>
        <v/>
      </c>
      <c r="W206">
        <f>HYPERLINK("https://klasma.github.io/Logging_0188/kartor/A 51312-2023 karta.png", "A 51312-2023")</f>
        <v/>
      </c>
      <c r="Y206">
        <f>HYPERLINK("https://klasma.github.io/Logging_0188/klagomål/A 51312-2023 FSC-klagomål.docx", "A 51312-2023")</f>
        <v/>
      </c>
      <c r="Z206">
        <f>HYPERLINK("https://klasma.github.io/Logging_0188/klagomålsmail/A 51312-2023 FSC-klagomål mail.docx", "A 51312-2023")</f>
        <v/>
      </c>
      <c r="AA206">
        <f>HYPERLINK("https://klasma.github.io/Logging_0188/tillsyn/A 51312-2023 tillsynsbegäran.docx", "A 51312-2023")</f>
        <v/>
      </c>
      <c r="AB206">
        <f>HYPERLINK("https://klasma.github.io/Logging_0188/tillsynsmail/A 51312-2023 tillsynsbegäran mail.docx", "A 51312-2023")</f>
        <v/>
      </c>
    </row>
    <row r="207" ht="15" customHeight="1">
      <c r="A207" t="inlineStr">
        <is>
          <t>A 38610-2022</t>
        </is>
      </c>
      <c r="B207" t="inlineStr">
        <is>
          <t>avverkningsanmälan</t>
        </is>
      </c>
      <c r="C207" t="inlineStr">
        <is>
          <t>Föryngringsavverkning</t>
        </is>
      </c>
      <c r="D207" s="1" t="n">
        <v>44813</v>
      </c>
      <c r="E207" s="1" t="n">
        <v>46219</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s="2" t="inlineStr">
        <is>
          <t>Hällebräcka</t>
        </is>
      </c>
      <c r="V207">
        <f>HYPERLINK("https://klasma.github.io/Logging_0188/artfynd/A 38610-2022 artfynd.xlsx", "A 38610-2022")</f>
        <v/>
      </c>
      <c r="W207">
        <f>HYPERLINK("https://klasma.github.io/Logging_0188/kartor/A 38610-2022 karta.png", "A 38610-2022")</f>
        <v/>
      </c>
      <c r="Y207">
        <f>HYPERLINK("https://klasma.github.io/Logging_0188/klagomål/A 38610-2022 FSC-klagomål.docx", "A 38610-2022")</f>
        <v/>
      </c>
      <c r="Z207">
        <f>HYPERLINK("https://klasma.github.io/Logging_0188/klagomålsmail/A 38610-2022 FSC-klagomål mail.docx", "A 38610-2022")</f>
        <v/>
      </c>
      <c r="AA207">
        <f>HYPERLINK("https://klasma.github.io/Logging_0188/tillsyn/A 38610-2022 tillsynsbegäran.docx", "A 38610-2022")</f>
        <v/>
      </c>
      <c r="AB207">
        <f>HYPERLINK("https://klasma.github.io/Logging_0188/tillsynsmail/A 38610-2022 tillsynsbegäran mail.docx", "A 38610-2022")</f>
        <v/>
      </c>
    </row>
    <row r="208" ht="15" customHeight="1">
      <c r="A208" t="inlineStr">
        <is>
          <t>A 21150-2022</t>
        </is>
      </c>
      <c r="B208" t="inlineStr">
        <is>
          <t>avverkningsanmälan</t>
        </is>
      </c>
      <c r="C208" t="inlineStr">
        <is>
          <t>Föryngringsavverkning</t>
        </is>
      </c>
      <c r="D208" s="1" t="n">
        <v>44704</v>
      </c>
      <c r="E208" s="1" t="n">
        <v>46219</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s="2" t="inlineStr">
        <is>
          <t>Asknätfjäril</t>
        </is>
      </c>
      <c r="V208">
        <f>HYPERLINK("https://klasma.github.io/Logging_0188/artfynd/A 21150-2022 artfynd.xlsx", "A 21150-2022")</f>
        <v/>
      </c>
      <c r="W208">
        <f>HYPERLINK("https://klasma.github.io/Logging_0188/kartor/A 21150-2022 karta.png", "A 21150-2022")</f>
        <v/>
      </c>
      <c r="Y208">
        <f>HYPERLINK("https://klasma.github.io/Logging_0188/klagomål/A 21150-2022 FSC-klagomål.docx", "A 21150-2022")</f>
        <v/>
      </c>
      <c r="Z208">
        <f>HYPERLINK("https://klasma.github.io/Logging_0188/klagomålsmail/A 21150-2022 FSC-klagomål mail.docx", "A 21150-2022")</f>
        <v/>
      </c>
      <c r="AA208">
        <f>HYPERLINK("https://klasma.github.io/Logging_0188/tillsyn/A 21150-2022 tillsynsbegäran.docx", "A 21150-2022")</f>
        <v/>
      </c>
      <c r="AB208">
        <f>HYPERLINK("https://klasma.github.io/Logging_0188/tillsynsmail/A 21150-2022 tillsynsbegäran mail.docx", "A 21150-2022")</f>
        <v/>
      </c>
    </row>
    <row r="209" ht="15" customHeight="1">
      <c r="A209" t="inlineStr">
        <is>
          <t>A 13109-2026</t>
        </is>
      </c>
      <c r="B209" t="inlineStr">
        <is>
          <t>avverkningsanmälan</t>
        </is>
      </c>
      <c r="C209" t="inlineStr">
        <is>
          <t>Föryngringsavverkning</t>
        </is>
      </c>
      <c r="D209" s="1" t="n">
        <v>46093</v>
      </c>
      <c r="E209" s="1" t="n">
        <v>46219</v>
      </c>
      <c r="F209" t="inlineStr">
        <is>
          <t>STOCKHOLMS LÄN</t>
        </is>
      </c>
      <c r="G209" t="inlineStr">
        <is>
          <t>NORRTÄLJE</t>
        </is>
      </c>
      <c r="I209" t="n">
        <v>4</v>
      </c>
      <c r="J209" t="n">
        <v>1</v>
      </c>
      <c r="K209" t="n">
        <v>0</v>
      </c>
      <c r="L209" t="n">
        <v>0</v>
      </c>
      <c r="M209" t="n">
        <v>0</v>
      </c>
      <c r="N209" t="n">
        <v>1</v>
      </c>
      <c r="O209" t="n">
        <v>0</v>
      </c>
      <c r="P209" t="n">
        <v>0</v>
      </c>
      <c r="Q209" t="n">
        <v>1</v>
      </c>
      <c r="R209" t="n">
        <v>1</v>
      </c>
      <c r="S209" t="n">
        <v>1</v>
      </c>
      <c r="T209" t="n">
        <v>13</v>
      </c>
      <c r="U209" s="2" t="inlineStr">
        <is>
          <t>Asknätfjäril</t>
        </is>
      </c>
      <c r="V209">
        <f>HYPERLINK("https://klasma.github.io/Logging_0188/artfynd/A 13109-2026 artfynd.xlsx", "A 13109-2026")</f>
        <v/>
      </c>
      <c r="W209">
        <f>HYPERLINK("https://klasma.github.io/Logging_0188/kartor/A 13109-2026 karta.png", "A 13109-2026")</f>
        <v/>
      </c>
      <c r="Y209">
        <f>HYPERLINK("https://klasma.github.io/Logging_0188/klagomål/A 13109-2026 FSC-klagomål.docx", "A 13109-2026")</f>
        <v/>
      </c>
      <c r="Z209">
        <f>HYPERLINK("https://klasma.github.io/Logging_0188/klagomålsmail/A 13109-2026 FSC-klagomål mail.docx", "A 13109-2026")</f>
        <v/>
      </c>
      <c r="AA209">
        <f>HYPERLINK("https://klasma.github.io/Logging_0188/tillsyn/A 13109-2026 tillsynsbegäran.docx", "A 13109-2026")</f>
        <v/>
      </c>
      <c r="AB209">
        <f>HYPERLINK("https://klasma.github.io/Logging_0188/tillsynsmail/A 13109-2026 tillsynsbegäran mail.docx", "A 13109-2026")</f>
        <v/>
      </c>
    </row>
    <row r="210" ht="15" customHeight="1">
      <c r="A210" t="inlineStr">
        <is>
          <t>A 11-2024</t>
        </is>
      </c>
      <c r="B210" t="inlineStr">
        <is>
          <t>avverkningsanmälan</t>
        </is>
      </c>
      <c r="C210" t="inlineStr">
        <is>
          <t>Avverkning för annat ändamål</t>
        </is>
      </c>
      <c r="D210" s="1" t="n">
        <v>45293</v>
      </c>
      <c r="E210" s="1" t="n">
        <v>46219</v>
      </c>
      <c r="F210" t="inlineStr">
        <is>
          <t>STOCKHOLMS LÄN</t>
        </is>
      </c>
      <c r="G210" t="inlineStr">
        <is>
          <t>NORRTÄLJE</t>
        </is>
      </c>
      <c r="H210" t="inlineStr">
        <is>
          <t>Sveaskog</t>
        </is>
      </c>
      <c r="I210" t="n">
        <v>3.2</v>
      </c>
      <c r="J210" t="n">
        <v>1</v>
      </c>
      <c r="K210" t="n">
        <v>0</v>
      </c>
      <c r="L210" t="n">
        <v>1</v>
      </c>
      <c r="M210" t="n">
        <v>0</v>
      </c>
      <c r="N210" t="n">
        <v>0</v>
      </c>
      <c r="O210" t="n">
        <v>0</v>
      </c>
      <c r="P210" t="n">
        <v>0</v>
      </c>
      <c r="Q210" t="n">
        <v>1</v>
      </c>
      <c r="R210" t="n">
        <v>0</v>
      </c>
      <c r="S210" t="n">
        <v>1</v>
      </c>
      <c r="T210" t="n">
        <v>1</v>
      </c>
      <c r="U210" s="2" t="inlineStr">
        <is>
          <t>Talltita</t>
        </is>
      </c>
      <c r="V210">
        <f>HYPERLINK("https://klasma.github.io/Logging_0188/artfynd/A 11-2024 artfynd.xlsx", "A 11-2024")</f>
        <v/>
      </c>
      <c r="W210">
        <f>HYPERLINK("https://klasma.github.io/Logging_0188/kartor/A 11-2024 karta.png", "A 11-2024")</f>
        <v/>
      </c>
      <c r="Y210">
        <f>HYPERLINK("https://klasma.github.io/Logging_0188/klagomål/A 11-2024 FSC-klagomål.docx", "A 11-2024")</f>
        <v/>
      </c>
      <c r="Z210">
        <f>HYPERLINK("https://klasma.github.io/Logging_0188/klagomålsmail/A 11-2024 FSC-klagomål mail.docx", "A 11-2024")</f>
        <v/>
      </c>
      <c r="AA210">
        <f>HYPERLINK("https://klasma.github.io/Logging_0188/tillsyn/A 11-2024 tillsynsbegäran.docx", "A 11-2024")</f>
        <v/>
      </c>
      <c r="AB210">
        <f>HYPERLINK("https://klasma.github.io/Logging_0188/tillsynsmail/A 11-2024 tillsynsbegäran mail.docx", "A 11-2024")</f>
        <v/>
      </c>
      <c r="AC210">
        <f>HYPERLINK("https://klasma.github.io/Logging_0188/fåglar/A 11-2024 prioriterade fågelarter.docx", "A 11-2024")</f>
        <v/>
      </c>
    </row>
    <row r="211" ht="15" customHeight="1">
      <c r="A211" t="inlineStr">
        <is>
          <t>A 35764-2024</t>
        </is>
      </c>
      <c r="B211" t="inlineStr">
        <is>
          <t>avverkningsanmälan</t>
        </is>
      </c>
      <c r="C211" t="inlineStr">
        <is>
          <t>Föryngringsavverkning</t>
        </is>
      </c>
      <c r="D211" s="1" t="n">
        <v>45532</v>
      </c>
      <c r="E211" s="1" t="n">
        <v>46219</v>
      </c>
      <c r="F211" t="inlineStr">
        <is>
          <t>STOCKHOLMS LÄN</t>
        </is>
      </c>
      <c r="G211" t="inlineStr">
        <is>
          <t>NORRTÄLJE</t>
        </is>
      </c>
      <c r="I211" t="n">
        <v>14.2</v>
      </c>
      <c r="J211" t="n">
        <v>1</v>
      </c>
      <c r="K211" t="n">
        <v>0</v>
      </c>
      <c r="L211" t="n">
        <v>0</v>
      </c>
      <c r="M211" t="n">
        <v>1</v>
      </c>
      <c r="N211" t="n">
        <v>0</v>
      </c>
      <c r="O211" t="n">
        <v>0</v>
      </c>
      <c r="P211" t="n">
        <v>0</v>
      </c>
      <c r="Q211" t="n">
        <v>1</v>
      </c>
      <c r="R211" t="n">
        <v>1</v>
      </c>
      <c r="S211" t="n">
        <v>1</v>
      </c>
      <c r="T211" t="n">
        <v>3</v>
      </c>
      <c r="U211" s="2" t="inlineStr">
        <is>
          <t>Knärot</t>
        </is>
      </c>
      <c r="V211">
        <f>HYPERLINK("https://klasma.github.io/Logging_0188/artfynd/A 35764-2024 artfynd.xlsx", "A 35764-2024")</f>
        <v/>
      </c>
      <c r="W211">
        <f>HYPERLINK("https://klasma.github.io/Logging_0188/kartor/A 35764-2024 karta.png", "A 35764-2024")</f>
        <v/>
      </c>
      <c r="X211">
        <f>HYPERLINK("https://klasma.github.io/Logging_0188/knärot/A 35764-2024 karta knärot.png", "A 35764-2024")</f>
        <v/>
      </c>
      <c r="Y211">
        <f>HYPERLINK("https://klasma.github.io/Logging_0188/klagomål/A 35764-2024 FSC-klagomål.docx", "A 35764-2024")</f>
        <v/>
      </c>
      <c r="Z211">
        <f>HYPERLINK("https://klasma.github.io/Logging_0188/klagomålsmail/A 35764-2024 FSC-klagomål mail.docx", "A 35764-2024")</f>
        <v/>
      </c>
      <c r="AA211">
        <f>HYPERLINK("https://klasma.github.io/Logging_0188/tillsyn/A 35764-2024 tillsynsbegäran.docx", "A 35764-2024")</f>
        <v/>
      </c>
      <c r="AB211">
        <f>HYPERLINK("https://klasma.github.io/Logging_0188/tillsynsmail/A 35764-2024 tillsynsbegäran mail.docx", "A 35764-2024")</f>
        <v/>
      </c>
    </row>
    <row r="212" ht="15" customHeight="1">
      <c r="A212" t="inlineStr">
        <is>
          <t>A 26120-2024</t>
        </is>
      </c>
      <c r="B212" t="inlineStr">
        <is>
          <t>avverkningsanmälan</t>
        </is>
      </c>
      <c r="C212" t="inlineStr">
        <is>
          <t>Föryngringsavverkning</t>
        </is>
      </c>
      <c r="D212" s="1" t="n">
        <v>45468</v>
      </c>
      <c r="E212" s="1" t="n">
        <v>46219</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s="2" t="inlineStr">
        <is>
          <t>Majviva</t>
        </is>
      </c>
      <c r="V212">
        <f>HYPERLINK("https://klasma.github.io/Logging_0188/artfynd/A 26120-2024 artfynd.xlsx", "A 26120-2024")</f>
        <v/>
      </c>
      <c r="W212">
        <f>HYPERLINK("https://klasma.github.io/Logging_0188/kartor/A 26120-2024 karta.png", "A 26120-2024")</f>
        <v/>
      </c>
      <c r="Y212">
        <f>HYPERLINK("https://klasma.github.io/Logging_0188/klagomål/A 26120-2024 FSC-klagomål.docx", "A 26120-2024")</f>
        <v/>
      </c>
      <c r="Z212">
        <f>HYPERLINK("https://klasma.github.io/Logging_0188/klagomålsmail/A 26120-2024 FSC-klagomål mail.docx", "A 26120-2024")</f>
        <v/>
      </c>
      <c r="AA212">
        <f>HYPERLINK("https://klasma.github.io/Logging_0188/tillsyn/A 26120-2024 tillsynsbegäran.docx", "A 26120-2024")</f>
        <v/>
      </c>
      <c r="AB212">
        <f>HYPERLINK("https://klasma.github.io/Logging_0188/tillsynsmail/A 26120-2024 tillsynsbegäran mail.docx", "A 26120-2024")</f>
        <v/>
      </c>
    </row>
    <row r="213" ht="15" customHeight="1">
      <c r="A213" t="inlineStr">
        <is>
          <t>A 11429-2023</t>
        </is>
      </c>
      <c r="B213" t="inlineStr">
        <is>
          <t>avverkningsanmälan</t>
        </is>
      </c>
      <c r="C213" t="inlineStr">
        <is>
          <t>Avverkning för annat ändamål</t>
        </is>
      </c>
      <c r="D213" s="1" t="n">
        <v>44993</v>
      </c>
      <c r="E213" s="1" t="n">
        <v>46219</v>
      </c>
      <c r="F213" t="inlineStr">
        <is>
          <t>STOCKHOLMS LÄN</t>
        </is>
      </c>
      <c r="G213" t="inlineStr">
        <is>
          <t>NORRTÄLJE</t>
        </is>
      </c>
      <c r="I213" t="n">
        <v>2</v>
      </c>
      <c r="J213" t="n">
        <v>0</v>
      </c>
      <c r="K213" t="n">
        <v>0</v>
      </c>
      <c r="L213" t="n">
        <v>1</v>
      </c>
      <c r="M213" t="n">
        <v>0</v>
      </c>
      <c r="N213" t="n">
        <v>0</v>
      </c>
      <c r="O213" t="n">
        <v>0</v>
      </c>
      <c r="P213" t="n">
        <v>0</v>
      </c>
      <c r="Q213" t="n">
        <v>1</v>
      </c>
      <c r="R213" t="n">
        <v>0</v>
      </c>
      <c r="S213" t="n">
        <v>1</v>
      </c>
      <c r="T213" t="n">
        <v>2</v>
      </c>
      <c r="U213" s="2" t="inlineStr">
        <is>
          <t>Skogsklocka</t>
        </is>
      </c>
      <c r="V213">
        <f>HYPERLINK("https://klasma.github.io/Logging_0188/artfynd/A 11429-2023 artfynd.xlsx", "A 11429-2023")</f>
        <v/>
      </c>
      <c r="W213">
        <f>HYPERLINK("https://klasma.github.io/Logging_0188/kartor/A 11429-2023 karta.png", "A 11429-2023")</f>
        <v/>
      </c>
      <c r="Y213">
        <f>HYPERLINK("https://klasma.github.io/Logging_0188/klagomål/A 11429-2023 FSC-klagomål.docx", "A 11429-2023")</f>
        <v/>
      </c>
      <c r="Z213">
        <f>HYPERLINK("https://klasma.github.io/Logging_0188/klagomålsmail/A 11429-2023 FSC-klagomål mail.docx", "A 11429-2023")</f>
        <v/>
      </c>
      <c r="AA213">
        <f>HYPERLINK("https://klasma.github.io/Logging_0188/tillsyn/A 11429-2023 tillsynsbegäran.docx", "A 11429-2023")</f>
        <v/>
      </c>
      <c r="AB213">
        <f>HYPERLINK("https://klasma.github.io/Logging_0188/tillsynsmail/A 11429-2023 tillsynsbegäran mail.docx", "A 11429-2023")</f>
        <v/>
      </c>
    </row>
    <row r="214" ht="15" customHeight="1">
      <c r="A214" t="inlineStr">
        <is>
          <t>A 28365-2022</t>
        </is>
      </c>
      <c r="B214" t="inlineStr">
        <is>
          <t>avverkningsanmälan</t>
        </is>
      </c>
      <c r="C214" t="inlineStr">
        <is>
          <t>Avverkning för annat ändamål</t>
        </is>
      </c>
      <c r="D214" s="1" t="n">
        <v>44747</v>
      </c>
      <c r="E214" s="1" t="n">
        <v>46219</v>
      </c>
      <c r="F214" t="inlineStr">
        <is>
          <t>STOCKHOLMS LÄN</t>
        </is>
      </c>
      <c r="G214" t="inlineStr">
        <is>
          <t>NORRTÄLJE</t>
        </is>
      </c>
      <c r="I214" t="n">
        <v>5.1</v>
      </c>
      <c r="J214" t="n">
        <v>0</v>
      </c>
      <c r="K214" t="n">
        <v>0</v>
      </c>
      <c r="L214" t="n">
        <v>1</v>
      </c>
      <c r="M214" t="n">
        <v>0</v>
      </c>
      <c r="N214" t="n">
        <v>0</v>
      </c>
      <c r="O214" t="n">
        <v>0</v>
      </c>
      <c r="P214" t="n">
        <v>0</v>
      </c>
      <c r="Q214" t="n">
        <v>1</v>
      </c>
      <c r="R214" t="n">
        <v>0</v>
      </c>
      <c r="S214" t="n">
        <v>1</v>
      </c>
      <c r="T214" t="n">
        <v>1</v>
      </c>
      <c r="U214" s="2" t="inlineStr">
        <is>
          <t>Oxtungssvamp</t>
        </is>
      </c>
      <c r="V214">
        <f>HYPERLINK("https://klasma.github.io/Logging_0188/artfynd/A 28365-2022 artfynd.xlsx", "A 28365-2022")</f>
        <v/>
      </c>
      <c r="W214">
        <f>HYPERLINK("https://klasma.github.io/Logging_0188/kartor/A 28365-2022 karta.png", "A 28365-2022")</f>
        <v/>
      </c>
      <c r="Y214">
        <f>HYPERLINK("https://klasma.github.io/Logging_0188/klagomål/A 28365-2022 FSC-klagomål.docx", "A 28365-2022")</f>
        <v/>
      </c>
      <c r="Z214">
        <f>HYPERLINK("https://klasma.github.io/Logging_0188/klagomålsmail/A 28365-2022 FSC-klagomål mail.docx", "A 28365-2022")</f>
        <v/>
      </c>
      <c r="AA214">
        <f>HYPERLINK("https://klasma.github.io/Logging_0188/tillsyn/A 28365-2022 tillsynsbegäran.docx", "A 28365-2022")</f>
        <v/>
      </c>
      <c r="AB214">
        <f>HYPERLINK("https://klasma.github.io/Logging_0188/tillsynsmail/A 28365-2022 tillsynsbegäran mail.docx", "A 28365-2022")</f>
        <v/>
      </c>
    </row>
    <row r="215" ht="15" customHeight="1">
      <c r="A215" t="inlineStr">
        <is>
          <t>A 6381-2023</t>
        </is>
      </c>
      <c r="B215" t="inlineStr">
        <is>
          <t>avverkningsanmälan</t>
        </is>
      </c>
      <c r="C215" t="inlineStr">
        <is>
          <t>Avverkning för annat ändamål</t>
        </is>
      </c>
      <c r="D215" s="1" t="n">
        <v>44965</v>
      </c>
      <c r="E215" s="1" t="n">
        <v>46219</v>
      </c>
      <c r="F215" t="inlineStr">
        <is>
          <t>STOCKHOLMS LÄN</t>
        </is>
      </c>
      <c r="G215" t="inlineStr">
        <is>
          <t>NORRTÄLJE</t>
        </is>
      </c>
      <c r="I215" t="n">
        <v>3.5</v>
      </c>
      <c r="J215" t="n">
        <v>1</v>
      </c>
      <c r="K215" t="n">
        <v>1</v>
      </c>
      <c r="L215" t="n">
        <v>0</v>
      </c>
      <c r="M215" t="n">
        <v>0</v>
      </c>
      <c r="N215" t="n">
        <v>0</v>
      </c>
      <c r="O215" t="n">
        <v>0</v>
      </c>
      <c r="P215" t="n">
        <v>0</v>
      </c>
      <c r="Q215" t="n">
        <v>0</v>
      </c>
      <c r="R215" t="n">
        <v>0</v>
      </c>
      <c r="S215" t="n">
        <v>1</v>
      </c>
      <c r="T215" t="n">
        <v>2</v>
      </c>
      <c r="U215" s="2" t="inlineStr">
        <is>
          <t>Guckusko</t>
        </is>
      </c>
      <c r="V215">
        <f>HYPERLINK("https://klasma.github.io/Logging_0188/artfynd/A 6381-2023 artfynd.xlsx", "A 6381-2023")</f>
        <v/>
      </c>
      <c r="W215">
        <f>HYPERLINK("https://klasma.github.io/Logging_0188/kartor/A 6381-2023 karta.png", "A 6381-2023")</f>
        <v/>
      </c>
      <c r="Y215">
        <f>HYPERLINK("https://klasma.github.io/Logging_0188/klagomål/A 6381-2023 FSC-klagomål.docx", "A 6381-2023")</f>
        <v/>
      </c>
      <c r="Z215">
        <f>HYPERLINK("https://klasma.github.io/Logging_0188/klagomålsmail/A 6381-2023 FSC-klagomål mail.docx", "A 6381-2023")</f>
        <v/>
      </c>
      <c r="AA215">
        <f>HYPERLINK("https://klasma.github.io/Logging_0188/tillsyn/A 6381-2023 tillsynsbegäran.docx", "A 6381-2023")</f>
        <v/>
      </c>
      <c r="AB215">
        <f>HYPERLINK("https://klasma.github.io/Logging_0188/tillsynsmail/A 6381-2023 tillsynsbegäran mail.docx", "A 6381-2023")</f>
        <v/>
      </c>
    </row>
    <row r="216" ht="15" customHeight="1">
      <c r="A216" t="inlineStr">
        <is>
          <t>A 19355-2026</t>
        </is>
      </c>
      <c r="B216" t="inlineStr">
        <is>
          <t>avverkningsanmälan</t>
        </is>
      </c>
      <c r="C216" t="inlineStr">
        <is>
          <t>Föryngringsavverkning</t>
        </is>
      </c>
      <c r="D216" s="1" t="n">
        <v>46133</v>
      </c>
      <c r="E216" s="1" t="n">
        <v>46219</v>
      </c>
      <c r="F216" t="inlineStr">
        <is>
          <t>STOCKHOLMS LÄN</t>
        </is>
      </c>
      <c r="G216" t="inlineStr">
        <is>
          <t>NORRTÄLJE</t>
        </is>
      </c>
      <c r="I216" t="n">
        <v>22.5</v>
      </c>
      <c r="J216" t="n">
        <v>0</v>
      </c>
      <c r="K216" t="n">
        <v>1</v>
      </c>
      <c r="L216" t="n">
        <v>0</v>
      </c>
      <c r="M216" t="n">
        <v>0</v>
      </c>
      <c r="N216" t="n">
        <v>0</v>
      </c>
      <c r="O216" t="n">
        <v>0</v>
      </c>
      <c r="P216" t="n">
        <v>0</v>
      </c>
      <c r="Q216" t="n">
        <v>0</v>
      </c>
      <c r="R216" t="n">
        <v>0</v>
      </c>
      <c r="S216" t="n">
        <v>1</v>
      </c>
      <c r="T216" t="n">
        <v>1</v>
      </c>
      <c r="U216" s="2" t="inlineStr">
        <is>
          <t>Mönjevaxing</t>
        </is>
      </c>
      <c r="V216">
        <f>HYPERLINK("https://klasma.github.io/Logging_0188/artfynd/A 19355-2026 artfynd.xlsx", "A 19355-2026")</f>
        <v/>
      </c>
      <c r="W216">
        <f>HYPERLINK("https://klasma.github.io/Logging_0188/kartor/A 19355-2026 karta.png", "A 19355-2026")</f>
        <v/>
      </c>
      <c r="Y216">
        <f>HYPERLINK("https://klasma.github.io/Logging_0188/klagomål/A 19355-2026 FSC-klagomål.docx", "A 19355-2026")</f>
        <v/>
      </c>
      <c r="Z216">
        <f>HYPERLINK("https://klasma.github.io/Logging_0188/klagomålsmail/A 19355-2026 FSC-klagomål mail.docx", "A 19355-2026")</f>
        <v/>
      </c>
      <c r="AA216">
        <f>HYPERLINK("https://klasma.github.io/Logging_0188/tillsyn/A 19355-2026 tillsynsbegäran.docx", "A 19355-2026")</f>
        <v/>
      </c>
      <c r="AB216">
        <f>HYPERLINK("https://klasma.github.io/Logging_0188/tillsynsmail/A 19355-2026 tillsynsbegäran mail.docx", "A 19355-2026")</f>
        <v/>
      </c>
    </row>
    <row r="217" ht="15" customHeight="1">
      <c r="A217" t="inlineStr">
        <is>
          <t>A 64456-2023</t>
        </is>
      </c>
      <c r="B217" t="inlineStr">
        <is>
          <t>avverkningsanmälan</t>
        </is>
      </c>
      <c r="C217" t="inlineStr">
        <is>
          <t>Avverkning för att bevara och utveckla /försöksver</t>
        </is>
      </c>
      <c r="D217" s="1" t="n">
        <v>45280</v>
      </c>
      <c r="E217" s="1" t="n">
        <v>46219</v>
      </c>
      <c r="F217" t="inlineStr">
        <is>
          <t>STOCKHOLMS LÄN</t>
        </is>
      </c>
      <c r="G217" t="inlineStr">
        <is>
          <t>NORRTÄLJE</t>
        </is>
      </c>
      <c r="I217" t="n">
        <v>2.5</v>
      </c>
      <c r="J217" t="n">
        <v>0</v>
      </c>
      <c r="K217" t="n">
        <v>1</v>
      </c>
      <c r="L217" t="n">
        <v>0</v>
      </c>
      <c r="M217" t="n">
        <v>0</v>
      </c>
      <c r="N217" t="n">
        <v>0</v>
      </c>
      <c r="O217" t="n">
        <v>0</v>
      </c>
      <c r="P217" t="n">
        <v>0</v>
      </c>
      <c r="Q217" t="n">
        <v>0</v>
      </c>
      <c r="R217" t="n">
        <v>0</v>
      </c>
      <c r="S217" t="n">
        <v>1</v>
      </c>
      <c r="T217" t="n">
        <v>1</v>
      </c>
      <c r="U217" s="2" t="inlineStr">
        <is>
          <t>Rödgul trumpetsvamp</t>
        </is>
      </c>
      <c r="V217">
        <f>HYPERLINK("https://klasma.github.io/Logging_0188/artfynd/A 64456-2023 artfynd.xlsx", "A 64456-2023")</f>
        <v/>
      </c>
      <c r="W217">
        <f>HYPERLINK("https://klasma.github.io/Logging_0188/kartor/A 64456-2023 karta.png", "A 64456-2023")</f>
        <v/>
      </c>
      <c r="Y217">
        <f>HYPERLINK("https://klasma.github.io/Logging_0188/klagomål/A 64456-2023 FSC-klagomål.docx", "A 64456-2023")</f>
        <v/>
      </c>
      <c r="Z217">
        <f>HYPERLINK("https://klasma.github.io/Logging_0188/klagomålsmail/A 64456-2023 FSC-klagomål mail.docx", "A 64456-2023")</f>
        <v/>
      </c>
      <c r="AA217">
        <f>HYPERLINK("https://klasma.github.io/Logging_0188/tillsyn/A 64456-2023 tillsynsbegäran.docx", "A 64456-2023")</f>
        <v/>
      </c>
      <c r="AB217">
        <f>HYPERLINK("https://klasma.github.io/Logging_0188/tillsynsmail/A 64456-2023 tillsynsbegäran mail.docx", "A 64456-2023")</f>
        <v/>
      </c>
    </row>
    <row r="218" ht="15" customHeight="1">
      <c r="A218" t="inlineStr">
        <is>
          <t>A 29946-2025</t>
        </is>
      </c>
      <c r="B218" t="inlineStr">
        <is>
          <t>avverkningsanmälan</t>
        </is>
      </c>
      <c r="C218" t="inlineStr">
        <is>
          <t>Föryngringsavverkning</t>
        </is>
      </c>
      <c r="D218" s="1" t="n">
        <v>45826</v>
      </c>
      <c r="E218" s="1" t="n">
        <v>46219</v>
      </c>
      <c r="F218" t="inlineStr">
        <is>
          <t>STOCKHOLMS LÄN</t>
        </is>
      </c>
      <c r="G218" t="inlineStr">
        <is>
          <t>NORRTÄLJE</t>
        </is>
      </c>
      <c r="H218" t="inlineStr">
        <is>
          <t>Holmen skog AB</t>
        </is>
      </c>
      <c r="I218" t="n">
        <v>3.6</v>
      </c>
      <c r="J218" t="n">
        <v>1</v>
      </c>
      <c r="K218" t="n">
        <v>0</v>
      </c>
      <c r="L218" t="n">
        <v>0</v>
      </c>
      <c r="M218" t="n">
        <v>0</v>
      </c>
      <c r="N218" t="n">
        <v>1</v>
      </c>
      <c r="O218" t="n">
        <v>0</v>
      </c>
      <c r="P218" t="n">
        <v>0</v>
      </c>
      <c r="Q218" t="n">
        <v>1</v>
      </c>
      <c r="R218" t="n">
        <v>1</v>
      </c>
      <c r="S218" t="n">
        <v>1</v>
      </c>
      <c r="T218" t="n">
        <v>49</v>
      </c>
      <c r="U218" s="2" t="inlineStr">
        <is>
          <t>Asknätfjäril</t>
        </is>
      </c>
      <c r="V218">
        <f>HYPERLINK("https://klasma.github.io/Logging_0188/artfynd/A 29946-2025 artfynd.xlsx", "A 29946-2025")</f>
        <v/>
      </c>
      <c r="W218">
        <f>HYPERLINK("https://klasma.github.io/Logging_0188/kartor/A 29946-2025 karta.png", "A 29946-2025")</f>
        <v/>
      </c>
      <c r="Y218">
        <f>HYPERLINK("https://klasma.github.io/Logging_0188/klagomål/A 29946-2025 FSC-klagomål.docx", "A 29946-2025")</f>
        <v/>
      </c>
      <c r="Z218">
        <f>HYPERLINK("https://klasma.github.io/Logging_0188/klagomålsmail/A 29946-2025 FSC-klagomål mail.docx", "A 29946-2025")</f>
        <v/>
      </c>
      <c r="AA218">
        <f>HYPERLINK("https://klasma.github.io/Logging_0188/tillsyn/A 29946-2025 tillsynsbegäran.docx", "A 29946-2025")</f>
        <v/>
      </c>
      <c r="AB218">
        <f>HYPERLINK("https://klasma.github.io/Logging_0188/tillsynsmail/A 29946-2025 tillsynsbegäran mail.docx", "A 29946-2025")</f>
        <v/>
      </c>
    </row>
    <row r="219" ht="15" customHeight="1">
      <c r="A219" t="inlineStr">
        <is>
          <t>A 38612-2022</t>
        </is>
      </c>
      <c r="B219" t="inlineStr">
        <is>
          <t>avverkningsanmälan</t>
        </is>
      </c>
      <c r="C219" t="inlineStr">
        <is>
          <t>Föryngringsavverkning</t>
        </is>
      </c>
      <c r="D219" s="1" t="n">
        <v>44813</v>
      </c>
      <c r="E219" s="1" t="n">
        <v>46219</v>
      </c>
      <c r="F219" t="inlineStr">
        <is>
          <t>STOCKHOLMS LÄN</t>
        </is>
      </c>
      <c r="G219" t="inlineStr">
        <is>
          <t>NORRTÄLJE</t>
        </is>
      </c>
      <c r="I219" t="n">
        <v>1.7</v>
      </c>
      <c r="J219" t="n">
        <v>1</v>
      </c>
      <c r="K219" t="n">
        <v>0</v>
      </c>
      <c r="L219" t="n">
        <v>0</v>
      </c>
      <c r="M219" t="n">
        <v>1</v>
      </c>
      <c r="N219" t="n">
        <v>0</v>
      </c>
      <c r="O219" t="n">
        <v>0</v>
      </c>
      <c r="P219" t="n">
        <v>0</v>
      </c>
      <c r="Q219" t="n">
        <v>1</v>
      </c>
      <c r="R219" t="n">
        <v>1</v>
      </c>
      <c r="S219" t="n">
        <v>1</v>
      </c>
      <c r="T219" t="n">
        <v>1</v>
      </c>
      <c r="U219" s="2" t="inlineStr">
        <is>
          <t>Hällebräcka</t>
        </is>
      </c>
      <c r="V219">
        <f>HYPERLINK("https://klasma.github.io/Logging_0188/artfynd/A 38612-2022 artfynd.xlsx", "A 38612-2022")</f>
        <v/>
      </c>
      <c r="W219">
        <f>HYPERLINK("https://klasma.github.io/Logging_0188/kartor/A 38612-2022 karta.png", "A 38612-2022")</f>
        <v/>
      </c>
      <c r="Y219">
        <f>HYPERLINK("https://klasma.github.io/Logging_0188/klagomål/A 38612-2022 FSC-klagomål.docx", "A 38612-2022")</f>
        <v/>
      </c>
      <c r="Z219">
        <f>HYPERLINK("https://klasma.github.io/Logging_0188/klagomålsmail/A 38612-2022 FSC-klagomål mail.docx", "A 38612-2022")</f>
        <v/>
      </c>
      <c r="AA219">
        <f>HYPERLINK("https://klasma.github.io/Logging_0188/tillsyn/A 38612-2022 tillsynsbegäran.docx", "A 38612-2022")</f>
        <v/>
      </c>
      <c r="AB219">
        <f>HYPERLINK("https://klasma.github.io/Logging_0188/tillsynsmail/A 38612-2022 tillsynsbegäran mail.docx", "A 38612-2022")</f>
        <v/>
      </c>
    </row>
    <row r="220" ht="15" customHeight="1">
      <c r="A220" t="inlineStr">
        <is>
          <t>A 25911-2026</t>
        </is>
      </c>
      <c r="B220" t="inlineStr">
        <is>
          <t>avverkningsanmälan</t>
        </is>
      </c>
      <c r="C220" t="inlineStr">
        <is>
          <t>Föryngringsavverkning</t>
        </is>
      </c>
      <c r="D220" s="1" t="n">
        <v>46178</v>
      </c>
      <c r="E220" s="1" t="n">
        <v>46219</v>
      </c>
      <c r="F220" t="inlineStr">
        <is>
          <t>STOCKHOLMS LÄN</t>
        </is>
      </c>
      <c r="G220" t="inlineStr">
        <is>
          <t>NORRTÄLJE</t>
        </is>
      </c>
      <c r="I220" t="n">
        <v>11.3</v>
      </c>
      <c r="J220" t="n">
        <v>1</v>
      </c>
      <c r="K220" t="n">
        <v>0</v>
      </c>
      <c r="L220" t="n">
        <v>1</v>
      </c>
      <c r="M220" t="n">
        <v>0</v>
      </c>
      <c r="N220" t="n">
        <v>0</v>
      </c>
      <c r="O220" t="n">
        <v>0</v>
      </c>
      <c r="P220" t="n">
        <v>0</v>
      </c>
      <c r="Q220" t="n">
        <v>1</v>
      </c>
      <c r="R220" t="n">
        <v>0</v>
      </c>
      <c r="S220" t="n">
        <v>1</v>
      </c>
      <c r="T220" t="n">
        <v>1</v>
      </c>
      <c r="U220" s="2" t="inlineStr">
        <is>
          <t>Talltita</t>
        </is>
      </c>
      <c r="V220">
        <f>HYPERLINK("https://klasma.github.io/Logging_0188/artfynd/A 25911-2026 artfynd.xlsx", "A 25911-2026")</f>
        <v/>
      </c>
      <c r="W220">
        <f>HYPERLINK("https://klasma.github.io/Logging_0188/kartor/A 25911-2026 karta.png", "A 25911-2026")</f>
        <v/>
      </c>
      <c r="Y220">
        <f>HYPERLINK("https://klasma.github.io/Logging_0188/klagomål/A 25911-2026 FSC-klagomål.docx", "A 25911-2026")</f>
        <v/>
      </c>
      <c r="Z220">
        <f>HYPERLINK("https://klasma.github.io/Logging_0188/klagomålsmail/A 25911-2026 FSC-klagomål mail.docx", "A 25911-2026")</f>
        <v/>
      </c>
      <c r="AA220">
        <f>HYPERLINK("https://klasma.github.io/Logging_0188/tillsyn/A 25911-2026 tillsynsbegäran.docx", "A 25911-2026")</f>
        <v/>
      </c>
      <c r="AB220">
        <f>HYPERLINK("https://klasma.github.io/Logging_0188/tillsynsmail/A 25911-2026 tillsynsbegäran mail.docx", "A 25911-2026")</f>
        <v/>
      </c>
      <c r="AC220">
        <f>HYPERLINK("https://klasma.github.io/Logging_0188/fåglar/A 25911-2026 prioriterade fågelarter.docx", "A 25911-2026")</f>
        <v/>
      </c>
    </row>
    <row r="221" ht="15" customHeight="1">
      <c r="A221" t="inlineStr">
        <is>
          <t>A 13860-2023</t>
        </is>
      </c>
      <c r="B221" t="inlineStr">
        <is>
          <t>avverkningsanmälan</t>
        </is>
      </c>
      <c r="C221" t="inlineStr">
        <is>
          <t>Föryngringsavverkning</t>
        </is>
      </c>
      <c r="D221" s="1" t="n">
        <v>45007</v>
      </c>
      <c r="E221" s="1" t="n">
        <v>46219</v>
      </c>
      <c r="F221" t="inlineStr">
        <is>
          <t>STOCKHOLMS LÄN</t>
        </is>
      </c>
      <c r="G221" t="inlineStr">
        <is>
          <t>NORRTÄLJE</t>
        </is>
      </c>
      <c r="I221" t="n">
        <v>1.6</v>
      </c>
      <c r="J221" t="n">
        <v>0</v>
      </c>
      <c r="K221" t="n">
        <v>0</v>
      </c>
      <c r="L221" t="n">
        <v>0</v>
      </c>
      <c r="M221" t="n">
        <v>0</v>
      </c>
      <c r="N221" t="n">
        <v>0</v>
      </c>
      <c r="O221" t="n">
        <v>1</v>
      </c>
      <c r="P221" t="n">
        <v>0</v>
      </c>
      <c r="Q221" t="n">
        <v>1</v>
      </c>
      <c r="R221" t="n">
        <v>1</v>
      </c>
      <c r="S221" t="n">
        <v>1</v>
      </c>
      <c r="T221" t="n">
        <v>1</v>
      </c>
      <c r="U221" s="2" t="inlineStr">
        <is>
          <t>Äkta stormhatt</t>
        </is>
      </c>
      <c r="V221">
        <f>HYPERLINK("https://klasma.github.io/Logging_0188/artfynd/A 13860-2023 artfynd.xlsx", "A 13860-2023")</f>
        <v/>
      </c>
      <c r="W221">
        <f>HYPERLINK("https://klasma.github.io/Logging_0188/kartor/A 13860-2023 karta.png", "A 13860-2023")</f>
        <v/>
      </c>
      <c r="Y221">
        <f>HYPERLINK("https://klasma.github.io/Logging_0188/klagomål/A 13860-2023 FSC-klagomål.docx", "A 13860-2023")</f>
        <v/>
      </c>
      <c r="Z221">
        <f>HYPERLINK("https://klasma.github.io/Logging_0188/klagomålsmail/A 13860-2023 FSC-klagomål mail.docx", "A 13860-2023")</f>
        <v/>
      </c>
      <c r="AA221">
        <f>HYPERLINK("https://klasma.github.io/Logging_0188/tillsyn/A 13860-2023 tillsynsbegäran.docx", "A 13860-2023")</f>
        <v/>
      </c>
      <c r="AB221">
        <f>HYPERLINK("https://klasma.github.io/Logging_0188/tillsynsmail/A 13860-2023 tillsynsbegäran mail.docx", "A 13860-2023")</f>
        <v/>
      </c>
    </row>
    <row r="222" ht="15" customHeight="1">
      <c r="A222" t="inlineStr">
        <is>
          <t>A 25916-2026</t>
        </is>
      </c>
      <c r="B222" t="inlineStr">
        <is>
          <t>avverkningsanmälan</t>
        </is>
      </c>
      <c r="C222" t="inlineStr">
        <is>
          <t>Föryngringsavverkning</t>
        </is>
      </c>
      <c r="D222" s="1" t="n">
        <v>46178</v>
      </c>
      <c r="E222" s="1" t="n">
        <v>46219</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s="2" t="inlineStr">
        <is>
          <t>Violgubbe</t>
        </is>
      </c>
      <c r="V222">
        <f>HYPERLINK("https://klasma.github.io/Logging_0188/artfynd/A 25916-2026 artfynd.xlsx", "A 25916-2026")</f>
        <v/>
      </c>
      <c r="W222">
        <f>HYPERLINK("https://klasma.github.io/Logging_0188/kartor/A 25916-2026 karta.png", "A 25916-2026")</f>
        <v/>
      </c>
      <c r="Y222">
        <f>HYPERLINK("https://klasma.github.io/Logging_0188/klagomål/A 25916-2026 FSC-klagomål.docx", "A 25916-2026")</f>
        <v/>
      </c>
      <c r="Z222">
        <f>HYPERLINK("https://klasma.github.io/Logging_0188/klagomålsmail/A 25916-2026 FSC-klagomål mail.docx", "A 25916-2026")</f>
        <v/>
      </c>
      <c r="AA222">
        <f>HYPERLINK("https://klasma.github.io/Logging_0188/tillsyn/A 25916-2026 tillsynsbegäran.docx", "A 25916-2026")</f>
        <v/>
      </c>
      <c r="AB222">
        <f>HYPERLINK("https://klasma.github.io/Logging_0188/tillsynsmail/A 25916-2026 tillsynsbegäran mail.docx", "A 25916-2026")</f>
        <v/>
      </c>
    </row>
    <row r="223" ht="15" customHeight="1">
      <c r="A223" t="inlineStr">
        <is>
          <t>A 43150-2023</t>
        </is>
      </c>
      <c r="B223" t="inlineStr">
        <is>
          <t>avverkningsanmälan</t>
        </is>
      </c>
      <c r="C223" t="inlineStr">
        <is>
          <t>Föryngringsavverkning</t>
        </is>
      </c>
      <c r="D223" s="1" t="n">
        <v>45183</v>
      </c>
      <c r="E223" s="1" t="n">
        <v>46219</v>
      </c>
      <c r="F223" t="inlineStr">
        <is>
          <t>STOCKHOLMS LÄN</t>
        </is>
      </c>
      <c r="G223" t="inlineStr">
        <is>
          <t>NORRTÄLJE</t>
        </is>
      </c>
      <c r="I223" t="n">
        <v>2.4</v>
      </c>
      <c r="J223" t="n">
        <v>0</v>
      </c>
      <c r="K223" t="n">
        <v>0</v>
      </c>
      <c r="L223" t="n">
        <v>0</v>
      </c>
      <c r="M223" t="n">
        <v>0</v>
      </c>
      <c r="N223" t="n">
        <v>1</v>
      </c>
      <c r="O223" t="n">
        <v>0</v>
      </c>
      <c r="P223" t="n">
        <v>0</v>
      </c>
      <c r="Q223" t="n">
        <v>1</v>
      </c>
      <c r="R223" t="n">
        <v>1</v>
      </c>
      <c r="S223" t="n">
        <v>1</v>
      </c>
      <c r="T223" t="n">
        <v>1</v>
      </c>
      <c r="U223" s="2" t="inlineStr">
        <is>
          <t>Skogsalm</t>
        </is>
      </c>
      <c r="V223">
        <f>HYPERLINK("https://klasma.github.io/Logging_0188/artfynd/A 43150-2023 artfynd.xlsx", "A 43150-2023")</f>
        <v/>
      </c>
      <c r="W223">
        <f>HYPERLINK("https://klasma.github.io/Logging_0188/kartor/A 43150-2023 karta.png", "A 43150-2023")</f>
        <v/>
      </c>
      <c r="Y223">
        <f>HYPERLINK("https://klasma.github.io/Logging_0188/klagomål/A 43150-2023 FSC-klagomål.docx", "A 43150-2023")</f>
        <v/>
      </c>
      <c r="Z223">
        <f>HYPERLINK("https://klasma.github.io/Logging_0188/klagomålsmail/A 43150-2023 FSC-klagomål mail.docx", "A 43150-2023")</f>
        <v/>
      </c>
      <c r="AA223">
        <f>HYPERLINK("https://klasma.github.io/Logging_0188/tillsyn/A 43150-2023 tillsynsbegäran.docx", "A 43150-2023")</f>
        <v/>
      </c>
      <c r="AB223">
        <f>HYPERLINK("https://klasma.github.io/Logging_0188/tillsynsmail/A 43150-2023 tillsynsbegäran mail.docx", "A 43150-2023")</f>
        <v/>
      </c>
    </row>
    <row r="224" ht="15" customHeight="1">
      <c r="A224" t="inlineStr">
        <is>
          <t>A 63292-2025</t>
        </is>
      </c>
      <c r="B224" t="inlineStr">
        <is>
          <t>avverkningsanmälan</t>
        </is>
      </c>
      <c r="C224" t="inlineStr">
        <is>
          <t>Föryngringsavverkning</t>
        </is>
      </c>
      <c r="D224" s="1" t="n">
        <v>46010</v>
      </c>
      <c r="E224" s="1" t="n">
        <v>46219</v>
      </c>
      <c r="F224" t="inlineStr">
        <is>
          <t>STOCKHOLMS LÄN</t>
        </is>
      </c>
      <c r="G224" t="inlineStr">
        <is>
          <t>NORRTÄLJE</t>
        </is>
      </c>
      <c r="I224" t="n">
        <v>11.1</v>
      </c>
      <c r="J224" t="n">
        <v>1</v>
      </c>
      <c r="K224" t="n">
        <v>1</v>
      </c>
      <c r="L224" t="n">
        <v>0</v>
      </c>
      <c r="M224" t="n">
        <v>0</v>
      </c>
      <c r="N224" t="n">
        <v>0</v>
      </c>
      <c r="O224" t="n">
        <v>0</v>
      </c>
      <c r="P224" t="n">
        <v>0</v>
      </c>
      <c r="Q224" t="n">
        <v>0</v>
      </c>
      <c r="R224" t="n">
        <v>0</v>
      </c>
      <c r="S224" t="n">
        <v>1</v>
      </c>
      <c r="T224" t="n">
        <v>1</v>
      </c>
      <c r="U224" s="2" t="inlineStr">
        <is>
          <t>Nästrot</t>
        </is>
      </c>
      <c r="V224">
        <f>HYPERLINK("https://klasma.github.io/Logging_0188/artfynd/A 63292-2025 artfynd.xlsx", "A 63292-2025")</f>
        <v/>
      </c>
      <c r="W224">
        <f>HYPERLINK("https://klasma.github.io/Logging_0188/kartor/A 63292-2025 karta.png", "A 63292-2025")</f>
        <v/>
      </c>
      <c r="Y224">
        <f>HYPERLINK("https://klasma.github.io/Logging_0188/klagomål/A 63292-2025 FSC-klagomål.docx", "A 63292-2025")</f>
        <v/>
      </c>
      <c r="Z224">
        <f>HYPERLINK("https://klasma.github.io/Logging_0188/klagomålsmail/A 63292-2025 FSC-klagomål mail.docx", "A 63292-2025")</f>
        <v/>
      </c>
      <c r="AA224">
        <f>HYPERLINK("https://klasma.github.io/Logging_0188/tillsyn/A 63292-2025 tillsynsbegäran.docx", "A 63292-2025")</f>
        <v/>
      </c>
      <c r="AB224">
        <f>HYPERLINK("https://klasma.github.io/Logging_0188/tillsynsmail/A 63292-2025 tillsynsbegäran mail.docx", "A 63292-2025")</f>
        <v/>
      </c>
    </row>
    <row r="225" ht="15" customHeight="1">
      <c r="A225" t="inlineStr">
        <is>
          <t>A 37273-2024</t>
        </is>
      </c>
      <c r="B225" t="inlineStr">
        <is>
          <t>avverkningsanmälan</t>
        </is>
      </c>
      <c r="C225" t="inlineStr">
        <is>
          <t>Föryngringsavverkning</t>
        </is>
      </c>
      <c r="D225" s="1" t="n">
        <v>45540</v>
      </c>
      <c r="E225" s="1" t="n">
        <v>46219</v>
      </c>
      <c r="F225" t="inlineStr">
        <is>
          <t>STOCKHOLMS LÄN</t>
        </is>
      </c>
      <c r="G225" t="inlineStr">
        <is>
          <t>NORRTÄLJE</t>
        </is>
      </c>
      <c r="H225" t="inlineStr">
        <is>
          <t>Sveaskog</t>
        </is>
      </c>
      <c r="I225" t="n">
        <v>12.5</v>
      </c>
      <c r="J225" t="n">
        <v>0</v>
      </c>
      <c r="K225" t="n">
        <v>1</v>
      </c>
      <c r="L225" t="n">
        <v>0</v>
      </c>
      <c r="M225" t="n">
        <v>0</v>
      </c>
      <c r="N225" t="n">
        <v>0</v>
      </c>
      <c r="O225" t="n">
        <v>0</v>
      </c>
      <c r="P225" t="n">
        <v>0</v>
      </c>
      <c r="Q225" t="n">
        <v>0</v>
      </c>
      <c r="R225" t="n">
        <v>0</v>
      </c>
      <c r="S225" t="n">
        <v>1</v>
      </c>
      <c r="T225" t="n">
        <v>1</v>
      </c>
      <c r="U225" s="2" t="inlineStr">
        <is>
          <t>Trådticka</t>
        </is>
      </c>
      <c r="V225">
        <f>HYPERLINK("https://klasma.github.io/Logging_0188/artfynd/A 37273-2024 artfynd.xlsx", "A 37273-2024")</f>
        <v/>
      </c>
      <c r="W225">
        <f>HYPERLINK("https://klasma.github.io/Logging_0188/kartor/A 37273-2024 karta.png", "A 37273-2024")</f>
        <v/>
      </c>
      <c r="Y225">
        <f>HYPERLINK("https://klasma.github.io/Logging_0188/klagomål/A 37273-2024 FSC-klagomål.docx", "A 37273-2024")</f>
        <v/>
      </c>
      <c r="Z225">
        <f>HYPERLINK("https://klasma.github.io/Logging_0188/klagomålsmail/A 37273-2024 FSC-klagomål mail.docx", "A 37273-2024")</f>
        <v/>
      </c>
      <c r="AA225">
        <f>HYPERLINK("https://klasma.github.io/Logging_0188/tillsyn/A 37273-2024 tillsynsbegäran.docx", "A 37273-2024")</f>
        <v/>
      </c>
      <c r="AB225">
        <f>HYPERLINK("https://klasma.github.io/Logging_0188/tillsynsmail/A 37273-2024 tillsynsbegäran mail.docx", "A 37273-2024")</f>
        <v/>
      </c>
    </row>
    <row r="226" ht="15" customHeight="1">
      <c r="A226" t="inlineStr">
        <is>
          <t>A 7734-2026</t>
        </is>
      </c>
      <c r="B226" t="inlineStr">
        <is>
          <t>avverkningsanmälan</t>
        </is>
      </c>
      <c r="C226" t="inlineStr">
        <is>
          <t>Föryngringsavverkning</t>
        </is>
      </c>
      <c r="D226" s="1" t="n">
        <v>46062</v>
      </c>
      <c r="E226" s="1" t="n">
        <v>46219</v>
      </c>
      <c r="F226" t="inlineStr">
        <is>
          <t>STOCKHOLMS LÄN</t>
        </is>
      </c>
      <c r="G226" t="inlineStr">
        <is>
          <t>NORRTÄLJE</t>
        </is>
      </c>
      <c r="I226" t="n">
        <v>6.6</v>
      </c>
      <c r="J226" t="n">
        <v>0</v>
      </c>
      <c r="K226" t="n">
        <v>1</v>
      </c>
      <c r="L226" t="n">
        <v>0</v>
      </c>
      <c r="M226" t="n">
        <v>0</v>
      </c>
      <c r="N226" t="n">
        <v>0</v>
      </c>
      <c r="O226" t="n">
        <v>0</v>
      </c>
      <c r="P226" t="n">
        <v>0</v>
      </c>
      <c r="Q226" t="n">
        <v>0</v>
      </c>
      <c r="R226" t="n">
        <v>0</v>
      </c>
      <c r="S226" t="n">
        <v>1</v>
      </c>
      <c r="T226" t="n">
        <v>1</v>
      </c>
      <c r="U226" s="2" t="inlineStr">
        <is>
          <t>Kastanjefjällskivling</t>
        </is>
      </c>
      <c r="V226">
        <f>HYPERLINK("https://klasma.github.io/Logging_0188/artfynd/A 7734-2026 artfynd.xlsx", "A 7734-2026")</f>
        <v/>
      </c>
      <c r="W226">
        <f>HYPERLINK("https://klasma.github.io/Logging_0188/kartor/A 7734-2026 karta.png", "A 7734-2026")</f>
        <v/>
      </c>
      <c r="Y226">
        <f>HYPERLINK("https://klasma.github.io/Logging_0188/klagomål/A 7734-2026 FSC-klagomål.docx", "A 7734-2026")</f>
        <v/>
      </c>
      <c r="Z226">
        <f>HYPERLINK("https://klasma.github.io/Logging_0188/klagomålsmail/A 7734-2026 FSC-klagomål mail.docx", "A 7734-2026")</f>
        <v/>
      </c>
      <c r="AA226">
        <f>HYPERLINK("https://klasma.github.io/Logging_0188/tillsyn/A 7734-2026 tillsynsbegäran.docx", "A 7734-2026")</f>
        <v/>
      </c>
      <c r="AB226">
        <f>HYPERLINK("https://klasma.github.io/Logging_0188/tillsynsmail/A 7734-2026 tillsynsbegäran mail.docx", "A 7734-2026")</f>
        <v/>
      </c>
    </row>
    <row r="227" ht="15" customHeight="1">
      <c r="A227" t="inlineStr">
        <is>
          <t>A 35451-2025</t>
        </is>
      </c>
      <c r="B227" t="inlineStr">
        <is>
          <t>avverkningsanmälan</t>
        </is>
      </c>
      <c r="C227" t="inlineStr">
        <is>
          <t>Föryngringsavverkning</t>
        </is>
      </c>
      <c r="D227" s="1" t="n">
        <v>45855</v>
      </c>
      <c r="E227" s="1" t="n">
        <v>46219</v>
      </c>
      <c r="F227" t="inlineStr">
        <is>
          <t>STOCKHOLMS LÄN</t>
        </is>
      </c>
      <c r="G227" t="inlineStr">
        <is>
          <t>NORRTÄLJE</t>
        </is>
      </c>
      <c r="H227" t="inlineStr">
        <is>
          <t>Holmen skog AB</t>
        </is>
      </c>
      <c r="I227" t="n">
        <v>7.4</v>
      </c>
      <c r="J227" t="n">
        <v>1</v>
      </c>
      <c r="K227" t="n">
        <v>0</v>
      </c>
      <c r="L227" t="n">
        <v>0</v>
      </c>
      <c r="M227" t="n">
        <v>1</v>
      </c>
      <c r="N227" t="n">
        <v>0</v>
      </c>
      <c r="O227" t="n">
        <v>0</v>
      </c>
      <c r="P227" t="n">
        <v>0</v>
      </c>
      <c r="Q227" t="n">
        <v>1</v>
      </c>
      <c r="R227" t="n">
        <v>1</v>
      </c>
      <c r="S227" t="n">
        <v>1</v>
      </c>
      <c r="T227" t="n">
        <v>2</v>
      </c>
      <c r="U227" s="2" t="inlineStr">
        <is>
          <t>Hällebräcka</t>
        </is>
      </c>
      <c r="V227">
        <f>HYPERLINK("https://klasma.github.io/Logging_0188/artfynd/A 35451-2025 artfynd.xlsx", "A 35451-2025")</f>
        <v/>
      </c>
      <c r="W227">
        <f>HYPERLINK("https://klasma.github.io/Logging_0188/kartor/A 35451-2025 karta.png", "A 35451-2025")</f>
        <v/>
      </c>
      <c r="Y227">
        <f>HYPERLINK("https://klasma.github.io/Logging_0188/klagomål/A 35451-2025 FSC-klagomål.docx", "A 35451-2025")</f>
        <v/>
      </c>
      <c r="Z227">
        <f>HYPERLINK("https://klasma.github.io/Logging_0188/klagomålsmail/A 35451-2025 FSC-klagomål mail.docx", "A 35451-2025")</f>
        <v/>
      </c>
      <c r="AA227">
        <f>HYPERLINK("https://klasma.github.io/Logging_0188/tillsyn/A 35451-2025 tillsynsbegäran.docx", "A 35451-2025")</f>
        <v/>
      </c>
      <c r="AB227">
        <f>HYPERLINK("https://klasma.github.io/Logging_0188/tillsynsmail/A 35451-2025 tillsynsbegäran mail.docx", "A 35451-2025")</f>
        <v/>
      </c>
    </row>
    <row r="228" ht="15" customHeight="1">
      <c r="A228" t="inlineStr">
        <is>
          <t>A 25917-2026</t>
        </is>
      </c>
      <c r="B228" t="inlineStr">
        <is>
          <t>avverkningsanmälan</t>
        </is>
      </c>
      <c r="C228" t="inlineStr">
        <is>
          <t>Föryngringsavverkning</t>
        </is>
      </c>
      <c r="D228" s="1" t="n">
        <v>46178</v>
      </c>
      <c r="E228" s="1" t="n">
        <v>46219</v>
      </c>
      <c r="F228" t="inlineStr">
        <is>
          <t>STOCKHOLMS LÄN</t>
        </is>
      </c>
      <c r="G228" t="inlineStr">
        <is>
          <t>NORRTÄLJE</t>
        </is>
      </c>
      <c r="I228" t="n">
        <v>4</v>
      </c>
      <c r="J228" t="n">
        <v>1</v>
      </c>
      <c r="K228" t="n">
        <v>0</v>
      </c>
      <c r="L228" t="n">
        <v>1</v>
      </c>
      <c r="M228" t="n">
        <v>0</v>
      </c>
      <c r="N228" t="n">
        <v>0</v>
      </c>
      <c r="O228" t="n">
        <v>0</v>
      </c>
      <c r="P228" t="n">
        <v>0</v>
      </c>
      <c r="Q228" t="n">
        <v>1</v>
      </c>
      <c r="R228" t="n">
        <v>0</v>
      </c>
      <c r="S228" t="n">
        <v>1</v>
      </c>
      <c r="T228" t="n">
        <v>1</v>
      </c>
      <c r="U228" s="2" t="inlineStr">
        <is>
          <t>Duvhök</t>
        </is>
      </c>
      <c r="V228">
        <f>HYPERLINK("https://klasma.github.io/Logging_0188/artfynd/A 25917-2026 artfynd.xlsx", "A 25917-2026")</f>
        <v/>
      </c>
      <c r="W228">
        <f>HYPERLINK("https://klasma.github.io/Logging_0188/kartor/A 25917-2026 karta.png", "A 25917-2026")</f>
        <v/>
      </c>
      <c r="Y228">
        <f>HYPERLINK("https://klasma.github.io/Logging_0188/klagomål/A 25917-2026 FSC-klagomål.docx", "A 25917-2026")</f>
        <v/>
      </c>
      <c r="Z228">
        <f>HYPERLINK("https://klasma.github.io/Logging_0188/klagomålsmail/A 25917-2026 FSC-klagomål mail.docx", "A 25917-2026")</f>
        <v/>
      </c>
      <c r="AA228">
        <f>HYPERLINK("https://klasma.github.io/Logging_0188/tillsyn/A 25917-2026 tillsynsbegäran.docx", "A 25917-2026")</f>
        <v/>
      </c>
      <c r="AB228">
        <f>HYPERLINK("https://klasma.github.io/Logging_0188/tillsynsmail/A 25917-2026 tillsynsbegäran mail.docx", "A 25917-2026")</f>
        <v/>
      </c>
      <c r="AC228">
        <f>HYPERLINK("https://klasma.github.io/Logging_0188/fåglar/A 25917-2026 prioriterade fågelarter.docx", "A 25917-2026")</f>
        <v/>
      </c>
    </row>
    <row r="229" ht="15" customHeight="1">
      <c r="A229" t="inlineStr">
        <is>
          <t>A 26415-2026</t>
        </is>
      </c>
      <c r="B229" t="inlineStr">
        <is>
          <t>avverkningsanmälan</t>
        </is>
      </c>
      <c r="C229" t="inlineStr">
        <is>
          <t>Föryngringsavverkning</t>
        </is>
      </c>
      <c r="D229" s="1" t="n">
        <v>46183</v>
      </c>
      <c r="E229" s="1" t="n">
        <v>46219</v>
      </c>
      <c r="F229" t="inlineStr">
        <is>
          <t>STOCKHOLMS LÄN</t>
        </is>
      </c>
      <c r="G229" t="inlineStr">
        <is>
          <t>NORRTÄLJE</t>
        </is>
      </c>
      <c r="I229" t="n">
        <v>2.3</v>
      </c>
      <c r="J229" t="n">
        <v>1</v>
      </c>
      <c r="K229" t="n">
        <v>1</v>
      </c>
      <c r="L229" t="n">
        <v>0</v>
      </c>
      <c r="M229" t="n">
        <v>0</v>
      </c>
      <c r="N229" t="n">
        <v>0</v>
      </c>
      <c r="O229" t="n">
        <v>0</v>
      </c>
      <c r="P229" t="n">
        <v>0</v>
      </c>
      <c r="Q229" t="n">
        <v>0</v>
      </c>
      <c r="R229" t="n">
        <v>0</v>
      </c>
      <c r="S229" t="n">
        <v>1</v>
      </c>
      <c r="T229" t="n">
        <v>1</v>
      </c>
      <c r="U229" s="2" t="inlineStr">
        <is>
          <t>Korallrot</t>
        </is>
      </c>
      <c r="V229">
        <f>HYPERLINK("https://klasma.github.io/Logging_0188/artfynd/A 26415-2026 artfynd.xlsx", "A 26415-2026")</f>
        <v/>
      </c>
      <c r="W229">
        <f>HYPERLINK("https://klasma.github.io/Logging_0188/kartor/A 26415-2026 karta.png", "A 26415-2026")</f>
        <v/>
      </c>
      <c r="Y229">
        <f>HYPERLINK("https://klasma.github.io/Logging_0188/klagomål/A 26415-2026 FSC-klagomål.docx", "A 26415-2026")</f>
        <v/>
      </c>
      <c r="Z229">
        <f>HYPERLINK("https://klasma.github.io/Logging_0188/klagomålsmail/A 26415-2026 FSC-klagomål mail.docx", "A 26415-2026")</f>
        <v/>
      </c>
      <c r="AA229">
        <f>HYPERLINK("https://klasma.github.io/Logging_0188/tillsyn/A 26415-2026 tillsynsbegäran.docx", "A 26415-2026")</f>
        <v/>
      </c>
      <c r="AB229">
        <f>HYPERLINK("https://klasma.github.io/Logging_0188/tillsynsmail/A 26415-2026 tillsynsbegäran mail.docx", "A 26415-2026")</f>
        <v/>
      </c>
    </row>
    <row r="230" ht="15" customHeight="1">
      <c r="A230" t="inlineStr">
        <is>
          <t>A 8371-2025</t>
        </is>
      </c>
      <c r="B230" t="inlineStr">
        <is>
          <t>avverkningsanmälan</t>
        </is>
      </c>
      <c r="C230" t="inlineStr">
        <is>
          <t>Föryngringsavverkning</t>
        </is>
      </c>
      <c r="D230" s="1" t="n">
        <v>45708</v>
      </c>
      <c r="E230" s="1" t="n">
        <v>46219</v>
      </c>
      <c r="F230" t="inlineStr">
        <is>
          <t>STOCKHOLMS LÄN</t>
        </is>
      </c>
      <c r="G230" t="inlineStr">
        <is>
          <t>NORRTÄLJE</t>
        </is>
      </c>
      <c r="H230" t="inlineStr">
        <is>
          <t>Övriga Aktiebolag</t>
        </is>
      </c>
      <c r="I230" t="n">
        <v>2.9</v>
      </c>
      <c r="J230" t="n">
        <v>1</v>
      </c>
      <c r="K230" t="n">
        <v>0</v>
      </c>
      <c r="L230" t="n">
        <v>0</v>
      </c>
      <c r="M230" t="n">
        <v>0</v>
      </c>
      <c r="N230" t="n">
        <v>0</v>
      </c>
      <c r="O230" t="n">
        <v>0</v>
      </c>
      <c r="P230" t="n">
        <v>0</v>
      </c>
      <c r="Q230" t="n">
        <v>0</v>
      </c>
      <c r="R230" t="n">
        <v>0</v>
      </c>
      <c r="S230" t="n">
        <v>1</v>
      </c>
      <c r="T230" t="n">
        <v>1</v>
      </c>
      <c r="U230" s="2" t="inlineStr">
        <is>
          <t>Spillkråka</t>
        </is>
      </c>
      <c r="V230">
        <f>HYPERLINK("https://klasma.github.io/Logging_0188/artfynd/A 8371-2025 artfynd.xlsx", "A 8371-2025")</f>
        <v/>
      </c>
      <c r="W230">
        <f>HYPERLINK("https://klasma.github.io/Logging_0188/kartor/A 8371-2025 karta.png", "A 8371-2025")</f>
        <v/>
      </c>
      <c r="Y230">
        <f>HYPERLINK("https://klasma.github.io/Logging_0188/klagomål/A 8371-2025 FSC-klagomål.docx", "A 8371-2025")</f>
        <v/>
      </c>
      <c r="Z230">
        <f>HYPERLINK("https://klasma.github.io/Logging_0188/klagomålsmail/A 8371-2025 FSC-klagomål mail.docx", "A 8371-2025")</f>
        <v/>
      </c>
      <c r="AA230">
        <f>HYPERLINK("https://klasma.github.io/Logging_0188/tillsyn/A 8371-2025 tillsynsbegäran.docx", "A 8371-2025")</f>
        <v/>
      </c>
      <c r="AB230">
        <f>HYPERLINK("https://klasma.github.io/Logging_0188/tillsynsmail/A 8371-2025 tillsynsbegäran mail.docx", "A 8371-2025")</f>
        <v/>
      </c>
      <c r="AC230">
        <f>HYPERLINK("https://klasma.github.io/Logging_0188/fåglar/A 8371-2025 prioriterade fågelarter.docx", "A 8371-2025")</f>
        <v/>
      </c>
    </row>
    <row r="231" ht="15" customHeight="1">
      <c r="A231" t="inlineStr">
        <is>
          <t>A 42313-2025</t>
        </is>
      </c>
      <c r="B231" t="inlineStr">
        <is>
          <t>avverkningsanmälan</t>
        </is>
      </c>
      <c r="C231" t="inlineStr">
        <is>
          <t>Föryngringsavverkning</t>
        </is>
      </c>
      <c r="D231" s="1" t="n">
        <v>45904</v>
      </c>
      <c r="E231" s="1" t="n">
        <v>46219</v>
      </c>
      <c r="F231" t="inlineStr">
        <is>
          <t>STOCKHOLMS LÄN</t>
        </is>
      </c>
      <c r="G231" t="inlineStr">
        <is>
          <t>NORRTÄLJE</t>
        </is>
      </c>
      <c r="I231" t="n">
        <v>1.7</v>
      </c>
      <c r="J231" t="n">
        <v>1</v>
      </c>
      <c r="K231" t="n">
        <v>0</v>
      </c>
      <c r="L231" t="n">
        <v>0</v>
      </c>
      <c r="M231" t="n">
        <v>0</v>
      </c>
      <c r="N231" t="n">
        <v>0</v>
      </c>
      <c r="O231" t="n">
        <v>0</v>
      </c>
      <c r="P231" t="n">
        <v>0</v>
      </c>
      <c r="Q231" t="n">
        <v>0</v>
      </c>
      <c r="R231" t="n">
        <v>0</v>
      </c>
      <c r="S231" t="n">
        <v>1</v>
      </c>
      <c r="T231" t="n">
        <v>1</v>
      </c>
      <c r="U231" s="2" t="inlineStr">
        <is>
          <t>Vanlig padda</t>
        </is>
      </c>
      <c r="V231">
        <f>HYPERLINK("https://klasma.github.io/Logging_0188/artfynd/A 42313-2025 artfynd.xlsx", "A 42313-2025")</f>
        <v/>
      </c>
      <c r="W231">
        <f>HYPERLINK("https://klasma.github.io/Logging_0188/kartor/A 42313-2025 karta.png", "A 42313-2025")</f>
        <v/>
      </c>
      <c r="Y231">
        <f>HYPERLINK("https://klasma.github.io/Logging_0188/klagomål/A 42313-2025 FSC-klagomål.docx", "A 42313-2025")</f>
        <v/>
      </c>
      <c r="Z231">
        <f>HYPERLINK("https://klasma.github.io/Logging_0188/klagomålsmail/A 42313-2025 FSC-klagomål mail.docx", "A 42313-2025")</f>
        <v/>
      </c>
      <c r="AA231">
        <f>HYPERLINK("https://klasma.github.io/Logging_0188/tillsyn/A 42313-2025 tillsynsbegäran.docx", "A 42313-2025")</f>
        <v/>
      </c>
      <c r="AB231">
        <f>HYPERLINK("https://klasma.github.io/Logging_0188/tillsynsmail/A 42313-2025 tillsynsbegäran mail.docx", "A 42313-2025")</f>
        <v/>
      </c>
    </row>
    <row r="232" ht="15" customHeight="1">
      <c r="A232" t="inlineStr">
        <is>
          <t>S 1518-2022</t>
        </is>
      </c>
      <c r="B232" t="inlineStr">
        <is>
          <t>samrådsanmälan</t>
        </is>
      </c>
      <c r="C232" t="inlineStr">
        <is>
          <t>Åtgärd i nyckelbiotop</t>
        </is>
      </c>
      <c r="D232" s="1" t="n">
        <v>44639</v>
      </c>
      <c r="E232" s="1" t="n">
        <v>46219</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46219</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46219</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46219</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46219</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46219</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46219</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46219</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46219</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46219</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24977-2022</t>
        </is>
      </c>
      <c r="B242" t="inlineStr">
        <is>
          <t>avverkningsanmälan</t>
        </is>
      </c>
      <c r="C242" t="inlineStr">
        <is>
          <t>Föryngringsavverkning</t>
        </is>
      </c>
      <c r="D242" s="1" t="n">
        <v>44728</v>
      </c>
      <c r="E242" s="1" t="n">
        <v>46219</v>
      </c>
      <c r="F242" t="inlineStr">
        <is>
          <t>STOCKHOLMS LÄN</t>
        </is>
      </c>
      <c r="G242" t="inlineStr">
        <is>
          <t>NORRTÄLJE</t>
        </is>
      </c>
      <c r="H242" t="inlineStr">
        <is>
          <t>Kyrkan</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31934-2022</t>
        </is>
      </c>
      <c r="B243" t="inlineStr">
        <is>
          <t>avverkningsanmälan</t>
        </is>
      </c>
      <c r="C243" t="inlineStr">
        <is>
          <t>Föryngringsavverkning</t>
        </is>
      </c>
      <c r="D243" s="1" t="n">
        <v>44777</v>
      </c>
      <c r="E243" s="1" t="n">
        <v>46219</v>
      </c>
      <c r="F243" t="inlineStr">
        <is>
          <t>STOCKHOLMS LÄN</t>
        </is>
      </c>
      <c r="G243" t="inlineStr">
        <is>
          <t>NORRTÄLJE</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37815-2022</t>
        </is>
      </c>
      <c r="B244" t="inlineStr">
        <is>
          <t>avverkningsanmälan</t>
        </is>
      </c>
      <c r="C244" t="inlineStr">
        <is>
          <t>Föryngringsavverkning</t>
        </is>
      </c>
      <c r="D244" s="1" t="n">
        <v>44810</v>
      </c>
      <c r="E244" s="1" t="n">
        <v>46219</v>
      </c>
      <c r="F244" t="inlineStr">
        <is>
          <t>STOCKHOLMS LÄN</t>
        </is>
      </c>
      <c r="G244" t="inlineStr">
        <is>
          <t>NORRTÄLJE</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40542-2021</t>
        </is>
      </c>
      <c r="B245" t="inlineStr">
        <is>
          <t>avverkningsanmälan</t>
        </is>
      </c>
      <c r="C245" t="inlineStr">
        <is>
          <t>Avverkning för annat ändamål</t>
        </is>
      </c>
      <c r="D245" s="1" t="n">
        <v>44420</v>
      </c>
      <c r="E245" s="1" t="n">
        <v>46219</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40546-2021</t>
        </is>
      </c>
      <c r="B246" t="inlineStr">
        <is>
          <t>avverkningsanmälan</t>
        </is>
      </c>
      <c r="C246" t="inlineStr">
        <is>
          <t>Avverkning för annat ändamål</t>
        </is>
      </c>
      <c r="D246" s="1" t="n">
        <v>44420</v>
      </c>
      <c r="E246" s="1" t="n">
        <v>46219</v>
      </c>
      <c r="F246" t="inlineStr">
        <is>
          <t>STOCKHOLMS LÄN</t>
        </is>
      </c>
      <c r="G246" t="inlineStr">
        <is>
          <t>NORRTÄLJE</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46219</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74468-2021</t>
        </is>
      </c>
      <c r="B248" t="inlineStr">
        <is>
          <t>avverkningsanmälan</t>
        </is>
      </c>
      <c r="C248" t="inlineStr">
        <is>
          <t>Föryngringsavverkning</t>
        </is>
      </c>
      <c r="D248" s="1" t="n">
        <v>44560</v>
      </c>
      <c r="E248" s="1" t="n">
        <v>46219</v>
      </c>
      <c r="F248" t="inlineStr">
        <is>
          <t>STOCKHOLMS LÄN</t>
        </is>
      </c>
      <c r="G248" t="inlineStr">
        <is>
          <t>NORRTÄLJE</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11821-2022</t>
        </is>
      </c>
      <c r="B249" t="inlineStr">
        <is>
          <t>avverkningsanmälan</t>
        </is>
      </c>
      <c r="C249" t="inlineStr">
        <is>
          <t>Avverkning för att bevara och utveckla /försöksver</t>
        </is>
      </c>
      <c r="D249" s="1" t="n">
        <v>44634</v>
      </c>
      <c r="E249" s="1" t="n">
        <v>46219</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2977-2022</t>
        </is>
      </c>
      <c r="B250" t="inlineStr">
        <is>
          <t>avverkningsanmälan</t>
        </is>
      </c>
      <c r="C250" t="inlineStr">
        <is>
          <t>Föryngringsavverkning</t>
        </is>
      </c>
      <c r="D250" s="1" t="n">
        <v>44581</v>
      </c>
      <c r="E250" s="1" t="n">
        <v>46219</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46219</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46219</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46219</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1704-2022</t>
        </is>
      </c>
      <c r="B254" t="inlineStr">
        <is>
          <t>avverkningsanmälan</t>
        </is>
      </c>
      <c r="C254" t="inlineStr">
        <is>
          <t>Föryngringsavverkning</t>
        </is>
      </c>
      <c r="D254" s="1" t="n">
        <v>44574</v>
      </c>
      <c r="E254" s="1" t="n">
        <v>46219</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65737-2021</t>
        </is>
      </c>
      <c r="B255" t="inlineStr">
        <is>
          <t>avverkningsanmälan</t>
        </is>
      </c>
      <c r="C255" t="inlineStr">
        <is>
          <t>Föryngringsavverkning</t>
        </is>
      </c>
      <c r="D255" s="1" t="n">
        <v>44516</v>
      </c>
      <c r="E255" s="1" t="n">
        <v>46219</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46219</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46219</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46219</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10711-2022</t>
        </is>
      </c>
      <c r="B259" t="inlineStr">
        <is>
          <t>avverkningsanmälan</t>
        </is>
      </c>
      <c r="C259" t="inlineStr">
        <is>
          <t>Föryngringsavverkning</t>
        </is>
      </c>
      <c r="D259" s="1" t="n">
        <v>44626</v>
      </c>
      <c r="E259" s="1" t="n">
        <v>46219</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17777-2022</t>
        </is>
      </c>
      <c r="B260" t="inlineStr">
        <is>
          <t>avverkningsanmälan</t>
        </is>
      </c>
      <c r="C260" t="inlineStr">
        <is>
          <t>Föryngringsavverkning</t>
        </is>
      </c>
      <c r="D260" s="1" t="n">
        <v>44682</v>
      </c>
      <c r="E260" s="1" t="n">
        <v>46219</v>
      </c>
      <c r="F260" t="inlineStr">
        <is>
          <t>STOCKHOLMS LÄN</t>
        </is>
      </c>
      <c r="G260" t="inlineStr">
        <is>
          <t>NORRTÄLJE</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60822-2021</t>
        </is>
      </c>
      <c r="B261" t="inlineStr">
        <is>
          <t>avverkningsanmälan</t>
        </is>
      </c>
      <c r="C261" t="inlineStr">
        <is>
          <t>Föryngringsavverkning</t>
        </is>
      </c>
      <c r="D261" s="1" t="n">
        <v>44496</v>
      </c>
      <c r="E261" s="1" t="n">
        <v>46219</v>
      </c>
      <c r="F261" t="inlineStr">
        <is>
          <t>STOCKHOLMS LÄN</t>
        </is>
      </c>
      <c r="G261" t="inlineStr">
        <is>
          <t>NORRTÄLJE</t>
        </is>
      </c>
      <c r="I261" t="n">
        <v>7.6</v>
      </c>
      <c r="J261" t="n">
        <v>0</v>
      </c>
      <c r="K261" t="n">
        <v>0</v>
      </c>
      <c r="L261" t="n">
        <v>0</v>
      </c>
      <c r="M261" t="n">
        <v>0</v>
      </c>
      <c r="N261" t="n">
        <v>0</v>
      </c>
      <c r="O261" t="n">
        <v>0</v>
      </c>
      <c r="P261" t="n">
        <v>0</v>
      </c>
      <c r="Q261" t="n">
        <v>0</v>
      </c>
      <c r="R261" t="n">
        <v>0</v>
      </c>
      <c r="S261" t="n">
        <v>0</v>
      </c>
      <c r="T261" t="n">
        <v>0</v>
      </c>
      <c r="U261" s="2" t="inlineStr"/>
    </row>
    <row r="262" ht="15" customHeight="1">
      <c r="A262" t="inlineStr">
        <is>
          <t>A 18905-2022</t>
        </is>
      </c>
      <c r="B262" t="inlineStr">
        <is>
          <t>avverkningsanmälan</t>
        </is>
      </c>
      <c r="C262" t="inlineStr">
        <is>
          <t>Avverkning för annat ändamål</t>
        </is>
      </c>
      <c r="D262" s="1" t="n">
        <v>44690</v>
      </c>
      <c r="E262" s="1" t="n">
        <v>46219</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46219</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46219</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46219</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46219</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71876-2021</t>
        </is>
      </c>
      <c r="B267" t="inlineStr">
        <is>
          <t>avverkningsanmälan</t>
        </is>
      </c>
      <c r="C267" t="inlineStr">
        <is>
          <t>Föryngringsavverkning</t>
        </is>
      </c>
      <c r="D267" s="1" t="n">
        <v>44543</v>
      </c>
      <c r="E267" s="1" t="n">
        <v>46219</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71878-2021</t>
        </is>
      </c>
      <c r="B268" t="inlineStr">
        <is>
          <t>avverkningsanmälan</t>
        </is>
      </c>
      <c r="C268" t="inlineStr">
        <is>
          <t>Föryngringsavverkning</t>
        </is>
      </c>
      <c r="D268" s="1" t="n">
        <v>44543</v>
      </c>
      <c r="E268" s="1" t="n">
        <v>46219</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45539-2022</t>
        </is>
      </c>
      <c r="B269" t="inlineStr">
        <is>
          <t>avverkningsanmälan</t>
        </is>
      </c>
      <c r="C269" t="inlineStr">
        <is>
          <t>Föryngringsavverkning</t>
        </is>
      </c>
      <c r="D269" s="1" t="n">
        <v>44845</v>
      </c>
      <c r="E269" s="1" t="n">
        <v>46219</v>
      </c>
      <c r="F269" t="inlineStr">
        <is>
          <t>STOCKHOLMS LÄN</t>
        </is>
      </c>
      <c r="G269" t="inlineStr">
        <is>
          <t>NORRTÄLJE</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46219</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46219</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46219</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46219</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46219</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46219</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36975-2022</t>
        </is>
      </c>
      <c r="B276" t="inlineStr">
        <is>
          <t>avverkningsanmälan</t>
        </is>
      </c>
      <c r="C276" t="inlineStr">
        <is>
          <t>Föryngringsavverkning</t>
        </is>
      </c>
      <c r="D276" s="1" t="n">
        <v>44806</v>
      </c>
      <c r="E276" s="1" t="n">
        <v>46219</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29868-2022</t>
        </is>
      </c>
      <c r="B277" t="inlineStr">
        <is>
          <t>avverkningsanmälan</t>
        </is>
      </c>
      <c r="C277" t="inlineStr">
        <is>
          <t>Föryngringsavverkning</t>
        </is>
      </c>
      <c r="D277" s="1" t="n">
        <v>44756</v>
      </c>
      <c r="E277" s="1" t="n">
        <v>46219</v>
      </c>
      <c r="F277" t="inlineStr">
        <is>
          <t>STOCKHOLMS LÄN</t>
        </is>
      </c>
      <c r="G277" t="inlineStr">
        <is>
          <t>NORRTÄLJE</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46219</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46219</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46219</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46219</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50970-2022</t>
        </is>
      </c>
      <c r="B282" t="inlineStr">
        <is>
          <t>avverkningsanmälan</t>
        </is>
      </c>
      <c r="C282" t="inlineStr">
        <is>
          <t>Föryngringsavverkning</t>
        </is>
      </c>
      <c r="D282" s="1" t="n">
        <v>44867</v>
      </c>
      <c r="E282" s="1" t="n">
        <v>46219</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49113-2021</t>
        </is>
      </c>
      <c r="B283" t="inlineStr">
        <is>
          <t>avverkningsanmälan</t>
        </is>
      </c>
      <c r="C283" t="inlineStr">
        <is>
          <t>Föryngringsavverkning</t>
        </is>
      </c>
      <c r="D283" s="1" t="n">
        <v>44453</v>
      </c>
      <c r="E283" s="1" t="n">
        <v>46219</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17803-2022</t>
        </is>
      </c>
      <c r="B284" t="inlineStr">
        <is>
          <t>avverkningsanmälan</t>
        </is>
      </c>
      <c r="C284" t="inlineStr">
        <is>
          <t>Föryngringsavverkning</t>
        </is>
      </c>
      <c r="D284" s="1" t="n">
        <v>44683</v>
      </c>
      <c r="E284" s="1" t="n">
        <v>46219</v>
      </c>
      <c r="F284" t="inlineStr">
        <is>
          <t>STOCKHOLMS LÄN</t>
        </is>
      </c>
      <c r="G284" t="inlineStr">
        <is>
          <t>NORRTÄLJE</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64628-2021</t>
        </is>
      </c>
      <c r="B285" t="inlineStr">
        <is>
          <t>avverkningsanmälan</t>
        </is>
      </c>
      <c r="C285" t="inlineStr">
        <is>
          <t>Föryngringsavverkning</t>
        </is>
      </c>
      <c r="D285" s="1" t="n">
        <v>44511</v>
      </c>
      <c r="E285" s="1" t="n">
        <v>46219</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71325-2021</t>
        </is>
      </c>
      <c r="B286" t="inlineStr">
        <is>
          <t>avverkningsanmälan</t>
        </is>
      </c>
      <c r="C286" t="inlineStr">
        <is>
          <t>Föryngringsavverkning</t>
        </is>
      </c>
      <c r="D286" s="1" t="n">
        <v>44539</v>
      </c>
      <c r="E286" s="1" t="n">
        <v>46219</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65611-2021</t>
        </is>
      </c>
      <c r="B287" t="inlineStr">
        <is>
          <t>avverkningsanmälan</t>
        </is>
      </c>
      <c r="C287" t="inlineStr">
        <is>
          <t>Föryngringsavverkning</t>
        </is>
      </c>
      <c r="D287" s="1" t="n">
        <v>44516</v>
      </c>
      <c r="E287" s="1" t="n">
        <v>46219</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60813-2021</t>
        </is>
      </c>
      <c r="B288" t="inlineStr">
        <is>
          <t>avverkningsanmälan</t>
        </is>
      </c>
      <c r="C288" t="inlineStr">
        <is>
          <t>Föryngringsavverkning</t>
        </is>
      </c>
      <c r="D288" s="1" t="n">
        <v>44496</v>
      </c>
      <c r="E288" s="1" t="n">
        <v>46219</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39497-2021</t>
        </is>
      </c>
      <c r="B289" t="inlineStr">
        <is>
          <t>avverkningsanmälan</t>
        </is>
      </c>
      <c r="C289" t="inlineStr">
        <is>
          <t>Föryngringsavverkning</t>
        </is>
      </c>
      <c r="D289" s="1" t="n">
        <v>44414</v>
      </c>
      <c r="E289" s="1" t="n">
        <v>46219</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22316-2022</t>
        </is>
      </c>
      <c r="B290" t="inlineStr">
        <is>
          <t>avverkningsanmälan</t>
        </is>
      </c>
      <c r="C290" t="inlineStr">
        <is>
          <t>Föryngringsavverkning</t>
        </is>
      </c>
      <c r="D290" s="1" t="n">
        <v>44712</v>
      </c>
      <c r="E290" s="1" t="n">
        <v>46219</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s="2" t="inlineStr"/>
    </row>
    <row r="291" ht="15" customHeight="1">
      <c r="A291" t="inlineStr">
        <is>
          <t>A 31092-2022</t>
        </is>
      </c>
      <c r="B291" t="inlineStr">
        <is>
          <t>avverkningsanmälan</t>
        </is>
      </c>
      <c r="C291" t="inlineStr">
        <is>
          <t>Föryngringsavverkning</t>
        </is>
      </c>
      <c r="D291" s="1" t="n">
        <v>44769</v>
      </c>
      <c r="E291" s="1" t="n">
        <v>46219</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72355-2021</t>
        </is>
      </c>
      <c r="B292" t="inlineStr">
        <is>
          <t>avverkningsanmälan</t>
        </is>
      </c>
      <c r="C292" t="inlineStr">
        <is>
          <t>Avverkning för annat ändamål</t>
        </is>
      </c>
      <c r="D292" s="1" t="n">
        <v>44545</v>
      </c>
      <c r="E292" s="1" t="n">
        <v>46219</v>
      </c>
      <c r="F292" t="inlineStr">
        <is>
          <t>STOCKHOLMS LÄN</t>
        </is>
      </c>
      <c r="G292" t="inlineStr">
        <is>
          <t>NORRTÄLJE</t>
        </is>
      </c>
      <c r="I292" t="n">
        <v>3.6</v>
      </c>
      <c r="J292" t="n">
        <v>0</v>
      </c>
      <c r="K292" t="n">
        <v>0</v>
      </c>
      <c r="L292" t="n">
        <v>0</v>
      </c>
      <c r="M292" t="n">
        <v>0</v>
      </c>
      <c r="N292" t="n">
        <v>0</v>
      </c>
      <c r="O292" t="n">
        <v>0</v>
      </c>
      <c r="P292" t="n">
        <v>0</v>
      </c>
      <c r="Q292" t="n">
        <v>0</v>
      </c>
      <c r="R292" t="n">
        <v>0</v>
      </c>
      <c r="S292" t="n">
        <v>0</v>
      </c>
      <c r="T292" t="n">
        <v>0</v>
      </c>
      <c r="U292" s="2" t="inlineStr"/>
    </row>
    <row r="293" ht="15" customHeight="1">
      <c r="A293" t="inlineStr">
        <is>
          <t>A 72357-2021</t>
        </is>
      </c>
      <c r="B293" t="inlineStr">
        <is>
          <t>avverkningsanmälan</t>
        </is>
      </c>
      <c r="C293" t="inlineStr">
        <is>
          <t>Avverkning för annat ändamål</t>
        </is>
      </c>
      <c r="D293" s="1" t="n">
        <v>44545</v>
      </c>
      <c r="E293" s="1" t="n">
        <v>46219</v>
      </c>
      <c r="F293" t="inlineStr">
        <is>
          <t>STOCKHOLMS LÄN</t>
        </is>
      </c>
      <c r="G293" t="inlineStr">
        <is>
          <t>NORRTÄLJE</t>
        </is>
      </c>
      <c r="I293" t="n">
        <v>5.1</v>
      </c>
      <c r="J293" t="n">
        <v>0</v>
      </c>
      <c r="K293" t="n">
        <v>0</v>
      </c>
      <c r="L293" t="n">
        <v>0</v>
      </c>
      <c r="M293" t="n">
        <v>0</v>
      </c>
      <c r="N293" t="n">
        <v>0</v>
      </c>
      <c r="O293" t="n">
        <v>0</v>
      </c>
      <c r="P293" t="n">
        <v>0</v>
      </c>
      <c r="Q293" t="n">
        <v>0</v>
      </c>
      <c r="R293" t="n">
        <v>0</v>
      </c>
      <c r="S293" t="n">
        <v>0</v>
      </c>
      <c r="T293" t="n">
        <v>0</v>
      </c>
      <c r="U293" s="2" t="inlineStr"/>
    </row>
    <row r="294" ht="15" customHeight="1">
      <c r="A294" t="inlineStr">
        <is>
          <t>A 71871-2021</t>
        </is>
      </c>
      <c r="B294" t="inlineStr">
        <is>
          <t>avverkningsanmälan</t>
        </is>
      </c>
      <c r="C294" t="inlineStr">
        <is>
          <t>Föryngringsavverkning</t>
        </is>
      </c>
      <c r="D294" s="1" t="n">
        <v>44543</v>
      </c>
      <c r="E294" s="1" t="n">
        <v>46219</v>
      </c>
      <c r="F294" t="inlineStr">
        <is>
          <t>STOCKHOLMS LÄN</t>
        </is>
      </c>
      <c r="G294" t="inlineStr">
        <is>
          <t>NORRTÄLJE</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71873-2021</t>
        </is>
      </c>
      <c r="B295" t="inlineStr">
        <is>
          <t>avverkningsanmälan</t>
        </is>
      </c>
      <c r="C295" t="inlineStr">
        <is>
          <t>Föryngringsavverkning</t>
        </is>
      </c>
      <c r="D295" s="1" t="n">
        <v>44543</v>
      </c>
      <c r="E295" s="1" t="n">
        <v>46219</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9988-2022</t>
        </is>
      </c>
      <c r="B296" t="inlineStr">
        <is>
          <t>avverkningsanmälan</t>
        </is>
      </c>
      <c r="C296" t="inlineStr">
        <is>
          <t>Föryngringsavverkning</t>
        </is>
      </c>
      <c r="D296" s="1" t="n">
        <v>44621</v>
      </c>
      <c r="E296" s="1" t="n">
        <v>46219</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60733-2021</t>
        </is>
      </c>
      <c r="B297" t="inlineStr">
        <is>
          <t>avverkningsanmälan</t>
        </is>
      </c>
      <c r="C297" t="inlineStr">
        <is>
          <t>Föryngringsavverkning</t>
        </is>
      </c>
      <c r="D297" s="1" t="n">
        <v>44496</v>
      </c>
      <c r="E297" s="1" t="n">
        <v>46219</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12357-2022</t>
        </is>
      </c>
      <c r="B298" t="inlineStr">
        <is>
          <t>avverkningsanmälan</t>
        </is>
      </c>
      <c r="C298" t="inlineStr">
        <is>
          <t>Föryngringsavverkning</t>
        </is>
      </c>
      <c r="D298" s="1" t="n">
        <v>44637</v>
      </c>
      <c r="E298" s="1" t="n">
        <v>46219</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26335-2022</t>
        </is>
      </c>
      <c r="B299" t="inlineStr">
        <is>
          <t>avverkningsanmälan</t>
        </is>
      </c>
      <c r="C299" t="inlineStr">
        <is>
          <t>Föryngringsavverkning</t>
        </is>
      </c>
      <c r="D299" s="1" t="n">
        <v>44735</v>
      </c>
      <c r="E299" s="1" t="n">
        <v>46219</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30624-2022</t>
        </is>
      </c>
      <c r="B300" t="inlineStr">
        <is>
          <t>avverkningsanmälan</t>
        </is>
      </c>
      <c r="C300" t="inlineStr">
        <is>
          <t>Föryngringsavverkning</t>
        </is>
      </c>
      <c r="D300" s="1" t="n">
        <v>44763</v>
      </c>
      <c r="E300" s="1" t="n">
        <v>46219</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26328-2022</t>
        </is>
      </c>
      <c r="B301" t="inlineStr">
        <is>
          <t>avverkningsanmälan</t>
        </is>
      </c>
      <c r="C301" t="inlineStr">
        <is>
          <t>Föryngringsavverkning</t>
        </is>
      </c>
      <c r="D301" s="1" t="n">
        <v>44735</v>
      </c>
      <c r="E301" s="1" t="n">
        <v>46219</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67598-2021</t>
        </is>
      </c>
      <c r="B302" t="inlineStr">
        <is>
          <t>avverkningsanmälan</t>
        </is>
      </c>
      <c r="C302" t="inlineStr">
        <is>
          <t>Föryngringsavverkning</t>
        </is>
      </c>
      <c r="D302" s="1" t="n">
        <v>44524</v>
      </c>
      <c r="E302" s="1" t="n">
        <v>46219</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1968-2022</t>
        </is>
      </c>
      <c r="B303" t="inlineStr">
        <is>
          <t>avverkningsanmälan</t>
        </is>
      </c>
      <c r="C303" t="inlineStr">
        <is>
          <t>Föryngringsavverkning</t>
        </is>
      </c>
      <c r="D303" s="1" t="n">
        <v>44575</v>
      </c>
      <c r="E303" s="1" t="n">
        <v>46219</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1229-2022</t>
        </is>
      </c>
      <c r="B304" t="inlineStr">
        <is>
          <t>avverkningsanmälan</t>
        </is>
      </c>
      <c r="C304" t="inlineStr">
        <is>
          <t>Föryngringsavverkning</t>
        </is>
      </c>
      <c r="D304" s="1" t="n">
        <v>44572</v>
      </c>
      <c r="E304" s="1" t="n">
        <v>46219</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s="2" t="inlineStr"/>
    </row>
    <row r="305" ht="15" customHeight="1">
      <c r="A305" t="inlineStr">
        <is>
          <t>A 14051-2022</t>
        </is>
      </c>
      <c r="B305" t="inlineStr">
        <is>
          <t>avverkningsanmälan</t>
        </is>
      </c>
      <c r="C305" t="inlineStr">
        <is>
          <t>Föryngringsavverkning</t>
        </is>
      </c>
      <c r="D305" s="1" t="n">
        <v>44650</v>
      </c>
      <c r="E305" s="1" t="n">
        <v>46219</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24167-2022</t>
        </is>
      </c>
      <c r="B306" t="inlineStr">
        <is>
          <t>avverkningsanmälan</t>
        </is>
      </c>
      <c r="C306" t="inlineStr">
        <is>
          <t>Föryngringsavverkning</t>
        </is>
      </c>
      <c r="D306" s="1" t="n">
        <v>44725</v>
      </c>
      <c r="E306" s="1" t="n">
        <v>46219</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42396-2021</t>
        </is>
      </c>
      <c r="B307" t="inlineStr">
        <is>
          <t>avverkningsanmälan</t>
        </is>
      </c>
      <c r="C307" t="inlineStr">
        <is>
          <t>Föryngringsavverkning</t>
        </is>
      </c>
      <c r="D307" s="1" t="n">
        <v>44427</v>
      </c>
      <c r="E307" s="1" t="n">
        <v>46219</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2732-2022</t>
        </is>
      </c>
      <c r="B308" t="inlineStr">
        <is>
          <t>avverkningsanmälan</t>
        </is>
      </c>
      <c r="C308" t="inlineStr">
        <is>
          <t>Föryngringsavverkning</t>
        </is>
      </c>
      <c r="D308" s="1" t="n">
        <v>44580</v>
      </c>
      <c r="E308" s="1" t="n">
        <v>46219</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16119-2022</t>
        </is>
      </c>
      <c r="B309" t="inlineStr">
        <is>
          <t>avverkningsanmälan</t>
        </is>
      </c>
      <c r="C309" t="inlineStr">
        <is>
          <t>Föryngringsavverkning</t>
        </is>
      </c>
      <c r="D309" s="1" t="n">
        <v>44665</v>
      </c>
      <c r="E309" s="1" t="n">
        <v>46219</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s="2" t="inlineStr"/>
    </row>
    <row r="310" ht="15" customHeight="1">
      <c r="A310" t="inlineStr">
        <is>
          <t>A 31924-2022</t>
        </is>
      </c>
      <c r="B310" t="inlineStr">
        <is>
          <t>avverkningsanmälan</t>
        </is>
      </c>
      <c r="C310" t="inlineStr">
        <is>
          <t>Föryngringsavverkning</t>
        </is>
      </c>
      <c r="D310" s="1" t="n">
        <v>44777</v>
      </c>
      <c r="E310" s="1" t="n">
        <v>46219</v>
      </c>
      <c r="F310" t="inlineStr">
        <is>
          <t>STOCKHOLMS LÄN</t>
        </is>
      </c>
      <c r="G310" t="inlineStr">
        <is>
          <t>NORRTÄLJE</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14543-2022</t>
        </is>
      </c>
      <c r="B311" t="inlineStr">
        <is>
          <t>avverkningsanmälan</t>
        </is>
      </c>
      <c r="C311" t="inlineStr">
        <is>
          <t>Föryngringsavverkning</t>
        </is>
      </c>
      <c r="D311" s="1" t="n">
        <v>44655</v>
      </c>
      <c r="E311" s="1" t="n">
        <v>46219</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12270-2022</t>
        </is>
      </c>
      <c r="B312" t="inlineStr">
        <is>
          <t>avverkningsanmälan</t>
        </is>
      </c>
      <c r="C312" t="inlineStr">
        <is>
          <t>Föryngringsavverkning</t>
        </is>
      </c>
      <c r="D312" s="1" t="n">
        <v>44637</v>
      </c>
      <c r="E312" s="1" t="n">
        <v>46219</v>
      </c>
      <c r="F312" t="inlineStr">
        <is>
          <t>STOCKHOLMS LÄN</t>
        </is>
      </c>
      <c r="G312" t="inlineStr">
        <is>
          <t>NORRTÄLJE</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5513-2022</t>
        </is>
      </c>
      <c r="B313" t="inlineStr">
        <is>
          <t>avverkningsanmälan</t>
        </is>
      </c>
      <c r="C313" t="inlineStr">
        <is>
          <t>Avverkning för annat ändamål</t>
        </is>
      </c>
      <c r="D313" s="1" t="n">
        <v>44595</v>
      </c>
      <c r="E313" s="1" t="n">
        <v>46219</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17348-2024</t>
        </is>
      </c>
      <c r="B314" t="inlineStr">
        <is>
          <t>avverkningsanmälan</t>
        </is>
      </c>
      <c r="C314" t="inlineStr">
        <is>
          <t>Föryngringsavverkning</t>
        </is>
      </c>
      <c r="D314" s="1" t="n">
        <v>45414</v>
      </c>
      <c r="E314" s="1" t="n">
        <v>46219</v>
      </c>
      <c r="F314" t="inlineStr">
        <is>
          <t>STOCKHOLMS LÄN</t>
        </is>
      </c>
      <c r="G314" t="inlineStr">
        <is>
          <t>NORRTÄLJE</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20295-2022</t>
        </is>
      </c>
      <c r="B315" t="inlineStr">
        <is>
          <t>avverkningsanmälan</t>
        </is>
      </c>
      <c r="C315" t="inlineStr">
        <is>
          <t>Föryngringsavverkning</t>
        </is>
      </c>
      <c r="D315" s="1" t="n">
        <v>44698</v>
      </c>
      <c r="E315" s="1" t="n">
        <v>46219</v>
      </c>
      <c r="F315" t="inlineStr">
        <is>
          <t>STOCKHOLMS LÄN</t>
        </is>
      </c>
      <c r="G315" t="inlineStr">
        <is>
          <t>NORRTÄLJE</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9654-2022</t>
        </is>
      </c>
      <c r="B316" t="inlineStr">
        <is>
          <t>avverkningsanmälan</t>
        </is>
      </c>
      <c r="C316" t="inlineStr">
        <is>
          <t>Föryngringsavverkning</t>
        </is>
      </c>
      <c r="D316" s="1" t="n">
        <v>44617</v>
      </c>
      <c r="E316" s="1" t="n">
        <v>46219</v>
      </c>
      <c r="F316" t="inlineStr">
        <is>
          <t>STOCKHOLMS LÄN</t>
        </is>
      </c>
      <c r="G316" t="inlineStr">
        <is>
          <t>NORRTÄLJE</t>
        </is>
      </c>
      <c r="I316" t="n">
        <v>6.4</v>
      </c>
      <c r="J316" t="n">
        <v>0</v>
      </c>
      <c r="K316" t="n">
        <v>0</v>
      </c>
      <c r="L316" t="n">
        <v>0</v>
      </c>
      <c r="M316" t="n">
        <v>0</v>
      </c>
      <c r="N316" t="n">
        <v>0</v>
      </c>
      <c r="O316" t="n">
        <v>0</v>
      </c>
      <c r="P316" t="n">
        <v>0</v>
      </c>
      <c r="Q316" t="n">
        <v>0</v>
      </c>
      <c r="R316" t="n">
        <v>0</v>
      </c>
      <c r="S316" t="n">
        <v>0</v>
      </c>
      <c r="T316" t="n">
        <v>0</v>
      </c>
      <c r="U316" s="2" t="inlineStr"/>
    </row>
    <row r="317" ht="15" customHeight="1">
      <c r="A317" t="inlineStr">
        <is>
          <t>A 37415-2021</t>
        </is>
      </c>
      <c r="B317" t="inlineStr">
        <is>
          <t>avverkningsanmälan</t>
        </is>
      </c>
      <c r="C317" t="inlineStr">
        <is>
          <t>Föryngringsavverkning</t>
        </is>
      </c>
      <c r="D317" s="1" t="n">
        <v>44397</v>
      </c>
      <c r="E317" s="1" t="n">
        <v>46219</v>
      </c>
      <c r="F317" t="inlineStr">
        <is>
          <t>STOCKHOLMS LÄN</t>
        </is>
      </c>
      <c r="G317" t="inlineStr">
        <is>
          <t>NORRTÄLJE</t>
        </is>
      </c>
      <c r="H317" t="inlineStr">
        <is>
          <t>Övriga Aktiebolag</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37147-2023</t>
        </is>
      </c>
      <c r="B318" t="inlineStr">
        <is>
          <t>avverkningsanmälan</t>
        </is>
      </c>
      <c r="C318" t="inlineStr">
        <is>
          <t>Föryngringsavverkning</t>
        </is>
      </c>
      <c r="D318" s="1" t="n">
        <v>45155</v>
      </c>
      <c r="E318" s="1" t="n">
        <v>46219</v>
      </c>
      <c r="F318" t="inlineStr">
        <is>
          <t>STOCKHOLMS LÄN</t>
        </is>
      </c>
      <c r="G318" t="inlineStr">
        <is>
          <t>NORRTÄLJE</t>
        </is>
      </c>
      <c r="I318" t="n">
        <v>8</v>
      </c>
      <c r="J318" t="n">
        <v>0</v>
      </c>
      <c r="K318" t="n">
        <v>0</v>
      </c>
      <c r="L318" t="n">
        <v>0</v>
      </c>
      <c r="M318" t="n">
        <v>0</v>
      </c>
      <c r="N318" t="n">
        <v>0</v>
      </c>
      <c r="O318" t="n">
        <v>0</v>
      </c>
      <c r="P318" t="n">
        <v>0</v>
      </c>
      <c r="Q318" t="n">
        <v>0</v>
      </c>
      <c r="R318" t="n">
        <v>0</v>
      </c>
      <c r="S318" t="n">
        <v>0</v>
      </c>
      <c r="T318" t="n">
        <v>0</v>
      </c>
      <c r="U318" s="2" t="inlineStr"/>
    </row>
    <row r="319" ht="15" customHeight="1">
      <c r="A319" t="inlineStr">
        <is>
          <t>A 28042-2022</t>
        </is>
      </c>
      <c r="B319" t="inlineStr">
        <is>
          <t>avverkningsanmälan</t>
        </is>
      </c>
      <c r="C319" t="inlineStr">
        <is>
          <t>Avverkning för annat ändamål</t>
        </is>
      </c>
      <c r="D319" s="1" t="n">
        <v>44744</v>
      </c>
      <c r="E319" s="1" t="n">
        <v>46219</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s="2" t="inlineStr"/>
    </row>
    <row r="320" ht="15" customHeight="1">
      <c r="A320" t="inlineStr">
        <is>
          <t>A 59499-2023</t>
        </is>
      </c>
      <c r="B320" t="inlineStr">
        <is>
          <t>avverkningsanmälan</t>
        </is>
      </c>
      <c r="C320" t="inlineStr">
        <is>
          <t>Avverkning för annat ändamål</t>
        </is>
      </c>
      <c r="D320" s="1" t="n">
        <v>45254</v>
      </c>
      <c r="E320" s="1" t="n">
        <v>46219</v>
      </c>
      <c r="F320" t="inlineStr">
        <is>
          <t>STOCKHOLMS LÄN</t>
        </is>
      </c>
      <c r="G320" t="inlineStr">
        <is>
          <t>NORRTÄLJE</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60654-2023</t>
        </is>
      </c>
      <c r="B321" t="inlineStr">
        <is>
          <t>avverkningsanmälan</t>
        </is>
      </c>
      <c r="C321" t="inlineStr">
        <is>
          <t>Föryngringsavverkning</t>
        </is>
      </c>
      <c r="D321" s="1" t="n">
        <v>45260</v>
      </c>
      <c r="E321" s="1" t="n">
        <v>46219</v>
      </c>
      <c r="F321" t="inlineStr">
        <is>
          <t>STOCKHOLMS LÄN</t>
        </is>
      </c>
      <c r="G321" t="inlineStr">
        <is>
          <t>NORRTÄLJE</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60656-2023</t>
        </is>
      </c>
      <c r="B322" t="inlineStr">
        <is>
          <t>avverkningsanmälan</t>
        </is>
      </c>
      <c r="C322" t="inlineStr">
        <is>
          <t>Föryngringsavverkning</t>
        </is>
      </c>
      <c r="D322" s="1" t="n">
        <v>45260</v>
      </c>
      <c r="E322" s="1" t="n">
        <v>46219</v>
      </c>
      <c r="F322" t="inlineStr">
        <is>
          <t>STOCKHOLMS LÄN</t>
        </is>
      </c>
      <c r="G322" t="inlineStr">
        <is>
          <t>NORRTÄLJE</t>
        </is>
      </c>
      <c r="I322" t="n">
        <v>4.8</v>
      </c>
      <c r="J322" t="n">
        <v>0</v>
      </c>
      <c r="K322" t="n">
        <v>0</v>
      </c>
      <c r="L322" t="n">
        <v>0</v>
      </c>
      <c r="M322" t="n">
        <v>0</v>
      </c>
      <c r="N322" t="n">
        <v>0</v>
      </c>
      <c r="O322" t="n">
        <v>0</v>
      </c>
      <c r="P322" t="n">
        <v>0</v>
      </c>
      <c r="Q322" t="n">
        <v>0</v>
      </c>
      <c r="R322" t="n">
        <v>0</v>
      </c>
      <c r="S322" t="n">
        <v>0</v>
      </c>
      <c r="T322" t="n">
        <v>0</v>
      </c>
      <c r="U322" s="2" t="inlineStr"/>
    </row>
    <row r="323" ht="15" customHeight="1">
      <c r="A323" t="inlineStr">
        <is>
          <t>A 22697-2022</t>
        </is>
      </c>
      <c r="B323" t="inlineStr">
        <is>
          <t>avverkningsanmälan</t>
        </is>
      </c>
      <c r="C323" t="inlineStr">
        <is>
          <t>Föryngringsavverkning</t>
        </is>
      </c>
      <c r="D323" s="1" t="n">
        <v>44714</v>
      </c>
      <c r="E323" s="1" t="n">
        <v>46219</v>
      </c>
      <c r="F323" t="inlineStr">
        <is>
          <t>STOCKHOLMS LÄN</t>
        </is>
      </c>
      <c r="G323" t="inlineStr">
        <is>
          <t>NORRTÄLJE</t>
        </is>
      </c>
      <c r="I323" t="n">
        <v>5.6</v>
      </c>
      <c r="J323" t="n">
        <v>0</v>
      </c>
      <c r="K323" t="n">
        <v>0</v>
      </c>
      <c r="L323" t="n">
        <v>0</v>
      </c>
      <c r="M323" t="n">
        <v>0</v>
      </c>
      <c r="N323" t="n">
        <v>0</v>
      </c>
      <c r="O323" t="n">
        <v>0</v>
      </c>
      <c r="P323" t="n">
        <v>0</v>
      </c>
      <c r="Q323" t="n">
        <v>0</v>
      </c>
      <c r="R323" t="n">
        <v>0</v>
      </c>
      <c r="S323" t="n">
        <v>0</v>
      </c>
      <c r="T323" t="n">
        <v>0</v>
      </c>
      <c r="U323" s="2" t="inlineStr"/>
    </row>
    <row r="324" ht="15" customHeight="1">
      <c r="A324" t="inlineStr">
        <is>
          <t>A 30286-2022</t>
        </is>
      </c>
      <c r="B324" t="inlineStr">
        <is>
          <t>avverkningsanmälan</t>
        </is>
      </c>
      <c r="C324" t="inlineStr">
        <is>
          <t>Föryngringsavverkning</t>
        </is>
      </c>
      <c r="D324" s="1" t="n">
        <v>44760</v>
      </c>
      <c r="E324" s="1" t="n">
        <v>46219</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8160-2022</t>
        </is>
      </c>
      <c r="B325" t="inlineStr">
        <is>
          <t>avverkningsanmälan</t>
        </is>
      </c>
      <c r="C325" t="inlineStr">
        <is>
          <t>Föryngringsavverkning</t>
        </is>
      </c>
      <c r="D325" s="1" t="n">
        <v>44609</v>
      </c>
      <c r="E325" s="1" t="n">
        <v>46219</v>
      </c>
      <c r="F325" t="inlineStr">
        <is>
          <t>STOCKHOLMS LÄN</t>
        </is>
      </c>
      <c r="G325" t="inlineStr">
        <is>
          <t>NORRTÄLJE</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39319-2022</t>
        </is>
      </c>
      <c r="B326" t="inlineStr">
        <is>
          <t>avverkningsanmälan</t>
        </is>
      </c>
      <c r="C326" t="inlineStr">
        <is>
          <t>Föryngringsavverkning</t>
        </is>
      </c>
      <c r="D326" s="1" t="n">
        <v>44817</v>
      </c>
      <c r="E326" s="1" t="n">
        <v>46219</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41398-2022</t>
        </is>
      </c>
      <c r="B327" t="inlineStr">
        <is>
          <t>avverkningsanmälan</t>
        </is>
      </c>
      <c r="C327" t="inlineStr">
        <is>
          <t>Föryngringsavverkning</t>
        </is>
      </c>
      <c r="D327" s="1" t="n">
        <v>44826</v>
      </c>
      <c r="E327" s="1" t="n">
        <v>46219</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56219-2021</t>
        </is>
      </c>
      <c r="B328" t="inlineStr">
        <is>
          <t>avverkningsanmälan</t>
        </is>
      </c>
      <c r="C328" t="inlineStr">
        <is>
          <t>Föryngringsavverkning</t>
        </is>
      </c>
      <c r="D328" s="1" t="n">
        <v>44477</v>
      </c>
      <c r="E328" s="1" t="n">
        <v>46219</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45541-2022</t>
        </is>
      </c>
      <c r="B329" t="inlineStr">
        <is>
          <t>avverkningsanmälan</t>
        </is>
      </c>
      <c r="C329" t="inlineStr">
        <is>
          <t>Föryngringsavverkning</t>
        </is>
      </c>
      <c r="D329" s="1" t="n">
        <v>44845</v>
      </c>
      <c r="E329" s="1" t="n">
        <v>46219</v>
      </c>
      <c r="F329" t="inlineStr">
        <is>
          <t>STOCKHOLMS LÄN</t>
        </is>
      </c>
      <c r="G329" t="inlineStr">
        <is>
          <t>NORRTÄLJE</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52508-2023</t>
        </is>
      </c>
      <c r="B330" t="inlineStr">
        <is>
          <t>avverkningsanmälan</t>
        </is>
      </c>
      <c r="C330" t="inlineStr">
        <is>
          <t>Avverkning för att bevara och utveckla /försöksver</t>
        </is>
      </c>
      <c r="D330" s="1" t="n">
        <v>45225</v>
      </c>
      <c r="E330" s="1" t="n">
        <v>46219</v>
      </c>
      <c r="F330" t="inlineStr">
        <is>
          <t>STOCKHOLMS LÄN</t>
        </is>
      </c>
      <c r="G330" t="inlineStr">
        <is>
          <t>NORRTÄLJE</t>
        </is>
      </c>
      <c r="I330" t="n">
        <v>19.7</v>
      </c>
      <c r="J330" t="n">
        <v>0</v>
      </c>
      <c r="K330" t="n">
        <v>0</v>
      </c>
      <c r="L330" t="n">
        <v>0</v>
      </c>
      <c r="M330" t="n">
        <v>0</v>
      </c>
      <c r="N330" t="n">
        <v>0</v>
      </c>
      <c r="O330" t="n">
        <v>0</v>
      </c>
      <c r="P330" t="n">
        <v>0</v>
      </c>
      <c r="Q330" t="n">
        <v>0</v>
      </c>
      <c r="R330" t="n">
        <v>0</v>
      </c>
      <c r="S330" t="n">
        <v>0</v>
      </c>
      <c r="T330" t="n">
        <v>0</v>
      </c>
      <c r="U330" s="2" t="inlineStr"/>
    </row>
    <row r="331" ht="15" customHeight="1">
      <c r="A331" t="inlineStr">
        <is>
          <t>A 34461-2023</t>
        </is>
      </c>
      <c r="B331" t="inlineStr">
        <is>
          <t>avverkningsanmälan</t>
        </is>
      </c>
      <c r="C331" t="inlineStr">
        <is>
          <t>Föryngringsavverkning</t>
        </is>
      </c>
      <c r="D331" s="1" t="n">
        <v>45139</v>
      </c>
      <c r="E331" s="1" t="n">
        <v>46219</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48180-2023</t>
        </is>
      </c>
      <c r="B332" t="inlineStr">
        <is>
          <t>avverkningsanmälan</t>
        </is>
      </c>
      <c r="C332" t="inlineStr">
        <is>
          <t>Föryngringsavverkning</t>
        </is>
      </c>
      <c r="D332" s="1" t="n">
        <v>45205</v>
      </c>
      <c r="E332" s="1" t="n">
        <v>46219</v>
      </c>
      <c r="F332" t="inlineStr">
        <is>
          <t>STOCKHOLMS LÄN</t>
        </is>
      </c>
      <c r="G332" t="inlineStr">
        <is>
          <t>NORRTÄLJE</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68273-2021</t>
        </is>
      </c>
      <c r="B333" t="inlineStr">
        <is>
          <t>avverkningsanmälan</t>
        </is>
      </c>
      <c r="C333" t="inlineStr">
        <is>
          <t>Föryngringsavverkning</t>
        </is>
      </c>
      <c r="D333" s="1" t="n">
        <v>44526</v>
      </c>
      <c r="E333" s="1" t="n">
        <v>46219</v>
      </c>
      <c r="F333" t="inlineStr">
        <is>
          <t>STOCKHOLMS LÄN</t>
        </is>
      </c>
      <c r="G333" t="inlineStr">
        <is>
          <t>NORRTÄLJE</t>
        </is>
      </c>
      <c r="I333" t="n">
        <v>5.3</v>
      </c>
      <c r="J333" t="n">
        <v>0</v>
      </c>
      <c r="K333" t="n">
        <v>0</v>
      </c>
      <c r="L333" t="n">
        <v>0</v>
      </c>
      <c r="M333" t="n">
        <v>0</v>
      </c>
      <c r="N333" t="n">
        <v>0</v>
      </c>
      <c r="O333" t="n">
        <v>0</v>
      </c>
      <c r="P333" t="n">
        <v>0</v>
      </c>
      <c r="Q333" t="n">
        <v>0</v>
      </c>
      <c r="R333" t="n">
        <v>0</v>
      </c>
      <c r="S333" t="n">
        <v>0</v>
      </c>
      <c r="T333" t="n">
        <v>0</v>
      </c>
      <c r="U333" s="2" t="inlineStr"/>
    </row>
    <row r="334" ht="15" customHeight="1">
      <c r="A334" t="inlineStr">
        <is>
          <t>A 6919-2025</t>
        </is>
      </c>
      <c r="B334" t="inlineStr">
        <is>
          <t>avverkningsanmälan</t>
        </is>
      </c>
      <c r="C334" t="inlineStr">
        <is>
          <t>Föryngringsavverkning</t>
        </is>
      </c>
      <c r="D334" s="1" t="n">
        <v>45701</v>
      </c>
      <c r="E334" s="1" t="n">
        <v>46219</v>
      </c>
      <c r="F334" t="inlineStr">
        <is>
          <t>STOCKHOLMS LÄN</t>
        </is>
      </c>
      <c r="G334" t="inlineStr">
        <is>
          <t>NORRTÄLJE</t>
        </is>
      </c>
      <c r="I334" t="n">
        <v>3.5</v>
      </c>
      <c r="J334" t="n">
        <v>0</v>
      </c>
      <c r="K334" t="n">
        <v>0</v>
      </c>
      <c r="L334" t="n">
        <v>0</v>
      </c>
      <c r="M334" t="n">
        <v>0</v>
      </c>
      <c r="N334" t="n">
        <v>0</v>
      </c>
      <c r="O334" t="n">
        <v>0</v>
      </c>
      <c r="P334" t="n">
        <v>0</v>
      </c>
      <c r="Q334" t="n">
        <v>0</v>
      </c>
      <c r="R334" t="n">
        <v>0</v>
      </c>
      <c r="S334" t="n">
        <v>0</v>
      </c>
      <c r="T334" t="n">
        <v>0</v>
      </c>
      <c r="U334" s="2" t="inlineStr"/>
    </row>
    <row r="335" ht="15" customHeight="1">
      <c r="A335" t="inlineStr">
        <is>
          <t>A 3300-2022</t>
        </is>
      </c>
      <c r="B335" t="inlineStr">
        <is>
          <t>avverkningsanmälan</t>
        </is>
      </c>
      <c r="C335" t="inlineStr">
        <is>
          <t>Föryngringsavverkning</t>
        </is>
      </c>
      <c r="D335" s="1" t="n">
        <v>44584</v>
      </c>
      <c r="E335" s="1" t="n">
        <v>46219</v>
      </c>
      <c r="F335" t="inlineStr">
        <is>
          <t>STOCKHOLMS LÄN</t>
        </is>
      </c>
      <c r="G335" t="inlineStr">
        <is>
          <t>NORRTÄLJE</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17388-2022</t>
        </is>
      </c>
      <c r="B336" t="inlineStr">
        <is>
          <t>avverkningsanmälan</t>
        </is>
      </c>
      <c r="C336" t="inlineStr">
        <is>
          <t>Föryngringsavverkning</t>
        </is>
      </c>
      <c r="D336" s="1" t="n">
        <v>44678</v>
      </c>
      <c r="E336" s="1" t="n">
        <v>46219</v>
      </c>
      <c r="F336" t="inlineStr">
        <is>
          <t>STOCKHOLMS LÄN</t>
        </is>
      </c>
      <c r="G336" t="inlineStr">
        <is>
          <t>NORRTÄLJE</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24522-2023</t>
        </is>
      </c>
      <c r="B337" t="inlineStr">
        <is>
          <t>avverkningsanmälan</t>
        </is>
      </c>
      <c r="C337" t="inlineStr">
        <is>
          <t>Föryngringsavverkning</t>
        </is>
      </c>
      <c r="D337" s="1" t="n">
        <v>45082</v>
      </c>
      <c r="E337" s="1" t="n">
        <v>46219</v>
      </c>
      <c r="F337" t="inlineStr">
        <is>
          <t>STOCKHOLMS LÄN</t>
        </is>
      </c>
      <c r="G337" t="inlineStr">
        <is>
          <t>NORRTÄLJE</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17771-2022</t>
        </is>
      </c>
      <c r="B338" t="inlineStr">
        <is>
          <t>avverkningsanmälan</t>
        </is>
      </c>
      <c r="C338" t="inlineStr">
        <is>
          <t>Föryngringsavverkning</t>
        </is>
      </c>
      <c r="D338" s="1" t="n">
        <v>44682</v>
      </c>
      <c r="E338" s="1" t="n">
        <v>46219</v>
      </c>
      <c r="F338" t="inlineStr">
        <is>
          <t>STOCKHOLMS LÄN</t>
        </is>
      </c>
      <c r="G338" t="inlineStr">
        <is>
          <t>NORRTÄLJE</t>
        </is>
      </c>
      <c r="I338" t="n">
        <v>13.3</v>
      </c>
      <c r="J338" t="n">
        <v>0</v>
      </c>
      <c r="K338" t="n">
        <v>0</v>
      </c>
      <c r="L338" t="n">
        <v>0</v>
      </c>
      <c r="M338" t="n">
        <v>0</v>
      </c>
      <c r="N338" t="n">
        <v>0</v>
      </c>
      <c r="O338" t="n">
        <v>0</v>
      </c>
      <c r="P338" t="n">
        <v>0</v>
      </c>
      <c r="Q338" t="n">
        <v>0</v>
      </c>
      <c r="R338" t="n">
        <v>0</v>
      </c>
      <c r="S338" t="n">
        <v>0</v>
      </c>
      <c r="T338" t="n">
        <v>0</v>
      </c>
      <c r="U338" s="2" t="inlineStr"/>
    </row>
    <row r="339" ht="15" customHeight="1">
      <c r="A339" t="inlineStr">
        <is>
          <t>A 17773-2022</t>
        </is>
      </c>
      <c r="B339" t="inlineStr">
        <is>
          <t>avverkningsanmälan</t>
        </is>
      </c>
      <c r="C339" t="inlineStr">
        <is>
          <t>Föryngringsavverkning</t>
        </is>
      </c>
      <c r="D339" s="1" t="n">
        <v>44682</v>
      </c>
      <c r="E339" s="1" t="n">
        <v>46219</v>
      </c>
      <c r="F339" t="inlineStr">
        <is>
          <t>STOCKHOLMS LÄN</t>
        </is>
      </c>
      <c r="G339" t="inlineStr">
        <is>
          <t>NORRTÄLJE</t>
        </is>
      </c>
      <c r="I339" t="n">
        <v>10.8</v>
      </c>
      <c r="J339" t="n">
        <v>0</v>
      </c>
      <c r="K339" t="n">
        <v>0</v>
      </c>
      <c r="L339" t="n">
        <v>0</v>
      </c>
      <c r="M339" t="n">
        <v>0</v>
      </c>
      <c r="N339" t="n">
        <v>0</v>
      </c>
      <c r="O339" t="n">
        <v>0</v>
      </c>
      <c r="P339" t="n">
        <v>0</v>
      </c>
      <c r="Q339" t="n">
        <v>0</v>
      </c>
      <c r="R339" t="n">
        <v>0</v>
      </c>
      <c r="S339" t="n">
        <v>0</v>
      </c>
      <c r="T339" t="n">
        <v>0</v>
      </c>
      <c r="U339" s="2" t="inlineStr"/>
    </row>
    <row r="340" ht="15" customHeight="1">
      <c r="A340" t="inlineStr">
        <is>
          <t>A 10521-2022</t>
        </is>
      </c>
      <c r="B340" t="inlineStr">
        <is>
          <t>avverkningsanmälan</t>
        </is>
      </c>
      <c r="C340" t="inlineStr">
        <is>
          <t>Föryngringsavverkning</t>
        </is>
      </c>
      <c r="D340" s="1" t="n">
        <v>44623</v>
      </c>
      <c r="E340" s="1" t="n">
        <v>46219</v>
      </c>
      <c r="F340" t="inlineStr">
        <is>
          <t>STOCKHOLMS LÄN</t>
        </is>
      </c>
      <c r="G340" t="inlineStr">
        <is>
          <t>NORRTÄLJE</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8433-2022</t>
        </is>
      </c>
      <c r="B341" t="inlineStr">
        <is>
          <t>avverkningsanmälan</t>
        </is>
      </c>
      <c r="C341" t="inlineStr">
        <is>
          <t>Föryngringsavverkning</t>
        </is>
      </c>
      <c r="D341" s="1" t="n">
        <v>44611</v>
      </c>
      <c r="E341" s="1" t="n">
        <v>46219</v>
      </c>
      <c r="F341" t="inlineStr">
        <is>
          <t>STOCKHOLMS LÄN</t>
        </is>
      </c>
      <c r="G341" t="inlineStr">
        <is>
          <t>NORRTÄLJE</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16117-2022</t>
        </is>
      </c>
      <c r="B342" t="inlineStr">
        <is>
          <t>avverkningsanmälan</t>
        </is>
      </c>
      <c r="C342" t="inlineStr">
        <is>
          <t>Föryngringsavverkning</t>
        </is>
      </c>
      <c r="D342" s="1" t="n">
        <v>44665</v>
      </c>
      <c r="E342" s="1" t="n">
        <v>46219</v>
      </c>
      <c r="F342" t="inlineStr">
        <is>
          <t>STOCKHOLMS LÄN</t>
        </is>
      </c>
      <c r="G342" t="inlineStr">
        <is>
          <t>NORRTÄLJE</t>
        </is>
      </c>
      <c r="I342" t="n">
        <v>8.1</v>
      </c>
      <c r="J342" t="n">
        <v>0</v>
      </c>
      <c r="K342" t="n">
        <v>0</v>
      </c>
      <c r="L342" t="n">
        <v>0</v>
      </c>
      <c r="M342" t="n">
        <v>0</v>
      </c>
      <c r="N342" t="n">
        <v>0</v>
      </c>
      <c r="O342" t="n">
        <v>0</v>
      </c>
      <c r="P342" t="n">
        <v>0</v>
      </c>
      <c r="Q342" t="n">
        <v>0</v>
      </c>
      <c r="R342" t="n">
        <v>0</v>
      </c>
      <c r="S342" t="n">
        <v>0</v>
      </c>
      <c r="T342" t="n">
        <v>0</v>
      </c>
      <c r="U342" s="2" t="inlineStr"/>
    </row>
    <row r="343" ht="15" customHeight="1">
      <c r="A343" t="inlineStr">
        <is>
          <t>A 16132-2022</t>
        </is>
      </c>
      <c r="B343" t="inlineStr">
        <is>
          <t>avverkningsanmälan</t>
        </is>
      </c>
      <c r="C343" t="inlineStr">
        <is>
          <t>Föryngringsavverkning</t>
        </is>
      </c>
      <c r="D343" s="1" t="n">
        <v>44665</v>
      </c>
      <c r="E343" s="1" t="n">
        <v>46219</v>
      </c>
      <c r="F343" t="inlineStr">
        <is>
          <t>STOCKHOLMS LÄN</t>
        </is>
      </c>
      <c r="G343" t="inlineStr">
        <is>
          <t>NORRTÄLJE</t>
        </is>
      </c>
      <c r="I343" t="n">
        <v>4.4</v>
      </c>
      <c r="J343" t="n">
        <v>0</v>
      </c>
      <c r="K343" t="n">
        <v>0</v>
      </c>
      <c r="L343" t="n">
        <v>0</v>
      </c>
      <c r="M343" t="n">
        <v>0</v>
      </c>
      <c r="N343" t="n">
        <v>0</v>
      </c>
      <c r="O343" t="n">
        <v>0</v>
      </c>
      <c r="P343" t="n">
        <v>0</v>
      </c>
      <c r="Q343" t="n">
        <v>0</v>
      </c>
      <c r="R343" t="n">
        <v>0</v>
      </c>
      <c r="S343" t="n">
        <v>0</v>
      </c>
      <c r="T343" t="n">
        <v>0</v>
      </c>
      <c r="U343" s="2" t="inlineStr"/>
    </row>
    <row r="344" ht="15" customHeight="1">
      <c r="A344" t="inlineStr">
        <is>
          <t>A 70170-2021</t>
        </is>
      </c>
      <c r="B344" t="inlineStr">
        <is>
          <t>avverkningsanmälan</t>
        </is>
      </c>
      <c r="C344" t="inlineStr">
        <is>
          <t>Föryngringsavverkning</t>
        </is>
      </c>
      <c r="D344" s="1" t="n">
        <v>44533</v>
      </c>
      <c r="E344" s="1" t="n">
        <v>46219</v>
      </c>
      <c r="F344" t="inlineStr">
        <is>
          <t>STOCKHOLMS LÄN</t>
        </is>
      </c>
      <c r="G344" t="inlineStr">
        <is>
          <t>NORRTÄLJE</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10215-2023</t>
        </is>
      </c>
      <c r="B345" t="inlineStr">
        <is>
          <t>avverkningsanmälan</t>
        </is>
      </c>
      <c r="C345" t="inlineStr">
        <is>
          <t>Föryngringsavverkning</t>
        </is>
      </c>
      <c r="D345" s="1" t="n">
        <v>44986</v>
      </c>
      <c r="E345" s="1" t="n">
        <v>46219</v>
      </c>
      <c r="F345" t="inlineStr">
        <is>
          <t>STOCKHOLMS LÄN</t>
        </is>
      </c>
      <c r="G345" t="inlineStr">
        <is>
          <t>NORRTÄLJE</t>
        </is>
      </c>
      <c r="I345" t="n">
        <v>6.5</v>
      </c>
      <c r="J345" t="n">
        <v>0</v>
      </c>
      <c r="K345" t="n">
        <v>0</v>
      </c>
      <c r="L345" t="n">
        <v>0</v>
      </c>
      <c r="M345" t="n">
        <v>0</v>
      </c>
      <c r="N345" t="n">
        <v>0</v>
      </c>
      <c r="O345" t="n">
        <v>0</v>
      </c>
      <c r="P345" t="n">
        <v>0</v>
      </c>
      <c r="Q345" t="n">
        <v>0</v>
      </c>
      <c r="R345" t="n">
        <v>0</v>
      </c>
      <c r="S345" t="n">
        <v>0</v>
      </c>
      <c r="T345" t="n">
        <v>0</v>
      </c>
      <c r="U345" s="2" t="inlineStr"/>
    </row>
    <row r="346" ht="15" customHeight="1">
      <c r="A346" t="inlineStr">
        <is>
          <t>A 21102-2022</t>
        </is>
      </c>
      <c r="B346" t="inlineStr">
        <is>
          <t>avverkningsanmälan</t>
        </is>
      </c>
      <c r="C346" t="inlineStr">
        <is>
          <t>Avverkning för annat ändamål</t>
        </is>
      </c>
      <c r="D346" s="1" t="n">
        <v>44704</v>
      </c>
      <c r="E346" s="1" t="n">
        <v>46219</v>
      </c>
      <c r="F346" t="inlineStr">
        <is>
          <t>STOCKHOLMS LÄN</t>
        </is>
      </c>
      <c r="G346" t="inlineStr">
        <is>
          <t>NORRTÄLJE</t>
        </is>
      </c>
      <c r="I346" t="n">
        <v>0.2</v>
      </c>
      <c r="J346" t="n">
        <v>0</v>
      </c>
      <c r="K346" t="n">
        <v>0</v>
      </c>
      <c r="L346" t="n">
        <v>0</v>
      </c>
      <c r="M346" t="n">
        <v>0</v>
      </c>
      <c r="N346" t="n">
        <v>0</v>
      </c>
      <c r="O346" t="n">
        <v>0</v>
      </c>
      <c r="P346" t="n">
        <v>0</v>
      </c>
      <c r="Q346" t="n">
        <v>0</v>
      </c>
      <c r="R346" t="n">
        <v>0</v>
      </c>
      <c r="S346" t="n">
        <v>0</v>
      </c>
      <c r="T346" t="n">
        <v>0</v>
      </c>
      <c r="U346" s="2" t="inlineStr"/>
    </row>
    <row r="347" ht="15" customHeight="1">
      <c r="A347" t="inlineStr">
        <is>
          <t>A 29176-2024</t>
        </is>
      </c>
      <c r="B347" t="inlineStr">
        <is>
          <t>avverkningsanmälan</t>
        </is>
      </c>
      <c r="C347" t="inlineStr">
        <is>
          <t>Föryngringsavverkning</t>
        </is>
      </c>
      <c r="D347" s="1" t="n">
        <v>45482</v>
      </c>
      <c r="E347" s="1" t="n">
        <v>46219</v>
      </c>
      <c r="F347" t="inlineStr">
        <is>
          <t>STOCKHOLMS LÄN</t>
        </is>
      </c>
      <c r="G347" t="inlineStr">
        <is>
          <t>NORRTÄLJE</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71880-2021</t>
        </is>
      </c>
      <c r="B348" t="inlineStr">
        <is>
          <t>avverkningsanmälan</t>
        </is>
      </c>
      <c r="C348" t="inlineStr">
        <is>
          <t>Föryngringsavverkning</t>
        </is>
      </c>
      <c r="D348" s="1" t="n">
        <v>44543</v>
      </c>
      <c r="E348" s="1" t="n">
        <v>46219</v>
      </c>
      <c r="F348" t="inlineStr">
        <is>
          <t>STOCKHOLMS LÄN</t>
        </is>
      </c>
      <c r="G348" t="inlineStr">
        <is>
          <t>NORRTÄLJE</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12875-2022</t>
        </is>
      </c>
      <c r="B349" t="inlineStr">
        <is>
          <t>avverkningsanmälan</t>
        </is>
      </c>
      <c r="C349" t="inlineStr">
        <is>
          <t>Föryngringsavverkning</t>
        </is>
      </c>
      <c r="D349" s="1" t="n">
        <v>44642</v>
      </c>
      <c r="E349" s="1" t="n">
        <v>46219</v>
      </c>
      <c r="F349" t="inlineStr">
        <is>
          <t>STOCKHOLMS LÄN</t>
        </is>
      </c>
      <c r="G349" t="inlineStr">
        <is>
          <t>NORRTÄLJE</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17772-2022</t>
        </is>
      </c>
      <c r="B350" t="inlineStr">
        <is>
          <t>avverkningsanmälan</t>
        </is>
      </c>
      <c r="C350" t="inlineStr">
        <is>
          <t>Föryngringsavverkning</t>
        </is>
      </c>
      <c r="D350" s="1" t="n">
        <v>44682</v>
      </c>
      <c r="E350" s="1" t="n">
        <v>46219</v>
      </c>
      <c r="F350" t="inlineStr">
        <is>
          <t>STOCKHOLMS LÄN</t>
        </is>
      </c>
      <c r="G350" t="inlineStr">
        <is>
          <t>NORRTÄLJE</t>
        </is>
      </c>
      <c r="I350" t="n">
        <v>4</v>
      </c>
      <c r="J350" t="n">
        <v>0</v>
      </c>
      <c r="K350" t="n">
        <v>0</v>
      </c>
      <c r="L350" t="n">
        <v>0</v>
      </c>
      <c r="M350" t="n">
        <v>0</v>
      </c>
      <c r="N350" t="n">
        <v>0</v>
      </c>
      <c r="O350" t="n">
        <v>0</v>
      </c>
      <c r="P350" t="n">
        <v>0</v>
      </c>
      <c r="Q350" t="n">
        <v>0</v>
      </c>
      <c r="R350" t="n">
        <v>0</v>
      </c>
      <c r="S350" t="n">
        <v>0</v>
      </c>
      <c r="T350" t="n">
        <v>0</v>
      </c>
      <c r="U350" s="2" t="inlineStr"/>
    </row>
    <row r="351" ht="15" customHeight="1">
      <c r="A351" t="inlineStr">
        <is>
          <t>A 67285-2021</t>
        </is>
      </c>
      <c r="B351" t="inlineStr">
        <is>
          <t>avverkningsanmälan</t>
        </is>
      </c>
      <c r="C351" t="inlineStr">
        <is>
          <t>Föryngringsavverkning</t>
        </is>
      </c>
      <c r="D351" s="1" t="n">
        <v>44523</v>
      </c>
      <c r="E351" s="1" t="n">
        <v>46219</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5611-2022</t>
        </is>
      </c>
      <c r="B352" t="inlineStr">
        <is>
          <t>avverkningsanmälan</t>
        </is>
      </c>
      <c r="C352" t="inlineStr">
        <is>
          <t>Föryngringsavverkning</t>
        </is>
      </c>
      <c r="D352" s="1" t="n">
        <v>44595</v>
      </c>
      <c r="E352" s="1" t="n">
        <v>46219</v>
      </c>
      <c r="F352" t="inlineStr">
        <is>
          <t>STOCKHOLMS LÄN</t>
        </is>
      </c>
      <c r="G352" t="inlineStr">
        <is>
          <t>NORRTÄLJE</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24101-2022</t>
        </is>
      </c>
      <c r="B353" t="inlineStr">
        <is>
          <t>avverkningsanmälan</t>
        </is>
      </c>
      <c r="C353" t="inlineStr">
        <is>
          <t>Föryngringsavverkning</t>
        </is>
      </c>
      <c r="D353" s="1" t="n">
        <v>44725</v>
      </c>
      <c r="E353" s="1" t="n">
        <v>46219</v>
      </c>
      <c r="F353" t="inlineStr">
        <is>
          <t>STOCKHOLMS LÄN</t>
        </is>
      </c>
      <c r="G353" t="inlineStr">
        <is>
          <t>NORRTÄLJE</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31559-2022</t>
        </is>
      </c>
      <c r="B354" t="inlineStr">
        <is>
          <t>avverkningsanmälan</t>
        </is>
      </c>
      <c r="C354" t="inlineStr">
        <is>
          <t>Föryngringsavverkning</t>
        </is>
      </c>
      <c r="D354" s="1" t="n">
        <v>44775</v>
      </c>
      <c r="E354" s="1" t="n">
        <v>46219</v>
      </c>
      <c r="F354" t="inlineStr">
        <is>
          <t>STOCKHOLMS LÄN</t>
        </is>
      </c>
      <c r="G354" t="inlineStr">
        <is>
          <t>NORRTÄLJE</t>
        </is>
      </c>
      <c r="I354" t="n">
        <v>5.6</v>
      </c>
      <c r="J354" t="n">
        <v>0</v>
      </c>
      <c r="K354" t="n">
        <v>0</v>
      </c>
      <c r="L354" t="n">
        <v>0</v>
      </c>
      <c r="M354" t="n">
        <v>0</v>
      </c>
      <c r="N354" t="n">
        <v>0</v>
      </c>
      <c r="O354" t="n">
        <v>0</v>
      </c>
      <c r="P354" t="n">
        <v>0</v>
      </c>
      <c r="Q354" t="n">
        <v>0</v>
      </c>
      <c r="R354" t="n">
        <v>0</v>
      </c>
      <c r="S354" t="n">
        <v>0</v>
      </c>
      <c r="T354" t="n">
        <v>0</v>
      </c>
      <c r="U354" s="2" t="inlineStr"/>
    </row>
    <row r="355" ht="15" customHeight="1">
      <c r="A355" t="inlineStr">
        <is>
          <t>A 52001-2023</t>
        </is>
      </c>
      <c r="B355" t="inlineStr">
        <is>
          <t>avverkningsanmälan</t>
        </is>
      </c>
      <c r="C355" t="inlineStr">
        <is>
          <t>Föryngringsavverkning</t>
        </is>
      </c>
      <c r="D355" s="1" t="n">
        <v>45223</v>
      </c>
      <c r="E355" s="1" t="n">
        <v>46219</v>
      </c>
      <c r="F355" t="inlineStr">
        <is>
          <t>STOCKHOLMS LÄN</t>
        </is>
      </c>
      <c r="G355" t="inlineStr">
        <is>
          <t>NORRTÄLJE</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38721-2022</t>
        </is>
      </c>
      <c r="B356" t="inlineStr">
        <is>
          <t>avverkningsanmälan</t>
        </is>
      </c>
      <c r="C356" t="inlineStr">
        <is>
          <t>Föryngringsavverkning</t>
        </is>
      </c>
      <c r="D356" s="1" t="n">
        <v>44815</v>
      </c>
      <c r="E356" s="1" t="n">
        <v>46219</v>
      </c>
      <c r="F356" t="inlineStr">
        <is>
          <t>STOCKHOLMS LÄN</t>
        </is>
      </c>
      <c r="G356" t="inlineStr">
        <is>
          <t>NORRTÄLJE</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12355-2022</t>
        </is>
      </c>
      <c r="B357" t="inlineStr">
        <is>
          <t>avverkningsanmälan</t>
        </is>
      </c>
      <c r="C357" t="inlineStr">
        <is>
          <t>Föryngringsavverkning</t>
        </is>
      </c>
      <c r="D357" s="1" t="n">
        <v>44637</v>
      </c>
      <c r="E357" s="1" t="n">
        <v>46219</v>
      </c>
      <c r="F357" t="inlineStr">
        <is>
          <t>STOCKHOLMS LÄN</t>
        </is>
      </c>
      <c r="G357" t="inlineStr">
        <is>
          <t>NORRTÄLJE</t>
        </is>
      </c>
      <c r="I357" t="n">
        <v>10.4</v>
      </c>
      <c r="J357" t="n">
        <v>0</v>
      </c>
      <c r="K357" t="n">
        <v>0</v>
      </c>
      <c r="L357" t="n">
        <v>0</v>
      </c>
      <c r="M357" t="n">
        <v>0</v>
      </c>
      <c r="N357" t="n">
        <v>0</v>
      </c>
      <c r="O357" t="n">
        <v>0</v>
      </c>
      <c r="P357" t="n">
        <v>0</v>
      </c>
      <c r="Q357" t="n">
        <v>0</v>
      </c>
      <c r="R357" t="n">
        <v>0</v>
      </c>
      <c r="S357" t="n">
        <v>0</v>
      </c>
      <c r="T357" t="n">
        <v>0</v>
      </c>
      <c r="U357" s="2" t="inlineStr"/>
    </row>
    <row r="358" ht="15" customHeight="1">
      <c r="A358" t="inlineStr">
        <is>
          <t>A 60184-2021</t>
        </is>
      </c>
      <c r="B358" t="inlineStr">
        <is>
          <t>avverkningsanmälan</t>
        </is>
      </c>
      <c r="C358" t="inlineStr">
        <is>
          <t>Föryngringsavverkning</t>
        </is>
      </c>
      <c r="D358" s="1" t="n">
        <v>44495</v>
      </c>
      <c r="E358" s="1" t="n">
        <v>46219</v>
      </c>
      <c r="F358" t="inlineStr">
        <is>
          <t>STOCKHOLMS LÄN</t>
        </is>
      </c>
      <c r="G358" t="inlineStr">
        <is>
          <t>NORRTÄLJE</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7565-2022</t>
        </is>
      </c>
      <c r="B359" t="inlineStr">
        <is>
          <t>avverkningsanmälan</t>
        </is>
      </c>
      <c r="C359" t="inlineStr">
        <is>
          <t>Föryngringsavverkning</t>
        </is>
      </c>
      <c r="D359" s="1" t="n">
        <v>44607</v>
      </c>
      <c r="E359" s="1" t="n">
        <v>46219</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41822-2021</t>
        </is>
      </c>
      <c r="B360" t="inlineStr">
        <is>
          <t>avverkningsanmälan</t>
        </is>
      </c>
      <c r="C360" t="inlineStr">
        <is>
          <t>Föryngringsavverkning</t>
        </is>
      </c>
      <c r="D360" s="1" t="n">
        <v>44425</v>
      </c>
      <c r="E360" s="1" t="n">
        <v>46219</v>
      </c>
      <c r="F360" t="inlineStr">
        <is>
          <t>STOCKHOLMS LÄN</t>
        </is>
      </c>
      <c r="G360" t="inlineStr">
        <is>
          <t>NORRTÄLJE</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55012-2024</t>
        </is>
      </c>
      <c r="B361" t="inlineStr">
        <is>
          <t>avverkningsanmälan</t>
        </is>
      </c>
      <c r="C361" t="inlineStr">
        <is>
          <t>Föryngringsavverkning</t>
        </is>
      </c>
      <c r="D361" s="1" t="n">
        <v>45621</v>
      </c>
      <c r="E361" s="1" t="n">
        <v>46219</v>
      </c>
      <c r="F361" t="inlineStr">
        <is>
          <t>STOCKHOLMS LÄN</t>
        </is>
      </c>
      <c r="G361" t="inlineStr">
        <is>
          <t>NORRTÄLJE</t>
        </is>
      </c>
      <c r="H361" t="inlineStr">
        <is>
          <t>Sveaskog</t>
        </is>
      </c>
      <c r="I361" t="n">
        <v>5.2</v>
      </c>
      <c r="J361" t="n">
        <v>0</v>
      </c>
      <c r="K361" t="n">
        <v>0</v>
      </c>
      <c r="L361" t="n">
        <v>0</v>
      </c>
      <c r="M361" t="n">
        <v>0</v>
      </c>
      <c r="N361" t="n">
        <v>0</v>
      </c>
      <c r="O361" t="n">
        <v>0</v>
      </c>
      <c r="P361" t="n">
        <v>0</v>
      </c>
      <c r="Q361" t="n">
        <v>0</v>
      </c>
      <c r="R361" t="n">
        <v>0</v>
      </c>
      <c r="S361" t="n">
        <v>0</v>
      </c>
      <c r="T361" t="n">
        <v>0</v>
      </c>
      <c r="U361" s="2" t="inlineStr"/>
    </row>
    <row r="362" ht="15" customHeight="1">
      <c r="A362" t="inlineStr">
        <is>
          <t>A 19580-2022</t>
        </is>
      </c>
      <c r="B362" t="inlineStr">
        <is>
          <t>avverkningsanmälan</t>
        </is>
      </c>
      <c r="C362" t="inlineStr">
        <is>
          <t>Föryngringsavverkning</t>
        </is>
      </c>
      <c r="D362" s="1" t="n">
        <v>44693</v>
      </c>
      <c r="E362" s="1" t="n">
        <v>46219</v>
      </c>
      <c r="F362" t="inlineStr">
        <is>
          <t>STOCKHOLMS LÄN</t>
        </is>
      </c>
      <c r="G362" t="inlineStr">
        <is>
          <t>NORRTÄLJE</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27715-2022</t>
        </is>
      </c>
      <c r="B363" t="inlineStr">
        <is>
          <t>avverkningsanmälan</t>
        </is>
      </c>
      <c r="C363" t="inlineStr">
        <is>
          <t>Föryngringsavverkning</t>
        </is>
      </c>
      <c r="D363" s="1" t="n">
        <v>44743</v>
      </c>
      <c r="E363" s="1" t="n">
        <v>46219</v>
      </c>
      <c r="F363" t="inlineStr">
        <is>
          <t>STOCKHOLMS LÄN</t>
        </is>
      </c>
      <c r="G363" t="inlineStr">
        <is>
          <t>NORRTÄLJE</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4596-2023</t>
        </is>
      </c>
      <c r="B364" t="inlineStr">
        <is>
          <t>avverkningsanmälan</t>
        </is>
      </c>
      <c r="C364" t="inlineStr">
        <is>
          <t>Avverkning för annat ändamål</t>
        </is>
      </c>
      <c r="D364" s="1" t="n">
        <v>44956</v>
      </c>
      <c r="E364" s="1" t="n">
        <v>46219</v>
      </c>
      <c r="F364" t="inlineStr">
        <is>
          <t>STOCKHOLMS LÄN</t>
        </is>
      </c>
      <c r="G364" t="inlineStr">
        <is>
          <t>NORRTÄLJE</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63161-2023</t>
        </is>
      </c>
      <c r="B365" t="inlineStr">
        <is>
          <t>avverkningsanmälan</t>
        </is>
      </c>
      <c r="C365" t="inlineStr">
        <is>
          <t>Föryngringsavverkning</t>
        </is>
      </c>
      <c r="D365" s="1" t="n">
        <v>45273</v>
      </c>
      <c r="E365" s="1" t="n">
        <v>46219</v>
      </c>
      <c r="F365" t="inlineStr">
        <is>
          <t>STOCKHOLMS LÄN</t>
        </is>
      </c>
      <c r="G365" t="inlineStr">
        <is>
          <t>NORRTÄLJE</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23271-2023</t>
        </is>
      </c>
      <c r="B366" t="inlineStr">
        <is>
          <t>avverkningsanmälan</t>
        </is>
      </c>
      <c r="C366" t="inlineStr">
        <is>
          <t>Föryngringsavverkning</t>
        </is>
      </c>
      <c r="D366" s="1" t="n">
        <v>45075</v>
      </c>
      <c r="E366" s="1" t="n">
        <v>46219</v>
      </c>
      <c r="F366" t="inlineStr">
        <is>
          <t>STOCKHOLMS LÄN</t>
        </is>
      </c>
      <c r="G366" t="inlineStr">
        <is>
          <t>NORRTÄLJE</t>
        </is>
      </c>
      <c r="I366" t="n">
        <v>5.1</v>
      </c>
      <c r="J366" t="n">
        <v>0</v>
      </c>
      <c r="K366" t="n">
        <v>0</v>
      </c>
      <c r="L366" t="n">
        <v>0</v>
      </c>
      <c r="M366" t="n">
        <v>0</v>
      </c>
      <c r="N366" t="n">
        <v>0</v>
      </c>
      <c r="O366" t="n">
        <v>0</v>
      </c>
      <c r="P366" t="n">
        <v>0</v>
      </c>
      <c r="Q366" t="n">
        <v>0</v>
      </c>
      <c r="R366" t="n">
        <v>0</v>
      </c>
      <c r="S366" t="n">
        <v>0</v>
      </c>
      <c r="T366" t="n">
        <v>0</v>
      </c>
      <c r="U366" s="2" t="inlineStr"/>
    </row>
    <row r="367" ht="15" customHeight="1">
      <c r="A367" t="inlineStr">
        <is>
          <t>A 23273-2023</t>
        </is>
      </c>
      <c r="B367" t="inlineStr">
        <is>
          <t>avverkningsanmälan</t>
        </is>
      </c>
      <c r="C367" t="inlineStr">
        <is>
          <t>Föryngringsavverkning</t>
        </is>
      </c>
      <c r="D367" s="1" t="n">
        <v>45075</v>
      </c>
      <c r="E367" s="1" t="n">
        <v>46219</v>
      </c>
      <c r="F367" t="inlineStr">
        <is>
          <t>STOCKHOLMS LÄN</t>
        </is>
      </c>
      <c r="G367" t="inlineStr">
        <is>
          <t>NORRTÄLJE</t>
        </is>
      </c>
      <c r="I367" t="n">
        <v>7.5</v>
      </c>
      <c r="J367" t="n">
        <v>0</v>
      </c>
      <c r="K367" t="n">
        <v>0</v>
      </c>
      <c r="L367" t="n">
        <v>0</v>
      </c>
      <c r="M367" t="n">
        <v>0</v>
      </c>
      <c r="N367" t="n">
        <v>0</v>
      </c>
      <c r="O367" t="n">
        <v>0</v>
      </c>
      <c r="P367" t="n">
        <v>0</v>
      </c>
      <c r="Q367" t="n">
        <v>0</v>
      </c>
      <c r="R367" t="n">
        <v>0</v>
      </c>
      <c r="S367" t="n">
        <v>0</v>
      </c>
      <c r="T367" t="n">
        <v>0</v>
      </c>
      <c r="U367" s="2" t="inlineStr"/>
    </row>
    <row r="368" ht="15" customHeight="1">
      <c r="A368" t="inlineStr">
        <is>
          <t>A 30802-2022</t>
        </is>
      </c>
      <c r="B368" t="inlineStr">
        <is>
          <t>avverkningsanmälan</t>
        </is>
      </c>
      <c r="C368" t="inlineStr">
        <is>
          <t>Föryngringsavverkning</t>
        </is>
      </c>
      <c r="D368" s="1" t="n">
        <v>44764</v>
      </c>
      <c r="E368" s="1" t="n">
        <v>46219</v>
      </c>
      <c r="F368" t="inlineStr">
        <is>
          <t>STOCKHOLMS LÄN</t>
        </is>
      </c>
      <c r="G368" t="inlineStr">
        <is>
          <t>NORRTÄLJE</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19706-2023</t>
        </is>
      </c>
      <c r="B369" t="inlineStr">
        <is>
          <t>avverkningsanmälan</t>
        </is>
      </c>
      <c r="C369" t="inlineStr">
        <is>
          <t>Föryngringsavverkning</t>
        </is>
      </c>
      <c r="D369" s="1" t="n">
        <v>45051</v>
      </c>
      <c r="E369" s="1" t="n">
        <v>46219</v>
      </c>
      <c r="F369" t="inlineStr">
        <is>
          <t>STOCKHOLMS LÄN</t>
        </is>
      </c>
      <c r="G369" t="inlineStr">
        <is>
          <t>NORRTÄLJE</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51653-2022</t>
        </is>
      </c>
      <c r="B370" t="inlineStr">
        <is>
          <t>avverkningsanmälan</t>
        </is>
      </c>
      <c r="C370" t="inlineStr">
        <is>
          <t>Föryngringsavverkning</t>
        </is>
      </c>
      <c r="D370" s="1" t="n">
        <v>44867</v>
      </c>
      <c r="E370" s="1" t="n">
        <v>46219</v>
      </c>
      <c r="F370" t="inlineStr">
        <is>
          <t>STOCKHOLMS LÄN</t>
        </is>
      </c>
      <c r="G370" t="inlineStr">
        <is>
          <t>NORRTÄLJE</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16008-2025</t>
        </is>
      </c>
      <c r="B371" t="inlineStr">
        <is>
          <t>avverkningsanmälan</t>
        </is>
      </c>
      <c r="C371" t="inlineStr">
        <is>
          <t>Avverkning för annat ändamål</t>
        </is>
      </c>
      <c r="D371" s="1" t="n">
        <v>45749</v>
      </c>
      <c r="E371" s="1" t="n">
        <v>46219</v>
      </c>
      <c r="F371" t="inlineStr">
        <is>
          <t>STOCKHOLMS LÄN</t>
        </is>
      </c>
      <c r="G371" t="inlineStr">
        <is>
          <t>NORRTÄLJE</t>
        </is>
      </c>
      <c r="H371" t="inlineStr">
        <is>
          <t>Holmen skog AB</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9765-2024</t>
        </is>
      </c>
      <c r="B372" t="inlineStr">
        <is>
          <t>avverkningsanmälan</t>
        </is>
      </c>
      <c r="C372" t="inlineStr">
        <is>
          <t>Föryngringsavverkning</t>
        </is>
      </c>
      <c r="D372" s="1" t="n">
        <v>45362</v>
      </c>
      <c r="E372" s="1" t="n">
        <v>46219</v>
      </c>
      <c r="F372" t="inlineStr">
        <is>
          <t>STOCKHOLMS LÄN</t>
        </is>
      </c>
      <c r="G372" t="inlineStr">
        <is>
          <t>NORRTÄLJE</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47694-2023</t>
        </is>
      </c>
      <c r="B373" t="inlineStr">
        <is>
          <t>avverkningsanmälan</t>
        </is>
      </c>
      <c r="C373" t="inlineStr">
        <is>
          <t>Föryngringsavverkning</t>
        </is>
      </c>
      <c r="D373" s="1" t="n">
        <v>45203</v>
      </c>
      <c r="E373" s="1" t="n">
        <v>46219</v>
      </c>
      <c r="F373" t="inlineStr">
        <is>
          <t>STOCKHOLMS LÄN</t>
        </is>
      </c>
      <c r="G373" t="inlineStr">
        <is>
          <t>NORRTÄLJE</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67921-2021</t>
        </is>
      </c>
      <c r="B374" t="inlineStr">
        <is>
          <t>avverkningsanmälan</t>
        </is>
      </c>
      <c r="C374" t="inlineStr">
        <is>
          <t>Föryngringsavverkning</t>
        </is>
      </c>
      <c r="D374" s="1" t="n">
        <v>44525</v>
      </c>
      <c r="E374" s="1" t="n">
        <v>46219</v>
      </c>
      <c r="F374" t="inlineStr">
        <is>
          <t>STOCKHOLMS LÄN</t>
        </is>
      </c>
      <c r="G374" t="inlineStr">
        <is>
          <t>NORRTÄLJE</t>
        </is>
      </c>
      <c r="I374" t="n">
        <v>6.3</v>
      </c>
      <c r="J374" t="n">
        <v>0</v>
      </c>
      <c r="K374" t="n">
        <v>0</v>
      </c>
      <c r="L374" t="n">
        <v>0</v>
      </c>
      <c r="M374" t="n">
        <v>0</v>
      </c>
      <c r="N374" t="n">
        <v>0</v>
      </c>
      <c r="O374" t="n">
        <v>0</v>
      </c>
      <c r="P374" t="n">
        <v>0</v>
      </c>
      <c r="Q374" t="n">
        <v>0</v>
      </c>
      <c r="R374" t="n">
        <v>0</v>
      </c>
      <c r="S374" t="n">
        <v>0</v>
      </c>
      <c r="T374" t="n">
        <v>0</v>
      </c>
      <c r="U374" s="2" t="inlineStr"/>
    </row>
    <row r="375" ht="15" customHeight="1">
      <c r="A375" t="inlineStr">
        <is>
          <t>A 23070-2023</t>
        </is>
      </c>
      <c r="B375" t="inlineStr">
        <is>
          <t>avverkningsanmälan</t>
        </is>
      </c>
      <c r="C375" t="inlineStr">
        <is>
          <t>Föryngringsavverkning</t>
        </is>
      </c>
      <c r="D375" s="1" t="n">
        <v>45075</v>
      </c>
      <c r="E375" s="1" t="n">
        <v>46219</v>
      </c>
      <c r="F375" t="inlineStr">
        <is>
          <t>STOCKHOLMS LÄN</t>
        </is>
      </c>
      <c r="G375" t="inlineStr">
        <is>
          <t>NORRTÄLJE</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40656-2022</t>
        </is>
      </c>
      <c r="B376" t="inlineStr">
        <is>
          <t>avverkningsanmälan</t>
        </is>
      </c>
      <c r="C376" t="inlineStr">
        <is>
          <t>Föryngringsavverkning</t>
        </is>
      </c>
      <c r="D376" s="1" t="n">
        <v>44824</v>
      </c>
      <c r="E376" s="1" t="n">
        <v>46219</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40425-2021</t>
        </is>
      </c>
      <c r="B377" t="inlineStr">
        <is>
          <t>avverkningsanmälan</t>
        </is>
      </c>
      <c r="C377" t="inlineStr">
        <is>
          <t>Föryngringsavverkning</t>
        </is>
      </c>
      <c r="D377" s="1" t="n">
        <v>44419</v>
      </c>
      <c r="E377" s="1" t="n">
        <v>46219</v>
      </c>
      <c r="F377" t="inlineStr">
        <is>
          <t>STOCKHOLMS LÄN</t>
        </is>
      </c>
      <c r="G377" t="inlineStr">
        <is>
          <t>NORRTÄLJE</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24727-2023</t>
        </is>
      </c>
      <c r="B378" t="inlineStr">
        <is>
          <t>avverkningsanmälan</t>
        </is>
      </c>
      <c r="C378" t="inlineStr">
        <is>
          <t>Föryngringsavverkning</t>
        </is>
      </c>
      <c r="D378" s="1" t="n">
        <v>45084</v>
      </c>
      <c r="E378" s="1" t="n">
        <v>46219</v>
      </c>
      <c r="F378" t="inlineStr">
        <is>
          <t>STOCKHOLMS LÄN</t>
        </is>
      </c>
      <c r="G378" t="inlineStr">
        <is>
          <t>NORRTÄLJE</t>
        </is>
      </c>
      <c r="H378" t="inlineStr">
        <is>
          <t>Holmen skog AB</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7571-2024</t>
        </is>
      </c>
      <c r="B379" t="inlineStr">
        <is>
          <t>avverkningsanmälan</t>
        </is>
      </c>
      <c r="C379" t="inlineStr">
        <is>
          <t>Föryngringsavverkning</t>
        </is>
      </c>
      <c r="D379" s="1" t="n">
        <v>45348</v>
      </c>
      <c r="E379" s="1" t="n">
        <v>46219</v>
      </c>
      <c r="F379" t="inlineStr">
        <is>
          <t>STOCKHOLMS LÄN</t>
        </is>
      </c>
      <c r="G379" t="inlineStr">
        <is>
          <t>NORRTÄLJE</t>
        </is>
      </c>
      <c r="H379" t="inlineStr">
        <is>
          <t>Holmen skog AB</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56631-2024</t>
        </is>
      </c>
      <c r="B380" t="inlineStr">
        <is>
          <t>avverkningsanmälan</t>
        </is>
      </c>
      <c r="C380" t="inlineStr">
        <is>
          <t>Föryngringsavverkning</t>
        </is>
      </c>
      <c r="D380" s="1" t="n">
        <v>45625</v>
      </c>
      <c r="E380" s="1" t="n">
        <v>46219</v>
      </c>
      <c r="F380" t="inlineStr">
        <is>
          <t>STOCKHOLMS LÄN</t>
        </is>
      </c>
      <c r="G380" t="inlineStr">
        <is>
          <t>NORRTÄLJE</t>
        </is>
      </c>
      <c r="I380" t="n">
        <v>8.199999999999999</v>
      </c>
      <c r="J380" t="n">
        <v>0</v>
      </c>
      <c r="K380" t="n">
        <v>0</v>
      </c>
      <c r="L380" t="n">
        <v>0</v>
      </c>
      <c r="M380" t="n">
        <v>0</v>
      </c>
      <c r="N380" t="n">
        <v>0</v>
      </c>
      <c r="O380" t="n">
        <v>0</v>
      </c>
      <c r="P380" t="n">
        <v>0</v>
      </c>
      <c r="Q380" t="n">
        <v>0</v>
      </c>
      <c r="R380" t="n">
        <v>0</v>
      </c>
      <c r="S380" t="n">
        <v>0</v>
      </c>
      <c r="T380" t="n">
        <v>0</v>
      </c>
      <c r="U380" s="2" t="inlineStr"/>
    </row>
    <row r="381" ht="15" customHeight="1">
      <c r="A381" t="inlineStr">
        <is>
          <t>A 48587-2023</t>
        </is>
      </c>
      <c r="B381" t="inlineStr">
        <is>
          <t>avverkningsanmälan</t>
        </is>
      </c>
      <c r="C381" t="inlineStr">
        <is>
          <t>Föryngringsavverkning</t>
        </is>
      </c>
      <c r="D381" s="1" t="n">
        <v>45208</v>
      </c>
      <c r="E381" s="1" t="n">
        <v>46219</v>
      </c>
      <c r="F381" t="inlineStr">
        <is>
          <t>STOCKHOLMS LÄN</t>
        </is>
      </c>
      <c r="G381" t="inlineStr">
        <is>
          <t>NORRTÄLJE</t>
        </is>
      </c>
      <c r="I381" t="n">
        <v>7</v>
      </c>
      <c r="J381" t="n">
        <v>0</v>
      </c>
      <c r="K381" t="n">
        <v>0</v>
      </c>
      <c r="L381" t="n">
        <v>0</v>
      </c>
      <c r="M381" t="n">
        <v>0</v>
      </c>
      <c r="N381" t="n">
        <v>0</v>
      </c>
      <c r="O381" t="n">
        <v>0</v>
      </c>
      <c r="P381" t="n">
        <v>0</v>
      </c>
      <c r="Q381" t="n">
        <v>0</v>
      </c>
      <c r="R381" t="n">
        <v>0</v>
      </c>
      <c r="S381" t="n">
        <v>0</v>
      </c>
      <c r="T381" t="n">
        <v>0</v>
      </c>
      <c r="U381" s="2" t="inlineStr"/>
    </row>
    <row r="382" ht="15" customHeight="1">
      <c r="A382" t="inlineStr">
        <is>
          <t>A 53600-2022</t>
        </is>
      </c>
      <c r="B382" t="inlineStr">
        <is>
          <t>avverkningsanmälan</t>
        </is>
      </c>
      <c r="C382" t="inlineStr">
        <is>
          <t>Föryngringsavverkning</t>
        </is>
      </c>
      <c r="D382" s="1" t="n">
        <v>44879</v>
      </c>
      <c r="E382" s="1" t="n">
        <v>46219</v>
      </c>
      <c r="F382" t="inlineStr">
        <is>
          <t>STOCKHOLMS LÄN</t>
        </is>
      </c>
      <c r="G382" t="inlineStr">
        <is>
          <t>NORRTÄLJE</t>
        </is>
      </c>
      <c r="I382" t="n">
        <v>4.3</v>
      </c>
      <c r="J382" t="n">
        <v>0</v>
      </c>
      <c r="K382" t="n">
        <v>0</v>
      </c>
      <c r="L382" t="n">
        <v>0</v>
      </c>
      <c r="M382" t="n">
        <v>0</v>
      </c>
      <c r="N382" t="n">
        <v>0</v>
      </c>
      <c r="O382" t="n">
        <v>0</v>
      </c>
      <c r="P382" t="n">
        <v>0</v>
      </c>
      <c r="Q382" t="n">
        <v>0</v>
      </c>
      <c r="R382" t="n">
        <v>0</v>
      </c>
      <c r="S382" t="n">
        <v>0</v>
      </c>
      <c r="T382" t="n">
        <v>0</v>
      </c>
      <c r="U382" s="2" t="inlineStr"/>
    </row>
    <row r="383" ht="15" customHeight="1">
      <c r="A383" t="inlineStr">
        <is>
          <t>A 59904-2023</t>
        </is>
      </c>
      <c r="B383" t="inlineStr">
        <is>
          <t>avverkningsanmälan</t>
        </is>
      </c>
      <c r="C383" t="inlineStr">
        <is>
          <t>Föryngringsavverkning</t>
        </is>
      </c>
      <c r="D383" s="1" t="n">
        <v>45257</v>
      </c>
      <c r="E383" s="1" t="n">
        <v>46219</v>
      </c>
      <c r="F383" t="inlineStr">
        <is>
          <t>STOCKHOLMS LÄN</t>
        </is>
      </c>
      <c r="G383" t="inlineStr">
        <is>
          <t>NORRTÄLJE</t>
        </is>
      </c>
      <c r="I383" t="n">
        <v>17.4</v>
      </c>
      <c r="J383" t="n">
        <v>0</v>
      </c>
      <c r="K383" t="n">
        <v>0</v>
      </c>
      <c r="L383" t="n">
        <v>0</v>
      </c>
      <c r="M383" t="n">
        <v>0</v>
      </c>
      <c r="N383" t="n">
        <v>0</v>
      </c>
      <c r="O383" t="n">
        <v>0</v>
      </c>
      <c r="P383" t="n">
        <v>0</v>
      </c>
      <c r="Q383" t="n">
        <v>0</v>
      </c>
      <c r="R383" t="n">
        <v>0</v>
      </c>
      <c r="S383" t="n">
        <v>0</v>
      </c>
      <c r="T383" t="n">
        <v>0</v>
      </c>
      <c r="U383" s="2" t="inlineStr"/>
    </row>
    <row r="384" ht="15" customHeight="1">
      <c r="A384" t="inlineStr">
        <is>
          <t>A 36269-2022</t>
        </is>
      </c>
      <c r="B384" t="inlineStr">
        <is>
          <t>avverkningsanmälan</t>
        </is>
      </c>
      <c r="C384" t="inlineStr">
        <is>
          <t>Föryngringsavverkning</t>
        </is>
      </c>
      <c r="D384" s="1" t="n">
        <v>44803</v>
      </c>
      <c r="E384" s="1" t="n">
        <v>46219</v>
      </c>
      <c r="F384" t="inlineStr">
        <is>
          <t>STOCKHOLMS LÄN</t>
        </is>
      </c>
      <c r="G384" t="inlineStr">
        <is>
          <t>NORRTÄLJE</t>
        </is>
      </c>
      <c r="I384" t="n">
        <v>2.3</v>
      </c>
      <c r="J384" t="n">
        <v>0</v>
      </c>
      <c r="K384" t="n">
        <v>0</v>
      </c>
      <c r="L384" t="n">
        <v>0</v>
      </c>
      <c r="M384" t="n">
        <v>0</v>
      </c>
      <c r="N384" t="n">
        <v>0</v>
      </c>
      <c r="O384" t="n">
        <v>0</v>
      </c>
      <c r="P384" t="n">
        <v>0</v>
      </c>
      <c r="Q384" t="n">
        <v>0</v>
      </c>
      <c r="R384" t="n">
        <v>0</v>
      </c>
      <c r="S384" t="n">
        <v>0</v>
      </c>
      <c r="T384" t="n">
        <v>0</v>
      </c>
      <c r="U384" s="2" t="inlineStr"/>
    </row>
    <row r="385" ht="15" customHeight="1">
      <c r="A385" t="inlineStr">
        <is>
          <t>A 36308-2022</t>
        </is>
      </c>
      <c r="B385" t="inlineStr">
        <is>
          <t>avverkningsanmälan</t>
        </is>
      </c>
      <c r="C385" t="inlineStr">
        <is>
          <t>Föryngringsavverkning</t>
        </is>
      </c>
      <c r="D385" s="1" t="n">
        <v>44803</v>
      </c>
      <c r="E385" s="1" t="n">
        <v>46219</v>
      </c>
      <c r="F385" t="inlineStr">
        <is>
          <t>STOCKHOLMS LÄN</t>
        </is>
      </c>
      <c r="G385" t="inlineStr">
        <is>
          <t>NORRTÄLJE</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5665-2025</t>
        </is>
      </c>
      <c r="B386" t="inlineStr">
        <is>
          <t>avverkningsanmälan</t>
        </is>
      </c>
      <c r="C386" t="inlineStr">
        <is>
          <t>Föryngringsavverkning</t>
        </is>
      </c>
      <c r="D386" s="1" t="n">
        <v>45693</v>
      </c>
      <c r="E386" s="1" t="n">
        <v>46219</v>
      </c>
      <c r="F386" t="inlineStr">
        <is>
          <t>STOCKHOLMS LÄN</t>
        </is>
      </c>
      <c r="G386" t="inlineStr">
        <is>
          <t>NORRTÄLJE</t>
        </is>
      </c>
      <c r="I386" t="n">
        <v>4</v>
      </c>
      <c r="J386" t="n">
        <v>0</v>
      </c>
      <c r="K386" t="n">
        <v>0</v>
      </c>
      <c r="L386" t="n">
        <v>0</v>
      </c>
      <c r="M386" t="n">
        <v>0</v>
      </c>
      <c r="N386" t="n">
        <v>0</v>
      </c>
      <c r="O386" t="n">
        <v>0</v>
      </c>
      <c r="P386" t="n">
        <v>0</v>
      </c>
      <c r="Q386" t="n">
        <v>0</v>
      </c>
      <c r="R386" t="n">
        <v>0</v>
      </c>
      <c r="S386" t="n">
        <v>0</v>
      </c>
      <c r="T386" t="n">
        <v>0</v>
      </c>
      <c r="U386" s="2" t="inlineStr"/>
    </row>
    <row r="387" ht="15" customHeight="1">
      <c r="A387" t="inlineStr">
        <is>
          <t>A 42955-2022</t>
        </is>
      </c>
      <c r="B387" t="inlineStr">
        <is>
          <t>avverkningsanmälan</t>
        </is>
      </c>
      <c r="C387" t="inlineStr">
        <is>
          <t>Föryngringsavverkning</t>
        </is>
      </c>
      <c r="D387" s="1" t="n">
        <v>44833</v>
      </c>
      <c r="E387" s="1" t="n">
        <v>46219</v>
      </c>
      <c r="F387" t="inlineStr">
        <is>
          <t>STOCKHOLMS LÄN</t>
        </is>
      </c>
      <c r="G387" t="inlineStr">
        <is>
          <t>NORRTÄLJE</t>
        </is>
      </c>
      <c r="I387" t="n">
        <v>13.1</v>
      </c>
      <c r="J387" t="n">
        <v>0</v>
      </c>
      <c r="K387" t="n">
        <v>0</v>
      </c>
      <c r="L387" t="n">
        <v>0</v>
      </c>
      <c r="M387" t="n">
        <v>0</v>
      </c>
      <c r="N387" t="n">
        <v>0</v>
      </c>
      <c r="O387" t="n">
        <v>0</v>
      </c>
      <c r="P387" t="n">
        <v>0</v>
      </c>
      <c r="Q387" t="n">
        <v>0</v>
      </c>
      <c r="R387" t="n">
        <v>0</v>
      </c>
      <c r="S387" t="n">
        <v>0</v>
      </c>
      <c r="T387" t="n">
        <v>0</v>
      </c>
      <c r="U387" s="2" t="inlineStr"/>
    </row>
    <row r="388" ht="15" customHeight="1">
      <c r="A388" t="inlineStr">
        <is>
          <t>A 26636-2023</t>
        </is>
      </c>
      <c r="B388" t="inlineStr">
        <is>
          <t>avverkningsanmälan</t>
        </is>
      </c>
      <c r="C388" t="inlineStr">
        <is>
          <t>Föryngringsavverkning</t>
        </is>
      </c>
      <c r="D388" s="1" t="n">
        <v>45092</v>
      </c>
      <c r="E388" s="1" t="n">
        <v>46219</v>
      </c>
      <c r="F388" t="inlineStr">
        <is>
          <t>STOCKHOLMS LÄN</t>
        </is>
      </c>
      <c r="G388" t="inlineStr">
        <is>
          <t>NORRTÄLJE</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26637-2023</t>
        </is>
      </c>
      <c r="B389" t="inlineStr">
        <is>
          <t>avverkningsanmälan</t>
        </is>
      </c>
      <c r="C389" t="inlineStr">
        <is>
          <t>Föryngringsavverkning</t>
        </is>
      </c>
      <c r="D389" s="1" t="n">
        <v>45092</v>
      </c>
      <c r="E389" s="1" t="n">
        <v>46219</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23266-2023</t>
        </is>
      </c>
      <c r="B390" t="inlineStr">
        <is>
          <t>avverkningsanmälan</t>
        </is>
      </c>
      <c r="C390" t="inlineStr">
        <is>
          <t>Föryngringsavverkning</t>
        </is>
      </c>
      <c r="D390" s="1" t="n">
        <v>45075</v>
      </c>
      <c r="E390" s="1" t="n">
        <v>46219</v>
      </c>
      <c r="F390" t="inlineStr">
        <is>
          <t>STOCKHOLMS LÄN</t>
        </is>
      </c>
      <c r="G390" t="inlineStr">
        <is>
          <t>NORRTÄLJE</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5158-2024</t>
        </is>
      </c>
      <c r="B391" t="inlineStr">
        <is>
          <t>avverkningsanmälan</t>
        </is>
      </c>
      <c r="C391" t="inlineStr">
        <is>
          <t>Föryngringsavverkning</t>
        </is>
      </c>
      <c r="D391" s="1" t="n">
        <v>45330</v>
      </c>
      <c r="E391" s="1" t="n">
        <v>46219</v>
      </c>
      <c r="F391" t="inlineStr">
        <is>
          <t>STOCKHOLMS LÄN</t>
        </is>
      </c>
      <c r="G391" t="inlineStr">
        <is>
          <t>NORRTÄLJE</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58863-2024</t>
        </is>
      </c>
      <c r="B392" t="inlineStr">
        <is>
          <t>avverkningsanmälan</t>
        </is>
      </c>
      <c r="C392" t="inlineStr">
        <is>
          <t>Föryngringsavverkning</t>
        </is>
      </c>
      <c r="D392" s="1" t="n">
        <v>45636</v>
      </c>
      <c r="E392" s="1" t="n">
        <v>46219</v>
      </c>
      <c r="F392" t="inlineStr">
        <is>
          <t>STOCKHOLMS LÄN</t>
        </is>
      </c>
      <c r="G392" t="inlineStr">
        <is>
          <t>NORRTÄLJE</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15447-2023</t>
        </is>
      </c>
      <c r="B393" t="inlineStr">
        <is>
          <t>avverkningsanmälan</t>
        </is>
      </c>
      <c r="C393" t="inlineStr">
        <is>
          <t>Föryngringsavverkning</t>
        </is>
      </c>
      <c r="D393" s="1" t="n">
        <v>45020</v>
      </c>
      <c r="E393" s="1" t="n">
        <v>46219</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34391-2023</t>
        </is>
      </c>
      <c r="B394" t="inlineStr">
        <is>
          <t>avverkningsanmälan</t>
        </is>
      </c>
      <c r="C394" t="inlineStr">
        <is>
          <t>Föryngringsavverkning</t>
        </is>
      </c>
      <c r="D394" s="1" t="n">
        <v>45139</v>
      </c>
      <c r="E394" s="1" t="n">
        <v>46219</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51046-2023</t>
        </is>
      </c>
      <c r="B395" t="inlineStr">
        <is>
          <t>avverkningsanmälan</t>
        </is>
      </c>
      <c r="C395" t="inlineStr">
        <is>
          <t>Föryngringsavverkning</t>
        </is>
      </c>
      <c r="D395" s="1" t="n">
        <v>45218</v>
      </c>
      <c r="E395" s="1" t="n">
        <v>46219</v>
      </c>
      <c r="F395" t="inlineStr">
        <is>
          <t>STOCKHOLMS LÄN</t>
        </is>
      </c>
      <c r="G395" t="inlineStr">
        <is>
          <t>NORRTÄLJE</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53312-2024</t>
        </is>
      </c>
      <c r="B396" t="inlineStr">
        <is>
          <t>avverkningsanmälan</t>
        </is>
      </c>
      <c r="C396" t="inlineStr">
        <is>
          <t>Föryngringsavverkning</t>
        </is>
      </c>
      <c r="D396" s="1" t="n">
        <v>45614</v>
      </c>
      <c r="E396" s="1" t="n">
        <v>46219</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8736-2024</t>
        </is>
      </c>
      <c r="B397" t="inlineStr">
        <is>
          <t>avverkningsanmälan</t>
        </is>
      </c>
      <c r="C397" t="inlineStr">
        <is>
          <t>Föryngringsavverkning</t>
        </is>
      </c>
      <c r="D397" s="1" t="n">
        <v>45356</v>
      </c>
      <c r="E397" s="1" t="n">
        <v>46219</v>
      </c>
      <c r="F397" t="inlineStr">
        <is>
          <t>STOCKHOLMS LÄN</t>
        </is>
      </c>
      <c r="G397" t="inlineStr">
        <is>
          <t>NORRTÄLJE</t>
        </is>
      </c>
      <c r="I397" t="n">
        <v>8.9</v>
      </c>
      <c r="J397" t="n">
        <v>0</v>
      </c>
      <c r="K397" t="n">
        <v>0</v>
      </c>
      <c r="L397" t="n">
        <v>0</v>
      </c>
      <c r="M397" t="n">
        <v>0</v>
      </c>
      <c r="N397" t="n">
        <v>0</v>
      </c>
      <c r="O397" t="n">
        <v>0</v>
      </c>
      <c r="P397" t="n">
        <v>0</v>
      </c>
      <c r="Q397" t="n">
        <v>0</v>
      </c>
      <c r="R397" t="n">
        <v>0</v>
      </c>
      <c r="S397" t="n">
        <v>0</v>
      </c>
      <c r="T397" t="n">
        <v>0</v>
      </c>
      <c r="U397" s="2" t="inlineStr"/>
    </row>
    <row r="398" ht="15" customHeight="1">
      <c r="A398" t="inlineStr">
        <is>
          <t>A 21158-2022</t>
        </is>
      </c>
      <c r="B398" t="inlineStr">
        <is>
          <t>avverkningsanmälan</t>
        </is>
      </c>
      <c r="C398" t="inlineStr">
        <is>
          <t>Föryngringsavverkning</t>
        </is>
      </c>
      <c r="D398" s="1" t="n">
        <v>44704</v>
      </c>
      <c r="E398" s="1" t="n">
        <v>46219</v>
      </c>
      <c r="F398" t="inlineStr">
        <is>
          <t>STOCKHOLMS LÄN</t>
        </is>
      </c>
      <c r="G398" t="inlineStr">
        <is>
          <t>NORRTÄLJE</t>
        </is>
      </c>
      <c r="I398" t="n">
        <v>17.8</v>
      </c>
      <c r="J398" t="n">
        <v>0</v>
      </c>
      <c r="K398" t="n">
        <v>0</v>
      </c>
      <c r="L398" t="n">
        <v>0</v>
      </c>
      <c r="M398" t="n">
        <v>0</v>
      </c>
      <c r="N398" t="n">
        <v>0</v>
      </c>
      <c r="O398" t="n">
        <v>0</v>
      </c>
      <c r="P398" t="n">
        <v>0</v>
      </c>
      <c r="Q398" t="n">
        <v>0</v>
      </c>
      <c r="R398" t="n">
        <v>0</v>
      </c>
      <c r="S398" t="n">
        <v>0</v>
      </c>
      <c r="T398" t="n">
        <v>0</v>
      </c>
      <c r="U398" s="2" t="inlineStr"/>
    </row>
    <row r="399" ht="15" customHeight="1">
      <c r="A399" t="inlineStr">
        <is>
          <t>A 18787-2022</t>
        </is>
      </c>
      <c r="B399" t="inlineStr">
        <is>
          <t>avverkningsanmälan</t>
        </is>
      </c>
      <c r="C399" t="inlineStr">
        <is>
          <t>Avverkning för att bevara och utveckla /försöksver</t>
        </is>
      </c>
      <c r="D399" s="1" t="n">
        <v>44687</v>
      </c>
      <c r="E399" s="1" t="n">
        <v>46219</v>
      </c>
      <c r="F399" t="inlineStr">
        <is>
          <t>STOCKHOLMS LÄN</t>
        </is>
      </c>
      <c r="G399" t="inlineStr">
        <is>
          <t>NORRTÄLJE</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15915-2023</t>
        </is>
      </c>
      <c r="B400" t="inlineStr">
        <is>
          <t>avverkningsanmälan</t>
        </is>
      </c>
      <c r="C400" t="inlineStr">
        <is>
          <t>Föryngringsavverkning</t>
        </is>
      </c>
      <c r="D400" s="1" t="n">
        <v>45022</v>
      </c>
      <c r="E400" s="1" t="n">
        <v>46219</v>
      </c>
      <c r="F400" t="inlineStr">
        <is>
          <t>STOCKHOLMS LÄN</t>
        </is>
      </c>
      <c r="G400" t="inlineStr">
        <is>
          <t>NORRTÄLJE</t>
        </is>
      </c>
      <c r="I400" t="n">
        <v>2.9</v>
      </c>
      <c r="J400" t="n">
        <v>0</v>
      </c>
      <c r="K400" t="n">
        <v>0</v>
      </c>
      <c r="L400" t="n">
        <v>0</v>
      </c>
      <c r="M400" t="n">
        <v>0</v>
      </c>
      <c r="N400" t="n">
        <v>0</v>
      </c>
      <c r="O400" t="n">
        <v>0</v>
      </c>
      <c r="P400" t="n">
        <v>0</v>
      </c>
      <c r="Q400" t="n">
        <v>0</v>
      </c>
      <c r="R400" t="n">
        <v>0</v>
      </c>
      <c r="S400" t="n">
        <v>0</v>
      </c>
      <c r="T400" t="n">
        <v>0</v>
      </c>
      <c r="U400" s="2" t="inlineStr"/>
    </row>
    <row r="401" ht="15" customHeight="1">
      <c r="A401" t="inlineStr">
        <is>
          <t>A 39905-2023</t>
        </is>
      </c>
      <c r="B401" t="inlineStr">
        <is>
          <t>avverkningsanmälan</t>
        </is>
      </c>
      <c r="C401" t="inlineStr">
        <is>
          <t>Föryngringsavverkning</t>
        </is>
      </c>
      <c r="D401" s="1" t="n">
        <v>45168</v>
      </c>
      <c r="E401" s="1" t="n">
        <v>46219</v>
      </c>
      <c r="F401" t="inlineStr">
        <is>
          <t>STOCKHOLMS LÄN</t>
        </is>
      </c>
      <c r="G401" t="inlineStr">
        <is>
          <t>NORRTÄLJE</t>
        </is>
      </c>
      <c r="H401" t="inlineStr">
        <is>
          <t>Holmen skog AB</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45255-2022</t>
        </is>
      </c>
      <c r="B402" t="inlineStr">
        <is>
          <t>avverkningsanmälan</t>
        </is>
      </c>
      <c r="C402" t="inlineStr">
        <is>
          <t>Föryngringsavverkning</t>
        </is>
      </c>
      <c r="D402" s="1" t="n">
        <v>44840</v>
      </c>
      <c r="E402" s="1" t="n">
        <v>46219</v>
      </c>
      <c r="F402" t="inlineStr">
        <is>
          <t>STOCKHOLMS LÄN</t>
        </is>
      </c>
      <c r="G402" t="inlineStr">
        <is>
          <t>NORRTÄLJE</t>
        </is>
      </c>
      <c r="I402" t="n">
        <v>4.1</v>
      </c>
      <c r="J402" t="n">
        <v>0</v>
      </c>
      <c r="K402" t="n">
        <v>0</v>
      </c>
      <c r="L402" t="n">
        <v>0</v>
      </c>
      <c r="M402" t="n">
        <v>0</v>
      </c>
      <c r="N402" t="n">
        <v>0</v>
      </c>
      <c r="O402" t="n">
        <v>0</v>
      </c>
      <c r="P402" t="n">
        <v>0</v>
      </c>
      <c r="Q402" t="n">
        <v>0</v>
      </c>
      <c r="R402" t="n">
        <v>0</v>
      </c>
      <c r="S402" t="n">
        <v>0</v>
      </c>
      <c r="T402" t="n">
        <v>0</v>
      </c>
      <c r="U402" s="2" t="inlineStr"/>
    </row>
    <row r="403" ht="15" customHeight="1">
      <c r="A403" t="inlineStr">
        <is>
          <t>A 19915-2024</t>
        </is>
      </c>
      <c r="B403" t="inlineStr">
        <is>
          <t>avverkningsanmälan</t>
        </is>
      </c>
      <c r="C403" t="inlineStr">
        <is>
          <t>Föryngringsavverkning</t>
        </is>
      </c>
      <c r="D403" s="1" t="n">
        <v>45433</v>
      </c>
      <c r="E403" s="1" t="n">
        <v>46219</v>
      </c>
      <c r="F403" t="inlineStr">
        <is>
          <t>STOCKHOLMS LÄN</t>
        </is>
      </c>
      <c r="G403" t="inlineStr">
        <is>
          <t>NORRTÄLJE</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20428-2024</t>
        </is>
      </c>
      <c r="B404" t="inlineStr">
        <is>
          <t>avverkningsanmälan</t>
        </is>
      </c>
      <c r="C404" t="inlineStr">
        <is>
          <t>Föryngringsavverkning</t>
        </is>
      </c>
      <c r="D404" s="1" t="n">
        <v>45435</v>
      </c>
      <c r="E404" s="1" t="n">
        <v>46219</v>
      </c>
      <c r="F404" t="inlineStr">
        <is>
          <t>STOCKHOLMS LÄN</t>
        </is>
      </c>
      <c r="G404" t="inlineStr">
        <is>
          <t>NORRTÄLJE</t>
        </is>
      </c>
      <c r="I404" t="n">
        <v>3.7</v>
      </c>
      <c r="J404" t="n">
        <v>0</v>
      </c>
      <c r="K404" t="n">
        <v>0</v>
      </c>
      <c r="L404" t="n">
        <v>0</v>
      </c>
      <c r="M404" t="n">
        <v>0</v>
      </c>
      <c r="N404" t="n">
        <v>0</v>
      </c>
      <c r="O404" t="n">
        <v>0</v>
      </c>
      <c r="P404" t="n">
        <v>0</v>
      </c>
      <c r="Q404" t="n">
        <v>0</v>
      </c>
      <c r="R404" t="n">
        <v>0</v>
      </c>
      <c r="S404" t="n">
        <v>0</v>
      </c>
      <c r="T404" t="n">
        <v>0</v>
      </c>
      <c r="U404" s="2" t="inlineStr"/>
    </row>
    <row r="405" ht="15" customHeight="1">
      <c r="A405" t="inlineStr">
        <is>
          <t>A 57037-2022</t>
        </is>
      </c>
      <c r="B405" t="inlineStr">
        <is>
          <t>avverkningsanmälan</t>
        </is>
      </c>
      <c r="C405" t="inlineStr">
        <is>
          <t>Avverkning för annat ändamål</t>
        </is>
      </c>
      <c r="D405" s="1" t="n">
        <v>44895</v>
      </c>
      <c r="E405" s="1" t="n">
        <v>46219</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33793-2022</t>
        </is>
      </c>
      <c r="B406" t="inlineStr">
        <is>
          <t>avverkningsanmälan</t>
        </is>
      </c>
      <c r="C406" t="inlineStr">
        <is>
          <t>Föryngringsavverkning</t>
        </is>
      </c>
      <c r="D406" s="1" t="n">
        <v>44790</v>
      </c>
      <c r="E406" s="1" t="n">
        <v>46219</v>
      </c>
      <c r="F406" t="inlineStr">
        <is>
          <t>STOCKHOLMS LÄN</t>
        </is>
      </c>
      <c r="G406" t="inlineStr">
        <is>
          <t>NORRTÄLJE</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17304-2024</t>
        </is>
      </c>
      <c r="B407" t="inlineStr">
        <is>
          <t>avverkningsanmälan</t>
        </is>
      </c>
      <c r="C407" t="inlineStr">
        <is>
          <t>Avverkning för annat ändamål</t>
        </is>
      </c>
      <c r="D407" s="1" t="n">
        <v>45414</v>
      </c>
      <c r="E407" s="1" t="n">
        <v>46219</v>
      </c>
      <c r="F407" t="inlineStr">
        <is>
          <t>STOCKHOLMS LÄN</t>
        </is>
      </c>
      <c r="G407" t="inlineStr">
        <is>
          <t>NORRTÄLJE</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65499-2021</t>
        </is>
      </c>
      <c r="B408" t="inlineStr">
        <is>
          <t>avverkningsanmälan</t>
        </is>
      </c>
      <c r="C408" t="inlineStr">
        <is>
          <t>Föryngringsavverkning</t>
        </is>
      </c>
      <c r="D408" s="1" t="n">
        <v>44516</v>
      </c>
      <c r="E408" s="1" t="n">
        <v>46219</v>
      </c>
      <c r="F408" t="inlineStr">
        <is>
          <t>STOCKHOLMS LÄN</t>
        </is>
      </c>
      <c r="G408" t="inlineStr">
        <is>
          <t>NORRTÄLJE</t>
        </is>
      </c>
      <c r="H408" t="inlineStr">
        <is>
          <t>Kommuner</t>
        </is>
      </c>
      <c r="I408" t="n">
        <v>5.2</v>
      </c>
      <c r="J408" t="n">
        <v>0</v>
      </c>
      <c r="K408" t="n">
        <v>0</v>
      </c>
      <c r="L408" t="n">
        <v>0</v>
      </c>
      <c r="M408" t="n">
        <v>0</v>
      </c>
      <c r="N408" t="n">
        <v>0</v>
      </c>
      <c r="O408" t="n">
        <v>0</v>
      </c>
      <c r="P408" t="n">
        <v>0</v>
      </c>
      <c r="Q408" t="n">
        <v>0</v>
      </c>
      <c r="R408" t="n">
        <v>0</v>
      </c>
      <c r="S408" t="n">
        <v>0</v>
      </c>
      <c r="T408" t="n">
        <v>0</v>
      </c>
      <c r="U408" s="2" t="inlineStr"/>
    </row>
    <row r="409" ht="15" customHeight="1">
      <c r="A409" t="inlineStr">
        <is>
          <t>A 16852-2024</t>
        </is>
      </c>
      <c r="B409" t="inlineStr">
        <is>
          <t>avverkningsanmälan</t>
        </is>
      </c>
      <c r="C409" t="inlineStr">
        <is>
          <t>Avverkning för annat ändamål</t>
        </is>
      </c>
      <c r="D409" s="1" t="n">
        <v>45411</v>
      </c>
      <c r="E409" s="1" t="n">
        <v>46219</v>
      </c>
      <c r="F409" t="inlineStr">
        <is>
          <t>STOCKHOLMS LÄN</t>
        </is>
      </c>
      <c r="G409" t="inlineStr">
        <is>
          <t>NORRTÄLJE</t>
        </is>
      </c>
      <c r="H409" t="inlineStr">
        <is>
          <t>Holmen skog AB</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4326-2023</t>
        </is>
      </c>
      <c r="B410" t="inlineStr">
        <is>
          <t>avverkningsanmälan</t>
        </is>
      </c>
      <c r="C410" t="inlineStr">
        <is>
          <t>Föryngringsavverkning</t>
        </is>
      </c>
      <c r="D410" s="1" t="n">
        <v>44953</v>
      </c>
      <c r="E410" s="1" t="n">
        <v>46219</v>
      </c>
      <c r="F410" t="inlineStr">
        <is>
          <t>STOCKHOLMS LÄN</t>
        </is>
      </c>
      <c r="G410" t="inlineStr">
        <is>
          <t>NORRTÄLJE</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23149-2024</t>
        </is>
      </c>
      <c r="B411" t="inlineStr">
        <is>
          <t>avverkningsanmälan</t>
        </is>
      </c>
      <c r="C411" t="inlineStr">
        <is>
          <t>Föryngringsavverkning</t>
        </is>
      </c>
      <c r="D411" s="1" t="n">
        <v>45450</v>
      </c>
      <c r="E411" s="1" t="n">
        <v>46219</v>
      </c>
      <c r="F411" t="inlineStr">
        <is>
          <t>STOCKHOLMS LÄN</t>
        </is>
      </c>
      <c r="G411" t="inlineStr">
        <is>
          <t>NORRTÄLJE</t>
        </is>
      </c>
      <c r="H411" t="inlineStr">
        <is>
          <t>Kommuner</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23151-2024</t>
        </is>
      </c>
      <c r="B412" t="inlineStr">
        <is>
          <t>avverkningsanmälan</t>
        </is>
      </c>
      <c r="C412" t="inlineStr">
        <is>
          <t>Föryngringsavverkning</t>
        </is>
      </c>
      <c r="D412" s="1" t="n">
        <v>45450</v>
      </c>
      <c r="E412" s="1" t="n">
        <v>46219</v>
      </c>
      <c r="F412" t="inlineStr">
        <is>
          <t>STOCKHOLMS LÄN</t>
        </is>
      </c>
      <c r="G412" t="inlineStr">
        <is>
          <t>NORRTÄLJE</t>
        </is>
      </c>
      <c r="H412" t="inlineStr">
        <is>
          <t>Kommuner</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16913-2025</t>
        </is>
      </c>
      <c r="B413" t="inlineStr">
        <is>
          <t>avverkningsanmälan</t>
        </is>
      </c>
      <c r="C413" t="inlineStr">
        <is>
          <t>Föryngringsavverkning</t>
        </is>
      </c>
      <c r="D413" s="1" t="n">
        <v>45755</v>
      </c>
      <c r="E413" s="1" t="n">
        <v>46219</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33385-2024</t>
        </is>
      </c>
      <c r="B414" t="inlineStr">
        <is>
          <t>avverkningsanmälan</t>
        </is>
      </c>
      <c r="C414" t="inlineStr">
        <is>
          <t>Föryngringsavverkning</t>
        </is>
      </c>
      <c r="D414" s="1" t="n">
        <v>45519</v>
      </c>
      <c r="E414" s="1" t="n">
        <v>46219</v>
      </c>
      <c r="F414" t="inlineStr">
        <is>
          <t>STOCKHOLMS LÄN</t>
        </is>
      </c>
      <c r="G414" t="inlineStr">
        <is>
          <t>NORRTÄLJE</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29714-2023</t>
        </is>
      </c>
      <c r="B415" t="inlineStr">
        <is>
          <t>avverkningsanmälan</t>
        </is>
      </c>
      <c r="C415" t="inlineStr">
        <is>
          <t>Föryngringsavverkning</t>
        </is>
      </c>
      <c r="D415" s="1" t="n">
        <v>45107</v>
      </c>
      <c r="E415" s="1" t="n">
        <v>46219</v>
      </c>
      <c r="F415" t="inlineStr">
        <is>
          <t>STOCKHOLMS LÄN</t>
        </is>
      </c>
      <c r="G415" t="inlineStr">
        <is>
          <t>NORRTÄLJE</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30508-2023</t>
        </is>
      </c>
      <c r="B416" t="inlineStr">
        <is>
          <t>avverkningsanmälan</t>
        </is>
      </c>
      <c r="C416" t="inlineStr">
        <is>
          <t>Avverkning för annat ändamål</t>
        </is>
      </c>
      <c r="D416" s="1" t="n">
        <v>45111</v>
      </c>
      <c r="E416" s="1" t="n">
        <v>46219</v>
      </c>
      <c r="F416" t="inlineStr">
        <is>
          <t>STOCKHOLMS LÄN</t>
        </is>
      </c>
      <c r="G416" t="inlineStr">
        <is>
          <t>NORRTÄLJE</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55755-2023</t>
        </is>
      </c>
      <c r="B417" t="inlineStr">
        <is>
          <t>avverkningsanmälan</t>
        </is>
      </c>
      <c r="C417" t="inlineStr">
        <is>
          <t>Föryngringsavverkning</t>
        </is>
      </c>
      <c r="D417" s="1" t="n">
        <v>45239</v>
      </c>
      <c r="E417" s="1" t="n">
        <v>46219</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45549-2022</t>
        </is>
      </c>
      <c r="B418" t="inlineStr">
        <is>
          <t>avverkningsanmälan</t>
        </is>
      </c>
      <c r="C418" t="inlineStr">
        <is>
          <t>Föryngringsavverkning</t>
        </is>
      </c>
      <c r="D418" s="1" t="n">
        <v>44845</v>
      </c>
      <c r="E418" s="1" t="n">
        <v>46219</v>
      </c>
      <c r="F418" t="inlineStr">
        <is>
          <t>STOCKHOLMS LÄN</t>
        </is>
      </c>
      <c r="G418" t="inlineStr">
        <is>
          <t>NORRTÄLJE</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40761-2024</t>
        </is>
      </c>
      <c r="B419" t="inlineStr">
        <is>
          <t>avverkningsanmälan</t>
        </is>
      </c>
      <c r="C419" t="inlineStr">
        <is>
          <t>Föryngringsavverkning</t>
        </is>
      </c>
      <c r="D419" s="1" t="n">
        <v>45558</v>
      </c>
      <c r="E419" s="1" t="n">
        <v>46219</v>
      </c>
      <c r="F419" t="inlineStr">
        <is>
          <t>STOCKHOLMS LÄN</t>
        </is>
      </c>
      <c r="G419" t="inlineStr">
        <is>
          <t>NORRTÄLJE</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23692-2024</t>
        </is>
      </c>
      <c r="B420" t="inlineStr">
        <is>
          <t>avverkningsanmälan</t>
        </is>
      </c>
      <c r="C420" t="inlineStr">
        <is>
          <t>Föryngringsavverkning</t>
        </is>
      </c>
      <c r="D420" s="1" t="n">
        <v>45454</v>
      </c>
      <c r="E420" s="1" t="n">
        <v>46219</v>
      </c>
      <c r="F420" t="inlineStr">
        <is>
          <t>STOCKHOLMS LÄN</t>
        </is>
      </c>
      <c r="G420" t="inlineStr">
        <is>
          <t>NORRTÄLJE</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37550-2022</t>
        </is>
      </c>
      <c r="B421" t="inlineStr">
        <is>
          <t>avverkningsanmälan</t>
        </is>
      </c>
      <c r="C421" t="inlineStr">
        <is>
          <t>Avverkning för annat ändamål</t>
        </is>
      </c>
      <c r="D421" s="1" t="n">
        <v>44809</v>
      </c>
      <c r="E421" s="1" t="n">
        <v>46219</v>
      </c>
      <c r="F421" t="inlineStr">
        <is>
          <t>STOCKHOLMS LÄN</t>
        </is>
      </c>
      <c r="G421" t="inlineStr">
        <is>
          <t>NORRTÄLJE</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47431-2023</t>
        </is>
      </c>
      <c r="B422" t="inlineStr">
        <is>
          <t>avverkningsanmälan</t>
        </is>
      </c>
      <c r="C422" t="inlineStr">
        <is>
          <t>Avverkning för annat ändamål</t>
        </is>
      </c>
      <c r="D422" s="1" t="n">
        <v>45202</v>
      </c>
      <c r="E422" s="1" t="n">
        <v>46219</v>
      </c>
      <c r="F422" t="inlineStr">
        <is>
          <t>STOCKHOLMS LÄN</t>
        </is>
      </c>
      <c r="G422" t="inlineStr">
        <is>
          <t>NORRTÄLJE</t>
        </is>
      </c>
      <c r="H422" t="inlineStr">
        <is>
          <t>Naturvårdsverket</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8296-2023</t>
        </is>
      </c>
      <c r="B423" t="inlineStr">
        <is>
          <t>avverkningsanmälan</t>
        </is>
      </c>
      <c r="C423" t="inlineStr">
        <is>
          <t>Föryngringsavverkning</t>
        </is>
      </c>
      <c r="D423" s="1" t="n">
        <v>44974</v>
      </c>
      <c r="E423" s="1" t="n">
        <v>46219</v>
      </c>
      <c r="F423" t="inlineStr">
        <is>
          <t>STOCKHOLMS LÄN</t>
        </is>
      </c>
      <c r="G423" t="inlineStr">
        <is>
          <t>NORRTÄLJE</t>
        </is>
      </c>
      <c r="I423" t="n">
        <v>3.8</v>
      </c>
      <c r="J423" t="n">
        <v>0</v>
      </c>
      <c r="K423" t="n">
        <v>0</v>
      </c>
      <c r="L423" t="n">
        <v>0</v>
      </c>
      <c r="M423" t="n">
        <v>0</v>
      </c>
      <c r="N423" t="n">
        <v>0</v>
      </c>
      <c r="O423" t="n">
        <v>0</v>
      </c>
      <c r="P423" t="n">
        <v>0</v>
      </c>
      <c r="Q423" t="n">
        <v>0</v>
      </c>
      <c r="R423" t="n">
        <v>0</v>
      </c>
      <c r="S423" t="n">
        <v>0</v>
      </c>
      <c r="T423" t="n">
        <v>0</v>
      </c>
      <c r="U423" s="2" t="inlineStr"/>
    </row>
    <row r="424" ht="15" customHeight="1">
      <c r="A424" t="inlineStr">
        <is>
          <t>A 23262-2023</t>
        </is>
      </c>
      <c r="B424" t="inlineStr">
        <is>
          <t>avverkningsanmälan</t>
        </is>
      </c>
      <c r="C424" t="inlineStr">
        <is>
          <t>Föryngringsavverkning</t>
        </is>
      </c>
      <c r="D424" s="1" t="n">
        <v>45075</v>
      </c>
      <c r="E424" s="1" t="n">
        <v>46219</v>
      </c>
      <c r="F424" t="inlineStr">
        <is>
          <t>STOCKHOLMS LÄN</t>
        </is>
      </c>
      <c r="G424" t="inlineStr">
        <is>
          <t>NORRTÄLJE</t>
        </is>
      </c>
      <c r="H424" t="inlineStr">
        <is>
          <t>Kommuner</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23268-2023</t>
        </is>
      </c>
      <c r="B425" t="inlineStr">
        <is>
          <t>avverkningsanmälan</t>
        </is>
      </c>
      <c r="C425" t="inlineStr">
        <is>
          <t>Föryngringsavverkning</t>
        </is>
      </c>
      <c r="D425" s="1" t="n">
        <v>45075</v>
      </c>
      <c r="E425" s="1" t="n">
        <v>46219</v>
      </c>
      <c r="F425" t="inlineStr">
        <is>
          <t>STOCKHOLMS LÄN</t>
        </is>
      </c>
      <c r="G425" t="inlineStr">
        <is>
          <t>NORRTÄLJE</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23270-2023</t>
        </is>
      </c>
      <c r="B426" t="inlineStr">
        <is>
          <t>avverkningsanmälan</t>
        </is>
      </c>
      <c r="C426" t="inlineStr">
        <is>
          <t>Föryngringsavverkning</t>
        </is>
      </c>
      <c r="D426" s="1" t="n">
        <v>45075</v>
      </c>
      <c r="E426" s="1" t="n">
        <v>46219</v>
      </c>
      <c r="F426" t="inlineStr">
        <is>
          <t>STOCKHOLMS LÄN</t>
        </is>
      </c>
      <c r="G426" t="inlineStr">
        <is>
          <t>NORRTÄLJE</t>
        </is>
      </c>
      <c r="I426" t="n">
        <v>12.3</v>
      </c>
      <c r="J426" t="n">
        <v>0</v>
      </c>
      <c r="K426" t="n">
        <v>0</v>
      </c>
      <c r="L426" t="n">
        <v>0</v>
      </c>
      <c r="M426" t="n">
        <v>0</v>
      </c>
      <c r="N426" t="n">
        <v>0</v>
      </c>
      <c r="O426" t="n">
        <v>0</v>
      </c>
      <c r="P426" t="n">
        <v>0</v>
      </c>
      <c r="Q426" t="n">
        <v>0</v>
      </c>
      <c r="R426" t="n">
        <v>0</v>
      </c>
      <c r="S426" t="n">
        <v>0</v>
      </c>
      <c r="T426" t="n">
        <v>0</v>
      </c>
      <c r="U426" s="2" t="inlineStr"/>
    </row>
    <row r="427" ht="15" customHeight="1">
      <c r="A427" t="inlineStr">
        <is>
          <t>A 23274-2023</t>
        </is>
      </c>
      <c r="B427" t="inlineStr">
        <is>
          <t>avverkningsanmälan</t>
        </is>
      </c>
      <c r="C427" t="inlineStr">
        <is>
          <t>Föryngringsavverkning</t>
        </is>
      </c>
      <c r="D427" s="1" t="n">
        <v>45075</v>
      </c>
      <c r="E427" s="1" t="n">
        <v>46219</v>
      </c>
      <c r="F427" t="inlineStr">
        <is>
          <t>STOCKHOLMS LÄN</t>
        </is>
      </c>
      <c r="G427" t="inlineStr">
        <is>
          <t>NORRTÄLJE</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5732-2023</t>
        </is>
      </c>
      <c r="B428" t="inlineStr">
        <is>
          <t>avverkningsanmälan</t>
        </is>
      </c>
      <c r="C428" t="inlineStr">
        <is>
          <t>Föryngringsavverkning</t>
        </is>
      </c>
      <c r="D428" s="1" t="n">
        <v>44962</v>
      </c>
      <c r="E428" s="1" t="n">
        <v>46219</v>
      </c>
      <c r="F428" t="inlineStr">
        <is>
          <t>STOCKHOLMS LÄN</t>
        </is>
      </c>
      <c r="G428" t="inlineStr">
        <is>
          <t>NORRTÄLJE</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31236-2022</t>
        </is>
      </c>
      <c r="B429" t="inlineStr">
        <is>
          <t>avverkningsanmälan</t>
        </is>
      </c>
      <c r="C429" t="inlineStr">
        <is>
          <t>Föryngringsavverkning</t>
        </is>
      </c>
      <c r="D429" s="1" t="n">
        <v>44771</v>
      </c>
      <c r="E429" s="1" t="n">
        <v>46219</v>
      </c>
      <c r="F429" t="inlineStr">
        <is>
          <t>STOCKHOLMS LÄN</t>
        </is>
      </c>
      <c r="G429" t="inlineStr">
        <is>
          <t>NORRTÄLJE</t>
        </is>
      </c>
      <c r="I429" t="n">
        <v>1.7</v>
      </c>
      <c r="J429" t="n">
        <v>0</v>
      </c>
      <c r="K429" t="n">
        <v>0</v>
      </c>
      <c r="L429" t="n">
        <v>0</v>
      </c>
      <c r="M429" t="n">
        <v>0</v>
      </c>
      <c r="N429" t="n">
        <v>0</v>
      </c>
      <c r="O429" t="n">
        <v>0</v>
      </c>
      <c r="P429" t="n">
        <v>0</v>
      </c>
      <c r="Q429" t="n">
        <v>0</v>
      </c>
      <c r="R429" t="n">
        <v>0</v>
      </c>
      <c r="S429" t="n">
        <v>0</v>
      </c>
      <c r="T429" t="n">
        <v>0</v>
      </c>
      <c r="U429" s="2" t="inlineStr"/>
    </row>
    <row r="430" ht="15" customHeight="1">
      <c r="A430" t="inlineStr">
        <is>
          <t>A 25609-2023</t>
        </is>
      </c>
      <c r="B430" t="inlineStr">
        <is>
          <t>avverkningsanmälan</t>
        </is>
      </c>
      <c r="C430" t="inlineStr">
        <is>
          <t>Föryngringsavverkning</t>
        </is>
      </c>
      <c r="D430" s="1" t="n">
        <v>45089</v>
      </c>
      <c r="E430" s="1" t="n">
        <v>46219</v>
      </c>
      <c r="F430" t="inlineStr">
        <is>
          <t>STOCKHOLMS LÄN</t>
        </is>
      </c>
      <c r="G430" t="inlineStr">
        <is>
          <t>NORRTÄLJE</t>
        </is>
      </c>
      <c r="I430" t="n">
        <v>2.5</v>
      </c>
      <c r="J430" t="n">
        <v>0</v>
      </c>
      <c r="K430" t="n">
        <v>0</v>
      </c>
      <c r="L430" t="n">
        <v>0</v>
      </c>
      <c r="M430" t="n">
        <v>0</v>
      </c>
      <c r="N430" t="n">
        <v>0</v>
      </c>
      <c r="O430" t="n">
        <v>0</v>
      </c>
      <c r="P430" t="n">
        <v>0</v>
      </c>
      <c r="Q430" t="n">
        <v>0</v>
      </c>
      <c r="R430" t="n">
        <v>0</v>
      </c>
      <c r="S430" t="n">
        <v>0</v>
      </c>
      <c r="T430" t="n">
        <v>0</v>
      </c>
      <c r="U430" s="2" t="inlineStr"/>
    </row>
    <row r="431" ht="15" customHeight="1">
      <c r="A431" t="inlineStr">
        <is>
          <t>A 50569-2022</t>
        </is>
      </c>
      <c r="B431" t="inlineStr">
        <is>
          <t>avverkningsanmälan</t>
        </is>
      </c>
      <c r="C431" t="inlineStr">
        <is>
          <t>Föryngringsavverkning</t>
        </is>
      </c>
      <c r="D431" s="1" t="n">
        <v>44866</v>
      </c>
      <c r="E431" s="1" t="n">
        <v>46219</v>
      </c>
      <c r="F431" t="inlineStr">
        <is>
          <t>STOCKHOLMS LÄN</t>
        </is>
      </c>
      <c r="G431" t="inlineStr">
        <is>
          <t>NORRTÄLJE</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52617-2024</t>
        </is>
      </c>
      <c r="B432" t="inlineStr">
        <is>
          <t>avverkningsanmälan</t>
        </is>
      </c>
      <c r="C432" t="inlineStr">
        <is>
          <t>Föryngringsavverkning</t>
        </is>
      </c>
      <c r="D432" s="1" t="n">
        <v>45609</v>
      </c>
      <c r="E432" s="1" t="n">
        <v>46219</v>
      </c>
      <c r="F432" t="inlineStr">
        <is>
          <t>STOCKHOLMS LÄN</t>
        </is>
      </c>
      <c r="G432" t="inlineStr">
        <is>
          <t>NORRTÄLJE</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27824-2022</t>
        </is>
      </c>
      <c r="B433" t="inlineStr">
        <is>
          <t>avverkningsanmälan</t>
        </is>
      </c>
      <c r="C433" t="inlineStr">
        <is>
          <t>Föryngringsavverkning</t>
        </is>
      </c>
      <c r="D433" s="1" t="n">
        <v>44743</v>
      </c>
      <c r="E433" s="1" t="n">
        <v>46219</v>
      </c>
      <c r="F433" t="inlineStr">
        <is>
          <t>STOCKHOLMS LÄN</t>
        </is>
      </c>
      <c r="G433" t="inlineStr">
        <is>
          <t>NORRTÄLJE</t>
        </is>
      </c>
      <c r="H433" t="inlineStr">
        <is>
          <t>Kommuner</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22833-2024</t>
        </is>
      </c>
      <c r="B434" t="inlineStr">
        <is>
          <t>avverkningsanmälan</t>
        </is>
      </c>
      <c r="C434" t="inlineStr">
        <is>
          <t>Föryngringsavverkning</t>
        </is>
      </c>
      <c r="D434" s="1" t="n">
        <v>45448</v>
      </c>
      <c r="E434" s="1" t="n">
        <v>46219</v>
      </c>
      <c r="F434" t="inlineStr">
        <is>
          <t>STOCKHOLMS LÄN</t>
        </is>
      </c>
      <c r="G434" t="inlineStr">
        <is>
          <t>NORRTÄLJE</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60224-2023</t>
        </is>
      </c>
      <c r="B435" t="inlineStr">
        <is>
          <t>avverkningsanmälan</t>
        </is>
      </c>
      <c r="C435" t="inlineStr">
        <is>
          <t>Avverkning för annat ändamål</t>
        </is>
      </c>
      <c r="D435" s="1" t="n">
        <v>45257</v>
      </c>
      <c r="E435" s="1" t="n">
        <v>46219</v>
      </c>
      <c r="F435" t="inlineStr">
        <is>
          <t>STOCKHOLMS LÄN</t>
        </is>
      </c>
      <c r="G435" t="inlineStr">
        <is>
          <t>NORRTÄLJE</t>
        </is>
      </c>
      <c r="I435" t="n">
        <v>8.1</v>
      </c>
      <c r="J435" t="n">
        <v>0</v>
      </c>
      <c r="K435" t="n">
        <v>0</v>
      </c>
      <c r="L435" t="n">
        <v>0</v>
      </c>
      <c r="M435" t="n">
        <v>0</v>
      </c>
      <c r="N435" t="n">
        <v>0</v>
      </c>
      <c r="O435" t="n">
        <v>0</v>
      </c>
      <c r="P435" t="n">
        <v>0</v>
      </c>
      <c r="Q435" t="n">
        <v>0</v>
      </c>
      <c r="R435" t="n">
        <v>0</v>
      </c>
      <c r="S435" t="n">
        <v>0</v>
      </c>
      <c r="T435" t="n">
        <v>0</v>
      </c>
      <c r="U435" s="2" t="inlineStr"/>
    </row>
    <row r="436" ht="15" customHeight="1">
      <c r="A436" t="inlineStr">
        <is>
          <t>A 39152-2025</t>
        </is>
      </c>
      <c r="B436" t="inlineStr">
        <is>
          <t>avverkningsanmälan</t>
        </is>
      </c>
      <c r="C436" t="inlineStr">
        <is>
          <t>Avverkning för annat ändamål</t>
        </is>
      </c>
      <c r="D436" s="1" t="n">
        <v>45888</v>
      </c>
      <c r="E436" s="1" t="n">
        <v>46219</v>
      </c>
      <c r="F436" t="inlineStr">
        <is>
          <t>STOCKHOLMS LÄN</t>
        </is>
      </c>
      <c r="G436" t="inlineStr">
        <is>
          <t>NORRTÄLJE</t>
        </is>
      </c>
      <c r="I436" t="n">
        <v>4.6</v>
      </c>
      <c r="J436" t="n">
        <v>0</v>
      </c>
      <c r="K436" t="n">
        <v>0</v>
      </c>
      <c r="L436" t="n">
        <v>0</v>
      </c>
      <c r="M436" t="n">
        <v>0</v>
      </c>
      <c r="N436" t="n">
        <v>0</v>
      </c>
      <c r="O436" t="n">
        <v>0</v>
      </c>
      <c r="P436" t="n">
        <v>0</v>
      </c>
      <c r="Q436" t="n">
        <v>0</v>
      </c>
      <c r="R436" t="n">
        <v>0</v>
      </c>
      <c r="S436" t="n">
        <v>0</v>
      </c>
      <c r="T436" t="n">
        <v>0</v>
      </c>
      <c r="U436" s="2" t="inlineStr"/>
    </row>
    <row r="437" ht="15" customHeight="1">
      <c r="A437" t="inlineStr">
        <is>
          <t>A 50534-2024</t>
        </is>
      </c>
      <c r="B437" t="inlineStr">
        <is>
          <t>avverkningsanmälan</t>
        </is>
      </c>
      <c r="C437" t="inlineStr">
        <is>
          <t>Föryngringsavverkning</t>
        </is>
      </c>
      <c r="D437" s="1" t="n">
        <v>45601</v>
      </c>
      <c r="E437" s="1" t="n">
        <v>46219</v>
      </c>
      <c r="F437" t="inlineStr">
        <is>
          <t>STOCKHOLMS LÄN</t>
        </is>
      </c>
      <c r="G437" t="inlineStr">
        <is>
          <t>NORRTÄLJE</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42094-2023</t>
        </is>
      </c>
      <c r="B438" t="inlineStr">
        <is>
          <t>avverkningsanmälan</t>
        </is>
      </c>
      <c r="C438" t="inlineStr">
        <is>
          <t>Föryngringsavverkning</t>
        </is>
      </c>
      <c r="D438" s="1" t="n">
        <v>45177</v>
      </c>
      <c r="E438" s="1" t="n">
        <v>46219</v>
      </c>
      <c r="F438" t="inlineStr">
        <is>
          <t>STOCKHOLMS LÄN</t>
        </is>
      </c>
      <c r="G438" t="inlineStr">
        <is>
          <t>NORRTÄLJE</t>
        </is>
      </c>
      <c r="I438" t="n">
        <v>0.3</v>
      </c>
      <c r="J438" t="n">
        <v>0</v>
      </c>
      <c r="K438" t="n">
        <v>0</v>
      </c>
      <c r="L438" t="n">
        <v>0</v>
      </c>
      <c r="M438" t="n">
        <v>0</v>
      </c>
      <c r="N438" t="n">
        <v>0</v>
      </c>
      <c r="O438" t="n">
        <v>0</v>
      </c>
      <c r="P438" t="n">
        <v>0</v>
      </c>
      <c r="Q438" t="n">
        <v>0</v>
      </c>
      <c r="R438" t="n">
        <v>0</v>
      </c>
      <c r="S438" t="n">
        <v>0</v>
      </c>
      <c r="T438" t="n">
        <v>0</v>
      </c>
      <c r="U438" s="2" t="inlineStr"/>
    </row>
    <row r="439" ht="15" customHeight="1">
      <c r="A439" t="inlineStr">
        <is>
          <t>A 21386-2023</t>
        </is>
      </c>
      <c r="B439" t="inlineStr">
        <is>
          <t>avverkningsanmälan</t>
        </is>
      </c>
      <c r="C439" t="inlineStr">
        <is>
          <t>Föryngringsavverkning</t>
        </is>
      </c>
      <c r="D439" s="1" t="n">
        <v>45063</v>
      </c>
      <c r="E439" s="1" t="n">
        <v>46219</v>
      </c>
      <c r="F439" t="inlineStr">
        <is>
          <t>STOCKHOLMS LÄN</t>
        </is>
      </c>
      <c r="G439" t="inlineStr">
        <is>
          <t>NORRTÄLJE</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30620-2022</t>
        </is>
      </c>
      <c r="B440" t="inlineStr">
        <is>
          <t>avverkningsanmälan</t>
        </is>
      </c>
      <c r="C440" t="inlineStr">
        <is>
          <t>Föryngringsavverkning</t>
        </is>
      </c>
      <c r="D440" s="1" t="n">
        <v>44763</v>
      </c>
      <c r="E440" s="1" t="n">
        <v>46219</v>
      </c>
      <c r="F440" t="inlineStr">
        <is>
          <t>STOCKHOLMS LÄN</t>
        </is>
      </c>
      <c r="G440" t="inlineStr">
        <is>
          <t>NORRTÄLJE</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4593-2023</t>
        </is>
      </c>
      <c r="B441" t="inlineStr">
        <is>
          <t>avverkningsanmälan</t>
        </is>
      </c>
      <c r="C441" t="inlineStr">
        <is>
          <t>Avverkning för annat ändamål</t>
        </is>
      </c>
      <c r="D441" s="1" t="n">
        <v>44956</v>
      </c>
      <c r="E441" s="1" t="n">
        <v>46219</v>
      </c>
      <c r="F441" t="inlineStr">
        <is>
          <t>STOCKHOLMS LÄN</t>
        </is>
      </c>
      <c r="G441" t="inlineStr">
        <is>
          <t>NORRTÄLJE</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54396-2021</t>
        </is>
      </c>
      <c r="B442" t="inlineStr">
        <is>
          <t>avverkningsanmälan</t>
        </is>
      </c>
      <c r="C442" t="inlineStr">
        <is>
          <t>Föryngringsavverkning</t>
        </is>
      </c>
      <c r="D442" s="1" t="n">
        <v>44472</v>
      </c>
      <c r="E442" s="1" t="n">
        <v>46219</v>
      </c>
      <c r="F442" t="inlineStr">
        <is>
          <t>STOCKHOLMS LÄN</t>
        </is>
      </c>
      <c r="G442" t="inlineStr">
        <is>
          <t>NORRTÄLJE</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50108-2021</t>
        </is>
      </c>
      <c r="B443" t="inlineStr">
        <is>
          <t>avverkningsanmälan</t>
        </is>
      </c>
      <c r="C443" t="inlineStr">
        <is>
          <t>Avverkning för annat ändamål</t>
        </is>
      </c>
      <c r="D443" s="1" t="n">
        <v>44456</v>
      </c>
      <c r="E443" s="1" t="n">
        <v>46219</v>
      </c>
      <c r="F443" t="inlineStr">
        <is>
          <t>STOCKHOLMS LÄN</t>
        </is>
      </c>
      <c r="G443" t="inlineStr">
        <is>
          <t>NORRTÄLJE</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32071-2023</t>
        </is>
      </c>
      <c r="B444" t="inlineStr">
        <is>
          <t>avverkningsanmälan</t>
        </is>
      </c>
      <c r="C444" t="inlineStr">
        <is>
          <t>Föryngringsavverkning</t>
        </is>
      </c>
      <c r="D444" s="1" t="n">
        <v>45119</v>
      </c>
      <c r="E444" s="1" t="n">
        <v>46219</v>
      </c>
      <c r="F444" t="inlineStr">
        <is>
          <t>STOCKHOLMS LÄN</t>
        </is>
      </c>
      <c r="G444" t="inlineStr">
        <is>
          <t>NORRTÄLJE</t>
        </is>
      </c>
      <c r="I444" t="n">
        <v>6.5</v>
      </c>
      <c r="J444" t="n">
        <v>0</v>
      </c>
      <c r="K444" t="n">
        <v>0</v>
      </c>
      <c r="L444" t="n">
        <v>0</v>
      </c>
      <c r="M444" t="n">
        <v>0</v>
      </c>
      <c r="N444" t="n">
        <v>0</v>
      </c>
      <c r="O444" t="n">
        <v>0</v>
      </c>
      <c r="P444" t="n">
        <v>0</v>
      </c>
      <c r="Q444" t="n">
        <v>0</v>
      </c>
      <c r="R444" t="n">
        <v>0</v>
      </c>
      <c r="S444" t="n">
        <v>0</v>
      </c>
      <c r="T444" t="n">
        <v>0</v>
      </c>
      <c r="U444" s="2" t="inlineStr"/>
    </row>
    <row r="445" ht="15" customHeight="1">
      <c r="A445" t="inlineStr">
        <is>
          <t>A 39692-2025</t>
        </is>
      </c>
      <c r="B445" t="inlineStr">
        <is>
          <t>avverkningsanmälan</t>
        </is>
      </c>
      <c r="C445" t="inlineStr">
        <is>
          <t>Föryngringsavverkning</t>
        </is>
      </c>
      <c r="D445" s="1" t="n">
        <v>45890</v>
      </c>
      <c r="E445" s="1" t="n">
        <v>46219</v>
      </c>
      <c r="F445" t="inlineStr">
        <is>
          <t>STOCKHOLMS LÄN</t>
        </is>
      </c>
      <c r="G445" t="inlineStr">
        <is>
          <t>NORRTÄLJE</t>
        </is>
      </c>
      <c r="I445" t="n">
        <v>10.5</v>
      </c>
      <c r="J445" t="n">
        <v>0</v>
      </c>
      <c r="K445" t="n">
        <v>0</v>
      </c>
      <c r="L445" t="n">
        <v>0</v>
      </c>
      <c r="M445" t="n">
        <v>0</v>
      </c>
      <c r="N445" t="n">
        <v>0</v>
      </c>
      <c r="O445" t="n">
        <v>0</v>
      </c>
      <c r="P445" t="n">
        <v>0</v>
      </c>
      <c r="Q445" t="n">
        <v>0</v>
      </c>
      <c r="R445" t="n">
        <v>0</v>
      </c>
      <c r="S445" t="n">
        <v>0</v>
      </c>
      <c r="T445" t="n">
        <v>0</v>
      </c>
      <c r="U445" s="2" t="inlineStr"/>
    </row>
    <row r="446" ht="15" customHeight="1">
      <c r="A446" t="inlineStr">
        <is>
          <t>A 25681-2024</t>
        </is>
      </c>
      <c r="B446" t="inlineStr">
        <is>
          <t>avverkningsanmälan</t>
        </is>
      </c>
      <c r="C446" t="inlineStr">
        <is>
          <t>Föryngringsavverkning</t>
        </is>
      </c>
      <c r="D446" s="1" t="n">
        <v>45463</v>
      </c>
      <c r="E446" s="1" t="n">
        <v>46219</v>
      </c>
      <c r="F446" t="inlineStr">
        <is>
          <t>STOCKHOLMS LÄN</t>
        </is>
      </c>
      <c r="G446" t="inlineStr">
        <is>
          <t>NORRTÄLJE</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27677-2025</t>
        </is>
      </c>
      <c r="B447" t="inlineStr">
        <is>
          <t>avverkningsanmälan</t>
        </is>
      </c>
      <c r="C447" t="inlineStr">
        <is>
          <t>Föryngringsavverkning</t>
        </is>
      </c>
      <c r="D447" s="1" t="n">
        <v>45813</v>
      </c>
      <c r="E447" s="1" t="n">
        <v>46219</v>
      </c>
      <c r="F447" t="inlineStr">
        <is>
          <t>STOCKHOLMS LÄN</t>
        </is>
      </c>
      <c r="G447" t="inlineStr">
        <is>
          <t>NORRTÄLJE</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60217-2021</t>
        </is>
      </c>
      <c r="B448" t="inlineStr">
        <is>
          <t>avverkningsanmälan</t>
        </is>
      </c>
      <c r="C448" t="inlineStr">
        <is>
          <t>Föryngringsavverkning</t>
        </is>
      </c>
      <c r="D448" s="1" t="n">
        <v>44495</v>
      </c>
      <c r="E448" s="1" t="n">
        <v>46219</v>
      </c>
      <c r="F448" t="inlineStr">
        <is>
          <t>STOCKHOLMS LÄN</t>
        </is>
      </c>
      <c r="G448" t="inlineStr">
        <is>
          <t>NORRTÄLJE</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26115-2024</t>
        </is>
      </c>
      <c r="B449" t="inlineStr">
        <is>
          <t>avverkningsanmälan</t>
        </is>
      </c>
      <c r="C449" t="inlineStr">
        <is>
          <t>Föryngringsavverkning</t>
        </is>
      </c>
      <c r="D449" s="1" t="n">
        <v>45468</v>
      </c>
      <c r="E449" s="1" t="n">
        <v>46219</v>
      </c>
      <c r="F449" t="inlineStr">
        <is>
          <t>STOCKHOLMS LÄN</t>
        </is>
      </c>
      <c r="G449" t="inlineStr">
        <is>
          <t>NORRTÄLJE</t>
        </is>
      </c>
      <c r="I449" t="n">
        <v>0.3</v>
      </c>
      <c r="J449" t="n">
        <v>0</v>
      </c>
      <c r="K449" t="n">
        <v>0</v>
      </c>
      <c r="L449" t="n">
        <v>0</v>
      </c>
      <c r="M449" t="n">
        <v>0</v>
      </c>
      <c r="N449" t="n">
        <v>0</v>
      </c>
      <c r="O449" t="n">
        <v>0</v>
      </c>
      <c r="P449" t="n">
        <v>0</v>
      </c>
      <c r="Q449" t="n">
        <v>0</v>
      </c>
      <c r="R449" t="n">
        <v>0</v>
      </c>
      <c r="S449" t="n">
        <v>0</v>
      </c>
      <c r="T449" t="n">
        <v>0</v>
      </c>
      <c r="U449" s="2" t="inlineStr"/>
    </row>
    <row r="450" ht="15" customHeight="1">
      <c r="A450" t="inlineStr">
        <is>
          <t>A 40230-2025</t>
        </is>
      </c>
      <c r="B450" t="inlineStr">
        <is>
          <t>avverkningsanmälan</t>
        </is>
      </c>
      <c r="C450" t="inlineStr">
        <is>
          <t>Föryngringsavverkning</t>
        </is>
      </c>
      <c r="D450" s="1" t="n">
        <v>45894</v>
      </c>
      <c r="E450" s="1" t="n">
        <v>46219</v>
      </c>
      <c r="F450" t="inlineStr">
        <is>
          <t>STOCKHOLMS LÄN</t>
        </is>
      </c>
      <c r="G450" t="inlineStr">
        <is>
          <t>NORRTÄLJE</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40228-2025</t>
        </is>
      </c>
      <c r="B451" t="inlineStr">
        <is>
          <t>avverkningsanmälan</t>
        </is>
      </c>
      <c r="C451" t="inlineStr">
        <is>
          <t>Föryngringsavverkning</t>
        </is>
      </c>
      <c r="D451" s="1" t="n">
        <v>45894</v>
      </c>
      <c r="E451" s="1" t="n">
        <v>46219</v>
      </c>
      <c r="F451" t="inlineStr">
        <is>
          <t>STOCKHOLMS LÄN</t>
        </is>
      </c>
      <c r="G451" t="inlineStr">
        <is>
          <t>NORRTÄLJE</t>
        </is>
      </c>
      <c r="I451" t="n">
        <v>2.1</v>
      </c>
      <c r="J451" t="n">
        <v>0</v>
      </c>
      <c r="K451" t="n">
        <v>0</v>
      </c>
      <c r="L451" t="n">
        <v>0</v>
      </c>
      <c r="M451" t="n">
        <v>0</v>
      </c>
      <c r="N451" t="n">
        <v>0</v>
      </c>
      <c r="O451" t="n">
        <v>0</v>
      </c>
      <c r="P451" t="n">
        <v>0</v>
      </c>
      <c r="Q451" t="n">
        <v>0</v>
      </c>
      <c r="R451" t="n">
        <v>0</v>
      </c>
      <c r="S451" t="n">
        <v>0</v>
      </c>
      <c r="T451" t="n">
        <v>0</v>
      </c>
      <c r="U451" s="2" t="inlineStr"/>
    </row>
    <row r="452" ht="15" customHeight="1">
      <c r="A452" t="inlineStr">
        <is>
          <t>A 35636-2025</t>
        </is>
      </c>
      <c r="B452" t="inlineStr">
        <is>
          <t>avverkningsanmälan</t>
        </is>
      </c>
      <c r="C452" t="inlineStr">
        <is>
          <t>Föryngringsavverkning</t>
        </is>
      </c>
      <c r="D452" s="1" t="n">
        <v>45859</v>
      </c>
      <c r="E452" s="1" t="n">
        <v>46219</v>
      </c>
      <c r="F452" t="inlineStr">
        <is>
          <t>STOCKHOLMS LÄN</t>
        </is>
      </c>
      <c r="G452" t="inlineStr">
        <is>
          <t>NORRTÄLJE</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28900-2022</t>
        </is>
      </c>
      <c r="B453" t="inlineStr">
        <is>
          <t>avverkningsanmälan</t>
        </is>
      </c>
      <c r="C453" t="inlineStr">
        <is>
          <t>Föryngringsavverkning</t>
        </is>
      </c>
      <c r="D453" s="1" t="n">
        <v>44749</v>
      </c>
      <c r="E453" s="1" t="n">
        <v>46219</v>
      </c>
      <c r="F453" t="inlineStr">
        <is>
          <t>STOCKHOLMS LÄN</t>
        </is>
      </c>
      <c r="G453" t="inlineStr">
        <is>
          <t>NORRTÄLJE</t>
        </is>
      </c>
      <c r="I453" t="n">
        <v>8.699999999999999</v>
      </c>
      <c r="J453" t="n">
        <v>0</v>
      </c>
      <c r="K453" t="n">
        <v>0</v>
      </c>
      <c r="L453" t="n">
        <v>0</v>
      </c>
      <c r="M453" t="n">
        <v>0</v>
      </c>
      <c r="N453" t="n">
        <v>0</v>
      </c>
      <c r="O453" t="n">
        <v>0</v>
      </c>
      <c r="P453" t="n">
        <v>0</v>
      </c>
      <c r="Q453" t="n">
        <v>0</v>
      </c>
      <c r="R453" t="n">
        <v>0</v>
      </c>
      <c r="S453" t="n">
        <v>0</v>
      </c>
      <c r="T453" t="n">
        <v>0</v>
      </c>
      <c r="U453" s="2" t="inlineStr"/>
    </row>
    <row r="454" ht="15" customHeight="1">
      <c r="A454" t="inlineStr">
        <is>
          <t>A 32514-2022</t>
        </is>
      </c>
      <c r="B454" t="inlineStr">
        <is>
          <t>avverkningsanmälan</t>
        </is>
      </c>
      <c r="C454" t="inlineStr">
        <is>
          <t>Föryngringsavverkning</t>
        </is>
      </c>
      <c r="D454" s="1" t="n">
        <v>44782</v>
      </c>
      <c r="E454" s="1" t="n">
        <v>46219</v>
      </c>
      <c r="F454" t="inlineStr">
        <is>
          <t>STOCKHOLMS LÄN</t>
        </is>
      </c>
      <c r="G454" t="inlineStr">
        <is>
          <t>NORRTÄLJE</t>
        </is>
      </c>
      <c r="I454" t="n">
        <v>5.1</v>
      </c>
      <c r="J454" t="n">
        <v>0</v>
      </c>
      <c r="K454" t="n">
        <v>0</v>
      </c>
      <c r="L454" t="n">
        <v>0</v>
      </c>
      <c r="M454" t="n">
        <v>0</v>
      </c>
      <c r="N454" t="n">
        <v>0</v>
      </c>
      <c r="O454" t="n">
        <v>0</v>
      </c>
      <c r="P454" t="n">
        <v>0</v>
      </c>
      <c r="Q454" t="n">
        <v>0</v>
      </c>
      <c r="R454" t="n">
        <v>0</v>
      </c>
      <c r="S454" t="n">
        <v>0</v>
      </c>
      <c r="T454" t="n">
        <v>0</v>
      </c>
      <c r="U454" s="2" t="inlineStr"/>
    </row>
    <row r="455" ht="15" customHeight="1">
      <c r="A455" t="inlineStr">
        <is>
          <t>A 40033-2025</t>
        </is>
      </c>
      <c r="B455" t="inlineStr">
        <is>
          <t>avverkningsanmälan</t>
        </is>
      </c>
      <c r="C455" t="inlineStr">
        <is>
          <t>Föryngringsavverkning</t>
        </is>
      </c>
      <c r="D455" s="1" t="n">
        <v>45893</v>
      </c>
      <c r="E455" s="1" t="n">
        <v>46219</v>
      </c>
      <c r="F455" t="inlineStr">
        <is>
          <t>STOCKHOLMS LÄN</t>
        </is>
      </c>
      <c r="G455" t="inlineStr">
        <is>
          <t>NORRTÄLJE</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40217-2025</t>
        </is>
      </c>
      <c r="B456" t="inlineStr">
        <is>
          <t>avverkningsanmälan</t>
        </is>
      </c>
      <c r="C456" t="inlineStr">
        <is>
          <t>Föryngringsavverkning</t>
        </is>
      </c>
      <c r="D456" s="1" t="n">
        <v>45894</v>
      </c>
      <c r="E456" s="1" t="n">
        <v>46219</v>
      </c>
      <c r="F456" t="inlineStr">
        <is>
          <t>STOCKHOLMS LÄN</t>
        </is>
      </c>
      <c r="G456" t="inlineStr">
        <is>
          <t>NORRTÄLJE</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35639-2025</t>
        </is>
      </c>
      <c r="B457" t="inlineStr">
        <is>
          <t>avverkningsanmälan</t>
        </is>
      </c>
      <c r="C457" t="inlineStr">
        <is>
          <t>Föryngringsavverkning</t>
        </is>
      </c>
      <c r="D457" s="1" t="n">
        <v>45859</v>
      </c>
      <c r="E457" s="1" t="n">
        <v>46219</v>
      </c>
      <c r="F457" t="inlineStr">
        <is>
          <t>STOCKHOLMS LÄN</t>
        </is>
      </c>
      <c r="G457" t="inlineStr">
        <is>
          <t>NORRTÄLJE</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40032-2025</t>
        </is>
      </c>
      <c r="B458" t="inlineStr">
        <is>
          <t>avverkningsanmälan</t>
        </is>
      </c>
      <c r="C458" t="inlineStr">
        <is>
          <t>Föryngringsavverkning</t>
        </is>
      </c>
      <c r="D458" s="1" t="n">
        <v>45893</v>
      </c>
      <c r="E458" s="1" t="n">
        <v>46219</v>
      </c>
      <c r="F458" t="inlineStr">
        <is>
          <t>STOCKHOLMS LÄN</t>
        </is>
      </c>
      <c r="G458" t="inlineStr">
        <is>
          <t>NORRTÄLJE</t>
        </is>
      </c>
      <c r="I458" t="n">
        <v>2.6</v>
      </c>
      <c r="J458" t="n">
        <v>0</v>
      </c>
      <c r="K458" t="n">
        <v>0</v>
      </c>
      <c r="L458" t="n">
        <v>0</v>
      </c>
      <c r="M458" t="n">
        <v>0</v>
      </c>
      <c r="N458" t="n">
        <v>0</v>
      </c>
      <c r="O458" t="n">
        <v>0</v>
      </c>
      <c r="P458" t="n">
        <v>0</v>
      </c>
      <c r="Q458" t="n">
        <v>0</v>
      </c>
      <c r="R458" t="n">
        <v>0</v>
      </c>
      <c r="S458" t="n">
        <v>0</v>
      </c>
      <c r="T458" t="n">
        <v>0</v>
      </c>
      <c r="U458" s="2" t="inlineStr"/>
    </row>
    <row r="459" ht="15" customHeight="1">
      <c r="A459" t="inlineStr">
        <is>
          <t>A 40097-2025</t>
        </is>
      </c>
      <c r="B459" t="inlineStr">
        <is>
          <t>avverkningsanmälan</t>
        </is>
      </c>
      <c r="C459" t="inlineStr">
        <is>
          <t>Föryngringsavverkning</t>
        </is>
      </c>
      <c r="D459" s="1" t="n">
        <v>45894</v>
      </c>
      <c r="E459" s="1" t="n">
        <v>46219</v>
      </c>
      <c r="F459" t="inlineStr">
        <is>
          <t>STOCKHOLMS LÄN</t>
        </is>
      </c>
      <c r="G459" t="inlineStr">
        <is>
          <t>NORRTÄLJE</t>
        </is>
      </c>
      <c r="I459" t="n">
        <v>3</v>
      </c>
      <c r="J459" t="n">
        <v>0</v>
      </c>
      <c r="K459" t="n">
        <v>0</v>
      </c>
      <c r="L459" t="n">
        <v>0</v>
      </c>
      <c r="M459" t="n">
        <v>0</v>
      </c>
      <c r="N459" t="n">
        <v>0</v>
      </c>
      <c r="O459" t="n">
        <v>0</v>
      </c>
      <c r="P459" t="n">
        <v>0</v>
      </c>
      <c r="Q459" t="n">
        <v>0</v>
      </c>
      <c r="R459" t="n">
        <v>0</v>
      </c>
      <c r="S459" t="n">
        <v>0</v>
      </c>
      <c r="T459" t="n">
        <v>0</v>
      </c>
      <c r="U459" s="2" t="inlineStr"/>
    </row>
    <row r="460" ht="15" customHeight="1">
      <c r="A460" t="inlineStr">
        <is>
          <t>A 54273-2021</t>
        </is>
      </c>
      <c r="B460" t="inlineStr">
        <is>
          <t>avverkningsanmälan</t>
        </is>
      </c>
      <c r="C460" t="inlineStr">
        <is>
          <t>Föryngringsavverkning</t>
        </is>
      </c>
      <c r="D460" s="1" t="n">
        <v>44470</v>
      </c>
      <c r="E460" s="1" t="n">
        <v>46219</v>
      </c>
      <c r="F460" t="inlineStr">
        <is>
          <t>STOCKHOLMS LÄN</t>
        </is>
      </c>
      <c r="G460" t="inlineStr">
        <is>
          <t>NORRTÄLJE</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43212-2022</t>
        </is>
      </c>
      <c r="B461" t="inlineStr">
        <is>
          <t>avverkningsanmälan</t>
        </is>
      </c>
      <c r="C461" t="inlineStr">
        <is>
          <t>Föryngringsavverkning</t>
        </is>
      </c>
      <c r="D461" s="1" t="n">
        <v>44834</v>
      </c>
      <c r="E461" s="1" t="n">
        <v>46219</v>
      </c>
      <c r="F461" t="inlineStr">
        <is>
          <t>STOCKHOLMS LÄN</t>
        </is>
      </c>
      <c r="G461" t="inlineStr">
        <is>
          <t>NORRTÄLJE</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40529-2025</t>
        </is>
      </c>
      <c r="B462" t="inlineStr">
        <is>
          <t>avverkningsanmälan</t>
        </is>
      </c>
      <c r="C462" t="inlineStr">
        <is>
          <t>Föryngringsavverkning</t>
        </is>
      </c>
      <c r="D462" s="1" t="n">
        <v>45896</v>
      </c>
      <c r="E462" s="1" t="n">
        <v>46219</v>
      </c>
      <c r="F462" t="inlineStr">
        <is>
          <t>STOCKHOLMS LÄN</t>
        </is>
      </c>
      <c r="G462" t="inlineStr">
        <is>
          <t>NORRTÄLJE</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23125-2022</t>
        </is>
      </c>
      <c r="B463" t="inlineStr">
        <is>
          <t>avverkningsanmälan</t>
        </is>
      </c>
      <c r="C463" t="inlineStr">
        <is>
          <t>Föryngringsavverkning</t>
        </is>
      </c>
      <c r="D463" s="1" t="n">
        <v>44719</v>
      </c>
      <c r="E463" s="1" t="n">
        <v>46219</v>
      </c>
      <c r="F463" t="inlineStr">
        <is>
          <t>STOCKHOLMS LÄN</t>
        </is>
      </c>
      <c r="G463" t="inlineStr">
        <is>
          <t>NORRTÄLJE</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40837-2025</t>
        </is>
      </c>
      <c r="B464" t="inlineStr">
        <is>
          <t>avverkningsanmälan</t>
        </is>
      </c>
      <c r="C464" t="inlineStr">
        <is>
          <t>Föryngringsavverkning</t>
        </is>
      </c>
      <c r="D464" s="1" t="n">
        <v>45897</v>
      </c>
      <c r="E464" s="1" t="n">
        <v>46219</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9329-2023</t>
        </is>
      </c>
      <c r="B465" t="inlineStr">
        <is>
          <t>avverkningsanmälan</t>
        </is>
      </c>
      <c r="C465" t="inlineStr">
        <is>
          <t>Föryngringsavverkning</t>
        </is>
      </c>
      <c r="D465" s="1" t="n">
        <v>44980</v>
      </c>
      <c r="E465" s="1" t="n">
        <v>46219</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6855-2025</t>
        </is>
      </c>
      <c r="B466" t="inlineStr">
        <is>
          <t>avverkningsanmälan</t>
        </is>
      </c>
      <c r="C466" t="inlineStr">
        <is>
          <t>Föryngringsavverkning</t>
        </is>
      </c>
      <c r="D466" s="1" t="n">
        <v>45700</v>
      </c>
      <c r="E466" s="1" t="n">
        <v>46219</v>
      </c>
      <c r="F466" t="inlineStr">
        <is>
          <t>STOCKHOLMS LÄN</t>
        </is>
      </c>
      <c r="G466" t="inlineStr">
        <is>
          <t>NORRTÄLJE</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41174-2025</t>
        </is>
      </c>
      <c r="B467" t="inlineStr">
        <is>
          <t>avverkningsanmälan</t>
        </is>
      </c>
      <c r="C467" t="inlineStr">
        <is>
          <t>Föryngringsavverkning</t>
        </is>
      </c>
      <c r="D467" s="1" t="n">
        <v>45898</v>
      </c>
      <c r="E467" s="1" t="n">
        <v>46219</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41110-2025</t>
        </is>
      </c>
      <c r="B468" t="inlineStr">
        <is>
          <t>avverkningsanmälan</t>
        </is>
      </c>
      <c r="C468" t="inlineStr">
        <is>
          <t>Föryngringsavverkning</t>
        </is>
      </c>
      <c r="D468" s="1" t="n">
        <v>45898</v>
      </c>
      <c r="E468" s="1" t="n">
        <v>46219</v>
      </c>
      <c r="F468" t="inlineStr">
        <is>
          <t>STOCKHOLMS LÄN</t>
        </is>
      </c>
      <c r="G468" t="inlineStr">
        <is>
          <t>NORRTÄLJE</t>
        </is>
      </c>
      <c r="H468" t="inlineStr">
        <is>
          <t>Holmen skog AB</t>
        </is>
      </c>
      <c r="I468" t="n">
        <v>6.7</v>
      </c>
      <c r="J468" t="n">
        <v>0</v>
      </c>
      <c r="K468" t="n">
        <v>0</v>
      </c>
      <c r="L468" t="n">
        <v>0</v>
      </c>
      <c r="M468" t="n">
        <v>0</v>
      </c>
      <c r="N468" t="n">
        <v>0</v>
      </c>
      <c r="O468" t="n">
        <v>0</v>
      </c>
      <c r="P468" t="n">
        <v>0</v>
      </c>
      <c r="Q468" t="n">
        <v>0</v>
      </c>
      <c r="R468" t="n">
        <v>0</v>
      </c>
      <c r="S468" t="n">
        <v>0</v>
      </c>
      <c r="T468" t="n">
        <v>0</v>
      </c>
      <c r="U468" s="2" t="inlineStr"/>
    </row>
    <row r="469" ht="15" customHeight="1">
      <c r="A469" t="inlineStr">
        <is>
          <t>A 40829-2025</t>
        </is>
      </c>
      <c r="B469" t="inlineStr">
        <is>
          <t>avverkningsanmälan</t>
        </is>
      </c>
      <c r="C469" t="inlineStr">
        <is>
          <t>Föryngringsavverkning</t>
        </is>
      </c>
      <c r="D469" s="1" t="n">
        <v>45897</v>
      </c>
      <c r="E469" s="1" t="n">
        <v>46219</v>
      </c>
      <c r="F469" t="inlineStr">
        <is>
          <t>STOCKHOLMS LÄN</t>
        </is>
      </c>
      <c r="G469" t="inlineStr">
        <is>
          <t>NORRTÄLJE</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40831-2025</t>
        </is>
      </c>
      <c r="B470" t="inlineStr">
        <is>
          <t>avverkningsanmälan</t>
        </is>
      </c>
      <c r="C470" t="inlineStr">
        <is>
          <t>Föryngringsavverkning</t>
        </is>
      </c>
      <c r="D470" s="1" t="n">
        <v>45897</v>
      </c>
      <c r="E470" s="1" t="n">
        <v>46219</v>
      </c>
      <c r="F470" t="inlineStr">
        <is>
          <t>STOCKHOLMS LÄN</t>
        </is>
      </c>
      <c r="G470" t="inlineStr">
        <is>
          <t>NORRTÄLJE</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34295-2024</t>
        </is>
      </c>
      <c r="B471" t="inlineStr">
        <is>
          <t>avverkningsanmälan</t>
        </is>
      </c>
      <c r="C471" t="inlineStr">
        <is>
          <t>Föryngringsavverkning</t>
        </is>
      </c>
      <c r="D471" s="1" t="n">
        <v>45524</v>
      </c>
      <c r="E471" s="1" t="n">
        <v>46219</v>
      </c>
      <c r="F471" t="inlineStr">
        <is>
          <t>STOCKHOLMS LÄN</t>
        </is>
      </c>
      <c r="G471" t="inlineStr">
        <is>
          <t>NORRTÄLJE</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6537-2024</t>
        </is>
      </c>
      <c r="B472" t="inlineStr">
        <is>
          <t>avverkningsanmälan</t>
        </is>
      </c>
      <c r="C472" t="inlineStr">
        <is>
          <t>Föryngringsavverkning</t>
        </is>
      </c>
      <c r="D472" s="1" t="n">
        <v>45341</v>
      </c>
      <c r="E472" s="1" t="n">
        <v>46219</v>
      </c>
      <c r="F472" t="inlineStr">
        <is>
          <t>STOCKHOLMS LÄN</t>
        </is>
      </c>
      <c r="G472" t="inlineStr">
        <is>
          <t>NORRTÄLJE</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19058-2024</t>
        </is>
      </c>
      <c r="B473" t="inlineStr">
        <is>
          <t>avverkningsanmälan</t>
        </is>
      </c>
      <c r="C473" t="inlineStr">
        <is>
          <t>Föryngringsavverkning</t>
        </is>
      </c>
      <c r="D473" s="1" t="n">
        <v>45427</v>
      </c>
      <c r="E473" s="1" t="n">
        <v>46219</v>
      </c>
      <c r="F473" t="inlineStr">
        <is>
          <t>STOCKHOLMS LÄN</t>
        </is>
      </c>
      <c r="G473" t="inlineStr">
        <is>
          <t>NORRTÄLJE</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8135-2025</t>
        </is>
      </c>
      <c r="B474" t="inlineStr">
        <is>
          <t>avverkningsanmälan</t>
        </is>
      </c>
      <c r="C474" t="inlineStr">
        <is>
          <t>Föryngringsavverkning</t>
        </is>
      </c>
      <c r="D474" s="1" t="n">
        <v>45707</v>
      </c>
      <c r="E474" s="1" t="n">
        <v>46219</v>
      </c>
      <c r="F474" t="inlineStr">
        <is>
          <t>STOCKHOLMS LÄN</t>
        </is>
      </c>
      <c r="G474" t="inlineStr">
        <is>
          <t>NORRTÄLJE</t>
        </is>
      </c>
      <c r="I474" t="n">
        <v>2.6</v>
      </c>
      <c r="J474" t="n">
        <v>0</v>
      </c>
      <c r="K474" t="n">
        <v>0</v>
      </c>
      <c r="L474" t="n">
        <v>0</v>
      </c>
      <c r="M474" t="n">
        <v>0</v>
      </c>
      <c r="N474" t="n">
        <v>0</v>
      </c>
      <c r="O474" t="n">
        <v>0</v>
      </c>
      <c r="P474" t="n">
        <v>0</v>
      </c>
      <c r="Q474" t="n">
        <v>0</v>
      </c>
      <c r="R474" t="n">
        <v>0</v>
      </c>
      <c r="S474" t="n">
        <v>0</v>
      </c>
      <c r="T474" t="n">
        <v>0</v>
      </c>
      <c r="U474" s="2" t="inlineStr"/>
    </row>
    <row r="475" ht="15" customHeight="1">
      <c r="A475" t="inlineStr">
        <is>
          <t>A 31936-2022</t>
        </is>
      </c>
      <c r="B475" t="inlineStr">
        <is>
          <t>avverkningsanmälan</t>
        </is>
      </c>
      <c r="C475" t="inlineStr">
        <is>
          <t>Föryngringsavverkning</t>
        </is>
      </c>
      <c r="D475" s="1" t="n">
        <v>44777</v>
      </c>
      <c r="E475" s="1" t="n">
        <v>46219</v>
      </c>
      <c r="F475" t="inlineStr">
        <is>
          <t>STOCKHOLMS LÄN</t>
        </is>
      </c>
      <c r="G475" t="inlineStr">
        <is>
          <t>NORRTÄLJE</t>
        </is>
      </c>
      <c r="I475" t="n">
        <v>5.2</v>
      </c>
      <c r="J475" t="n">
        <v>0</v>
      </c>
      <c r="K475" t="n">
        <v>0</v>
      </c>
      <c r="L475" t="n">
        <v>0</v>
      </c>
      <c r="M475" t="n">
        <v>0</v>
      </c>
      <c r="N475" t="n">
        <v>0</v>
      </c>
      <c r="O475" t="n">
        <v>0</v>
      </c>
      <c r="P475" t="n">
        <v>0</v>
      </c>
      <c r="Q475" t="n">
        <v>0</v>
      </c>
      <c r="R475" t="n">
        <v>0</v>
      </c>
      <c r="S475" t="n">
        <v>0</v>
      </c>
      <c r="T475" t="n">
        <v>0</v>
      </c>
      <c r="U475" s="2" t="inlineStr"/>
    </row>
    <row r="476" ht="15" customHeight="1">
      <c r="A476" t="inlineStr">
        <is>
          <t>A 24887-2023</t>
        </is>
      </c>
      <c r="B476" t="inlineStr">
        <is>
          <t>avverkningsanmälan</t>
        </is>
      </c>
      <c r="C476" t="inlineStr">
        <is>
          <t>Föryngringsavverkning</t>
        </is>
      </c>
      <c r="D476" s="1" t="n">
        <v>45085</v>
      </c>
      <c r="E476" s="1" t="n">
        <v>46219</v>
      </c>
      <c r="F476" t="inlineStr">
        <is>
          <t>STOCKHOLMS LÄN</t>
        </is>
      </c>
      <c r="G476" t="inlineStr">
        <is>
          <t>NORRTÄLJE</t>
        </is>
      </c>
      <c r="I476" t="n">
        <v>13.9</v>
      </c>
      <c r="J476" t="n">
        <v>0</v>
      </c>
      <c r="K476" t="n">
        <v>0</v>
      </c>
      <c r="L476" t="n">
        <v>0</v>
      </c>
      <c r="M476" t="n">
        <v>0</v>
      </c>
      <c r="N476" t="n">
        <v>0</v>
      </c>
      <c r="O476" t="n">
        <v>0</v>
      </c>
      <c r="P476" t="n">
        <v>0</v>
      </c>
      <c r="Q476" t="n">
        <v>0</v>
      </c>
      <c r="R476" t="n">
        <v>0</v>
      </c>
      <c r="S476" t="n">
        <v>0</v>
      </c>
      <c r="T476" t="n">
        <v>0</v>
      </c>
      <c r="U476" s="2" t="inlineStr"/>
    </row>
    <row r="477" ht="15" customHeight="1">
      <c r="A477" t="inlineStr">
        <is>
          <t>A 56428-2023</t>
        </is>
      </c>
      <c r="B477" t="inlineStr">
        <is>
          <t>avverkningsanmälan</t>
        </is>
      </c>
      <c r="C477" t="inlineStr">
        <is>
          <t>Föryngringsavverkning</t>
        </is>
      </c>
      <c r="D477" s="1" t="n">
        <v>45243</v>
      </c>
      <c r="E477" s="1" t="n">
        <v>46219</v>
      </c>
      <c r="F477" t="inlineStr">
        <is>
          <t>STOCKHOLMS LÄN</t>
        </is>
      </c>
      <c r="G477" t="inlineStr">
        <is>
          <t>NORRTÄLJE</t>
        </is>
      </c>
      <c r="H477" t="inlineStr">
        <is>
          <t>Kyrkan</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10511-2025</t>
        </is>
      </c>
      <c r="B478" t="inlineStr">
        <is>
          <t>avverkningsanmälan</t>
        </is>
      </c>
      <c r="C478" t="inlineStr">
        <is>
          <t>Föryngringsavverkning</t>
        </is>
      </c>
      <c r="D478" s="1" t="n">
        <v>45721</v>
      </c>
      <c r="E478" s="1" t="n">
        <v>46219</v>
      </c>
      <c r="F478" t="inlineStr">
        <is>
          <t>STOCKHOLMS LÄN</t>
        </is>
      </c>
      <c r="G478" t="inlineStr">
        <is>
          <t>NORRTÄLJE</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30338-2022</t>
        </is>
      </c>
      <c r="B479" t="inlineStr">
        <is>
          <t>avverkningsanmälan</t>
        </is>
      </c>
      <c r="C479" t="inlineStr">
        <is>
          <t>Avverkning för annat ändamål</t>
        </is>
      </c>
      <c r="D479" s="1" t="n">
        <v>44760</v>
      </c>
      <c r="E479" s="1" t="n">
        <v>46219</v>
      </c>
      <c r="F479" t="inlineStr">
        <is>
          <t>STOCKHOLMS LÄN</t>
        </is>
      </c>
      <c r="G479" t="inlineStr">
        <is>
          <t>NORRTÄLJE</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4035-2023</t>
        </is>
      </c>
      <c r="B480" t="inlineStr">
        <is>
          <t>avverkningsanmälan</t>
        </is>
      </c>
      <c r="C480" t="inlineStr">
        <is>
          <t>Föryngringsavverkning</t>
        </is>
      </c>
      <c r="D480" s="1" t="n">
        <v>44952</v>
      </c>
      <c r="E480" s="1" t="n">
        <v>46219</v>
      </c>
      <c r="F480" t="inlineStr">
        <is>
          <t>STOCKHOLMS LÄN</t>
        </is>
      </c>
      <c r="G480" t="inlineStr">
        <is>
          <t>NORRTÄLJE</t>
        </is>
      </c>
      <c r="H480" t="inlineStr">
        <is>
          <t>Holmen skog AB</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18541-2023</t>
        </is>
      </c>
      <c r="B481" t="inlineStr">
        <is>
          <t>avverkningsanmälan</t>
        </is>
      </c>
      <c r="C481" t="inlineStr">
        <is>
          <t>Föryngringsavverkning</t>
        </is>
      </c>
      <c r="D481" s="1" t="n">
        <v>45042</v>
      </c>
      <c r="E481" s="1" t="n">
        <v>46219</v>
      </c>
      <c r="F481" t="inlineStr">
        <is>
          <t>STOCKHOLMS LÄN</t>
        </is>
      </c>
      <c r="G481" t="inlineStr">
        <is>
          <t>NORRTÄLJE</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51325-2023</t>
        </is>
      </c>
      <c r="B482" t="inlineStr">
        <is>
          <t>avverkningsanmälan</t>
        </is>
      </c>
      <c r="C482" t="inlineStr">
        <is>
          <t>Föryngringsavverkning</t>
        </is>
      </c>
      <c r="D482" s="1" t="n">
        <v>45219</v>
      </c>
      <c r="E482" s="1" t="n">
        <v>46219</v>
      </c>
      <c r="F482" t="inlineStr">
        <is>
          <t>STOCKHOLMS LÄN</t>
        </is>
      </c>
      <c r="G482" t="inlineStr">
        <is>
          <t>NORRTÄLJE</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21729-2024</t>
        </is>
      </c>
      <c r="B483" t="inlineStr">
        <is>
          <t>avverkningsanmälan</t>
        </is>
      </c>
      <c r="C483" t="inlineStr">
        <is>
          <t>Föryngringsavverkning</t>
        </is>
      </c>
      <c r="D483" s="1" t="n">
        <v>45442</v>
      </c>
      <c r="E483" s="1" t="n">
        <v>46219</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26644-2024</t>
        </is>
      </c>
      <c r="B484" t="inlineStr">
        <is>
          <t>avverkningsanmälan</t>
        </is>
      </c>
      <c r="C484" t="inlineStr">
        <is>
          <t>Föryngringsavverkning</t>
        </is>
      </c>
      <c r="D484" s="1" t="n">
        <v>45469</v>
      </c>
      <c r="E484" s="1" t="n">
        <v>46219</v>
      </c>
      <c r="F484" t="inlineStr">
        <is>
          <t>STOCKHOLMS LÄN</t>
        </is>
      </c>
      <c r="G484" t="inlineStr">
        <is>
          <t>NORRTÄLJE</t>
        </is>
      </c>
      <c r="I484" t="n">
        <v>4.3</v>
      </c>
      <c r="J484" t="n">
        <v>0</v>
      </c>
      <c r="K484" t="n">
        <v>0</v>
      </c>
      <c r="L484" t="n">
        <v>0</v>
      </c>
      <c r="M484" t="n">
        <v>0</v>
      </c>
      <c r="N484" t="n">
        <v>0</v>
      </c>
      <c r="O484" t="n">
        <v>0</v>
      </c>
      <c r="P484" t="n">
        <v>0</v>
      </c>
      <c r="Q484" t="n">
        <v>0</v>
      </c>
      <c r="R484" t="n">
        <v>0</v>
      </c>
      <c r="S484" t="n">
        <v>0</v>
      </c>
      <c r="T484" t="n">
        <v>0</v>
      </c>
      <c r="U484" s="2" t="inlineStr"/>
    </row>
    <row r="485" ht="15" customHeight="1">
      <c r="A485" t="inlineStr">
        <is>
          <t>A 26668-2024</t>
        </is>
      </c>
      <c r="B485" t="inlineStr">
        <is>
          <t>avverkningsanmälan</t>
        </is>
      </c>
      <c r="C485" t="inlineStr">
        <is>
          <t>Avverkning för att bevara och utveckla /försöksver</t>
        </is>
      </c>
      <c r="D485" s="1" t="n">
        <v>45469</v>
      </c>
      <c r="E485" s="1" t="n">
        <v>46219</v>
      </c>
      <c r="F485" t="inlineStr">
        <is>
          <t>STOCKHOLMS LÄN</t>
        </is>
      </c>
      <c r="G485" t="inlineStr">
        <is>
          <t>NORRTÄLJE</t>
        </is>
      </c>
      <c r="I485" t="n">
        <v>4.8</v>
      </c>
      <c r="J485" t="n">
        <v>0</v>
      </c>
      <c r="K485" t="n">
        <v>0</v>
      </c>
      <c r="L485" t="n">
        <v>0</v>
      </c>
      <c r="M485" t="n">
        <v>0</v>
      </c>
      <c r="N485" t="n">
        <v>0</v>
      </c>
      <c r="O485" t="n">
        <v>0</v>
      </c>
      <c r="P485" t="n">
        <v>0</v>
      </c>
      <c r="Q485" t="n">
        <v>0</v>
      </c>
      <c r="R485" t="n">
        <v>0</v>
      </c>
      <c r="S485" t="n">
        <v>0</v>
      </c>
      <c r="T485" t="n">
        <v>0</v>
      </c>
      <c r="U485" s="2" t="inlineStr"/>
    </row>
    <row r="486" ht="15" customHeight="1">
      <c r="A486" t="inlineStr">
        <is>
          <t>A 30699-2025</t>
        </is>
      </c>
      <c r="B486" t="inlineStr">
        <is>
          <t>avverkningsanmälan</t>
        </is>
      </c>
      <c r="C486" t="inlineStr">
        <is>
          <t>Avverkning för att bevara och utveckla /försöksver</t>
        </is>
      </c>
      <c r="D486" s="1" t="n">
        <v>45831</v>
      </c>
      <c r="E486" s="1" t="n">
        <v>46219</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21894-2023</t>
        </is>
      </c>
      <c r="B487" t="inlineStr">
        <is>
          <t>avverkningsanmälan</t>
        </is>
      </c>
      <c r="C487" t="inlineStr">
        <is>
          <t>Föryngringsavverkning</t>
        </is>
      </c>
      <c r="D487" s="1" t="n">
        <v>45068</v>
      </c>
      <c r="E487" s="1" t="n">
        <v>46219</v>
      </c>
      <c r="F487" t="inlineStr">
        <is>
          <t>STOCKHOLMS LÄN</t>
        </is>
      </c>
      <c r="G487" t="inlineStr">
        <is>
          <t>NORRTÄLJE</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42856-2025</t>
        </is>
      </c>
      <c r="B488" t="inlineStr">
        <is>
          <t>avverkningsanmälan</t>
        </is>
      </c>
      <c r="C488" t="inlineStr">
        <is>
          <t>Avverkning för att bevara och utveckla /försöksver</t>
        </is>
      </c>
      <c r="D488" s="1" t="n">
        <v>45908</v>
      </c>
      <c r="E488" s="1" t="n">
        <v>46219</v>
      </c>
      <c r="F488" t="inlineStr">
        <is>
          <t>STOCKHOLMS LÄN</t>
        </is>
      </c>
      <c r="G488" t="inlineStr">
        <is>
          <t>NORRTÄLJE</t>
        </is>
      </c>
      <c r="I488" t="n">
        <v>9.199999999999999</v>
      </c>
      <c r="J488" t="n">
        <v>0</v>
      </c>
      <c r="K488" t="n">
        <v>0</v>
      </c>
      <c r="L488" t="n">
        <v>0</v>
      </c>
      <c r="M488" t="n">
        <v>0</v>
      </c>
      <c r="N488" t="n">
        <v>0</v>
      </c>
      <c r="O488" t="n">
        <v>0</v>
      </c>
      <c r="P488" t="n">
        <v>0</v>
      </c>
      <c r="Q488" t="n">
        <v>0</v>
      </c>
      <c r="R488" t="n">
        <v>0</v>
      </c>
      <c r="S488" t="n">
        <v>0</v>
      </c>
      <c r="T488" t="n">
        <v>0</v>
      </c>
      <c r="U488" s="2" t="inlineStr"/>
    </row>
    <row r="489" ht="15" customHeight="1">
      <c r="A489" t="inlineStr">
        <is>
          <t>A 20011-2025</t>
        </is>
      </c>
      <c r="B489" t="inlineStr">
        <is>
          <t>avverkningsanmälan</t>
        </is>
      </c>
      <c r="C489" t="inlineStr">
        <is>
          <t>Föryngringsavverkning</t>
        </is>
      </c>
      <c r="D489" s="1" t="n">
        <v>45772</v>
      </c>
      <c r="E489" s="1" t="n">
        <v>46219</v>
      </c>
      <c r="F489" t="inlineStr">
        <is>
          <t>STOCKHOLMS LÄN</t>
        </is>
      </c>
      <c r="G489" t="inlineStr">
        <is>
          <t>NORRTÄLJE</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21732-2023</t>
        </is>
      </c>
      <c r="B490" t="inlineStr">
        <is>
          <t>avverkningsanmälan</t>
        </is>
      </c>
      <c r="C490" t="inlineStr">
        <is>
          <t>Föryngringsavverkning</t>
        </is>
      </c>
      <c r="D490" s="1" t="n">
        <v>45063</v>
      </c>
      <c r="E490" s="1" t="n">
        <v>46219</v>
      </c>
      <c r="F490" t="inlineStr">
        <is>
          <t>STOCKHOLMS LÄN</t>
        </is>
      </c>
      <c r="G490" t="inlineStr">
        <is>
          <t>NORRTÄLJE</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43269-2025</t>
        </is>
      </c>
      <c r="B491" t="inlineStr">
        <is>
          <t>avverkningsanmälan</t>
        </is>
      </c>
      <c r="C491" t="inlineStr">
        <is>
          <t>Föryngringsavverkning</t>
        </is>
      </c>
      <c r="D491" s="1" t="n">
        <v>45910</v>
      </c>
      <c r="E491" s="1" t="n">
        <v>46219</v>
      </c>
      <c r="F491" t="inlineStr">
        <is>
          <t>STOCKHOLMS LÄN</t>
        </is>
      </c>
      <c r="G491" t="inlineStr">
        <is>
          <t>NORRTÄLJE</t>
        </is>
      </c>
      <c r="I491" t="n">
        <v>3.7</v>
      </c>
      <c r="J491" t="n">
        <v>0</v>
      </c>
      <c r="K491" t="n">
        <v>0</v>
      </c>
      <c r="L491" t="n">
        <v>0</v>
      </c>
      <c r="M491" t="n">
        <v>0</v>
      </c>
      <c r="N491" t="n">
        <v>0</v>
      </c>
      <c r="O491" t="n">
        <v>0</v>
      </c>
      <c r="P491" t="n">
        <v>0</v>
      </c>
      <c r="Q491" t="n">
        <v>0</v>
      </c>
      <c r="R491" t="n">
        <v>0</v>
      </c>
      <c r="S491" t="n">
        <v>0</v>
      </c>
      <c r="T491" t="n">
        <v>0</v>
      </c>
      <c r="U491" s="2" t="inlineStr"/>
    </row>
    <row r="492" ht="15" customHeight="1">
      <c r="A492" t="inlineStr">
        <is>
          <t>A 37085-2021</t>
        </is>
      </c>
      <c r="B492" t="inlineStr">
        <is>
          <t>avverkningsanmälan</t>
        </is>
      </c>
      <c r="C492" t="inlineStr">
        <is>
          <t>Föryngringsavverkning</t>
        </is>
      </c>
      <c r="D492" s="1" t="n">
        <v>44395</v>
      </c>
      <c r="E492" s="1" t="n">
        <v>46219</v>
      </c>
      <c r="F492" t="inlineStr">
        <is>
          <t>STOCKHOLMS LÄN</t>
        </is>
      </c>
      <c r="G492" t="inlineStr">
        <is>
          <t>NORRTÄLJE</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37444-2021</t>
        </is>
      </c>
      <c r="B493" t="inlineStr">
        <is>
          <t>avverkningsanmälan</t>
        </is>
      </c>
      <c r="C493" t="inlineStr">
        <is>
          <t>Föryngringsavverkning</t>
        </is>
      </c>
      <c r="D493" s="1" t="n">
        <v>44398</v>
      </c>
      <c r="E493" s="1" t="n">
        <v>46219</v>
      </c>
      <c r="F493" t="inlineStr">
        <is>
          <t>STOCKHOLMS LÄN</t>
        </is>
      </c>
      <c r="G493" t="inlineStr">
        <is>
          <t>NORRTÄLJE</t>
        </is>
      </c>
      <c r="H493" t="inlineStr">
        <is>
          <t>Holmen skog AB</t>
        </is>
      </c>
      <c r="I493" t="n">
        <v>3.2</v>
      </c>
      <c r="J493" t="n">
        <v>0</v>
      </c>
      <c r="K493" t="n">
        <v>0</v>
      </c>
      <c r="L493" t="n">
        <v>0</v>
      </c>
      <c r="M493" t="n">
        <v>0</v>
      </c>
      <c r="N493" t="n">
        <v>0</v>
      </c>
      <c r="O493" t="n">
        <v>0</v>
      </c>
      <c r="P493" t="n">
        <v>0</v>
      </c>
      <c r="Q493" t="n">
        <v>0</v>
      </c>
      <c r="R493" t="n">
        <v>0</v>
      </c>
      <c r="S493" t="n">
        <v>0</v>
      </c>
      <c r="T493" t="n">
        <v>0</v>
      </c>
      <c r="U493" s="2" t="inlineStr"/>
    </row>
    <row r="494" ht="15" customHeight="1">
      <c r="A494" t="inlineStr">
        <is>
          <t>A 20304-2023</t>
        </is>
      </c>
      <c r="B494" t="inlineStr">
        <is>
          <t>avverkningsanmälan</t>
        </is>
      </c>
      <c r="C494" t="inlineStr">
        <is>
          <t>Föryngringsavverkning</t>
        </is>
      </c>
      <c r="D494" s="1" t="n">
        <v>45056</v>
      </c>
      <c r="E494" s="1" t="n">
        <v>46219</v>
      </c>
      <c r="F494" t="inlineStr">
        <is>
          <t>STOCKHOLMS LÄN</t>
        </is>
      </c>
      <c r="G494" t="inlineStr">
        <is>
          <t>NORRTÄLJE</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30719-2025</t>
        </is>
      </c>
      <c r="B495" t="inlineStr">
        <is>
          <t>avverkningsanmälan</t>
        </is>
      </c>
      <c r="C495" t="inlineStr">
        <is>
          <t>Föryngringsavverkning</t>
        </is>
      </c>
      <c r="D495" s="1" t="n">
        <v>45831</v>
      </c>
      <c r="E495" s="1" t="n">
        <v>46219</v>
      </c>
      <c r="F495" t="inlineStr">
        <is>
          <t>STOCKHOLMS LÄN</t>
        </is>
      </c>
      <c r="G495" t="inlineStr">
        <is>
          <t>NORRTÄLJE</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46988-2024</t>
        </is>
      </c>
      <c r="B496" t="inlineStr">
        <is>
          <t>avverkningsanmälan</t>
        </is>
      </c>
      <c r="C496" t="inlineStr">
        <is>
          <t>Föryngringsavverkning</t>
        </is>
      </c>
      <c r="D496" s="1" t="n">
        <v>45586</v>
      </c>
      <c r="E496" s="1" t="n">
        <v>46219</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45173-2023</t>
        </is>
      </c>
      <c r="B497" t="inlineStr">
        <is>
          <t>avverkningsanmälan</t>
        </is>
      </c>
      <c r="C497" t="inlineStr">
        <is>
          <t>Föryngringsavverkning</t>
        </is>
      </c>
      <c r="D497" s="1" t="n">
        <v>45191</v>
      </c>
      <c r="E497" s="1" t="n">
        <v>46219</v>
      </c>
      <c r="F497" t="inlineStr">
        <is>
          <t>STOCKHOLMS LÄN</t>
        </is>
      </c>
      <c r="G497" t="inlineStr">
        <is>
          <t>NORRTÄLJE</t>
        </is>
      </c>
      <c r="H497" t="inlineStr">
        <is>
          <t>Sveaskog</t>
        </is>
      </c>
      <c r="I497" t="n">
        <v>3.6</v>
      </c>
      <c r="J497" t="n">
        <v>0</v>
      </c>
      <c r="K497" t="n">
        <v>0</v>
      </c>
      <c r="L497" t="n">
        <v>0</v>
      </c>
      <c r="M497" t="n">
        <v>0</v>
      </c>
      <c r="N497" t="n">
        <v>0</v>
      </c>
      <c r="O497" t="n">
        <v>0</v>
      </c>
      <c r="P497" t="n">
        <v>0</v>
      </c>
      <c r="Q497" t="n">
        <v>0</v>
      </c>
      <c r="R497" t="n">
        <v>0</v>
      </c>
      <c r="S497" t="n">
        <v>0</v>
      </c>
      <c r="T497" t="n">
        <v>0</v>
      </c>
      <c r="U497" s="2" t="inlineStr"/>
    </row>
    <row r="498" ht="15" customHeight="1">
      <c r="A498" t="inlineStr">
        <is>
          <t>A 35235-2024</t>
        </is>
      </c>
      <c r="B498" t="inlineStr">
        <is>
          <t>avverkningsanmälan</t>
        </is>
      </c>
      <c r="C498" t="inlineStr">
        <is>
          <t>Föryngringsavverkning</t>
        </is>
      </c>
      <c r="D498" s="1" t="n">
        <v>45530</v>
      </c>
      <c r="E498" s="1" t="n">
        <v>46219</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64137-2021</t>
        </is>
      </c>
      <c r="B499" t="inlineStr">
        <is>
          <t>avverkningsanmälan</t>
        </is>
      </c>
      <c r="C499" t="inlineStr">
        <is>
          <t>Föryngringsavverkning</t>
        </is>
      </c>
      <c r="D499" s="1" t="n">
        <v>44510</v>
      </c>
      <c r="E499" s="1" t="n">
        <v>46219</v>
      </c>
      <c r="F499" t="inlineStr">
        <is>
          <t>STOCKHOLMS LÄN</t>
        </is>
      </c>
      <c r="G499" t="inlineStr">
        <is>
          <t>NORRTÄLJE</t>
        </is>
      </c>
      <c r="H499" t="inlineStr">
        <is>
          <t>Holmen skog AB</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38720-2022</t>
        </is>
      </c>
      <c r="B500" t="inlineStr">
        <is>
          <t>avverkningsanmälan</t>
        </is>
      </c>
      <c r="C500" t="inlineStr">
        <is>
          <t>Föryngringsavverkning</t>
        </is>
      </c>
      <c r="D500" s="1" t="n">
        <v>44815</v>
      </c>
      <c r="E500" s="1" t="n">
        <v>46219</v>
      </c>
      <c r="F500" t="inlineStr">
        <is>
          <t>STOCKHOLMS LÄN</t>
        </is>
      </c>
      <c r="G500" t="inlineStr">
        <is>
          <t>NORRTÄLJE</t>
        </is>
      </c>
      <c r="I500" t="n">
        <v>2.5</v>
      </c>
      <c r="J500" t="n">
        <v>0</v>
      </c>
      <c r="K500" t="n">
        <v>0</v>
      </c>
      <c r="L500" t="n">
        <v>0</v>
      </c>
      <c r="M500" t="n">
        <v>0</v>
      </c>
      <c r="N500" t="n">
        <v>0</v>
      </c>
      <c r="O500" t="n">
        <v>0</v>
      </c>
      <c r="P500" t="n">
        <v>0</v>
      </c>
      <c r="Q500" t="n">
        <v>0</v>
      </c>
      <c r="R500" t="n">
        <v>0</v>
      </c>
      <c r="S500" t="n">
        <v>0</v>
      </c>
      <c r="T500" t="n">
        <v>0</v>
      </c>
      <c r="U500" s="2" t="inlineStr"/>
    </row>
    <row r="501" ht="15" customHeight="1">
      <c r="A501" t="inlineStr">
        <is>
          <t>A 71552-2021</t>
        </is>
      </c>
      <c r="B501" t="inlineStr">
        <is>
          <t>avverkningsanmälan</t>
        </is>
      </c>
      <c r="C501" t="inlineStr">
        <is>
          <t>Föryngringsavverkning</t>
        </is>
      </c>
      <c r="D501" s="1" t="n">
        <v>44540</v>
      </c>
      <c r="E501" s="1" t="n">
        <v>46219</v>
      </c>
      <c r="F501" t="inlineStr">
        <is>
          <t>STOCKHOLMS LÄN</t>
        </is>
      </c>
      <c r="G501" t="inlineStr">
        <is>
          <t>NORRTÄLJE</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19911-2025</t>
        </is>
      </c>
      <c r="B502" t="inlineStr">
        <is>
          <t>avverkningsanmälan</t>
        </is>
      </c>
      <c r="C502" t="inlineStr">
        <is>
          <t>Avverkning för annat ändamål</t>
        </is>
      </c>
      <c r="D502" s="1" t="n">
        <v>45771</v>
      </c>
      <c r="E502" s="1" t="n">
        <v>46219</v>
      </c>
      <c r="F502" t="inlineStr">
        <is>
          <t>STOCKHOLMS LÄN</t>
        </is>
      </c>
      <c r="G502" t="inlineStr">
        <is>
          <t>NORRTÄLJE</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44937-2025</t>
        </is>
      </c>
      <c r="B503" t="inlineStr">
        <is>
          <t>avverkningsanmälan</t>
        </is>
      </c>
      <c r="C503" t="inlineStr">
        <is>
          <t>Föryngringsavverkning</t>
        </is>
      </c>
      <c r="D503" s="1" t="n">
        <v>45918</v>
      </c>
      <c r="E503" s="1" t="n">
        <v>46219</v>
      </c>
      <c r="F503" t="inlineStr">
        <is>
          <t>STOCKHOLMS LÄN</t>
        </is>
      </c>
      <c r="G503" t="inlineStr">
        <is>
          <t>NORRTÄLJE</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17382-2024</t>
        </is>
      </c>
      <c r="B504" t="inlineStr">
        <is>
          <t>avverkningsanmälan</t>
        </is>
      </c>
      <c r="C504" t="inlineStr">
        <is>
          <t>Föryngringsavverkning</t>
        </is>
      </c>
      <c r="D504" s="1" t="n">
        <v>45414</v>
      </c>
      <c r="E504" s="1" t="n">
        <v>46219</v>
      </c>
      <c r="F504" t="inlineStr">
        <is>
          <t>STOCKHOLMS LÄN</t>
        </is>
      </c>
      <c r="G504" t="inlineStr">
        <is>
          <t>NORRTÄLJE</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25557-2023</t>
        </is>
      </c>
      <c r="B505" t="inlineStr">
        <is>
          <t>avverkningsanmälan</t>
        </is>
      </c>
      <c r="C505" t="inlineStr">
        <is>
          <t>Föryngringsavverkning</t>
        </is>
      </c>
      <c r="D505" s="1" t="n">
        <v>45089</v>
      </c>
      <c r="E505" s="1" t="n">
        <v>46219</v>
      </c>
      <c r="F505" t="inlineStr">
        <is>
          <t>STOCKHOLMS LÄN</t>
        </is>
      </c>
      <c r="G505" t="inlineStr">
        <is>
          <t>NORRTÄLJE</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22359-2025</t>
        </is>
      </c>
      <c r="B506" t="inlineStr">
        <is>
          <t>avverkningsanmälan</t>
        </is>
      </c>
      <c r="C506" t="inlineStr">
        <is>
          <t>Avverkning för att bevara och utveckla /försöksver</t>
        </is>
      </c>
      <c r="D506" s="1" t="n">
        <v>45786</v>
      </c>
      <c r="E506" s="1" t="n">
        <v>46219</v>
      </c>
      <c r="F506" t="inlineStr">
        <is>
          <t>STOCKHOLMS LÄN</t>
        </is>
      </c>
      <c r="G506" t="inlineStr">
        <is>
          <t>NORRTÄLJE</t>
        </is>
      </c>
      <c r="I506" t="n">
        <v>5</v>
      </c>
      <c r="J506" t="n">
        <v>0</v>
      </c>
      <c r="K506" t="n">
        <v>0</v>
      </c>
      <c r="L506" t="n">
        <v>0</v>
      </c>
      <c r="M506" t="n">
        <v>0</v>
      </c>
      <c r="N506" t="n">
        <v>0</v>
      </c>
      <c r="O506" t="n">
        <v>0</v>
      </c>
      <c r="P506" t="n">
        <v>0</v>
      </c>
      <c r="Q506" t="n">
        <v>0</v>
      </c>
      <c r="R506" t="n">
        <v>0</v>
      </c>
      <c r="S506" t="n">
        <v>0</v>
      </c>
      <c r="T506" t="n">
        <v>0</v>
      </c>
      <c r="U506" s="2" t="inlineStr"/>
    </row>
    <row r="507" ht="15" customHeight="1">
      <c r="A507" t="inlineStr">
        <is>
          <t>A 51061-2023</t>
        </is>
      </c>
      <c r="B507" t="inlineStr">
        <is>
          <t>avverkningsanmälan</t>
        </is>
      </c>
      <c r="C507" t="inlineStr">
        <is>
          <t>Föryngringsavverkning</t>
        </is>
      </c>
      <c r="D507" s="1" t="n">
        <v>45218</v>
      </c>
      <c r="E507" s="1" t="n">
        <v>46219</v>
      </c>
      <c r="F507" t="inlineStr">
        <is>
          <t>STOCKHOLMS LÄN</t>
        </is>
      </c>
      <c r="G507" t="inlineStr">
        <is>
          <t>NORRTÄLJE</t>
        </is>
      </c>
      <c r="I507" t="n">
        <v>8.699999999999999</v>
      </c>
      <c r="J507" t="n">
        <v>0</v>
      </c>
      <c r="K507" t="n">
        <v>0</v>
      </c>
      <c r="L507" t="n">
        <v>0</v>
      </c>
      <c r="M507" t="n">
        <v>0</v>
      </c>
      <c r="N507" t="n">
        <v>0</v>
      </c>
      <c r="O507" t="n">
        <v>0</v>
      </c>
      <c r="P507" t="n">
        <v>0</v>
      </c>
      <c r="Q507" t="n">
        <v>0</v>
      </c>
      <c r="R507" t="n">
        <v>0</v>
      </c>
      <c r="S507" t="n">
        <v>0</v>
      </c>
      <c r="T507" t="n">
        <v>0</v>
      </c>
      <c r="U507" s="2" t="inlineStr"/>
    </row>
    <row r="508" ht="15" customHeight="1">
      <c r="A508" t="inlineStr">
        <is>
          <t>A 12532-2025</t>
        </is>
      </c>
      <c r="B508" t="inlineStr">
        <is>
          <t>avverkningsanmälan</t>
        </is>
      </c>
      <c r="C508" t="inlineStr">
        <is>
          <t>Föryngringsavverkning</t>
        </is>
      </c>
      <c r="D508" s="1" t="n">
        <v>45730</v>
      </c>
      <c r="E508" s="1" t="n">
        <v>46219</v>
      </c>
      <c r="F508" t="inlineStr">
        <is>
          <t>STOCKHOLMS LÄN</t>
        </is>
      </c>
      <c r="G508" t="inlineStr">
        <is>
          <t>NORRTÄLJE</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39213-2022</t>
        </is>
      </c>
      <c r="B509" t="inlineStr">
        <is>
          <t>avverkningsanmälan</t>
        </is>
      </c>
      <c r="C509" t="inlineStr">
        <is>
          <t>Föryngringsavverkning</t>
        </is>
      </c>
      <c r="D509" s="1" t="n">
        <v>44817</v>
      </c>
      <c r="E509" s="1" t="n">
        <v>46219</v>
      </c>
      <c r="F509" t="inlineStr">
        <is>
          <t>STOCKHOLMS LÄN</t>
        </is>
      </c>
      <c r="G509" t="inlineStr">
        <is>
          <t>NORRTÄLJE</t>
        </is>
      </c>
      <c r="I509" t="n">
        <v>3.4</v>
      </c>
      <c r="J509" t="n">
        <v>0</v>
      </c>
      <c r="K509" t="n">
        <v>0</v>
      </c>
      <c r="L509" t="n">
        <v>0</v>
      </c>
      <c r="M509" t="n">
        <v>0</v>
      </c>
      <c r="N509" t="n">
        <v>0</v>
      </c>
      <c r="O509" t="n">
        <v>0</v>
      </c>
      <c r="P509" t="n">
        <v>0</v>
      </c>
      <c r="Q509" t="n">
        <v>0</v>
      </c>
      <c r="R509" t="n">
        <v>0</v>
      </c>
      <c r="S509" t="n">
        <v>0</v>
      </c>
      <c r="T509" t="n">
        <v>0</v>
      </c>
      <c r="U509" s="2" t="inlineStr"/>
    </row>
    <row r="510" ht="15" customHeight="1">
      <c r="A510" t="inlineStr">
        <is>
          <t>A 60525-2022</t>
        </is>
      </c>
      <c r="B510" t="inlineStr">
        <is>
          <t>avverkningsanmälan</t>
        </is>
      </c>
      <c r="C510" t="inlineStr">
        <is>
          <t>Föryngringsavverkning</t>
        </is>
      </c>
      <c r="D510" s="1" t="n">
        <v>44904</v>
      </c>
      <c r="E510" s="1" t="n">
        <v>46219</v>
      </c>
      <c r="F510" t="inlineStr">
        <is>
          <t>STOCKHOLMS LÄN</t>
        </is>
      </c>
      <c r="G510" t="inlineStr">
        <is>
          <t>NORRTÄLJE</t>
        </is>
      </c>
      <c r="I510" t="n">
        <v>13.4</v>
      </c>
      <c r="J510" t="n">
        <v>0</v>
      </c>
      <c r="K510" t="n">
        <v>0</v>
      </c>
      <c r="L510" t="n">
        <v>0</v>
      </c>
      <c r="M510" t="n">
        <v>0</v>
      </c>
      <c r="N510" t="n">
        <v>0</v>
      </c>
      <c r="O510" t="n">
        <v>0</v>
      </c>
      <c r="P510" t="n">
        <v>0</v>
      </c>
      <c r="Q510" t="n">
        <v>0</v>
      </c>
      <c r="R510" t="n">
        <v>0</v>
      </c>
      <c r="S510" t="n">
        <v>0</v>
      </c>
      <c r="T510" t="n">
        <v>0</v>
      </c>
      <c r="U510" s="2" t="inlineStr"/>
    </row>
    <row r="511" ht="15" customHeight="1">
      <c r="A511" t="inlineStr">
        <is>
          <t>A 40175-2024</t>
        </is>
      </c>
      <c r="B511" t="inlineStr">
        <is>
          <t>avverkningsanmälan</t>
        </is>
      </c>
      <c r="C511" t="inlineStr">
        <is>
          <t>Föryngringsavverkning</t>
        </is>
      </c>
      <c r="D511" s="1" t="n">
        <v>45554</v>
      </c>
      <c r="E511" s="1" t="n">
        <v>46219</v>
      </c>
      <c r="F511" t="inlineStr">
        <is>
          <t>STOCKHOLMS LÄN</t>
        </is>
      </c>
      <c r="G511" t="inlineStr">
        <is>
          <t>NORRTÄLJE</t>
        </is>
      </c>
      <c r="I511" t="n">
        <v>7.7</v>
      </c>
      <c r="J511" t="n">
        <v>0</v>
      </c>
      <c r="K511" t="n">
        <v>0</v>
      </c>
      <c r="L511" t="n">
        <v>0</v>
      </c>
      <c r="M511" t="n">
        <v>0</v>
      </c>
      <c r="N511" t="n">
        <v>0</v>
      </c>
      <c r="O511" t="n">
        <v>0</v>
      </c>
      <c r="P511" t="n">
        <v>0</v>
      </c>
      <c r="Q511" t="n">
        <v>0</v>
      </c>
      <c r="R511" t="n">
        <v>0</v>
      </c>
      <c r="S511" t="n">
        <v>0</v>
      </c>
      <c r="T511" t="n">
        <v>0</v>
      </c>
      <c r="U511" s="2" t="inlineStr"/>
    </row>
    <row r="512" ht="15" customHeight="1">
      <c r="A512" t="inlineStr">
        <is>
          <t>A 16229-2022</t>
        </is>
      </c>
      <c r="B512" t="inlineStr">
        <is>
          <t>avverkningsanmälan</t>
        </is>
      </c>
      <c r="C512" t="inlineStr">
        <is>
          <t>Föryngringsavverkning</t>
        </is>
      </c>
      <c r="D512" s="1" t="n">
        <v>44670</v>
      </c>
      <c r="E512" s="1" t="n">
        <v>46219</v>
      </c>
      <c r="F512" t="inlineStr">
        <is>
          <t>STOCKHOLMS LÄN</t>
        </is>
      </c>
      <c r="G512" t="inlineStr">
        <is>
          <t>NORRTÄLJE</t>
        </is>
      </c>
      <c r="I512" t="n">
        <v>7.4</v>
      </c>
      <c r="J512" t="n">
        <v>0</v>
      </c>
      <c r="K512" t="n">
        <v>0</v>
      </c>
      <c r="L512" t="n">
        <v>0</v>
      </c>
      <c r="M512" t="n">
        <v>0</v>
      </c>
      <c r="N512" t="n">
        <v>0</v>
      </c>
      <c r="O512" t="n">
        <v>0</v>
      </c>
      <c r="P512" t="n">
        <v>0</v>
      </c>
      <c r="Q512" t="n">
        <v>0</v>
      </c>
      <c r="R512" t="n">
        <v>0</v>
      </c>
      <c r="S512" t="n">
        <v>0</v>
      </c>
      <c r="T512" t="n">
        <v>0</v>
      </c>
      <c r="U512" s="2" t="inlineStr"/>
    </row>
    <row r="513" ht="15" customHeight="1">
      <c r="A513" t="inlineStr">
        <is>
          <t>A 58302-2022</t>
        </is>
      </c>
      <c r="B513" t="inlineStr">
        <is>
          <t>avverkningsanmälan</t>
        </is>
      </c>
      <c r="C513" t="inlineStr">
        <is>
          <t>Föryngringsavverkning</t>
        </is>
      </c>
      <c r="D513" s="1" t="n">
        <v>44901</v>
      </c>
      <c r="E513" s="1" t="n">
        <v>46219</v>
      </c>
      <c r="F513" t="inlineStr">
        <is>
          <t>STOCKHOLMS LÄN</t>
        </is>
      </c>
      <c r="G513" t="inlineStr">
        <is>
          <t>NORRTÄLJE</t>
        </is>
      </c>
      <c r="I513" t="n">
        <v>3.9</v>
      </c>
      <c r="J513" t="n">
        <v>0</v>
      </c>
      <c r="K513" t="n">
        <v>0</v>
      </c>
      <c r="L513" t="n">
        <v>0</v>
      </c>
      <c r="M513" t="n">
        <v>0</v>
      </c>
      <c r="N513" t="n">
        <v>0</v>
      </c>
      <c r="O513" t="n">
        <v>0</v>
      </c>
      <c r="P513" t="n">
        <v>0</v>
      </c>
      <c r="Q513" t="n">
        <v>0</v>
      </c>
      <c r="R513" t="n">
        <v>0</v>
      </c>
      <c r="S513" t="n">
        <v>0</v>
      </c>
      <c r="T513" t="n">
        <v>0</v>
      </c>
      <c r="U513" s="2" t="inlineStr"/>
    </row>
    <row r="514" ht="15" customHeight="1">
      <c r="A514" t="inlineStr">
        <is>
          <t>A 46914-2022</t>
        </is>
      </c>
      <c r="B514" t="inlineStr">
        <is>
          <t>avverkningsanmälan</t>
        </is>
      </c>
      <c r="C514" t="inlineStr">
        <is>
          <t>Föryngringsavverkning</t>
        </is>
      </c>
      <c r="D514" s="1" t="n">
        <v>44851</v>
      </c>
      <c r="E514" s="1" t="n">
        <v>46219</v>
      </c>
      <c r="F514" t="inlineStr">
        <is>
          <t>STOCKHOLMS LÄN</t>
        </is>
      </c>
      <c r="G514" t="inlineStr">
        <is>
          <t>NORRTÄLJE</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45697-2025</t>
        </is>
      </c>
      <c r="B515" t="inlineStr">
        <is>
          <t>avverkningsanmälan</t>
        </is>
      </c>
      <c r="C515" t="inlineStr">
        <is>
          <t>Föryngringsavverkning</t>
        </is>
      </c>
      <c r="D515" s="1" t="n">
        <v>45923</v>
      </c>
      <c r="E515" s="1" t="n">
        <v>46219</v>
      </c>
      <c r="F515" t="inlineStr">
        <is>
          <t>STOCKHOLMS LÄN</t>
        </is>
      </c>
      <c r="G515" t="inlineStr">
        <is>
          <t>NORRTÄLJE</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35256-2025</t>
        </is>
      </c>
      <c r="B516" t="inlineStr">
        <is>
          <t>avverkningsanmälan</t>
        </is>
      </c>
      <c r="C516" t="inlineStr">
        <is>
          <t>Föryngringsavverkning</t>
        </is>
      </c>
      <c r="D516" s="1" t="n">
        <v>45853</v>
      </c>
      <c r="E516" s="1" t="n">
        <v>46219</v>
      </c>
      <c r="F516" t="inlineStr">
        <is>
          <t>STOCKHOLMS LÄN</t>
        </is>
      </c>
      <c r="G516" t="inlineStr">
        <is>
          <t>NORRTÄLJE</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23269-2023</t>
        </is>
      </c>
      <c r="B517" t="inlineStr">
        <is>
          <t>avverkningsanmälan</t>
        </is>
      </c>
      <c r="C517" t="inlineStr">
        <is>
          <t>Föryngringsavverkning</t>
        </is>
      </c>
      <c r="D517" s="1" t="n">
        <v>45075</v>
      </c>
      <c r="E517" s="1" t="n">
        <v>46219</v>
      </c>
      <c r="F517" t="inlineStr">
        <is>
          <t>STOCKHOLMS LÄN</t>
        </is>
      </c>
      <c r="G517" t="inlineStr">
        <is>
          <t>NORRTÄLJE</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23060-2023</t>
        </is>
      </c>
      <c r="B518" t="inlineStr">
        <is>
          <t>avverkningsanmälan</t>
        </is>
      </c>
      <c r="C518" t="inlineStr">
        <is>
          <t>Föryngringsavverkning</t>
        </is>
      </c>
      <c r="D518" s="1" t="n">
        <v>45075</v>
      </c>
      <c r="E518" s="1" t="n">
        <v>46219</v>
      </c>
      <c r="F518" t="inlineStr">
        <is>
          <t>STOCKHOLMS LÄN</t>
        </is>
      </c>
      <c r="G518" t="inlineStr">
        <is>
          <t>NORRTÄLJE</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20015-2023</t>
        </is>
      </c>
      <c r="B519" t="inlineStr">
        <is>
          <t>avverkningsanmälan</t>
        </is>
      </c>
      <c r="C519" t="inlineStr">
        <is>
          <t>Föryngringsavverkning</t>
        </is>
      </c>
      <c r="D519" s="1" t="n">
        <v>45054</v>
      </c>
      <c r="E519" s="1" t="n">
        <v>46219</v>
      </c>
      <c r="F519" t="inlineStr">
        <is>
          <t>STOCKHOLMS LÄN</t>
        </is>
      </c>
      <c r="G519" t="inlineStr">
        <is>
          <t>NORRTÄLJE</t>
        </is>
      </c>
      <c r="I519" t="n">
        <v>8.300000000000001</v>
      </c>
      <c r="J519" t="n">
        <v>0</v>
      </c>
      <c r="K519" t="n">
        <v>0</v>
      </c>
      <c r="L519" t="n">
        <v>0</v>
      </c>
      <c r="M519" t="n">
        <v>0</v>
      </c>
      <c r="N519" t="n">
        <v>0</v>
      </c>
      <c r="O519" t="n">
        <v>0</v>
      </c>
      <c r="P519" t="n">
        <v>0</v>
      </c>
      <c r="Q519" t="n">
        <v>0</v>
      </c>
      <c r="R519" t="n">
        <v>0</v>
      </c>
      <c r="S519" t="n">
        <v>0</v>
      </c>
      <c r="T519" t="n">
        <v>0</v>
      </c>
      <c r="U519" s="2" t="inlineStr"/>
    </row>
    <row r="520" ht="15" customHeight="1">
      <c r="A520" t="inlineStr">
        <is>
          <t>A 15905-2023</t>
        </is>
      </c>
      <c r="B520" t="inlineStr">
        <is>
          <t>avverkningsanmälan</t>
        </is>
      </c>
      <c r="C520" t="inlineStr">
        <is>
          <t>Föryngringsavverkning</t>
        </is>
      </c>
      <c r="D520" s="1" t="n">
        <v>45022</v>
      </c>
      <c r="E520" s="1" t="n">
        <v>46219</v>
      </c>
      <c r="F520" t="inlineStr">
        <is>
          <t>STOCKHOLMS LÄN</t>
        </is>
      </c>
      <c r="G520" t="inlineStr">
        <is>
          <t>NORRTÄLJE</t>
        </is>
      </c>
      <c r="I520" t="n">
        <v>3.2</v>
      </c>
      <c r="J520" t="n">
        <v>0</v>
      </c>
      <c r="K520" t="n">
        <v>0</v>
      </c>
      <c r="L520" t="n">
        <v>0</v>
      </c>
      <c r="M520" t="n">
        <v>0</v>
      </c>
      <c r="N520" t="n">
        <v>0</v>
      </c>
      <c r="O520" t="n">
        <v>0</v>
      </c>
      <c r="P520" t="n">
        <v>0</v>
      </c>
      <c r="Q520" t="n">
        <v>0</v>
      </c>
      <c r="R520" t="n">
        <v>0</v>
      </c>
      <c r="S520" t="n">
        <v>0</v>
      </c>
      <c r="T520" t="n">
        <v>0</v>
      </c>
      <c r="U520" s="2" t="inlineStr"/>
    </row>
    <row r="521" ht="15" customHeight="1">
      <c r="A521" t="inlineStr">
        <is>
          <t>A 52743-2024</t>
        </is>
      </c>
      <c r="B521" t="inlineStr">
        <is>
          <t>avverkningsanmälan</t>
        </is>
      </c>
      <c r="C521" t="inlineStr">
        <is>
          <t>Föryngringsavverkning</t>
        </is>
      </c>
      <c r="D521" s="1" t="n">
        <v>45610</v>
      </c>
      <c r="E521" s="1" t="n">
        <v>46219</v>
      </c>
      <c r="F521" t="inlineStr">
        <is>
          <t>STOCKHOLMS LÄN</t>
        </is>
      </c>
      <c r="G521" t="inlineStr">
        <is>
          <t>NORRTÄLJE</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5027-2025</t>
        </is>
      </c>
      <c r="B522" t="inlineStr">
        <is>
          <t>avverkningsanmälan</t>
        </is>
      </c>
      <c r="C522" t="inlineStr">
        <is>
          <t>Föryngringsavverkning</t>
        </is>
      </c>
      <c r="D522" s="1" t="n">
        <v>45691</v>
      </c>
      <c r="E522" s="1" t="n">
        <v>46219</v>
      </c>
      <c r="F522" t="inlineStr">
        <is>
          <t>STOCKHOLMS LÄN</t>
        </is>
      </c>
      <c r="G522" t="inlineStr">
        <is>
          <t>NORRTÄLJE</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11499-2023</t>
        </is>
      </c>
      <c r="B523" t="inlineStr">
        <is>
          <t>avverkningsanmälan</t>
        </is>
      </c>
      <c r="C523" t="inlineStr">
        <is>
          <t>Föryngringsavverkning</t>
        </is>
      </c>
      <c r="D523" s="1" t="n">
        <v>44993</v>
      </c>
      <c r="E523" s="1" t="n">
        <v>46219</v>
      </c>
      <c r="F523" t="inlineStr">
        <is>
          <t>STOCKHOLMS LÄN</t>
        </is>
      </c>
      <c r="G523" t="inlineStr">
        <is>
          <t>NORRTÄLJE</t>
        </is>
      </c>
      <c r="H523" t="inlineStr">
        <is>
          <t>Holmen skog AB</t>
        </is>
      </c>
      <c r="I523" t="n">
        <v>2.8</v>
      </c>
      <c r="J523" t="n">
        <v>0</v>
      </c>
      <c r="K523" t="n">
        <v>0</v>
      </c>
      <c r="L523" t="n">
        <v>0</v>
      </c>
      <c r="M523" t="n">
        <v>0</v>
      </c>
      <c r="N523" t="n">
        <v>0</v>
      </c>
      <c r="O523" t="n">
        <v>0</v>
      </c>
      <c r="P523" t="n">
        <v>0</v>
      </c>
      <c r="Q523" t="n">
        <v>0</v>
      </c>
      <c r="R523" t="n">
        <v>0</v>
      </c>
      <c r="S523" t="n">
        <v>0</v>
      </c>
      <c r="T523" t="n">
        <v>0</v>
      </c>
      <c r="U523" s="2" t="inlineStr"/>
    </row>
    <row r="524" ht="15" customHeight="1">
      <c r="A524" t="inlineStr">
        <is>
          <t>A 35640-2024</t>
        </is>
      </c>
      <c r="B524" t="inlineStr">
        <is>
          <t>avverkningsanmälan</t>
        </is>
      </c>
      <c r="C524" t="inlineStr">
        <is>
          <t>Föryngringsavverkning</t>
        </is>
      </c>
      <c r="D524" s="1" t="n">
        <v>45531</v>
      </c>
      <c r="E524" s="1" t="n">
        <v>46219</v>
      </c>
      <c r="F524" t="inlineStr">
        <is>
          <t>STOCKHOLMS LÄN</t>
        </is>
      </c>
      <c r="G524" t="inlineStr">
        <is>
          <t>NORRTÄLJE</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67990-2021</t>
        </is>
      </c>
      <c r="B525" t="inlineStr">
        <is>
          <t>avverkningsanmälan</t>
        </is>
      </c>
      <c r="C525" t="inlineStr">
        <is>
          <t>Föryngringsavverkning</t>
        </is>
      </c>
      <c r="D525" s="1" t="n">
        <v>44525</v>
      </c>
      <c r="E525" s="1" t="n">
        <v>46219</v>
      </c>
      <c r="F525" t="inlineStr">
        <is>
          <t>STOCKHOLMS LÄN</t>
        </is>
      </c>
      <c r="G525" t="inlineStr">
        <is>
          <t>NORRTÄLJE</t>
        </is>
      </c>
      <c r="H525" t="inlineStr">
        <is>
          <t>Sveaskog</t>
        </is>
      </c>
      <c r="I525" t="n">
        <v>7.8</v>
      </c>
      <c r="J525" t="n">
        <v>0</v>
      </c>
      <c r="K525" t="n">
        <v>0</v>
      </c>
      <c r="L525" t="n">
        <v>0</v>
      </c>
      <c r="M525" t="n">
        <v>0</v>
      </c>
      <c r="N525" t="n">
        <v>0</v>
      </c>
      <c r="O525" t="n">
        <v>0</v>
      </c>
      <c r="P525" t="n">
        <v>0</v>
      </c>
      <c r="Q525" t="n">
        <v>0</v>
      </c>
      <c r="R525" t="n">
        <v>0</v>
      </c>
      <c r="S525" t="n">
        <v>0</v>
      </c>
      <c r="T525" t="n">
        <v>0</v>
      </c>
      <c r="U525" s="2" t="inlineStr"/>
    </row>
    <row r="526" ht="15" customHeight="1">
      <c r="A526" t="inlineStr">
        <is>
          <t>A 44917-2022</t>
        </is>
      </c>
      <c r="B526" t="inlineStr">
        <is>
          <t>avverkningsanmälan</t>
        </is>
      </c>
      <c r="C526" t="inlineStr">
        <is>
          <t>Föryngringsavverkning</t>
        </is>
      </c>
      <c r="D526" s="1" t="n">
        <v>44841</v>
      </c>
      <c r="E526" s="1" t="n">
        <v>46219</v>
      </c>
      <c r="F526" t="inlineStr">
        <is>
          <t>STOCKHOLMS LÄN</t>
        </is>
      </c>
      <c r="G526" t="inlineStr">
        <is>
          <t>NORRTÄLJE</t>
        </is>
      </c>
      <c r="H526" t="inlineStr">
        <is>
          <t>Holmen skog AB</t>
        </is>
      </c>
      <c r="I526" t="n">
        <v>3.3</v>
      </c>
      <c r="J526" t="n">
        <v>0</v>
      </c>
      <c r="K526" t="n">
        <v>0</v>
      </c>
      <c r="L526" t="n">
        <v>0</v>
      </c>
      <c r="M526" t="n">
        <v>0</v>
      </c>
      <c r="N526" t="n">
        <v>0</v>
      </c>
      <c r="O526" t="n">
        <v>0</v>
      </c>
      <c r="P526" t="n">
        <v>0</v>
      </c>
      <c r="Q526" t="n">
        <v>0</v>
      </c>
      <c r="R526" t="n">
        <v>0</v>
      </c>
      <c r="S526" t="n">
        <v>0</v>
      </c>
      <c r="T526" t="n">
        <v>0</v>
      </c>
      <c r="U526" s="2" t="inlineStr"/>
    </row>
    <row r="527" ht="15" customHeight="1">
      <c r="A527" t="inlineStr">
        <is>
          <t>A 47498-2025</t>
        </is>
      </c>
      <c r="B527" t="inlineStr">
        <is>
          <t>avverkningsanmälan</t>
        </is>
      </c>
      <c r="C527" t="inlineStr">
        <is>
          <t>Föryngringsavverkning</t>
        </is>
      </c>
      <c r="D527" s="1" t="n">
        <v>45930</v>
      </c>
      <c r="E527" s="1" t="n">
        <v>46219</v>
      </c>
      <c r="F527" t="inlineStr">
        <is>
          <t>STOCKHOLMS LÄN</t>
        </is>
      </c>
      <c r="G527" t="inlineStr">
        <is>
          <t>NORRTÄLJE</t>
        </is>
      </c>
      <c r="H527" t="inlineStr">
        <is>
          <t>Holmen skog AB</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47496-2025</t>
        </is>
      </c>
      <c r="B528" t="inlineStr">
        <is>
          <t>avverkningsanmälan</t>
        </is>
      </c>
      <c r="C528" t="inlineStr">
        <is>
          <t>Föryngringsavverkning</t>
        </is>
      </c>
      <c r="D528" s="1" t="n">
        <v>45930</v>
      </c>
      <c r="E528" s="1" t="n">
        <v>46219</v>
      </c>
      <c r="F528" t="inlineStr">
        <is>
          <t>STOCKHOLMS LÄN</t>
        </is>
      </c>
      <c r="G528" t="inlineStr">
        <is>
          <t>NORRTÄLJE</t>
        </is>
      </c>
      <c r="H528" t="inlineStr">
        <is>
          <t>Holmen skog AB</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47497-2025</t>
        </is>
      </c>
      <c r="B529" t="inlineStr">
        <is>
          <t>avverkningsanmälan</t>
        </is>
      </c>
      <c r="C529" t="inlineStr">
        <is>
          <t>Föryngringsavverkning</t>
        </is>
      </c>
      <c r="D529" s="1" t="n">
        <v>45930</v>
      </c>
      <c r="E529" s="1" t="n">
        <v>46219</v>
      </c>
      <c r="F529" t="inlineStr">
        <is>
          <t>STOCKHOLMS LÄN</t>
        </is>
      </c>
      <c r="G529" t="inlineStr">
        <is>
          <t>NORRTÄLJE</t>
        </is>
      </c>
      <c r="H529" t="inlineStr">
        <is>
          <t>Holmen skog AB</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33173-2024</t>
        </is>
      </c>
      <c r="B530" t="inlineStr">
        <is>
          <t>avverkningsanmälan</t>
        </is>
      </c>
      <c r="C530" t="inlineStr">
        <is>
          <t>Föryngringsavverkning</t>
        </is>
      </c>
      <c r="D530" s="1" t="n">
        <v>45518</v>
      </c>
      <c r="E530" s="1" t="n">
        <v>46219</v>
      </c>
      <c r="F530" t="inlineStr">
        <is>
          <t>STOCKHOLMS LÄN</t>
        </is>
      </c>
      <c r="G530" t="inlineStr">
        <is>
          <t>NORRTÄLJE</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48718-2025</t>
        </is>
      </c>
      <c r="B531" t="inlineStr">
        <is>
          <t>avverkningsanmälan</t>
        </is>
      </c>
      <c r="C531" t="inlineStr">
        <is>
          <t>Föryngringsavverkning</t>
        </is>
      </c>
      <c r="D531" s="1" t="n">
        <v>45936</v>
      </c>
      <c r="E531" s="1" t="n">
        <v>46219</v>
      </c>
      <c r="F531" t="inlineStr">
        <is>
          <t>STOCKHOLMS LÄN</t>
        </is>
      </c>
      <c r="G531" t="inlineStr">
        <is>
          <t>NORRTÄLJE</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54776-2023</t>
        </is>
      </c>
      <c r="B532" t="inlineStr">
        <is>
          <t>avverkningsanmälan</t>
        </is>
      </c>
      <c r="C532" t="inlineStr">
        <is>
          <t>Föryngringsavverkning</t>
        </is>
      </c>
      <c r="D532" s="1" t="n">
        <v>45236</v>
      </c>
      <c r="E532" s="1" t="n">
        <v>46219</v>
      </c>
      <c r="F532" t="inlineStr">
        <is>
          <t>STOCKHOLMS LÄN</t>
        </is>
      </c>
      <c r="G532" t="inlineStr">
        <is>
          <t>NORRTÄLJE</t>
        </is>
      </c>
      <c r="I532" t="n">
        <v>0.3</v>
      </c>
      <c r="J532" t="n">
        <v>0</v>
      </c>
      <c r="K532" t="n">
        <v>0</v>
      </c>
      <c r="L532" t="n">
        <v>0</v>
      </c>
      <c r="M532" t="n">
        <v>0</v>
      </c>
      <c r="N532" t="n">
        <v>0</v>
      </c>
      <c r="O532" t="n">
        <v>0</v>
      </c>
      <c r="P532" t="n">
        <v>0</v>
      </c>
      <c r="Q532" t="n">
        <v>0</v>
      </c>
      <c r="R532" t="n">
        <v>0</v>
      </c>
      <c r="S532" t="n">
        <v>0</v>
      </c>
      <c r="T532" t="n">
        <v>0</v>
      </c>
      <c r="U532" s="2" t="inlineStr"/>
    </row>
    <row r="533" ht="15" customHeight="1">
      <c r="A533" t="inlineStr">
        <is>
          <t>A 20144-2023</t>
        </is>
      </c>
      <c r="B533" t="inlineStr">
        <is>
          <t>avverkningsanmälan</t>
        </is>
      </c>
      <c r="C533" t="inlineStr">
        <is>
          <t>Föryngringsavverkning</t>
        </is>
      </c>
      <c r="D533" s="1" t="n">
        <v>45055</v>
      </c>
      <c r="E533" s="1" t="n">
        <v>46219</v>
      </c>
      <c r="F533" t="inlineStr">
        <is>
          <t>STOCKHOLMS LÄN</t>
        </is>
      </c>
      <c r="G533" t="inlineStr">
        <is>
          <t>NORRTÄLJE</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48443-2025</t>
        </is>
      </c>
      <c r="B534" t="inlineStr">
        <is>
          <t>avverkningsanmälan</t>
        </is>
      </c>
      <c r="C534" t="inlineStr">
        <is>
          <t>Föryngringsavverkning</t>
        </is>
      </c>
      <c r="D534" s="1" t="n">
        <v>45935</v>
      </c>
      <c r="E534" s="1" t="n">
        <v>46219</v>
      </c>
      <c r="F534" t="inlineStr">
        <is>
          <t>STOCKHOLMS LÄN</t>
        </is>
      </c>
      <c r="G534" t="inlineStr">
        <is>
          <t>NORRTÄLJE</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21696-2024</t>
        </is>
      </c>
      <c r="B535" t="inlineStr">
        <is>
          <t>avverkningsanmälan</t>
        </is>
      </c>
      <c r="C535" t="inlineStr">
        <is>
          <t>Föryngringsavverkning</t>
        </is>
      </c>
      <c r="D535" s="1" t="n">
        <v>45442</v>
      </c>
      <c r="E535" s="1" t="n">
        <v>46219</v>
      </c>
      <c r="F535" t="inlineStr">
        <is>
          <t>STOCKHOLMS LÄN</t>
        </is>
      </c>
      <c r="G535" t="inlineStr">
        <is>
          <t>NORRTÄLJE</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37136-2023</t>
        </is>
      </c>
      <c r="B536" t="inlineStr">
        <is>
          <t>avverkningsanmälan</t>
        </is>
      </c>
      <c r="C536" t="inlineStr">
        <is>
          <t>Föryngringsavverkning</t>
        </is>
      </c>
      <c r="D536" s="1" t="n">
        <v>45155</v>
      </c>
      <c r="E536" s="1" t="n">
        <v>46219</v>
      </c>
      <c r="F536" t="inlineStr">
        <is>
          <t>STOCKHOLMS LÄN</t>
        </is>
      </c>
      <c r="G536" t="inlineStr">
        <is>
          <t>NORRTÄLJE</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48364-2025</t>
        </is>
      </c>
      <c r="B537" t="inlineStr">
        <is>
          <t>avverkningsanmälan</t>
        </is>
      </c>
      <c r="C537" t="inlineStr">
        <is>
          <t>Föryngringsavverkning</t>
        </is>
      </c>
      <c r="D537" s="1" t="n">
        <v>45933</v>
      </c>
      <c r="E537" s="1" t="n">
        <v>46219</v>
      </c>
      <c r="F537" t="inlineStr">
        <is>
          <t>STOCKHOLMS LÄN</t>
        </is>
      </c>
      <c r="G537" t="inlineStr">
        <is>
          <t>NORRTÄLJE</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23056-2023</t>
        </is>
      </c>
      <c r="B538" t="inlineStr">
        <is>
          <t>avverkningsanmälan</t>
        </is>
      </c>
      <c r="C538" t="inlineStr">
        <is>
          <t>Föryngringsavverkning</t>
        </is>
      </c>
      <c r="D538" s="1" t="n">
        <v>45075</v>
      </c>
      <c r="E538" s="1" t="n">
        <v>46219</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48174-2025</t>
        </is>
      </c>
      <c r="B539" t="inlineStr">
        <is>
          <t>avverkningsanmälan</t>
        </is>
      </c>
      <c r="C539" t="inlineStr">
        <is>
          <t>Föryngringsavverkning</t>
        </is>
      </c>
      <c r="D539" s="1" t="n">
        <v>45933</v>
      </c>
      <c r="E539" s="1" t="n">
        <v>46219</v>
      </c>
      <c r="F539" t="inlineStr">
        <is>
          <t>STOCKHOLMS LÄN</t>
        </is>
      </c>
      <c r="G539" t="inlineStr">
        <is>
          <t>NORRTÄLJE</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1740-2023</t>
        </is>
      </c>
      <c r="B540" t="inlineStr">
        <is>
          <t>avverkningsanmälan</t>
        </is>
      </c>
      <c r="C540" t="inlineStr">
        <is>
          <t>Föryngringsavverkning</t>
        </is>
      </c>
      <c r="D540" s="1" t="n">
        <v>44938</v>
      </c>
      <c r="E540" s="1" t="n">
        <v>46219</v>
      </c>
      <c r="F540" t="inlineStr">
        <is>
          <t>STOCKHOLMS LÄN</t>
        </is>
      </c>
      <c r="G540" t="inlineStr">
        <is>
          <t>NORRTÄLJE</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49129-2025</t>
        </is>
      </c>
      <c r="B541" t="inlineStr">
        <is>
          <t>avverkningsanmälan</t>
        </is>
      </c>
      <c r="C541" t="inlineStr">
        <is>
          <t>Avverkning för annat ändamål</t>
        </is>
      </c>
      <c r="D541" s="1" t="n">
        <v>45937</v>
      </c>
      <c r="E541" s="1" t="n">
        <v>46219</v>
      </c>
      <c r="F541" t="inlineStr">
        <is>
          <t>STOCKHOLMS LÄN</t>
        </is>
      </c>
      <c r="G541" t="inlineStr">
        <is>
          <t>NORRTÄLJE</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17551-2025</t>
        </is>
      </c>
      <c r="B542" t="inlineStr">
        <is>
          <t>avverkningsanmälan</t>
        </is>
      </c>
      <c r="C542" t="inlineStr">
        <is>
          <t>Föryngringsavverkning</t>
        </is>
      </c>
      <c r="D542" s="1" t="n">
        <v>45757</v>
      </c>
      <c r="E542" s="1" t="n">
        <v>46219</v>
      </c>
      <c r="F542" t="inlineStr">
        <is>
          <t>STOCKHOLMS LÄN</t>
        </is>
      </c>
      <c r="G542" t="inlineStr">
        <is>
          <t>NORRTÄLJE</t>
        </is>
      </c>
      <c r="I542" t="n">
        <v>2.8</v>
      </c>
      <c r="J542" t="n">
        <v>0</v>
      </c>
      <c r="K542" t="n">
        <v>0</v>
      </c>
      <c r="L542" t="n">
        <v>0</v>
      </c>
      <c r="M542" t="n">
        <v>0</v>
      </c>
      <c r="N542" t="n">
        <v>0</v>
      </c>
      <c r="O542" t="n">
        <v>0</v>
      </c>
      <c r="P542" t="n">
        <v>0</v>
      </c>
      <c r="Q542" t="n">
        <v>0</v>
      </c>
      <c r="R542" t="n">
        <v>0</v>
      </c>
      <c r="S542" t="n">
        <v>0</v>
      </c>
      <c r="T542" t="n">
        <v>0</v>
      </c>
      <c r="U542" s="2" t="inlineStr"/>
    </row>
    <row r="543" ht="15" customHeight="1">
      <c r="A543" t="inlineStr">
        <is>
          <t>A 48780-2025</t>
        </is>
      </c>
      <c r="B543" t="inlineStr">
        <is>
          <t>avverkningsanmälan</t>
        </is>
      </c>
      <c r="C543" t="inlineStr">
        <is>
          <t>Föryngringsavverkning</t>
        </is>
      </c>
      <c r="D543" s="1" t="n">
        <v>45937</v>
      </c>
      <c r="E543" s="1" t="n">
        <v>46219</v>
      </c>
      <c r="F543" t="inlineStr">
        <is>
          <t>STOCKHOLMS LÄN</t>
        </is>
      </c>
      <c r="G543" t="inlineStr">
        <is>
          <t>NORRTÄLJE</t>
        </is>
      </c>
      <c r="I543" t="n">
        <v>7.7</v>
      </c>
      <c r="J543" t="n">
        <v>0</v>
      </c>
      <c r="K543" t="n">
        <v>0</v>
      </c>
      <c r="L543" t="n">
        <v>0</v>
      </c>
      <c r="M543" t="n">
        <v>0</v>
      </c>
      <c r="N543" t="n">
        <v>0</v>
      </c>
      <c r="O543" t="n">
        <v>0</v>
      </c>
      <c r="P543" t="n">
        <v>0</v>
      </c>
      <c r="Q543" t="n">
        <v>0</v>
      </c>
      <c r="R543" t="n">
        <v>0</v>
      </c>
      <c r="S543" t="n">
        <v>0</v>
      </c>
      <c r="T543" t="n">
        <v>0</v>
      </c>
      <c r="U543" s="2" t="inlineStr"/>
    </row>
    <row r="544" ht="15" customHeight="1">
      <c r="A544" t="inlineStr">
        <is>
          <t>A 5867-2022</t>
        </is>
      </c>
      <c r="B544" t="inlineStr">
        <is>
          <t>avverkningsanmälan</t>
        </is>
      </c>
      <c r="C544" t="inlineStr">
        <is>
          <t>Föryngringsavverkning</t>
        </is>
      </c>
      <c r="D544" s="1" t="n">
        <v>44596</v>
      </c>
      <c r="E544" s="1" t="n">
        <v>46219</v>
      </c>
      <c r="F544" t="inlineStr">
        <is>
          <t>STOCKHOLMS LÄN</t>
        </is>
      </c>
      <c r="G544" t="inlineStr">
        <is>
          <t>NORRTÄLJE</t>
        </is>
      </c>
      <c r="H544" t="inlineStr">
        <is>
          <t>Naturvårdsverket</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73307-2021</t>
        </is>
      </c>
      <c r="B545" t="inlineStr">
        <is>
          <t>avverkningsanmälan</t>
        </is>
      </c>
      <c r="C545" t="inlineStr">
        <is>
          <t>Föryngringsavverkning</t>
        </is>
      </c>
      <c r="D545" s="1" t="n">
        <v>44549</v>
      </c>
      <c r="E545" s="1" t="n">
        <v>46219</v>
      </c>
      <c r="F545" t="inlineStr">
        <is>
          <t>STOCKHOLMS LÄN</t>
        </is>
      </c>
      <c r="G545" t="inlineStr">
        <is>
          <t>NORRTÄLJE</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58492-2022</t>
        </is>
      </c>
      <c r="B546" t="inlineStr">
        <is>
          <t>avverkningsanmälan</t>
        </is>
      </c>
      <c r="C546" t="inlineStr">
        <is>
          <t>Föryngringsavverkning</t>
        </is>
      </c>
      <c r="D546" s="1" t="n">
        <v>44902</v>
      </c>
      <c r="E546" s="1" t="n">
        <v>46219</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21731-2023</t>
        </is>
      </c>
      <c r="B547" t="inlineStr">
        <is>
          <t>avverkningsanmälan</t>
        </is>
      </c>
      <c r="C547" t="inlineStr">
        <is>
          <t>Föryngringsavverkning</t>
        </is>
      </c>
      <c r="D547" s="1" t="n">
        <v>45063</v>
      </c>
      <c r="E547" s="1" t="n">
        <v>46219</v>
      </c>
      <c r="F547" t="inlineStr">
        <is>
          <t>STOCKHOLMS LÄN</t>
        </is>
      </c>
      <c r="G547" t="inlineStr">
        <is>
          <t>NORRTÄLJE</t>
        </is>
      </c>
      <c r="I547" t="n">
        <v>2.3</v>
      </c>
      <c r="J547" t="n">
        <v>0</v>
      </c>
      <c r="K547" t="n">
        <v>0</v>
      </c>
      <c r="L547" t="n">
        <v>0</v>
      </c>
      <c r="M547" t="n">
        <v>0</v>
      </c>
      <c r="N547" t="n">
        <v>0</v>
      </c>
      <c r="O547" t="n">
        <v>0</v>
      </c>
      <c r="P547" t="n">
        <v>0</v>
      </c>
      <c r="Q547" t="n">
        <v>0</v>
      </c>
      <c r="R547" t="n">
        <v>0</v>
      </c>
      <c r="S547" t="n">
        <v>0</v>
      </c>
      <c r="T547" t="n">
        <v>0</v>
      </c>
      <c r="U547" s="2" t="inlineStr"/>
    </row>
    <row r="548" ht="15" customHeight="1">
      <c r="A548" t="inlineStr">
        <is>
          <t>A 21745-2023</t>
        </is>
      </c>
      <c r="B548" t="inlineStr">
        <is>
          <t>avverkningsanmälan</t>
        </is>
      </c>
      <c r="C548" t="inlineStr">
        <is>
          <t>Föryngringsavverkning</t>
        </is>
      </c>
      <c r="D548" s="1" t="n">
        <v>45065</v>
      </c>
      <c r="E548" s="1" t="n">
        <v>46219</v>
      </c>
      <c r="F548" t="inlineStr">
        <is>
          <t>STOCKHOLMS LÄN</t>
        </is>
      </c>
      <c r="G548" t="inlineStr">
        <is>
          <t>NORRTÄLJE</t>
        </is>
      </c>
      <c r="H548" t="inlineStr">
        <is>
          <t>Holmen skog AB</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26365-2024</t>
        </is>
      </c>
      <c r="B549" t="inlineStr">
        <is>
          <t>avverkningsanmälan</t>
        </is>
      </c>
      <c r="C549" t="inlineStr">
        <is>
          <t>Föryngringsavverkning</t>
        </is>
      </c>
      <c r="D549" s="1" t="n">
        <v>45469</v>
      </c>
      <c r="E549" s="1" t="n">
        <v>46219</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4581-2025</t>
        </is>
      </c>
      <c r="B550" t="inlineStr">
        <is>
          <t>avverkningsanmälan</t>
        </is>
      </c>
      <c r="C550" t="inlineStr">
        <is>
          <t>Föryngringsavverkning</t>
        </is>
      </c>
      <c r="D550" s="1" t="n">
        <v>45687</v>
      </c>
      <c r="E550" s="1" t="n">
        <v>46219</v>
      </c>
      <c r="F550" t="inlineStr">
        <is>
          <t>STOCKHOLMS LÄN</t>
        </is>
      </c>
      <c r="G550" t="inlineStr">
        <is>
          <t>NORRTÄLJE</t>
        </is>
      </c>
      <c r="H550" t="inlineStr">
        <is>
          <t>Holmen skog AB</t>
        </is>
      </c>
      <c r="I550" t="n">
        <v>2.8</v>
      </c>
      <c r="J550" t="n">
        <v>0</v>
      </c>
      <c r="K550" t="n">
        <v>0</v>
      </c>
      <c r="L550" t="n">
        <v>0</v>
      </c>
      <c r="M550" t="n">
        <v>0</v>
      </c>
      <c r="N550" t="n">
        <v>0</v>
      </c>
      <c r="O550" t="n">
        <v>0</v>
      </c>
      <c r="P550" t="n">
        <v>0</v>
      </c>
      <c r="Q550" t="n">
        <v>0</v>
      </c>
      <c r="R550" t="n">
        <v>0</v>
      </c>
      <c r="S550" t="n">
        <v>0</v>
      </c>
      <c r="T550" t="n">
        <v>0</v>
      </c>
      <c r="U550" s="2" t="inlineStr"/>
    </row>
    <row r="551" ht="15" customHeight="1">
      <c r="A551" t="inlineStr">
        <is>
          <t>A 50602-2021</t>
        </is>
      </c>
      <c r="B551" t="inlineStr">
        <is>
          <t>avverkningsanmälan</t>
        </is>
      </c>
      <c r="C551" t="inlineStr">
        <is>
          <t>Föryngringsavverkning</t>
        </is>
      </c>
      <c r="D551" s="1" t="n">
        <v>44459</v>
      </c>
      <c r="E551" s="1" t="n">
        <v>46219</v>
      </c>
      <c r="F551" t="inlineStr">
        <is>
          <t>STOCKHOLMS LÄN</t>
        </is>
      </c>
      <c r="G551" t="inlineStr">
        <is>
          <t>NORRTÄLJE</t>
        </is>
      </c>
      <c r="H551" t="inlineStr">
        <is>
          <t>Holmen skog AB</t>
        </is>
      </c>
      <c r="I551" t="n">
        <v>2</v>
      </c>
      <c r="J551" t="n">
        <v>0</v>
      </c>
      <c r="K551" t="n">
        <v>0</v>
      </c>
      <c r="L551" t="n">
        <v>0</v>
      </c>
      <c r="M551" t="n">
        <v>0</v>
      </c>
      <c r="N551" t="n">
        <v>0</v>
      </c>
      <c r="O551" t="n">
        <v>0</v>
      </c>
      <c r="P551" t="n">
        <v>0</v>
      </c>
      <c r="Q551" t="n">
        <v>0</v>
      </c>
      <c r="R551" t="n">
        <v>0</v>
      </c>
      <c r="S551" t="n">
        <v>0</v>
      </c>
      <c r="T551" t="n">
        <v>0</v>
      </c>
      <c r="U551" s="2" t="inlineStr"/>
    </row>
    <row r="552" ht="15" customHeight="1">
      <c r="A552" t="inlineStr">
        <is>
          <t>A 48798-2021</t>
        </is>
      </c>
      <c r="B552" t="inlineStr">
        <is>
          <t>avverkningsanmälan</t>
        </is>
      </c>
      <c r="C552" t="inlineStr">
        <is>
          <t>Föryngringsavverkning</t>
        </is>
      </c>
      <c r="D552" s="1" t="n">
        <v>44452</v>
      </c>
      <c r="E552" s="1" t="n">
        <v>46219</v>
      </c>
      <c r="F552" t="inlineStr">
        <is>
          <t>STOCKHOLMS LÄN</t>
        </is>
      </c>
      <c r="G552" t="inlineStr">
        <is>
          <t>NORRTÄLJE</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50327-2025</t>
        </is>
      </c>
      <c r="B553" t="inlineStr">
        <is>
          <t>avverkningsanmälan</t>
        </is>
      </c>
      <c r="C553" t="inlineStr">
        <is>
          <t>Föryngringsavverkning</t>
        </is>
      </c>
      <c r="D553" s="1" t="n">
        <v>45944</v>
      </c>
      <c r="E553" s="1" t="n">
        <v>46219</v>
      </c>
      <c r="F553" t="inlineStr">
        <is>
          <t>STOCKHOLMS LÄN</t>
        </is>
      </c>
      <c r="G553" t="inlineStr">
        <is>
          <t>NORRTÄLJE</t>
        </is>
      </c>
      <c r="I553" t="n">
        <v>0.3</v>
      </c>
      <c r="J553" t="n">
        <v>0</v>
      </c>
      <c r="K553" t="n">
        <v>0</v>
      </c>
      <c r="L553" t="n">
        <v>0</v>
      </c>
      <c r="M553" t="n">
        <v>0</v>
      </c>
      <c r="N553" t="n">
        <v>0</v>
      </c>
      <c r="O553" t="n">
        <v>0</v>
      </c>
      <c r="P553" t="n">
        <v>0</v>
      </c>
      <c r="Q553" t="n">
        <v>0</v>
      </c>
      <c r="R553" t="n">
        <v>0</v>
      </c>
      <c r="S553" t="n">
        <v>0</v>
      </c>
      <c r="T553" t="n">
        <v>0</v>
      </c>
      <c r="U553" s="2" t="inlineStr"/>
    </row>
    <row r="554" ht="15" customHeight="1">
      <c r="A554" t="inlineStr">
        <is>
          <t>A 62398-2022</t>
        </is>
      </c>
      <c r="B554" t="inlineStr">
        <is>
          <t>avverkningsanmälan</t>
        </is>
      </c>
      <c r="C554" t="inlineStr">
        <is>
          <t>Föryngringsavverkning</t>
        </is>
      </c>
      <c r="D554" s="1" t="n">
        <v>44923</v>
      </c>
      <c r="E554" s="1" t="n">
        <v>46219</v>
      </c>
      <c r="F554" t="inlineStr">
        <is>
          <t>STOCKHOLMS LÄN</t>
        </is>
      </c>
      <c r="G554" t="inlineStr">
        <is>
          <t>NORRTÄLJE</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17039-2024</t>
        </is>
      </c>
      <c r="B555" t="inlineStr">
        <is>
          <t>avverkningsanmälan</t>
        </is>
      </c>
      <c r="C555" t="inlineStr">
        <is>
          <t>Föryngringsavverkning</t>
        </is>
      </c>
      <c r="D555" s="1" t="n">
        <v>45412</v>
      </c>
      <c r="E555" s="1" t="n">
        <v>46219</v>
      </c>
      <c r="F555" t="inlineStr">
        <is>
          <t>STOCKHOLMS LÄN</t>
        </is>
      </c>
      <c r="G555" t="inlineStr">
        <is>
          <t>NORRTÄLJE</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3509-2022</t>
        </is>
      </c>
      <c r="B556" t="inlineStr">
        <is>
          <t>avverkningsanmälan</t>
        </is>
      </c>
      <c r="C556" t="inlineStr">
        <is>
          <t>Föryngringsavverkning</t>
        </is>
      </c>
      <c r="D556" s="1" t="n">
        <v>44585</v>
      </c>
      <c r="E556" s="1" t="n">
        <v>46219</v>
      </c>
      <c r="F556" t="inlineStr">
        <is>
          <t>STOCKHOLMS LÄN</t>
        </is>
      </c>
      <c r="G556" t="inlineStr">
        <is>
          <t>NORRTÄLJE</t>
        </is>
      </c>
      <c r="H556" t="inlineStr">
        <is>
          <t>Kommuner</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39669-2024</t>
        </is>
      </c>
      <c r="B557" t="inlineStr">
        <is>
          <t>avverkningsanmälan</t>
        </is>
      </c>
      <c r="C557" t="inlineStr">
        <is>
          <t>Föryngringsavverkning</t>
        </is>
      </c>
      <c r="D557" s="1" t="n">
        <v>45552</v>
      </c>
      <c r="E557" s="1" t="n">
        <v>46219</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51240-2025</t>
        </is>
      </c>
      <c r="B558" t="inlineStr">
        <is>
          <t>avverkningsanmälan</t>
        </is>
      </c>
      <c r="C558" t="inlineStr">
        <is>
          <t>Föryngringsavverkning</t>
        </is>
      </c>
      <c r="D558" s="1" t="n">
        <v>45947</v>
      </c>
      <c r="E558" s="1" t="n">
        <v>46219</v>
      </c>
      <c r="F558" t="inlineStr">
        <is>
          <t>STOCKHOLMS LÄN</t>
        </is>
      </c>
      <c r="G558" t="inlineStr">
        <is>
          <t>NORRTÄLJE</t>
        </is>
      </c>
      <c r="H558" t="inlineStr">
        <is>
          <t>Naturvårdsverket</t>
        </is>
      </c>
      <c r="I558" t="n">
        <v>3</v>
      </c>
      <c r="J558" t="n">
        <v>0</v>
      </c>
      <c r="K558" t="n">
        <v>0</v>
      </c>
      <c r="L558" t="n">
        <v>0</v>
      </c>
      <c r="M558" t="n">
        <v>0</v>
      </c>
      <c r="N558" t="n">
        <v>0</v>
      </c>
      <c r="O558" t="n">
        <v>0</v>
      </c>
      <c r="P558" t="n">
        <v>0</v>
      </c>
      <c r="Q558" t="n">
        <v>0</v>
      </c>
      <c r="R558" t="n">
        <v>0</v>
      </c>
      <c r="S558" t="n">
        <v>0</v>
      </c>
      <c r="T558" t="n">
        <v>0</v>
      </c>
      <c r="U558" s="2" t="inlineStr"/>
    </row>
    <row r="559" ht="15" customHeight="1">
      <c r="A559" t="inlineStr">
        <is>
          <t>A 30283-2022</t>
        </is>
      </c>
      <c r="B559" t="inlineStr">
        <is>
          <t>avverkningsanmälan</t>
        </is>
      </c>
      <c r="C559" t="inlineStr">
        <is>
          <t>Föryngringsavverkning</t>
        </is>
      </c>
      <c r="D559" s="1" t="n">
        <v>44760</v>
      </c>
      <c r="E559" s="1" t="n">
        <v>46219</v>
      </c>
      <c r="F559" t="inlineStr">
        <is>
          <t>STOCKHOLMS LÄN</t>
        </is>
      </c>
      <c r="G559" t="inlineStr">
        <is>
          <t>NORRTÄLJE</t>
        </is>
      </c>
      <c r="I559" t="n">
        <v>6.2</v>
      </c>
      <c r="J559" t="n">
        <v>0</v>
      </c>
      <c r="K559" t="n">
        <v>0</v>
      </c>
      <c r="L559" t="n">
        <v>0</v>
      </c>
      <c r="M559" t="n">
        <v>0</v>
      </c>
      <c r="N559" t="n">
        <v>0</v>
      </c>
      <c r="O559" t="n">
        <v>0</v>
      </c>
      <c r="P559" t="n">
        <v>0</v>
      </c>
      <c r="Q559" t="n">
        <v>0</v>
      </c>
      <c r="R559" t="n">
        <v>0</v>
      </c>
      <c r="S559" t="n">
        <v>0</v>
      </c>
      <c r="T559" t="n">
        <v>0</v>
      </c>
      <c r="U559" s="2" t="inlineStr"/>
    </row>
    <row r="560" ht="15" customHeight="1">
      <c r="A560" t="inlineStr">
        <is>
          <t>A 38985-2022</t>
        </is>
      </c>
      <c r="B560" t="inlineStr">
        <is>
          <t>avverkningsanmälan</t>
        </is>
      </c>
      <c r="C560" t="inlineStr">
        <is>
          <t>Föryngringsavverkning</t>
        </is>
      </c>
      <c r="D560" s="1" t="n">
        <v>44816</v>
      </c>
      <c r="E560" s="1" t="n">
        <v>46219</v>
      </c>
      <c r="F560" t="inlineStr">
        <is>
          <t>STOCKHOLMS LÄN</t>
        </is>
      </c>
      <c r="G560" t="inlineStr">
        <is>
          <t>NORRTÄLJE</t>
        </is>
      </c>
      <c r="I560" t="n">
        <v>10.1</v>
      </c>
      <c r="J560" t="n">
        <v>0</v>
      </c>
      <c r="K560" t="n">
        <v>0</v>
      </c>
      <c r="L560" t="n">
        <v>0</v>
      </c>
      <c r="M560" t="n">
        <v>0</v>
      </c>
      <c r="N560" t="n">
        <v>0</v>
      </c>
      <c r="O560" t="n">
        <v>0</v>
      </c>
      <c r="P560" t="n">
        <v>0</v>
      </c>
      <c r="Q560" t="n">
        <v>0</v>
      </c>
      <c r="R560" t="n">
        <v>0</v>
      </c>
      <c r="S560" t="n">
        <v>0</v>
      </c>
      <c r="T560" t="n">
        <v>0</v>
      </c>
      <c r="U560" s="2" t="inlineStr"/>
    </row>
    <row r="561" ht="15" customHeight="1">
      <c r="A561" t="inlineStr">
        <is>
          <t>A 2982-2023</t>
        </is>
      </c>
      <c r="B561" t="inlineStr">
        <is>
          <t>avverkningsanmälan</t>
        </is>
      </c>
      <c r="C561" t="inlineStr">
        <is>
          <t>Föryngringsavverkning</t>
        </is>
      </c>
      <c r="D561" s="1" t="n">
        <v>44945</v>
      </c>
      <c r="E561" s="1" t="n">
        <v>46219</v>
      </c>
      <c r="F561" t="inlineStr">
        <is>
          <t>STOCKHOLMS LÄN</t>
        </is>
      </c>
      <c r="G561" t="inlineStr">
        <is>
          <t>NORRTÄLJE</t>
        </is>
      </c>
      <c r="I561" t="n">
        <v>3.3</v>
      </c>
      <c r="J561" t="n">
        <v>0</v>
      </c>
      <c r="K561" t="n">
        <v>0</v>
      </c>
      <c r="L561" t="n">
        <v>0</v>
      </c>
      <c r="M561" t="n">
        <v>0</v>
      </c>
      <c r="N561" t="n">
        <v>0</v>
      </c>
      <c r="O561" t="n">
        <v>0</v>
      </c>
      <c r="P561" t="n">
        <v>0</v>
      </c>
      <c r="Q561" t="n">
        <v>0</v>
      </c>
      <c r="R561" t="n">
        <v>0</v>
      </c>
      <c r="S561" t="n">
        <v>0</v>
      </c>
      <c r="T561" t="n">
        <v>0</v>
      </c>
      <c r="U561" s="2" t="inlineStr"/>
    </row>
    <row r="562" ht="15" customHeight="1">
      <c r="A562" t="inlineStr">
        <is>
          <t>A 25625-2023</t>
        </is>
      </c>
      <c r="B562" t="inlineStr">
        <is>
          <t>avverkningsanmälan</t>
        </is>
      </c>
      <c r="C562" t="inlineStr">
        <is>
          <t>Föryngringsavverkning</t>
        </is>
      </c>
      <c r="D562" s="1" t="n">
        <v>45089</v>
      </c>
      <c r="E562" s="1" t="n">
        <v>46219</v>
      </c>
      <c r="F562" t="inlineStr">
        <is>
          <t>STOCKHOLMS LÄN</t>
        </is>
      </c>
      <c r="G562" t="inlineStr">
        <is>
          <t>NORRTÄLJE</t>
        </is>
      </c>
      <c r="I562" t="n">
        <v>5.5</v>
      </c>
      <c r="J562" t="n">
        <v>0</v>
      </c>
      <c r="K562" t="n">
        <v>0</v>
      </c>
      <c r="L562" t="n">
        <v>0</v>
      </c>
      <c r="M562" t="n">
        <v>0</v>
      </c>
      <c r="N562" t="n">
        <v>0</v>
      </c>
      <c r="O562" t="n">
        <v>0</v>
      </c>
      <c r="P562" t="n">
        <v>0</v>
      </c>
      <c r="Q562" t="n">
        <v>0</v>
      </c>
      <c r="R562" t="n">
        <v>0</v>
      </c>
      <c r="S562" t="n">
        <v>0</v>
      </c>
      <c r="T562" t="n">
        <v>0</v>
      </c>
      <c r="U562" s="2" t="inlineStr"/>
    </row>
    <row r="563" ht="15" customHeight="1">
      <c r="A563" t="inlineStr">
        <is>
          <t>A 1448-2023</t>
        </is>
      </c>
      <c r="B563" t="inlineStr">
        <is>
          <t>avverkningsanmälan</t>
        </is>
      </c>
      <c r="C563" t="inlineStr">
        <is>
          <t>Avverkning för annat ändamål</t>
        </is>
      </c>
      <c r="D563" s="1" t="n">
        <v>44937</v>
      </c>
      <c r="E563" s="1" t="n">
        <v>46219</v>
      </c>
      <c r="F563" t="inlineStr">
        <is>
          <t>STOCKHOLMS LÄN</t>
        </is>
      </c>
      <c r="G563" t="inlineStr">
        <is>
          <t>NORRTÄLJE</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51532-2025</t>
        </is>
      </c>
      <c r="B564" t="inlineStr">
        <is>
          <t>avverkningsanmälan</t>
        </is>
      </c>
      <c r="C564" t="inlineStr">
        <is>
          <t>Föryngringsavverkning</t>
        </is>
      </c>
      <c r="D564" s="1" t="n">
        <v>45950</v>
      </c>
      <c r="E564" s="1" t="n">
        <v>46219</v>
      </c>
      <c r="F564" t="inlineStr">
        <is>
          <t>STOCKHOLMS LÄN</t>
        </is>
      </c>
      <c r="G564" t="inlineStr">
        <is>
          <t>NORRTÄLJE</t>
        </is>
      </c>
      <c r="H564" t="inlineStr">
        <is>
          <t>Naturvårdsverket</t>
        </is>
      </c>
      <c r="I564" t="n">
        <v>17.3</v>
      </c>
      <c r="J564" t="n">
        <v>0</v>
      </c>
      <c r="K564" t="n">
        <v>0</v>
      </c>
      <c r="L564" t="n">
        <v>0</v>
      </c>
      <c r="M564" t="n">
        <v>0</v>
      </c>
      <c r="N564" t="n">
        <v>0</v>
      </c>
      <c r="O564" t="n">
        <v>0</v>
      </c>
      <c r="P564" t="n">
        <v>0</v>
      </c>
      <c r="Q564" t="n">
        <v>0</v>
      </c>
      <c r="R564" t="n">
        <v>0</v>
      </c>
      <c r="S564" t="n">
        <v>0</v>
      </c>
      <c r="T564" t="n">
        <v>0</v>
      </c>
      <c r="U564" s="2" t="inlineStr"/>
    </row>
    <row r="565" ht="15" customHeight="1">
      <c r="A565" t="inlineStr">
        <is>
          <t>A 35127-2023</t>
        </is>
      </c>
      <c r="B565" t="inlineStr">
        <is>
          <t>avverkningsanmälan</t>
        </is>
      </c>
      <c r="C565" t="inlineStr">
        <is>
          <t>Föryngringsavverkning</t>
        </is>
      </c>
      <c r="D565" s="1" t="n">
        <v>45145</v>
      </c>
      <c r="E565" s="1" t="n">
        <v>46219</v>
      </c>
      <c r="F565" t="inlineStr">
        <is>
          <t>STOCKHOLMS LÄN</t>
        </is>
      </c>
      <c r="G565" t="inlineStr">
        <is>
          <t>NORRTÄLJE</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50136-2023</t>
        </is>
      </c>
      <c r="B566" t="inlineStr">
        <is>
          <t>avverkningsanmälan</t>
        </is>
      </c>
      <c r="C566" t="inlineStr">
        <is>
          <t>Föryngringsavverkning</t>
        </is>
      </c>
      <c r="D566" s="1" t="n">
        <v>45215</v>
      </c>
      <c r="E566" s="1" t="n">
        <v>46219</v>
      </c>
      <c r="F566" t="inlineStr">
        <is>
          <t>STOCKHOLMS LÄN</t>
        </is>
      </c>
      <c r="G566" t="inlineStr">
        <is>
          <t>NORRTÄLJE</t>
        </is>
      </c>
      <c r="I566" t="n">
        <v>5.2</v>
      </c>
      <c r="J566" t="n">
        <v>0</v>
      </c>
      <c r="K566" t="n">
        <v>0</v>
      </c>
      <c r="L566" t="n">
        <v>0</v>
      </c>
      <c r="M566" t="n">
        <v>0</v>
      </c>
      <c r="N566" t="n">
        <v>0</v>
      </c>
      <c r="O566" t="n">
        <v>0</v>
      </c>
      <c r="P566" t="n">
        <v>0</v>
      </c>
      <c r="Q566" t="n">
        <v>0</v>
      </c>
      <c r="R566" t="n">
        <v>0</v>
      </c>
      <c r="S566" t="n">
        <v>0</v>
      </c>
      <c r="T566" t="n">
        <v>0</v>
      </c>
      <c r="U566" s="2" t="inlineStr"/>
    </row>
    <row r="567" ht="15" customHeight="1">
      <c r="A567" t="inlineStr">
        <is>
          <t>A 51233-2025</t>
        </is>
      </c>
      <c r="B567" t="inlineStr">
        <is>
          <t>avverkningsanmälan</t>
        </is>
      </c>
      <c r="C567" t="inlineStr">
        <is>
          <t>Föryngringsavverkning</t>
        </is>
      </c>
      <c r="D567" s="1" t="n">
        <v>45947</v>
      </c>
      <c r="E567" s="1" t="n">
        <v>46219</v>
      </c>
      <c r="F567" t="inlineStr">
        <is>
          <t>STOCKHOLMS LÄN</t>
        </is>
      </c>
      <c r="G567" t="inlineStr">
        <is>
          <t>NORRTÄLJE</t>
        </is>
      </c>
      <c r="H567" t="inlineStr">
        <is>
          <t>Naturvårdsverket</t>
        </is>
      </c>
      <c r="I567" t="n">
        <v>8.1</v>
      </c>
      <c r="J567" t="n">
        <v>0</v>
      </c>
      <c r="K567" t="n">
        <v>0</v>
      </c>
      <c r="L567" t="n">
        <v>0</v>
      </c>
      <c r="M567" t="n">
        <v>0</v>
      </c>
      <c r="N567" t="n">
        <v>0</v>
      </c>
      <c r="O567" t="n">
        <v>0</v>
      </c>
      <c r="P567" t="n">
        <v>0</v>
      </c>
      <c r="Q567" t="n">
        <v>0</v>
      </c>
      <c r="R567" t="n">
        <v>0</v>
      </c>
      <c r="S567" t="n">
        <v>0</v>
      </c>
      <c r="T567" t="n">
        <v>0</v>
      </c>
      <c r="U567" s="2" t="inlineStr"/>
    </row>
    <row r="568" ht="15" customHeight="1">
      <c r="A568" t="inlineStr">
        <is>
          <t>A 51236-2025</t>
        </is>
      </c>
      <c r="B568" t="inlineStr">
        <is>
          <t>avverkningsanmälan</t>
        </is>
      </c>
      <c r="C568" t="inlineStr">
        <is>
          <t>Föryngringsavverkning</t>
        </is>
      </c>
      <c r="D568" s="1" t="n">
        <v>45947</v>
      </c>
      <c r="E568" s="1" t="n">
        <v>46219</v>
      </c>
      <c r="F568" t="inlineStr">
        <is>
          <t>STOCKHOLMS LÄN</t>
        </is>
      </c>
      <c r="G568" t="inlineStr">
        <is>
          <t>NORRTÄLJE</t>
        </is>
      </c>
      <c r="H568" t="inlineStr">
        <is>
          <t>Naturvårdsverket</t>
        </is>
      </c>
      <c r="I568" t="n">
        <v>6.3</v>
      </c>
      <c r="J568" t="n">
        <v>0</v>
      </c>
      <c r="K568" t="n">
        <v>0</v>
      </c>
      <c r="L568" t="n">
        <v>0</v>
      </c>
      <c r="M568" t="n">
        <v>0</v>
      </c>
      <c r="N568" t="n">
        <v>0</v>
      </c>
      <c r="O568" t="n">
        <v>0</v>
      </c>
      <c r="P568" t="n">
        <v>0</v>
      </c>
      <c r="Q568" t="n">
        <v>0</v>
      </c>
      <c r="R568" t="n">
        <v>0</v>
      </c>
      <c r="S568" t="n">
        <v>0</v>
      </c>
      <c r="T568" t="n">
        <v>0</v>
      </c>
      <c r="U568" s="2" t="inlineStr"/>
    </row>
    <row r="569" ht="15" customHeight="1">
      <c r="A569" t="inlineStr">
        <is>
          <t>A 51241-2025</t>
        </is>
      </c>
      <c r="B569" t="inlineStr">
        <is>
          <t>avverkningsanmälan</t>
        </is>
      </c>
      <c r="C569" t="inlineStr">
        <is>
          <t>Föryngringsavverkning</t>
        </is>
      </c>
      <c r="D569" s="1" t="n">
        <v>45947</v>
      </c>
      <c r="E569" s="1" t="n">
        <v>46219</v>
      </c>
      <c r="F569" t="inlineStr">
        <is>
          <t>STOCKHOLMS LÄN</t>
        </is>
      </c>
      <c r="G569" t="inlineStr">
        <is>
          <t>NORRTÄLJE</t>
        </is>
      </c>
      <c r="H569" t="inlineStr">
        <is>
          <t>Naturvårdsverket</t>
        </is>
      </c>
      <c r="I569" t="n">
        <v>6.4</v>
      </c>
      <c r="J569" t="n">
        <v>0</v>
      </c>
      <c r="K569" t="n">
        <v>0</v>
      </c>
      <c r="L569" t="n">
        <v>0</v>
      </c>
      <c r="M569" t="n">
        <v>0</v>
      </c>
      <c r="N569" t="n">
        <v>0</v>
      </c>
      <c r="O569" t="n">
        <v>0</v>
      </c>
      <c r="P569" t="n">
        <v>0</v>
      </c>
      <c r="Q569" t="n">
        <v>0</v>
      </c>
      <c r="R569" t="n">
        <v>0</v>
      </c>
      <c r="S569" t="n">
        <v>0</v>
      </c>
      <c r="T569" t="n">
        <v>0</v>
      </c>
      <c r="U569" s="2" t="inlineStr"/>
    </row>
    <row r="570" ht="15" customHeight="1">
      <c r="A570" t="inlineStr">
        <is>
          <t>A 29557-2026</t>
        </is>
      </c>
      <c r="B570" t="inlineStr">
        <is>
          <t>avverkningsanmälan</t>
        </is>
      </c>
      <c r="C570" t="inlineStr">
        <is>
          <t>Föryngringsavverkning</t>
        </is>
      </c>
      <c r="D570" s="1" t="n">
        <v>46204</v>
      </c>
      <c r="E570" s="1" t="n">
        <v>46219</v>
      </c>
      <c r="F570" t="inlineStr">
        <is>
          <t>STOCKHOLMS LÄN</t>
        </is>
      </c>
      <c r="G570" t="inlineStr">
        <is>
          <t>NORRTÄLJE</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10678-2025</t>
        </is>
      </c>
      <c r="B571" t="inlineStr">
        <is>
          <t>avverkningsanmälan</t>
        </is>
      </c>
      <c r="C571" t="inlineStr">
        <is>
          <t>Föryngringsavverkning</t>
        </is>
      </c>
      <c r="D571" s="1" t="n">
        <v>45721</v>
      </c>
      <c r="E571" s="1" t="n">
        <v>46219</v>
      </c>
      <c r="F571" t="inlineStr">
        <is>
          <t>STOCKHOLMS LÄN</t>
        </is>
      </c>
      <c r="G571" t="inlineStr">
        <is>
          <t>NORRTÄLJE</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16243-2026</t>
        </is>
      </c>
      <c r="B572" t="inlineStr">
        <is>
          <t>avverkningsanmälan</t>
        </is>
      </c>
      <c r="C572" t="inlineStr">
        <is>
          <t>Föryngringsavverkning</t>
        </is>
      </c>
      <c r="D572" s="1" t="n">
        <v>46111</v>
      </c>
      <c r="E572" s="1" t="n">
        <v>46219</v>
      </c>
      <c r="F572" t="inlineStr">
        <is>
          <t>STOCKHOLMS LÄN</t>
        </is>
      </c>
      <c r="G572" t="inlineStr">
        <is>
          <t>NORRTÄLJE</t>
        </is>
      </c>
      <c r="I572" t="n">
        <v>2.3</v>
      </c>
      <c r="J572" t="n">
        <v>0</v>
      </c>
      <c r="K572" t="n">
        <v>0</v>
      </c>
      <c r="L572" t="n">
        <v>0</v>
      </c>
      <c r="M572" t="n">
        <v>0</v>
      </c>
      <c r="N572" t="n">
        <v>0</v>
      </c>
      <c r="O572" t="n">
        <v>0</v>
      </c>
      <c r="P572" t="n">
        <v>0</v>
      </c>
      <c r="Q572" t="n">
        <v>0</v>
      </c>
      <c r="R572" t="n">
        <v>0</v>
      </c>
      <c r="S572" t="n">
        <v>0</v>
      </c>
      <c r="T572" t="n">
        <v>0</v>
      </c>
      <c r="U572" s="2" t="inlineStr"/>
    </row>
    <row r="573" ht="15" customHeight="1">
      <c r="A573" t="inlineStr">
        <is>
          <t>A 51945-2025</t>
        </is>
      </c>
      <c r="B573" t="inlineStr">
        <is>
          <t>avverkningsanmälan</t>
        </is>
      </c>
      <c r="C573" t="inlineStr">
        <is>
          <t>Föryngringsavverkning</t>
        </is>
      </c>
      <c r="D573" s="1" t="n">
        <v>45952</v>
      </c>
      <c r="E573" s="1" t="n">
        <v>46219</v>
      </c>
      <c r="F573" t="inlineStr">
        <is>
          <t>STOCKHOLMS LÄN</t>
        </is>
      </c>
      <c r="G573" t="inlineStr">
        <is>
          <t>NORRTÄLJE</t>
        </is>
      </c>
      <c r="I573" t="n">
        <v>7</v>
      </c>
      <c r="J573" t="n">
        <v>0</v>
      </c>
      <c r="K573" t="n">
        <v>0</v>
      </c>
      <c r="L573" t="n">
        <v>0</v>
      </c>
      <c r="M573" t="n">
        <v>0</v>
      </c>
      <c r="N573" t="n">
        <v>0</v>
      </c>
      <c r="O573" t="n">
        <v>0</v>
      </c>
      <c r="P573" t="n">
        <v>0</v>
      </c>
      <c r="Q573" t="n">
        <v>0</v>
      </c>
      <c r="R573" t="n">
        <v>0</v>
      </c>
      <c r="S573" t="n">
        <v>0</v>
      </c>
      <c r="T573" t="n">
        <v>0</v>
      </c>
      <c r="U573" s="2" t="inlineStr"/>
    </row>
    <row r="574" ht="15" customHeight="1">
      <c r="A574" t="inlineStr">
        <is>
          <t>A 52061-2025</t>
        </is>
      </c>
      <c r="B574" t="inlineStr">
        <is>
          <t>avverkningsanmälan</t>
        </is>
      </c>
      <c r="C574" t="inlineStr">
        <is>
          <t>Föryngringsavverkning</t>
        </is>
      </c>
      <c r="D574" s="1" t="n">
        <v>45952</v>
      </c>
      <c r="E574" s="1" t="n">
        <v>46219</v>
      </c>
      <c r="F574" t="inlineStr">
        <is>
          <t>STOCKHOLMS LÄN</t>
        </is>
      </c>
      <c r="G574" t="inlineStr">
        <is>
          <t>NORRTÄLJE</t>
        </is>
      </c>
      <c r="I574" t="n">
        <v>9.5</v>
      </c>
      <c r="J574" t="n">
        <v>0</v>
      </c>
      <c r="K574" t="n">
        <v>0</v>
      </c>
      <c r="L574" t="n">
        <v>0</v>
      </c>
      <c r="M574" t="n">
        <v>0</v>
      </c>
      <c r="N574" t="n">
        <v>0</v>
      </c>
      <c r="O574" t="n">
        <v>0</v>
      </c>
      <c r="P574" t="n">
        <v>0</v>
      </c>
      <c r="Q574" t="n">
        <v>0</v>
      </c>
      <c r="R574" t="n">
        <v>0</v>
      </c>
      <c r="S574" t="n">
        <v>0</v>
      </c>
      <c r="T574" t="n">
        <v>0</v>
      </c>
      <c r="U574" s="2" t="inlineStr"/>
    </row>
    <row r="575" ht="15" customHeight="1">
      <c r="A575" t="inlineStr">
        <is>
          <t>A 51960-2025</t>
        </is>
      </c>
      <c r="B575" t="inlineStr">
        <is>
          <t>avverkningsanmälan</t>
        </is>
      </c>
      <c r="C575" t="inlineStr">
        <is>
          <t>Föryngringsavverkning</t>
        </is>
      </c>
      <c r="D575" s="1" t="n">
        <v>45952</v>
      </c>
      <c r="E575" s="1" t="n">
        <v>46219</v>
      </c>
      <c r="F575" t="inlineStr">
        <is>
          <t>STOCKHOLMS LÄN</t>
        </is>
      </c>
      <c r="G575" t="inlineStr">
        <is>
          <t>NORRTÄLJE</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51789-2025</t>
        </is>
      </c>
      <c r="B576" t="inlineStr">
        <is>
          <t>avverkningsanmälan</t>
        </is>
      </c>
      <c r="C576" t="inlineStr">
        <is>
          <t>Föryngringsavverkning</t>
        </is>
      </c>
      <c r="D576" s="1" t="n">
        <v>45951</v>
      </c>
      <c r="E576" s="1" t="n">
        <v>46219</v>
      </c>
      <c r="F576" t="inlineStr">
        <is>
          <t>STOCKHOLMS LÄN</t>
        </is>
      </c>
      <c r="G576" t="inlineStr">
        <is>
          <t>NORRTÄLJE</t>
        </is>
      </c>
      <c r="H576" t="inlineStr">
        <is>
          <t>Naturvårdsverket</t>
        </is>
      </c>
      <c r="I576" t="n">
        <v>8.9</v>
      </c>
      <c r="J576" t="n">
        <v>0</v>
      </c>
      <c r="K576" t="n">
        <v>0</v>
      </c>
      <c r="L576" t="n">
        <v>0</v>
      </c>
      <c r="M576" t="n">
        <v>0</v>
      </c>
      <c r="N576" t="n">
        <v>0</v>
      </c>
      <c r="O576" t="n">
        <v>0</v>
      </c>
      <c r="P576" t="n">
        <v>0</v>
      </c>
      <c r="Q576" t="n">
        <v>0</v>
      </c>
      <c r="R576" t="n">
        <v>0</v>
      </c>
      <c r="S576" t="n">
        <v>0</v>
      </c>
      <c r="T576" t="n">
        <v>0</v>
      </c>
      <c r="U576" s="2" t="inlineStr"/>
    </row>
    <row r="577" ht="15" customHeight="1">
      <c r="A577" t="inlineStr">
        <is>
          <t>A 14132-2025</t>
        </is>
      </c>
      <c r="B577" t="inlineStr">
        <is>
          <t>avverkningsanmälan</t>
        </is>
      </c>
      <c r="C577" t="inlineStr">
        <is>
          <t>Föryngringsavverkning</t>
        </is>
      </c>
      <c r="D577" s="1" t="n">
        <v>45740</v>
      </c>
      <c r="E577" s="1" t="n">
        <v>46219</v>
      </c>
      <c r="F577" t="inlineStr">
        <is>
          <t>STOCKHOLMS LÄN</t>
        </is>
      </c>
      <c r="G577" t="inlineStr">
        <is>
          <t>NORRTÄLJE</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14133-2025</t>
        </is>
      </c>
      <c r="B578" t="inlineStr">
        <is>
          <t>avverkningsanmälan</t>
        </is>
      </c>
      <c r="C578" t="inlineStr">
        <is>
          <t>Föryngringsavverkning</t>
        </is>
      </c>
      <c r="D578" s="1" t="n">
        <v>45740</v>
      </c>
      <c r="E578" s="1" t="n">
        <v>46219</v>
      </c>
      <c r="F578" t="inlineStr">
        <is>
          <t>STOCKHOLMS LÄN</t>
        </is>
      </c>
      <c r="G578" t="inlineStr">
        <is>
          <t>NORRTÄLJE</t>
        </is>
      </c>
      <c r="I578" t="n">
        <v>0.4</v>
      </c>
      <c r="J578" t="n">
        <v>0</v>
      </c>
      <c r="K578" t="n">
        <v>0</v>
      </c>
      <c r="L578" t="n">
        <v>0</v>
      </c>
      <c r="M578" t="n">
        <v>0</v>
      </c>
      <c r="N578" t="n">
        <v>0</v>
      </c>
      <c r="O578" t="n">
        <v>0</v>
      </c>
      <c r="P578" t="n">
        <v>0</v>
      </c>
      <c r="Q578" t="n">
        <v>0</v>
      </c>
      <c r="R578" t="n">
        <v>0</v>
      </c>
      <c r="S578" t="n">
        <v>0</v>
      </c>
      <c r="T578" t="n">
        <v>0</v>
      </c>
      <c r="U578" s="2" t="inlineStr"/>
    </row>
    <row r="579" ht="15" customHeight="1">
      <c r="A579" t="inlineStr">
        <is>
          <t>A 7186-2024</t>
        </is>
      </c>
      <c r="B579" t="inlineStr">
        <is>
          <t>avverkningsanmälan</t>
        </is>
      </c>
      <c r="C579" t="inlineStr">
        <is>
          <t>Föryngringsavverkning</t>
        </is>
      </c>
      <c r="D579" s="1" t="n">
        <v>45344</v>
      </c>
      <c r="E579" s="1" t="n">
        <v>46219</v>
      </c>
      <c r="F579" t="inlineStr">
        <is>
          <t>STOCKHOLMS LÄN</t>
        </is>
      </c>
      <c r="G579" t="inlineStr">
        <is>
          <t>NORRTÄLJE</t>
        </is>
      </c>
      <c r="I579" t="n">
        <v>4.9</v>
      </c>
      <c r="J579" t="n">
        <v>0</v>
      </c>
      <c r="K579" t="n">
        <v>0</v>
      </c>
      <c r="L579" t="n">
        <v>0</v>
      </c>
      <c r="M579" t="n">
        <v>0</v>
      </c>
      <c r="N579" t="n">
        <v>0</v>
      </c>
      <c r="O579" t="n">
        <v>0</v>
      </c>
      <c r="P579" t="n">
        <v>0</v>
      </c>
      <c r="Q579" t="n">
        <v>0</v>
      </c>
      <c r="R579" t="n">
        <v>0</v>
      </c>
      <c r="S579" t="n">
        <v>0</v>
      </c>
      <c r="T579" t="n">
        <v>0</v>
      </c>
      <c r="U579" s="2" t="inlineStr"/>
    </row>
    <row r="580" ht="15" customHeight="1">
      <c r="A580" t="inlineStr">
        <is>
          <t>A 38720-2025</t>
        </is>
      </c>
      <c r="B580" t="inlineStr">
        <is>
          <t>avverkningsanmälan</t>
        </is>
      </c>
      <c r="C580" t="inlineStr">
        <is>
          <t>Föryngringsavverkning</t>
        </is>
      </c>
      <c r="D580" s="1" t="n">
        <v>45886</v>
      </c>
      <c r="E580" s="1" t="n">
        <v>46219</v>
      </c>
      <c r="F580" t="inlineStr">
        <is>
          <t>STOCKHOLMS LÄN</t>
        </is>
      </c>
      <c r="G580" t="inlineStr">
        <is>
          <t>NORRTÄLJE</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29381-2026</t>
        </is>
      </c>
      <c r="B581" t="inlineStr">
        <is>
          <t>avverkningsanmälan</t>
        </is>
      </c>
      <c r="C581" t="inlineStr">
        <is>
          <t>Föryngringsavverkning</t>
        </is>
      </c>
      <c r="D581" s="1" t="n">
        <v>46203</v>
      </c>
      <c r="E581" s="1" t="n">
        <v>46219</v>
      </c>
      <c r="F581" t="inlineStr">
        <is>
          <t>STOCKHOLMS LÄN</t>
        </is>
      </c>
      <c r="G581" t="inlineStr">
        <is>
          <t>NORRTÄLJE</t>
        </is>
      </c>
      <c r="I581" t="n">
        <v>5.3</v>
      </c>
      <c r="J581" t="n">
        <v>0</v>
      </c>
      <c r="K581" t="n">
        <v>0</v>
      </c>
      <c r="L581" t="n">
        <v>0</v>
      </c>
      <c r="M581" t="n">
        <v>0</v>
      </c>
      <c r="N581" t="n">
        <v>0</v>
      </c>
      <c r="O581" t="n">
        <v>0</v>
      </c>
      <c r="P581" t="n">
        <v>0</v>
      </c>
      <c r="Q581" t="n">
        <v>0</v>
      </c>
      <c r="R581" t="n">
        <v>0</v>
      </c>
      <c r="S581" t="n">
        <v>0</v>
      </c>
      <c r="T581" t="n">
        <v>0</v>
      </c>
      <c r="U581" s="2" t="inlineStr"/>
    </row>
    <row r="582" ht="15" customHeight="1">
      <c r="A582" t="inlineStr">
        <is>
          <t>A 44311-2025</t>
        </is>
      </c>
      <c r="B582" t="inlineStr">
        <is>
          <t>avverkningsanmälan</t>
        </is>
      </c>
      <c r="C582" t="inlineStr">
        <is>
          <t>Avverkning för att bevara och utveckla /försöksver</t>
        </is>
      </c>
      <c r="D582" s="1" t="n">
        <v>45916</v>
      </c>
      <c r="E582" s="1" t="n">
        <v>46219</v>
      </c>
      <c r="F582" t="inlineStr">
        <is>
          <t>STOCKHOLMS LÄN</t>
        </is>
      </c>
      <c r="G582" t="inlineStr">
        <is>
          <t>NORRTÄLJE</t>
        </is>
      </c>
      <c r="I582" t="n">
        <v>8.199999999999999</v>
      </c>
      <c r="J582" t="n">
        <v>0</v>
      </c>
      <c r="K582" t="n">
        <v>0</v>
      </c>
      <c r="L582" t="n">
        <v>0</v>
      </c>
      <c r="M582" t="n">
        <v>0</v>
      </c>
      <c r="N582" t="n">
        <v>0</v>
      </c>
      <c r="O582" t="n">
        <v>0</v>
      </c>
      <c r="P582" t="n">
        <v>0</v>
      </c>
      <c r="Q582" t="n">
        <v>0</v>
      </c>
      <c r="R582" t="n">
        <v>0</v>
      </c>
      <c r="S582" t="n">
        <v>0</v>
      </c>
      <c r="T582" t="n">
        <v>0</v>
      </c>
      <c r="U582" s="2" t="inlineStr"/>
    </row>
    <row r="583" ht="15" customHeight="1">
      <c r="A583" t="inlineStr">
        <is>
          <t>A 29396-2026</t>
        </is>
      </c>
      <c r="B583" t="inlineStr">
        <is>
          <t>avverkningsanmälan</t>
        </is>
      </c>
      <c r="C583" t="inlineStr">
        <is>
          <t>Föryngringsavverkning</t>
        </is>
      </c>
      <c r="D583" s="1" t="n">
        <v>46203</v>
      </c>
      <c r="E583" s="1" t="n">
        <v>46219</v>
      </c>
      <c r="F583" t="inlineStr">
        <is>
          <t>STOCKHOLMS LÄN</t>
        </is>
      </c>
      <c r="G583" t="inlineStr">
        <is>
          <t>NORRTÄLJE</t>
        </is>
      </c>
      <c r="I583" t="n">
        <v>1.4</v>
      </c>
      <c r="J583" t="n">
        <v>0</v>
      </c>
      <c r="K583" t="n">
        <v>0</v>
      </c>
      <c r="L583" t="n">
        <v>0</v>
      </c>
      <c r="M583" t="n">
        <v>0</v>
      </c>
      <c r="N583" t="n">
        <v>0</v>
      </c>
      <c r="O583" t="n">
        <v>0</v>
      </c>
      <c r="P583" t="n">
        <v>0</v>
      </c>
      <c r="Q583" t="n">
        <v>0</v>
      </c>
      <c r="R583" t="n">
        <v>0</v>
      </c>
      <c r="S583" t="n">
        <v>0</v>
      </c>
      <c r="T583" t="n">
        <v>0</v>
      </c>
      <c r="U583" s="2" t="inlineStr"/>
    </row>
    <row r="584" ht="15" customHeight="1">
      <c r="A584" t="inlineStr">
        <is>
          <t>A 52729-2025</t>
        </is>
      </c>
      <c r="B584" t="inlineStr">
        <is>
          <t>avverkningsanmälan</t>
        </is>
      </c>
      <c r="C584" t="inlineStr">
        <is>
          <t>Föryngringsavverkning</t>
        </is>
      </c>
      <c r="D584" s="1" t="n">
        <v>45957</v>
      </c>
      <c r="E584" s="1" t="n">
        <v>46219</v>
      </c>
      <c r="F584" t="inlineStr">
        <is>
          <t>STOCKHOLMS LÄN</t>
        </is>
      </c>
      <c r="G584" t="inlineStr">
        <is>
          <t>NORRTÄLJE</t>
        </is>
      </c>
      <c r="H584" t="inlineStr">
        <is>
          <t>Sveaskog</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52777-2025</t>
        </is>
      </c>
      <c r="B585" t="inlineStr">
        <is>
          <t>avverkningsanmälan</t>
        </is>
      </c>
      <c r="C585" t="inlineStr">
        <is>
          <t>Föryngringsavverkning</t>
        </is>
      </c>
      <c r="D585" s="1" t="n">
        <v>45957</v>
      </c>
      <c r="E585" s="1" t="n">
        <v>46219</v>
      </c>
      <c r="F585" t="inlineStr">
        <is>
          <t>STOCKHOLMS LÄN</t>
        </is>
      </c>
      <c r="G585" t="inlineStr">
        <is>
          <t>NORRTÄLJE</t>
        </is>
      </c>
      <c r="H585" t="inlineStr">
        <is>
          <t>Sveaskog</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52553-2025</t>
        </is>
      </c>
      <c r="B586" t="inlineStr">
        <is>
          <t>avverkningsanmälan</t>
        </is>
      </c>
      <c r="C586" t="inlineStr">
        <is>
          <t>Föryngringsavverkning</t>
        </is>
      </c>
      <c r="D586" s="1" t="n">
        <v>45954</v>
      </c>
      <c r="E586" s="1" t="n">
        <v>46219</v>
      </c>
      <c r="F586" t="inlineStr">
        <is>
          <t>STOCKHOLMS LÄN</t>
        </is>
      </c>
      <c r="G586" t="inlineStr">
        <is>
          <t>NORRTÄLJE</t>
        </is>
      </c>
      <c r="I586" t="n">
        <v>4.4</v>
      </c>
      <c r="J586" t="n">
        <v>0</v>
      </c>
      <c r="K586" t="n">
        <v>0</v>
      </c>
      <c r="L586" t="n">
        <v>0</v>
      </c>
      <c r="M586" t="n">
        <v>0</v>
      </c>
      <c r="N586" t="n">
        <v>0</v>
      </c>
      <c r="O586" t="n">
        <v>0</v>
      </c>
      <c r="P586" t="n">
        <v>0</v>
      </c>
      <c r="Q586" t="n">
        <v>0</v>
      </c>
      <c r="R586" t="n">
        <v>0</v>
      </c>
      <c r="S586" t="n">
        <v>0</v>
      </c>
      <c r="T586" t="n">
        <v>0</v>
      </c>
      <c r="U586" s="2" t="inlineStr"/>
    </row>
    <row r="587" ht="15" customHeight="1">
      <c r="A587" t="inlineStr">
        <is>
          <t>A 52704-2025</t>
        </is>
      </c>
      <c r="B587" t="inlineStr">
        <is>
          <t>avverkningsanmälan</t>
        </is>
      </c>
      <c r="C587" t="inlineStr">
        <is>
          <t>Föryngringsavverkning</t>
        </is>
      </c>
      <c r="D587" s="1" t="n">
        <v>45956</v>
      </c>
      <c r="E587" s="1" t="n">
        <v>46219</v>
      </c>
      <c r="F587" t="inlineStr">
        <is>
          <t>STOCKHOLMS LÄN</t>
        </is>
      </c>
      <c r="G587" t="inlineStr">
        <is>
          <t>NORRTÄLJE</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53792-2023</t>
        </is>
      </c>
      <c r="B588" t="inlineStr">
        <is>
          <t>avverkningsanmälan</t>
        </is>
      </c>
      <c r="C588" t="inlineStr">
        <is>
          <t>Föryngringsavverkning</t>
        </is>
      </c>
      <c r="D588" s="1" t="n">
        <v>45231</v>
      </c>
      <c r="E588" s="1" t="n">
        <v>46219</v>
      </c>
      <c r="F588" t="inlineStr">
        <is>
          <t>STOCKHOLMS LÄN</t>
        </is>
      </c>
      <c r="G588" t="inlineStr">
        <is>
          <t>NORRTÄLJE</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52734-2025</t>
        </is>
      </c>
      <c r="B589" t="inlineStr">
        <is>
          <t>avverkningsanmälan</t>
        </is>
      </c>
      <c r="C589" t="inlineStr">
        <is>
          <t>Föryngringsavverkning</t>
        </is>
      </c>
      <c r="D589" s="1" t="n">
        <v>45957</v>
      </c>
      <c r="E589" s="1" t="n">
        <v>46219</v>
      </c>
      <c r="F589" t="inlineStr">
        <is>
          <t>STOCKHOLMS LÄN</t>
        </is>
      </c>
      <c r="G589" t="inlineStr">
        <is>
          <t>NORRTÄLJE</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11280-2023</t>
        </is>
      </c>
      <c r="B590" t="inlineStr">
        <is>
          <t>avverkningsanmälan</t>
        </is>
      </c>
      <c r="C590" t="inlineStr">
        <is>
          <t>Föryngringsavverkning</t>
        </is>
      </c>
      <c r="D590" s="1" t="n">
        <v>44992</v>
      </c>
      <c r="E590" s="1" t="n">
        <v>46219</v>
      </c>
      <c r="F590" t="inlineStr">
        <is>
          <t>STOCKHOLMS LÄN</t>
        </is>
      </c>
      <c r="G590" t="inlineStr">
        <is>
          <t>NORRTÄLJE</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52773-2025</t>
        </is>
      </c>
      <c r="B591" t="inlineStr">
        <is>
          <t>avverkningsanmälan</t>
        </is>
      </c>
      <c r="C591" t="inlineStr">
        <is>
          <t>Föryngringsavverkning</t>
        </is>
      </c>
      <c r="D591" s="1" t="n">
        <v>45957</v>
      </c>
      <c r="E591" s="1" t="n">
        <v>46219</v>
      </c>
      <c r="F591" t="inlineStr">
        <is>
          <t>STOCKHOLMS LÄN</t>
        </is>
      </c>
      <c r="G591" t="inlineStr">
        <is>
          <t>NORRTÄLJE</t>
        </is>
      </c>
      <c r="H591" t="inlineStr">
        <is>
          <t>Sveaskog</t>
        </is>
      </c>
      <c r="I591" t="n">
        <v>10.5</v>
      </c>
      <c r="J591" t="n">
        <v>0</v>
      </c>
      <c r="K591" t="n">
        <v>0</v>
      </c>
      <c r="L591" t="n">
        <v>0</v>
      </c>
      <c r="M591" t="n">
        <v>0</v>
      </c>
      <c r="N591" t="n">
        <v>0</v>
      </c>
      <c r="O591" t="n">
        <v>0</v>
      </c>
      <c r="P591" t="n">
        <v>0</v>
      </c>
      <c r="Q591" t="n">
        <v>0</v>
      </c>
      <c r="R591" t="n">
        <v>0</v>
      </c>
      <c r="S591" t="n">
        <v>0</v>
      </c>
      <c r="T591" t="n">
        <v>0</v>
      </c>
      <c r="U591" s="2" t="inlineStr"/>
    </row>
    <row r="592" ht="15" customHeight="1">
      <c r="A592" t="inlineStr">
        <is>
          <t>A 19952-2023</t>
        </is>
      </c>
      <c r="B592" t="inlineStr">
        <is>
          <t>avverkningsanmälan</t>
        </is>
      </c>
      <c r="C592" t="inlineStr">
        <is>
          <t>Föryngringsavverkning</t>
        </is>
      </c>
      <c r="D592" s="1" t="n">
        <v>45054</v>
      </c>
      <c r="E592" s="1" t="n">
        <v>46219</v>
      </c>
      <c r="F592" t="inlineStr">
        <is>
          <t>STOCKHOLMS LÄN</t>
        </is>
      </c>
      <c r="G592" t="inlineStr">
        <is>
          <t>NORRTÄLJE</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19994-2023</t>
        </is>
      </c>
      <c r="B593" t="inlineStr">
        <is>
          <t>avverkningsanmälan</t>
        </is>
      </c>
      <c r="C593" t="inlineStr">
        <is>
          <t>Föryngringsavverkning</t>
        </is>
      </c>
      <c r="D593" s="1" t="n">
        <v>45054</v>
      </c>
      <c r="E593" s="1" t="n">
        <v>46219</v>
      </c>
      <c r="F593" t="inlineStr">
        <is>
          <t>STOCKHOLMS LÄN</t>
        </is>
      </c>
      <c r="G593" t="inlineStr">
        <is>
          <t>NORRTÄLJE</t>
        </is>
      </c>
      <c r="I593" t="n">
        <v>4.3</v>
      </c>
      <c r="J593" t="n">
        <v>0</v>
      </c>
      <c r="K593" t="n">
        <v>0</v>
      </c>
      <c r="L593" t="n">
        <v>0</v>
      </c>
      <c r="M593" t="n">
        <v>0</v>
      </c>
      <c r="N593" t="n">
        <v>0</v>
      </c>
      <c r="O593" t="n">
        <v>0</v>
      </c>
      <c r="P593" t="n">
        <v>0</v>
      </c>
      <c r="Q593" t="n">
        <v>0</v>
      </c>
      <c r="R593" t="n">
        <v>0</v>
      </c>
      <c r="S593" t="n">
        <v>0</v>
      </c>
      <c r="T593" t="n">
        <v>0</v>
      </c>
      <c r="U593" s="2" t="inlineStr"/>
    </row>
    <row r="594" ht="15" customHeight="1">
      <c r="A594" t="inlineStr">
        <is>
          <t>A 29738-2026</t>
        </is>
      </c>
      <c r="B594" t="inlineStr">
        <is>
          <t>avverkningsanmälan</t>
        </is>
      </c>
      <c r="C594" t="inlineStr">
        <is>
          <t>Föryngringsavverkning</t>
        </is>
      </c>
      <c r="D594" s="1" t="n">
        <v>46204</v>
      </c>
      <c r="E594" s="1" t="n">
        <v>46219</v>
      </c>
      <c r="F594" t="inlineStr">
        <is>
          <t>STOCKHOLMS LÄN</t>
        </is>
      </c>
      <c r="G594" t="inlineStr">
        <is>
          <t>NORRTÄLJE</t>
        </is>
      </c>
      <c r="I594" t="n">
        <v>3.3</v>
      </c>
      <c r="J594" t="n">
        <v>0</v>
      </c>
      <c r="K594" t="n">
        <v>0</v>
      </c>
      <c r="L594" t="n">
        <v>0</v>
      </c>
      <c r="M594" t="n">
        <v>0</v>
      </c>
      <c r="N594" t="n">
        <v>0</v>
      </c>
      <c r="O594" t="n">
        <v>0</v>
      </c>
      <c r="P594" t="n">
        <v>0</v>
      </c>
      <c r="Q594" t="n">
        <v>0</v>
      </c>
      <c r="R594" t="n">
        <v>0</v>
      </c>
      <c r="S594" t="n">
        <v>0</v>
      </c>
      <c r="T594" t="n">
        <v>0</v>
      </c>
      <c r="U594" s="2" t="inlineStr"/>
    </row>
    <row r="595" ht="15" customHeight="1">
      <c r="A595" t="inlineStr">
        <is>
          <t>A 29330-2026</t>
        </is>
      </c>
      <c r="B595" t="inlineStr">
        <is>
          <t>avverkningsanmälan</t>
        </is>
      </c>
      <c r="C595" t="inlineStr">
        <is>
          <t>Föryngringsavverkning</t>
        </is>
      </c>
      <c r="D595" s="1" t="n">
        <v>46202</v>
      </c>
      <c r="E595" s="1" t="n">
        <v>46219</v>
      </c>
      <c r="F595" t="inlineStr">
        <is>
          <t>STOCKHOLMS LÄN</t>
        </is>
      </c>
      <c r="G595" t="inlineStr">
        <is>
          <t>NORRTÄLJE</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27821-2025</t>
        </is>
      </c>
      <c r="B596" t="inlineStr">
        <is>
          <t>avverkningsanmälan</t>
        </is>
      </c>
      <c r="C596" t="inlineStr">
        <is>
          <t>Föryngringsavverkning</t>
        </is>
      </c>
      <c r="D596" s="1" t="n">
        <v>45817</v>
      </c>
      <c r="E596" s="1" t="n">
        <v>46219</v>
      </c>
      <c r="F596" t="inlineStr">
        <is>
          <t>STOCKHOLMS LÄN</t>
        </is>
      </c>
      <c r="G596" t="inlineStr">
        <is>
          <t>NORRTÄLJE</t>
        </is>
      </c>
      <c r="I596" t="n">
        <v>3.2</v>
      </c>
      <c r="J596" t="n">
        <v>0</v>
      </c>
      <c r="K596" t="n">
        <v>0</v>
      </c>
      <c r="L596" t="n">
        <v>0</v>
      </c>
      <c r="M596" t="n">
        <v>0</v>
      </c>
      <c r="N596" t="n">
        <v>0</v>
      </c>
      <c r="O596" t="n">
        <v>0</v>
      </c>
      <c r="P596" t="n">
        <v>0</v>
      </c>
      <c r="Q596" t="n">
        <v>0</v>
      </c>
      <c r="R596" t="n">
        <v>0</v>
      </c>
      <c r="S596" t="n">
        <v>0</v>
      </c>
      <c r="T596" t="n">
        <v>0</v>
      </c>
      <c r="U596" s="2" t="inlineStr"/>
    </row>
    <row r="597" ht="15" customHeight="1">
      <c r="A597" t="inlineStr">
        <is>
          <t>A 29003-2023</t>
        </is>
      </c>
      <c r="B597" t="inlineStr">
        <is>
          <t>avverkningsanmälan</t>
        </is>
      </c>
      <c r="C597" t="inlineStr">
        <is>
          <t>Föryngringsavverkning</t>
        </is>
      </c>
      <c r="D597" s="1" t="n">
        <v>45104</v>
      </c>
      <c r="E597" s="1" t="n">
        <v>46219</v>
      </c>
      <c r="F597" t="inlineStr">
        <is>
          <t>STOCKHOLMS LÄN</t>
        </is>
      </c>
      <c r="G597" t="inlineStr">
        <is>
          <t>NORRTÄLJE</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15956-2023</t>
        </is>
      </c>
      <c r="B598" t="inlineStr">
        <is>
          <t>avverkningsanmälan</t>
        </is>
      </c>
      <c r="C598" t="inlineStr">
        <is>
          <t>Föryngringsavverkning</t>
        </is>
      </c>
      <c r="D598" s="1" t="n">
        <v>45022</v>
      </c>
      <c r="E598" s="1" t="n">
        <v>46219</v>
      </c>
      <c r="F598" t="inlineStr">
        <is>
          <t>STOCKHOLMS LÄN</t>
        </is>
      </c>
      <c r="G598" t="inlineStr">
        <is>
          <t>NORRTÄLJE</t>
        </is>
      </c>
      <c r="I598" t="n">
        <v>2.3</v>
      </c>
      <c r="J598" t="n">
        <v>0</v>
      </c>
      <c r="K598" t="n">
        <v>0</v>
      </c>
      <c r="L598" t="n">
        <v>0</v>
      </c>
      <c r="M598" t="n">
        <v>0</v>
      </c>
      <c r="N598" t="n">
        <v>0</v>
      </c>
      <c r="O598" t="n">
        <v>0</v>
      </c>
      <c r="P598" t="n">
        <v>0</v>
      </c>
      <c r="Q598" t="n">
        <v>0</v>
      </c>
      <c r="R598" t="n">
        <v>0</v>
      </c>
      <c r="S598" t="n">
        <v>0</v>
      </c>
      <c r="T598" t="n">
        <v>0</v>
      </c>
      <c r="U598" s="2" t="inlineStr"/>
    </row>
    <row r="599" ht="15" customHeight="1">
      <c r="A599" t="inlineStr">
        <is>
          <t>A 8370-2025</t>
        </is>
      </c>
      <c r="B599" t="inlineStr">
        <is>
          <t>avverkningsanmälan</t>
        </is>
      </c>
      <c r="C599" t="inlineStr">
        <is>
          <t>Föryngringsavverkning</t>
        </is>
      </c>
      <c r="D599" s="1" t="n">
        <v>45708</v>
      </c>
      <c r="E599" s="1" t="n">
        <v>46219</v>
      </c>
      <c r="F599" t="inlineStr">
        <is>
          <t>STOCKHOLMS LÄN</t>
        </is>
      </c>
      <c r="G599" t="inlineStr">
        <is>
          <t>NORRTÄLJE</t>
        </is>
      </c>
      <c r="H599" t="inlineStr">
        <is>
          <t>Övriga Aktiebolag</t>
        </is>
      </c>
      <c r="I599" t="n">
        <v>5.6</v>
      </c>
      <c r="J599" t="n">
        <v>0</v>
      </c>
      <c r="K599" t="n">
        <v>0</v>
      </c>
      <c r="L599" t="n">
        <v>0</v>
      </c>
      <c r="M599" t="n">
        <v>0</v>
      </c>
      <c r="N599" t="n">
        <v>0</v>
      </c>
      <c r="O599" t="n">
        <v>0</v>
      </c>
      <c r="P599" t="n">
        <v>0</v>
      </c>
      <c r="Q599" t="n">
        <v>0</v>
      </c>
      <c r="R599" t="n">
        <v>0</v>
      </c>
      <c r="S599" t="n">
        <v>0</v>
      </c>
      <c r="T599" t="n">
        <v>0</v>
      </c>
      <c r="U599" s="2" t="inlineStr"/>
    </row>
    <row r="600" ht="15" customHeight="1">
      <c r="A600" t="inlineStr">
        <is>
          <t>A 53747-2025</t>
        </is>
      </c>
      <c r="B600" t="inlineStr">
        <is>
          <t>avverkningsanmälan</t>
        </is>
      </c>
      <c r="C600" t="inlineStr">
        <is>
          <t>Föryngringsavverkning</t>
        </is>
      </c>
      <c r="D600" s="1" t="n">
        <v>45960</v>
      </c>
      <c r="E600" s="1" t="n">
        <v>46219</v>
      </c>
      <c r="F600" t="inlineStr">
        <is>
          <t>STOCKHOLMS LÄN</t>
        </is>
      </c>
      <c r="G600" t="inlineStr">
        <is>
          <t>NORRTÄLJE</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13053-2022</t>
        </is>
      </c>
      <c r="B601" t="inlineStr">
        <is>
          <t>avverkningsanmälan</t>
        </is>
      </c>
      <c r="C601" t="inlineStr">
        <is>
          <t>Föryngringsavverkning</t>
        </is>
      </c>
      <c r="D601" s="1" t="n">
        <v>44643</v>
      </c>
      <c r="E601" s="1" t="n">
        <v>46219</v>
      </c>
      <c r="F601" t="inlineStr">
        <is>
          <t>STOCKHOLMS LÄN</t>
        </is>
      </c>
      <c r="G601" t="inlineStr">
        <is>
          <t>NORRTÄLJE</t>
        </is>
      </c>
      <c r="I601" t="n">
        <v>2.8</v>
      </c>
      <c r="J601" t="n">
        <v>0</v>
      </c>
      <c r="K601" t="n">
        <v>0</v>
      </c>
      <c r="L601" t="n">
        <v>0</v>
      </c>
      <c r="M601" t="n">
        <v>0</v>
      </c>
      <c r="N601" t="n">
        <v>0</v>
      </c>
      <c r="O601" t="n">
        <v>0</v>
      </c>
      <c r="P601" t="n">
        <v>0</v>
      </c>
      <c r="Q601" t="n">
        <v>0</v>
      </c>
      <c r="R601" t="n">
        <v>0</v>
      </c>
      <c r="S601" t="n">
        <v>0</v>
      </c>
      <c r="T601" t="n">
        <v>0</v>
      </c>
      <c r="U601" s="2" t="inlineStr"/>
    </row>
    <row r="602" ht="15" customHeight="1">
      <c r="A602" t="inlineStr">
        <is>
          <t>A 3383-2023</t>
        </is>
      </c>
      <c r="B602" t="inlineStr">
        <is>
          <t>avverkningsanmälan</t>
        </is>
      </c>
      <c r="C602" t="inlineStr">
        <is>
          <t>Avverkning för att bevara och utveckla /försöksver</t>
        </is>
      </c>
      <c r="D602" s="1" t="n">
        <v>44949</v>
      </c>
      <c r="E602" s="1" t="n">
        <v>46219</v>
      </c>
      <c r="F602" t="inlineStr">
        <is>
          <t>STOCKHOLMS LÄN</t>
        </is>
      </c>
      <c r="G602" t="inlineStr">
        <is>
          <t>NORRTÄLJE</t>
        </is>
      </c>
      <c r="I602" t="n">
        <v>14.6</v>
      </c>
      <c r="J602" t="n">
        <v>0</v>
      </c>
      <c r="K602" t="n">
        <v>0</v>
      </c>
      <c r="L602" t="n">
        <v>0</v>
      </c>
      <c r="M602" t="n">
        <v>0</v>
      </c>
      <c r="N602" t="n">
        <v>0</v>
      </c>
      <c r="O602" t="n">
        <v>0</v>
      </c>
      <c r="P602" t="n">
        <v>0</v>
      </c>
      <c r="Q602" t="n">
        <v>0</v>
      </c>
      <c r="R602" t="n">
        <v>0</v>
      </c>
      <c r="S602" t="n">
        <v>0</v>
      </c>
      <c r="T602" t="n">
        <v>0</v>
      </c>
      <c r="U602" s="2" t="inlineStr"/>
    </row>
    <row r="603" ht="15" customHeight="1">
      <c r="A603" t="inlineStr">
        <is>
          <t>A 4316-2023</t>
        </is>
      </c>
      <c r="B603" t="inlineStr">
        <is>
          <t>avverkningsanmälan</t>
        </is>
      </c>
      <c r="C603" t="inlineStr">
        <is>
          <t>Föryngringsavverkning</t>
        </is>
      </c>
      <c r="D603" s="1" t="n">
        <v>44953</v>
      </c>
      <c r="E603" s="1" t="n">
        <v>46219</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5839-2023</t>
        </is>
      </c>
      <c r="B604" t="inlineStr">
        <is>
          <t>avverkningsanmälan</t>
        </is>
      </c>
      <c r="C604" t="inlineStr">
        <is>
          <t>Föryngringsavverkning</t>
        </is>
      </c>
      <c r="D604" s="1" t="n">
        <v>44963</v>
      </c>
      <c r="E604" s="1" t="n">
        <v>46219</v>
      </c>
      <c r="F604" t="inlineStr">
        <is>
          <t>STOCKHOLMS LÄN</t>
        </is>
      </c>
      <c r="G604" t="inlineStr">
        <is>
          <t>NORRTÄLJE</t>
        </is>
      </c>
      <c r="I604" t="n">
        <v>3.6</v>
      </c>
      <c r="J604" t="n">
        <v>0</v>
      </c>
      <c r="K604" t="n">
        <v>0</v>
      </c>
      <c r="L604" t="n">
        <v>0</v>
      </c>
      <c r="M604" t="n">
        <v>0</v>
      </c>
      <c r="N604" t="n">
        <v>0</v>
      </c>
      <c r="O604" t="n">
        <v>0</v>
      </c>
      <c r="P604" t="n">
        <v>0</v>
      </c>
      <c r="Q604" t="n">
        <v>0</v>
      </c>
      <c r="R604" t="n">
        <v>0</v>
      </c>
      <c r="S604" t="n">
        <v>0</v>
      </c>
      <c r="T604" t="n">
        <v>0</v>
      </c>
      <c r="U604" s="2" t="inlineStr"/>
    </row>
    <row r="605" ht="15" customHeight="1">
      <c r="A605" t="inlineStr">
        <is>
          <t>A 30107-2026</t>
        </is>
      </c>
      <c r="B605" t="inlineStr">
        <is>
          <t>avverkningsanmälan</t>
        </is>
      </c>
      <c r="C605" t="inlineStr">
        <is>
          <t>Föryngringsavverkning</t>
        </is>
      </c>
      <c r="D605" s="1" t="n">
        <v>46206</v>
      </c>
      <c r="E605" s="1" t="n">
        <v>46219</v>
      </c>
      <c r="F605" t="inlineStr">
        <is>
          <t>STOCKHOLMS LÄN</t>
        </is>
      </c>
      <c r="G605" t="inlineStr">
        <is>
          <t>NORRTÄLJE</t>
        </is>
      </c>
      <c r="I605" t="n">
        <v>6.8</v>
      </c>
      <c r="J605" t="n">
        <v>0</v>
      </c>
      <c r="K605" t="n">
        <v>0</v>
      </c>
      <c r="L605" t="n">
        <v>0</v>
      </c>
      <c r="M605" t="n">
        <v>0</v>
      </c>
      <c r="N605" t="n">
        <v>0</v>
      </c>
      <c r="O605" t="n">
        <v>0</v>
      </c>
      <c r="P605" t="n">
        <v>0</v>
      </c>
      <c r="Q605" t="n">
        <v>0</v>
      </c>
      <c r="R605" t="n">
        <v>0</v>
      </c>
      <c r="S605" t="n">
        <v>0</v>
      </c>
      <c r="T605" t="n">
        <v>0</v>
      </c>
      <c r="U605" s="2" t="inlineStr"/>
    </row>
    <row r="606" ht="15" customHeight="1">
      <c r="A606" t="inlineStr">
        <is>
          <t>A 24705-2023</t>
        </is>
      </c>
      <c r="B606" t="inlineStr">
        <is>
          <t>avverkningsanmälan</t>
        </is>
      </c>
      <c r="C606" t="inlineStr">
        <is>
          <t>Föryngringsavverkning</t>
        </is>
      </c>
      <c r="D606" s="1" t="n">
        <v>45084</v>
      </c>
      <c r="E606" s="1" t="n">
        <v>46219</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54358-2022</t>
        </is>
      </c>
      <c r="B607" t="inlineStr">
        <is>
          <t>avverkningsanmälan</t>
        </is>
      </c>
      <c r="C607" t="inlineStr">
        <is>
          <t>Föryngringsavverkning</t>
        </is>
      </c>
      <c r="D607" s="1" t="n">
        <v>44882</v>
      </c>
      <c r="E607" s="1" t="n">
        <v>46219</v>
      </c>
      <c r="F607" t="inlineStr">
        <is>
          <t>STOCKHOLMS LÄN</t>
        </is>
      </c>
      <c r="G607" t="inlineStr">
        <is>
          <t>NORRTÄLJE</t>
        </is>
      </c>
      <c r="I607" t="n">
        <v>3.3</v>
      </c>
      <c r="J607" t="n">
        <v>0</v>
      </c>
      <c r="K607" t="n">
        <v>0</v>
      </c>
      <c r="L607" t="n">
        <v>0</v>
      </c>
      <c r="M607" t="n">
        <v>0</v>
      </c>
      <c r="N607" t="n">
        <v>0</v>
      </c>
      <c r="O607" t="n">
        <v>0</v>
      </c>
      <c r="P607" t="n">
        <v>0</v>
      </c>
      <c r="Q607" t="n">
        <v>0</v>
      </c>
      <c r="R607" t="n">
        <v>0</v>
      </c>
      <c r="S607" t="n">
        <v>0</v>
      </c>
      <c r="T607" t="n">
        <v>0</v>
      </c>
      <c r="U607" s="2" t="inlineStr"/>
    </row>
    <row r="608" ht="15" customHeight="1">
      <c r="A608" t="inlineStr">
        <is>
          <t>A 951-2023</t>
        </is>
      </c>
      <c r="B608" t="inlineStr">
        <is>
          <t>avverkningsanmälan</t>
        </is>
      </c>
      <c r="C608" t="inlineStr">
        <is>
          <t>Föryngringsavverkning</t>
        </is>
      </c>
      <c r="D608" s="1" t="n">
        <v>44934</v>
      </c>
      <c r="E608" s="1" t="n">
        <v>46219</v>
      </c>
      <c r="F608" t="inlineStr">
        <is>
          <t>STOCKHOLMS LÄN</t>
        </is>
      </c>
      <c r="G608" t="inlineStr">
        <is>
          <t>NORRTÄLJE</t>
        </is>
      </c>
      <c r="I608" t="n">
        <v>3.7</v>
      </c>
      <c r="J608" t="n">
        <v>0</v>
      </c>
      <c r="K608" t="n">
        <v>0</v>
      </c>
      <c r="L608" t="n">
        <v>0</v>
      </c>
      <c r="M608" t="n">
        <v>0</v>
      </c>
      <c r="N608" t="n">
        <v>0</v>
      </c>
      <c r="O608" t="n">
        <v>0</v>
      </c>
      <c r="P608" t="n">
        <v>0</v>
      </c>
      <c r="Q608" t="n">
        <v>0</v>
      </c>
      <c r="R608" t="n">
        <v>0</v>
      </c>
      <c r="S608" t="n">
        <v>0</v>
      </c>
      <c r="T608" t="n">
        <v>0</v>
      </c>
      <c r="U608" s="2" t="inlineStr"/>
    </row>
    <row r="609" ht="15" customHeight="1">
      <c r="A609" t="inlineStr">
        <is>
          <t>A 54907-2025</t>
        </is>
      </c>
      <c r="B609" t="inlineStr">
        <is>
          <t>avverkningsanmälan</t>
        </is>
      </c>
      <c r="C609" t="inlineStr">
        <is>
          <t>Föryngringsavverkning</t>
        </is>
      </c>
      <c r="D609" s="1" t="n">
        <v>45967</v>
      </c>
      <c r="E609" s="1" t="n">
        <v>46219</v>
      </c>
      <c r="F609" t="inlineStr">
        <is>
          <t>STOCKHOLMS LÄN</t>
        </is>
      </c>
      <c r="G609" t="inlineStr">
        <is>
          <t>NORRTÄLJE</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23749-2024</t>
        </is>
      </c>
      <c r="B610" t="inlineStr">
        <is>
          <t>avverkningsanmälan</t>
        </is>
      </c>
      <c r="C610" t="inlineStr">
        <is>
          <t>Föryngringsavverkning</t>
        </is>
      </c>
      <c r="D610" s="1" t="n">
        <v>45455</v>
      </c>
      <c r="E610" s="1" t="n">
        <v>46219</v>
      </c>
      <c r="F610" t="inlineStr">
        <is>
          <t>STOCKHOLMS LÄN</t>
        </is>
      </c>
      <c r="G610" t="inlineStr">
        <is>
          <t>NORRTÄLJE</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35698-2023</t>
        </is>
      </c>
      <c r="B611" t="inlineStr">
        <is>
          <t>avverkningsanmälan</t>
        </is>
      </c>
      <c r="C611" t="inlineStr">
        <is>
          <t>Föryngringsavverkning</t>
        </is>
      </c>
      <c r="D611" s="1" t="n">
        <v>45147</v>
      </c>
      <c r="E611" s="1" t="n">
        <v>46219</v>
      </c>
      <c r="F611" t="inlineStr">
        <is>
          <t>STOCKHOLMS LÄN</t>
        </is>
      </c>
      <c r="G611" t="inlineStr">
        <is>
          <t>NORRTÄLJE</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30410-2026</t>
        </is>
      </c>
      <c r="B612" t="inlineStr">
        <is>
          <t>avverkningsanmälan</t>
        </is>
      </c>
      <c r="C612" t="inlineStr">
        <is>
          <t>Föryngringsavverkning</t>
        </is>
      </c>
      <c r="D612" s="1" t="n">
        <v>46209</v>
      </c>
      <c r="E612" s="1" t="n">
        <v>46219</v>
      </c>
      <c r="F612" t="inlineStr">
        <is>
          <t>STOCKHOLMS LÄN</t>
        </is>
      </c>
      <c r="G612" t="inlineStr">
        <is>
          <t>NORRTÄLJE</t>
        </is>
      </c>
      <c r="I612" t="n">
        <v>4</v>
      </c>
      <c r="J612" t="n">
        <v>0</v>
      </c>
      <c r="K612" t="n">
        <v>0</v>
      </c>
      <c r="L612" t="n">
        <v>0</v>
      </c>
      <c r="M612" t="n">
        <v>0</v>
      </c>
      <c r="N612" t="n">
        <v>0</v>
      </c>
      <c r="O612" t="n">
        <v>0</v>
      </c>
      <c r="P612" t="n">
        <v>0</v>
      </c>
      <c r="Q612" t="n">
        <v>0</v>
      </c>
      <c r="R612" t="n">
        <v>0</v>
      </c>
      <c r="S612" t="n">
        <v>0</v>
      </c>
      <c r="T612" t="n">
        <v>0</v>
      </c>
      <c r="U612" s="2" t="inlineStr"/>
    </row>
    <row r="613" ht="15" customHeight="1">
      <c r="A613" t="inlineStr">
        <is>
          <t>A 32100-2022</t>
        </is>
      </c>
      <c r="B613" t="inlineStr">
        <is>
          <t>avverkningsanmälan</t>
        </is>
      </c>
      <c r="C613" t="inlineStr">
        <is>
          <t>Föryngringsavverkning</t>
        </is>
      </c>
      <c r="D613" s="1" t="n">
        <v>44778</v>
      </c>
      <c r="E613" s="1" t="n">
        <v>46219</v>
      </c>
      <c r="F613" t="inlineStr">
        <is>
          <t>STOCKHOLMS LÄN</t>
        </is>
      </c>
      <c r="G613" t="inlineStr">
        <is>
          <t>NORRTÄLJE</t>
        </is>
      </c>
      <c r="I613" t="n">
        <v>3.3</v>
      </c>
      <c r="J613" t="n">
        <v>0</v>
      </c>
      <c r="K613" t="n">
        <v>0</v>
      </c>
      <c r="L613" t="n">
        <v>0</v>
      </c>
      <c r="M613" t="n">
        <v>0</v>
      </c>
      <c r="N613" t="n">
        <v>0</v>
      </c>
      <c r="O613" t="n">
        <v>0</v>
      </c>
      <c r="P613" t="n">
        <v>0</v>
      </c>
      <c r="Q613" t="n">
        <v>0</v>
      </c>
      <c r="R613" t="n">
        <v>0</v>
      </c>
      <c r="S613" t="n">
        <v>0</v>
      </c>
      <c r="T613" t="n">
        <v>0</v>
      </c>
      <c r="U613" s="2" t="inlineStr"/>
    </row>
    <row r="614" ht="15" customHeight="1">
      <c r="A614" t="inlineStr">
        <is>
          <t>A 30323-2026</t>
        </is>
      </c>
      <c r="B614" t="inlineStr">
        <is>
          <t>avverkningsanmälan</t>
        </is>
      </c>
      <c r="C614" t="inlineStr">
        <is>
          <t>Föryngringsavverkning</t>
        </is>
      </c>
      <c r="D614" s="1" t="n">
        <v>46207</v>
      </c>
      <c r="E614" s="1" t="n">
        <v>46219</v>
      </c>
      <c r="F614" t="inlineStr">
        <is>
          <t>STOCKHOLMS LÄN</t>
        </is>
      </c>
      <c r="G614" t="inlineStr">
        <is>
          <t>NORRTÄLJE</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30325-2026</t>
        </is>
      </c>
      <c r="B615" t="inlineStr">
        <is>
          <t>avverkningsanmälan</t>
        </is>
      </c>
      <c r="C615" t="inlineStr">
        <is>
          <t>Föryngringsavverkning</t>
        </is>
      </c>
      <c r="D615" s="1" t="n">
        <v>46207</v>
      </c>
      <c r="E615" s="1" t="n">
        <v>46219</v>
      </c>
      <c r="F615" t="inlineStr">
        <is>
          <t>STOCKHOLMS LÄN</t>
        </is>
      </c>
      <c r="G615" t="inlineStr">
        <is>
          <t>NORRTÄLJE</t>
        </is>
      </c>
      <c r="I615" t="n">
        <v>3.9</v>
      </c>
      <c r="J615" t="n">
        <v>0</v>
      </c>
      <c r="K615" t="n">
        <v>0</v>
      </c>
      <c r="L615" t="n">
        <v>0</v>
      </c>
      <c r="M615" t="n">
        <v>0</v>
      </c>
      <c r="N615" t="n">
        <v>0</v>
      </c>
      <c r="O615" t="n">
        <v>0</v>
      </c>
      <c r="P615" t="n">
        <v>0</v>
      </c>
      <c r="Q615" t="n">
        <v>0</v>
      </c>
      <c r="R615" t="n">
        <v>0</v>
      </c>
      <c r="S615" t="n">
        <v>0</v>
      </c>
      <c r="T615" t="n">
        <v>0</v>
      </c>
      <c r="U615" s="2" t="inlineStr"/>
    </row>
    <row r="616" ht="15" customHeight="1">
      <c r="A616" t="inlineStr">
        <is>
          <t>A 73992-2021</t>
        </is>
      </c>
      <c r="B616" t="inlineStr">
        <is>
          <t>avverkningsanmälan</t>
        </is>
      </c>
      <c r="C616" t="inlineStr">
        <is>
          <t>Föryngringsavverkning</t>
        </is>
      </c>
      <c r="D616" s="1" t="n">
        <v>44556</v>
      </c>
      <c r="E616" s="1" t="n">
        <v>46219</v>
      </c>
      <c r="F616" t="inlineStr">
        <is>
          <t>STOCKHOLMS LÄN</t>
        </is>
      </c>
      <c r="G616" t="inlineStr">
        <is>
          <t>NORRTÄLJE</t>
        </is>
      </c>
      <c r="I616" t="n">
        <v>12.5</v>
      </c>
      <c r="J616" t="n">
        <v>0</v>
      </c>
      <c r="K616" t="n">
        <v>0</v>
      </c>
      <c r="L616" t="n">
        <v>0</v>
      </c>
      <c r="M616" t="n">
        <v>0</v>
      </c>
      <c r="N616" t="n">
        <v>0</v>
      </c>
      <c r="O616" t="n">
        <v>0</v>
      </c>
      <c r="P616" t="n">
        <v>0</v>
      </c>
      <c r="Q616" t="n">
        <v>0</v>
      </c>
      <c r="R616" t="n">
        <v>0</v>
      </c>
      <c r="S616" t="n">
        <v>0</v>
      </c>
      <c r="T616" t="n">
        <v>0</v>
      </c>
      <c r="U616" s="2" t="inlineStr"/>
    </row>
    <row r="617" ht="15" customHeight="1">
      <c r="A617" t="inlineStr">
        <is>
          <t>A 55599-2025</t>
        </is>
      </c>
      <c r="B617" t="inlineStr">
        <is>
          <t>avverkningsanmälan</t>
        </is>
      </c>
      <c r="C617" t="inlineStr">
        <is>
          <t>Föryngringsavverkning</t>
        </is>
      </c>
      <c r="D617" s="1" t="n">
        <v>45971</v>
      </c>
      <c r="E617" s="1" t="n">
        <v>46219</v>
      </c>
      <c r="F617" t="inlineStr">
        <is>
          <t>STOCKHOLMS LÄN</t>
        </is>
      </c>
      <c r="G617" t="inlineStr">
        <is>
          <t>NORRTÄLJE</t>
        </is>
      </c>
      <c r="H617" t="inlineStr">
        <is>
          <t>Holmen skog AB</t>
        </is>
      </c>
      <c r="I617" t="n">
        <v>6.4</v>
      </c>
      <c r="J617" t="n">
        <v>0</v>
      </c>
      <c r="K617" t="n">
        <v>0</v>
      </c>
      <c r="L617" t="n">
        <v>0</v>
      </c>
      <c r="M617" t="n">
        <v>0</v>
      </c>
      <c r="N617" t="n">
        <v>0</v>
      </c>
      <c r="O617" t="n">
        <v>0</v>
      </c>
      <c r="P617" t="n">
        <v>0</v>
      </c>
      <c r="Q617" t="n">
        <v>0</v>
      </c>
      <c r="R617" t="n">
        <v>0</v>
      </c>
      <c r="S617" t="n">
        <v>0</v>
      </c>
      <c r="T617" t="n">
        <v>0</v>
      </c>
      <c r="U617" s="2" t="inlineStr"/>
    </row>
    <row r="618" ht="15" customHeight="1">
      <c r="A618" t="inlineStr">
        <is>
          <t>A 54276-2021</t>
        </is>
      </c>
      <c r="B618" t="inlineStr">
        <is>
          <t>avverkningsanmälan</t>
        </is>
      </c>
      <c r="C618" t="inlineStr">
        <is>
          <t>Föryngringsavverkning</t>
        </is>
      </c>
      <c r="D618" s="1" t="n">
        <v>44470</v>
      </c>
      <c r="E618" s="1" t="n">
        <v>46219</v>
      </c>
      <c r="F618" t="inlineStr">
        <is>
          <t>STOCKHOLMS LÄN</t>
        </is>
      </c>
      <c r="G618" t="inlineStr">
        <is>
          <t>NORRTÄLJE</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10090-2022</t>
        </is>
      </c>
      <c r="B619" t="inlineStr">
        <is>
          <t>avverkningsanmälan</t>
        </is>
      </c>
      <c r="C619" t="inlineStr">
        <is>
          <t>Avverkning för annat ändamål</t>
        </is>
      </c>
      <c r="D619" s="1" t="n">
        <v>44621</v>
      </c>
      <c r="E619" s="1" t="n">
        <v>46219</v>
      </c>
      <c r="F619" t="inlineStr">
        <is>
          <t>STOCKHOLMS LÄN</t>
        </is>
      </c>
      <c r="G619" t="inlineStr">
        <is>
          <t>NORRTÄLJE</t>
        </is>
      </c>
      <c r="I619" t="n">
        <v>5.2</v>
      </c>
      <c r="J619" t="n">
        <v>0</v>
      </c>
      <c r="K619" t="n">
        <v>0</v>
      </c>
      <c r="L619" t="n">
        <v>0</v>
      </c>
      <c r="M619" t="n">
        <v>0</v>
      </c>
      <c r="N619" t="n">
        <v>0</v>
      </c>
      <c r="O619" t="n">
        <v>0</v>
      </c>
      <c r="P619" t="n">
        <v>0</v>
      </c>
      <c r="Q619" t="n">
        <v>0</v>
      </c>
      <c r="R619" t="n">
        <v>0</v>
      </c>
      <c r="S619" t="n">
        <v>0</v>
      </c>
      <c r="T619" t="n">
        <v>0</v>
      </c>
      <c r="U619" s="2" t="inlineStr"/>
    </row>
    <row r="620" ht="15" customHeight="1">
      <c r="A620" t="inlineStr">
        <is>
          <t>A 51116-2022</t>
        </is>
      </c>
      <c r="B620" t="inlineStr">
        <is>
          <t>avverkningsanmälan</t>
        </is>
      </c>
      <c r="C620" t="inlineStr">
        <is>
          <t>Föryngringsavverkning</t>
        </is>
      </c>
      <c r="D620" s="1" t="n">
        <v>44868</v>
      </c>
      <c r="E620" s="1" t="n">
        <v>46219</v>
      </c>
      <c r="F620" t="inlineStr">
        <is>
          <t>STOCKHOLMS LÄN</t>
        </is>
      </c>
      <c r="G620" t="inlineStr">
        <is>
          <t>NORRTÄLJE</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2888-2022</t>
        </is>
      </c>
      <c r="B621" t="inlineStr">
        <is>
          <t>avverkningsanmälan</t>
        </is>
      </c>
      <c r="C621" t="inlineStr">
        <is>
          <t>Föryngringsavverkning</t>
        </is>
      </c>
      <c r="D621" s="1" t="n">
        <v>44581</v>
      </c>
      <c r="E621" s="1" t="n">
        <v>46219</v>
      </c>
      <c r="F621" t="inlineStr">
        <is>
          <t>STOCKHOLMS LÄN</t>
        </is>
      </c>
      <c r="G621" t="inlineStr">
        <is>
          <t>NORRTÄLJE</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23855-2026</t>
        </is>
      </c>
      <c r="B622" t="inlineStr">
        <is>
          <t>avverkningsanmälan</t>
        </is>
      </c>
      <c r="C622" t="inlineStr">
        <is>
          <t>Föryngringsavverkning</t>
        </is>
      </c>
      <c r="D622" s="1" t="n">
        <v>46167</v>
      </c>
      <c r="E622" s="1" t="n">
        <v>46219</v>
      </c>
      <c r="F622" t="inlineStr">
        <is>
          <t>STOCKHOLMS LÄN</t>
        </is>
      </c>
      <c r="G622" t="inlineStr">
        <is>
          <t>NORRTÄLJE</t>
        </is>
      </c>
      <c r="I622" t="n">
        <v>1.6</v>
      </c>
      <c r="J622" t="n">
        <v>0</v>
      </c>
      <c r="K622" t="n">
        <v>0</v>
      </c>
      <c r="L622" t="n">
        <v>0</v>
      </c>
      <c r="M622" t="n">
        <v>0</v>
      </c>
      <c r="N622" t="n">
        <v>0</v>
      </c>
      <c r="O622" t="n">
        <v>0</v>
      </c>
      <c r="P622" t="n">
        <v>0</v>
      </c>
      <c r="Q622" t="n">
        <v>0</v>
      </c>
      <c r="R622" t="n">
        <v>0</v>
      </c>
      <c r="S622" t="n">
        <v>0</v>
      </c>
      <c r="T622" t="n">
        <v>0</v>
      </c>
      <c r="U622" s="2" t="inlineStr"/>
    </row>
    <row r="623" ht="15" customHeight="1">
      <c r="A623" t="inlineStr">
        <is>
          <t>A 56114-2025</t>
        </is>
      </c>
      <c r="B623" t="inlineStr">
        <is>
          <t>avverkningsanmälan</t>
        </is>
      </c>
      <c r="C623" t="inlineStr">
        <is>
          <t>Föryngringsavverkning</t>
        </is>
      </c>
      <c r="D623" s="1" t="n">
        <v>45973</v>
      </c>
      <c r="E623" s="1" t="n">
        <v>46219</v>
      </c>
      <c r="F623" t="inlineStr">
        <is>
          <t>STOCKHOLMS LÄN</t>
        </is>
      </c>
      <c r="G623" t="inlineStr">
        <is>
          <t>NORRTÄLJE</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28809-2023</t>
        </is>
      </c>
      <c r="B624" t="inlineStr">
        <is>
          <t>avverkningsanmälan</t>
        </is>
      </c>
      <c r="C624" t="inlineStr">
        <is>
          <t>Föryngringsavverkning</t>
        </is>
      </c>
      <c r="D624" s="1" t="n">
        <v>45104</v>
      </c>
      <c r="E624" s="1" t="n">
        <v>46219</v>
      </c>
      <c r="F624" t="inlineStr">
        <is>
          <t>STOCKHOLMS LÄN</t>
        </is>
      </c>
      <c r="G624" t="inlineStr">
        <is>
          <t>NORRTÄLJE</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28813-2023</t>
        </is>
      </c>
      <c r="B625" t="inlineStr">
        <is>
          <t>avverkningsanmälan</t>
        </is>
      </c>
      <c r="C625" t="inlineStr">
        <is>
          <t>Föryngringsavverkning</t>
        </is>
      </c>
      <c r="D625" s="1" t="n">
        <v>45104</v>
      </c>
      <c r="E625" s="1" t="n">
        <v>46219</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11929-2024</t>
        </is>
      </c>
      <c r="B626" t="inlineStr">
        <is>
          <t>avverkningsanmälan</t>
        </is>
      </c>
      <c r="C626" t="inlineStr">
        <is>
          <t>Föryngringsavverkning</t>
        </is>
      </c>
      <c r="D626" s="1" t="n">
        <v>45376</v>
      </c>
      <c r="E626" s="1" t="n">
        <v>46219</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64145-2021</t>
        </is>
      </c>
      <c r="B627" t="inlineStr">
        <is>
          <t>avverkningsanmälan</t>
        </is>
      </c>
      <c r="C627" t="inlineStr">
        <is>
          <t>Föryngringsavverkning</t>
        </is>
      </c>
      <c r="D627" s="1" t="n">
        <v>44510</v>
      </c>
      <c r="E627" s="1" t="n">
        <v>46219</v>
      </c>
      <c r="F627" t="inlineStr">
        <is>
          <t>STOCKHOLMS LÄN</t>
        </is>
      </c>
      <c r="G627" t="inlineStr">
        <is>
          <t>NORRTÄLJE</t>
        </is>
      </c>
      <c r="H627" t="inlineStr">
        <is>
          <t>Holmen skog AB</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45451-2024</t>
        </is>
      </c>
      <c r="B628" t="inlineStr">
        <is>
          <t>avverkningsanmälan</t>
        </is>
      </c>
      <c r="C628" t="inlineStr">
        <is>
          <t>Föryngringsavverkning</t>
        </is>
      </c>
      <c r="D628" s="1" t="n">
        <v>45576</v>
      </c>
      <c r="E628" s="1" t="n">
        <v>46219</v>
      </c>
      <c r="F628" t="inlineStr">
        <is>
          <t>STOCKHOLMS LÄN</t>
        </is>
      </c>
      <c r="G628" t="inlineStr">
        <is>
          <t>NORRTÄLJE</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11902-2024</t>
        </is>
      </c>
      <c r="B629" t="inlineStr">
        <is>
          <t>avverkningsanmälan</t>
        </is>
      </c>
      <c r="C629" t="inlineStr">
        <is>
          <t>Föryngringsavverkning</t>
        </is>
      </c>
      <c r="D629" s="1" t="n">
        <v>45376</v>
      </c>
      <c r="E629" s="1" t="n">
        <v>46219</v>
      </c>
      <c r="F629" t="inlineStr">
        <is>
          <t>STOCKHOLMS LÄN</t>
        </is>
      </c>
      <c r="G629" t="inlineStr">
        <is>
          <t>NORRTÄLJE</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13-2024</t>
        </is>
      </c>
      <c r="B630" t="inlineStr">
        <is>
          <t>avverkningsanmälan</t>
        </is>
      </c>
      <c r="C630" t="inlineStr">
        <is>
          <t>Föryngringsavverkning</t>
        </is>
      </c>
      <c r="D630" s="1" t="n">
        <v>45293</v>
      </c>
      <c r="E630" s="1" t="n">
        <v>46219</v>
      </c>
      <c r="F630" t="inlineStr">
        <is>
          <t>STOCKHOLMS LÄN</t>
        </is>
      </c>
      <c r="G630" t="inlineStr">
        <is>
          <t>NORRTÄLJE</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53000-2025</t>
        </is>
      </c>
      <c r="B631" t="inlineStr">
        <is>
          <t>avverkningsanmälan</t>
        </is>
      </c>
      <c r="C631" t="inlineStr">
        <is>
          <t>Föryngringsavverkning</t>
        </is>
      </c>
      <c r="D631" s="1" t="n">
        <v>45957</v>
      </c>
      <c r="E631" s="1" t="n">
        <v>46219</v>
      </c>
      <c r="F631" t="inlineStr">
        <is>
          <t>STOCKHOLMS LÄN</t>
        </is>
      </c>
      <c r="G631" t="inlineStr">
        <is>
          <t>NORRTÄLJE</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58260-2023</t>
        </is>
      </c>
      <c r="B632" t="inlineStr">
        <is>
          <t>avverkningsanmälan</t>
        </is>
      </c>
      <c r="C632" t="inlineStr">
        <is>
          <t>Föryngringsavverkning</t>
        </is>
      </c>
      <c r="D632" s="1" t="n">
        <v>45245</v>
      </c>
      <c r="E632" s="1" t="n">
        <v>46219</v>
      </c>
      <c r="F632" t="inlineStr">
        <is>
          <t>STOCKHOLMS LÄN</t>
        </is>
      </c>
      <c r="G632" t="inlineStr">
        <is>
          <t>NORRTÄLJE</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58261-2023</t>
        </is>
      </c>
      <c r="B633" t="inlineStr">
        <is>
          <t>avverkningsanmälan</t>
        </is>
      </c>
      <c r="C633" t="inlineStr">
        <is>
          <t>Avverkning för annat ändamål</t>
        </is>
      </c>
      <c r="D633" s="1" t="n">
        <v>45245</v>
      </c>
      <c r="E633" s="1" t="n">
        <v>46219</v>
      </c>
      <c r="F633" t="inlineStr">
        <is>
          <t>STOCKHOLMS LÄN</t>
        </is>
      </c>
      <c r="G633" t="inlineStr">
        <is>
          <t>NORRTÄLJE</t>
        </is>
      </c>
      <c r="I633" t="n">
        <v>53.5</v>
      </c>
      <c r="J633" t="n">
        <v>0</v>
      </c>
      <c r="K633" t="n">
        <v>0</v>
      </c>
      <c r="L633" t="n">
        <v>0</v>
      </c>
      <c r="M633" t="n">
        <v>0</v>
      </c>
      <c r="N633" t="n">
        <v>0</v>
      </c>
      <c r="O633" t="n">
        <v>0</v>
      </c>
      <c r="P633" t="n">
        <v>0</v>
      </c>
      <c r="Q633" t="n">
        <v>0</v>
      </c>
      <c r="R633" t="n">
        <v>0</v>
      </c>
      <c r="S633" t="n">
        <v>0</v>
      </c>
      <c r="T633" t="n">
        <v>0</v>
      </c>
      <c r="U633" s="2" t="inlineStr"/>
    </row>
    <row r="634" ht="15" customHeight="1">
      <c r="A634" t="inlineStr">
        <is>
          <t>A 52703-2025</t>
        </is>
      </c>
      <c r="B634" t="inlineStr">
        <is>
          <t>avverkningsanmälan</t>
        </is>
      </c>
      <c r="C634" t="inlineStr">
        <is>
          <t>Föryngringsavverkning</t>
        </is>
      </c>
      <c r="D634" s="1" t="n">
        <v>45956</v>
      </c>
      <c r="E634" s="1" t="n">
        <v>46219</v>
      </c>
      <c r="F634" t="inlineStr">
        <is>
          <t>STOCKHOLMS LÄN</t>
        </is>
      </c>
      <c r="G634" t="inlineStr">
        <is>
          <t>NORRTÄLJE</t>
        </is>
      </c>
      <c r="I634" t="n">
        <v>4.7</v>
      </c>
      <c r="J634" t="n">
        <v>0</v>
      </c>
      <c r="K634" t="n">
        <v>0</v>
      </c>
      <c r="L634" t="n">
        <v>0</v>
      </c>
      <c r="M634" t="n">
        <v>0</v>
      </c>
      <c r="N634" t="n">
        <v>0</v>
      </c>
      <c r="O634" t="n">
        <v>0</v>
      </c>
      <c r="P634" t="n">
        <v>0</v>
      </c>
      <c r="Q634" t="n">
        <v>0</v>
      </c>
      <c r="R634" t="n">
        <v>0</v>
      </c>
      <c r="S634" t="n">
        <v>0</v>
      </c>
      <c r="T634" t="n">
        <v>0</v>
      </c>
      <c r="U634" s="2" t="inlineStr"/>
    </row>
    <row r="635" ht="15" customHeight="1">
      <c r="A635" t="inlineStr">
        <is>
          <t>A 12890-2024</t>
        </is>
      </c>
      <c r="B635" t="inlineStr">
        <is>
          <t>avverkningsanmälan</t>
        </is>
      </c>
      <c r="C635" t="inlineStr">
        <is>
          <t>Föryngringsavverkning</t>
        </is>
      </c>
      <c r="D635" s="1" t="n">
        <v>45385</v>
      </c>
      <c r="E635" s="1" t="n">
        <v>46219</v>
      </c>
      <c r="F635" t="inlineStr">
        <is>
          <t>STOCKHOLMS LÄN</t>
        </is>
      </c>
      <c r="G635" t="inlineStr">
        <is>
          <t>NORRTÄLJE</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57953-2025</t>
        </is>
      </c>
      <c r="B636" t="inlineStr">
        <is>
          <t>avverkningsanmälan</t>
        </is>
      </c>
      <c r="C636" t="inlineStr">
        <is>
          <t>Föryngringsavverkning</t>
        </is>
      </c>
      <c r="D636" s="1" t="n">
        <v>45982</v>
      </c>
      <c r="E636" s="1" t="n">
        <v>46219</v>
      </c>
      <c r="F636" t="inlineStr">
        <is>
          <t>STOCKHOLMS LÄN</t>
        </is>
      </c>
      <c r="G636" t="inlineStr">
        <is>
          <t>NORRTÄLJE</t>
        </is>
      </c>
      <c r="H636" t="inlineStr">
        <is>
          <t>Sveaskog</t>
        </is>
      </c>
      <c r="I636" t="n">
        <v>3</v>
      </c>
      <c r="J636" t="n">
        <v>0</v>
      </c>
      <c r="K636" t="n">
        <v>0</v>
      </c>
      <c r="L636" t="n">
        <v>0</v>
      </c>
      <c r="M636" t="n">
        <v>0</v>
      </c>
      <c r="N636" t="n">
        <v>0</v>
      </c>
      <c r="O636" t="n">
        <v>0</v>
      </c>
      <c r="P636" t="n">
        <v>0</v>
      </c>
      <c r="Q636" t="n">
        <v>0</v>
      </c>
      <c r="R636" t="n">
        <v>0</v>
      </c>
      <c r="S636" t="n">
        <v>0</v>
      </c>
      <c r="T636" t="n">
        <v>0</v>
      </c>
      <c r="U636" s="2" t="inlineStr"/>
    </row>
    <row r="637" ht="15" customHeight="1">
      <c r="A637" t="inlineStr">
        <is>
          <t>A 36430-2024</t>
        </is>
      </c>
      <c r="B637" t="inlineStr">
        <is>
          <t>avverkningsanmälan</t>
        </is>
      </c>
      <c r="C637" t="inlineStr">
        <is>
          <t>Föryngringsavverkning</t>
        </is>
      </c>
      <c r="D637" s="1" t="n">
        <v>45536</v>
      </c>
      <c r="E637" s="1" t="n">
        <v>46219</v>
      </c>
      <c r="F637" t="inlineStr">
        <is>
          <t>STOCKHOLMS LÄN</t>
        </is>
      </c>
      <c r="G637" t="inlineStr">
        <is>
          <t>NORRTÄLJE</t>
        </is>
      </c>
      <c r="I637" t="n">
        <v>1</v>
      </c>
      <c r="J637" t="n">
        <v>0</v>
      </c>
      <c r="K637" t="n">
        <v>0</v>
      </c>
      <c r="L637" t="n">
        <v>0</v>
      </c>
      <c r="M637" t="n">
        <v>0</v>
      </c>
      <c r="N637" t="n">
        <v>0</v>
      </c>
      <c r="O637" t="n">
        <v>0</v>
      </c>
      <c r="P637" t="n">
        <v>0</v>
      </c>
      <c r="Q637" t="n">
        <v>0</v>
      </c>
      <c r="R637" t="n">
        <v>0</v>
      </c>
      <c r="S637" t="n">
        <v>0</v>
      </c>
      <c r="T637" t="n">
        <v>0</v>
      </c>
      <c r="U637" s="2" t="inlineStr"/>
    </row>
    <row r="638" ht="15" customHeight="1">
      <c r="A638" t="inlineStr">
        <is>
          <t>A 4553-2023</t>
        </is>
      </c>
      <c r="B638" t="inlineStr">
        <is>
          <t>avverkningsanmälan</t>
        </is>
      </c>
      <c r="C638" t="inlineStr">
        <is>
          <t>Föryngringsavverkning</t>
        </is>
      </c>
      <c r="D638" s="1" t="n">
        <v>44956</v>
      </c>
      <c r="E638" s="1" t="n">
        <v>46219</v>
      </c>
      <c r="F638" t="inlineStr">
        <is>
          <t>STOCKHOLMS LÄN</t>
        </is>
      </c>
      <c r="G638" t="inlineStr">
        <is>
          <t>NORRTÄLJE</t>
        </is>
      </c>
      <c r="I638" t="n">
        <v>7.5</v>
      </c>
      <c r="J638" t="n">
        <v>0</v>
      </c>
      <c r="K638" t="n">
        <v>0</v>
      </c>
      <c r="L638" t="n">
        <v>0</v>
      </c>
      <c r="M638" t="n">
        <v>0</v>
      </c>
      <c r="N638" t="n">
        <v>0</v>
      </c>
      <c r="O638" t="n">
        <v>0</v>
      </c>
      <c r="P638" t="n">
        <v>0</v>
      </c>
      <c r="Q638" t="n">
        <v>0</v>
      </c>
      <c r="R638" t="n">
        <v>0</v>
      </c>
      <c r="S638" t="n">
        <v>0</v>
      </c>
      <c r="T638" t="n">
        <v>0</v>
      </c>
      <c r="U638" s="2" t="inlineStr"/>
    </row>
    <row r="639" ht="15" customHeight="1">
      <c r="A639" t="inlineStr">
        <is>
          <t>A 875-2023</t>
        </is>
      </c>
      <c r="B639" t="inlineStr">
        <is>
          <t>avverkningsanmälan</t>
        </is>
      </c>
      <c r="C639" t="inlineStr">
        <is>
          <t>Föryngringsavverkning</t>
        </is>
      </c>
      <c r="D639" s="1" t="n">
        <v>44931</v>
      </c>
      <c r="E639" s="1" t="n">
        <v>46219</v>
      </c>
      <c r="F639" t="inlineStr">
        <is>
          <t>STOCKHOLMS LÄN</t>
        </is>
      </c>
      <c r="G639" t="inlineStr">
        <is>
          <t>NORRTÄLJE</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41172-2023</t>
        </is>
      </c>
      <c r="B640" t="inlineStr">
        <is>
          <t>avverkningsanmälan</t>
        </is>
      </c>
      <c r="C640" t="inlineStr">
        <is>
          <t>Föryngringsavverkning</t>
        </is>
      </c>
      <c r="D640" s="1" t="n">
        <v>45170</v>
      </c>
      <c r="E640" s="1" t="n">
        <v>46219</v>
      </c>
      <c r="F640" t="inlineStr">
        <is>
          <t>STOCKHOLMS LÄN</t>
        </is>
      </c>
      <c r="G640" t="inlineStr">
        <is>
          <t>NORRTÄLJE</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67921-2021</t>
        </is>
      </c>
      <c r="B641" t="inlineStr">
        <is>
          <t>avverkningsanmälan</t>
        </is>
      </c>
      <c r="C641" t="inlineStr">
        <is>
          <t>Föryngringsavverkning</t>
        </is>
      </c>
      <c r="D641" s="1" t="n">
        <v>44525</v>
      </c>
      <c r="E641" s="1" t="n">
        <v>46219</v>
      </c>
      <c r="F641" t="inlineStr">
        <is>
          <t>STOCKHOLMS LÄN</t>
        </is>
      </c>
      <c r="G641" t="inlineStr">
        <is>
          <t>NORRTÄLJE</t>
        </is>
      </c>
      <c r="I641" t="n">
        <v>6.3</v>
      </c>
      <c r="J641" t="n">
        <v>0</v>
      </c>
      <c r="K641" t="n">
        <v>0</v>
      </c>
      <c r="L641" t="n">
        <v>0</v>
      </c>
      <c r="M641" t="n">
        <v>0</v>
      </c>
      <c r="N641" t="n">
        <v>0</v>
      </c>
      <c r="O641" t="n">
        <v>0</v>
      </c>
      <c r="P641" t="n">
        <v>0</v>
      </c>
      <c r="Q641" t="n">
        <v>0</v>
      </c>
      <c r="R641" t="n">
        <v>0</v>
      </c>
      <c r="S641" t="n">
        <v>0</v>
      </c>
      <c r="T641" t="n">
        <v>0</v>
      </c>
      <c r="U641" s="2" t="inlineStr"/>
    </row>
    <row r="642" ht="15" customHeight="1">
      <c r="A642" t="inlineStr">
        <is>
          <t>A 24575-2024</t>
        </is>
      </c>
      <c r="B642" t="inlineStr">
        <is>
          <t>avverkningsanmälan</t>
        </is>
      </c>
      <c r="C642" t="inlineStr">
        <is>
          <t>Föryngringsavverkning</t>
        </is>
      </c>
      <c r="D642" s="1" t="n">
        <v>45460</v>
      </c>
      <c r="E642" s="1" t="n">
        <v>46219</v>
      </c>
      <c r="F642" t="inlineStr">
        <is>
          <t>STOCKHOLMS LÄN</t>
        </is>
      </c>
      <c r="G642" t="inlineStr">
        <is>
          <t>NORRTÄLJE</t>
        </is>
      </c>
      <c r="I642" t="n">
        <v>2.6</v>
      </c>
      <c r="J642" t="n">
        <v>0</v>
      </c>
      <c r="K642" t="n">
        <v>0</v>
      </c>
      <c r="L642" t="n">
        <v>0</v>
      </c>
      <c r="M642" t="n">
        <v>0</v>
      </c>
      <c r="N642" t="n">
        <v>0</v>
      </c>
      <c r="O642" t="n">
        <v>0</v>
      </c>
      <c r="P642" t="n">
        <v>0</v>
      </c>
      <c r="Q642" t="n">
        <v>0</v>
      </c>
      <c r="R642" t="n">
        <v>0</v>
      </c>
      <c r="S642" t="n">
        <v>0</v>
      </c>
      <c r="T642" t="n">
        <v>0</v>
      </c>
      <c r="U642" s="2" t="inlineStr"/>
    </row>
    <row r="643" ht="15" customHeight="1">
      <c r="A643" t="inlineStr">
        <is>
          <t>A 72704-2021</t>
        </is>
      </c>
      <c r="B643" t="inlineStr">
        <is>
          <t>avverkningsanmälan</t>
        </is>
      </c>
      <c r="C643" t="inlineStr">
        <is>
          <t>Föryngringsavverkning</t>
        </is>
      </c>
      <c r="D643" s="1" t="n">
        <v>44546</v>
      </c>
      <c r="E643" s="1" t="n">
        <v>46219</v>
      </c>
      <c r="F643" t="inlineStr">
        <is>
          <t>STOCKHOLMS LÄN</t>
        </is>
      </c>
      <c r="G643" t="inlineStr">
        <is>
          <t>NORRTÄLJE</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19-2024</t>
        </is>
      </c>
      <c r="B644" t="inlineStr">
        <is>
          <t>avverkningsanmälan</t>
        </is>
      </c>
      <c r="C644" t="inlineStr">
        <is>
          <t>Föryngringsavverkning</t>
        </is>
      </c>
      <c r="D644" s="1" t="n">
        <v>45293</v>
      </c>
      <c r="E644" s="1" t="n">
        <v>46219</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s="2" t="inlineStr"/>
    </row>
    <row r="645" ht="15" customHeight="1">
      <c r="A645" t="inlineStr">
        <is>
          <t>A 65499-2021</t>
        </is>
      </c>
      <c r="B645" t="inlineStr">
        <is>
          <t>avverkningsanmälan</t>
        </is>
      </c>
      <c r="C645" t="inlineStr">
        <is>
          <t>Föryngringsavverkning</t>
        </is>
      </c>
      <c r="D645" s="1" t="n">
        <v>44516</v>
      </c>
      <c r="E645" s="1" t="n">
        <v>46219</v>
      </c>
      <c r="F645" t="inlineStr">
        <is>
          <t>STOCKHOLMS LÄN</t>
        </is>
      </c>
      <c r="G645" t="inlineStr">
        <is>
          <t>NORRTÄLJE</t>
        </is>
      </c>
      <c r="H645" t="inlineStr">
        <is>
          <t>Kommuner</t>
        </is>
      </c>
      <c r="I645" t="n">
        <v>5.2</v>
      </c>
      <c r="J645" t="n">
        <v>0</v>
      </c>
      <c r="K645" t="n">
        <v>0</v>
      </c>
      <c r="L645" t="n">
        <v>0</v>
      </c>
      <c r="M645" t="n">
        <v>0</v>
      </c>
      <c r="N645" t="n">
        <v>0</v>
      </c>
      <c r="O645" t="n">
        <v>0</v>
      </c>
      <c r="P645" t="n">
        <v>0</v>
      </c>
      <c r="Q645" t="n">
        <v>0</v>
      </c>
      <c r="R645" t="n">
        <v>0</v>
      </c>
      <c r="S645" t="n">
        <v>0</v>
      </c>
      <c r="T645" t="n">
        <v>0</v>
      </c>
      <c r="U645" s="2" t="inlineStr"/>
    </row>
    <row r="646" ht="15" customHeight="1">
      <c r="A646" t="inlineStr">
        <is>
          <t>A 65511-2021</t>
        </is>
      </c>
      <c r="B646" t="inlineStr">
        <is>
          <t>avverkningsanmälan</t>
        </is>
      </c>
      <c r="C646" t="inlineStr">
        <is>
          <t>Föryngringsavverkning</t>
        </is>
      </c>
      <c r="D646" s="1" t="n">
        <v>44516</v>
      </c>
      <c r="E646" s="1" t="n">
        <v>46219</v>
      </c>
      <c r="F646" t="inlineStr">
        <is>
          <t>STOCKHOLMS LÄN</t>
        </is>
      </c>
      <c r="G646" t="inlineStr">
        <is>
          <t>NORRTÄLJE</t>
        </is>
      </c>
      <c r="H646" t="inlineStr">
        <is>
          <t>Kommuner</t>
        </is>
      </c>
      <c r="I646" t="n">
        <v>2.8</v>
      </c>
      <c r="J646" t="n">
        <v>0</v>
      </c>
      <c r="K646" t="n">
        <v>0</v>
      </c>
      <c r="L646" t="n">
        <v>0</v>
      </c>
      <c r="M646" t="n">
        <v>0</v>
      </c>
      <c r="N646" t="n">
        <v>0</v>
      </c>
      <c r="O646" t="n">
        <v>0</v>
      </c>
      <c r="P646" t="n">
        <v>0</v>
      </c>
      <c r="Q646" t="n">
        <v>0</v>
      </c>
      <c r="R646" t="n">
        <v>0</v>
      </c>
      <c r="S646" t="n">
        <v>0</v>
      </c>
      <c r="T646" t="n">
        <v>0</v>
      </c>
      <c r="U646" s="2" t="inlineStr"/>
    </row>
    <row r="647" ht="15" customHeight="1">
      <c r="A647" t="inlineStr">
        <is>
          <t>A 58403-2025</t>
        </is>
      </c>
      <c r="B647" t="inlineStr">
        <is>
          <t>avverkningsanmälan</t>
        </is>
      </c>
      <c r="C647" t="inlineStr">
        <is>
          <t>Föryngringsavverkning</t>
        </is>
      </c>
      <c r="D647" s="1" t="n">
        <v>45985</v>
      </c>
      <c r="E647" s="1" t="n">
        <v>46219</v>
      </c>
      <c r="F647" t="inlineStr">
        <is>
          <t>STOCKHOLMS LÄN</t>
        </is>
      </c>
      <c r="G647" t="inlineStr">
        <is>
          <t>NORRTÄLJE</t>
        </is>
      </c>
      <c r="H647" t="inlineStr">
        <is>
          <t>Naturvårdsverket</t>
        </is>
      </c>
      <c r="I647" t="n">
        <v>13.5</v>
      </c>
      <c r="J647" t="n">
        <v>0</v>
      </c>
      <c r="K647" t="n">
        <v>0</v>
      </c>
      <c r="L647" t="n">
        <v>0</v>
      </c>
      <c r="M647" t="n">
        <v>0</v>
      </c>
      <c r="N647" t="n">
        <v>0</v>
      </c>
      <c r="O647" t="n">
        <v>0</v>
      </c>
      <c r="P647" t="n">
        <v>0</v>
      </c>
      <c r="Q647" t="n">
        <v>0</v>
      </c>
      <c r="R647" t="n">
        <v>0</v>
      </c>
      <c r="S647" t="n">
        <v>0</v>
      </c>
      <c r="T647" t="n">
        <v>0</v>
      </c>
      <c r="U647" s="2" t="inlineStr"/>
    </row>
    <row r="648" ht="15" customHeight="1">
      <c r="A648" t="inlineStr">
        <is>
          <t>A 26113-2024</t>
        </is>
      </c>
      <c r="B648" t="inlineStr">
        <is>
          <t>avverkningsanmälan</t>
        </is>
      </c>
      <c r="C648" t="inlineStr">
        <is>
          <t>Föryngringsavverkning</t>
        </is>
      </c>
      <c r="D648" s="1" t="n">
        <v>45468</v>
      </c>
      <c r="E648" s="1" t="n">
        <v>46219</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s="2" t="inlineStr"/>
    </row>
    <row r="649" ht="15" customHeight="1">
      <c r="A649" t="inlineStr">
        <is>
          <t>A 26116-2024</t>
        </is>
      </c>
      <c r="B649" t="inlineStr">
        <is>
          <t>avverkningsanmälan</t>
        </is>
      </c>
      <c r="C649" t="inlineStr">
        <is>
          <t>Föryngringsavverkning</t>
        </is>
      </c>
      <c r="D649" s="1" t="n">
        <v>45468</v>
      </c>
      <c r="E649" s="1" t="n">
        <v>46219</v>
      </c>
      <c r="F649" t="inlineStr">
        <is>
          <t>STOCKHOLMS LÄN</t>
        </is>
      </c>
      <c r="G649" t="inlineStr">
        <is>
          <t>NORRTÄLJE</t>
        </is>
      </c>
      <c r="I649" t="n">
        <v>1.8</v>
      </c>
      <c r="J649" t="n">
        <v>0</v>
      </c>
      <c r="K649" t="n">
        <v>0</v>
      </c>
      <c r="L649" t="n">
        <v>0</v>
      </c>
      <c r="M649" t="n">
        <v>0</v>
      </c>
      <c r="N649" t="n">
        <v>0</v>
      </c>
      <c r="O649" t="n">
        <v>0</v>
      </c>
      <c r="P649" t="n">
        <v>0</v>
      </c>
      <c r="Q649" t="n">
        <v>0</v>
      </c>
      <c r="R649" t="n">
        <v>0</v>
      </c>
      <c r="S649" t="n">
        <v>0</v>
      </c>
      <c r="T649" t="n">
        <v>0</v>
      </c>
      <c r="U649" s="2" t="inlineStr"/>
    </row>
    <row r="650" ht="15" customHeight="1">
      <c r="A650" t="inlineStr">
        <is>
          <t>A 24835-2025</t>
        </is>
      </c>
      <c r="B650" t="inlineStr">
        <is>
          <t>avverkningsanmälan</t>
        </is>
      </c>
      <c r="C650" t="inlineStr">
        <is>
          <t>Avverkning för annat ändamål</t>
        </is>
      </c>
      <c r="D650" s="1" t="n">
        <v>45799</v>
      </c>
      <c r="E650" s="1" t="n">
        <v>46219</v>
      </c>
      <c r="F650" t="inlineStr">
        <is>
          <t>STOCKHOLMS LÄN</t>
        </is>
      </c>
      <c r="G650" t="inlineStr">
        <is>
          <t>NORRTÄLJE</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31105-2022</t>
        </is>
      </c>
      <c r="B651" t="inlineStr">
        <is>
          <t>avverkningsanmälan</t>
        </is>
      </c>
      <c r="C651" t="inlineStr">
        <is>
          <t>Föryngringsavverkning</t>
        </is>
      </c>
      <c r="D651" s="1" t="n">
        <v>44769</v>
      </c>
      <c r="E651" s="1" t="n">
        <v>46219</v>
      </c>
      <c r="F651" t="inlineStr">
        <is>
          <t>STOCKHOLMS LÄN</t>
        </is>
      </c>
      <c r="G651" t="inlineStr">
        <is>
          <t>NORRTÄLJE</t>
        </is>
      </c>
      <c r="I651" t="n">
        <v>8.699999999999999</v>
      </c>
      <c r="J651" t="n">
        <v>0</v>
      </c>
      <c r="K651" t="n">
        <v>0</v>
      </c>
      <c r="L651" t="n">
        <v>0</v>
      </c>
      <c r="M651" t="n">
        <v>0</v>
      </c>
      <c r="N651" t="n">
        <v>0</v>
      </c>
      <c r="O651" t="n">
        <v>0</v>
      </c>
      <c r="P651" t="n">
        <v>0</v>
      </c>
      <c r="Q651" t="n">
        <v>0</v>
      </c>
      <c r="R651" t="n">
        <v>0</v>
      </c>
      <c r="S651" t="n">
        <v>0</v>
      </c>
      <c r="T651" t="n">
        <v>0</v>
      </c>
      <c r="U651" s="2" t="inlineStr"/>
    </row>
    <row r="652" ht="15" customHeight="1">
      <c r="A652" t="inlineStr">
        <is>
          <t>A 31085-2026</t>
        </is>
      </c>
      <c r="B652" t="inlineStr">
        <is>
          <t>avverkningsanmälan</t>
        </is>
      </c>
      <c r="C652" t="inlineStr">
        <is>
          <t>Föryngringsavverkning</t>
        </is>
      </c>
      <c r="D652" s="1" t="n">
        <v>46216</v>
      </c>
      <c r="E652" s="1" t="n">
        <v>46219</v>
      </c>
      <c r="F652" t="inlineStr">
        <is>
          <t>STOCKHOLMS LÄN</t>
        </is>
      </c>
      <c r="G652" t="inlineStr">
        <is>
          <t>NORRTÄLJE</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62644-2023</t>
        </is>
      </c>
      <c r="B653" t="inlineStr">
        <is>
          <t>avverkningsanmälan</t>
        </is>
      </c>
      <c r="C653" t="inlineStr">
        <is>
          <t>Föryngringsavverkning</t>
        </is>
      </c>
      <c r="D653" s="1" t="n">
        <v>45271</v>
      </c>
      <c r="E653" s="1" t="n">
        <v>46219</v>
      </c>
      <c r="F653" t="inlineStr">
        <is>
          <t>STOCKHOLMS LÄN</t>
        </is>
      </c>
      <c r="G653" t="inlineStr">
        <is>
          <t>NORRTÄLJE</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60185-2024</t>
        </is>
      </c>
      <c r="B654" t="inlineStr">
        <is>
          <t>avverkningsanmälan</t>
        </is>
      </c>
      <c r="C654" t="inlineStr">
        <is>
          <t>Föryngringsavverkning</t>
        </is>
      </c>
      <c r="D654" s="1" t="n">
        <v>45642</v>
      </c>
      <c r="E654" s="1" t="n">
        <v>46219</v>
      </c>
      <c r="F654" t="inlineStr">
        <is>
          <t>STOCKHOLMS LÄN</t>
        </is>
      </c>
      <c r="G654" t="inlineStr">
        <is>
          <t>NORRTÄLJE</t>
        </is>
      </c>
      <c r="I654" t="n">
        <v>0.3</v>
      </c>
      <c r="J654" t="n">
        <v>0</v>
      </c>
      <c r="K654" t="n">
        <v>0</v>
      </c>
      <c r="L654" t="n">
        <v>0</v>
      </c>
      <c r="M654" t="n">
        <v>0</v>
      </c>
      <c r="N654" t="n">
        <v>0</v>
      </c>
      <c r="O654" t="n">
        <v>0</v>
      </c>
      <c r="P654" t="n">
        <v>0</v>
      </c>
      <c r="Q654" t="n">
        <v>0</v>
      </c>
      <c r="R654" t="n">
        <v>0</v>
      </c>
      <c r="S654" t="n">
        <v>0</v>
      </c>
      <c r="T654" t="n">
        <v>0</v>
      </c>
      <c r="U654" s="2" t="inlineStr"/>
    </row>
    <row r="655" ht="15" customHeight="1">
      <c r="A655" t="inlineStr">
        <is>
          <t>A 59672-2025</t>
        </is>
      </c>
      <c r="B655" t="inlineStr">
        <is>
          <t>avverkningsanmälan</t>
        </is>
      </c>
      <c r="C655" t="inlineStr">
        <is>
          <t>Föryngringsavverkning</t>
        </is>
      </c>
      <c r="D655" s="1" t="n">
        <v>45992</v>
      </c>
      <c r="E655" s="1" t="n">
        <v>46219</v>
      </c>
      <c r="F655" t="inlineStr">
        <is>
          <t>STOCKHOLMS LÄN</t>
        </is>
      </c>
      <c r="G655" t="inlineStr">
        <is>
          <t>NORRTÄLJE</t>
        </is>
      </c>
      <c r="I655" t="n">
        <v>4</v>
      </c>
      <c r="J655" t="n">
        <v>0</v>
      </c>
      <c r="K655" t="n">
        <v>0</v>
      </c>
      <c r="L655" t="n">
        <v>0</v>
      </c>
      <c r="M655" t="n">
        <v>0</v>
      </c>
      <c r="N655" t="n">
        <v>0</v>
      </c>
      <c r="O655" t="n">
        <v>0</v>
      </c>
      <c r="P655" t="n">
        <v>0</v>
      </c>
      <c r="Q655" t="n">
        <v>0</v>
      </c>
      <c r="R655" t="n">
        <v>0</v>
      </c>
      <c r="S655" t="n">
        <v>0</v>
      </c>
      <c r="T655" t="n">
        <v>0</v>
      </c>
      <c r="U655" s="2" t="inlineStr"/>
    </row>
    <row r="656" ht="15" customHeight="1">
      <c r="A656" t="inlineStr">
        <is>
          <t>A 12268-2022</t>
        </is>
      </c>
      <c r="B656" t="inlineStr">
        <is>
          <t>avverkningsanmälan</t>
        </is>
      </c>
      <c r="C656" t="inlineStr">
        <is>
          <t>Föryngringsavverkning</t>
        </is>
      </c>
      <c r="D656" s="1" t="n">
        <v>44637</v>
      </c>
      <c r="E656" s="1" t="n">
        <v>46219</v>
      </c>
      <c r="F656" t="inlineStr">
        <is>
          <t>STOCKHOLMS LÄN</t>
        </is>
      </c>
      <c r="G656" t="inlineStr">
        <is>
          <t>NORRTÄLJE</t>
        </is>
      </c>
      <c r="H656" t="inlineStr">
        <is>
          <t>Sveaskog</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54496-2024</t>
        </is>
      </c>
      <c r="B657" t="inlineStr">
        <is>
          <t>avverkningsanmälan</t>
        </is>
      </c>
      <c r="C657" t="inlineStr">
        <is>
          <t>Föryngringsavverkning</t>
        </is>
      </c>
      <c r="D657" s="1" t="n">
        <v>45617</v>
      </c>
      <c r="E657" s="1" t="n">
        <v>46219</v>
      </c>
      <c r="F657" t="inlineStr">
        <is>
          <t>STOCKHOLMS LÄN</t>
        </is>
      </c>
      <c r="G657" t="inlineStr">
        <is>
          <t>NORRTÄLJE</t>
        </is>
      </c>
      <c r="I657" t="n">
        <v>2.2</v>
      </c>
      <c r="J657" t="n">
        <v>0</v>
      </c>
      <c r="K657" t="n">
        <v>0</v>
      </c>
      <c r="L657" t="n">
        <v>0</v>
      </c>
      <c r="M657" t="n">
        <v>0</v>
      </c>
      <c r="N657" t="n">
        <v>0</v>
      </c>
      <c r="O657" t="n">
        <v>0</v>
      </c>
      <c r="P657" t="n">
        <v>0</v>
      </c>
      <c r="Q657" t="n">
        <v>0</v>
      </c>
      <c r="R657" t="n">
        <v>0</v>
      </c>
      <c r="S657" t="n">
        <v>0</v>
      </c>
      <c r="T657" t="n">
        <v>0</v>
      </c>
      <c r="U657" s="2" t="inlineStr"/>
    </row>
    <row r="658" ht="15" customHeight="1">
      <c r="A658" t="inlineStr">
        <is>
          <t>A 60223-2025</t>
        </is>
      </c>
      <c r="B658" t="inlineStr">
        <is>
          <t>avverkningsanmälan</t>
        </is>
      </c>
      <c r="C658" t="inlineStr">
        <is>
          <t>Föryngringsavverkning</t>
        </is>
      </c>
      <c r="D658" s="1" t="n">
        <v>45994</v>
      </c>
      <c r="E658" s="1" t="n">
        <v>46219</v>
      </c>
      <c r="F658" t="inlineStr">
        <is>
          <t>STOCKHOLMS LÄN</t>
        </is>
      </c>
      <c r="G658" t="inlineStr">
        <is>
          <t>NORRTÄLJE</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59914-2025</t>
        </is>
      </c>
      <c r="B659" t="inlineStr">
        <is>
          <t>avverkningsanmälan</t>
        </is>
      </c>
      <c r="C659" t="inlineStr">
        <is>
          <t>Föryngringsavverkning</t>
        </is>
      </c>
      <c r="D659" s="1" t="n">
        <v>45993</v>
      </c>
      <c r="E659" s="1" t="n">
        <v>46219</v>
      </c>
      <c r="F659" t="inlineStr">
        <is>
          <t>STOCKHOLMS LÄN</t>
        </is>
      </c>
      <c r="G659" t="inlineStr">
        <is>
          <t>NORRTÄLJE</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22008-2024</t>
        </is>
      </c>
      <c r="B660" t="inlineStr">
        <is>
          <t>avverkningsanmälan</t>
        </is>
      </c>
      <c r="C660" t="inlineStr">
        <is>
          <t>Föryngringsavverkning</t>
        </is>
      </c>
      <c r="D660" s="1" t="n">
        <v>45443</v>
      </c>
      <c r="E660" s="1" t="n">
        <v>46219</v>
      </c>
      <c r="F660" t="inlineStr">
        <is>
          <t>STOCKHOLMS LÄN</t>
        </is>
      </c>
      <c r="G660" t="inlineStr">
        <is>
          <t>NORRTÄLJE</t>
        </is>
      </c>
      <c r="I660" t="n">
        <v>2</v>
      </c>
      <c r="J660" t="n">
        <v>0</v>
      </c>
      <c r="K660" t="n">
        <v>0</v>
      </c>
      <c r="L660" t="n">
        <v>0</v>
      </c>
      <c r="M660" t="n">
        <v>0</v>
      </c>
      <c r="N660" t="n">
        <v>0</v>
      </c>
      <c r="O660" t="n">
        <v>0</v>
      </c>
      <c r="P660" t="n">
        <v>0</v>
      </c>
      <c r="Q660" t="n">
        <v>0</v>
      </c>
      <c r="R660" t="n">
        <v>0</v>
      </c>
      <c r="S660" t="n">
        <v>0</v>
      </c>
      <c r="T660" t="n">
        <v>0</v>
      </c>
      <c r="U660" s="2" t="inlineStr"/>
    </row>
    <row r="661" ht="15" customHeight="1">
      <c r="A661" t="inlineStr">
        <is>
          <t>A 60214-2025</t>
        </is>
      </c>
      <c r="B661" t="inlineStr">
        <is>
          <t>avverkningsanmälan</t>
        </is>
      </c>
      <c r="C661" t="inlineStr">
        <is>
          <t>Föryngringsavverkning</t>
        </is>
      </c>
      <c r="D661" s="1" t="n">
        <v>45994</v>
      </c>
      <c r="E661" s="1" t="n">
        <v>46219</v>
      </c>
      <c r="F661" t="inlineStr">
        <is>
          <t>STOCKHOLMS LÄN</t>
        </is>
      </c>
      <c r="G661" t="inlineStr">
        <is>
          <t>NORRTÄLJE</t>
        </is>
      </c>
      <c r="I661" t="n">
        <v>9.199999999999999</v>
      </c>
      <c r="J661" t="n">
        <v>0</v>
      </c>
      <c r="K661" t="n">
        <v>0</v>
      </c>
      <c r="L661" t="n">
        <v>0</v>
      </c>
      <c r="M661" t="n">
        <v>0</v>
      </c>
      <c r="N661" t="n">
        <v>0</v>
      </c>
      <c r="O661" t="n">
        <v>0</v>
      </c>
      <c r="P661" t="n">
        <v>0</v>
      </c>
      <c r="Q661" t="n">
        <v>0</v>
      </c>
      <c r="R661" t="n">
        <v>0</v>
      </c>
      <c r="S661" t="n">
        <v>0</v>
      </c>
      <c r="T661" t="n">
        <v>0</v>
      </c>
      <c r="U661" s="2" t="inlineStr"/>
    </row>
    <row r="662" ht="15" customHeight="1">
      <c r="A662" t="inlineStr">
        <is>
          <t>A 60253-2025</t>
        </is>
      </c>
      <c r="B662" t="inlineStr">
        <is>
          <t>avverkningsanmälan</t>
        </is>
      </c>
      <c r="C662" t="inlineStr">
        <is>
          <t>Föryngringsavverkning</t>
        </is>
      </c>
      <c r="D662" s="1" t="n">
        <v>45994</v>
      </c>
      <c r="E662" s="1" t="n">
        <v>46219</v>
      </c>
      <c r="F662" t="inlineStr">
        <is>
          <t>STOCKHOLMS LÄN</t>
        </is>
      </c>
      <c r="G662" t="inlineStr">
        <is>
          <t>NORRTÄLJE</t>
        </is>
      </c>
      <c r="H662" t="inlineStr">
        <is>
          <t>Holmen skog AB</t>
        </is>
      </c>
      <c r="I662" t="n">
        <v>3.6</v>
      </c>
      <c r="J662" t="n">
        <v>0</v>
      </c>
      <c r="K662" t="n">
        <v>0</v>
      </c>
      <c r="L662" t="n">
        <v>0</v>
      </c>
      <c r="M662" t="n">
        <v>0</v>
      </c>
      <c r="N662" t="n">
        <v>0</v>
      </c>
      <c r="O662" t="n">
        <v>0</v>
      </c>
      <c r="P662" t="n">
        <v>0</v>
      </c>
      <c r="Q662" t="n">
        <v>0</v>
      </c>
      <c r="R662" t="n">
        <v>0</v>
      </c>
      <c r="S662" t="n">
        <v>0</v>
      </c>
      <c r="T662" t="n">
        <v>0</v>
      </c>
      <c r="U662" s="2" t="inlineStr"/>
    </row>
    <row r="663" ht="15" customHeight="1">
      <c r="A663" t="inlineStr">
        <is>
          <t>A 59907-2025</t>
        </is>
      </c>
      <c r="B663" t="inlineStr">
        <is>
          <t>avverkningsanmälan</t>
        </is>
      </c>
      <c r="C663" t="inlineStr">
        <is>
          <t>Föryngringsavverkning</t>
        </is>
      </c>
      <c r="D663" s="1" t="n">
        <v>45993</v>
      </c>
      <c r="E663" s="1" t="n">
        <v>46219</v>
      </c>
      <c r="F663" t="inlineStr">
        <is>
          <t>STOCKHOLMS LÄN</t>
        </is>
      </c>
      <c r="G663" t="inlineStr">
        <is>
          <t>NORRTÄLJE</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59924-2025</t>
        </is>
      </c>
      <c r="B664" t="inlineStr">
        <is>
          <t>avverkningsanmälan</t>
        </is>
      </c>
      <c r="C664" t="inlineStr">
        <is>
          <t>Föryngringsavverkning</t>
        </is>
      </c>
      <c r="D664" s="1" t="n">
        <v>45993</v>
      </c>
      <c r="E664" s="1" t="n">
        <v>46219</v>
      </c>
      <c r="F664" t="inlineStr">
        <is>
          <t>STOCKHOLMS LÄN</t>
        </is>
      </c>
      <c r="G664" t="inlineStr">
        <is>
          <t>NORRTÄLJE</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58277-2023</t>
        </is>
      </c>
      <c r="B665" t="inlineStr">
        <is>
          <t>avverkningsanmälan</t>
        </is>
      </c>
      <c r="C665" t="inlineStr">
        <is>
          <t>Föryngringsavverkning</t>
        </is>
      </c>
      <c r="D665" s="1" t="n">
        <v>45245</v>
      </c>
      <c r="E665" s="1" t="n">
        <v>46219</v>
      </c>
      <c r="F665" t="inlineStr">
        <is>
          <t>STOCKHOLMS LÄN</t>
        </is>
      </c>
      <c r="G665" t="inlineStr">
        <is>
          <t>NORRTÄLJE</t>
        </is>
      </c>
      <c r="I665" t="n">
        <v>1.3</v>
      </c>
      <c r="J665" t="n">
        <v>0</v>
      </c>
      <c r="K665" t="n">
        <v>0</v>
      </c>
      <c r="L665" t="n">
        <v>0</v>
      </c>
      <c r="M665" t="n">
        <v>0</v>
      </c>
      <c r="N665" t="n">
        <v>0</v>
      </c>
      <c r="O665" t="n">
        <v>0</v>
      </c>
      <c r="P665" t="n">
        <v>0</v>
      </c>
      <c r="Q665" t="n">
        <v>0</v>
      </c>
      <c r="R665" t="n">
        <v>0</v>
      </c>
      <c r="S665" t="n">
        <v>0</v>
      </c>
      <c r="T665" t="n">
        <v>0</v>
      </c>
      <c r="U665" s="2" t="inlineStr"/>
    </row>
    <row r="666" ht="15" customHeight="1">
      <c r="A666" t="inlineStr">
        <is>
          <t>A 31272-2026</t>
        </is>
      </c>
      <c r="B666" t="inlineStr">
        <is>
          <t>avverkningsanmälan</t>
        </is>
      </c>
      <c r="C666" t="inlineStr">
        <is>
          <t>Föryngringsavverkning</t>
        </is>
      </c>
      <c r="D666" s="1" t="n">
        <v>46218</v>
      </c>
      <c r="E666" s="1" t="n">
        <v>46219</v>
      </c>
      <c r="F666" t="inlineStr">
        <is>
          <t>STOCKHOLMS LÄN</t>
        </is>
      </c>
      <c r="G666" t="inlineStr">
        <is>
          <t>NORRTÄLJE</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60649-2025</t>
        </is>
      </c>
      <c r="B667" t="inlineStr">
        <is>
          <t>avverkningsanmälan</t>
        </is>
      </c>
      <c r="C667" t="inlineStr">
        <is>
          <t>Föryngringsavverkning</t>
        </is>
      </c>
      <c r="D667" s="1" t="n">
        <v>45996</v>
      </c>
      <c r="E667" s="1" t="n">
        <v>46219</v>
      </c>
      <c r="F667" t="inlineStr">
        <is>
          <t>STOCKHOLMS LÄN</t>
        </is>
      </c>
      <c r="G667" t="inlineStr">
        <is>
          <t>NORRTÄLJE</t>
        </is>
      </c>
      <c r="I667" t="n">
        <v>1.8</v>
      </c>
      <c r="J667" t="n">
        <v>0</v>
      </c>
      <c r="K667" t="n">
        <v>0</v>
      </c>
      <c r="L667" t="n">
        <v>0</v>
      </c>
      <c r="M667" t="n">
        <v>0</v>
      </c>
      <c r="N667" t="n">
        <v>0</v>
      </c>
      <c r="O667" t="n">
        <v>0</v>
      </c>
      <c r="P667" t="n">
        <v>0</v>
      </c>
      <c r="Q667" t="n">
        <v>0</v>
      </c>
      <c r="R667" t="n">
        <v>0</v>
      </c>
      <c r="S667" t="n">
        <v>0</v>
      </c>
      <c r="T667" t="n">
        <v>0</v>
      </c>
      <c r="U667" s="2" t="inlineStr"/>
    </row>
    <row r="668" ht="15" customHeight="1">
      <c r="A668" t="inlineStr">
        <is>
          <t>A 59767-2022</t>
        </is>
      </c>
      <c r="B668" t="inlineStr">
        <is>
          <t>avverkningsanmälan</t>
        </is>
      </c>
      <c r="C668" t="inlineStr">
        <is>
          <t>Föryngringsavverkning</t>
        </is>
      </c>
      <c r="D668" s="1" t="n">
        <v>44900</v>
      </c>
      <c r="E668" s="1" t="n">
        <v>46219</v>
      </c>
      <c r="F668" t="inlineStr">
        <is>
          <t>STOCKHOLMS LÄN</t>
        </is>
      </c>
      <c r="G668" t="inlineStr">
        <is>
          <t>NORRTÄLJE</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22756-2022</t>
        </is>
      </c>
      <c r="B669" t="inlineStr">
        <is>
          <t>avverkningsanmälan</t>
        </is>
      </c>
      <c r="C669" t="inlineStr">
        <is>
          <t>Föryngringsavverkning</t>
        </is>
      </c>
      <c r="D669" s="1" t="n">
        <v>44714</v>
      </c>
      <c r="E669" s="1" t="n">
        <v>46219</v>
      </c>
      <c r="F669" t="inlineStr">
        <is>
          <t>STOCKHOLMS LÄN</t>
        </is>
      </c>
      <c r="G669" t="inlineStr">
        <is>
          <t>NORRTÄLJE</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4322-2023</t>
        </is>
      </c>
      <c r="B670" t="inlineStr">
        <is>
          <t>avverkningsanmälan</t>
        </is>
      </c>
      <c r="C670" t="inlineStr">
        <is>
          <t>Föryngringsavverkning</t>
        </is>
      </c>
      <c r="D670" s="1" t="n">
        <v>44953</v>
      </c>
      <c r="E670" s="1" t="n">
        <v>46219</v>
      </c>
      <c r="F670" t="inlineStr">
        <is>
          <t>STOCKHOLMS LÄN</t>
        </is>
      </c>
      <c r="G670" t="inlineStr">
        <is>
          <t>NORRTÄLJE</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24891-2026</t>
        </is>
      </c>
      <c r="B671" t="inlineStr">
        <is>
          <t>avverkningsanmälan</t>
        </is>
      </c>
      <c r="C671" t="inlineStr">
        <is>
          <t>Föryngringsavverkning</t>
        </is>
      </c>
      <c r="D671" s="1" t="n">
        <v>46174</v>
      </c>
      <c r="E671" s="1" t="n">
        <v>46219</v>
      </c>
      <c r="F671" t="inlineStr">
        <is>
          <t>STOCKHOLMS LÄN</t>
        </is>
      </c>
      <c r="G671" t="inlineStr">
        <is>
          <t>NORRTÄLJE</t>
        </is>
      </c>
      <c r="I671" t="n">
        <v>4</v>
      </c>
      <c r="J671" t="n">
        <v>0</v>
      </c>
      <c r="K671" t="n">
        <v>0</v>
      </c>
      <c r="L671" t="n">
        <v>0</v>
      </c>
      <c r="M671" t="n">
        <v>0</v>
      </c>
      <c r="N671" t="n">
        <v>0</v>
      </c>
      <c r="O671" t="n">
        <v>0</v>
      </c>
      <c r="P671" t="n">
        <v>0</v>
      </c>
      <c r="Q671" t="n">
        <v>0</v>
      </c>
      <c r="R671" t="n">
        <v>0</v>
      </c>
      <c r="S671" t="n">
        <v>0</v>
      </c>
      <c r="T671" t="n">
        <v>0</v>
      </c>
      <c r="U671" s="2" t="inlineStr"/>
    </row>
    <row r="672" ht="15" customHeight="1">
      <c r="A672" t="inlineStr">
        <is>
          <t>A 34139-2025</t>
        </is>
      </c>
      <c r="B672" t="inlineStr">
        <is>
          <t>avverkningsanmälan</t>
        </is>
      </c>
      <c r="C672" t="inlineStr">
        <is>
          <t>Föryngringsavverkning</t>
        </is>
      </c>
      <c r="D672" s="1" t="n">
        <v>45845</v>
      </c>
      <c r="E672" s="1" t="n">
        <v>46219</v>
      </c>
      <c r="F672" t="inlineStr">
        <is>
          <t>STOCKHOLMS LÄN</t>
        </is>
      </c>
      <c r="G672" t="inlineStr">
        <is>
          <t>NORRTÄLJE</t>
        </is>
      </c>
      <c r="I672" t="n">
        <v>5.5</v>
      </c>
      <c r="J672" t="n">
        <v>0</v>
      </c>
      <c r="K672" t="n">
        <v>0</v>
      </c>
      <c r="L672" t="n">
        <v>0</v>
      </c>
      <c r="M672" t="n">
        <v>0</v>
      </c>
      <c r="N672" t="n">
        <v>0</v>
      </c>
      <c r="O672" t="n">
        <v>0</v>
      </c>
      <c r="P672" t="n">
        <v>0</v>
      </c>
      <c r="Q672" t="n">
        <v>0</v>
      </c>
      <c r="R672" t="n">
        <v>0</v>
      </c>
      <c r="S672" t="n">
        <v>0</v>
      </c>
      <c r="T672" t="n">
        <v>0</v>
      </c>
      <c r="U672" s="2" t="inlineStr"/>
    </row>
    <row r="673" ht="15" customHeight="1">
      <c r="A673" t="inlineStr">
        <is>
          <t>A 60948-2025</t>
        </is>
      </c>
      <c r="B673" t="inlineStr">
        <is>
          <t>avverkningsanmälan</t>
        </is>
      </c>
      <c r="C673" t="inlineStr">
        <is>
          <t>Föryngringsavverkning</t>
        </is>
      </c>
      <c r="D673" s="1" t="n">
        <v>45999</v>
      </c>
      <c r="E673" s="1" t="n">
        <v>46219</v>
      </c>
      <c r="F673" t="inlineStr">
        <is>
          <t>STOCKHOLMS LÄN</t>
        </is>
      </c>
      <c r="G673" t="inlineStr">
        <is>
          <t>NORRTÄLJE</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35916-2024</t>
        </is>
      </c>
      <c r="B674" t="inlineStr">
        <is>
          <t>avverkningsanmälan</t>
        </is>
      </c>
      <c r="C674" t="inlineStr">
        <is>
          <t>Föryngringsavverkning</t>
        </is>
      </c>
      <c r="D674" s="1" t="n">
        <v>45533</v>
      </c>
      <c r="E674" s="1" t="n">
        <v>46219</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38889-2024</t>
        </is>
      </c>
      <c r="B675" t="inlineStr">
        <is>
          <t>avverkningsanmälan</t>
        </is>
      </c>
      <c r="C675" t="inlineStr">
        <is>
          <t>Föryngringsavverkning</t>
        </is>
      </c>
      <c r="D675" s="1" t="n">
        <v>45547</v>
      </c>
      <c r="E675" s="1" t="n">
        <v>46219</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61160-2025</t>
        </is>
      </c>
      <c r="B676" t="inlineStr">
        <is>
          <t>avverkningsanmälan</t>
        </is>
      </c>
      <c r="C676" t="inlineStr">
        <is>
          <t>Föryngringsavverkning</t>
        </is>
      </c>
      <c r="D676" s="1" t="n">
        <v>46000</v>
      </c>
      <c r="E676" s="1" t="n">
        <v>46219</v>
      </c>
      <c r="F676" t="inlineStr">
        <is>
          <t>STOCKHOLMS LÄN</t>
        </is>
      </c>
      <c r="G676" t="inlineStr">
        <is>
          <t>NORRTÄLJE</t>
        </is>
      </c>
      <c r="I676" t="n">
        <v>5.3</v>
      </c>
      <c r="J676" t="n">
        <v>0</v>
      </c>
      <c r="K676" t="n">
        <v>0</v>
      </c>
      <c r="L676" t="n">
        <v>0</v>
      </c>
      <c r="M676" t="n">
        <v>0</v>
      </c>
      <c r="N676" t="n">
        <v>0</v>
      </c>
      <c r="O676" t="n">
        <v>0</v>
      </c>
      <c r="P676" t="n">
        <v>0</v>
      </c>
      <c r="Q676" t="n">
        <v>0</v>
      </c>
      <c r="R676" t="n">
        <v>0</v>
      </c>
      <c r="S676" t="n">
        <v>0</v>
      </c>
      <c r="T676" t="n">
        <v>0</v>
      </c>
      <c r="U676" s="2" t="inlineStr"/>
    </row>
    <row r="677" ht="15" customHeight="1">
      <c r="A677" t="inlineStr">
        <is>
          <t>A 58311-2023</t>
        </is>
      </c>
      <c r="B677" t="inlineStr">
        <is>
          <t>avverkningsanmälan</t>
        </is>
      </c>
      <c r="C677" t="inlineStr">
        <is>
          <t>Föryngringsavverkning</t>
        </is>
      </c>
      <c r="D677" s="1" t="n">
        <v>45245</v>
      </c>
      <c r="E677" s="1" t="n">
        <v>46219</v>
      </c>
      <c r="F677" t="inlineStr">
        <is>
          <t>STOCKHOLMS LÄN</t>
        </is>
      </c>
      <c r="G677" t="inlineStr">
        <is>
          <t>NORRTÄLJE</t>
        </is>
      </c>
      <c r="I677" t="n">
        <v>2.3</v>
      </c>
      <c r="J677" t="n">
        <v>0</v>
      </c>
      <c r="K677" t="n">
        <v>0</v>
      </c>
      <c r="L677" t="n">
        <v>0</v>
      </c>
      <c r="M677" t="n">
        <v>0</v>
      </c>
      <c r="N677" t="n">
        <v>0</v>
      </c>
      <c r="O677" t="n">
        <v>0</v>
      </c>
      <c r="P677" t="n">
        <v>0</v>
      </c>
      <c r="Q677" t="n">
        <v>0</v>
      </c>
      <c r="R677" t="n">
        <v>0</v>
      </c>
      <c r="S677" t="n">
        <v>0</v>
      </c>
      <c r="T677" t="n">
        <v>0</v>
      </c>
      <c r="U677" s="2" t="inlineStr"/>
    </row>
    <row r="678" ht="15" customHeight="1">
      <c r="A678" t="inlineStr">
        <is>
          <t>A 8739-2024</t>
        </is>
      </c>
      <c r="B678" t="inlineStr">
        <is>
          <t>avverkningsanmälan</t>
        </is>
      </c>
      <c r="C678" t="inlineStr">
        <is>
          <t>Föryngringsavverkning</t>
        </is>
      </c>
      <c r="D678" s="1" t="n">
        <v>45356</v>
      </c>
      <c r="E678" s="1" t="n">
        <v>46219</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26640-2023</t>
        </is>
      </c>
      <c r="B679" t="inlineStr">
        <is>
          <t>avverkningsanmälan</t>
        </is>
      </c>
      <c r="C679" t="inlineStr">
        <is>
          <t>Föryngringsavverkning</t>
        </is>
      </c>
      <c r="D679" s="1" t="n">
        <v>45092</v>
      </c>
      <c r="E679" s="1" t="n">
        <v>46219</v>
      </c>
      <c r="F679" t="inlineStr">
        <is>
          <t>STOCKHOLMS LÄN</t>
        </is>
      </c>
      <c r="G679" t="inlineStr">
        <is>
          <t>NORRTÄLJE</t>
        </is>
      </c>
      <c r="I679" t="n">
        <v>5.7</v>
      </c>
      <c r="J679" t="n">
        <v>0</v>
      </c>
      <c r="K679" t="n">
        <v>0</v>
      </c>
      <c r="L679" t="n">
        <v>0</v>
      </c>
      <c r="M679" t="n">
        <v>0</v>
      </c>
      <c r="N679" t="n">
        <v>0</v>
      </c>
      <c r="O679" t="n">
        <v>0</v>
      </c>
      <c r="P679" t="n">
        <v>0</v>
      </c>
      <c r="Q679" t="n">
        <v>0</v>
      </c>
      <c r="R679" t="n">
        <v>0</v>
      </c>
      <c r="S679" t="n">
        <v>0</v>
      </c>
      <c r="T679" t="n">
        <v>0</v>
      </c>
      <c r="U679" s="2" t="inlineStr"/>
    </row>
    <row r="680" ht="15" customHeight="1">
      <c r="A680" t="inlineStr">
        <is>
          <t>A 61769-2025</t>
        </is>
      </c>
      <c r="B680" t="inlineStr">
        <is>
          <t>avverkningsanmälan</t>
        </is>
      </c>
      <c r="C680" t="inlineStr">
        <is>
          <t>Föryngringsavverkning</t>
        </is>
      </c>
      <c r="D680" s="1" t="n">
        <v>46002</v>
      </c>
      <c r="E680" s="1" t="n">
        <v>46219</v>
      </c>
      <c r="F680" t="inlineStr">
        <is>
          <t>STOCKHOLMS LÄN</t>
        </is>
      </c>
      <c r="G680" t="inlineStr">
        <is>
          <t>NORRTÄLJE</t>
        </is>
      </c>
      <c r="I680" t="n">
        <v>2.9</v>
      </c>
      <c r="J680" t="n">
        <v>0</v>
      </c>
      <c r="K680" t="n">
        <v>0</v>
      </c>
      <c r="L680" t="n">
        <v>0</v>
      </c>
      <c r="M680" t="n">
        <v>0</v>
      </c>
      <c r="N680" t="n">
        <v>0</v>
      </c>
      <c r="O680" t="n">
        <v>0</v>
      </c>
      <c r="P680" t="n">
        <v>0</v>
      </c>
      <c r="Q680" t="n">
        <v>0</v>
      </c>
      <c r="R680" t="n">
        <v>0</v>
      </c>
      <c r="S680" t="n">
        <v>0</v>
      </c>
      <c r="T680" t="n">
        <v>0</v>
      </c>
      <c r="U680" s="2" t="inlineStr"/>
    </row>
    <row r="681" ht="15" customHeight="1">
      <c r="A681" t="inlineStr">
        <is>
          <t>A 61764-2025</t>
        </is>
      </c>
      <c r="B681" t="inlineStr">
        <is>
          <t>avverkningsanmälan</t>
        </is>
      </c>
      <c r="C681" t="inlineStr">
        <is>
          <t>Föryngringsavverkning</t>
        </is>
      </c>
      <c r="D681" s="1" t="n">
        <v>46002</v>
      </c>
      <c r="E681" s="1" t="n">
        <v>46219</v>
      </c>
      <c r="F681" t="inlineStr">
        <is>
          <t>STOCKHOLMS LÄN</t>
        </is>
      </c>
      <c r="G681" t="inlineStr">
        <is>
          <t>NORRTÄLJE</t>
        </is>
      </c>
      <c r="I681" t="n">
        <v>2.3</v>
      </c>
      <c r="J681" t="n">
        <v>0</v>
      </c>
      <c r="K681" t="n">
        <v>0</v>
      </c>
      <c r="L681" t="n">
        <v>0</v>
      </c>
      <c r="M681" t="n">
        <v>0</v>
      </c>
      <c r="N681" t="n">
        <v>0</v>
      </c>
      <c r="O681" t="n">
        <v>0</v>
      </c>
      <c r="P681" t="n">
        <v>0</v>
      </c>
      <c r="Q681" t="n">
        <v>0</v>
      </c>
      <c r="R681" t="n">
        <v>0</v>
      </c>
      <c r="S681" t="n">
        <v>0</v>
      </c>
      <c r="T681" t="n">
        <v>0</v>
      </c>
      <c r="U681" s="2" t="inlineStr"/>
    </row>
    <row r="682" ht="15" customHeight="1">
      <c r="A682" t="inlineStr">
        <is>
          <t>A 3299-2022</t>
        </is>
      </c>
      <c r="B682" t="inlineStr">
        <is>
          <t>avverkningsanmälan</t>
        </is>
      </c>
      <c r="C682" t="inlineStr">
        <is>
          <t>Föryngringsavverkning</t>
        </is>
      </c>
      <c r="D682" s="1" t="n">
        <v>44584</v>
      </c>
      <c r="E682" s="1" t="n">
        <v>46219</v>
      </c>
      <c r="F682" t="inlineStr">
        <is>
          <t>STOCKHOLMS LÄN</t>
        </is>
      </c>
      <c r="G682" t="inlineStr">
        <is>
          <t>NORRTÄLJE</t>
        </is>
      </c>
      <c r="I682" t="n">
        <v>2.7</v>
      </c>
      <c r="J682" t="n">
        <v>0</v>
      </c>
      <c r="K682" t="n">
        <v>0</v>
      </c>
      <c r="L682" t="n">
        <v>0</v>
      </c>
      <c r="M682" t="n">
        <v>0</v>
      </c>
      <c r="N682" t="n">
        <v>0</v>
      </c>
      <c r="O682" t="n">
        <v>0</v>
      </c>
      <c r="P682" t="n">
        <v>0</v>
      </c>
      <c r="Q682" t="n">
        <v>0</v>
      </c>
      <c r="R682" t="n">
        <v>0</v>
      </c>
      <c r="S682" t="n">
        <v>0</v>
      </c>
      <c r="T682" t="n">
        <v>0</v>
      </c>
      <c r="U682" s="2" t="inlineStr"/>
    </row>
    <row r="683" ht="15" customHeight="1">
      <c r="A683" t="inlineStr">
        <is>
          <t>A 10676-2025</t>
        </is>
      </c>
      <c r="B683" t="inlineStr">
        <is>
          <t>avverkningsanmälan</t>
        </is>
      </c>
      <c r="C683" t="inlineStr">
        <is>
          <t>Föryngringsavverkning</t>
        </is>
      </c>
      <c r="D683" s="1" t="n">
        <v>45721</v>
      </c>
      <c r="E683" s="1" t="n">
        <v>46219</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61289-2025</t>
        </is>
      </c>
      <c r="B684" t="inlineStr">
        <is>
          <t>avverkningsanmälan</t>
        </is>
      </c>
      <c r="C684" t="inlineStr">
        <is>
          <t>Föryngringsavverkning</t>
        </is>
      </c>
      <c r="D684" s="1" t="n">
        <v>46000</v>
      </c>
      <c r="E684" s="1" t="n">
        <v>46219</v>
      </c>
      <c r="F684" t="inlineStr">
        <is>
          <t>STOCKHOLMS LÄN</t>
        </is>
      </c>
      <c r="G684" t="inlineStr">
        <is>
          <t>NORRTÄLJE</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61430-2025</t>
        </is>
      </c>
      <c r="B685" t="inlineStr">
        <is>
          <t>avverkningsanmälan</t>
        </is>
      </c>
      <c r="C685" t="inlineStr">
        <is>
          <t>Föryngringsavverkning</t>
        </is>
      </c>
      <c r="D685" s="1" t="n">
        <v>46001</v>
      </c>
      <c r="E685" s="1" t="n">
        <v>46219</v>
      </c>
      <c r="F685" t="inlineStr">
        <is>
          <t>STOCKHOLMS LÄN</t>
        </is>
      </c>
      <c r="G685" t="inlineStr">
        <is>
          <t>NORRTÄLJE</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38990-2022</t>
        </is>
      </c>
      <c r="B686" t="inlineStr">
        <is>
          <t>avverkningsanmälan</t>
        </is>
      </c>
      <c r="C686" t="inlineStr">
        <is>
          <t>Föryngringsavverkning</t>
        </is>
      </c>
      <c r="D686" s="1" t="n">
        <v>44816</v>
      </c>
      <c r="E686" s="1" t="n">
        <v>46219</v>
      </c>
      <c r="F686" t="inlineStr">
        <is>
          <t>STOCKHOLMS LÄN</t>
        </is>
      </c>
      <c r="G686" t="inlineStr">
        <is>
          <t>NORRTÄLJE</t>
        </is>
      </c>
      <c r="I686" t="n">
        <v>5.7</v>
      </c>
      <c r="J686" t="n">
        <v>0</v>
      </c>
      <c r="K686" t="n">
        <v>0</v>
      </c>
      <c r="L686" t="n">
        <v>0</v>
      </c>
      <c r="M686" t="n">
        <v>0</v>
      </c>
      <c r="N686" t="n">
        <v>0</v>
      </c>
      <c r="O686" t="n">
        <v>0</v>
      </c>
      <c r="P686" t="n">
        <v>0</v>
      </c>
      <c r="Q686" t="n">
        <v>0</v>
      </c>
      <c r="R686" t="n">
        <v>0</v>
      </c>
      <c r="S686" t="n">
        <v>0</v>
      </c>
      <c r="T686" t="n">
        <v>0</v>
      </c>
      <c r="U686" s="2" t="inlineStr"/>
    </row>
    <row r="687" ht="15" customHeight="1">
      <c r="A687" t="inlineStr">
        <is>
          <t>A 23265-2023</t>
        </is>
      </c>
      <c r="B687" t="inlineStr">
        <is>
          <t>avverkningsanmälan</t>
        </is>
      </c>
      <c r="C687" t="inlineStr">
        <is>
          <t>Föryngringsavverkning</t>
        </is>
      </c>
      <c r="D687" s="1" t="n">
        <v>45075</v>
      </c>
      <c r="E687" s="1" t="n">
        <v>46219</v>
      </c>
      <c r="F687" t="inlineStr">
        <is>
          <t>STOCKHOLMS LÄN</t>
        </is>
      </c>
      <c r="G687" t="inlineStr">
        <is>
          <t>NORRTÄLJE</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30268-2024</t>
        </is>
      </c>
      <c r="B688" t="inlineStr">
        <is>
          <t>avverkningsanmälan</t>
        </is>
      </c>
      <c r="C688" t="inlineStr">
        <is>
          <t>Föryngringsavverkning</t>
        </is>
      </c>
      <c r="D688" s="1" t="n">
        <v>45490</v>
      </c>
      <c r="E688" s="1" t="n">
        <v>46219</v>
      </c>
      <c r="F688" t="inlineStr">
        <is>
          <t>STOCKHOLMS LÄN</t>
        </is>
      </c>
      <c r="G688" t="inlineStr">
        <is>
          <t>NORRTÄLJE</t>
        </is>
      </c>
      <c r="I688" t="n">
        <v>5.6</v>
      </c>
      <c r="J688" t="n">
        <v>0</v>
      </c>
      <c r="K688" t="n">
        <v>0</v>
      </c>
      <c r="L688" t="n">
        <v>0</v>
      </c>
      <c r="M688" t="n">
        <v>0</v>
      </c>
      <c r="N688" t="n">
        <v>0</v>
      </c>
      <c r="O688" t="n">
        <v>0</v>
      </c>
      <c r="P688" t="n">
        <v>0</v>
      </c>
      <c r="Q688" t="n">
        <v>0</v>
      </c>
      <c r="R688" t="n">
        <v>0</v>
      </c>
      <c r="S688" t="n">
        <v>0</v>
      </c>
      <c r="T688" t="n">
        <v>0</v>
      </c>
      <c r="U688" s="2" t="inlineStr"/>
    </row>
    <row r="689" ht="15" customHeight="1">
      <c r="A689" t="inlineStr">
        <is>
          <t>A 34773-2022</t>
        </is>
      </c>
      <c r="B689" t="inlineStr">
        <is>
          <t>avverkningsanmälan</t>
        </is>
      </c>
      <c r="C689" t="inlineStr">
        <is>
          <t>Föryngringsavverkning</t>
        </is>
      </c>
      <c r="D689" s="1" t="n">
        <v>44795</v>
      </c>
      <c r="E689" s="1" t="n">
        <v>46219</v>
      </c>
      <c r="F689" t="inlineStr">
        <is>
          <t>STOCKHOLMS LÄN</t>
        </is>
      </c>
      <c r="G689" t="inlineStr">
        <is>
          <t>NORRTÄLJE</t>
        </is>
      </c>
      <c r="I689" t="n">
        <v>3.9</v>
      </c>
      <c r="J689" t="n">
        <v>0</v>
      </c>
      <c r="K689" t="n">
        <v>0</v>
      </c>
      <c r="L689" t="n">
        <v>0</v>
      </c>
      <c r="M689" t="n">
        <v>0</v>
      </c>
      <c r="N689" t="n">
        <v>0</v>
      </c>
      <c r="O689" t="n">
        <v>0</v>
      </c>
      <c r="P689" t="n">
        <v>0</v>
      </c>
      <c r="Q689" t="n">
        <v>0</v>
      </c>
      <c r="R689" t="n">
        <v>0</v>
      </c>
      <c r="S689" t="n">
        <v>0</v>
      </c>
      <c r="T689" t="n">
        <v>0</v>
      </c>
      <c r="U689" s="2" t="inlineStr"/>
    </row>
    <row r="690" ht="15" customHeight="1">
      <c r="A690" t="inlineStr">
        <is>
          <t>A 9246-2024</t>
        </is>
      </c>
      <c r="B690" t="inlineStr">
        <is>
          <t>avverkningsanmälan</t>
        </is>
      </c>
      <c r="C690" t="inlineStr">
        <is>
          <t>Avverkning för annat ändamål</t>
        </is>
      </c>
      <c r="D690" s="1" t="n">
        <v>45357</v>
      </c>
      <c r="E690" s="1" t="n">
        <v>46219</v>
      </c>
      <c r="F690" t="inlineStr">
        <is>
          <t>STOCKHOLMS LÄN</t>
        </is>
      </c>
      <c r="G690" t="inlineStr">
        <is>
          <t>NORRTÄLJE</t>
        </is>
      </c>
      <c r="I690" t="n">
        <v>1.3</v>
      </c>
      <c r="J690" t="n">
        <v>0</v>
      </c>
      <c r="K690" t="n">
        <v>0</v>
      </c>
      <c r="L690" t="n">
        <v>0</v>
      </c>
      <c r="M690" t="n">
        <v>0</v>
      </c>
      <c r="N690" t="n">
        <v>0</v>
      </c>
      <c r="O690" t="n">
        <v>0</v>
      </c>
      <c r="P690" t="n">
        <v>0</v>
      </c>
      <c r="Q690" t="n">
        <v>0</v>
      </c>
      <c r="R690" t="n">
        <v>0</v>
      </c>
      <c r="S690" t="n">
        <v>0</v>
      </c>
      <c r="T690" t="n">
        <v>0</v>
      </c>
      <c r="U690" s="2" t="inlineStr"/>
    </row>
    <row r="691" ht="15" customHeight="1">
      <c r="A691" t="inlineStr">
        <is>
          <t>A 62689-2025</t>
        </is>
      </c>
      <c r="B691" t="inlineStr">
        <is>
          <t>avverkningsanmälan</t>
        </is>
      </c>
      <c r="C691" t="inlineStr">
        <is>
          <t>Föryngringsavverkning</t>
        </is>
      </c>
      <c r="D691" s="1" t="n">
        <v>46008</v>
      </c>
      <c r="E691" s="1" t="n">
        <v>46219</v>
      </c>
      <c r="F691" t="inlineStr">
        <is>
          <t>STOCKHOLMS LÄN</t>
        </is>
      </c>
      <c r="G691" t="inlineStr">
        <is>
          <t>NORRTÄLJE</t>
        </is>
      </c>
      <c r="H691" t="inlineStr">
        <is>
          <t>Kyrkan</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23263-2023</t>
        </is>
      </c>
      <c r="B692" t="inlineStr">
        <is>
          <t>avverkningsanmälan</t>
        </is>
      </c>
      <c r="C692" t="inlineStr">
        <is>
          <t>Föryngringsavverkning</t>
        </is>
      </c>
      <c r="D692" s="1" t="n">
        <v>45075</v>
      </c>
      <c r="E692" s="1" t="n">
        <v>46219</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23264-2023</t>
        </is>
      </c>
      <c r="B693" t="inlineStr">
        <is>
          <t>avverkningsanmälan</t>
        </is>
      </c>
      <c r="C693" t="inlineStr">
        <is>
          <t>Föryngringsavverkning</t>
        </is>
      </c>
      <c r="D693" s="1" t="n">
        <v>45075</v>
      </c>
      <c r="E693" s="1" t="n">
        <v>46219</v>
      </c>
      <c r="F693" t="inlineStr">
        <is>
          <t>STOCKHOLMS LÄN</t>
        </is>
      </c>
      <c r="G693" t="inlineStr">
        <is>
          <t>NORRTÄLJE</t>
        </is>
      </c>
      <c r="I693" t="n">
        <v>2.9</v>
      </c>
      <c r="J693" t="n">
        <v>0</v>
      </c>
      <c r="K693" t="n">
        <v>0</v>
      </c>
      <c r="L693" t="n">
        <v>0</v>
      </c>
      <c r="M693" t="n">
        <v>0</v>
      </c>
      <c r="N693" t="n">
        <v>0</v>
      </c>
      <c r="O693" t="n">
        <v>0</v>
      </c>
      <c r="P693" t="n">
        <v>0</v>
      </c>
      <c r="Q693" t="n">
        <v>0</v>
      </c>
      <c r="R693" t="n">
        <v>0</v>
      </c>
      <c r="S693" t="n">
        <v>0</v>
      </c>
      <c r="T693" t="n">
        <v>0</v>
      </c>
      <c r="U693" s="2" t="inlineStr"/>
    </row>
    <row r="694" ht="15" customHeight="1">
      <c r="A694" t="inlineStr">
        <is>
          <t>A 23267-2023</t>
        </is>
      </c>
      <c r="B694" t="inlineStr">
        <is>
          <t>avverkningsanmälan</t>
        </is>
      </c>
      <c r="C694" t="inlineStr">
        <is>
          <t>Föryngringsavverkning</t>
        </is>
      </c>
      <c r="D694" s="1" t="n">
        <v>45075</v>
      </c>
      <c r="E694" s="1" t="n">
        <v>46219</v>
      </c>
      <c r="F694" t="inlineStr">
        <is>
          <t>STOCKHOLMS LÄN</t>
        </is>
      </c>
      <c r="G694" t="inlineStr">
        <is>
          <t>NORRTÄLJE</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25654-2023</t>
        </is>
      </c>
      <c r="B695" t="inlineStr">
        <is>
          <t>avverkningsanmälan</t>
        </is>
      </c>
      <c r="C695" t="inlineStr">
        <is>
          <t>Föryngringsavverkning</t>
        </is>
      </c>
      <c r="D695" s="1" t="n">
        <v>45089</v>
      </c>
      <c r="E695" s="1" t="n">
        <v>46219</v>
      </c>
      <c r="F695" t="inlineStr">
        <is>
          <t>STOCKHOLMS LÄN</t>
        </is>
      </c>
      <c r="G695" t="inlineStr">
        <is>
          <t>NORRTÄLJE</t>
        </is>
      </c>
      <c r="I695" t="n">
        <v>2.1</v>
      </c>
      <c r="J695" t="n">
        <v>0</v>
      </c>
      <c r="K695" t="n">
        <v>0</v>
      </c>
      <c r="L695" t="n">
        <v>0</v>
      </c>
      <c r="M695" t="n">
        <v>0</v>
      </c>
      <c r="N695" t="n">
        <v>0</v>
      </c>
      <c r="O695" t="n">
        <v>0</v>
      </c>
      <c r="P695" t="n">
        <v>0</v>
      </c>
      <c r="Q695" t="n">
        <v>0</v>
      </c>
      <c r="R695" t="n">
        <v>0</v>
      </c>
      <c r="S695" t="n">
        <v>0</v>
      </c>
      <c r="T695" t="n">
        <v>0</v>
      </c>
      <c r="U695" s="2" t="inlineStr"/>
    </row>
    <row r="696" ht="15" customHeight="1">
      <c r="A696" t="inlineStr">
        <is>
          <t>A 47758-2023</t>
        </is>
      </c>
      <c r="B696" t="inlineStr">
        <is>
          <t>avverkningsanmälan</t>
        </is>
      </c>
      <c r="C696" t="inlineStr">
        <is>
          <t>Föryngringsavverkning</t>
        </is>
      </c>
      <c r="D696" s="1" t="n">
        <v>45203</v>
      </c>
      <c r="E696" s="1" t="n">
        <v>46219</v>
      </c>
      <c r="F696" t="inlineStr">
        <is>
          <t>STOCKHOLMS LÄN</t>
        </is>
      </c>
      <c r="G696" t="inlineStr">
        <is>
          <t>NORRTÄLJE</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62681-2025</t>
        </is>
      </c>
      <c r="B697" t="inlineStr">
        <is>
          <t>avverkningsanmälan</t>
        </is>
      </c>
      <c r="C697" t="inlineStr">
        <is>
          <t>Föryngringsavverkning</t>
        </is>
      </c>
      <c r="D697" s="1" t="n">
        <v>46008</v>
      </c>
      <c r="E697" s="1" t="n">
        <v>46219</v>
      </c>
      <c r="F697" t="inlineStr">
        <is>
          <t>STOCKHOLMS LÄN</t>
        </is>
      </c>
      <c r="G697" t="inlineStr">
        <is>
          <t>NORRTÄLJE</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34478-2025</t>
        </is>
      </c>
      <c r="B698" t="inlineStr">
        <is>
          <t>avverkningsanmälan</t>
        </is>
      </c>
      <c r="C698" t="inlineStr">
        <is>
          <t>Föryngringsavverkning</t>
        </is>
      </c>
      <c r="D698" s="1" t="n">
        <v>45847</v>
      </c>
      <c r="E698" s="1" t="n">
        <v>46219</v>
      </c>
      <c r="F698" t="inlineStr">
        <is>
          <t>STOCKHOLMS LÄN</t>
        </is>
      </c>
      <c r="G698" t="inlineStr">
        <is>
          <t>NORRTÄLJE</t>
        </is>
      </c>
      <c r="H698" t="inlineStr">
        <is>
          <t>Övriga Aktiebolag</t>
        </is>
      </c>
      <c r="I698" t="n">
        <v>10.8</v>
      </c>
      <c r="J698" t="n">
        <v>0</v>
      </c>
      <c r="K698" t="n">
        <v>0</v>
      </c>
      <c r="L698" t="n">
        <v>0</v>
      </c>
      <c r="M698" t="n">
        <v>0</v>
      </c>
      <c r="N698" t="n">
        <v>0</v>
      </c>
      <c r="O698" t="n">
        <v>0</v>
      </c>
      <c r="P698" t="n">
        <v>0</v>
      </c>
      <c r="Q698" t="n">
        <v>0</v>
      </c>
      <c r="R698" t="n">
        <v>0</v>
      </c>
      <c r="S698" t="n">
        <v>0</v>
      </c>
      <c r="T698" t="n">
        <v>0</v>
      </c>
      <c r="U698" s="2" t="inlineStr"/>
    </row>
    <row r="699" ht="15" customHeight="1">
      <c r="A699" t="inlineStr">
        <is>
          <t>A 62922-2025</t>
        </is>
      </c>
      <c r="B699" t="inlineStr">
        <is>
          <t>avverkningsanmälan</t>
        </is>
      </c>
      <c r="C699" t="inlineStr">
        <is>
          <t>Föryngringsavverkning</t>
        </is>
      </c>
      <c r="D699" s="1" t="n">
        <v>46009</v>
      </c>
      <c r="E699" s="1" t="n">
        <v>46219</v>
      </c>
      <c r="F699" t="inlineStr">
        <is>
          <t>STOCKHOLMS LÄN</t>
        </is>
      </c>
      <c r="G699" t="inlineStr">
        <is>
          <t>NORRTÄLJE</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5831-2022</t>
        </is>
      </c>
      <c r="B700" t="inlineStr">
        <is>
          <t>avverkningsanmälan</t>
        </is>
      </c>
      <c r="C700" t="inlineStr">
        <is>
          <t>Föryngringsavverkning</t>
        </is>
      </c>
      <c r="D700" s="1" t="n">
        <v>44596</v>
      </c>
      <c r="E700" s="1" t="n">
        <v>46219</v>
      </c>
      <c r="F700" t="inlineStr">
        <is>
          <t>STOCKHOLMS LÄN</t>
        </is>
      </c>
      <c r="G700" t="inlineStr">
        <is>
          <t>NORRTÄLJE</t>
        </is>
      </c>
      <c r="I700" t="n">
        <v>4.8</v>
      </c>
      <c r="J700" t="n">
        <v>0</v>
      </c>
      <c r="K700" t="n">
        <v>0</v>
      </c>
      <c r="L700" t="n">
        <v>0</v>
      </c>
      <c r="M700" t="n">
        <v>0</v>
      </c>
      <c r="N700" t="n">
        <v>0</v>
      </c>
      <c r="O700" t="n">
        <v>0</v>
      </c>
      <c r="P700" t="n">
        <v>0</v>
      </c>
      <c r="Q700" t="n">
        <v>0</v>
      </c>
      <c r="R700" t="n">
        <v>0</v>
      </c>
      <c r="S700" t="n">
        <v>0</v>
      </c>
      <c r="T700" t="n">
        <v>0</v>
      </c>
      <c r="U700" s="2" t="inlineStr"/>
    </row>
    <row r="701" ht="15" customHeight="1">
      <c r="A701" t="inlineStr">
        <is>
          <t>A 58853-2024</t>
        </is>
      </c>
      <c r="B701" t="inlineStr">
        <is>
          <t>avverkningsanmälan</t>
        </is>
      </c>
      <c r="C701" t="inlineStr">
        <is>
          <t>Föryngringsavverkning</t>
        </is>
      </c>
      <c r="D701" s="1" t="n">
        <v>45636</v>
      </c>
      <c r="E701" s="1" t="n">
        <v>46219</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50355-2024</t>
        </is>
      </c>
      <c r="B702" t="inlineStr">
        <is>
          <t>avverkningsanmälan</t>
        </is>
      </c>
      <c r="C702" t="inlineStr">
        <is>
          <t>Föryngringsavverkning</t>
        </is>
      </c>
      <c r="D702" s="1" t="n">
        <v>45600</v>
      </c>
      <c r="E702" s="1" t="n">
        <v>46219</v>
      </c>
      <c r="F702" t="inlineStr">
        <is>
          <t>STOCKHOLMS LÄN</t>
        </is>
      </c>
      <c r="G702" t="inlineStr">
        <is>
          <t>NORRTÄLJE</t>
        </is>
      </c>
      <c r="H702" t="inlineStr">
        <is>
          <t>Kommuner</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60694-2024</t>
        </is>
      </c>
      <c r="B703" t="inlineStr">
        <is>
          <t>avverkningsanmälan</t>
        </is>
      </c>
      <c r="C703" t="inlineStr">
        <is>
          <t>Föryngringsavverkning</t>
        </is>
      </c>
      <c r="D703" s="1" t="n">
        <v>45644</v>
      </c>
      <c r="E703" s="1" t="n">
        <v>46219</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25094-2023</t>
        </is>
      </c>
      <c r="B704" t="inlineStr">
        <is>
          <t>avverkningsanmälan</t>
        </is>
      </c>
      <c r="C704" t="inlineStr">
        <is>
          <t>Föryngringsavverkning</t>
        </is>
      </c>
      <c r="D704" s="1" t="n">
        <v>45086</v>
      </c>
      <c r="E704" s="1" t="n">
        <v>46219</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59712-2024</t>
        </is>
      </c>
      <c r="B705" t="inlineStr">
        <is>
          <t>avverkningsanmälan</t>
        </is>
      </c>
      <c r="C705" t="inlineStr">
        <is>
          <t>Föryngringsavverkning</t>
        </is>
      </c>
      <c r="D705" s="1" t="n">
        <v>45639</v>
      </c>
      <c r="E705" s="1" t="n">
        <v>46219</v>
      </c>
      <c r="F705" t="inlineStr">
        <is>
          <t>STOCKHOLMS LÄN</t>
        </is>
      </c>
      <c r="G705" t="inlineStr">
        <is>
          <t>NORRTÄLJE</t>
        </is>
      </c>
      <c r="I705" t="n">
        <v>4.4</v>
      </c>
      <c r="J705" t="n">
        <v>0</v>
      </c>
      <c r="K705" t="n">
        <v>0</v>
      </c>
      <c r="L705" t="n">
        <v>0</v>
      </c>
      <c r="M705" t="n">
        <v>0</v>
      </c>
      <c r="N705" t="n">
        <v>0</v>
      </c>
      <c r="O705" t="n">
        <v>0</v>
      </c>
      <c r="P705" t="n">
        <v>0</v>
      </c>
      <c r="Q705" t="n">
        <v>0</v>
      </c>
      <c r="R705" t="n">
        <v>0</v>
      </c>
      <c r="S705" t="n">
        <v>0</v>
      </c>
      <c r="T705" t="n">
        <v>0</v>
      </c>
      <c r="U705" s="2" t="inlineStr"/>
    </row>
    <row r="706" ht="15" customHeight="1">
      <c r="A706" t="inlineStr">
        <is>
          <t>A 59276-2023</t>
        </is>
      </c>
      <c r="B706" t="inlineStr">
        <is>
          <t>avverkningsanmälan</t>
        </is>
      </c>
      <c r="C706" t="inlineStr">
        <is>
          <t>Föryngringsavverkning</t>
        </is>
      </c>
      <c r="D706" s="1" t="n">
        <v>45253</v>
      </c>
      <c r="E706" s="1" t="n">
        <v>46219</v>
      </c>
      <c r="F706" t="inlineStr">
        <is>
          <t>STOCKHOLMS LÄN</t>
        </is>
      </c>
      <c r="G706" t="inlineStr">
        <is>
          <t>NORRTÄLJE</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13767-2025</t>
        </is>
      </c>
      <c r="B707" t="inlineStr">
        <is>
          <t>avverkningsanmälan</t>
        </is>
      </c>
      <c r="C707" t="inlineStr">
        <is>
          <t>Föryngringsavverkning</t>
        </is>
      </c>
      <c r="D707" s="1" t="n">
        <v>45737</v>
      </c>
      <c r="E707" s="1" t="n">
        <v>46219</v>
      </c>
      <c r="F707" t="inlineStr">
        <is>
          <t>STOCKHOLMS LÄN</t>
        </is>
      </c>
      <c r="G707" t="inlineStr">
        <is>
          <t>NORRTÄLJE</t>
        </is>
      </c>
      <c r="H707" t="inlineStr">
        <is>
          <t>Holmen skog AB</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41587-2023</t>
        </is>
      </c>
      <c r="B708" t="inlineStr">
        <is>
          <t>avverkningsanmälan</t>
        </is>
      </c>
      <c r="C708" t="inlineStr">
        <is>
          <t>Avverkning för annat ändamål</t>
        </is>
      </c>
      <c r="D708" s="1" t="n">
        <v>45175</v>
      </c>
      <c r="E708" s="1" t="n">
        <v>46219</v>
      </c>
      <c r="F708" t="inlineStr">
        <is>
          <t>STOCKHOLMS LÄN</t>
        </is>
      </c>
      <c r="G708" t="inlineStr">
        <is>
          <t>NORRTÄLJE</t>
        </is>
      </c>
      <c r="I708" t="n">
        <v>1.3</v>
      </c>
      <c r="J708" t="n">
        <v>0</v>
      </c>
      <c r="K708" t="n">
        <v>0</v>
      </c>
      <c r="L708" t="n">
        <v>0</v>
      </c>
      <c r="M708" t="n">
        <v>0</v>
      </c>
      <c r="N708" t="n">
        <v>0</v>
      </c>
      <c r="O708" t="n">
        <v>0</v>
      </c>
      <c r="P708" t="n">
        <v>0</v>
      </c>
      <c r="Q708" t="n">
        <v>0</v>
      </c>
      <c r="R708" t="n">
        <v>0</v>
      </c>
      <c r="S708" t="n">
        <v>0</v>
      </c>
      <c r="T708" t="n">
        <v>0</v>
      </c>
      <c r="U708" s="2" t="inlineStr"/>
    </row>
    <row r="709" ht="15" customHeight="1">
      <c r="A709" t="inlineStr">
        <is>
          <t>A 60884-2024</t>
        </is>
      </c>
      <c r="B709" t="inlineStr">
        <is>
          <t>avverkningsanmälan</t>
        </is>
      </c>
      <c r="C709" t="inlineStr">
        <is>
          <t>Föryngringsavverkning</t>
        </is>
      </c>
      <c r="D709" s="1" t="n">
        <v>45644</v>
      </c>
      <c r="E709" s="1" t="n">
        <v>46219</v>
      </c>
      <c r="F709" t="inlineStr">
        <is>
          <t>STOCKHOLMS LÄN</t>
        </is>
      </c>
      <c r="G709" t="inlineStr">
        <is>
          <t>NORRTÄLJE</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23150-2024</t>
        </is>
      </c>
      <c r="B710" t="inlineStr">
        <is>
          <t>avverkningsanmälan</t>
        </is>
      </c>
      <c r="C710" t="inlineStr">
        <is>
          <t>Föryngringsavverkning</t>
        </is>
      </c>
      <c r="D710" s="1" t="n">
        <v>45450</v>
      </c>
      <c r="E710" s="1" t="n">
        <v>46219</v>
      </c>
      <c r="F710" t="inlineStr">
        <is>
          <t>STOCKHOLMS LÄN</t>
        </is>
      </c>
      <c r="G710" t="inlineStr">
        <is>
          <t>NORRTÄLJE</t>
        </is>
      </c>
      <c r="H710" t="inlineStr">
        <is>
          <t>Kommuner</t>
        </is>
      </c>
      <c r="I710" t="n">
        <v>2.7</v>
      </c>
      <c r="J710" t="n">
        <v>0</v>
      </c>
      <c r="K710" t="n">
        <v>0</v>
      </c>
      <c r="L710" t="n">
        <v>0</v>
      </c>
      <c r="M710" t="n">
        <v>0</v>
      </c>
      <c r="N710" t="n">
        <v>0</v>
      </c>
      <c r="O710" t="n">
        <v>0</v>
      </c>
      <c r="P710" t="n">
        <v>0</v>
      </c>
      <c r="Q710" t="n">
        <v>0</v>
      </c>
      <c r="R710" t="n">
        <v>0</v>
      </c>
      <c r="S710" t="n">
        <v>0</v>
      </c>
      <c r="T710" t="n">
        <v>0</v>
      </c>
      <c r="U710" s="2" t="inlineStr"/>
    </row>
    <row r="711" ht="15" customHeight="1">
      <c r="A711" t="inlineStr">
        <is>
          <t>A 2549-2022</t>
        </is>
      </c>
      <c r="B711" t="inlineStr">
        <is>
          <t>avverkningsanmälan</t>
        </is>
      </c>
      <c r="C711" t="inlineStr">
        <is>
          <t>Avverkning för annat ändamål</t>
        </is>
      </c>
      <c r="D711" s="1" t="n">
        <v>44580</v>
      </c>
      <c r="E711" s="1" t="n">
        <v>46219</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s="2" t="inlineStr"/>
    </row>
    <row r="712" ht="15" customHeight="1">
      <c r="A712" t="inlineStr">
        <is>
          <t>A 31149-2023</t>
        </is>
      </c>
      <c r="B712" t="inlineStr">
        <is>
          <t>avverkningsanmälan</t>
        </is>
      </c>
      <c r="C712" t="inlineStr">
        <is>
          <t>Föryngringsavverkning</t>
        </is>
      </c>
      <c r="D712" s="1" t="n">
        <v>45113</v>
      </c>
      <c r="E712" s="1" t="n">
        <v>46219</v>
      </c>
      <c r="F712" t="inlineStr">
        <is>
          <t>STOCKHOLMS LÄN</t>
        </is>
      </c>
      <c r="G712" t="inlineStr">
        <is>
          <t>NORRTÄLJE</t>
        </is>
      </c>
      <c r="I712" t="n">
        <v>7.1</v>
      </c>
      <c r="J712" t="n">
        <v>0</v>
      </c>
      <c r="K712" t="n">
        <v>0</v>
      </c>
      <c r="L712" t="n">
        <v>0</v>
      </c>
      <c r="M712" t="n">
        <v>0</v>
      </c>
      <c r="N712" t="n">
        <v>0</v>
      </c>
      <c r="O712" t="n">
        <v>0</v>
      </c>
      <c r="P712" t="n">
        <v>0</v>
      </c>
      <c r="Q712" t="n">
        <v>0</v>
      </c>
      <c r="R712" t="n">
        <v>0</v>
      </c>
      <c r="S712" t="n">
        <v>0</v>
      </c>
      <c r="T712" t="n">
        <v>0</v>
      </c>
      <c r="U712" s="2" t="inlineStr"/>
    </row>
    <row r="713" ht="15" customHeight="1">
      <c r="A713" t="inlineStr">
        <is>
          <t>A 16835-2022</t>
        </is>
      </c>
      <c r="B713" t="inlineStr">
        <is>
          <t>avverkningsanmälan</t>
        </is>
      </c>
      <c r="C713" t="inlineStr">
        <is>
          <t>Föryngringsavverkning</t>
        </is>
      </c>
      <c r="D713" s="1" t="n">
        <v>44673</v>
      </c>
      <c r="E713" s="1" t="n">
        <v>46219</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13701-2022</t>
        </is>
      </c>
      <c r="B714" t="inlineStr">
        <is>
          <t>avverkningsanmälan</t>
        </is>
      </c>
      <c r="C714" t="inlineStr">
        <is>
          <t>Föryngringsavverkning</t>
        </is>
      </c>
      <c r="D714" s="1" t="n">
        <v>44648</v>
      </c>
      <c r="E714" s="1" t="n">
        <v>46219</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13089-2022</t>
        </is>
      </c>
      <c r="B715" t="inlineStr">
        <is>
          <t>avverkningsanmälan</t>
        </is>
      </c>
      <c r="C715" t="inlineStr">
        <is>
          <t>Föryngringsavverkning</t>
        </is>
      </c>
      <c r="D715" s="1" t="n">
        <v>44643</v>
      </c>
      <c r="E715" s="1" t="n">
        <v>46219</v>
      </c>
      <c r="F715" t="inlineStr">
        <is>
          <t>STOCKHOLMS LÄN</t>
        </is>
      </c>
      <c r="G715" t="inlineStr">
        <is>
          <t>NORRTÄLJE</t>
        </is>
      </c>
      <c r="I715" t="n">
        <v>4.5</v>
      </c>
      <c r="J715" t="n">
        <v>0</v>
      </c>
      <c r="K715" t="n">
        <v>0</v>
      </c>
      <c r="L715" t="n">
        <v>0</v>
      </c>
      <c r="M715" t="n">
        <v>0</v>
      </c>
      <c r="N715" t="n">
        <v>0</v>
      </c>
      <c r="O715" t="n">
        <v>0</v>
      </c>
      <c r="P715" t="n">
        <v>0</v>
      </c>
      <c r="Q715" t="n">
        <v>0</v>
      </c>
      <c r="R715" t="n">
        <v>0</v>
      </c>
      <c r="S715" t="n">
        <v>0</v>
      </c>
      <c r="T715" t="n">
        <v>0</v>
      </c>
      <c r="U715" s="2" t="inlineStr"/>
    </row>
    <row r="716" ht="15" customHeight="1">
      <c r="A716" t="inlineStr">
        <is>
          <t>A 718-2026</t>
        </is>
      </c>
      <c r="B716" t="inlineStr">
        <is>
          <t>avverkningsanmälan</t>
        </is>
      </c>
      <c r="C716" t="inlineStr">
        <is>
          <t>Föryngringsavverkning</t>
        </is>
      </c>
      <c r="D716" s="1" t="n">
        <v>46029</v>
      </c>
      <c r="E716" s="1" t="n">
        <v>46219</v>
      </c>
      <c r="F716" t="inlineStr">
        <is>
          <t>STOCKHOLMS LÄN</t>
        </is>
      </c>
      <c r="G716" t="inlineStr">
        <is>
          <t>NORRTÄLJE</t>
        </is>
      </c>
      <c r="I716" t="n">
        <v>2.4</v>
      </c>
      <c r="J716" t="n">
        <v>0</v>
      </c>
      <c r="K716" t="n">
        <v>0</v>
      </c>
      <c r="L716" t="n">
        <v>0</v>
      </c>
      <c r="M716" t="n">
        <v>0</v>
      </c>
      <c r="N716" t="n">
        <v>0</v>
      </c>
      <c r="O716" t="n">
        <v>0</v>
      </c>
      <c r="P716" t="n">
        <v>0</v>
      </c>
      <c r="Q716" t="n">
        <v>0</v>
      </c>
      <c r="R716" t="n">
        <v>0</v>
      </c>
      <c r="S716" t="n">
        <v>0</v>
      </c>
      <c r="T716" t="n">
        <v>0</v>
      </c>
      <c r="U716" s="2" t="inlineStr"/>
    </row>
    <row r="717" ht="15" customHeight="1">
      <c r="A717" t="inlineStr">
        <is>
          <t>A 694-2026</t>
        </is>
      </c>
      <c r="B717" t="inlineStr">
        <is>
          <t>avverkningsanmälan</t>
        </is>
      </c>
      <c r="C717" t="inlineStr">
        <is>
          <t>Föryngringsavverkning</t>
        </is>
      </c>
      <c r="D717" s="1" t="n">
        <v>46029</v>
      </c>
      <c r="E717" s="1" t="n">
        <v>46219</v>
      </c>
      <c r="F717" t="inlineStr">
        <is>
          <t>STOCKHOLMS LÄN</t>
        </is>
      </c>
      <c r="G717" t="inlineStr">
        <is>
          <t>NORRTÄLJE</t>
        </is>
      </c>
      <c r="I717" t="n">
        <v>9.6</v>
      </c>
      <c r="J717" t="n">
        <v>0</v>
      </c>
      <c r="K717" t="n">
        <v>0</v>
      </c>
      <c r="L717" t="n">
        <v>0</v>
      </c>
      <c r="M717" t="n">
        <v>0</v>
      </c>
      <c r="N717" t="n">
        <v>0</v>
      </c>
      <c r="O717" t="n">
        <v>0</v>
      </c>
      <c r="P717" t="n">
        <v>0</v>
      </c>
      <c r="Q717" t="n">
        <v>0</v>
      </c>
      <c r="R717" t="n">
        <v>0</v>
      </c>
      <c r="S717" t="n">
        <v>0</v>
      </c>
      <c r="T717" t="n">
        <v>0</v>
      </c>
      <c r="U717" s="2" t="inlineStr"/>
    </row>
    <row r="718" ht="15" customHeight="1">
      <c r="A718" t="inlineStr">
        <is>
          <t>A 60529-2023</t>
        </is>
      </c>
      <c r="B718" t="inlineStr">
        <is>
          <t>avverkningsanmälan</t>
        </is>
      </c>
      <c r="C718" t="inlineStr">
        <is>
          <t>Föryngringsavverkning</t>
        </is>
      </c>
      <c r="D718" s="1" t="n">
        <v>45259</v>
      </c>
      <c r="E718" s="1" t="n">
        <v>46219</v>
      </c>
      <c r="F718" t="inlineStr">
        <is>
          <t>STOCKHOLMS LÄN</t>
        </is>
      </c>
      <c r="G718" t="inlineStr">
        <is>
          <t>NORRTÄLJE</t>
        </is>
      </c>
      <c r="I718" t="n">
        <v>2.6</v>
      </c>
      <c r="J718" t="n">
        <v>0</v>
      </c>
      <c r="K718" t="n">
        <v>0</v>
      </c>
      <c r="L718" t="n">
        <v>0</v>
      </c>
      <c r="M718" t="n">
        <v>0</v>
      </c>
      <c r="N718" t="n">
        <v>0</v>
      </c>
      <c r="O718" t="n">
        <v>0</v>
      </c>
      <c r="P718" t="n">
        <v>0</v>
      </c>
      <c r="Q718" t="n">
        <v>0</v>
      </c>
      <c r="R718" t="n">
        <v>0</v>
      </c>
      <c r="S718" t="n">
        <v>0</v>
      </c>
      <c r="T718" t="n">
        <v>0</v>
      </c>
      <c r="U718" s="2" t="inlineStr"/>
    </row>
    <row r="719" ht="15" customHeight="1">
      <c r="A719" t="inlineStr">
        <is>
          <t>A 693-2026</t>
        </is>
      </c>
      <c r="B719" t="inlineStr">
        <is>
          <t>avverkningsanmälan</t>
        </is>
      </c>
      <c r="C719" t="inlineStr">
        <is>
          <t>Föryngringsavverkning</t>
        </is>
      </c>
      <c r="D719" s="1" t="n">
        <v>46029</v>
      </c>
      <c r="E719" s="1" t="n">
        <v>46219</v>
      </c>
      <c r="F719" t="inlineStr">
        <is>
          <t>STOCKHOLMS LÄN</t>
        </is>
      </c>
      <c r="G719" t="inlineStr">
        <is>
          <t>NORRTÄLJE</t>
        </is>
      </c>
      <c r="I719" t="n">
        <v>9.6</v>
      </c>
      <c r="J719" t="n">
        <v>0</v>
      </c>
      <c r="K719" t="n">
        <v>0</v>
      </c>
      <c r="L719" t="n">
        <v>0</v>
      </c>
      <c r="M719" t="n">
        <v>0</v>
      </c>
      <c r="N719" t="n">
        <v>0</v>
      </c>
      <c r="O719" t="n">
        <v>0</v>
      </c>
      <c r="P719" t="n">
        <v>0</v>
      </c>
      <c r="Q719" t="n">
        <v>0</v>
      </c>
      <c r="R719" t="n">
        <v>0</v>
      </c>
      <c r="S719" t="n">
        <v>0</v>
      </c>
      <c r="T719" t="n">
        <v>0</v>
      </c>
      <c r="U719" s="2" t="inlineStr"/>
    </row>
    <row r="720" ht="15" customHeight="1">
      <c r="A720" t="inlineStr">
        <is>
          <t>A 38759-2022</t>
        </is>
      </c>
      <c r="B720" t="inlineStr">
        <is>
          <t>avverkningsanmälan</t>
        </is>
      </c>
      <c r="C720" t="inlineStr">
        <is>
          <t>Föryngringsavverkning</t>
        </is>
      </c>
      <c r="D720" s="1" t="n">
        <v>44816</v>
      </c>
      <c r="E720" s="1" t="n">
        <v>46219</v>
      </c>
      <c r="F720" t="inlineStr">
        <is>
          <t>STOCKHOLMS LÄN</t>
        </is>
      </c>
      <c r="G720" t="inlineStr">
        <is>
          <t>NORRTÄLJE</t>
        </is>
      </c>
      <c r="I720" t="n">
        <v>2.8</v>
      </c>
      <c r="J720" t="n">
        <v>0</v>
      </c>
      <c r="K720" t="n">
        <v>0</v>
      </c>
      <c r="L720" t="n">
        <v>0</v>
      </c>
      <c r="M720" t="n">
        <v>0</v>
      </c>
      <c r="N720" t="n">
        <v>0</v>
      </c>
      <c r="O720" t="n">
        <v>0</v>
      </c>
      <c r="P720" t="n">
        <v>0</v>
      </c>
      <c r="Q720" t="n">
        <v>0</v>
      </c>
      <c r="R720" t="n">
        <v>0</v>
      </c>
      <c r="S720" t="n">
        <v>0</v>
      </c>
      <c r="T720" t="n">
        <v>0</v>
      </c>
      <c r="U720" s="2" t="inlineStr"/>
    </row>
    <row r="721" ht="15" customHeight="1">
      <c r="A721" t="inlineStr">
        <is>
          <t>A 812-2026</t>
        </is>
      </c>
      <c r="B721" t="inlineStr">
        <is>
          <t>avverkningsanmälan</t>
        </is>
      </c>
      <c r="C721" t="inlineStr">
        <is>
          <t>Föryngringsavverkning</t>
        </is>
      </c>
      <c r="D721" s="1" t="n">
        <v>46030</v>
      </c>
      <c r="E721" s="1" t="n">
        <v>46219</v>
      </c>
      <c r="F721" t="inlineStr">
        <is>
          <t>STOCKHOLMS LÄN</t>
        </is>
      </c>
      <c r="G721" t="inlineStr">
        <is>
          <t>NORRTÄLJE</t>
        </is>
      </c>
      <c r="I721" t="n">
        <v>2.4</v>
      </c>
      <c r="J721" t="n">
        <v>0</v>
      </c>
      <c r="K721" t="n">
        <v>0</v>
      </c>
      <c r="L721" t="n">
        <v>0</v>
      </c>
      <c r="M721" t="n">
        <v>0</v>
      </c>
      <c r="N721" t="n">
        <v>0</v>
      </c>
      <c r="O721" t="n">
        <v>0</v>
      </c>
      <c r="P721" t="n">
        <v>0</v>
      </c>
      <c r="Q721" t="n">
        <v>0</v>
      </c>
      <c r="R721" t="n">
        <v>0</v>
      </c>
      <c r="S721" t="n">
        <v>0</v>
      </c>
      <c r="T721" t="n">
        <v>0</v>
      </c>
      <c r="U721" s="2" t="inlineStr"/>
    </row>
    <row r="722" ht="15" customHeight="1">
      <c r="A722" t="inlineStr">
        <is>
          <t>A 23998-2024</t>
        </is>
      </c>
      <c r="B722" t="inlineStr">
        <is>
          <t>avverkningsanmälan</t>
        </is>
      </c>
      <c r="C722" t="inlineStr">
        <is>
          <t>Föryngringsavverkning</t>
        </is>
      </c>
      <c r="D722" s="1" t="n">
        <v>45456</v>
      </c>
      <c r="E722" s="1" t="n">
        <v>46219</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717-2026</t>
        </is>
      </c>
      <c r="B723" t="inlineStr">
        <is>
          <t>avverkningsanmälan</t>
        </is>
      </c>
      <c r="C723" t="inlineStr">
        <is>
          <t>Föryngringsavverkning</t>
        </is>
      </c>
      <c r="D723" s="1" t="n">
        <v>46029</v>
      </c>
      <c r="E723" s="1" t="n">
        <v>46219</v>
      </c>
      <c r="F723" t="inlineStr">
        <is>
          <t>STOCKHOLMS LÄN</t>
        </is>
      </c>
      <c r="G723" t="inlineStr">
        <is>
          <t>NORRTÄLJE</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475-2026</t>
        </is>
      </c>
      <c r="B724" t="inlineStr">
        <is>
          <t>avverkningsanmälan</t>
        </is>
      </c>
      <c r="C724" t="inlineStr">
        <is>
          <t>Föryngringsavverkning</t>
        </is>
      </c>
      <c r="D724" s="1" t="n">
        <v>46029</v>
      </c>
      <c r="E724" s="1" t="n">
        <v>46219</v>
      </c>
      <c r="F724" t="inlineStr">
        <is>
          <t>STOCKHOLMS LÄN</t>
        </is>
      </c>
      <c r="G724" t="inlineStr">
        <is>
          <t>NORRTÄLJE</t>
        </is>
      </c>
      <c r="I724" t="n">
        <v>4.6</v>
      </c>
      <c r="J724" t="n">
        <v>0</v>
      </c>
      <c r="K724" t="n">
        <v>0</v>
      </c>
      <c r="L724" t="n">
        <v>0</v>
      </c>
      <c r="M724" t="n">
        <v>0</v>
      </c>
      <c r="N724" t="n">
        <v>0</v>
      </c>
      <c r="O724" t="n">
        <v>0</v>
      </c>
      <c r="P724" t="n">
        <v>0</v>
      </c>
      <c r="Q724" t="n">
        <v>0</v>
      </c>
      <c r="R724" t="n">
        <v>0</v>
      </c>
      <c r="S724" t="n">
        <v>0</v>
      </c>
      <c r="T724" t="n">
        <v>0</v>
      </c>
      <c r="U724" s="2" t="inlineStr"/>
    </row>
    <row r="725" ht="15" customHeight="1">
      <c r="A725" t="inlineStr">
        <is>
          <t>A 59326-2023</t>
        </is>
      </c>
      <c r="B725" t="inlineStr">
        <is>
          <t>avverkningsanmälan</t>
        </is>
      </c>
      <c r="C725" t="inlineStr">
        <is>
          <t>Föryngringsavverkning</t>
        </is>
      </c>
      <c r="D725" s="1" t="n">
        <v>45253</v>
      </c>
      <c r="E725" s="1" t="n">
        <v>46219</v>
      </c>
      <c r="F725" t="inlineStr">
        <is>
          <t>STOCKHOLMS LÄN</t>
        </is>
      </c>
      <c r="G725" t="inlineStr">
        <is>
          <t>NORRTÄLJE</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54504-2024</t>
        </is>
      </c>
      <c r="B726" t="inlineStr">
        <is>
          <t>avverkningsanmälan</t>
        </is>
      </c>
      <c r="C726" t="inlineStr">
        <is>
          <t>Föryngringsavverkning</t>
        </is>
      </c>
      <c r="D726" s="1" t="n">
        <v>45617</v>
      </c>
      <c r="E726" s="1" t="n">
        <v>46219</v>
      </c>
      <c r="F726" t="inlineStr">
        <is>
          <t>STOCKHOLMS LÄN</t>
        </is>
      </c>
      <c r="G726" t="inlineStr">
        <is>
          <t>NORRTÄLJE</t>
        </is>
      </c>
      <c r="I726" t="n">
        <v>3.4</v>
      </c>
      <c r="J726" t="n">
        <v>0</v>
      </c>
      <c r="K726" t="n">
        <v>0</v>
      </c>
      <c r="L726" t="n">
        <v>0</v>
      </c>
      <c r="M726" t="n">
        <v>0</v>
      </c>
      <c r="N726" t="n">
        <v>0</v>
      </c>
      <c r="O726" t="n">
        <v>0</v>
      </c>
      <c r="P726" t="n">
        <v>0</v>
      </c>
      <c r="Q726" t="n">
        <v>0</v>
      </c>
      <c r="R726" t="n">
        <v>0</v>
      </c>
      <c r="S726" t="n">
        <v>0</v>
      </c>
      <c r="T726" t="n">
        <v>0</v>
      </c>
      <c r="U726" s="2" t="inlineStr"/>
    </row>
    <row r="727" ht="15" customHeight="1">
      <c r="A727" t="inlineStr">
        <is>
          <t>A 3152-2024</t>
        </is>
      </c>
      <c r="B727" t="inlineStr">
        <is>
          <t>avverkningsanmälan</t>
        </is>
      </c>
      <c r="C727" t="inlineStr">
        <is>
          <t>Föryngringsavverkning</t>
        </is>
      </c>
      <c r="D727" s="1" t="n">
        <v>45316</v>
      </c>
      <c r="E727" s="1" t="n">
        <v>46219</v>
      </c>
      <c r="F727" t="inlineStr">
        <is>
          <t>STOCKHOLMS LÄN</t>
        </is>
      </c>
      <c r="G727" t="inlineStr">
        <is>
          <t>NORRTÄLJE</t>
        </is>
      </c>
      <c r="I727" t="n">
        <v>7.9</v>
      </c>
      <c r="J727" t="n">
        <v>0</v>
      </c>
      <c r="K727" t="n">
        <v>0</v>
      </c>
      <c r="L727" t="n">
        <v>0</v>
      </c>
      <c r="M727" t="n">
        <v>0</v>
      </c>
      <c r="N727" t="n">
        <v>0</v>
      </c>
      <c r="O727" t="n">
        <v>0</v>
      </c>
      <c r="P727" t="n">
        <v>0</v>
      </c>
      <c r="Q727" t="n">
        <v>0</v>
      </c>
      <c r="R727" t="n">
        <v>0</v>
      </c>
      <c r="S727" t="n">
        <v>0</v>
      </c>
      <c r="T727" t="n">
        <v>0</v>
      </c>
      <c r="U727" s="2" t="inlineStr"/>
    </row>
    <row r="728" ht="15" customHeight="1">
      <c r="A728" t="inlineStr">
        <is>
          <t>A 32595-2023</t>
        </is>
      </c>
      <c r="B728" t="inlineStr">
        <is>
          <t>avverkningsanmälan</t>
        </is>
      </c>
      <c r="C728" t="inlineStr">
        <is>
          <t>Föryngringsavverkning</t>
        </is>
      </c>
      <c r="D728" s="1" t="n">
        <v>45121</v>
      </c>
      <c r="E728" s="1" t="n">
        <v>46219</v>
      </c>
      <c r="F728" t="inlineStr">
        <is>
          <t>STOCKHOLMS LÄN</t>
        </is>
      </c>
      <c r="G728" t="inlineStr">
        <is>
          <t>NORRTÄLJE</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44836-2023</t>
        </is>
      </c>
      <c r="B729" t="inlineStr">
        <is>
          <t>avverkningsanmälan</t>
        </is>
      </c>
      <c r="C729" t="inlineStr">
        <is>
          <t>Föryngringsavverkning</t>
        </is>
      </c>
      <c r="D729" s="1" t="n">
        <v>45190</v>
      </c>
      <c r="E729" s="1" t="n">
        <v>46219</v>
      </c>
      <c r="F729" t="inlineStr">
        <is>
          <t>STOCKHOLMS LÄN</t>
        </is>
      </c>
      <c r="G729" t="inlineStr">
        <is>
          <t>NORRTÄLJE</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1789-2026</t>
        </is>
      </c>
      <c r="B730" t="inlineStr">
        <is>
          <t>avverkningsanmälan</t>
        </is>
      </c>
      <c r="C730" t="inlineStr">
        <is>
          <t>Avverkning för annat ändamål</t>
        </is>
      </c>
      <c r="D730" s="1" t="n">
        <v>46034</v>
      </c>
      <c r="E730" s="1" t="n">
        <v>46219</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1755-2026</t>
        </is>
      </c>
      <c r="B731" t="inlineStr">
        <is>
          <t>avverkningsanmälan</t>
        </is>
      </c>
      <c r="C731" t="inlineStr">
        <is>
          <t>Föryngringsavverkning</t>
        </is>
      </c>
      <c r="D731" s="1" t="n">
        <v>46034</v>
      </c>
      <c r="E731" s="1" t="n">
        <v>46219</v>
      </c>
      <c r="F731" t="inlineStr">
        <is>
          <t>STOCKHOLMS LÄN</t>
        </is>
      </c>
      <c r="G731" t="inlineStr">
        <is>
          <t>NORRTÄLJE</t>
        </is>
      </c>
      <c r="H731" t="inlineStr">
        <is>
          <t>Holmen skog AB</t>
        </is>
      </c>
      <c r="I731" t="n">
        <v>3.5</v>
      </c>
      <c r="J731" t="n">
        <v>0</v>
      </c>
      <c r="K731" t="n">
        <v>0</v>
      </c>
      <c r="L731" t="n">
        <v>0</v>
      </c>
      <c r="M731" t="n">
        <v>0</v>
      </c>
      <c r="N731" t="n">
        <v>0</v>
      </c>
      <c r="O731" t="n">
        <v>0</v>
      </c>
      <c r="P731" t="n">
        <v>0</v>
      </c>
      <c r="Q731" t="n">
        <v>0</v>
      </c>
      <c r="R731" t="n">
        <v>0</v>
      </c>
      <c r="S731" t="n">
        <v>0</v>
      </c>
      <c r="T731" t="n">
        <v>0</v>
      </c>
      <c r="U731" s="2" t="inlineStr"/>
    </row>
    <row r="732" ht="15" customHeight="1">
      <c r="A732" t="inlineStr">
        <is>
          <t>A 2088-2026</t>
        </is>
      </c>
      <c r="B732" t="inlineStr">
        <is>
          <t>avverkningsanmälan</t>
        </is>
      </c>
      <c r="C732" t="inlineStr">
        <is>
          <t>Föryngringsavverkning</t>
        </is>
      </c>
      <c r="D732" s="1" t="n">
        <v>46036</v>
      </c>
      <c r="E732" s="1" t="n">
        <v>46219</v>
      </c>
      <c r="F732" t="inlineStr">
        <is>
          <t>STOCKHOLMS LÄN</t>
        </is>
      </c>
      <c r="G732" t="inlineStr">
        <is>
          <t>NORRTÄLJE</t>
        </is>
      </c>
      <c r="I732" t="n">
        <v>7</v>
      </c>
      <c r="J732" t="n">
        <v>0</v>
      </c>
      <c r="K732" t="n">
        <v>0</v>
      </c>
      <c r="L732" t="n">
        <v>0</v>
      </c>
      <c r="M732" t="n">
        <v>0</v>
      </c>
      <c r="N732" t="n">
        <v>0</v>
      </c>
      <c r="O732" t="n">
        <v>0</v>
      </c>
      <c r="P732" t="n">
        <v>0</v>
      </c>
      <c r="Q732" t="n">
        <v>0</v>
      </c>
      <c r="R732" t="n">
        <v>0</v>
      </c>
      <c r="S732" t="n">
        <v>0</v>
      </c>
      <c r="T732" t="n">
        <v>0</v>
      </c>
      <c r="U732" s="2" t="inlineStr"/>
    </row>
    <row r="733" ht="15" customHeight="1">
      <c r="A733" t="inlineStr">
        <is>
          <t>A 2116-2026</t>
        </is>
      </c>
      <c r="B733" t="inlineStr">
        <is>
          <t>avverkningsanmälan</t>
        </is>
      </c>
      <c r="C733" t="inlineStr">
        <is>
          <t>Föryngringsavverkning</t>
        </is>
      </c>
      <c r="D733" s="1" t="n">
        <v>46036</v>
      </c>
      <c r="E733" s="1" t="n">
        <v>46219</v>
      </c>
      <c r="F733" t="inlineStr">
        <is>
          <t>STOCKHOLMS LÄN</t>
        </is>
      </c>
      <c r="G733" t="inlineStr">
        <is>
          <t>NORRTÄLJE</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54259-2023</t>
        </is>
      </c>
      <c r="B734" t="inlineStr">
        <is>
          <t>avverkningsanmälan</t>
        </is>
      </c>
      <c r="C734" t="inlineStr">
        <is>
          <t>Föryngringsavverkning</t>
        </is>
      </c>
      <c r="D734" s="1" t="n">
        <v>45232</v>
      </c>
      <c r="E734" s="1" t="n">
        <v>46219</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11900-2024</t>
        </is>
      </c>
      <c r="B735" t="inlineStr">
        <is>
          <t>avverkningsanmälan</t>
        </is>
      </c>
      <c r="C735" t="inlineStr">
        <is>
          <t>Föryngringsavverkning</t>
        </is>
      </c>
      <c r="D735" s="1" t="n">
        <v>45376</v>
      </c>
      <c r="E735" s="1" t="n">
        <v>46219</v>
      </c>
      <c r="F735" t="inlineStr">
        <is>
          <t>STOCKHOLMS LÄN</t>
        </is>
      </c>
      <c r="G735" t="inlineStr">
        <is>
          <t>NORRTÄLJE</t>
        </is>
      </c>
      <c r="I735" t="n">
        <v>4.2</v>
      </c>
      <c r="J735" t="n">
        <v>0</v>
      </c>
      <c r="K735" t="n">
        <v>0</v>
      </c>
      <c r="L735" t="n">
        <v>0</v>
      </c>
      <c r="M735" t="n">
        <v>0</v>
      </c>
      <c r="N735" t="n">
        <v>0</v>
      </c>
      <c r="O735" t="n">
        <v>0</v>
      </c>
      <c r="P735" t="n">
        <v>0</v>
      </c>
      <c r="Q735" t="n">
        <v>0</v>
      </c>
      <c r="R735" t="n">
        <v>0</v>
      </c>
      <c r="S735" t="n">
        <v>0</v>
      </c>
      <c r="T735" t="n">
        <v>0</v>
      </c>
      <c r="U735" s="2" t="inlineStr"/>
    </row>
    <row r="736" ht="15" customHeight="1">
      <c r="A736" t="inlineStr">
        <is>
          <t>A 43300-2023</t>
        </is>
      </c>
      <c r="B736" t="inlineStr">
        <is>
          <t>avverkningsanmälan</t>
        </is>
      </c>
      <c r="C736" t="inlineStr">
        <is>
          <t>Föryngringsavverkning</t>
        </is>
      </c>
      <c r="D736" s="1" t="n">
        <v>45183</v>
      </c>
      <c r="E736" s="1" t="n">
        <v>46219</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21771-2025</t>
        </is>
      </c>
      <c r="B737" t="inlineStr">
        <is>
          <t>avverkningsanmälan</t>
        </is>
      </c>
      <c r="C737" t="inlineStr">
        <is>
          <t>Avverkning för annat ändamål</t>
        </is>
      </c>
      <c r="D737" s="1" t="n">
        <v>45783</v>
      </c>
      <c r="E737" s="1" t="n">
        <v>46219</v>
      </c>
      <c r="F737" t="inlineStr">
        <is>
          <t>STOCKHOLMS LÄN</t>
        </is>
      </c>
      <c r="G737" t="inlineStr">
        <is>
          <t>NORRTÄLJE</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13276-2022</t>
        </is>
      </c>
      <c r="B738" t="inlineStr">
        <is>
          <t>avverkningsanmälan</t>
        </is>
      </c>
      <c r="C738" t="inlineStr">
        <is>
          <t>Föryngringsavverkning</t>
        </is>
      </c>
      <c r="D738" s="1" t="n">
        <v>44644</v>
      </c>
      <c r="E738" s="1" t="n">
        <v>46219</v>
      </c>
      <c r="F738" t="inlineStr">
        <is>
          <t>STOCKHOLMS LÄN</t>
        </is>
      </c>
      <c r="G738" t="inlineStr">
        <is>
          <t>NORRTÄLJE</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3549-2026</t>
        </is>
      </c>
      <c r="B739" t="inlineStr">
        <is>
          <t>avverkningsanmälan</t>
        </is>
      </c>
      <c r="C739" t="inlineStr">
        <is>
          <t>Föryngringsavverkning</t>
        </is>
      </c>
      <c r="D739" s="1" t="n">
        <v>46042</v>
      </c>
      <c r="E739" s="1" t="n">
        <v>46219</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11900-2022</t>
        </is>
      </c>
      <c r="B740" t="inlineStr">
        <is>
          <t>avverkningsanmälan</t>
        </is>
      </c>
      <c r="C740" t="inlineStr">
        <is>
          <t>Föryngringsavverkning</t>
        </is>
      </c>
      <c r="D740" s="1" t="n">
        <v>44635</v>
      </c>
      <c r="E740" s="1" t="n">
        <v>46219</v>
      </c>
      <c r="F740" t="inlineStr">
        <is>
          <t>STOCKHOLMS LÄN</t>
        </is>
      </c>
      <c r="G740" t="inlineStr">
        <is>
          <t>NORRTÄLJE</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21778-2025</t>
        </is>
      </c>
      <c r="B741" t="inlineStr">
        <is>
          <t>avverkningsanmälan</t>
        </is>
      </c>
      <c r="C741" t="inlineStr">
        <is>
          <t>Föryngringsavverkning</t>
        </is>
      </c>
      <c r="D741" s="1" t="n">
        <v>45783</v>
      </c>
      <c r="E741" s="1" t="n">
        <v>46219</v>
      </c>
      <c r="F741" t="inlineStr">
        <is>
          <t>STOCKHOLMS LÄN</t>
        </is>
      </c>
      <c r="G741" t="inlineStr">
        <is>
          <t>NORRTÄLJE</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16202-2022</t>
        </is>
      </c>
      <c r="B742" t="inlineStr">
        <is>
          <t>avverkningsanmälan</t>
        </is>
      </c>
      <c r="C742" t="inlineStr">
        <is>
          <t>Föryngringsavverkning</t>
        </is>
      </c>
      <c r="D742" s="1" t="n">
        <v>44670</v>
      </c>
      <c r="E742" s="1" t="n">
        <v>46219</v>
      </c>
      <c r="F742" t="inlineStr">
        <is>
          <t>STOCKHOLMS LÄN</t>
        </is>
      </c>
      <c r="G742" t="inlineStr">
        <is>
          <t>NORRTÄLJE</t>
        </is>
      </c>
      <c r="I742" t="n">
        <v>1.5</v>
      </c>
      <c r="J742" t="n">
        <v>0</v>
      </c>
      <c r="K742" t="n">
        <v>0</v>
      </c>
      <c r="L742" t="n">
        <v>0</v>
      </c>
      <c r="M742" t="n">
        <v>0</v>
      </c>
      <c r="N742" t="n">
        <v>0</v>
      </c>
      <c r="O742" t="n">
        <v>0</v>
      </c>
      <c r="P742" t="n">
        <v>0</v>
      </c>
      <c r="Q742" t="n">
        <v>0</v>
      </c>
      <c r="R742" t="n">
        <v>0</v>
      </c>
      <c r="S742" t="n">
        <v>0</v>
      </c>
      <c r="T742" t="n">
        <v>0</v>
      </c>
      <c r="U742" s="2" t="inlineStr"/>
    </row>
    <row r="743" ht="15" customHeight="1">
      <c r="A743" t="inlineStr">
        <is>
          <t>A 6003-2025</t>
        </is>
      </c>
      <c r="B743" t="inlineStr">
        <is>
          <t>avverkningsanmälan</t>
        </is>
      </c>
      <c r="C743" t="inlineStr">
        <is>
          <t>Föryngringsavverkning</t>
        </is>
      </c>
      <c r="D743" s="1" t="n">
        <v>45695</v>
      </c>
      <c r="E743" s="1" t="n">
        <v>46219</v>
      </c>
      <c r="F743" t="inlineStr">
        <is>
          <t>STOCKHOLMS LÄN</t>
        </is>
      </c>
      <c r="G743" t="inlineStr">
        <is>
          <t>NORRTÄLJE</t>
        </is>
      </c>
      <c r="H743" t="inlineStr">
        <is>
          <t>Holmen skog AB</t>
        </is>
      </c>
      <c r="I743" t="n">
        <v>2.3</v>
      </c>
      <c r="J743" t="n">
        <v>0</v>
      </c>
      <c r="K743" t="n">
        <v>0</v>
      </c>
      <c r="L743" t="n">
        <v>0</v>
      </c>
      <c r="M743" t="n">
        <v>0</v>
      </c>
      <c r="N743" t="n">
        <v>0</v>
      </c>
      <c r="O743" t="n">
        <v>0</v>
      </c>
      <c r="P743" t="n">
        <v>0</v>
      </c>
      <c r="Q743" t="n">
        <v>0</v>
      </c>
      <c r="R743" t="n">
        <v>0</v>
      </c>
      <c r="S743" t="n">
        <v>0</v>
      </c>
      <c r="T743" t="n">
        <v>0</v>
      </c>
      <c r="U743" s="2" t="inlineStr"/>
    </row>
    <row r="744" ht="15" customHeight="1">
      <c r="A744" t="inlineStr">
        <is>
          <t>A 48633-2023</t>
        </is>
      </c>
      <c r="B744" t="inlineStr">
        <is>
          <t>avverkningsanmälan</t>
        </is>
      </c>
      <c r="C744" t="inlineStr">
        <is>
          <t>Föryngringsavverkning</t>
        </is>
      </c>
      <c r="D744" s="1" t="n">
        <v>45208</v>
      </c>
      <c r="E744" s="1" t="n">
        <v>46219</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s="2" t="inlineStr"/>
    </row>
    <row r="745" ht="15" customHeight="1">
      <c r="A745" t="inlineStr">
        <is>
          <t>A 12902-2024</t>
        </is>
      </c>
      <c r="B745" t="inlineStr">
        <is>
          <t>avverkningsanmälan</t>
        </is>
      </c>
      <c r="C745" t="inlineStr">
        <is>
          <t>Föryngringsavverkning</t>
        </is>
      </c>
      <c r="D745" s="1" t="n">
        <v>45385</v>
      </c>
      <c r="E745" s="1" t="n">
        <v>46219</v>
      </c>
      <c r="F745" t="inlineStr">
        <is>
          <t>STOCKHOLMS LÄN</t>
        </is>
      </c>
      <c r="G745" t="inlineStr">
        <is>
          <t>NORRTÄLJE</t>
        </is>
      </c>
      <c r="I745" t="n">
        <v>3.7</v>
      </c>
      <c r="J745" t="n">
        <v>0</v>
      </c>
      <c r="K745" t="n">
        <v>0</v>
      </c>
      <c r="L745" t="n">
        <v>0</v>
      </c>
      <c r="M745" t="n">
        <v>0</v>
      </c>
      <c r="N745" t="n">
        <v>0</v>
      </c>
      <c r="O745" t="n">
        <v>0</v>
      </c>
      <c r="P745" t="n">
        <v>0</v>
      </c>
      <c r="Q745" t="n">
        <v>0</v>
      </c>
      <c r="R745" t="n">
        <v>0</v>
      </c>
      <c r="S745" t="n">
        <v>0</v>
      </c>
      <c r="T745" t="n">
        <v>0</v>
      </c>
      <c r="U745" s="2" t="inlineStr"/>
    </row>
    <row r="746" ht="15" customHeight="1">
      <c r="A746" t="inlineStr">
        <is>
          <t>A 47419-2023</t>
        </is>
      </c>
      <c r="B746" t="inlineStr">
        <is>
          <t>avverkningsanmälan</t>
        </is>
      </c>
      <c r="C746" t="inlineStr">
        <is>
          <t>Föryngringsavverkning</t>
        </is>
      </c>
      <c r="D746" s="1" t="n">
        <v>45202</v>
      </c>
      <c r="E746" s="1" t="n">
        <v>46219</v>
      </c>
      <c r="F746" t="inlineStr">
        <is>
          <t>STOCKHOLMS LÄN</t>
        </is>
      </c>
      <c r="G746" t="inlineStr">
        <is>
          <t>NORRTÄLJE</t>
        </is>
      </c>
      <c r="I746" t="n">
        <v>11.4</v>
      </c>
      <c r="J746" t="n">
        <v>0</v>
      </c>
      <c r="K746" t="n">
        <v>0</v>
      </c>
      <c r="L746" t="n">
        <v>0</v>
      </c>
      <c r="M746" t="n">
        <v>0</v>
      </c>
      <c r="N746" t="n">
        <v>0</v>
      </c>
      <c r="O746" t="n">
        <v>0</v>
      </c>
      <c r="P746" t="n">
        <v>0</v>
      </c>
      <c r="Q746" t="n">
        <v>0</v>
      </c>
      <c r="R746" t="n">
        <v>0</v>
      </c>
      <c r="S746" t="n">
        <v>0</v>
      </c>
      <c r="T746" t="n">
        <v>0</v>
      </c>
      <c r="U746" s="2" t="inlineStr"/>
    </row>
    <row r="747" ht="15" customHeight="1">
      <c r="A747" t="inlineStr">
        <is>
          <t>A 39237-2024</t>
        </is>
      </c>
      <c r="B747" t="inlineStr">
        <is>
          <t>avverkningsanmälan</t>
        </is>
      </c>
      <c r="C747" t="inlineStr">
        <is>
          <t>Föryngringsavverkning</t>
        </is>
      </c>
      <c r="D747" s="1" t="n">
        <v>45549</v>
      </c>
      <c r="E747" s="1" t="n">
        <v>46219</v>
      </c>
      <c r="F747" t="inlineStr">
        <is>
          <t>STOCKHOLMS LÄN</t>
        </is>
      </c>
      <c r="G747" t="inlineStr">
        <is>
          <t>NORRTÄLJE</t>
        </is>
      </c>
      <c r="I747" t="n">
        <v>13.3</v>
      </c>
      <c r="J747" t="n">
        <v>0</v>
      </c>
      <c r="K747" t="n">
        <v>0</v>
      </c>
      <c r="L747" t="n">
        <v>0</v>
      </c>
      <c r="M747" t="n">
        <v>0</v>
      </c>
      <c r="N747" t="n">
        <v>0</v>
      </c>
      <c r="O747" t="n">
        <v>0</v>
      </c>
      <c r="P747" t="n">
        <v>0</v>
      </c>
      <c r="Q747" t="n">
        <v>0</v>
      </c>
      <c r="R747" t="n">
        <v>0</v>
      </c>
      <c r="S747" t="n">
        <v>0</v>
      </c>
      <c r="T747" t="n">
        <v>0</v>
      </c>
      <c r="U747" s="2" t="inlineStr"/>
    </row>
    <row r="748" ht="15" customHeight="1">
      <c r="A748" t="inlineStr">
        <is>
          <t>A 3933-2026</t>
        </is>
      </c>
      <c r="B748" t="inlineStr">
        <is>
          <t>avverkningsanmälan</t>
        </is>
      </c>
      <c r="C748" t="inlineStr">
        <is>
          <t>Föryngringsavverkning</t>
        </is>
      </c>
      <c r="D748" s="1" t="n">
        <v>46043</v>
      </c>
      <c r="E748" s="1" t="n">
        <v>46219</v>
      </c>
      <c r="F748" t="inlineStr">
        <is>
          <t>STOCKHOLMS LÄN</t>
        </is>
      </c>
      <c r="G748" t="inlineStr">
        <is>
          <t>NORRTÄLJE</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44891-2023</t>
        </is>
      </c>
      <c r="B749" t="inlineStr">
        <is>
          <t>avverkningsanmälan</t>
        </is>
      </c>
      <c r="C749" t="inlineStr">
        <is>
          <t>Föryngringsavverkning</t>
        </is>
      </c>
      <c r="D749" s="1" t="n">
        <v>45187</v>
      </c>
      <c r="E749" s="1" t="n">
        <v>46219</v>
      </c>
      <c r="F749" t="inlineStr">
        <is>
          <t>STOCKHOLMS LÄN</t>
        </is>
      </c>
      <c r="G749" t="inlineStr">
        <is>
          <t>NORRTÄLJE</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13268-2025</t>
        </is>
      </c>
      <c r="B750" t="inlineStr">
        <is>
          <t>avverkningsanmälan</t>
        </is>
      </c>
      <c r="C750" t="inlineStr">
        <is>
          <t>Föryngringsavverkning</t>
        </is>
      </c>
      <c r="D750" s="1" t="n">
        <v>45735</v>
      </c>
      <c r="E750" s="1" t="n">
        <v>46219</v>
      </c>
      <c r="F750" t="inlineStr">
        <is>
          <t>STOCKHOLMS LÄN</t>
        </is>
      </c>
      <c r="G750" t="inlineStr">
        <is>
          <t>NORRTÄLJE</t>
        </is>
      </c>
      <c r="I750" t="n">
        <v>11.4</v>
      </c>
      <c r="J750" t="n">
        <v>0</v>
      </c>
      <c r="K750" t="n">
        <v>0</v>
      </c>
      <c r="L750" t="n">
        <v>0</v>
      </c>
      <c r="M750" t="n">
        <v>0</v>
      </c>
      <c r="N750" t="n">
        <v>0</v>
      </c>
      <c r="O750" t="n">
        <v>0</v>
      </c>
      <c r="P750" t="n">
        <v>0</v>
      </c>
      <c r="Q750" t="n">
        <v>0</v>
      </c>
      <c r="R750" t="n">
        <v>0</v>
      </c>
      <c r="S750" t="n">
        <v>0</v>
      </c>
      <c r="T750" t="n">
        <v>0</v>
      </c>
      <c r="U750" s="2" t="inlineStr"/>
    </row>
    <row r="751" ht="15" customHeight="1">
      <c r="A751" t="inlineStr">
        <is>
          <t>A 8414-2025</t>
        </is>
      </c>
      <c r="B751" t="inlineStr">
        <is>
          <t>avverkningsanmälan</t>
        </is>
      </c>
      <c r="C751" t="inlineStr">
        <is>
          <t>Föryngringsavverkning</t>
        </is>
      </c>
      <c r="D751" s="1" t="n">
        <v>45709</v>
      </c>
      <c r="E751" s="1" t="n">
        <v>46219</v>
      </c>
      <c r="F751" t="inlineStr">
        <is>
          <t>STOCKHOLMS LÄN</t>
        </is>
      </c>
      <c r="G751" t="inlineStr">
        <is>
          <t>NORRTÄLJE</t>
        </is>
      </c>
      <c r="H751" t="inlineStr">
        <is>
          <t>Holmen skog AB</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4549-2026</t>
        </is>
      </c>
      <c r="B752" t="inlineStr">
        <is>
          <t>avverkningsanmälan</t>
        </is>
      </c>
      <c r="C752" t="inlineStr">
        <is>
          <t>Avverkning för annat ändamål</t>
        </is>
      </c>
      <c r="D752" s="1" t="n">
        <v>46047</v>
      </c>
      <c r="E752" s="1" t="n">
        <v>46219</v>
      </c>
      <c r="F752" t="inlineStr">
        <is>
          <t>STOCKHOLMS LÄN</t>
        </is>
      </c>
      <c r="G752" t="inlineStr">
        <is>
          <t>NORRTÄLJE</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10653-2022</t>
        </is>
      </c>
      <c r="B753" t="inlineStr">
        <is>
          <t>avverkningsanmälan</t>
        </is>
      </c>
      <c r="C753" t="inlineStr">
        <is>
          <t>Föryngringsavverkning</t>
        </is>
      </c>
      <c r="D753" s="1" t="n">
        <v>44624</v>
      </c>
      <c r="E753" s="1" t="n">
        <v>46219</v>
      </c>
      <c r="F753" t="inlineStr">
        <is>
          <t>STOCKHOLMS LÄN</t>
        </is>
      </c>
      <c r="G753" t="inlineStr">
        <is>
          <t>NORRTÄLJE</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4232-2026</t>
        </is>
      </c>
      <c r="B754" t="inlineStr">
        <is>
          <t>avverkningsanmälan</t>
        </is>
      </c>
      <c r="C754" t="inlineStr">
        <is>
          <t>Föryngringsavverkning</t>
        </is>
      </c>
      <c r="D754" s="1" t="n">
        <v>46044</v>
      </c>
      <c r="E754" s="1" t="n">
        <v>46219</v>
      </c>
      <c r="F754" t="inlineStr">
        <is>
          <t>STOCKHOLMS LÄN</t>
        </is>
      </c>
      <c r="G754" t="inlineStr">
        <is>
          <t>NORRTÄLJE</t>
        </is>
      </c>
      <c r="I754" t="n">
        <v>3.8</v>
      </c>
      <c r="J754" t="n">
        <v>0</v>
      </c>
      <c r="K754" t="n">
        <v>0</v>
      </c>
      <c r="L754" t="n">
        <v>0</v>
      </c>
      <c r="M754" t="n">
        <v>0</v>
      </c>
      <c r="N754" t="n">
        <v>0</v>
      </c>
      <c r="O754" t="n">
        <v>0</v>
      </c>
      <c r="P754" t="n">
        <v>0</v>
      </c>
      <c r="Q754" t="n">
        <v>0</v>
      </c>
      <c r="R754" t="n">
        <v>0</v>
      </c>
      <c r="S754" t="n">
        <v>0</v>
      </c>
      <c r="T754" t="n">
        <v>0</v>
      </c>
      <c r="U754" s="2" t="inlineStr"/>
    </row>
    <row r="755" ht="15" customHeight="1">
      <c r="A755" t="inlineStr">
        <is>
          <t>A 35695-2023</t>
        </is>
      </c>
      <c r="B755" t="inlineStr">
        <is>
          <t>avverkningsanmälan</t>
        </is>
      </c>
      <c r="C755" t="inlineStr">
        <is>
          <t>Föryngringsavverkning</t>
        </is>
      </c>
      <c r="D755" s="1" t="n">
        <v>45147</v>
      </c>
      <c r="E755" s="1" t="n">
        <v>46219</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s="2" t="inlineStr"/>
    </row>
    <row r="756" ht="15" customHeight="1">
      <c r="A756" t="inlineStr">
        <is>
          <t>A 18665-2022</t>
        </is>
      </c>
      <c r="B756" t="inlineStr">
        <is>
          <t>avverkningsanmälan</t>
        </is>
      </c>
      <c r="C756" t="inlineStr">
        <is>
          <t>Föryngringsavverkning</t>
        </is>
      </c>
      <c r="D756" s="1" t="n">
        <v>44687</v>
      </c>
      <c r="E756" s="1" t="n">
        <v>46219</v>
      </c>
      <c r="F756" t="inlineStr">
        <is>
          <t>STOCKHOLMS LÄN</t>
        </is>
      </c>
      <c r="G756" t="inlineStr">
        <is>
          <t>NORRTÄLJE</t>
        </is>
      </c>
      <c r="H756" t="inlineStr">
        <is>
          <t>Kyrkan</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5241-2026</t>
        </is>
      </c>
      <c r="B757" t="inlineStr">
        <is>
          <t>avverkningsanmälan</t>
        </is>
      </c>
      <c r="C757" t="inlineStr">
        <is>
          <t>Föryngringsavverkning</t>
        </is>
      </c>
      <c r="D757" s="1" t="n">
        <v>46049</v>
      </c>
      <c r="E757" s="1" t="n">
        <v>46219</v>
      </c>
      <c r="F757" t="inlineStr">
        <is>
          <t>STOCKHOLMS LÄN</t>
        </is>
      </c>
      <c r="G757" t="inlineStr">
        <is>
          <t>NORRTÄLJE</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5224-2026</t>
        </is>
      </c>
      <c r="B758" t="inlineStr">
        <is>
          <t>avverkningsanmälan</t>
        </is>
      </c>
      <c r="C758" t="inlineStr">
        <is>
          <t>Föryngringsavverkning</t>
        </is>
      </c>
      <c r="D758" s="1" t="n">
        <v>46049</v>
      </c>
      <c r="E758" s="1" t="n">
        <v>46219</v>
      </c>
      <c r="F758" t="inlineStr">
        <is>
          <t>STOCKHOLMS LÄN</t>
        </is>
      </c>
      <c r="G758" t="inlineStr">
        <is>
          <t>NORRTÄLJE</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5227-2026</t>
        </is>
      </c>
      <c r="B759" t="inlineStr">
        <is>
          <t>avverkningsanmälan</t>
        </is>
      </c>
      <c r="C759" t="inlineStr">
        <is>
          <t>Föryngringsavverkning</t>
        </is>
      </c>
      <c r="D759" s="1" t="n">
        <v>46049</v>
      </c>
      <c r="E759" s="1" t="n">
        <v>46219</v>
      </c>
      <c r="F759" t="inlineStr">
        <is>
          <t>STOCKHOLMS LÄN</t>
        </is>
      </c>
      <c r="G759" t="inlineStr">
        <is>
          <t>NORRTÄLJE</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5226-2026</t>
        </is>
      </c>
      <c r="B760" t="inlineStr">
        <is>
          <t>avverkningsanmälan</t>
        </is>
      </c>
      <c r="C760" t="inlineStr">
        <is>
          <t>Föryngringsavverkning</t>
        </is>
      </c>
      <c r="D760" s="1" t="n">
        <v>46049</v>
      </c>
      <c r="E760" s="1" t="n">
        <v>46219</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20370-2025</t>
        </is>
      </c>
      <c r="B761" t="inlineStr">
        <is>
          <t>avverkningsanmälan</t>
        </is>
      </c>
      <c r="C761" t="inlineStr">
        <is>
          <t>Föryngringsavverkning</t>
        </is>
      </c>
      <c r="D761" s="1" t="n">
        <v>45775</v>
      </c>
      <c r="E761" s="1" t="n">
        <v>46219</v>
      </c>
      <c r="F761" t="inlineStr">
        <is>
          <t>STOCKHOLMS LÄN</t>
        </is>
      </c>
      <c r="G761" t="inlineStr">
        <is>
          <t>NORRTÄLJE</t>
        </is>
      </c>
      <c r="I761" t="n">
        <v>2.9</v>
      </c>
      <c r="J761" t="n">
        <v>0</v>
      </c>
      <c r="K761" t="n">
        <v>0</v>
      </c>
      <c r="L761" t="n">
        <v>0</v>
      </c>
      <c r="M761" t="n">
        <v>0</v>
      </c>
      <c r="N761" t="n">
        <v>0</v>
      </c>
      <c r="O761" t="n">
        <v>0</v>
      </c>
      <c r="P761" t="n">
        <v>0</v>
      </c>
      <c r="Q761" t="n">
        <v>0</v>
      </c>
      <c r="R761" t="n">
        <v>0</v>
      </c>
      <c r="S761" t="n">
        <v>0</v>
      </c>
      <c r="T761" t="n">
        <v>0</v>
      </c>
      <c r="U761" s="2" t="inlineStr"/>
    </row>
    <row r="762" ht="15" customHeight="1">
      <c r="A762" t="inlineStr">
        <is>
          <t>A 44032-2024</t>
        </is>
      </c>
      <c r="B762" t="inlineStr">
        <is>
          <t>avverkningsanmälan</t>
        </is>
      </c>
      <c r="C762" t="inlineStr">
        <is>
          <t>Föryngringsavverkning</t>
        </is>
      </c>
      <c r="D762" s="1" t="n">
        <v>45572</v>
      </c>
      <c r="E762" s="1" t="n">
        <v>46219</v>
      </c>
      <c r="F762" t="inlineStr">
        <is>
          <t>STOCKHOLMS LÄN</t>
        </is>
      </c>
      <c r="G762" t="inlineStr">
        <is>
          <t>NORRTÄLJE</t>
        </is>
      </c>
      <c r="I762" t="n">
        <v>8.6</v>
      </c>
      <c r="J762" t="n">
        <v>0</v>
      </c>
      <c r="K762" t="n">
        <v>0</v>
      </c>
      <c r="L762" t="n">
        <v>0</v>
      </c>
      <c r="M762" t="n">
        <v>0</v>
      </c>
      <c r="N762" t="n">
        <v>0</v>
      </c>
      <c r="O762" t="n">
        <v>0</v>
      </c>
      <c r="P762" t="n">
        <v>0</v>
      </c>
      <c r="Q762" t="n">
        <v>0</v>
      </c>
      <c r="R762" t="n">
        <v>0</v>
      </c>
      <c r="S762" t="n">
        <v>0</v>
      </c>
      <c r="T762" t="n">
        <v>0</v>
      </c>
      <c r="U762" s="2" t="inlineStr"/>
    </row>
    <row r="763" ht="15" customHeight="1">
      <c r="A763" t="inlineStr">
        <is>
          <t>A 19982-2022</t>
        </is>
      </c>
      <c r="B763" t="inlineStr">
        <is>
          <t>avverkningsanmälan</t>
        </is>
      </c>
      <c r="C763" t="inlineStr">
        <is>
          <t>Föryngringsavverkning</t>
        </is>
      </c>
      <c r="D763" s="1" t="n">
        <v>44697</v>
      </c>
      <c r="E763" s="1" t="n">
        <v>46219</v>
      </c>
      <c r="F763" t="inlineStr">
        <is>
          <t>STOCKHOLMS LÄN</t>
        </is>
      </c>
      <c r="G763" t="inlineStr">
        <is>
          <t>NORRTÄLJE</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35438-2023</t>
        </is>
      </c>
      <c r="B764" t="inlineStr">
        <is>
          <t>avverkningsanmälan</t>
        </is>
      </c>
      <c r="C764" t="inlineStr">
        <is>
          <t>Föryngringsavverkning</t>
        </is>
      </c>
      <c r="D764" s="1" t="n">
        <v>45146</v>
      </c>
      <c r="E764" s="1" t="n">
        <v>46219</v>
      </c>
      <c r="F764" t="inlineStr">
        <is>
          <t>STOCKHOLMS LÄN</t>
        </is>
      </c>
      <c r="G764" t="inlineStr">
        <is>
          <t>NORRTÄLJE</t>
        </is>
      </c>
      <c r="H764" t="inlineStr">
        <is>
          <t>Kommuner</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5934-2026</t>
        </is>
      </c>
      <c r="B765" t="inlineStr">
        <is>
          <t>avverkningsanmälan</t>
        </is>
      </c>
      <c r="C765" t="inlineStr">
        <is>
          <t>Föryngringsavverkning</t>
        </is>
      </c>
      <c r="D765" s="1" t="n">
        <v>46052</v>
      </c>
      <c r="E765" s="1" t="n">
        <v>46219</v>
      </c>
      <c r="F765" t="inlineStr">
        <is>
          <t>STOCKHOLMS LÄN</t>
        </is>
      </c>
      <c r="G765" t="inlineStr">
        <is>
          <t>NORRTÄLJE</t>
        </is>
      </c>
      <c r="H765" t="inlineStr">
        <is>
          <t>Holmen skog AB</t>
        </is>
      </c>
      <c r="I765" t="n">
        <v>5.5</v>
      </c>
      <c r="J765" t="n">
        <v>0</v>
      </c>
      <c r="K765" t="n">
        <v>0</v>
      </c>
      <c r="L765" t="n">
        <v>0</v>
      </c>
      <c r="M765" t="n">
        <v>0</v>
      </c>
      <c r="N765" t="n">
        <v>0</v>
      </c>
      <c r="O765" t="n">
        <v>0</v>
      </c>
      <c r="P765" t="n">
        <v>0</v>
      </c>
      <c r="Q765" t="n">
        <v>0</v>
      </c>
      <c r="R765" t="n">
        <v>0</v>
      </c>
      <c r="S765" t="n">
        <v>0</v>
      </c>
      <c r="T765" t="n">
        <v>0</v>
      </c>
      <c r="U765" s="2" t="inlineStr"/>
    </row>
    <row r="766" ht="15" customHeight="1">
      <c r="A766" t="inlineStr">
        <is>
          <t>A 33878-2024</t>
        </is>
      </c>
      <c r="B766" t="inlineStr">
        <is>
          <t>avverkningsanmälan</t>
        </is>
      </c>
      <c r="C766" t="inlineStr">
        <is>
          <t>Föryngringsavverkning</t>
        </is>
      </c>
      <c r="D766" s="1" t="n">
        <v>45522</v>
      </c>
      <c r="E766" s="1" t="n">
        <v>46219</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s="2" t="inlineStr"/>
    </row>
    <row r="767" ht="15" customHeight="1">
      <c r="A767" t="inlineStr">
        <is>
          <t>A 39610-2025</t>
        </is>
      </c>
      <c r="B767" t="inlineStr">
        <is>
          <t>avverkningsanmälan</t>
        </is>
      </c>
      <c r="C767" t="inlineStr">
        <is>
          <t>Avverkning för att bevara och utveckla /försöksver</t>
        </is>
      </c>
      <c r="D767" s="1" t="n">
        <v>45890</v>
      </c>
      <c r="E767" s="1" t="n">
        <v>46219</v>
      </c>
      <c r="F767" t="inlineStr">
        <is>
          <t>STOCKHOLMS LÄN</t>
        </is>
      </c>
      <c r="G767" t="inlineStr">
        <is>
          <t>NORRTÄLJE</t>
        </is>
      </c>
      <c r="I767" t="n">
        <v>28.6</v>
      </c>
      <c r="J767" t="n">
        <v>0</v>
      </c>
      <c r="K767" t="n">
        <v>0</v>
      </c>
      <c r="L767" t="n">
        <v>0</v>
      </c>
      <c r="M767" t="n">
        <v>0</v>
      </c>
      <c r="N767" t="n">
        <v>0</v>
      </c>
      <c r="O767" t="n">
        <v>0</v>
      </c>
      <c r="P767" t="n">
        <v>0</v>
      </c>
      <c r="Q767" t="n">
        <v>0</v>
      </c>
      <c r="R767" t="n">
        <v>0</v>
      </c>
      <c r="S767" t="n">
        <v>0</v>
      </c>
      <c r="T767" t="n">
        <v>0</v>
      </c>
      <c r="U767" s="2" t="inlineStr"/>
    </row>
    <row r="768" ht="15" customHeight="1">
      <c r="A768" t="inlineStr">
        <is>
          <t>A 36625-2024</t>
        </is>
      </c>
      <c r="B768" t="inlineStr">
        <is>
          <t>avverkningsanmälan</t>
        </is>
      </c>
      <c r="C768" t="inlineStr">
        <is>
          <t>Föryngringsavverkning</t>
        </is>
      </c>
      <c r="D768" s="1" t="n">
        <v>45537</v>
      </c>
      <c r="E768" s="1" t="n">
        <v>46219</v>
      </c>
      <c r="F768" t="inlineStr">
        <is>
          <t>STOCKHOLMS LÄN</t>
        </is>
      </c>
      <c r="G768" t="inlineStr">
        <is>
          <t>NORRTÄLJE</t>
        </is>
      </c>
      <c r="I768" t="n">
        <v>3.8</v>
      </c>
      <c r="J768" t="n">
        <v>0</v>
      </c>
      <c r="K768" t="n">
        <v>0</v>
      </c>
      <c r="L768" t="n">
        <v>0</v>
      </c>
      <c r="M768" t="n">
        <v>0</v>
      </c>
      <c r="N768" t="n">
        <v>0</v>
      </c>
      <c r="O768" t="n">
        <v>0</v>
      </c>
      <c r="P768" t="n">
        <v>0</v>
      </c>
      <c r="Q768" t="n">
        <v>0</v>
      </c>
      <c r="R768" t="n">
        <v>0</v>
      </c>
      <c r="S768" t="n">
        <v>0</v>
      </c>
      <c r="T768" t="n">
        <v>0</v>
      </c>
      <c r="U768" s="2" t="inlineStr"/>
    </row>
    <row r="769" ht="15" customHeight="1">
      <c r="A769" t="inlineStr">
        <is>
          <t>A 45746-2024</t>
        </is>
      </c>
      <c r="B769" t="inlineStr">
        <is>
          <t>avverkningsanmälan</t>
        </is>
      </c>
      <c r="C769" t="inlineStr">
        <is>
          <t>Föryngringsavverkning</t>
        </is>
      </c>
      <c r="D769" s="1" t="n">
        <v>45579</v>
      </c>
      <c r="E769" s="1" t="n">
        <v>46219</v>
      </c>
      <c r="F769" t="inlineStr">
        <is>
          <t>STOCKHOLMS LÄN</t>
        </is>
      </c>
      <c r="G769" t="inlineStr">
        <is>
          <t>NORRTÄLJE</t>
        </is>
      </c>
      <c r="I769" t="n">
        <v>3.3</v>
      </c>
      <c r="J769" t="n">
        <v>0</v>
      </c>
      <c r="K769" t="n">
        <v>0</v>
      </c>
      <c r="L769" t="n">
        <v>0</v>
      </c>
      <c r="M769" t="n">
        <v>0</v>
      </c>
      <c r="N769" t="n">
        <v>0</v>
      </c>
      <c r="O769" t="n">
        <v>0</v>
      </c>
      <c r="P769" t="n">
        <v>0</v>
      </c>
      <c r="Q769" t="n">
        <v>0</v>
      </c>
      <c r="R769" t="n">
        <v>0</v>
      </c>
      <c r="S769" t="n">
        <v>0</v>
      </c>
      <c r="T769" t="n">
        <v>0</v>
      </c>
      <c r="U769" s="2" t="inlineStr"/>
    </row>
    <row r="770" ht="15" customHeight="1">
      <c r="A770" t="inlineStr">
        <is>
          <t>A 4183-2025</t>
        </is>
      </c>
      <c r="B770" t="inlineStr">
        <is>
          <t>avverkningsanmälan</t>
        </is>
      </c>
      <c r="C770" t="inlineStr">
        <is>
          <t>Föryngringsavverkning</t>
        </is>
      </c>
      <c r="D770" s="1" t="n">
        <v>45685</v>
      </c>
      <c r="E770" s="1" t="n">
        <v>46219</v>
      </c>
      <c r="F770" t="inlineStr">
        <is>
          <t>STOCKHOLMS LÄN</t>
        </is>
      </c>
      <c r="G770" t="inlineStr">
        <is>
          <t>NORRTÄLJE</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17556-2025</t>
        </is>
      </c>
      <c r="B771" t="inlineStr">
        <is>
          <t>avverkningsanmälan</t>
        </is>
      </c>
      <c r="C771" t="inlineStr">
        <is>
          <t>Föryngringsavverkning</t>
        </is>
      </c>
      <c r="D771" s="1" t="n">
        <v>45757</v>
      </c>
      <c r="E771" s="1" t="n">
        <v>46219</v>
      </c>
      <c r="F771" t="inlineStr">
        <is>
          <t>STOCKHOLMS LÄN</t>
        </is>
      </c>
      <c r="G771" t="inlineStr">
        <is>
          <t>NORRTÄLJE</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41335-2023</t>
        </is>
      </c>
      <c r="B772" t="inlineStr">
        <is>
          <t>avverkningsanmälan</t>
        </is>
      </c>
      <c r="C772" t="inlineStr">
        <is>
          <t>Föryngringsavverkning</t>
        </is>
      </c>
      <c r="D772" s="1" t="n">
        <v>45174</v>
      </c>
      <c r="E772" s="1" t="n">
        <v>46219</v>
      </c>
      <c r="F772" t="inlineStr">
        <is>
          <t>STOCKHOLMS LÄN</t>
        </is>
      </c>
      <c r="G772" t="inlineStr">
        <is>
          <t>NORRTÄLJE</t>
        </is>
      </c>
      <c r="H772" t="inlineStr">
        <is>
          <t>Holmen skog AB</t>
        </is>
      </c>
      <c r="I772" t="n">
        <v>4.4</v>
      </c>
      <c r="J772" t="n">
        <v>0</v>
      </c>
      <c r="K772" t="n">
        <v>0</v>
      </c>
      <c r="L772" t="n">
        <v>0</v>
      </c>
      <c r="M772" t="n">
        <v>0</v>
      </c>
      <c r="N772" t="n">
        <v>0</v>
      </c>
      <c r="O772" t="n">
        <v>0</v>
      </c>
      <c r="P772" t="n">
        <v>0</v>
      </c>
      <c r="Q772" t="n">
        <v>0</v>
      </c>
      <c r="R772" t="n">
        <v>0</v>
      </c>
      <c r="S772" t="n">
        <v>0</v>
      </c>
      <c r="T772" t="n">
        <v>0</v>
      </c>
      <c r="U772" s="2" t="inlineStr"/>
    </row>
    <row r="773" ht="15" customHeight="1">
      <c r="A773" t="inlineStr">
        <is>
          <t>A 4484-2025</t>
        </is>
      </c>
      <c r="B773" t="inlineStr">
        <is>
          <t>avverkningsanmälan</t>
        </is>
      </c>
      <c r="C773" t="inlineStr">
        <is>
          <t>Föryngringsavverkning</t>
        </is>
      </c>
      <c r="D773" s="1" t="n">
        <v>45686</v>
      </c>
      <c r="E773" s="1" t="n">
        <v>46219</v>
      </c>
      <c r="F773" t="inlineStr">
        <is>
          <t>STOCKHOLMS LÄN</t>
        </is>
      </c>
      <c r="G773" t="inlineStr">
        <is>
          <t>NORRTÄLJE</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6724-2026</t>
        </is>
      </c>
      <c r="B774" t="inlineStr">
        <is>
          <t>avverkningsanmälan</t>
        </is>
      </c>
      <c r="C774" t="inlineStr">
        <is>
          <t>Föryngringsavverkning</t>
        </is>
      </c>
      <c r="D774" s="1" t="n">
        <v>46056</v>
      </c>
      <c r="E774" s="1" t="n">
        <v>46219</v>
      </c>
      <c r="F774" t="inlineStr">
        <is>
          <t>STOCKHOLMS LÄN</t>
        </is>
      </c>
      <c r="G774" t="inlineStr">
        <is>
          <t>NORRTÄLJE</t>
        </is>
      </c>
      <c r="H774" t="inlineStr">
        <is>
          <t>Holmen skog AB</t>
        </is>
      </c>
      <c r="I774" t="n">
        <v>16.2</v>
      </c>
      <c r="J774" t="n">
        <v>0</v>
      </c>
      <c r="K774" t="n">
        <v>0</v>
      </c>
      <c r="L774" t="n">
        <v>0</v>
      </c>
      <c r="M774" t="n">
        <v>0</v>
      </c>
      <c r="N774" t="n">
        <v>0</v>
      </c>
      <c r="O774" t="n">
        <v>0</v>
      </c>
      <c r="P774" t="n">
        <v>0</v>
      </c>
      <c r="Q774" t="n">
        <v>0</v>
      </c>
      <c r="R774" t="n">
        <v>0</v>
      </c>
      <c r="S774" t="n">
        <v>0</v>
      </c>
      <c r="T774" t="n">
        <v>0</v>
      </c>
      <c r="U774" s="2" t="inlineStr"/>
    </row>
    <row r="775" ht="15" customHeight="1">
      <c r="A775" t="inlineStr">
        <is>
          <t>A 21480-2022</t>
        </is>
      </c>
      <c r="B775" t="inlineStr">
        <is>
          <t>avverkningsanmälan</t>
        </is>
      </c>
      <c r="C775" t="inlineStr">
        <is>
          <t>Föryngringsavverkning</t>
        </is>
      </c>
      <c r="D775" s="1" t="n">
        <v>44704</v>
      </c>
      <c r="E775" s="1" t="n">
        <v>46219</v>
      </c>
      <c r="F775" t="inlineStr">
        <is>
          <t>STOCKHOLMS LÄN</t>
        </is>
      </c>
      <c r="G775" t="inlineStr">
        <is>
          <t>NORRTÄLJE</t>
        </is>
      </c>
      <c r="I775" t="n">
        <v>2.8</v>
      </c>
      <c r="J775" t="n">
        <v>0</v>
      </c>
      <c r="K775" t="n">
        <v>0</v>
      </c>
      <c r="L775" t="n">
        <v>0</v>
      </c>
      <c r="M775" t="n">
        <v>0</v>
      </c>
      <c r="N775" t="n">
        <v>0</v>
      </c>
      <c r="O775" t="n">
        <v>0</v>
      </c>
      <c r="P775" t="n">
        <v>0</v>
      </c>
      <c r="Q775" t="n">
        <v>0</v>
      </c>
      <c r="R775" t="n">
        <v>0</v>
      </c>
      <c r="S775" t="n">
        <v>0</v>
      </c>
      <c r="T775" t="n">
        <v>0</v>
      </c>
      <c r="U775" s="2" t="inlineStr"/>
    </row>
    <row r="776" ht="15" customHeight="1">
      <c r="A776" t="inlineStr">
        <is>
          <t>A 7308-2026</t>
        </is>
      </c>
      <c r="B776" t="inlineStr">
        <is>
          <t>avverkningsanmälan</t>
        </is>
      </c>
      <c r="C776" t="inlineStr">
        <is>
          <t>Föryngringsavverkning</t>
        </is>
      </c>
      <c r="D776" s="1" t="n">
        <v>46058</v>
      </c>
      <c r="E776" s="1" t="n">
        <v>46219</v>
      </c>
      <c r="F776" t="inlineStr">
        <is>
          <t>STOCKHOLMS LÄN</t>
        </is>
      </c>
      <c r="G776" t="inlineStr">
        <is>
          <t>NORRTÄLJE</t>
        </is>
      </c>
      <c r="H776" t="inlineStr">
        <is>
          <t>Holmen skog AB</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A 6838-2026</t>
        </is>
      </c>
      <c r="B777" t="inlineStr">
        <is>
          <t>avverkningsanmälan</t>
        </is>
      </c>
      <c r="C777" t="inlineStr">
        <is>
          <t>Föryngringsavverkning</t>
        </is>
      </c>
      <c r="D777" s="1" t="n">
        <v>46057</v>
      </c>
      <c r="E777" s="1" t="n">
        <v>46219</v>
      </c>
      <c r="F777" t="inlineStr">
        <is>
          <t>STOCKHOLMS LÄN</t>
        </is>
      </c>
      <c r="G777" t="inlineStr">
        <is>
          <t>NORRTÄLJE</t>
        </is>
      </c>
      <c r="H777" t="inlineStr">
        <is>
          <t>Holmen skog AB</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48686-2023</t>
        </is>
      </c>
      <c r="B778" t="inlineStr">
        <is>
          <t>avverkningsanmälan</t>
        </is>
      </c>
      <c r="C778" t="inlineStr">
        <is>
          <t>Föryngringsavverkning</t>
        </is>
      </c>
      <c r="D778" s="1" t="n">
        <v>45208</v>
      </c>
      <c r="E778" s="1" t="n">
        <v>46219</v>
      </c>
      <c r="F778" t="inlineStr">
        <is>
          <t>STOCKHOLMS LÄN</t>
        </is>
      </c>
      <c r="G778" t="inlineStr">
        <is>
          <t>NORRTÄLJE</t>
        </is>
      </c>
      <c r="I778" t="n">
        <v>6</v>
      </c>
      <c r="J778" t="n">
        <v>0</v>
      </c>
      <c r="K778" t="n">
        <v>0</v>
      </c>
      <c r="L778" t="n">
        <v>0</v>
      </c>
      <c r="M778" t="n">
        <v>0</v>
      </c>
      <c r="N778" t="n">
        <v>0</v>
      </c>
      <c r="O778" t="n">
        <v>0</v>
      </c>
      <c r="P778" t="n">
        <v>0</v>
      </c>
      <c r="Q778" t="n">
        <v>0</v>
      </c>
      <c r="R778" t="n">
        <v>0</v>
      </c>
      <c r="S778" t="n">
        <v>0</v>
      </c>
      <c r="T778" t="n">
        <v>0</v>
      </c>
      <c r="U778" s="2" t="inlineStr"/>
    </row>
    <row r="779" ht="15" customHeight="1">
      <c r="A779" t="inlineStr">
        <is>
          <t>A 48691-2023</t>
        </is>
      </c>
      <c r="B779" t="inlineStr">
        <is>
          <t>avverkningsanmälan</t>
        </is>
      </c>
      <c r="C779" t="inlineStr">
        <is>
          <t>Föryngringsavverkning</t>
        </is>
      </c>
      <c r="D779" s="1" t="n">
        <v>45208</v>
      </c>
      <c r="E779" s="1" t="n">
        <v>46219</v>
      </c>
      <c r="F779" t="inlineStr">
        <is>
          <t>STOCKHOLMS LÄN</t>
        </is>
      </c>
      <c r="G779" t="inlineStr">
        <is>
          <t>NORRTÄLJE</t>
        </is>
      </c>
      <c r="I779" t="n">
        <v>5.8</v>
      </c>
      <c r="J779" t="n">
        <v>0</v>
      </c>
      <c r="K779" t="n">
        <v>0</v>
      </c>
      <c r="L779" t="n">
        <v>0</v>
      </c>
      <c r="M779" t="n">
        <v>0</v>
      </c>
      <c r="N779" t="n">
        <v>0</v>
      </c>
      <c r="O779" t="n">
        <v>0</v>
      </c>
      <c r="P779" t="n">
        <v>0</v>
      </c>
      <c r="Q779" t="n">
        <v>0</v>
      </c>
      <c r="R779" t="n">
        <v>0</v>
      </c>
      <c r="S779" t="n">
        <v>0</v>
      </c>
      <c r="T779" t="n">
        <v>0</v>
      </c>
      <c r="U779" s="2" t="inlineStr"/>
    </row>
    <row r="780" ht="15" customHeight="1">
      <c r="A780" t="inlineStr">
        <is>
          <t>A 6874-2026</t>
        </is>
      </c>
      <c r="B780" t="inlineStr">
        <is>
          <t>avverkningsanmälan</t>
        </is>
      </c>
      <c r="C780" t="inlineStr">
        <is>
          <t>Föryngringsavverkning</t>
        </is>
      </c>
      <c r="D780" s="1" t="n">
        <v>46057</v>
      </c>
      <c r="E780" s="1" t="n">
        <v>46219</v>
      </c>
      <c r="F780" t="inlineStr">
        <is>
          <t>STOCKHOLMS LÄN</t>
        </is>
      </c>
      <c r="G780" t="inlineStr">
        <is>
          <t>NORRTÄLJE</t>
        </is>
      </c>
      <c r="H780" t="inlineStr">
        <is>
          <t>Holmen skog AB</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8400-2024</t>
        </is>
      </c>
      <c r="B781" t="inlineStr">
        <is>
          <t>avverkningsanmälan</t>
        </is>
      </c>
      <c r="C781" t="inlineStr">
        <is>
          <t>Föryngringsavverkning</t>
        </is>
      </c>
      <c r="D781" s="1" t="n">
        <v>45352</v>
      </c>
      <c r="E781" s="1" t="n">
        <v>46219</v>
      </c>
      <c r="F781" t="inlineStr">
        <is>
          <t>STOCKHOLMS LÄN</t>
        </is>
      </c>
      <c r="G781" t="inlineStr">
        <is>
          <t>NORRTÄLJE</t>
        </is>
      </c>
      <c r="I781" t="n">
        <v>4.7</v>
      </c>
      <c r="J781" t="n">
        <v>0</v>
      </c>
      <c r="K781" t="n">
        <v>0</v>
      </c>
      <c r="L781" t="n">
        <v>0</v>
      </c>
      <c r="M781" t="n">
        <v>0</v>
      </c>
      <c r="N781" t="n">
        <v>0</v>
      </c>
      <c r="O781" t="n">
        <v>0</v>
      </c>
      <c r="P781" t="n">
        <v>0</v>
      </c>
      <c r="Q781" t="n">
        <v>0</v>
      </c>
      <c r="R781" t="n">
        <v>0</v>
      </c>
      <c r="S781" t="n">
        <v>0</v>
      </c>
      <c r="T781" t="n">
        <v>0</v>
      </c>
      <c r="U781" s="2" t="inlineStr"/>
    </row>
    <row r="782" ht="15" customHeight="1">
      <c r="A782" t="inlineStr">
        <is>
          <t>A 55243-2023</t>
        </is>
      </c>
      <c r="B782" t="inlineStr">
        <is>
          <t>avverkningsanmälan</t>
        </is>
      </c>
      <c r="C782" t="inlineStr">
        <is>
          <t>Föryngringsavverkning</t>
        </is>
      </c>
      <c r="D782" s="1" t="n">
        <v>45237</v>
      </c>
      <c r="E782" s="1" t="n">
        <v>46219</v>
      </c>
      <c r="F782" t="inlineStr">
        <is>
          <t>STOCKHOLMS LÄN</t>
        </is>
      </c>
      <c r="G782" t="inlineStr">
        <is>
          <t>NORRTÄLJE</t>
        </is>
      </c>
      <c r="I782" t="n">
        <v>6.5</v>
      </c>
      <c r="J782" t="n">
        <v>0</v>
      </c>
      <c r="K782" t="n">
        <v>0</v>
      </c>
      <c r="L782" t="n">
        <v>0</v>
      </c>
      <c r="M782" t="n">
        <v>0</v>
      </c>
      <c r="N782" t="n">
        <v>0</v>
      </c>
      <c r="O782" t="n">
        <v>0</v>
      </c>
      <c r="P782" t="n">
        <v>0</v>
      </c>
      <c r="Q782" t="n">
        <v>0</v>
      </c>
      <c r="R782" t="n">
        <v>0</v>
      </c>
      <c r="S782" t="n">
        <v>0</v>
      </c>
      <c r="T782" t="n">
        <v>0</v>
      </c>
      <c r="U782" s="2" t="inlineStr"/>
    </row>
    <row r="783" ht="15" customHeight="1">
      <c r="A783" t="inlineStr">
        <is>
          <t>A 35210-2023</t>
        </is>
      </c>
      <c r="B783" t="inlineStr">
        <is>
          <t>avverkningsanmälan</t>
        </is>
      </c>
      <c r="C783" t="inlineStr">
        <is>
          <t>Föryngringsavverkning</t>
        </is>
      </c>
      <c r="D783" s="1" t="n">
        <v>45145</v>
      </c>
      <c r="E783" s="1" t="n">
        <v>46219</v>
      </c>
      <c r="F783" t="inlineStr">
        <is>
          <t>STOCKHOLMS LÄN</t>
        </is>
      </c>
      <c r="G783" t="inlineStr">
        <is>
          <t>NORRTÄLJE</t>
        </is>
      </c>
      <c r="I783" t="n">
        <v>1.2</v>
      </c>
      <c r="J783" t="n">
        <v>0</v>
      </c>
      <c r="K783" t="n">
        <v>0</v>
      </c>
      <c r="L783" t="n">
        <v>0</v>
      </c>
      <c r="M783" t="n">
        <v>0</v>
      </c>
      <c r="N783" t="n">
        <v>0</v>
      </c>
      <c r="O783" t="n">
        <v>0</v>
      </c>
      <c r="P783" t="n">
        <v>0</v>
      </c>
      <c r="Q783" t="n">
        <v>0</v>
      </c>
      <c r="R783" t="n">
        <v>0</v>
      </c>
      <c r="S783" t="n">
        <v>0</v>
      </c>
      <c r="T783" t="n">
        <v>0</v>
      </c>
      <c r="U783" s="2" t="inlineStr"/>
    </row>
    <row r="784" ht="15" customHeight="1">
      <c r="A784" t="inlineStr">
        <is>
          <t>A 2182-2022</t>
        </is>
      </c>
      <c r="B784" t="inlineStr">
        <is>
          <t>avverkningsanmälan</t>
        </is>
      </c>
      <c r="C784" t="inlineStr">
        <is>
          <t>Föryngringsavverkning</t>
        </is>
      </c>
      <c r="D784" s="1" t="n">
        <v>44578</v>
      </c>
      <c r="E784" s="1" t="n">
        <v>46219</v>
      </c>
      <c r="F784" t="inlineStr">
        <is>
          <t>STOCKHOLMS LÄN</t>
        </is>
      </c>
      <c r="G784" t="inlineStr">
        <is>
          <t>NORRTÄLJE</t>
        </is>
      </c>
      <c r="I784" t="n">
        <v>7.2</v>
      </c>
      <c r="J784" t="n">
        <v>0</v>
      </c>
      <c r="K784" t="n">
        <v>0</v>
      </c>
      <c r="L784" t="n">
        <v>0</v>
      </c>
      <c r="M784" t="n">
        <v>0</v>
      </c>
      <c r="N784" t="n">
        <v>0</v>
      </c>
      <c r="O784" t="n">
        <v>0</v>
      </c>
      <c r="P784" t="n">
        <v>0</v>
      </c>
      <c r="Q784" t="n">
        <v>0</v>
      </c>
      <c r="R784" t="n">
        <v>0</v>
      </c>
      <c r="S784" t="n">
        <v>0</v>
      </c>
      <c r="T784" t="n">
        <v>0</v>
      </c>
      <c r="U784" s="2" t="inlineStr"/>
    </row>
    <row r="785" ht="15" customHeight="1">
      <c r="A785" t="inlineStr">
        <is>
          <t>A 6828-2026</t>
        </is>
      </c>
      <c r="B785" t="inlineStr">
        <is>
          <t>avverkningsanmälan</t>
        </is>
      </c>
      <c r="C785" t="inlineStr">
        <is>
          <t>Föryngringsavverkning</t>
        </is>
      </c>
      <c r="D785" s="1" t="n">
        <v>46057</v>
      </c>
      <c r="E785" s="1" t="n">
        <v>46219</v>
      </c>
      <c r="F785" t="inlineStr">
        <is>
          <t>STOCKHOLMS LÄN</t>
        </is>
      </c>
      <c r="G785" t="inlineStr">
        <is>
          <t>NORRTÄLJE</t>
        </is>
      </c>
      <c r="H785" t="inlineStr">
        <is>
          <t>Holmen skog AB</t>
        </is>
      </c>
      <c r="I785" t="n">
        <v>2.8</v>
      </c>
      <c r="J785" t="n">
        <v>0</v>
      </c>
      <c r="K785" t="n">
        <v>0</v>
      </c>
      <c r="L785" t="n">
        <v>0</v>
      </c>
      <c r="M785" t="n">
        <v>0</v>
      </c>
      <c r="N785" t="n">
        <v>0</v>
      </c>
      <c r="O785" t="n">
        <v>0</v>
      </c>
      <c r="P785" t="n">
        <v>0</v>
      </c>
      <c r="Q785" t="n">
        <v>0</v>
      </c>
      <c r="R785" t="n">
        <v>0</v>
      </c>
      <c r="S785" t="n">
        <v>0</v>
      </c>
      <c r="T785" t="n">
        <v>0</v>
      </c>
      <c r="U785" s="2" t="inlineStr"/>
    </row>
    <row r="786" ht="15" customHeight="1">
      <c r="A786" t="inlineStr">
        <is>
          <t>A 7532-2026</t>
        </is>
      </c>
      <c r="B786" t="inlineStr">
        <is>
          <t>avverkningsanmälan</t>
        </is>
      </c>
      <c r="C786" t="inlineStr">
        <is>
          <t>Föryngringsavverkning</t>
        </is>
      </c>
      <c r="D786" s="1" t="n">
        <v>46059</v>
      </c>
      <c r="E786" s="1" t="n">
        <v>46219</v>
      </c>
      <c r="F786" t="inlineStr">
        <is>
          <t>STOCKHOLMS LÄN</t>
        </is>
      </c>
      <c r="G786" t="inlineStr">
        <is>
          <t>NORRTÄLJE</t>
        </is>
      </c>
      <c r="I786" t="n">
        <v>5.2</v>
      </c>
      <c r="J786" t="n">
        <v>0</v>
      </c>
      <c r="K786" t="n">
        <v>0</v>
      </c>
      <c r="L786" t="n">
        <v>0</v>
      </c>
      <c r="M786" t="n">
        <v>0</v>
      </c>
      <c r="N786" t="n">
        <v>0</v>
      </c>
      <c r="O786" t="n">
        <v>0</v>
      </c>
      <c r="P786" t="n">
        <v>0</v>
      </c>
      <c r="Q786" t="n">
        <v>0</v>
      </c>
      <c r="R786" t="n">
        <v>0</v>
      </c>
      <c r="S786" t="n">
        <v>0</v>
      </c>
      <c r="T786" t="n">
        <v>0</v>
      </c>
      <c r="U786" s="2" t="inlineStr"/>
    </row>
    <row r="787" ht="15" customHeight="1">
      <c r="A787" t="inlineStr">
        <is>
          <t>A 7582-2026</t>
        </is>
      </c>
      <c r="B787" t="inlineStr">
        <is>
          <t>avverkningsanmälan</t>
        </is>
      </c>
      <c r="C787" t="inlineStr">
        <is>
          <t>Föryngringsavverkning</t>
        </is>
      </c>
      <c r="D787" s="1" t="n">
        <v>46061</v>
      </c>
      <c r="E787" s="1" t="n">
        <v>46219</v>
      </c>
      <c r="F787" t="inlineStr">
        <is>
          <t>STOCKHOLMS LÄN</t>
        </is>
      </c>
      <c r="G787" t="inlineStr">
        <is>
          <t>NORRTÄLJE</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7793-2026</t>
        </is>
      </c>
      <c r="B788" t="inlineStr">
        <is>
          <t>avverkningsanmälan</t>
        </is>
      </c>
      <c r="C788" t="inlineStr">
        <is>
          <t>Föryngringsavverkning</t>
        </is>
      </c>
      <c r="D788" s="1" t="n">
        <v>46062</v>
      </c>
      <c r="E788" s="1" t="n">
        <v>46219</v>
      </c>
      <c r="F788" t="inlineStr">
        <is>
          <t>STOCKHOLMS LÄN</t>
        </is>
      </c>
      <c r="G788" t="inlineStr">
        <is>
          <t>NORRTÄLJE</t>
        </is>
      </c>
      <c r="H788" t="inlineStr">
        <is>
          <t>Holmen skog AB</t>
        </is>
      </c>
      <c r="I788" t="n">
        <v>3.8</v>
      </c>
      <c r="J788" t="n">
        <v>0</v>
      </c>
      <c r="K788" t="n">
        <v>0</v>
      </c>
      <c r="L788" t="n">
        <v>0</v>
      </c>
      <c r="M788" t="n">
        <v>0</v>
      </c>
      <c r="N788" t="n">
        <v>0</v>
      </c>
      <c r="O788" t="n">
        <v>0</v>
      </c>
      <c r="P788" t="n">
        <v>0</v>
      </c>
      <c r="Q788" t="n">
        <v>0</v>
      </c>
      <c r="R788" t="n">
        <v>0</v>
      </c>
      <c r="S788" t="n">
        <v>0</v>
      </c>
      <c r="T788" t="n">
        <v>0</v>
      </c>
      <c r="U788" s="2" t="inlineStr"/>
    </row>
    <row r="789" ht="15" customHeight="1">
      <c r="A789" t="inlineStr">
        <is>
          <t>A 58297-2023</t>
        </is>
      </c>
      <c r="B789" t="inlineStr">
        <is>
          <t>avverkningsanmälan</t>
        </is>
      </c>
      <c r="C789" t="inlineStr">
        <is>
          <t>Föryngringsavverkning</t>
        </is>
      </c>
      <c r="D789" s="1" t="n">
        <v>45245</v>
      </c>
      <c r="E789" s="1" t="n">
        <v>46219</v>
      </c>
      <c r="F789" t="inlineStr">
        <is>
          <t>STOCKHOLMS LÄN</t>
        </is>
      </c>
      <c r="G789" t="inlineStr">
        <is>
          <t>NORRTÄLJE</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8091-2026</t>
        </is>
      </c>
      <c r="B790" t="inlineStr">
        <is>
          <t>avverkningsanmälan</t>
        </is>
      </c>
      <c r="C790" t="inlineStr">
        <is>
          <t>Föryngringsavverkning</t>
        </is>
      </c>
      <c r="D790" s="1" t="n">
        <v>46063</v>
      </c>
      <c r="E790" s="1" t="n">
        <v>46219</v>
      </c>
      <c r="F790" t="inlineStr">
        <is>
          <t>STOCKHOLMS LÄN</t>
        </is>
      </c>
      <c r="G790" t="inlineStr">
        <is>
          <t>NORRTÄLJE</t>
        </is>
      </c>
      <c r="I790" t="n">
        <v>4.7</v>
      </c>
      <c r="J790" t="n">
        <v>0</v>
      </c>
      <c r="K790" t="n">
        <v>0</v>
      </c>
      <c r="L790" t="n">
        <v>0</v>
      </c>
      <c r="M790" t="n">
        <v>0</v>
      </c>
      <c r="N790" t="n">
        <v>0</v>
      </c>
      <c r="O790" t="n">
        <v>0</v>
      </c>
      <c r="P790" t="n">
        <v>0</v>
      </c>
      <c r="Q790" t="n">
        <v>0</v>
      </c>
      <c r="R790" t="n">
        <v>0</v>
      </c>
      <c r="S790" t="n">
        <v>0</v>
      </c>
      <c r="T790" t="n">
        <v>0</v>
      </c>
      <c r="U790" s="2" t="inlineStr"/>
    </row>
    <row r="791" ht="15" customHeight="1">
      <c r="A791" t="inlineStr">
        <is>
          <t>A 16620-2024</t>
        </is>
      </c>
      <c r="B791" t="inlineStr">
        <is>
          <t>avverkningsanmälan</t>
        </is>
      </c>
      <c r="C791" t="inlineStr">
        <is>
          <t>Föryngringsavverkning</t>
        </is>
      </c>
      <c r="D791" s="1" t="n">
        <v>45408</v>
      </c>
      <c r="E791" s="1" t="n">
        <v>46219</v>
      </c>
      <c r="F791" t="inlineStr">
        <is>
          <t>STOCKHOLMS LÄN</t>
        </is>
      </c>
      <c r="G791" t="inlineStr">
        <is>
          <t>NORRTÄLJE</t>
        </is>
      </c>
      <c r="I791" t="n">
        <v>2.7</v>
      </c>
      <c r="J791" t="n">
        <v>0</v>
      </c>
      <c r="K791" t="n">
        <v>0</v>
      </c>
      <c r="L791" t="n">
        <v>0</v>
      </c>
      <c r="M791" t="n">
        <v>0</v>
      </c>
      <c r="N791" t="n">
        <v>0</v>
      </c>
      <c r="O791" t="n">
        <v>0</v>
      </c>
      <c r="P791" t="n">
        <v>0</v>
      </c>
      <c r="Q791" t="n">
        <v>0</v>
      </c>
      <c r="R791" t="n">
        <v>0</v>
      </c>
      <c r="S791" t="n">
        <v>0</v>
      </c>
      <c r="T791" t="n">
        <v>0</v>
      </c>
      <c r="U791" s="2" t="inlineStr"/>
    </row>
    <row r="792" ht="15" customHeight="1">
      <c r="A792" t="inlineStr">
        <is>
          <t>A 8096-2026</t>
        </is>
      </c>
      <c r="B792" t="inlineStr">
        <is>
          <t>avverkningsanmälan</t>
        </is>
      </c>
      <c r="C792" t="inlineStr">
        <is>
          <t>Föryngringsavverkning</t>
        </is>
      </c>
      <c r="D792" s="1" t="n">
        <v>46063</v>
      </c>
      <c r="E792" s="1" t="n">
        <v>46219</v>
      </c>
      <c r="F792" t="inlineStr">
        <is>
          <t>STOCKHOLMS LÄN</t>
        </is>
      </c>
      <c r="G792" t="inlineStr">
        <is>
          <t>NORRTÄLJE</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8055-2026</t>
        </is>
      </c>
      <c r="B793" t="inlineStr">
        <is>
          <t>avverkningsanmälan</t>
        </is>
      </c>
      <c r="C793" t="inlineStr">
        <is>
          <t>Föryngringsavverkning</t>
        </is>
      </c>
      <c r="D793" s="1" t="n">
        <v>46063</v>
      </c>
      <c r="E793" s="1" t="n">
        <v>46219</v>
      </c>
      <c r="F793" t="inlineStr">
        <is>
          <t>STOCKHOLMS LÄN</t>
        </is>
      </c>
      <c r="G793" t="inlineStr">
        <is>
          <t>NORRTÄLJE</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A 21726-2022</t>
        </is>
      </c>
      <c r="B794" t="inlineStr">
        <is>
          <t>avverkningsanmälan</t>
        </is>
      </c>
      <c r="C794" t="inlineStr">
        <is>
          <t>Föryngringsavverkning</t>
        </is>
      </c>
      <c r="D794" s="1" t="n">
        <v>44708</v>
      </c>
      <c r="E794" s="1" t="n">
        <v>46219</v>
      </c>
      <c r="F794" t="inlineStr">
        <is>
          <t>STOCKHOLMS LÄN</t>
        </is>
      </c>
      <c r="G794" t="inlineStr">
        <is>
          <t>NORRTÄLJE</t>
        </is>
      </c>
      <c r="I794" t="n">
        <v>0.2</v>
      </c>
      <c r="J794" t="n">
        <v>0</v>
      </c>
      <c r="K794" t="n">
        <v>0</v>
      </c>
      <c r="L794" t="n">
        <v>0</v>
      </c>
      <c r="M794" t="n">
        <v>0</v>
      </c>
      <c r="N794" t="n">
        <v>0</v>
      </c>
      <c r="O794" t="n">
        <v>0</v>
      </c>
      <c r="P794" t="n">
        <v>0</v>
      </c>
      <c r="Q794" t="n">
        <v>0</v>
      </c>
      <c r="R794" t="n">
        <v>0</v>
      </c>
      <c r="S794" t="n">
        <v>0</v>
      </c>
      <c r="T794" t="n">
        <v>0</v>
      </c>
      <c r="U794" s="2" t="inlineStr"/>
    </row>
    <row r="795" ht="15" customHeight="1">
      <c r="A795" t="inlineStr">
        <is>
          <t>A 21739-2022</t>
        </is>
      </c>
      <c r="B795" t="inlineStr">
        <is>
          <t>avverkningsanmälan</t>
        </is>
      </c>
      <c r="C795" t="inlineStr">
        <is>
          <t>Föryngringsavverkning</t>
        </is>
      </c>
      <c r="D795" s="1" t="n">
        <v>44708</v>
      </c>
      <c r="E795" s="1" t="n">
        <v>46219</v>
      </c>
      <c r="F795" t="inlineStr">
        <is>
          <t>STOCKHOLMS LÄN</t>
        </is>
      </c>
      <c r="G795" t="inlineStr">
        <is>
          <t>NORRTÄLJE</t>
        </is>
      </c>
      <c r="H795" t="inlineStr">
        <is>
          <t>Holmen skog AB</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28182-2022</t>
        </is>
      </c>
      <c r="B796" t="inlineStr">
        <is>
          <t>avverkningsanmälan</t>
        </is>
      </c>
      <c r="C796" t="inlineStr">
        <is>
          <t>Föryngringsavverkning</t>
        </is>
      </c>
      <c r="D796" s="1" t="n">
        <v>44746</v>
      </c>
      <c r="E796" s="1" t="n">
        <v>46219</v>
      </c>
      <c r="F796" t="inlineStr">
        <is>
          <t>STOCKHOLMS LÄN</t>
        </is>
      </c>
      <c r="G796" t="inlineStr">
        <is>
          <t>NORRTÄLJE</t>
        </is>
      </c>
      <c r="I796" t="n">
        <v>8.300000000000001</v>
      </c>
      <c r="J796" t="n">
        <v>0</v>
      </c>
      <c r="K796" t="n">
        <v>0</v>
      </c>
      <c r="L796" t="n">
        <v>0</v>
      </c>
      <c r="M796" t="n">
        <v>0</v>
      </c>
      <c r="N796" t="n">
        <v>0</v>
      </c>
      <c r="O796" t="n">
        <v>0</v>
      </c>
      <c r="P796" t="n">
        <v>0</v>
      </c>
      <c r="Q796" t="n">
        <v>0</v>
      </c>
      <c r="R796" t="n">
        <v>0</v>
      </c>
      <c r="S796" t="n">
        <v>0</v>
      </c>
      <c r="T796" t="n">
        <v>0</v>
      </c>
      <c r="U796" s="2" t="inlineStr"/>
    </row>
    <row r="797" ht="15" customHeight="1">
      <c r="A797" t="inlineStr">
        <is>
          <t>A 8454-2026</t>
        </is>
      </c>
      <c r="B797" t="inlineStr">
        <is>
          <t>avverkningsanmälan</t>
        </is>
      </c>
      <c r="C797" t="inlineStr">
        <is>
          <t>Föryngringsavverkning</t>
        </is>
      </c>
      <c r="D797" s="1" t="n">
        <v>46065</v>
      </c>
      <c r="E797" s="1" t="n">
        <v>46219</v>
      </c>
      <c r="F797" t="inlineStr">
        <is>
          <t>STOCKHOLMS LÄN</t>
        </is>
      </c>
      <c r="G797" t="inlineStr">
        <is>
          <t>NORRTÄLJE</t>
        </is>
      </c>
      <c r="I797" t="n">
        <v>3.2</v>
      </c>
      <c r="J797" t="n">
        <v>0</v>
      </c>
      <c r="K797" t="n">
        <v>0</v>
      </c>
      <c r="L797" t="n">
        <v>0</v>
      </c>
      <c r="M797" t="n">
        <v>0</v>
      </c>
      <c r="N797" t="n">
        <v>0</v>
      </c>
      <c r="O797" t="n">
        <v>0</v>
      </c>
      <c r="P797" t="n">
        <v>0</v>
      </c>
      <c r="Q797" t="n">
        <v>0</v>
      </c>
      <c r="R797" t="n">
        <v>0</v>
      </c>
      <c r="S797" t="n">
        <v>0</v>
      </c>
      <c r="T797" t="n">
        <v>0</v>
      </c>
      <c r="U797" s="2" t="inlineStr"/>
    </row>
    <row r="798" ht="15" customHeight="1">
      <c r="A798" t="inlineStr">
        <is>
          <t>A 18092-2022</t>
        </is>
      </c>
      <c r="B798" t="inlineStr">
        <is>
          <t>avverkningsanmälan</t>
        </is>
      </c>
      <c r="C798" t="inlineStr">
        <is>
          <t>Föryngringsavverkning</t>
        </is>
      </c>
      <c r="D798" s="1" t="n">
        <v>44684</v>
      </c>
      <c r="E798" s="1" t="n">
        <v>46219</v>
      </c>
      <c r="F798" t="inlineStr">
        <is>
          <t>STOCKHOLMS LÄN</t>
        </is>
      </c>
      <c r="G798" t="inlineStr">
        <is>
          <t>NORRTÄLJE</t>
        </is>
      </c>
      <c r="I798" t="n">
        <v>9.199999999999999</v>
      </c>
      <c r="J798" t="n">
        <v>0</v>
      </c>
      <c r="K798" t="n">
        <v>0</v>
      </c>
      <c r="L798" t="n">
        <v>0</v>
      </c>
      <c r="M798" t="n">
        <v>0</v>
      </c>
      <c r="N798" t="n">
        <v>0</v>
      </c>
      <c r="O798" t="n">
        <v>0</v>
      </c>
      <c r="P798" t="n">
        <v>0</v>
      </c>
      <c r="Q798" t="n">
        <v>0</v>
      </c>
      <c r="R798" t="n">
        <v>0</v>
      </c>
      <c r="S798" t="n">
        <v>0</v>
      </c>
      <c r="T798" t="n">
        <v>0</v>
      </c>
      <c r="U798" s="2" t="inlineStr"/>
    </row>
    <row r="799" ht="15" customHeight="1">
      <c r="A799" t="inlineStr">
        <is>
          <t>A 33295-2023</t>
        </is>
      </c>
      <c r="B799" t="inlineStr">
        <is>
          <t>avverkningsanmälan</t>
        </is>
      </c>
      <c r="C799" t="inlineStr">
        <is>
          <t>Föryngringsavverkning</t>
        </is>
      </c>
      <c r="D799" s="1" t="n">
        <v>45127</v>
      </c>
      <c r="E799" s="1" t="n">
        <v>46219</v>
      </c>
      <c r="F799" t="inlineStr">
        <is>
          <t>STOCKHOLMS LÄN</t>
        </is>
      </c>
      <c r="G799" t="inlineStr">
        <is>
          <t>NORRTÄLJE</t>
        </is>
      </c>
      <c r="H799" t="inlineStr">
        <is>
          <t>Holmen skog AB</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8465-2026</t>
        </is>
      </c>
      <c r="B800" t="inlineStr">
        <is>
          <t>avverkningsanmälan</t>
        </is>
      </c>
      <c r="C800" t="inlineStr">
        <is>
          <t>Föryngringsavverkning</t>
        </is>
      </c>
      <c r="D800" s="1" t="n">
        <v>46065</v>
      </c>
      <c r="E800" s="1" t="n">
        <v>46219</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58785-2024</t>
        </is>
      </c>
      <c r="B801" t="inlineStr">
        <is>
          <t>avverkningsanmälan</t>
        </is>
      </c>
      <c r="C801" t="inlineStr">
        <is>
          <t>Föryngringsavverkning</t>
        </is>
      </c>
      <c r="D801" s="1" t="n">
        <v>45635</v>
      </c>
      <c r="E801" s="1" t="n">
        <v>46219</v>
      </c>
      <c r="F801" t="inlineStr">
        <is>
          <t>STOCKHOLMS LÄN</t>
        </is>
      </c>
      <c r="G801" t="inlineStr">
        <is>
          <t>NORRTÄLJE</t>
        </is>
      </c>
      <c r="I801" t="n">
        <v>3.3</v>
      </c>
      <c r="J801" t="n">
        <v>0</v>
      </c>
      <c r="K801" t="n">
        <v>0</v>
      </c>
      <c r="L801" t="n">
        <v>0</v>
      </c>
      <c r="M801" t="n">
        <v>0</v>
      </c>
      <c r="N801" t="n">
        <v>0</v>
      </c>
      <c r="O801" t="n">
        <v>0</v>
      </c>
      <c r="P801" t="n">
        <v>0</v>
      </c>
      <c r="Q801" t="n">
        <v>0</v>
      </c>
      <c r="R801" t="n">
        <v>0</v>
      </c>
      <c r="S801" t="n">
        <v>0</v>
      </c>
      <c r="T801" t="n">
        <v>0</v>
      </c>
      <c r="U801" s="2" t="inlineStr"/>
    </row>
    <row r="802" ht="15" customHeight="1">
      <c r="A802" t="inlineStr">
        <is>
          <t>A 58404-2023</t>
        </is>
      </c>
      <c r="B802" t="inlineStr">
        <is>
          <t>avverkningsanmälan</t>
        </is>
      </c>
      <c r="C802" t="inlineStr">
        <is>
          <t>Avverkning för annat ändamål</t>
        </is>
      </c>
      <c r="D802" s="1" t="n">
        <v>45245</v>
      </c>
      <c r="E802" s="1" t="n">
        <v>46219</v>
      </c>
      <c r="F802" t="inlineStr">
        <is>
          <t>STOCKHOLMS LÄN</t>
        </is>
      </c>
      <c r="G802" t="inlineStr">
        <is>
          <t>NORRTÄLJE</t>
        </is>
      </c>
      <c r="I802" t="n">
        <v>53.5</v>
      </c>
      <c r="J802" t="n">
        <v>0</v>
      </c>
      <c r="K802" t="n">
        <v>0</v>
      </c>
      <c r="L802" t="n">
        <v>0</v>
      </c>
      <c r="M802" t="n">
        <v>0</v>
      </c>
      <c r="N802" t="n">
        <v>0</v>
      </c>
      <c r="O802" t="n">
        <v>0</v>
      </c>
      <c r="P802" t="n">
        <v>0</v>
      </c>
      <c r="Q802" t="n">
        <v>0</v>
      </c>
      <c r="R802" t="n">
        <v>0</v>
      </c>
      <c r="S802" t="n">
        <v>0</v>
      </c>
      <c r="T802" t="n">
        <v>0</v>
      </c>
      <c r="U802" s="2" t="inlineStr"/>
    </row>
    <row r="803" ht="15" customHeight="1">
      <c r="A803" t="inlineStr">
        <is>
          <t>A 8489-2026</t>
        </is>
      </c>
      <c r="B803" t="inlineStr">
        <is>
          <t>avverkningsanmälan</t>
        </is>
      </c>
      <c r="C803" t="inlineStr">
        <is>
          <t>Föryngringsavverkning</t>
        </is>
      </c>
      <c r="D803" s="1" t="n">
        <v>46065</v>
      </c>
      <c r="E803" s="1" t="n">
        <v>46219</v>
      </c>
      <c r="F803" t="inlineStr">
        <is>
          <t>STOCKHOLMS LÄN</t>
        </is>
      </c>
      <c r="G803" t="inlineStr">
        <is>
          <t>NORRTÄLJE</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8985-2026</t>
        </is>
      </c>
      <c r="B804" t="inlineStr">
        <is>
          <t>avverkningsanmälan</t>
        </is>
      </c>
      <c r="C804" t="inlineStr">
        <is>
          <t>Föryngringsavverkning</t>
        </is>
      </c>
      <c r="D804" s="1" t="n">
        <v>46069</v>
      </c>
      <c r="E804" s="1" t="n">
        <v>46219</v>
      </c>
      <c r="F804" t="inlineStr">
        <is>
          <t>STOCKHOLMS LÄN</t>
        </is>
      </c>
      <c r="G804" t="inlineStr">
        <is>
          <t>NORRTÄLJE</t>
        </is>
      </c>
      <c r="H804" t="inlineStr">
        <is>
          <t>Holmen skog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27885-2022</t>
        </is>
      </c>
      <c r="B805" t="inlineStr">
        <is>
          <t>avverkningsanmälan</t>
        </is>
      </c>
      <c r="C805" t="inlineStr">
        <is>
          <t>Föryngringsavverkning</t>
        </is>
      </c>
      <c r="D805" s="1" t="n">
        <v>44743</v>
      </c>
      <c r="E805" s="1" t="n">
        <v>46219</v>
      </c>
      <c r="F805" t="inlineStr">
        <is>
          <t>STOCKHOLMS LÄN</t>
        </is>
      </c>
      <c r="G805" t="inlineStr">
        <is>
          <t>NORRTÄLJE</t>
        </is>
      </c>
      <c r="H805" t="inlineStr">
        <is>
          <t>Holmen skog AB</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8989-2026</t>
        </is>
      </c>
      <c r="B806" t="inlineStr">
        <is>
          <t>avverkningsanmälan</t>
        </is>
      </c>
      <c r="C806" t="inlineStr">
        <is>
          <t>Föryngringsavverkning</t>
        </is>
      </c>
      <c r="D806" s="1" t="n">
        <v>46069</v>
      </c>
      <c r="E806" s="1" t="n">
        <v>46219</v>
      </c>
      <c r="F806" t="inlineStr">
        <is>
          <t>STOCKHOLMS LÄN</t>
        </is>
      </c>
      <c r="G806" t="inlineStr">
        <is>
          <t>NORRTÄLJE</t>
        </is>
      </c>
      <c r="H806" t="inlineStr">
        <is>
          <t>Holmen skog AB</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25525-2022</t>
        </is>
      </c>
      <c r="B807" t="inlineStr">
        <is>
          <t>avverkningsanmälan</t>
        </is>
      </c>
      <c r="C807" t="inlineStr">
        <is>
          <t>Föryngringsavverkning</t>
        </is>
      </c>
      <c r="D807" s="1" t="n">
        <v>44732</v>
      </c>
      <c r="E807" s="1" t="n">
        <v>46219</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48722-2023</t>
        </is>
      </c>
      <c r="B808" t="inlineStr">
        <is>
          <t>avverkningsanmälan</t>
        </is>
      </c>
      <c r="C808" t="inlineStr">
        <is>
          <t>Föryngringsavverkning</t>
        </is>
      </c>
      <c r="D808" s="1" t="n">
        <v>45208</v>
      </c>
      <c r="E808" s="1" t="n">
        <v>46219</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s="2" t="inlineStr"/>
    </row>
    <row r="809" ht="15" customHeight="1">
      <c r="A809" t="inlineStr">
        <is>
          <t>A 8962-2026</t>
        </is>
      </c>
      <c r="B809" t="inlineStr">
        <is>
          <t>avverkningsanmälan</t>
        </is>
      </c>
      <c r="C809" t="inlineStr">
        <is>
          <t>Föryngringsavverkning</t>
        </is>
      </c>
      <c r="D809" s="1" t="n">
        <v>46069</v>
      </c>
      <c r="E809" s="1" t="n">
        <v>46219</v>
      </c>
      <c r="F809" t="inlineStr">
        <is>
          <t>STOCKHOLMS LÄN</t>
        </is>
      </c>
      <c r="G809" t="inlineStr">
        <is>
          <t>NORRTÄLJE</t>
        </is>
      </c>
      <c r="H809" t="inlineStr">
        <is>
          <t>Holmen skog AB</t>
        </is>
      </c>
      <c r="I809" t="n">
        <v>4.1</v>
      </c>
      <c r="J809" t="n">
        <v>0</v>
      </c>
      <c r="K809" t="n">
        <v>0</v>
      </c>
      <c r="L809" t="n">
        <v>0</v>
      </c>
      <c r="M809" t="n">
        <v>0</v>
      </c>
      <c r="N809" t="n">
        <v>0</v>
      </c>
      <c r="O809" t="n">
        <v>0</v>
      </c>
      <c r="P809" t="n">
        <v>0</v>
      </c>
      <c r="Q809" t="n">
        <v>0</v>
      </c>
      <c r="R809" t="n">
        <v>0</v>
      </c>
      <c r="S809" t="n">
        <v>0</v>
      </c>
      <c r="T809" t="n">
        <v>0</v>
      </c>
      <c r="U809" s="2" t="inlineStr"/>
    </row>
    <row r="810" ht="15" customHeight="1">
      <c r="A810" t="inlineStr">
        <is>
          <t>A 9720-2026</t>
        </is>
      </c>
      <c r="B810" t="inlineStr">
        <is>
          <t>avverkningsanmälan</t>
        </is>
      </c>
      <c r="C810" t="inlineStr">
        <is>
          <t>Föryngringsavverkning</t>
        </is>
      </c>
      <c r="D810" s="1" t="n">
        <v>46072</v>
      </c>
      <c r="E810" s="1" t="n">
        <v>46219</v>
      </c>
      <c r="F810" t="inlineStr">
        <is>
          <t>STOCKHOLMS LÄN</t>
        </is>
      </c>
      <c r="G810" t="inlineStr">
        <is>
          <t>NORRTÄLJE</t>
        </is>
      </c>
      <c r="I810" t="n">
        <v>3.6</v>
      </c>
      <c r="J810" t="n">
        <v>0</v>
      </c>
      <c r="K810" t="n">
        <v>0</v>
      </c>
      <c r="L810" t="n">
        <v>0</v>
      </c>
      <c r="M810" t="n">
        <v>0</v>
      </c>
      <c r="N810" t="n">
        <v>0</v>
      </c>
      <c r="O810" t="n">
        <v>0</v>
      </c>
      <c r="P810" t="n">
        <v>0</v>
      </c>
      <c r="Q810" t="n">
        <v>0</v>
      </c>
      <c r="R810" t="n">
        <v>0</v>
      </c>
      <c r="S810" t="n">
        <v>0</v>
      </c>
      <c r="T810" t="n">
        <v>0</v>
      </c>
      <c r="U810" s="2" t="inlineStr"/>
    </row>
    <row r="811" ht="15" customHeight="1">
      <c r="A811" t="inlineStr">
        <is>
          <t>A 10399-2026</t>
        </is>
      </c>
      <c r="B811" t="inlineStr">
        <is>
          <t>avverkningsanmälan</t>
        </is>
      </c>
      <c r="C811" t="inlineStr">
        <is>
          <t>Avverkning för annat ändamål</t>
        </is>
      </c>
      <c r="D811" s="1" t="n">
        <v>46077</v>
      </c>
      <c r="E811" s="1" t="n">
        <v>46219</v>
      </c>
      <c r="F811" t="inlineStr">
        <is>
          <t>STOCKHOLMS LÄN</t>
        </is>
      </c>
      <c r="G811" t="inlineStr">
        <is>
          <t>NORRTÄLJE</t>
        </is>
      </c>
      <c r="H811" t="inlineStr">
        <is>
          <t>Övriga Aktiebolag</t>
        </is>
      </c>
      <c r="I811" t="n">
        <v>0.2</v>
      </c>
      <c r="J811" t="n">
        <v>0</v>
      </c>
      <c r="K811" t="n">
        <v>0</v>
      </c>
      <c r="L811" t="n">
        <v>0</v>
      </c>
      <c r="M811" t="n">
        <v>0</v>
      </c>
      <c r="N811" t="n">
        <v>0</v>
      </c>
      <c r="O811" t="n">
        <v>0</v>
      </c>
      <c r="P811" t="n">
        <v>0</v>
      </c>
      <c r="Q811" t="n">
        <v>0</v>
      </c>
      <c r="R811" t="n">
        <v>0</v>
      </c>
      <c r="S811" t="n">
        <v>0</v>
      </c>
      <c r="T811" t="n">
        <v>0</v>
      </c>
      <c r="U811" s="2" t="inlineStr"/>
    </row>
    <row r="812" ht="15" customHeight="1">
      <c r="A812" t="inlineStr">
        <is>
          <t>A 10429-2026</t>
        </is>
      </c>
      <c r="B812" t="inlineStr">
        <is>
          <t>avverkningsanmälan</t>
        </is>
      </c>
      <c r="C812" t="inlineStr">
        <is>
          <t>Föryngringsavverkning</t>
        </is>
      </c>
      <c r="D812" s="1" t="n">
        <v>46077</v>
      </c>
      <c r="E812" s="1" t="n">
        <v>46219</v>
      </c>
      <c r="F812" t="inlineStr">
        <is>
          <t>STOCKHOLMS LÄN</t>
        </is>
      </c>
      <c r="G812" t="inlineStr">
        <is>
          <t>NORRTÄLJE</t>
        </is>
      </c>
      <c r="H812" t="inlineStr">
        <is>
          <t>Holmen skog AB</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10586-2026</t>
        </is>
      </c>
      <c r="B813" t="inlineStr">
        <is>
          <t>avverkningsanmälan</t>
        </is>
      </c>
      <c r="C813" t="inlineStr">
        <is>
          <t>Föryngringsavverkning</t>
        </is>
      </c>
      <c r="D813" s="1" t="n">
        <v>46077</v>
      </c>
      <c r="E813" s="1" t="n">
        <v>46219</v>
      </c>
      <c r="F813" t="inlineStr">
        <is>
          <t>STOCKHOLMS LÄN</t>
        </is>
      </c>
      <c r="G813" t="inlineStr">
        <is>
          <t>NORRTÄLJE</t>
        </is>
      </c>
      <c r="H813" t="inlineStr">
        <is>
          <t>Holmen skog AB</t>
        </is>
      </c>
      <c r="I813" t="n">
        <v>3.3</v>
      </c>
      <c r="J813" t="n">
        <v>0</v>
      </c>
      <c r="K813" t="n">
        <v>0</v>
      </c>
      <c r="L813" t="n">
        <v>0</v>
      </c>
      <c r="M813" t="n">
        <v>0</v>
      </c>
      <c r="N813" t="n">
        <v>0</v>
      </c>
      <c r="O813" t="n">
        <v>0</v>
      </c>
      <c r="P813" t="n">
        <v>0</v>
      </c>
      <c r="Q813" t="n">
        <v>0</v>
      </c>
      <c r="R813" t="n">
        <v>0</v>
      </c>
      <c r="S813" t="n">
        <v>0</v>
      </c>
      <c r="T813" t="n">
        <v>0</v>
      </c>
      <c r="U813" s="2" t="inlineStr"/>
    </row>
    <row r="814" ht="15" customHeight="1">
      <c r="A814" t="inlineStr">
        <is>
          <t>A 10444-2026</t>
        </is>
      </c>
      <c r="B814" t="inlineStr">
        <is>
          <t>avverkningsanmälan</t>
        </is>
      </c>
      <c r="C814" t="inlineStr">
        <is>
          <t>Föryngringsavverkning</t>
        </is>
      </c>
      <c r="D814" s="1" t="n">
        <v>46077</v>
      </c>
      <c r="E814" s="1" t="n">
        <v>46219</v>
      </c>
      <c r="F814" t="inlineStr">
        <is>
          <t>STOCKHOLMS LÄN</t>
        </is>
      </c>
      <c r="G814" t="inlineStr">
        <is>
          <t>NORRTÄLJE</t>
        </is>
      </c>
      <c r="H814" t="inlineStr">
        <is>
          <t>Holmen skog AB</t>
        </is>
      </c>
      <c r="I814" t="n">
        <v>4.9</v>
      </c>
      <c r="J814" t="n">
        <v>0</v>
      </c>
      <c r="K814" t="n">
        <v>0</v>
      </c>
      <c r="L814" t="n">
        <v>0</v>
      </c>
      <c r="M814" t="n">
        <v>0</v>
      </c>
      <c r="N814" t="n">
        <v>0</v>
      </c>
      <c r="O814" t="n">
        <v>0</v>
      </c>
      <c r="P814" t="n">
        <v>0</v>
      </c>
      <c r="Q814" t="n">
        <v>0</v>
      </c>
      <c r="R814" t="n">
        <v>0</v>
      </c>
      <c r="S814" t="n">
        <v>0</v>
      </c>
      <c r="T814" t="n">
        <v>0</v>
      </c>
      <c r="U814" s="2" t="inlineStr"/>
    </row>
    <row r="815" ht="15" customHeight="1">
      <c r="A815" t="inlineStr">
        <is>
          <t>A 10553-2026</t>
        </is>
      </c>
      <c r="B815" t="inlineStr">
        <is>
          <t>avverkningsanmälan</t>
        </is>
      </c>
      <c r="C815" t="inlineStr">
        <is>
          <t>Föryngringsavverkning</t>
        </is>
      </c>
      <c r="D815" s="1" t="n">
        <v>46077</v>
      </c>
      <c r="E815" s="1" t="n">
        <v>46219</v>
      </c>
      <c r="F815" t="inlineStr">
        <is>
          <t>STOCKHOLMS LÄN</t>
        </is>
      </c>
      <c r="G815" t="inlineStr">
        <is>
          <t>NORRTÄLJE</t>
        </is>
      </c>
      <c r="I815" t="n">
        <v>4.9</v>
      </c>
      <c r="J815" t="n">
        <v>0</v>
      </c>
      <c r="K815" t="n">
        <v>0</v>
      </c>
      <c r="L815" t="n">
        <v>0</v>
      </c>
      <c r="M815" t="n">
        <v>0</v>
      </c>
      <c r="N815" t="n">
        <v>0</v>
      </c>
      <c r="O815" t="n">
        <v>0</v>
      </c>
      <c r="P815" t="n">
        <v>0</v>
      </c>
      <c r="Q815" t="n">
        <v>0</v>
      </c>
      <c r="R815" t="n">
        <v>0</v>
      </c>
      <c r="S815" t="n">
        <v>0</v>
      </c>
      <c r="T815" t="n">
        <v>0</v>
      </c>
      <c r="U815" s="2" t="inlineStr"/>
    </row>
    <row r="816" ht="15" customHeight="1">
      <c r="A816" t="inlineStr">
        <is>
          <t>A 62998-2023</t>
        </is>
      </c>
      <c r="B816" t="inlineStr">
        <is>
          <t>avverkningsanmälan</t>
        </is>
      </c>
      <c r="C816" t="inlineStr">
        <is>
          <t>Föryngringsavverkning</t>
        </is>
      </c>
      <c r="D816" s="1" t="n">
        <v>45272</v>
      </c>
      <c r="E816" s="1" t="n">
        <v>46219</v>
      </c>
      <c r="F816" t="inlineStr">
        <is>
          <t>STOCKHOLMS LÄN</t>
        </is>
      </c>
      <c r="G816" t="inlineStr">
        <is>
          <t>NORRTÄLJE</t>
        </is>
      </c>
      <c r="I816" t="n">
        <v>16.3</v>
      </c>
      <c r="J816" t="n">
        <v>0</v>
      </c>
      <c r="K816" t="n">
        <v>0</v>
      </c>
      <c r="L816" t="n">
        <v>0</v>
      </c>
      <c r="M816" t="n">
        <v>0</v>
      </c>
      <c r="N816" t="n">
        <v>0</v>
      </c>
      <c r="O816" t="n">
        <v>0</v>
      </c>
      <c r="P816" t="n">
        <v>0</v>
      </c>
      <c r="Q816" t="n">
        <v>0</v>
      </c>
      <c r="R816" t="n">
        <v>0</v>
      </c>
      <c r="S816" t="n">
        <v>0</v>
      </c>
      <c r="T816" t="n">
        <v>0</v>
      </c>
      <c r="U816" s="2" t="inlineStr"/>
    </row>
    <row r="817" ht="15" customHeight="1">
      <c r="A817" t="inlineStr">
        <is>
          <t>A 63015-2023</t>
        </is>
      </c>
      <c r="B817" t="inlineStr">
        <is>
          <t>avverkningsanmälan</t>
        </is>
      </c>
      <c r="C817" t="inlineStr">
        <is>
          <t>Föryngringsavverkning</t>
        </is>
      </c>
      <c r="D817" s="1" t="n">
        <v>45272</v>
      </c>
      <c r="E817" s="1" t="n">
        <v>46219</v>
      </c>
      <c r="F817" t="inlineStr">
        <is>
          <t>STOCKHOLMS LÄN</t>
        </is>
      </c>
      <c r="G817" t="inlineStr">
        <is>
          <t>NORRTÄLJE</t>
        </is>
      </c>
      <c r="I817" t="n">
        <v>13.1</v>
      </c>
      <c r="J817" t="n">
        <v>0</v>
      </c>
      <c r="K817" t="n">
        <v>0</v>
      </c>
      <c r="L817" t="n">
        <v>0</v>
      </c>
      <c r="M817" t="n">
        <v>0</v>
      </c>
      <c r="N817" t="n">
        <v>0</v>
      </c>
      <c r="O817" t="n">
        <v>0</v>
      </c>
      <c r="P817" t="n">
        <v>0</v>
      </c>
      <c r="Q817" t="n">
        <v>0</v>
      </c>
      <c r="R817" t="n">
        <v>0</v>
      </c>
      <c r="S817" t="n">
        <v>0</v>
      </c>
      <c r="T817" t="n">
        <v>0</v>
      </c>
      <c r="U817" s="2" t="inlineStr"/>
    </row>
    <row r="818" ht="15" customHeight="1">
      <c r="A818" t="inlineStr">
        <is>
          <t>A 33353-2023</t>
        </is>
      </c>
      <c r="B818" t="inlineStr">
        <is>
          <t>avverkningsanmälan</t>
        </is>
      </c>
      <c r="C818" t="inlineStr">
        <is>
          <t>Avverkning för annat ändamål</t>
        </is>
      </c>
      <c r="D818" s="1" t="n">
        <v>45128</v>
      </c>
      <c r="E818" s="1" t="n">
        <v>46219</v>
      </c>
      <c r="F818" t="inlineStr">
        <is>
          <t>STOCKHOLMS LÄN</t>
        </is>
      </c>
      <c r="G818" t="inlineStr">
        <is>
          <t>NORRTÄLJE</t>
        </is>
      </c>
      <c r="I818" t="n">
        <v>0.8</v>
      </c>
      <c r="J818" t="n">
        <v>0</v>
      </c>
      <c r="K818" t="n">
        <v>0</v>
      </c>
      <c r="L818" t="n">
        <v>0</v>
      </c>
      <c r="M818" t="n">
        <v>0</v>
      </c>
      <c r="N818" t="n">
        <v>0</v>
      </c>
      <c r="O818" t="n">
        <v>0</v>
      </c>
      <c r="P818" t="n">
        <v>0</v>
      </c>
      <c r="Q818" t="n">
        <v>0</v>
      </c>
      <c r="R818" t="n">
        <v>0</v>
      </c>
      <c r="S818" t="n">
        <v>0</v>
      </c>
      <c r="T818" t="n">
        <v>0</v>
      </c>
      <c r="U818" s="2" t="inlineStr"/>
    </row>
    <row r="819" ht="15" customHeight="1">
      <c r="A819" t="inlineStr">
        <is>
          <t>A 12901-2024</t>
        </is>
      </c>
      <c r="B819" t="inlineStr">
        <is>
          <t>avverkningsanmälan</t>
        </is>
      </c>
      <c r="C819" t="inlineStr">
        <is>
          <t>Föryngringsavverkning</t>
        </is>
      </c>
      <c r="D819" s="1" t="n">
        <v>45385</v>
      </c>
      <c r="E819" s="1" t="n">
        <v>46219</v>
      </c>
      <c r="F819" t="inlineStr">
        <is>
          <t>STOCKHOLMS LÄN</t>
        </is>
      </c>
      <c r="G819" t="inlineStr">
        <is>
          <t>NORRTÄLJE</t>
        </is>
      </c>
      <c r="I819" t="n">
        <v>2.7</v>
      </c>
      <c r="J819" t="n">
        <v>0</v>
      </c>
      <c r="K819" t="n">
        <v>0</v>
      </c>
      <c r="L819" t="n">
        <v>0</v>
      </c>
      <c r="M819" t="n">
        <v>0</v>
      </c>
      <c r="N819" t="n">
        <v>0</v>
      </c>
      <c r="O819" t="n">
        <v>0</v>
      </c>
      <c r="P819" t="n">
        <v>0</v>
      </c>
      <c r="Q819" t="n">
        <v>0</v>
      </c>
      <c r="R819" t="n">
        <v>0</v>
      </c>
      <c r="S819" t="n">
        <v>0</v>
      </c>
      <c r="T819" t="n">
        <v>0</v>
      </c>
      <c r="U819" s="2" t="inlineStr"/>
    </row>
    <row r="820" ht="15" customHeight="1">
      <c r="A820" t="inlineStr">
        <is>
          <t>A 12301-2025</t>
        </is>
      </c>
      <c r="B820" t="inlineStr">
        <is>
          <t>avverkningsanmälan</t>
        </is>
      </c>
      <c r="C820" t="inlineStr">
        <is>
          <t>Avverkning för att bevara och utveckla /försöksver</t>
        </is>
      </c>
      <c r="D820" s="1" t="n">
        <v>45729</v>
      </c>
      <c r="E820" s="1" t="n">
        <v>46219</v>
      </c>
      <c r="F820" t="inlineStr">
        <is>
          <t>STOCKHOLMS LÄN</t>
        </is>
      </c>
      <c r="G820" t="inlineStr">
        <is>
          <t>NORRTÄLJE</t>
        </is>
      </c>
      <c r="I820" t="n">
        <v>3.2</v>
      </c>
      <c r="J820" t="n">
        <v>0</v>
      </c>
      <c r="K820" t="n">
        <v>0</v>
      </c>
      <c r="L820" t="n">
        <v>0</v>
      </c>
      <c r="M820" t="n">
        <v>0</v>
      </c>
      <c r="N820" t="n">
        <v>0</v>
      </c>
      <c r="O820" t="n">
        <v>0</v>
      </c>
      <c r="P820" t="n">
        <v>0</v>
      </c>
      <c r="Q820" t="n">
        <v>0</v>
      </c>
      <c r="R820" t="n">
        <v>0</v>
      </c>
      <c r="S820" t="n">
        <v>0</v>
      </c>
      <c r="T820" t="n">
        <v>0</v>
      </c>
      <c r="U820" s="2" t="inlineStr"/>
    </row>
    <row r="821" ht="15" customHeight="1">
      <c r="A821" t="inlineStr">
        <is>
          <t>A 8950-2025</t>
        </is>
      </c>
      <c r="B821" t="inlineStr">
        <is>
          <t>avverkningsanmälan</t>
        </is>
      </c>
      <c r="C821" t="inlineStr">
        <is>
          <t>Föryngringsavverkning</t>
        </is>
      </c>
      <c r="D821" s="1" t="n">
        <v>45713</v>
      </c>
      <c r="E821" s="1" t="n">
        <v>46219</v>
      </c>
      <c r="F821" t="inlineStr">
        <is>
          <t>STOCKHOLMS LÄN</t>
        </is>
      </c>
      <c r="G821" t="inlineStr">
        <is>
          <t>NORRTÄLJE</t>
        </is>
      </c>
      <c r="H821" t="inlineStr">
        <is>
          <t>Övriga Aktiebolag</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20730-2024</t>
        </is>
      </c>
      <c r="B822" t="inlineStr">
        <is>
          <t>avverkningsanmälan</t>
        </is>
      </c>
      <c r="C822" t="inlineStr">
        <is>
          <t>Föryngringsavverkning</t>
        </is>
      </c>
      <c r="D822" s="1" t="n">
        <v>45436</v>
      </c>
      <c r="E822" s="1" t="n">
        <v>46219</v>
      </c>
      <c r="F822" t="inlineStr">
        <is>
          <t>STOCKHOLMS LÄN</t>
        </is>
      </c>
      <c r="G822" t="inlineStr">
        <is>
          <t>NORRTÄLJE</t>
        </is>
      </c>
      <c r="I822" t="n">
        <v>7.3</v>
      </c>
      <c r="J822" t="n">
        <v>0</v>
      </c>
      <c r="K822" t="n">
        <v>0</v>
      </c>
      <c r="L822" t="n">
        <v>0</v>
      </c>
      <c r="M822" t="n">
        <v>0</v>
      </c>
      <c r="N822" t="n">
        <v>0</v>
      </c>
      <c r="O822" t="n">
        <v>0</v>
      </c>
      <c r="P822" t="n">
        <v>0</v>
      </c>
      <c r="Q822" t="n">
        <v>0</v>
      </c>
      <c r="R822" t="n">
        <v>0</v>
      </c>
      <c r="S822" t="n">
        <v>0</v>
      </c>
      <c r="T822" t="n">
        <v>0</v>
      </c>
      <c r="U822" s="2" t="inlineStr"/>
    </row>
    <row r="823" ht="15" customHeight="1">
      <c r="A823" t="inlineStr">
        <is>
          <t>A 33175-2024</t>
        </is>
      </c>
      <c r="B823" t="inlineStr">
        <is>
          <t>avverkningsanmälan</t>
        </is>
      </c>
      <c r="C823" t="inlineStr">
        <is>
          <t>Föryngringsavverkning</t>
        </is>
      </c>
      <c r="D823" s="1" t="n">
        <v>45518</v>
      </c>
      <c r="E823" s="1" t="n">
        <v>46219</v>
      </c>
      <c r="F823" t="inlineStr">
        <is>
          <t>STOCKHOLMS LÄN</t>
        </is>
      </c>
      <c r="G823" t="inlineStr">
        <is>
          <t>NORRTÄLJE</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35708-2022</t>
        </is>
      </c>
      <c r="B824" t="inlineStr">
        <is>
          <t>avverkningsanmälan</t>
        </is>
      </c>
      <c r="C824" t="inlineStr">
        <is>
          <t>Föryngringsavverkning</t>
        </is>
      </c>
      <c r="D824" s="1" t="n">
        <v>44799</v>
      </c>
      <c r="E824" s="1" t="n">
        <v>46219</v>
      </c>
      <c r="F824" t="inlineStr">
        <is>
          <t>STOCKHOLMS LÄN</t>
        </is>
      </c>
      <c r="G824" t="inlineStr">
        <is>
          <t>NORRTÄLJE</t>
        </is>
      </c>
      <c r="I824" t="n">
        <v>1.5</v>
      </c>
      <c r="J824" t="n">
        <v>0</v>
      </c>
      <c r="K824" t="n">
        <v>0</v>
      </c>
      <c r="L824" t="n">
        <v>0</v>
      </c>
      <c r="M824" t="n">
        <v>0</v>
      </c>
      <c r="N824" t="n">
        <v>0</v>
      </c>
      <c r="O824" t="n">
        <v>0</v>
      </c>
      <c r="P824" t="n">
        <v>0</v>
      </c>
      <c r="Q824" t="n">
        <v>0</v>
      </c>
      <c r="R824" t="n">
        <v>0</v>
      </c>
      <c r="S824" t="n">
        <v>0</v>
      </c>
      <c r="T824" t="n">
        <v>0</v>
      </c>
      <c r="U824" s="2" t="inlineStr"/>
    </row>
    <row r="825" ht="15" customHeight="1">
      <c r="A825" t="inlineStr">
        <is>
          <t>A 9-2024</t>
        </is>
      </c>
      <c r="B825" t="inlineStr">
        <is>
          <t>avverkningsanmälan</t>
        </is>
      </c>
      <c r="C825" t="inlineStr">
        <is>
          <t>Avverkning för annat ändamål</t>
        </is>
      </c>
      <c r="D825" s="1" t="n">
        <v>45293</v>
      </c>
      <c r="E825" s="1" t="n">
        <v>46219</v>
      </c>
      <c r="F825" t="inlineStr">
        <is>
          <t>STOCKHOLMS LÄN</t>
        </is>
      </c>
      <c r="G825" t="inlineStr">
        <is>
          <t>NORRTÄLJE</t>
        </is>
      </c>
      <c r="H825" t="inlineStr">
        <is>
          <t>Sveaskog</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11849-2025</t>
        </is>
      </c>
      <c r="B826" t="inlineStr">
        <is>
          <t>avverkningsanmälan</t>
        </is>
      </c>
      <c r="C826" t="inlineStr">
        <is>
          <t>Föryngringsavverkning</t>
        </is>
      </c>
      <c r="D826" s="1" t="n">
        <v>45728</v>
      </c>
      <c r="E826" s="1" t="n">
        <v>46219</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s="2" t="inlineStr"/>
    </row>
    <row r="827" ht="15" customHeight="1">
      <c r="A827" t="inlineStr">
        <is>
          <t>A 27831-2024</t>
        </is>
      </c>
      <c r="B827" t="inlineStr">
        <is>
          <t>avverkningsanmälan</t>
        </is>
      </c>
      <c r="C827" t="inlineStr">
        <is>
          <t>Föryngringsavverkning</t>
        </is>
      </c>
      <c r="D827" s="1" t="n">
        <v>45475</v>
      </c>
      <c r="E827" s="1" t="n">
        <v>46219</v>
      </c>
      <c r="F827" t="inlineStr">
        <is>
          <t>STOCKHOLMS LÄN</t>
        </is>
      </c>
      <c r="G827" t="inlineStr">
        <is>
          <t>NORRTÄLJE</t>
        </is>
      </c>
      <c r="I827" t="n">
        <v>3.8</v>
      </c>
      <c r="J827" t="n">
        <v>0</v>
      </c>
      <c r="K827" t="n">
        <v>0</v>
      </c>
      <c r="L827" t="n">
        <v>0</v>
      </c>
      <c r="M827" t="n">
        <v>0</v>
      </c>
      <c r="N827" t="n">
        <v>0</v>
      </c>
      <c r="O827" t="n">
        <v>0</v>
      </c>
      <c r="P827" t="n">
        <v>0</v>
      </c>
      <c r="Q827" t="n">
        <v>0</v>
      </c>
      <c r="R827" t="n">
        <v>0</v>
      </c>
      <c r="S827" t="n">
        <v>0</v>
      </c>
      <c r="T827" t="n">
        <v>0</v>
      </c>
      <c r="U827" s="2" t="inlineStr"/>
    </row>
    <row r="828" ht="15" customHeight="1">
      <c r="A828" t="inlineStr">
        <is>
          <t>A 11648-2026</t>
        </is>
      </c>
      <c r="B828" t="inlineStr">
        <is>
          <t>avverkningsanmälan</t>
        </is>
      </c>
      <c r="C828" t="inlineStr">
        <is>
          <t>Föryngringsavverkning</t>
        </is>
      </c>
      <c r="D828" s="1" t="n">
        <v>46084</v>
      </c>
      <c r="E828" s="1" t="n">
        <v>46219</v>
      </c>
      <c r="F828" t="inlineStr">
        <is>
          <t>STOCKHOLMS LÄN</t>
        </is>
      </c>
      <c r="G828" t="inlineStr">
        <is>
          <t>NORRTÄLJE</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12234-2026</t>
        </is>
      </c>
      <c r="B829" t="inlineStr">
        <is>
          <t>avverkningsanmälan</t>
        </is>
      </c>
      <c r="C829" t="inlineStr">
        <is>
          <t>Föryngringsavverkning</t>
        </is>
      </c>
      <c r="D829" s="1" t="n">
        <v>46087</v>
      </c>
      <c r="E829" s="1" t="n">
        <v>46219</v>
      </c>
      <c r="F829" t="inlineStr">
        <is>
          <t>STOCKHOLMS LÄN</t>
        </is>
      </c>
      <c r="G829" t="inlineStr">
        <is>
          <t>NORRTÄLJE</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59468-2023</t>
        </is>
      </c>
      <c r="B830" t="inlineStr">
        <is>
          <t>avverkningsanmälan</t>
        </is>
      </c>
      <c r="C830" t="inlineStr">
        <is>
          <t>Föryngringsavverkning</t>
        </is>
      </c>
      <c r="D830" s="1" t="n">
        <v>45254</v>
      </c>
      <c r="E830" s="1" t="n">
        <v>46219</v>
      </c>
      <c r="F830" t="inlineStr">
        <is>
          <t>STOCKHOLMS LÄN</t>
        </is>
      </c>
      <c r="G830" t="inlineStr">
        <is>
          <t>NORRTÄLJE</t>
        </is>
      </c>
      <c r="I830" t="n">
        <v>1.7</v>
      </c>
      <c r="J830" t="n">
        <v>0</v>
      </c>
      <c r="K830" t="n">
        <v>0</v>
      </c>
      <c r="L830" t="n">
        <v>0</v>
      </c>
      <c r="M830" t="n">
        <v>0</v>
      </c>
      <c r="N830" t="n">
        <v>0</v>
      </c>
      <c r="O830" t="n">
        <v>0</v>
      </c>
      <c r="P830" t="n">
        <v>0</v>
      </c>
      <c r="Q830" t="n">
        <v>0</v>
      </c>
      <c r="R830" t="n">
        <v>0</v>
      </c>
      <c r="S830" t="n">
        <v>0</v>
      </c>
      <c r="T830" t="n">
        <v>0</v>
      </c>
      <c r="U830" s="2" t="inlineStr"/>
    </row>
    <row r="831" ht="15" customHeight="1">
      <c r="A831" t="inlineStr">
        <is>
          <t>A 21803-2022</t>
        </is>
      </c>
      <c r="B831" t="inlineStr">
        <is>
          <t>avverkningsanmälan</t>
        </is>
      </c>
      <c r="C831" t="inlineStr">
        <is>
          <t>Föryngringsavverkning</t>
        </is>
      </c>
      <c r="D831" s="1" t="n">
        <v>44708</v>
      </c>
      <c r="E831" s="1" t="n">
        <v>46219</v>
      </c>
      <c r="F831" t="inlineStr">
        <is>
          <t>STOCKHOLMS LÄN</t>
        </is>
      </c>
      <c r="G831" t="inlineStr">
        <is>
          <t>NORRTÄLJE</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24687-2025</t>
        </is>
      </c>
      <c r="B832" t="inlineStr">
        <is>
          <t>avverkningsanmälan</t>
        </is>
      </c>
      <c r="C832" t="inlineStr">
        <is>
          <t>Föryngringsavverkning</t>
        </is>
      </c>
      <c r="D832" s="1" t="n">
        <v>45798</v>
      </c>
      <c r="E832" s="1" t="n">
        <v>46219</v>
      </c>
      <c r="F832" t="inlineStr">
        <is>
          <t>STOCKHOLMS LÄN</t>
        </is>
      </c>
      <c r="G832" t="inlineStr">
        <is>
          <t>NORRTÄLJE</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24690-2025</t>
        </is>
      </c>
      <c r="B833" t="inlineStr">
        <is>
          <t>avverkningsanmälan</t>
        </is>
      </c>
      <c r="C833" t="inlineStr">
        <is>
          <t>Föryngringsavverkning</t>
        </is>
      </c>
      <c r="D833" s="1" t="n">
        <v>45798</v>
      </c>
      <c r="E833" s="1" t="n">
        <v>46219</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24638-2025</t>
        </is>
      </c>
      <c r="B834" t="inlineStr">
        <is>
          <t>avverkningsanmälan</t>
        </is>
      </c>
      <c r="C834" t="inlineStr">
        <is>
          <t>Avverkning för annat ändamål</t>
        </is>
      </c>
      <c r="D834" s="1" t="n">
        <v>45798</v>
      </c>
      <c r="E834" s="1" t="n">
        <v>46219</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13204-2026</t>
        </is>
      </c>
      <c r="B835" t="inlineStr">
        <is>
          <t>avverkningsanmälan</t>
        </is>
      </c>
      <c r="C835" t="inlineStr">
        <is>
          <t>Föryngringsavverkning</t>
        </is>
      </c>
      <c r="D835" s="1" t="n">
        <v>46093</v>
      </c>
      <c r="E835" s="1" t="n">
        <v>46219</v>
      </c>
      <c r="F835" t="inlineStr">
        <is>
          <t>STOCKHOLMS LÄN</t>
        </is>
      </c>
      <c r="G835" t="inlineStr">
        <is>
          <t>NORRTÄLJE</t>
        </is>
      </c>
      <c r="I835" t="n">
        <v>3.5</v>
      </c>
      <c r="J835" t="n">
        <v>0</v>
      </c>
      <c r="K835" t="n">
        <v>0</v>
      </c>
      <c r="L835" t="n">
        <v>0</v>
      </c>
      <c r="M835" t="n">
        <v>0</v>
      </c>
      <c r="N835" t="n">
        <v>0</v>
      </c>
      <c r="O835" t="n">
        <v>0</v>
      </c>
      <c r="P835" t="n">
        <v>0</v>
      </c>
      <c r="Q835" t="n">
        <v>0</v>
      </c>
      <c r="R835" t="n">
        <v>0</v>
      </c>
      <c r="S835" t="n">
        <v>0</v>
      </c>
      <c r="T835" t="n">
        <v>0</v>
      </c>
      <c r="U835" s="2" t="inlineStr"/>
    </row>
    <row r="836" ht="15" customHeight="1">
      <c r="A836" t="inlineStr">
        <is>
          <t>A 574-2023</t>
        </is>
      </c>
      <c r="B836" t="inlineStr">
        <is>
          <t>avverkningsanmälan</t>
        </is>
      </c>
      <c r="C836" t="inlineStr">
        <is>
          <t>Föryngringsavverkning</t>
        </is>
      </c>
      <c r="D836" s="1" t="n">
        <v>44925</v>
      </c>
      <c r="E836" s="1" t="n">
        <v>46219</v>
      </c>
      <c r="F836" t="inlineStr">
        <is>
          <t>STOCKHOLMS LÄN</t>
        </is>
      </c>
      <c r="G836" t="inlineStr">
        <is>
          <t>NORRTÄLJE</t>
        </is>
      </c>
      <c r="I836" t="n">
        <v>5</v>
      </c>
      <c r="J836" t="n">
        <v>0</v>
      </c>
      <c r="K836" t="n">
        <v>0</v>
      </c>
      <c r="L836" t="n">
        <v>0</v>
      </c>
      <c r="M836" t="n">
        <v>0</v>
      </c>
      <c r="N836" t="n">
        <v>0</v>
      </c>
      <c r="O836" t="n">
        <v>0</v>
      </c>
      <c r="P836" t="n">
        <v>0</v>
      </c>
      <c r="Q836" t="n">
        <v>0</v>
      </c>
      <c r="R836" t="n">
        <v>0</v>
      </c>
      <c r="S836" t="n">
        <v>0</v>
      </c>
      <c r="T836" t="n">
        <v>0</v>
      </c>
      <c r="U836" s="2" t="inlineStr"/>
    </row>
    <row r="837" ht="15" customHeight="1">
      <c r="A837" t="inlineStr">
        <is>
          <t>A 13544-2026</t>
        </is>
      </c>
      <c r="B837" t="inlineStr">
        <is>
          <t>avverkningsanmälan</t>
        </is>
      </c>
      <c r="C837" t="inlineStr">
        <is>
          <t>Föryngringsavverkning</t>
        </is>
      </c>
      <c r="D837" s="1" t="n">
        <v>46094</v>
      </c>
      <c r="E837" s="1" t="n">
        <v>46219</v>
      </c>
      <c r="F837" t="inlineStr">
        <is>
          <t>STOCKHOLMS LÄN</t>
        </is>
      </c>
      <c r="G837" t="inlineStr">
        <is>
          <t>NORRTÄLJE</t>
        </is>
      </c>
      <c r="H837" t="inlineStr">
        <is>
          <t>Holmen skog AB</t>
        </is>
      </c>
      <c r="I837" t="n">
        <v>3.2</v>
      </c>
      <c r="J837" t="n">
        <v>0</v>
      </c>
      <c r="K837" t="n">
        <v>0</v>
      </c>
      <c r="L837" t="n">
        <v>0</v>
      </c>
      <c r="M837" t="n">
        <v>0</v>
      </c>
      <c r="N837" t="n">
        <v>0</v>
      </c>
      <c r="O837" t="n">
        <v>0</v>
      </c>
      <c r="P837" t="n">
        <v>0</v>
      </c>
      <c r="Q837" t="n">
        <v>0</v>
      </c>
      <c r="R837" t="n">
        <v>0</v>
      </c>
      <c r="S837" t="n">
        <v>0</v>
      </c>
      <c r="T837" t="n">
        <v>0</v>
      </c>
      <c r="U837" s="2" t="inlineStr"/>
    </row>
    <row r="838" ht="15" customHeight="1">
      <c r="A838" t="inlineStr">
        <is>
          <t>A 13545-2026</t>
        </is>
      </c>
      <c r="B838" t="inlineStr">
        <is>
          <t>avverkningsanmälan</t>
        </is>
      </c>
      <c r="C838" t="inlineStr">
        <is>
          <t>Föryngringsavverkning</t>
        </is>
      </c>
      <c r="D838" s="1" t="n">
        <v>46094</v>
      </c>
      <c r="E838" s="1" t="n">
        <v>46219</v>
      </c>
      <c r="F838" t="inlineStr">
        <is>
          <t>STOCKHOLMS LÄN</t>
        </is>
      </c>
      <c r="G838" t="inlineStr">
        <is>
          <t>NORRTÄLJE</t>
        </is>
      </c>
      <c r="H838" t="inlineStr">
        <is>
          <t>Holmen skog AB</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13546-2026</t>
        </is>
      </c>
      <c r="B839" t="inlineStr">
        <is>
          <t>avverkningsanmälan</t>
        </is>
      </c>
      <c r="C839" t="inlineStr">
        <is>
          <t>Föryngringsavverkning</t>
        </is>
      </c>
      <c r="D839" s="1" t="n">
        <v>46094</v>
      </c>
      <c r="E839" s="1" t="n">
        <v>46219</v>
      </c>
      <c r="F839" t="inlineStr">
        <is>
          <t>STOCKHOLMS LÄN</t>
        </is>
      </c>
      <c r="G839" t="inlineStr">
        <is>
          <t>NORRTÄLJE</t>
        </is>
      </c>
      <c r="H839" t="inlineStr">
        <is>
          <t>Holmen skog AB</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37010-2022</t>
        </is>
      </c>
      <c r="B840" t="inlineStr">
        <is>
          <t>avverkningsanmälan</t>
        </is>
      </c>
      <c r="C840" t="inlineStr">
        <is>
          <t>Föryngringsavverkning</t>
        </is>
      </c>
      <c r="D840" s="1" t="n">
        <v>44806</v>
      </c>
      <c r="E840" s="1" t="n">
        <v>46219</v>
      </c>
      <c r="F840" t="inlineStr">
        <is>
          <t>STOCKHOLMS LÄN</t>
        </is>
      </c>
      <c r="G840" t="inlineStr">
        <is>
          <t>NORRTÄLJE</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14348-2026</t>
        </is>
      </c>
      <c r="B841" t="inlineStr">
        <is>
          <t>avverkningsanmälan</t>
        </is>
      </c>
      <c r="C841" t="inlineStr">
        <is>
          <t>Föryngringsavverkning</t>
        </is>
      </c>
      <c r="D841" s="1" t="n">
        <v>46100</v>
      </c>
      <c r="E841" s="1" t="n">
        <v>46219</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s="2" t="inlineStr"/>
    </row>
    <row r="842" ht="15" customHeight="1">
      <c r="A842" t="inlineStr">
        <is>
          <t>A 32705-2022</t>
        </is>
      </c>
      <c r="B842" t="inlineStr">
        <is>
          <t>avverkningsanmälan</t>
        </is>
      </c>
      <c r="C842" t="inlineStr">
        <is>
          <t>Föryngringsavverkning</t>
        </is>
      </c>
      <c r="D842" s="1" t="n">
        <v>44783</v>
      </c>
      <c r="E842" s="1" t="n">
        <v>46219</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25721-2025</t>
        </is>
      </c>
      <c r="B843" t="inlineStr">
        <is>
          <t>avverkningsanmälan</t>
        </is>
      </c>
      <c r="C843" t="inlineStr">
        <is>
          <t>Föryngringsavverkning</t>
        </is>
      </c>
      <c r="D843" s="1" t="n">
        <v>45800</v>
      </c>
      <c r="E843" s="1" t="n">
        <v>46219</v>
      </c>
      <c r="F843" t="inlineStr">
        <is>
          <t>STOCKHOLMS LÄN</t>
        </is>
      </c>
      <c r="G843" t="inlineStr">
        <is>
          <t>NORRTÄLJE</t>
        </is>
      </c>
      <c r="I843" t="n">
        <v>6</v>
      </c>
      <c r="J843" t="n">
        <v>0</v>
      </c>
      <c r="K843" t="n">
        <v>0</v>
      </c>
      <c r="L843" t="n">
        <v>0</v>
      </c>
      <c r="M843" t="n">
        <v>0</v>
      </c>
      <c r="N843" t="n">
        <v>0</v>
      </c>
      <c r="O843" t="n">
        <v>0</v>
      </c>
      <c r="P843" t="n">
        <v>0</v>
      </c>
      <c r="Q843" t="n">
        <v>0</v>
      </c>
      <c r="R843" t="n">
        <v>0</v>
      </c>
      <c r="S843" t="n">
        <v>0</v>
      </c>
      <c r="T843" t="n">
        <v>0</v>
      </c>
      <c r="U843" s="2" t="inlineStr"/>
    </row>
    <row r="844" ht="15" customHeight="1">
      <c r="A844" t="inlineStr">
        <is>
          <t>A 33149-2022</t>
        </is>
      </c>
      <c r="B844" t="inlineStr">
        <is>
          <t>avverkningsanmälan</t>
        </is>
      </c>
      <c r="C844" t="inlineStr">
        <is>
          <t>Föryngringsavverkning</t>
        </is>
      </c>
      <c r="D844" s="1" t="n">
        <v>44785</v>
      </c>
      <c r="E844" s="1" t="n">
        <v>46219</v>
      </c>
      <c r="F844" t="inlineStr">
        <is>
          <t>STOCKHOLMS LÄN</t>
        </is>
      </c>
      <c r="G844" t="inlineStr">
        <is>
          <t>NORRTÄLJE</t>
        </is>
      </c>
      <c r="H844" t="inlineStr">
        <is>
          <t>Holmen skog AB</t>
        </is>
      </c>
      <c r="I844" t="n">
        <v>4.4</v>
      </c>
      <c r="J844" t="n">
        <v>0</v>
      </c>
      <c r="K844" t="n">
        <v>0</v>
      </c>
      <c r="L844" t="n">
        <v>0</v>
      </c>
      <c r="M844" t="n">
        <v>0</v>
      </c>
      <c r="N844" t="n">
        <v>0</v>
      </c>
      <c r="O844" t="n">
        <v>0</v>
      </c>
      <c r="P844" t="n">
        <v>0</v>
      </c>
      <c r="Q844" t="n">
        <v>0</v>
      </c>
      <c r="R844" t="n">
        <v>0</v>
      </c>
      <c r="S844" t="n">
        <v>0</v>
      </c>
      <c r="T844" t="n">
        <v>0</v>
      </c>
      <c r="U844" s="2" t="inlineStr"/>
    </row>
    <row r="845" ht="15" customHeight="1">
      <c r="A845" t="inlineStr">
        <is>
          <t>A 14559-2024</t>
        </is>
      </c>
      <c r="B845" t="inlineStr">
        <is>
          <t>avverkningsanmälan</t>
        </is>
      </c>
      <c r="C845" t="inlineStr">
        <is>
          <t>Föryngringsavverkning</t>
        </is>
      </c>
      <c r="D845" s="1" t="n">
        <v>45394</v>
      </c>
      <c r="E845" s="1" t="n">
        <v>46219</v>
      </c>
      <c r="F845" t="inlineStr">
        <is>
          <t>STOCKHOLMS LÄN</t>
        </is>
      </c>
      <c r="G845" t="inlineStr">
        <is>
          <t>NORRTÄLJE</t>
        </is>
      </c>
      <c r="I845" t="n">
        <v>4.2</v>
      </c>
      <c r="J845" t="n">
        <v>0</v>
      </c>
      <c r="K845" t="n">
        <v>0</v>
      </c>
      <c r="L845" t="n">
        <v>0</v>
      </c>
      <c r="M845" t="n">
        <v>0</v>
      </c>
      <c r="N845" t="n">
        <v>0</v>
      </c>
      <c r="O845" t="n">
        <v>0</v>
      </c>
      <c r="P845" t="n">
        <v>0</v>
      </c>
      <c r="Q845" t="n">
        <v>0</v>
      </c>
      <c r="R845" t="n">
        <v>0</v>
      </c>
      <c r="S845" t="n">
        <v>0</v>
      </c>
      <c r="T845" t="n">
        <v>0</v>
      </c>
      <c r="U845" s="2" t="inlineStr"/>
    </row>
    <row r="846" ht="15" customHeight="1">
      <c r="A846" t="inlineStr">
        <is>
          <t>A 14475-2026</t>
        </is>
      </c>
      <c r="B846" t="inlineStr">
        <is>
          <t>avverkningsanmälan</t>
        </is>
      </c>
      <c r="C846" t="inlineStr">
        <is>
          <t>Föryngringsavverkning</t>
        </is>
      </c>
      <c r="D846" s="1" t="n">
        <v>46100</v>
      </c>
      <c r="E846" s="1" t="n">
        <v>46219</v>
      </c>
      <c r="F846" t="inlineStr">
        <is>
          <t>STOCKHOLMS LÄN</t>
        </is>
      </c>
      <c r="G846" t="inlineStr">
        <is>
          <t>NORRTÄLJE</t>
        </is>
      </c>
      <c r="I846" t="n">
        <v>12.3</v>
      </c>
      <c r="J846" t="n">
        <v>0</v>
      </c>
      <c r="K846" t="n">
        <v>0</v>
      </c>
      <c r="L846" t="n">
        <v>0</v>
      </c>
      <c r="M846" t="n">
        <v>0</v>
      </c>
      <c r="N846" t="n">
        <v>0</v>
      </c>
      <c r="O846" t="n">
        <v>0</v>
      </c>
      <c r="P846" t="n">
        <v>0</v>
      </c>
      <c r="Q846" t="n">
        <v>0</v>
      </c>
      <c r="R846" t="n">
        <v>0</v>
      </c>
      <c r="S846" t="n">
        <v>0</v>
      </c>
      <c r="T846" t="n">
        <v>0</v>
      </c>
      <c r="U846" s="2" t="inlineStr"/>
    </row>
    <row r="847" ht="15" customHeight="1">
      <c r="A847" t="inlineStr">
        <is>
          <t>A 15256-2023</t>
        </is>
      </c>
      <c r="B847" t="inlineStr">
        <is>
          <t>avverkningsanmälan</t>
        </is>
      </c>
      <c r="C847" t="inlineStr">
        <is>
          <t>Föryngringsavverkning</t>
        </is>
      </c>
      <c r="D847" s="1" t="n">
        <v>45019</v>
      </c>
      <c r="E847" s="1" t="n">
        <v>46219</v>
      </c>
      <c r="F847" t="inlineStr">
        <is>
          <t>STOCKHOLMS LÄN</t>
        </is>
      </c>
      <c r="G847" t="inlineStr">
        <is>
          <t>NORRTÄLJE</t>
        </is>
      </c>
      <c r="I847" t="n">
        <v>2.4</v>
      </c>
      <c r="J847" t="n">
        <v>0</v>
      </c>
      <c r="K847" t="n">
        <v>0</v>
      </c>
      <c r="L847" t="n">
        <v>0</v>
      </c>
      <c r="M847" t="n">
        <v>0</v>
      </c>
      <c r="N847" t="n">
        <v>0</v>
      </c>
      <c r="O847" t="n">
        <v>0</v>
      </c>
      <c r="P847" t="n">
        <v>0</v>
      </c>
      <c r="Q847" t="n">
        <v>0</v>
      </c>
      <c r="R847" t="n">
        <v>0</v>
      </c>
      <c r="S847" t="n">
        <v>0</v>
      </c>
      <c r="T847" t="n">
        <v>0</v>
      </c>
      <c r="U847" s="2" t="inlineStr"/>
    </row>
    <row r="848" ht="15" customHeight="1">
      <c r="A848" t="inlineStr">
        <is>
          <t>A 58041-2024</t>
        </is>
      </c>
      <c r="B848" t="inlineStr">
        <is>
          <t>avverkningsanmälan</t>
        </is>
      </c>
      <c r="C848" t="inlineStr">
        <is>
          <t>Föryngringsavverkning</t>
        </is>
      </c>
      <c r="D848" s="1" t="n">
        <v>45631</v>
      </c>
      <c r="E848" s="1" t="n">
        <v>46219</v>
      </c>
      <c r="F848" t="inlineStr">
        <is>
          <t>STOCKHOLMS LÄN</t>
        </is>
      </c>
      <c r="G848" t="inlineStr">
        <is>
          <t>NORRTÄLJE</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31057-2022</t>
        </is>
      </c>
      <c r="B849" t="inlineStr">
        <is>
          <t>avverkningsanmälan</t>
        </is>
      </c>
      <c r="C849" t="inlineStr">
        <is>
          <t>Föryngringsavverkning</t>
        </is>
      </c>
      <c r="D849" s="1" t="n">
        <v>44769</v>
      </c>
      <c r="E849" s="1" t="n">
        <v>46219</v>
      </c>
      <c r="F849" t="inlineStr">
        <is>
          <t>STOCKHOLMS LÄN</t>
        </is>
      </c>
      <c r="G849" t="inlineStr">
        <is>
          <t>NORRTÄLJE</t>
        </is>
      </c>
      <c r="I849" t="n">
        <v>6.5</v>
      </c>
      <c r="J849" t="n">
        <v>0</v>
      </c>
      <c r="K849" t="n">
        <v>0</v>
      </c>
      <c r="L849" t="n">
        <v>0</v>
      </c>
      <c r="M849" t="n">
        <v>0</v>
      </c>
      <c r="N849" t="n">
        <v>0</v>
      </c>
      <c r="O849" t="n">
        <v>0</v>
      </c>
      <c r="P849" t="n">
        <v>0</v>
      </c>
      <c r="Q849" t="n">
        <v>0</v>
      </c>
      <c r="R849" t="n">
        <v>0</v>
      </c>
      <c r="S849" t="n">
        <v>0</v>
      </c>
      <c r="T849" t="n">
        <v>0</v>
      </c>
      <c r="U849" s="2" t="inlineStr"/>
    </row>
    <row r="850" ht="15" customHeight="1">
      <c r="A850" t="inlineStr">
        <is>
          <t>A 25571-2025</t>
        </is>
      </c>
      <c r="B850" t="inlineStr">
        <is>
          <t>avverkningsanmälan</t>
        </is>
      </c>
      <c r="C850" t="inlineStr">
        <is>
          <t>Föryngringsavverkning</t>
        </is>
      </c>
      <c r="D850" s="1" t="n">
        <v>45803</v>
      </c>
      <c r="E850" s="1" t="n">
        <v>46219</v>
      </c>
      <c r="F850" t="inlineStr">
        <is>
          <t>STOCKHOLMS LÄN</t>
        </is>
      </c>
      <c r="G850" t="inlineStr">
        <is>
          <t>NORRTÄLJE</t>
        </is>
      </c>
      <c r="I850" t="n">
        <v>5.4</v>
      </c>
      <c r="J850" t="n">
        <v>0</v>
      </c>
      <c r="K850" t="n">
        <v>0</v>
      </c>
      <c r="L850" t="n">
        <v>0</v>
      </c>
      <c r="M850" t="n">
        <v>0</v>
      </c>
      <c r="N850" t="n">
        <v>0</v>
      </c>
      <c r="O850" t="n">
        <v>0</v>
      </c>
      <c r="P850" t="n">
        <v>0</v>
      </c>
      <c r="Q850" t="n">
        <v>0</v>
      </c>
      <c r="R850" t="n">
        <v>0</v>
      </c>
      <c r="S850" t="n">
        <v>0</v>
      </c>
      <c r="T850" t="n">
        <v>0</v>
      </c>
      <c r="U850" s="2" t="inlineStr"/>
    </row>
    <row r="851" ht="15" customHeight="1">
      <c r="A851" t="inlineStr">
        <is>
          <t>A 53561-2023</t>
        </is>
      </c>
      <c r="B851" t="inlineStr">
        <is>
          <t>avverkningsanmälan</t>
        </is>
      </c>
      <c r="C851" t="inlineStr">
        <is>
          <t>Föryngringsavverkning</t>
        </is>
      </c>
      <c r="D851" s="1" t="n">
        <v>45224</v>
      </c>
      <c r="E851" s="1" t="n">
        <v>46219</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39238-2024</t>
        </is>
      </c>
      <c r="B852" t="inlineStr">
        <is>
          <t>avverkningsanmälan</t>
        </is>
      </c>
      <c r="C852" t="inlineStr">
        <is>
          <t>Föryngringsavverkning</t>
        </is>
      </c>
      <c r="D852" s="1" t="n">
        <v>45549</v>
      </c>
      <c r="E852" s="1" t="n">
        <v>46219</v>
      </c>
      <c r="F852" t="inlineStr">
        <is>
          <t>STOCKHOLMS LÄN</t>
        </is>
      </c>
      <c r="G852" t="inlineStr">
        <is>
          <t>NORRTÄLJE</t>
        </is>
      </c>
      <c r="I852" t="n">
        <v>3.6</v>
      </c>
      <c r="J852" t="n">
        <v>0</v>
      </c>
      <c r="K852" t="n">
        <v>0</v>
      </c>
      <c r="L852" t="n">
        <v>0</v>
      </c>
      <c r="M852" t="n">
        <v>0</v>
      </c>
      <c r="N852" t="n">
        <v>0</v>
      </c>
      <c r="O852" t="n">
        <v>0</v>
      </c>
      <c r="P852" t="n">
        <v>0</v>
      </c>
      <c r="Q852" t="n">
        <v>0</v>
      </c>
      <c r="R852" t="n">
        <v>0</v>
      </c>
      <c r="S852" t="n">
        <v>0</v>
      </c>
      <c r="T852" t="n">
        <v>0</v>
      </c>
      <c r="U852" s="2" t="inlineStr"/>
    </row>
    <row r="853" ht="15" customHeight="1">
      <c r="A853" t="inlineStr">
        <is>
          <t>A 38449-2022</t>
        </is>
      </c>
      <c r="B853" t="inlineStr">
        <is>
          <t>avverkningsanmälan</t>
        </is>
      </c>
      <c r="C853" t="inlineStr">
        <is>
          <t>Föryngringsavverkning</t>
        </is>
      </c>
      <c r="D853" s="1" t="n">
        <v>44813</v>
      </c>
      <c r="E853" s="1" t="n">
        <v>46219</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s="2" t="inlineStr"/>
    </row>
    <row r="854" ht="15" customHeight="1">
      <c r="A854" t="inlineStr">
        <is>
          <t>A 25619-2022</t>
        </is>
      </c>
      <c r="B854" t="inlineStr">
        <is>
          <t>avverkningsanmälan</t>
        </is>
      </c>
      <c r="C854" t="inlineStr">
        <is>
          <t>Föryngringsavverkning</t>
        </is>
      </c>
      <c r="D854" s="1" t="n">
        <v>44732</v>
      </c>
      <c r="E854" s="1" t="n">
        <v>46219</v>
      </c>
      <c r="F854" t="inlineStr">
        <is>
          <t>STOCKHOLMS LÄN</t>
        </is>
      </c>
      <c r="G854" t="inlineStr">
        <is>
          <t>NORRTÄLJE</t>
        </is>
      </c>
      <c r="I854" t="n">
        <v>3.9</v>
      </c>
      <c r="J854" t="n">
        <v>0</v>
      </c>
      <c r="K854" t="n">
        <v>0</v>
      </c>
      <c r="L854" t="n">
        <v>0</v>
      </c>
      <c r="M854" t="n">
        <v>0</v>
      </c>
      <c r="N854" t="n">
        <v>0</v>
      </c>
      <c r="O854" t="n">
        <v>0</v>
      </c>
      <c r="P854" t="n">
        <v>0</v>
      </c>
      <c r="Q854" t="n">
        <v>0</v>
      </c>
      <c r="R854" t="n">
        <v>0</v>
      </c>
      <c r="S854" t="n">
        <v>0</v>
      </c>
      <c r="T854" t="n">
        <v>0</v>
      </c>
      <c r="U854" s="2" t="inlineStr"/>
    </row>
    <row r="855" ht="15" customHeight="1">
      <c r="A855" t="inlineStr">
        <is>
          <t>A 15422-2024</t>
        </is>
      </c>
      <c r="B855" t="inlineStr">
        <is>
          <t>avverkningsanmälan</t>
        </is>
      </c>
      <c r="C855" t="inlineStr">
        <is>
          <t>Föryngringsavverkning</t>
        </is>
      </c>
      <c r="D855" s="1" t="n">
        <v>45401</v>
      </c>
      <c r="E855" s="1" t="n">
        <v>46219</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48716-2023</t>
        </is>
      </c>
      <c r="B856" t="inlineStr">
        <is>
          <t>avverkningsanmälan</t>
        </is>
      </c>
      <c r="C856" t="inlineStr">
        <is>
          <t>Föryngringsavverkning</t>
        </is>
      </c>
      <c r="D856" s="1" t="n">
        <v>45208</v>
      </c>
      <c r="E856" s="1" t="n">
        <v>46219</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47259-2024</t>
        </is>
      </c>
      <c r="B857" t="inlineStr">
        <is>
          <t>avverkningsanmälan</t>
        </is>
      </c>
      <c r="C857" t="inlineStr">
        <is>
          <t>Föryngringsavverkning</t>
        </is>
      </c>
      <c r="D857" s="1" t="n">
        <v>45586</v>
      </c>
      <c r="E857" s="1" t="n">
        <v>46219</v>
      </c>
      <c r="F857" t="inlineStr">
        <is>
          <t>STOCKHOLMS LÄN</t>
        </is>
      </c>
      <c r="G857" t="inlineStr">
        <is>
          <t>NORRTÄLJE</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55369-2023</t>
        </is>
      </c>
      <c r="B858" t="inlineStr">
        <is>
          <t>avverkningsanmälan</t>
        </is>
      </c>
      <c r="C858" t="inlineStr">
        <is>
          <t>Föryngringsavverkning</t>
        </is>
      </c>
      <c r="D858" s="1" t="n">
        <v>45238</v>
      </c>
      <c r="E858" s="1" t="n">
        <v>46219</v>
      </c>
      <c r="F858" t="inlineStr">
        <is>
          <t>STOCKHOLMS LÄN</t>
        </is>
      </c>
      <c r="G858" t="inlineStr">
        <is>
          <t>NORRTÄLJE</t>
        </is>
      </c>
      <c r="I858" t="n">
        <v>0.4</v>
      </c>
      <c r="J858" t="n">
        <v>0</v>
      </c>
      <c r="K858" t="n">
        <v>0</v>
      </c>
      <c r="L858" t="n">
        <v>0</v>
      </c>
      <c r="M858" t="n">
        <v>0</v>
      </c>
      <c r="N858" t="n">
        <v>0</v>
      </c>
      <c r="O858" t="n">
        <v>0</v>
      </c>
      <c r="P858" t="n">
        <v>0</v>
      </c>
      <c r="Q858" t="n">
        <v>0</v>
      </c>
      <c r="R858" t="n">
        <v>0</v>
      </c>
      <c r="S858" t="n">
        <v>0</v>
      </c>
      <c r="T858" t="n">
        <v>0</v>
      </c>
      <c r="U858" s="2" t="inlineStr"/>
    </row>
    <row r="859" ht="15" customHeight="1">
      <c r="A859" t="inlineStr">
        <is>
          <t>A 20121-2022</t>
        </is>
      </c>
      <c r="B859" t="inlineStr">
        <is>
          <t>avverkningsanmälan</t>
        </is>
      </c>
      <c r="C859" t="inlineStr">
        <is>
          <t>Föryngringsavverkning</t>
        </is>
      </c>
      <c r="D859" s="1" t="n">
        <v>44698</v>
      </c>
      <c r="E859" s="1" t="n">
        <v>46219</v>
      </c>
      <c r="F859" t="inlineStr">
        <is>
          <t>STOCKHOLMS LÄN</t>
        </is>
      </c>
      <c r="G859" t="inlineStr">
        <is>
          <t>NORRTÄLJE</t>
        </is>
      </c>
      <c r="I859" t="n">
        <v>4.2</v>
      </c>
      <c r="J859" t="n">
        <v>0</v>
      </c>
      <c r="K859" t="n">
        <v>0</v>
      </c>
      <c r="L859" t="n">
        <v>0</v>
      </c>
      <c r="M859" t="n">
        <v>0</v>
      </c>
      <c r="N859" t="n">
        <v>0</v>
      </c>
      <c r="O859" t="n">
        <v>0</v>
      </c>
      <c r="P859" t="n">
        <v>0</v>
      </c>
      <c r="Q859" t="n">
        <v>0</v>
      </c>
      <c r="R859" t="n">
        <v>0</v>
      </c>
      <c r="S859" t="n">
        <v>0</v>
      </c>
      <c r="T859" t="n">
        <v>0</v>
      </c>
      <c r="U859" s="2" t="inlineStr"/>
    </row>
    <row r="860" ht="15" customHeight="1">
      <c r="A860" t="inlineStr">
        <is>
          <t>A 26407-2024</t>
        </is>
      </c>
      <c r="B860" t="inlineStr">
        <is>
          <t>avverkningsanmälan</t>
        </is>
      </c>
      <c r="C860" t="inlineStr">
        <is>
          <t>Föryngringsavverkning</t>
        </is>
      </c>
      <c r="D860" s="1" t="n">
        <v>45469</v>
      </c>
      <c r="E860" s="1" t="n">
        <v>46219</v>
      </c>
      <c r="F860" t="inlineStr">
        <is>
          <t>STOCKHOLMS LÄN</t>
        </is>
      </c>
      <c r="G860" t="inlineStr">
        <is>
          <t>NORRTÄLJE</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10098-2022</t>
        </is>
      </c>
      <c r="B861" t="inlineStr">
        <is>
          <t>avverkningsanmälan</t>
        </is>
      </c>
      <c r="C861" t="inlineStr">
        <is>
          <t>Föryngringsavverkning</t>
        </is>
      </c>
      <c r="D861" s="1" t="n">
        <v>44621</v>
      </c>
      <c r="E861" s="1" t="n">
        <v>46219</v>
      </c>
      <c r="F861" t="inlineStr">
        <is>
          <t>STOCKHOLMS LÄN</t>
        </is>
      </c>
      <c r="G861" t="inlineStr">
        <is>
          <t>NORRTÄLJE</t>
        </is>
      </c>
      <c r="I861" t="n">
        <v>2.2</v>
      </c>
      <c r="J861" t="n">
        <v>0</v>
      </c>
      <c r="K861" t="n">
        <v>0</v>
      </c>
      <c r="L861" t="n">
        <v>0</v>
      </c>
      <c r="M861" t="n">
        <v>0</v>
      </c>
      <c r="N861" t="n">
        <v>0</v>
      </c>
      <c r="O861" t="n">
        <v>0</v>
      </c>
      <c r="P861" t="n">
        <v>0</v>
      </c>
      <c r="Q861" t="n">
        <v>0</v>
      </c>
      <c r="R861" t="n">
        <v>0</v>
      </c>
      <c r="S861" t="n">
        <v>0</v>
      </c>
      <c r="T861" t="n">
        <v>0</v>
      </c>
      <c r="U861" s="2" t="inlineStr"/>
    </row>
    <row r="862" ht="15" customHeight="1">
      <c r="A862" t="inlineStr">
        <is>
          <t>A 49700-2023</t>
        </is>
      </c>
      <c r="B862" t="inlineStr">
        <is>
          <t>avverkningsanmälan</t>
        </is>
      </c>
      <c r="C862" t="inlineStr">
        <is>
          <t>Föryngringsavverkning</t>
        </is>
      </c>
      <c r="D862" s="1" t="n">
        <v>45212</v>
      </c>
      <c r="E862" s="1" t="n">
        <v>46219</v>
      </c>
      <c r="F862" t="inlineStr">
        <is>
          <t>STOCKHOLMS LÄN</t>
        </is>
      </c>
      <c r="G862" t="inlineStr">
        <is>
          <t>NORRTÄLJE</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17025-2026</t>
        </is>
      </c>
      <c r="B863" t="inlineStr">
        <is>
          <t>avverkningsanmälan</t>
        </is>
      </c>
      <c r="C863" t="inlineStr">
        <is>
          <t>Föryngringsavverkning</t>
        </is>
      </c>
      <c r="D863" s="1" t="n">
        <v>46113</v>
      </c>
      <c r="E863" s="1" t="n">
        <v>46219</v>
      </c>
      <c r="F863" t="inlineStr">
        <is>
          <t>STOCKHOLMS LÄN</t>
        </is>
      </c>
      <c r="G863" t="inlineStr">
        <is>
          <t>NORRTÄLJE</t>
        </is>
      </c>
      <c r="I863" t="n">
        <v>5.4</v>
      </c>
      <c r="J863" t="n">
        <v>0</v>
      </c>
      <c r="K863" t="n">
        <v>0</v>
      </c>
      <c r="L863" t="n">
        <v>0</v>
      </c>
      <c r="M863" t="n">
        <v>0</v>
      </c>
      <c r="N863" t="n">
        <v>0</v>
      </c>
      <c r="O863" t="n">
        <v>0</v>
      </c>
      <c r="P863" t="n">
        <v>0</v>
      </c>
      <c r="Q863" t="n">
        <v>0</v>
      </c>
      <c r="R863" t="n">
        <v>0</v>
      </c>
      <c r="S863" t="n">
        <v>0</v>
      </c>
      <c r="T863" t="n">
        <v>0</v>
      </c>
      <c r="U863" s="2" t="inlineStr"/>
    </row>
    <row r="864" ht="15" customHeight="1">
      <c r="A864" t="inlineStr">
        <is>
          <t>A 59875-2024</t>
        </is>
      </c>
      <c r="B864" t="inlineStr">
        <is>
          <t>avverkningsanmälan</t>
        </is>
      </c>
      <c r="C864" t="inlineStr">
        <is>
          <t>Föryngringsavverkning</t>
        </is>
      </c>
      <c r="D864" s="1" t="n">
        <v>45640</v>
      </c>
      <c r="E864" s="1" t="n">
        <v>46219</v>
      </c>
      <c r="F864" t="inlineStr">
        <is>
          <t>STOCKHOLMS LÄN</t>
        </is>
      </c>
      <c r="G864" t="inlineStr">
        <is>
          <t>NORRTÄLJE</t>
        </is>
      </c>
      <c r="I864" t="n">
        <v>0.3</v>
      </c>
      <c r="J864" t="n">
        <v>0</v>
      </c>
      <c r="K864" t="n">
        <v>0</v>
      </c>
      <c r="L864" t="n">
        <v>0</v>
      </c>
      <c r="M864" t="n">
        <v>0</v>
      </c>
      <c r="N864" t="n">
        <v>0</v>
      </c>
      <c r="O864" t="n">
        <v>0</v>
      </c>
      <c r="P864" t="n">
        <v>0</v>
      </c>
      <c r="Q864" t="n">
        <v>0</v>
      </c>
      <c r="R864" t="n">
        <v>0</v>
      </c>
      <c r="S864" t="n">
        <v>0</v>
      </c>
      <c r="T864" t="n">
        <v>0</v>
      </c>
      <c r="U864" s="2" t="inlineStr"/>
    </row>
    <row r="865" ht="15" customHeight="1">
      <c r="A865" t="inlineStr">
        <is>
          <t>A 4658-2024</t>
        </is>
      </c>
      <c r="B865" t="inlineStr">
        <is>
          <t>avverkningsanmälan</t>
        </is>
      </c>
      <c r="C865" t="inlineStr">
        <is>
          <t>Föryngringsavverkning</t>
        </is>
      </c>
      <c r="D865" s="1" t="n">
        <v>45328</v>
      </c>
      <c r="E865" s="1" t="n">
        <v>46219</v>
      </c>
      <c r="F865" t="inlineStr">
        <is>
          <t>STOCKHOLMS LÄN</t>
        </is>
      </c>
      <c r="G865" t="inlineStr">
        <is>
          <t>NORRTÄLJE</t>
        </is>
      </c>
      <c r="I865" t="n">
        <v>2.8</v>
      </c>
      <c r="J865" t="n">
        <v>0</v>
      </c>
      <c r="K865" t="n">
        <v>0</v>
      </c>
      <c r="L865" t="n">
        <v>0</v>
      </c>
      <c r="M865" t="n">
        <v>0</v>
      </c>
      <c r="N865" t="n">
        <v>0</v>
      </c>
      <c r="O865" t="n">
        <v>0</v>
      </c>
      <c r="P865" t="n">
        <v>0</v>
      </c>
      <c r="Q865" t="n">
        <v>0</v>
      </c>
      <c r="R865" t="n">
        <v>0</v>
      </c>
      <c r="S865" t="n">
        <v>0</v>
      </c>
      <c r="T865" t="n">
        <v>0</v>
      </c>
      <c r="U865" s="2" t="inlineStr"/>
    </row>
    <row r="866" ht="15" customHeight="1">
      <c r="A866" t="inlineStr">
        <is>
          <t>A 17345-2026</t>
        </is>
      </c>
      <c r="B866" t="inlineStr">
        <is>
          <t>avverkningsanmälan</t>
        </is>
      </c>
      <c r="C866" t="inlineStr">
        <is>
          <t>Föryngringsavverkning</t>
        </is>
      </c>
      <c r="D866" s="1" t="n">
        <v>46119</v>
      </c>
      <c r="E866" s="1" t="n">
        <v>46219</v>
      </c>
      <c r="F866" t="inlineStr">
        <is>
          <t>STOCKHOLMS LÄN</t>
        </is>
      </c>
      <c r="G866" t="inlineStr">
        <is>
          <t>NORRTÄLJE</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10642-2025</t>
        </is>
      </c>
      <c r="B867" t="inlineStr">
        <is>
          <t>avverkningsanmälan</t>
        </is>
      </c>
      <c r="C867" t="inlineStr">
        <is>
          <t>Föryngringsavverkning</t>
        </is>
      </c>
      <c r="D867" s="1" t="n">
        <v>45721</v>
      </c>
      <c r="E867" s="1" t="n">
        <v>46219</v>
      </c>
      <c r="F867" t="inlineStr">
        <is>
          <t>STOCKHOLMS LÄN</t>
        </is>
      </c>
      <c r="G867" t="inlineStr">
        <is>
          <t>NORRTÄLJE</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17207-2026</t>
        </is>
      </c>
      <c r="B868" t="inlineStr">
        <is>
          <t>avverkningsanmälan</t>
        </is>
      </c>
      <c r="C868" t="inlineStr">
        <is>
          <t>Föryngringsavverkning</t>
        </is>
      </c>
      <c r="D868" s="1" t="n">
        <v>46119</v>
      </c>
      <c r="E868" s="1" t="n">
        <v>46219</v>
      </c>
      <c r="F868" t="inlineStr">
        <is>
          <t>STOCKHOLMS LÄN</t>
        </is>
      </c>
      <c r="G868" t="inlineStr">
        <is>
          <t>NORRTÄLJE</t>
        </is>
      </c>
      <c r="H868" t="inlineStr">
        <is>
          <t>Holmen skog AB</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24024-2024</t>
        </is>
      </c>
      <c r="B869" t="inlineStr">
        <is>
          <t>avverkningsanmälan</t>
        </is>
      </c>
      <c r="C869" t="inlineStr">
        <is>
          <t>Föryngringsavverkning</t>
        </is>
      </c>
      <c r="D869" s="1" t="n">
        <v>45456</v>
      </c>
      <c r="E869" s="1" t="n">
        <v>46219</v>
      </c>
      <c r="F869" t="inlineStr">
        <is>
          <t>STOCKHOLMS LÄN</t>
        </is>
      </c>
      <c r="G869" t="inlineStr">
        <is>
          <t>NORRTÄLJE</t>
        </is>
      </c>
      <c r="I869" t="n">
        <v>1.9</v>
      </c>
      <c r="J869" t="n">
        <v>0</v>
      </c>
      <c r="K869" t="n">
        <v>0</v>
      </c>
      <c r="L869" t="n">
        <v>0</v>
      </c>
      <c r="M869" t="n">
        <v>0</v>
      </c>
      <c r="N869" t="n">
        <v>0</v>
      </c>
      <c r="O869" t="n">
        <v>0</v>
      </c>
      <c r="P869" t="n">
        <v>0</v>
      </c>
      <c r="Q869" t="n">
        <v>0</v>
      </c>
      <c r="R869" t="n">
        <v>0</v>
      </c>
      <c r="S869" t="n">
        <v>0</v>
      </c>
      <c r="T869" t="n">
        <v>0</v>
      </c>
      <c r="U869" s="2" t="inlineStr"/>
    </row>
    <row r="870" ht="15" customHeight="1">
      <c r="A870" t="inlineStr">
        <is>
          <t>A 23061-2025</t>
        </is>
      </c>
      <c r="B870" t="inlineStr">
        <is>
          <t>avverkningsanmälan</t>
        </is>
      </c>
      <c r="C870" t="inlineStr">
        <is>
          <t>Föryngringsavverkning</t>
        </is>
      </c>
      <c r="D870" s="1" t="n">
        <v>45790</v>
      </c>
      <c r="E870" s="1" t="n">
        <v>46219</v>
      </c>
      <c r="F870" t="inlineStr">
        <is>
          <t>STOCKHOLMS LÄN</t>
        </is>
      </c>
      <c r="G870" t="inlineStr">
        <is>
          <t>NORRTÄLJE</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17215-2026</t>
        </is>
      </c>
      <c r="B871" t="inlineStr">
        <is>
          <t>avverkningsanmälan</t>
        </is>
      </c>
      <c r="C871" t="inlineStr">
        <is>
          <t>Föryngringsavverkning</t>
        </is>
      </c>
      <c r="D871" s="1" t="n">
        <v>46119</v>
      </c>
      <c r="E871" s="1" t="n">
        <v>46219</v>
      </c>
      <c r="F871" t="inlineStr">
        <is>
          <t>STOCKHOLMS LÄN</t>
        </is>
      </c>
      <c r="G871" t="inlineStr">
        <is>
          <t>NORRTÄLJE</t>
        </is>
      </c>
      <c r="H871" t="inlineStr">
        <is>
          <t>Holmen skog AB</t>
        </is>
      </c>
      <c r="I871" t="n">
        <v>3.8</v>
      </c>
      <c r="J871" t="n">
        <v>0</v>
      </c>
      <c r="K871" t="n">
        <v>0</v>
      </c>
      <c r="L871" t="n">
        <v>0</v>
      </c>
      <c r="M871" t="n">
        <v>0</v>
      </c>
      <c r="N871" t="n">
        <v>0</v>
      </c>
      <c r="O871" t="n">
        <v>0</v>
      </c>
      <c r="P871" t="n">
        <v>0</v>
      </c>
      <c r="Q871" t="n">
        <v>0</v>
      </c>
      <c r="R871" t="n">
        <v>0</v>
      </c>
      <c r="S871" t="n">
        <v>0</v>
      </c>
      <c r="T871" t="n">
        <v>0</v>
      </c>
      <c r="U871" s="2" t="inlineStr"/>
    </row>
    <row r="872" ht="15" customHeight="1">
      <c r="A872" t="inlineStr">
        <is>
          <t>A 17347-2026</t>
        </is>
      </c>
      <c r="B872" t="inlineStr">
        <is>
          <t>avverkningsanmälan</t>
        </is>
      </c>
      <c r="C872" t="inlineStr">
        <is>
          <t>Föryngringsavverkning</t>
        </is>
      </c>
      <c r="D872" s="1" t="n">
        <v>46119</v>
      </c>
      <c r="E872" s="1" t="n">
        <v>46219</v>
      </c>
      <c r="F872" t="inlineStr">
        <is>
          <t>STOCKHOLMS LÄN</t>
        </is>
      </c>
      <c r="G872" t="inlineStr">
        <is>
          <t>NORRTÄLJE</t>
        </is>
      </c>
      <c r="I872" t="n">
        <v>0.7</v>
      </c>
      <c r="J872" t="n">
        <v>0</v>
      </c>
      <c r="K872" t="n">
        <v>0</v>
      </c>
      <c r="L872" t="n">
        <v>0</v>
      </c>
      <c r="M872" t="n">
        <v>0</v>
      </c>
      <c r="N872" t="n">
        <v>0</v>
      </c>
      <c r="O872" t="n">
        <v>0</v>
      </c>
      <c r="P872" t="n">
        <v>0</v>
      </c>
      <c r="Q872" t="n">
        <v>0</v>
      </c>
      <c r="R872" t="n">
        <v>0</v>
      </c>
      <c r="S872" t="n">
        <v>0</v>
      </c>
      <c r="T872" t="n">
        <v>0</v>
      </c>
      <c r="U872" s="2" t="inlineStr"/>
    </row>
    <row r="873" ht="15" customHeight="1">
      <c r="A873" t="inlineStr">
        <is>
          <t>A 26747-2025</t>
        </is>
      </c>
      <c r="B873" t="inlineStr">
        <is>
          <t>avverkningsanmälan</t>
        </is>
      </c>
      <c r="C873" t="inlineStr">
        <is>
          <t>Föryngringsavverkning</t>
        </is>
      </c>
      <c r="D873" s="1" t="n">
        <v>45810</v>
      </c>
      <c r="E873" s="1" t="n">
        <v>46219</v>
      </c>
      <c r="F873" t="inlineStr">
        <is>
          <t>STOCKHOLMS LÄN</t>
        </is>
      </c>
      <c r="G873" t="inlineStr">
        <is>
          <t>NORRTÄLJE</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26702-2025</t>
        </is>
      </c>
      <c r="B874" t="inlineStr">
        <is>
          <t>avverkningsanmälan</t>
        </is>
      </c>
      <c r="C874" t="inlineStr">
        <is>
          <t>Föryngringsavverkning</t>
        </is>
      </c>
      <c r="D874" s="1" t="n">
        <v>45810</v>
      </c>
      <c r="E874" s="1" t="n">
        <v>46219</v>
      </c>
      <c r="F874" t="inlineStr">
        <is>
          <t>STOCKHOLMS LÄN</t>
        </is>
      </c>
      <c r="G874" t="inlineStr">
        <is>
          <t>NORRTÄLJE</t>
        </is>
      </c>
      <c r="I874" t="n">
        <v>7.3</v>
      </c>
      <c r="J874" t="n">
        <v>0</v>
      </c>
      <c r="K874" t="n">
        <v>0</v>
      </c>
      <c r="L874" t="n">
        <v>0</v>
      </c>
      <c r="M874" t="n">
        <v>0</v>
      </c>
      <c r="N874" t="n">
        <v>0</v>
      </c>
      <c r="O874" t="n">
        <v>0</v>
      </c>
      <c r="P874" t="n">
        <v>0</v>
      </c>
      <c r="Q874" t="n">
        <v>0</v>
      </c>
      <c r="R874" t="n">
        <v>0</v>
      </c>
      <c r="S874" t="n">
        <v>0</v>
      </c>
      <c r="T874" t="n">
        <v>0</v>
      </c>
      <c r="U874" s="2" t="inlineStr"/>
    </row>
    <row r="875" ht="15" customHeight="1">
      <c r="A875" t="inlineStr">
        <is>
          <t>A 35532-2024</t>
        </is>
      </c>
      <c r="B875" t="inlineStr">
        <is>
          <t>avverkningsanmälan</t>
        </is>
      </c>
      <c r="C875" t="inlineStr">
        <is>
          <t>Föryngringsavverkning</t>
        </is>
      </c>
      <c r="D875" s="1" t="n">
        <v>45531</v>
      </c>
      <c r="E875" s="1" t="n">
        <v>46219</v>
      </c>
      <c r="F875" t="inlineStr">
        <is>
          <t>STOCKHOLMS LÄN</t>
        </is>
      </c>
      <c r="G875" t="inlineStr">
        <is>
          <t>NORRTÄLJE</t>
        </is>
      </c>
      <c r="I875" t="n">
        <v>2.3</v>
      </c>
      <c r="J875" t="n">
        <v>0</v>
      </c>
      <c r="K875" t="n">
        <v>0</v>
      </c>
      <c r="L875" t="n">
        <v>0</v>
      </c>
      <c r="M875" t="n">
        <v>0</v>
      </c>
      <c r="N875" t="n">
        <v>0</v>
      </c>
      <c r="O875" t="n">
        <v>0</v>
      </c>
      <c r="P875" t="n">
        <v>0</v>
      </c>
      <c r="Q875" t="n">
        <v>0</v>
      </c>
      <c r="R875" t="n">
        <v>0</v>
      </c>
      <c r="S875" t="n">
        <v>0</v>
      </c>
      <c r="T875" t="n">
        <v>0</v>
      </c>
      <c r="U875" s="2" t="inlineStr"/>
    </row>
    <row r="876" ht="15" customHeight="1">
      <c r="A876" t="inlineStr">
        <is>
          <t>A 19118-2022</t>
        </is>
      </c>
      <c r="B876" t="inlineStr">
        <is>
          <t>avverkningsanmälan</t>
        </is>
      </c>
      <c r="C876" t="inlineStr">
        <is>
          <t>Föryngringsavverkning</t>
        </is>
      </c>
      <c r="D876" s="1" t="n">
        <v>44691</v>
      </c>
      <c r="E876" s="1" t="n">
        <v>46219</v>
      </c>
      <c r="F876" t="inlineStr">
        <is>
          <t>STOCKHOLMS LÄN</t>
        </is>
      </c>
      <c r="G876" t="inlineStr">
        <is>
          <t>NORRTÄLJE</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26708-2025</t>
        </is>
      </c>
      <c r="B877" t="inlineStr">
        <is>
          <t>avverkningsanmälan</t>
        </is>
      </c>
      <c r="C877" t="inlineStr">
        <is>
          <t>Föryngringsavverkning</t>
        </is>
      </c>
      <c r="D877" s="1" t="n">
        <v>45810</v>
      </c>
      <c r="E877" s="1" t="n">
        <v>46219</v>
      </c>
      <c r="F877" t="inlineStr">
        <is>
          <t>STOCKHOLMS LÄN</t>
        </is>
      </c>
      <c r="G877" t="inlineStr">
        <is>
          <t>NORRTÄLJE</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59893-2022</t>
        </is>
      </c>
      <c r="B878" t="inlineStr">
        <is>
          <t>avverkningsanmälan</t>
        </is>
      </c>
      <c r="C878" t="inlineStr">
        <is>
          <t>Avverkning för att bevara och utveckla /försöksver</t>
        </is>
      </c>
      <c r="D878" s="1" t="n">
        <v>44908</v>
      </c>
      <c r="E878" s="1" t="n">
        <v>46219</v>
      </c>
      <c r="F878" t="inlineStr">
        <is>
          <t>STOCKHOLMS LÄN</t>
        </is>
      </c>
      <c r="G878" t="inlineStr">
        <is>
          <t>NORRTÄLJE</t>
        </is>
      </c>
      <c r="I878" t="n">
        <v>3</v>
      </c>
      <c r="J878" t="n">
        <v>0</v>
      </c>
      <c r="K878" t="n">
        <v>0</v>
      </c>
      <c r="L878" t="n">
        <v>0</v>
      </c>
      <c r="M878" t="n">
        <v>0</v>
      </c>
      <c r="N878" t="n">
        <v>0</v>
      </c>
      <c r="O878" t="n">
        <v>0</v>
      </c>
      <c r="P878" t="n">
        <v>0</v>
      </c>
      <c r="Q878" t="n">
        <v>0</v>
      </c>
      <c r="R878" t="n">
        <v>0</v>
      </c>
      <c r="S878" t="n">
        <v>0</v>
      </c>
      <c r="T878" t="n">
        <v>0</v>
      </c>
      <c r="U878" s="2" t="inlineStr"/>
    </row>
    <row r="879" ht="15" customHeight="1">
      <c r="A879" t="inlineStr">
        <is>
          <t>A 27040-2025</t>
        </is>
      </c>
      <c r="B879" t="inlineStr">
        <is>
          <t>avverkningsanmälan</t>
        </is>
      </c>
      <c r="C879" t="inlineStr">
        <is>
          <t>Föryngringsavverkning</t>
        </is>
      </c>
      <c r="D879" s="1" t="n">
        <v>45811</v>
      </c>
      <c r="E879" s="1" t="n">
        <v>46219</v>
      </c>
      <c r="F879" t="inlineStr">
        <is>
          <t>STOCKHOLMS LÄN</t>
        </is>
      </c>
      <c r="G879" t="inlineStr">
        <is>
          <t>NORRTÄLJE</t>
        </is>
      </c>
      <c r="I879" t="n">
        <v>4.3</v>
      </c>
      <c r="J879" t="n">
        <v>0</v>
      </c>
      <c r="K879" t="n">
        <v>0</v>
      </c>
      <c r="L879" t="n">
        <v>0</v>
      </c>
      <c r="M879" t="n">
        <v>0</v>
      </c>
      <c r="N879" t="n">
        <v>0</v>
      </c>
      <c r="O879" t="n">
        <v>0</v>
      </c>
      <c r="P879" t="n">
        <v>0</v>
      </c>
      <c r="Q879" t="n">
        <v>0</v>
      </c>
      <c r="R879" t="n">
        <v>0</v>
      </c>
      <c r="S879" t="n">
        <v>0</v>
      </c>
      <c r="T879" t="n">
        <v>0</v>
      </c>
      <c r="U879" s="2" t="inlineStr"/>
    </row>
    <row r="880" ht="15" customHeight="1">
      <c r="A880" t="inlineStr">
        <is>
          <t>A 33226-2024</t>
        </is>
      </c>
      <c r="B880" t="inlineStr">
        <is>
          <t>avverkningsanmälan</t>
        </is>
      </c>
      <c r="C880" t="inlineStr">
        <is>
          <t>Föryngringsavverkning</t>
        </is>
      </c>
      <c r="D880" s="1" t="n">
        <v>45518</v>
      </c>
      <c r="E880" s="1" t="n">
        <v>46219</v>
      </c>
      <c r="F880" t="inlineStr">
        <is>
          <t>STOCKHOLMS LÄN</t>
        </is>
      </c>
      <c r="G880" t="inlineStr">
        <is>
          <t>NORRTÄLJE</t>
        </is>
      </c>
      <c r="I880" t="n">
        <v>13.8</v>
      </c>
      <c r="J880" t="n">
        <v>0</v>
      </c>
      <c r="K880" t="n">
        <v>0</v>
      </c>
      <c r="L880" t="n">
        <v>0</v>
      </c>
      <c r="M880" t="n">
        <v>0</v>
      </c>
      <c r="N880" t="n">
        <v>0</v>
      </c>
      <c r="O880" t="n">
        <v>0</v>
      </c>
      <c r="P880" t="n">
        <v>0</v>
      </c>
      <c r="Q880" t="n">
        <v>0</v>
      </c>
      <c r="R880" t="n">
        <v>0</v>
      </c>
      <c r="S880" t="n">
        <v>0</v>
      </c>
      <c r="T880" t="n">
        <v>0</v>
      </c>
      <c r="U880" s="2" t="inlineStr"/>
    </row>
    <row r="881" ht="15" customHeight="1">
      <c r="A881" t="inlineStr">
        <is>
          <t>A 16980-2023</t>
        </is>
      </c>
      <c r="B881" t="inlineStr">
        <is>
          <t>avverkningsanmälan</t>
        </is>
      </c>
      <c r="C881" t="inlineStr">
        <is>
          <t>Föryngringsavverkning</t>
        </is>
      </c>
      <c r="D881" s="1" t="n">
        <v>45033</v>
      </c>
      <c r="E881" s="1" t="n">
        <v>46219</v>
      </c>
      <c r="F881" t="inlineStr">
        <is>
          <t>STOCKHOLMS LÄN</t>
        </is>
      </c>
      <c r="G881" t="inlineStr">
        <is>
          <t>NORRTÄLJE</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27700-2025</t>
        </is>
      </c>
      <c r="B882" t="inlineStr">
        <is>
          <t>avverkningsanmälan</t>
        </is>
      </c>
      <c r="C882" t="inlineStr">
        <is>
          <t>Föryngringsavverkning</t>
        </is>
      </c>
      <c r="D882" s="1" t="n">
        <v>45813</v>
      </c>
      <c r="E882" s="1" t="n">
        <v>46219</v>
      </c>
      <c r="F882" t="inlineStr">
        <is>
          <t>STOCKHOLMS LÄN</t>
        </is>
      </c>
      <c r="G882" t="inlineStr">
        <is>
          <t>NORRTÄLJE</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14937-2026</t>
        </is>
      </c>
      <c r="B883" t="inlineStr">
        <is>
          <t>avverkningsanmälan</t>
        </is>
      </c>
      <c r="C883" t="inlineStr">
        <is>
          <t>Föryngringsavverkning</t>
        </is>
      </c>
      <c r="D883" s="1" t="n">
        <v>46104</v>
      </c>
      <c r="E883" s="1" t="n">
        <v>46219</v>
      </c>
      <c r="F883" t="inlineStr">
        <is>
          <t>STOCKHOLMS LÄN</t>
        </is>
      </c>
      <c r="G883" t="inlineStr">
        <is>
          <t>NORRTÄLJE</t>
        </is>
      </c>
      <c r="I883" t="n">
        <v>0.9</v>
      </c>
      <c r="J883" t="n">
        <v>0</v>
      </c>
      <c r="K883" t="n">
        <v>0</v>
      </c>
      <c r="L883" t="n">
        <v>0</v>
      </c>
      <c r="M883" t="n">
        <v>0</v>
      </c>
      <c r="N883" t="n">
        <v>0</v>
      </c>
      <c r="O883" t="n">
        <v>0</v>
      </c>
      <c r="P883" t="n">
        <v>0</v>
      </c>
      <c r="Q883" t="n">
        <v>0</v>
      </c>
      <c r="R883" t="n">
        <v>0</v>
      </c>
      <c r="S883" t="n">
        <v>0</v>
      </c>
      <c r="T883" t="n">
        <v>0</v>
      </c>
      <c r="U883" s="2" t="inlineStr"/>
    </row>
    <row r="884" ht="15" customHeight="1">
      <c r="A884" t="inlineStr">
        <is>
          <t>A 31107-2022</t>
        </is>
      </c>
      <c r="B884" t="inlineStr">
        <is>
          <t>avverkningsanmälan</t>
        </is>
      </c>
      <c r="C884" t="inlineStr">
        <is>
          <t>Föryngringsavverkning</t>
        </is>
      </c>
      <c r="D884" s="1" t="n">
        <v>44769</v>
      </c>
      <c r="E884" s="1" t="n">
        <v>46219</v>
      </c>
      <c r="F884" t="inlineStr">
        <is>
          <t>STOCKHOLMS LÄN</t>
        </is>
      </c>
      <c r="G884" t="inlineStr">
        <is>
          <t>NORRTÄLJE</t>
        </is>
      </c>
      <c r="I884" t="n">
        <v>3.8</v>
      </c>
      <c r="J884" t="n">
        <v>0</v>
      </c>
      <c r="K884" t="n">
        <v>0</v>
      </c>
      <c r="L884" t="n">
        <v>0</v>
      </c>
      <c r="M884" t="n">
        <v>0</v>
      </c>
      <c r="N884" t="n">
        <v>0</v>
      </c>
      <c r="O884" t="n">
        <v>0</v>
      </c>
      <c r="P884" t="n">
        <v>0</v>
      </c>
      <c r="Q884" t="n">
        <v>0</v>
      </c>
      <c r="R884" t="n">
        <v>0</v>
      </c>
      <c r="S884" t="n">
        <v>0</v>
      </c>
      <c r="T884" t="n">
        <v>0</v>
      </c>
      <c r="U884" s="2" t="inlineStr"/>
    </row>
    <row r="885" ht="15" customHeight="1">
      <c r="A885" t="inlineStr">
        <is>
          <t>A 43170-2023</t>
        </is>
      </c>
      <c r="B885" t="inlineStr">
        <is>
          <t>avverkningsanmälan</t>
        </is>
      </c>
      <c r="C885" t="inlineStr">
        <is>
          <t>Föryngringsavverkning</t>
        </is>
      </c>
      <c r="D885" s="1" t="n">
        <v>45183</v>
      </c>
      <c r="E885" s="1" t="n">
        <v>46219</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11901-2024</t>
        </is>
      </c>
      <c r="B886" t="inlineStr">
        <is>
          <t>avverkningsanmälan</t>
        </is>
      </c>
      <c r="C886" t="inlineStr">
        <is>
          <t>Föryngringsavverkning</t>
        </is>
      </c>
      <c r="D886" s="1" t="n">
        <v>45376</v>
      </c>
      <c r="E886" s="1" t="n">
        <v>46219</v>
      </c>
      <c r="F886" t="inlineStr">
        <is>
          <t>STOCKHOLMS LÄN</t>
        </is>
      </c>
      <c r="G886" t="inlineStr">
        <is>
          <t>NORRTÄLJE</t>
        </is>
      </c>
      <c r="H886" t="inlineStr">
        <is>
          <t>Holmen skog AB</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15836-2026</t>
        </is>
      </c>
      <c r="B887" t="inlineStr">
        <is>
          <t>avverkningsanmälan</t>
        </is>
      </c>
      <c r="C887" t="inlineStr">
        <is>
          <t>Föryngringsavverkning</t>
        </is>
      </c>
      <c r="D887" s="1" t="n">
        <v>46107</v>
      </c>
      <c r="E887" s="1" t="n">
        <v>46219</v>
      </c>
      <c r="F887" t="inlineStr">
        <is>
          <t>STOCKHOLMS LÄN</t>
        </is>
      </c>
      <c r="G887" t="inlineStr">
        <is>
          <t>NORRTÄLJE</t>
        </is>
      </c>
      <c r="I887" t="n">
        <v>9.300000000000001</v>
      </c>
      <c r="J887" t="n">
        <v>0</v>
      </c>
      <c r="K887" t="n">
        <v>0</v>
      </c>
      <c r="L887" t="n">
        <v>0</v>
      </c>
      <c r="M887" t="n">
        <v>0</v>
      </c>
      <c r="N887" t="n">
        <v>0</v>
      </c>
      <c r="O887" t="n">
        <v>0</v>
      </c>
      <c r="P887" t="n">
        <v>0</v>
      </c>
      <c r="Q887" t="n">
        <v>0</v>
      </c>
      <c r="R887" t="n">
        <v>0</v>
      </c>
      <c r="S887" t="n">
        <v>0</v>
      </c>
      <c r="T887" t="n">
        <v>0</v>
      </c>
      <c r="U887" s="2" t="inlineStr"/>
    </row>
    <row r="888" ht="15" customHeight="1">
      <c r="A888" t="inlineStr">
        <is>
          <t>A 47626-2022</t>
        </is>
      </c>
      <c r="B888" t="inlineStr">
        <is>
          <t>avverkningsanmälan</t>
        </is>
      </c>
      <c r="C888" t="inlineStr">
        <is>
          <t>Föryngringsavverkning</t>
        </is>
      </c>
      <c r="D888" s="1" t="n">
        <v>44854</v>
      </c>
      <c r="E888" s="1" t="n">
        <v>46219</v>
      </c>
      <c r="F888" t="inlineStr">
        <is>
          <t>STOCKHOLMS LÄN</t>
        </is>
      </c>
      <c r="G888" t="inlineStr">
        <is>
          <t>NORRTÄLJE</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19170-2026</t>
        </is>
      </c>
      <c r="B889" t="inlineStr">
        <is>
          <t>avverkningsanmälan</t>
        </is>
      </c>
      <c r="C889" t="inlineStr">
        <is>
          <t>Föryngringsavverkning</t>
        </is>
      </c>
      <c r="D889" s="1" t="n">
        <v>46132</v>
      </c>
      <c r="E889" s="1" t="n">
        <v>46219</v>
      </c>
      <c r="F889" t="inlineStr">
        <is>
          <t>STOCKHOLMS LÄN</t>
        </is>
      </c>
      <c r="G889" t="inlineStr">
        <is>
          <t>NORRTÄLJE</t>
        </is>
      </c>
      <c r="I889" t="n">
        <v>8.300000000000001</v>
      </c>
      <c r="J889" t="n">
        <v>0</v>
      </c>
      <c r="K889" t="n">
        <v>0</v>
      </c>
      <c r="L889" t="n">
        <v>0</v>
      </c>
      <c r="M889" t="n">
        <v>0</v>
      </c>
      <c r="N889" t="n">
        <v>0</v>
      </c>
      <c r="O889" t="n">
        <v>0</v>
      </c>
      <c r="P889" t="n">
        <v>0</v>
      </c>
      <c r="Q889" t="n">
        <v>0</v>
      </c>
      <c r="R889" t="n">
        <v>0</v>
      </c>
      <c r="S889" t="n">
        <v>0</v>
      </c>
      <c r="T889" t="n">
        <v>0</v>
      </c>
      <c r="U889" s="2" t="inlineStr"/>
    </row>
    <row r="890" ht="15" customHeight="1">
      <c r="A890" t="inlineStr">
        <is>
          <t>A 32101-2022</t>
        </is>
      </c>
      <c r="B890" t="inlineStr">
        <is>
          <t>avverkningsanmälan</t>
        </is>
      </c>
      <c r="C890" t="inlineStr">
        <is>
          <t>Föryngringsavverkning</t>
        </is>
      </c>
      <c r="D890" s="1" t="n">
        <v>44778</v>
      </c>
      <c r="E890" s="1" t="n">
        <v>46219</v>
      </c>
      <c r="F890" t="inlineStr">
        <is>
          <t>STOCKHOLMS LÄN</t>
        </is>
      </c>
      <c r="G890" t="inlineStr">
        <is>
          <t>NORRTÄLJE</t>
        </is>
      </c>
      <c r="I890" t="n">
        <v>4.4</v>
      </c>
      <c r="J890" t="n">
        <v>0</v>
      </c>
      <c r="K890" t="n">
        <v>0</v>
      </c>
      <c r="L890" t="n">
        <v>0</v>
      </c>
      <c r="M890" t="n">
        <v>0</v>
      </c>
      <c r="N890" t="n">
        <v>0</v>
      </c>
      <c r="O890" t="n">
        <v>0</v>
      </c>
      <c r="P890" t="n">
        <v>0</v>
      </c>
      <c r="Q890" t="n">
        <v>0</v>
      </c>
      <c r="R890" t="n">
        <v>0</v>
      </c>
      <c r="S890" t="n">
        <v>0</v>
      </c>
      <c r="T890" t="n">
        <v>0</v>
      </c>
      <c r="U890" s="2" t="inlineStr"/>
    </row>
    <row r="891" ht="15" customHeight="1">
      <c r="A891" t="inlineStr">
        <is>
          <t>A 42867-2022</t>
        </is>
      </c>
      <c r="B891" t="inlineStr">
        <is>
          <t>avverkningsanmälan</t>
        </is>
      </c>
      <c r="C891" t="inlineStr">
        <is>
          <t>Föryngringsavverkning</t>
        </is>
      </c>
      <c r="D891" s="1" t="n">
        <v>44832</v>
      </c>
      <c r="E891" s="1" t="n">
        <v>46219</v>
      </c>
      <c r="F891" t="inlineStr">
        <is>
          <t>STOCKHOLMS LÄN</t>
        </is>
      </c>
      <c r="G891" t="inlineStr">
        <is>
          <t>NORRTÄLJE</t>
        </is>
      </c>
      <c r="I891" t="n">
        <v>6.4</v>
      </c>
      <c r="J891" t="n">
        <v>0</v>
      </c>
      <c r="K891" t="n">
        <v>0</v>
      </c>
      <c r="L891" t="n">
        <v>0</v>
      </c>
      <c r="M891" t="n">
        <v>0</v>
      </c>
      <c r="N891" t="n">
        <v>0</v>
      </c>
      <c r="O891" t="n">
        <v>0</v>
      </c>
      <c r="P891" t="n">
        <v>0</v>
      </c>
      <c r="Q891" t="n">
        <v>0</v>
      </c>
      <c r="R891" t="n">
        <v>0</v>
      </c>
      <c r="S891" t="n">
        <v>0</v>
      </c>
      <c r="T891" t="n">
        <v>0</v>
      </c>
      <c r="U891" s="2" t="inlineStr"/>
    </row>
    <row r="892" ht="15" customHeight="1">
      <c r="A892" t="inlineStr">
        <is>
          <t>A 27818-2025</t>
        </is>
      </c>
      <c r="B892" t="inlineStr">
        <is>
          <t>avverkningsanmälan</t>
        </is>
      </c>
      <c r="C892" t="inlineStr">
        <is>
          <t>Avverkning för annat ändamål</t>
        </is>
      </c>
      <c r="D892" s="1" t="n">
        <v>45817</v>
      </c>
      <c r="E892" s="1" t="n">
        <v>46219</v>
      </c>
      <c r="F892" t="inlineStr">
        <is>
          <t>STOCKHOLMS LÄN</t>
        </is>
      </c>
      <c r="G892" t="inlineStr">
        <is>
          <t>NORRTÄLJE</t>
        </is>
      </c>
      <c r="H892" t="inlineStr">
        <is>
          <t>Sveaskog</t>
        </is>
      </c>
      <c r="I892" t="n">
        <v>0.3</v>
      </c>
      <c r="J892" t="n">
        <v>0</v>
      </c>
      <c r="K892" t="n">
        <v>0</v>
      </c>
      <c r="L892" t="n">
        <v>0</v>
      </c>
      <c r="M892" t="n">
        <v>0</v>
      </c>
      <c r="N892" t="n">
        <v>0</v>
      </c>
      <c r="O892" t="n">
        <v>0</v>
      </c>
      <c r="P892" t="n">
        <v>0</v>
      </c>
      <c r="Q892" t="n">
        <v>0</v>
      </c>
      <c r="R892" t="n">
        <v>0</v>
      </c>
      <c r="S892" t="n">
        <v>0</v>
      </c>
      <c r="T892" t="n">
        <v>0</v>
      </c>
      <c r="U892" s="2" t="inlineStr"/>
    </row>
    <row r="893" ht="15" customHeight="1">
      <c r="A893" t="inlineStr">
        <is>
          <t>A 15528-2025</t>
        </is>
      </c>
      <c r="B893" t="inlineStr">
        <is>
          <t>avverkningsanmälan</t>
        </is>
      </c>
      <c r="C893" t="inlineStr">
        <is>
          <t>Föryngringsavverkning</t>
        </is>
      </c>
      <c r="D893" s="1" t="n">
        <v>45747</v>
      </c>
      <c r="E893" s="1" t="n">
        <v>46219</v>
      </c>
      <c r="F893" t="inlineStr">
        <is>
          <t>STOCKHOLMS LÄN</t>
        </is>
      </c>
      <c r="G893" t="inlineStr">
        <is>
          <t>NORRTÄLJE</t>
        </is>
      </c>
      <c r="I893" t="n">
        <v>10</v>
      </c>
      <c r="J893" t="n">
        <v>0</v>
      </c>
      <c r="K893" t="n">
        <v>0</v>
      </c>
      <c r="L893" t="n">
        <v>0</v>
      </c>
      <c r="M893" t="n">
        <v>0</v>
      </c>
      <c r="N893" t="n">
        <v>0</v>
      </c>
      <c r="O893" t="n">
        <v>0</v>
      </c>
      <c r="P893" t="n">
        <v>0</v>
      </c>
      <c r="Q893" t="n">
        <v>0</v>
      </c>
      <c r="R893" t="n">
        <v>0</v>
      </c>
      <c r="S893" t="n">
        <v>0</v>
      </c>
      <c r="T893" t="n">
        <v>0</v>
      </c>
      <c r="U893" s="2" t="inlineStr"/>
    </row>
    <row r="894" ht="15" customHeight="1">
      <c r="A894" t="inlineStr">
        <is>
          <t>A 17775-2022</t>
        </is>
      </c>
      <c r="B894" t="inlineStr">
        <is>
          <t>avverkningsanmälan</t>
        </is>
      </c>
      <c r="C894" t="inlineStr">
        <is>
          <t>Föryngringsavverkning</t>
        </is>
      </c>
      <c r="D894" s="1" t="n">
        <v>44682</v>
      </c>
      <c r="E894" s="1" t="n">
        <v>46219</v>
      </c>
      <c r="F894" t="inlineStr">
        <is>
          <t>STOCKHOLMS LÄN</t>
        </is>
      </c>
      <c r="G894" t="inlineStr">
        <is>
          <t>NORRTÄLJE</t>
        </is>
      </c>
      <c r="I894" t="n">
        <v>4.7</v>
      </c>
      <c r="J894" t="n">
        <v>0</v>
      </c>
      <c r="K894" t="n">
        <v>0</v>
      </c>
      <c r="L894" t="n">
        <v>0</v>
      </c>
      <c r="M894" t="n">
        <v>0</v>
      </c>
      <c r="N894" t="n">
        <v>0</v>
      </c>
      <c r="O894" t="n">
        <v>0</v>
      </c>
      <c r="P894" t="n">
        <v>0</v>
      </c>
      <c r="Q894" t="n">
        <v>0</v>
      </c>
      <c r="R894" t="n">
        <v>0</v>
      </c>
      <c r="S894" t="n">
        <v>0</v>
      </c>
      <c r="T894" t="n">
        <v>0</v>
      </c>
      <c r="U894" s="2" t="inlineStr"/>
    </row>
    <row r="895" ht="15" customHeight="1">
      <c r="A895" t="inlineStr">
        <is>
          <t>A 19688-2026</t>
        </is>
      </c>
      <c r="B895" t="inlineStr">
        <is>
          <t>avverkningsanmälan</t>
        </is>
      </c>
      <c r="C895" t="inlineStr">
        <is>
          <t>Föryngringsavverkning</t>
        </is>
      </c>
      <c r="D895" s="1" t="n">
        <v>46134</v>
      </c>
      <c r="E895" s="1" t="n">
        <v>46219</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s="2" t="inlineStr"/>
    </row>
    <row r="896" ht="15" customHeight="1">
      <c r="A896" t="inlineStr">
        <is>
          <t>A 19352-2026</t>
        </is>
      </c>
      <c r="B896" t="inlineStr">
        <is>
          <t>avverkningsanmälan</t>
        </is>
      </c>
      <c r="C896" t="inlineStr">
        <is>
          <t>Föryngringsavverkning</t>
        </is>
      </c>
      <c r="D896" s="1" t="n">
        <v>46133</v>
      </c>
      <c r="E896" s="1" t="n">
        <v>46219</v>
      </c>
      <c r="F896" t="inlineStr">
        <is>
          <t>STOCKHOLMS LÄN</t>
        </is>
      </c>
      <c r="G896" t="inlineStr">
        <is>
          <t>NORRTÄLJE</t>
        </is>
      </c>
      <c r="I896" t="n">
        <v>5.5</v>
      </c>
      <c r="J896" t="n">
        <v>0</v>
      </c>
      <c r="K896" t="n">
        <v>0</v>
      </c>
      <c r="L896" t="n">
        <v>0</v>
      </c>
      <c r="M896" t="n">
        <v>0</v>
      </c>
      <c r="N896" t="n">
        <v>0</v>
      </c>
      <c r="O896" t="n">
        <v>0</v>
      </c>
      <c r="P896" t="n">
        <v>0</v>
      </c>
      <c r="Q896" t="n">
        <v>0</v>
      </c>
      <c r="R896" t="n">
        <v>0</v>
      </c>
      <c r="S896" t="n">
        <v>0</v>
      </c>
      <c r="T896" t="n">
        <v>0</v>
      </c>
      <c r="U896" s="2" t="inlineStr"/>
    </row>
    <row r="897" ht="15" customHeight="1">
      <c r="A897" t="inlineStr">
        <is>
          <t>A 19358-2026</t>
        </is>
      </c>
      <c r="B897" t="inlineStr">
        <is>
          <t>avverkningsanmälan</t>
        </is>
      </c>
      <c r="C897" t="inlineStr">
        <is>
          <t>Föryngringsavverkning</t>
        </is>
      </c>
      <c r="D897" s="1" t="n">
        <v>46133</v>
      </c>
      <c r="E897" s="1" t="n">
        <v>46219</v>
      </c>
      <c r="F897" t="inlineStr">
        <is>
          <t>STOCKHOLMS LÄN</t>
        </is>
      </c>
      <c r="G897" t="inlineStr">
        <is>
          <t>NORRTÄLJE</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47481-2024</t>
        </is>
      </c>
      <c r="B898" t="inlineStr">
        <is>
          <t>avverkningsanmälan</t>
        </is>
      </c>
      <c r="C898" t="inlineStr">
        <is>
          <t>Avverkning för annat ändamål</t>
        </is>
      </c>
      <c r="D898" s="1" t="n">
        <v>45587</v>
      </c>
      <c r="E898" s="1" t="n">
        <v>46219</v>
      </c>
      <c r="F898" t="inlineStr">
        <is>
          <t>STOCKHOLMS LÄN</t>
        </is>
      </c>
      <c r="G898" t="inlineStr">
        <is>
          <t>NORRTÄLJE</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24933-2023</t>
        </is>
      </c>
      <c r="B899" t="inlineStr">
        <is>
          <t>avverkningsanmälan</t>
        </is>
      </c>
      <c r="C899" t="inlineStr">
        <is>
          <t>Föryngringsavverkning</t>
        </is>
      </c>
      <c r="D899" s="1" t="n">
        <v>45085</v>
      </c>
      <c r="E899" s="1" t="n">
        <v>46219</v>
      </c>
      <c r="F899" t="inlineStr">
        <is>
          <t>STOCKHOLMS LÄN</t>
        </is>
      </c>
      <c r="G899" t="inlineStr">
        <is>
          <t>NORRTÄLJE</t>
        </is>
      </c>
      <c r="H899" t="inlineStr">
        <is>
          <t>Holmen skog AB</t>
        </is>
      </c>
      <c r="I899" t="n">
        <v>1.8</v>
      </c>
      <c r="J899" t="n">
        <v>0</v>
      </c>
      <c r="K899" t="n">
        <v>0</v>
      </c>
      <c r="L899" t="n">
        <v>0</v>
      </c>
      <c r="M899" t="n">
        <v>0</v>
      </c>
      <c r="N899" t="n">
        <v>0</v>
      </c>
      <c r="O899" t="n">
        <v>0</v>
      </c>
      <c r="P899" t="n">
        <v>0</v>
      </c>
      <c r="Q899" t="n">
        <v>0</v>
      </c>
      <c r="R899" t="n">
        <v>0</v>
      </c>
      <c r="S899" t="n">
        <v>0</v>
      </c>
      <c r="T899" t="n">
        <v>0</v>
      </c>
      <c r="U899" s="2" t="inlineStr"/>
    </row>
    <row r="900" ht="15" customHeight="1">
      <c r="A900" t="inlineStr">
        <is>
          <t>A 25697-2026</t>
        </is>
      </c>
      <c r="B900" t="inlineStr">
        <is>
          <t>avverkningsanmälan</t>
        </is>
      </c>
      <c r="C900" t="inlineStr">
        <is>
          <t>Föryngringsavverkning</t>
        </is>
      </c>
      <c r="D900" s="1" t="n">
        <v>46178</v>
      </c>
      <c r="E900" s="1" t="n">
        <v>46219</v>
      </c>
      <c r="F900" t="inlineStr">
        <is>
          <t>STOCKHOLMS LÄN</t>
        </is>
      </c>
      <c r="G900" t="inlineStr">
        <is>
          <t>NORRTÄLJE</t>
        </is>
      </c>
      <c r="I900" t="n">
        <v>4.6</v>
      </c>
      <c r="J900" t="n">
        <v>0</v>
      </c>
      <c r="K900" t="n">
        <v>0</v>
      </c>
      <c r="L900" t="n">
        <v>0</v>
      </c>
      <c r="M900" t="n">
        <v>0</v>
      </c>
      <c r="N900" t="n">
        <v>0</v>
      </c>
      <c r="O900" t="n">
        <v>0</v>
      </c>
      <c r="P900" t="n">
        <v>0</v>
      </c>
      <c r="Q900" t="n">
        <v>0</v>
      </c>
      <c r="R900" t="n">
        <v>0</v>
      </c>
      <c r="S900" t="n">
        <v>0</v>
      </c>
      <c r="T900" t="n">
        <v>0</v>
      </c>
      <c r="U900" s="2" t="inlineStr"/>
    </row>
    <row r="901" ht="15" customHeight="1">
      <c r="A901" t="inlineStr">
        <is>
          <t>A 25529-2026</t>
        </is>
      </c>
      <c r="B901" t="inlineStr">
        <is>
          <t>avverkningsanmälan</t>
        </is>
      </c>
      <c r="C901" t="inlineStr">
        <is>
          <t>Föryngringsavverkning</t>
        </is>
      </c>
      <c r="D901" s="1" t="n">
        <v>46177</v>
      </c>
      <c r="E901" s="1" t="n">
        <v>46219</v>
      </c>
      <c r="F901" t="inlineStr">
        <is>
          <t>STOCKHOLMS LÄN</t>
        </is>
      </c>
      <c r="G901" t="inlineStr">
        <is>
          <t>NORRTÄLJE</t>
        </is>
      </c>
      <c r="I901" t="n">
        <v>6.3</v>
      </c>
      <c r="J901" t="n">
        <v>0</v>
      </c>
      <c r="K901" t="n">
        <v>0</v>
      </c>
      <c r="L901" t="n">
        <v>0</v>
      </c>
      <c r="M901" t="n">
        <v>0</v>
      </c>
      <c r="N901" t="n">
        <v>0</v>
      </c>
      <c r="O901" t="n">
        <v>0</v>
      </c>
      <c r="P901" t="n">
        <v>0</v>
      </c>
      <c r="Q901" t="n">
        <v>0</v>
      </c>
      <c r="R901" t="n">
        <v>0</v>
      </c>
      <c r="S901" t="n">
        <v>0</v>
      </c>
      <c r="T901" t="n">
        <v>0</v>
      </c>
      <c r="U901" s="2" t="inlineStr"/>
    </row>
    <row r="902" ht="15" customHeight="1">
      <c r="A902" t="inlineStr">
        <is>
          <t>A 29250-2025</t>
        </is>
      </c>
      <c r="B902" t="inlineStr">
        <is>
          <t>avverkningsanmälan</t>
        </is>
      </c>
      <c r="C902" t="inlineStr">
        <is>
          <t>Föryngringsavverkning</t>
        </is>
      </c>
      <c r="D902" s="1" t="n">
        <v>45824</v>
      </c>
      <c r="E902" s="1" t="n">
        <v>46219</v>
      </c>
      <c r="F902" t="inlineStr">
        <is>
          <t>STOCKHOLMS LÄN</t>
        </is>
      </c>
      <c r="G902" t="inlineStr">
        <is>
          <t>NORRTÄLJE</t>
        </is>
      </c>
      <c r="H902" t="inlineStr">
        <is>
          <t>Sveaskog</t>
        </is>
      </c>
      <c r="I902" t="n">
        <v>6.4</v>
      </c>
      <c r="J902" t="n">
        <v>0</v>
      </c>
      <c r="K902" t="n">
        <v>0</v>
      </c>
      <c r="L902" t="n">
        <v>0</v>
      </c>
      <c r="M902" t="n">
        <v>0</v>
      </c>
      <c r="N902" t="n">
        <v>0</v>
      </c>
      <c r="O902" t="n">
        <v>0</v>
      </c>
      <c r="P902" t="n">
        <v>0</v>
      </c>
      <c r="Q902" t="n">
        <v>0</v>
      </c>
      <c r="R902" t="n">
        <v>0</v>
      </c>
      <c r="S902" t="n">
        <v>0</v>
      </c>
      <c r="T902" t="n">
        <v>0</v>
      </c>
      <c r="U902" s="2" t="inlineStr"/>
    </row>
    <row r="903" ht="15" customHeight="1">
      <c r="A903" t="inlineStr">
        <is>
          <t>A 25507-2026</t>
        </is>
      </c>
      <c r="B903" t="inlineStr">
        <is>
          <t>avverkningsanmälan</t>
        </is>
      </c>
      <c r="C903" t="inlineStr">
        <is>
          <t>Föryngringsavverkning</t>
        </is>
      </c>
      <c r="D903" s="1" t="n">
        <v>46177</v>
      </c>
      <c r="E903" s="1" t="n">
        <v>46219</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s="2" t="inlineStr"/>
    </row>
    <row r="904" ht="15" customHeight="1">
      <c r="A904" t="inlineStr">
        <is>
          <t>A 576-2023</t>
        </is>
      </c>
      <c r="B904" t="inlineStr">
        <is>
          <t>avverkningsanmälan</t>
        </is>
      </c>
      <c r="C904" t="inlineStr">
        <is>
          <t>Föryngringsavverkning</t>
        </is>
      </c>
      <c r="D904" s="1" t="n">
        <v>44925</v>
      </c>
      <c r="E904" s="1" t="n">
        <v>46219</v>
      </c>
      <c r="F904" t="inlineStr">
        <is>
          <t>STOCKHOLMS LÄN</t>
        </is>
      </c>
      <c r="G904" t="inlineStr">
        <is>
          <t>NORRTÄLJE</t>
        </is>
      </c>
      <c r="I904" t="n">
        <v>7.2</v>
      </c>
      <c r="J904" t="n">
        <v>0</v>
      </c>
      <c r="K904" t="n">
        <v>0</v>
      </c>
      <c r="L904" t="n">
        <v>0</v>
      </c>
      <c r="M904" t="n">
        <v>0</v>
      </c>
      <c r="N904" t="n">
        <v>0</v>
      </c>
      <c r="O904" t="n">
        <v>0</v>
      </c>
      <c r="P904" t="n">
        <v>0</v>
      </c>
      <c r="Q904" t="n">
        <v>0</v>
      </c>
      <c r="R904" t="n">
        <v>0</v>
      </c>
      <c r="S904" t="n">
        <v>0</v>
      </c>
      <c r="T904" t="n">
        <v>0</v>
      </c>
      <c r="U904" s="2" t="inlineStr"/>
    </row>
    <row r="905" ht="15" customHeight="1">
      <c r="A905" t="inlineStr">
        <is>
          <t>A 50469-2022</t>
        </is>
      </c>
      <c r="B905" t="inlineStr">
        <is>
          <t>avverkningsanmälan</t>
        </is>
      </c>
      <c r="C905" t="inlineStr">
        <is>
          <t>Föryngringsavverkning</t>
        </is>
      </c>
      <c r="D905" s="1" t="n">
        <v>44866</v>
      </c>
      <c r="E905" s="1" t="n">
        <v>46219</v>
      </c>
      <c r="F905" t="inlineStr">
        <is>
          <t>STOCKHOLMS LÄN</t>
        </is>
      </c>
      <c r="G905" t="inlineStr">
        <is>
          <t>NORRTÄLJE</t>
        </is>
      </c>
      <c r="I905" t="n">
        <v>8.199999999999999</v>
      </c>
      <c r="J905" t="n">
        <v>0</v>
      </c>
      <c r="K905" t="n">
        <v>0</v>
      </c>
      <c r="L905" t="n">
        <v>0</v>
      </c>
      <c r="M905" t="n">
        <v>0</v>
      </c>
      <c r="N905" t="n">
        <v>0</v>
      </c>
      <c r="O905" t="n">
        <v>0</v>
      </c>
      <c r="P905" t="n">
        <v>0</v>
      </c>
      <c r="Q905" t="n">
        <v>0</v>
      </c>
      <c r="R905" t="n">
        <v>0</v>
      </c>
      <c r="S905" t="n">
        <v>0</v>
      </c>
      <c r="T905" t="n">
        <v>0</v>
      </c>
      <c r="U905" s="2" t="inlineStr"/>
    </row>
    <row r="906" ht="15" customHeight="1">
      <c r="A906" t="inlineStr">
        <is>
          <t>A 59534-2024</t>
        </is>
      </c>
      <c r="B906" t="inlineStr">
        <is>
          <t>avverkningsanmälan</t>
        </is>
      </c>
      <c r="C906" t="inlineStr">
        <is>
          <t>Föryngringsavverkning</t>
        </is>
      </c>
      <c r="D906" s="1" t="n">
        <v>45638</v>
      </c>
      <c r="E906" s="1" t="n">
        <v>46219</v>
      </c>
      <c r="F906" t="inlineStr">
        <is>
          <t>STOCKHOLMS LÄN</t>
        </is>
      </c>
      <c r="G906" t="inlineStr">
        <is>
          <t>NORRTÄLJE</t>
        </is>
      </c>
      <c r="H906" t="inlineStr">
        <is>
          <t>Holmen skog AB</t>
        </is>
      </c>
      <c r="I906" t="n">
        <v>1.3</v>
      </c>
      <c r="J906" t="n">
        <v>0</v>
      </c>
      <c r="K906" t="n">
        <v>0</v>
      </c>
      <c r="L906" t="n">
        <v>0</v>
      </c>
      <c r="M906" t="n">
        <v>0</v>
      </c>
      <c r="N906" t="n">
        <v>0</v>
      </c>
      <c r="O906" t="n">
        <v>0</v>
      </c>
      <c r="P906" t="n">
        <v>0</v>
      </c>
      <c r="Q906" t="n">
        <v>0</v>
      </c>
      <c r="R906" t="n">
        <v>0</v>
      </c>
      <c r="S906" t="n">
        <v>0</v>
      </c>
      <c r="T906" t="n">
        <v>0</v>
      </c>
      <c r="U906" s="2" t="inlineStr"/>
    </row>
    <row r="907" ht="15" customHeight="1">
      <c r="A907" t="inlineStr">
        <is>
          <t>A 41976-2024</t>
        </is>
      </c>
      <c r="B907" t="inlineStr">
        <is>
          <t>avverkningsanmälan</t>
        </is>
      </c>
      <c r="C907" t="inlineStr">
        <is>
          <t>Avverkning för att bevara och utveckla /försöksver</t>
        </is>
      </c>
      <c r="D907" s="1" t="n">
        <v>45561</v>
      </c>
      <c r="E907" s="1" t="n">
        <v>46219</v>
      </c>
      <c r="F907" t="inlineStr">
        <is>
          <t>STOCKHOLMS LÄN</t>
        </is>
      </c>
      <c r="G907" t="inlineStr">
        <is>
          <t>NORRTÄLJE</t>
        </is>
      </c>
      <c r="I907" t="n">
        <v>2.5</v>
      </c>
      <c r="J907" t="n">
        <v>0</v>
      </c>
      <c r="K907" t="n">
        <v>0</v>
      </c>
      <c r="L907" t="n">
        <v>0</v>
      </c>
      <c r="M907" t="n">
        <v>0</v>
      </c>
      <c r="N907" t="n">
        <v>0</v>
      </c>
      <c r="O907" t="n">
        <v>0</v>
      </c>
      <c r="P907" t="n">
        <v>0</v>
      </c>
      <c r="Q907" t="n">
        <v>0</v>
      </c>
      <c r="R907" t="n">
        <v>0</v>
      </c>
      <c r="S907" t="n">
        <v>0</v>
      </c>
      <c r="T907" t="n">
        <v>0</v>
      </c>
      <c r="U907" s="2" t="inlineStr"/>
    </row>
    <row r="908" ht="15" customHeight="1">
      <c r="A908" t="inlineStr">
        <is>
          <t>A 8792-2025</t>
        </is>
      </c>
      <c r="B908" t="inlineStr">
        <is>
          <t>avverkningsanmälan</t>
        </is>
      </c>
      <c r="C908" t="inlineStr">
        <is>
          <t>Föryngringsavverkning</t>
        </is>
      </c>
      <c r="D908" s="1" t="n">
        <v>45712</v>
      </c>
      <c r="E908" s="1" t="n">
        <v>46219</v>
      </c>
      <c r="F908" t="inlineStr">
        <is>
          <t>STOCKHOLMS LÄN</t>
        </is>
      </c>
      <c r="G908" t="inlineStr">
        <is>
          <t>NORRTÄLJE</t>
        </is>
      </c>
      <c r="H908" t="inlineStr">
        <is>
          <t>Övriga Aktiebolag</t>
        </is>
      </c>
      <c r="I908" t="n">
        <v>6.6</v>
      </c>
      <c r="J908" t="n">
        <v>0</v>
      </c>
      <c r="K908" t="n">
        <v>0</v>
      </c>
      <c r="L908" t="n">
        <v>0</v>
      </c>
      <c r="M908" t="n">
        <v>0</v>
      </c>
      <c r="N908" t="n">
        <v>0</v>
      </c>
      <c r="O908" t="n">
        <v>0</v>
      </c>
      <c r="P908" t="n">
        <v>0</v>
      </c>
      <c r="Q908" t="n">
        <v>0</v>
      </c>
      <c r="R908" t="n">
        <v>0</v>
      </c>
      <c r="S908" t="n">
        <v>0</v>
      </c>
      <c r="T908" t="n">
        <v>0</v>
      </c>
      <c r="U908" s="2" t="inlineStr"/>
    </row>
    <row r="909" ht="15" customHeight="1">
      <c r="A909" t="inlineStr">
        <is>
          <t>A 41301-2025</t>
        </is>
      </c>
      <c r="B909" t="inlineStr">
        <is>
          <t>avverkningsanmälan</t>
        </is>
      </c>
      <c r="C909" t="inlineStr">
        <is>
          <t>Föryngringsavverkning</t>
        </is>
      </c>
      <c r="D909" s="1" t="n">
        <v>45898</v>
      </c>
      <c r="E909" s="1" t="n">
        <v>46219</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6678-2025</t>
        </is>
      </c>
      <c r="B910" t="inlineStr">
        <is>
          <t>avverkningsanmälan</t>
        </is>
      </c>
      <c r="C910" t="inlineStr">
        <is>
          <t>Föryngringsavverkning</t>
        </is>
      </c>
      <c r="D910" s="1" t="n">
        <v>45700</v>
      </c>
      <c r="E910" s="1" t="n">
        <v>46219</v>
      </c>
      <c r="F910" t="inlineStr">
        <is>
          <t>STOCKHOLMS LÄN</t>
        </is>
      </c>
      <c r="G910" t="inlineStr">
        <is>
          <t>NORRTÄLJE</t>
        </is>
      </c>
      <c r="H910" t="inlineStr">
        <is>
          <t>Övriga Aktiebolag</t>
        </is>
      </c>
      <c r="I910" t="n">
        <v>6.6</v>
      </c>
      <c r="J910" t="n">
        <v>0</v>
      </c>
      <c r="K910" t="n">
        <v>0</v>
      </c>
      <c r="L910" t="n">
        <v>0</v>
      </c>
      <c r="M910" t="n">
        <v>0</v>
      </c>
      <c r="N910" t="n">
        <v>0</v>
      </c>
      <c r="O910" t="n">
        <v>0</v>
      </c>
      <c r="P910" t="n">
        <v>0</v>
      </c>
      <c r="Q910" t="n">
        <v>0</v>
      </c>
      <c r="R910" t="n">
        <v>0</v>
      </c>
      <c r="S910" t="n">
        <v>0</v>
      </c>
      <c r="T910" t="n">
        <v>0</v>
      </c>
      <c r="U910" s="2" t="inlineStr"/>
    </row>
    <row r="911" ht="15" customHeight="1">
      <c r="A911" t="inlineStr">
        <is>
          <t>A 62206-2022</t>
        </is>
      </c>
      <c r="B911" t="inlineStr">
        <is>
          <t>avverkningsanmälan</t>
        </is>
      </c>
      <c r="C911" t="inlineStr">
        <is>
          <t>Avverkning för annat ändamål</t>
        </is>
      </c>
      <c r="D911" s="1" t="n">
        <v>44922</v>
      </c>
      <c r="E911" s="1" t="n">
        <v>46219</v>
      </c>
      <c r="F911" t="inlineStr">
        <is>
          <t>STOCKHOLMS LÄN</t>
        </is>
      </c>
      <c r="G911" t="inlineStr">
        <is>
          <t>NORRTÄLJE</t>
        </is>
      </c>
      <c r="I911" t="n">
        <v>2.9</v>
      </c>
      <c r="J911" t="n">
        <v>0</v>
      </c>
      <c r="K911" t="n">
        <v>0</v>
      </c>
      <c r="L911" t="n">
        <v>0</v>
      </c>
      <c r="M911" t="n">
        <v>0</v>
      </c>
      <c r="N911" t="n">
        <v>0</v>
      </c>
      <c r="O911" t="n">
        <v>0</v>
      </c>
      <c r="P911" t="n">
        <v>0</v>
      </c>
      <c r="Q911" t="n">
        <v>0</v>
      </c>
      <c r="R911" t="n">
        <v>0</v>
      </c>
      <c r="S911" t="n">
        <v>0</v>
      </c>
      <c r="T911" t="n">
        <v>0</v>
      </c>
      <c r="U911" s="2" t="inlineStr"/>
    </row>
    <row r="912" ht="15" customHeight="1">
      <c r="A912" t="inlineStr">
        <is>
          <t>A 17209-2026</t>
        </is>
      </c>
      <c r="B912" t="inlineStr">
        <is>
          <t>avverkningsanmälan</t>
        </is>
      </c>
      <c r="C912" t="inlineStr">
        <is>
          <t>Föryngringsavverkning</t>
        </is>
      </c>
      <c r="D912" s="1" t="n">
        <v>46119</v>
      </c>
      <c r="E912" s="1" t="n">
        <v>46219</v>
      </c>
      <c r="F912" t="inlineStr">
        <is>
          <t>STOCKHOLMS LÄN</t>
        </is>
      </c>
      <c r="G912" t="inlineStr">
        <is>
          <t>NORRTÄLJE</t>
        </is>
      </c>
      <c r="H912" t="inlineStr">
        <is>
          <t>Holmen skog AB</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30886-2022</t>
        </is>
      </c>
      <c r="B913" t="inlineStr">
        <is>
          <t>avverkningsanmälan</t>
        </is>
      </c>
      <c r="C913" t="inlineStr">
        <is>
          <t>Föryngringsavverkning</t>
        </is>
      </c>
      <c r="D913" s="1" t="n">
        <v>44767</v>
      </c>
      <c r="E913" s="1" t="n">
        <v>46219</v>
      </c>
      <c r="F913" t="inlineStr">
        <is>
          <t>STOCKHOLMS LÄN</t>
        </is>
      </c>
      <c r="G913" t="inlineStr">
        <is>
          <t>NORRTÄLJE</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58989-2021</t>
        </is>
      </c>
      <c r="B914" t="inlineStr">
        <is>
          <t>avverkningsanmälan</t>
        </is>
      </c>
      <c r="C914" t="inlineStr">
        <is>
          <t>Föryngringsavverkning</t>
        </is>
      </c>
      <c r="D914" s="1" t="n">
        <v>44490</v>
      </c>
      <c r="E914" s="1" t="n">
        <v>46219</v>
      </c>
      <c r="F914" t="inlineStr">
        <is>
          <t>STOCKHOLMS LÄN</t>
        </is>
      </c>
      <c r="G914" t="inlineStr">
        <is>
          <t>NORRTÄLJE</t>
        </is>
      </c>
      <c r="I914" t="n">
        <v>0.3</v>
      </c>
      <c r="J914" t="n">
        <v>0</v>
      </c>
      <c r="K914" t="n">
        <v>0</v>
      </c>
      <c r="L914" t="n">
        <v>0</v>
      </c>
      <c r="M914" t="n">
        <v>0</v>
      </c>
      <c r="N914" t="n">
        <v>0</v>
      </c>
      <c r="O914" t="n">
        <v>0</v>
      </c>
      <c r="P914" t="n">
        <v>0</v>
      </c>
      <c r="Q914" t="n">
        <v>0</v>
      </c>
      <c r="R914" t="n">
        <v>0</v>
      </c>
      <c r="S914" t="n">
        <v>0</v>
      </c>
      <c r="T914" t="n">
        <v>0</v>
      </c>
      <c r="U914" s="2" t="inlineStr"/>
    </row>
    <row r="915" ht="15" customHeight="1">
      <c r="A915" t="inlineStr">
        <is>
          <t>A 58990-2021</t>
        </is>
      </c>
      <c r="B915" t="inlineStr">
        <is>
          <t>avverkningsanmälan</t>
        </is>
      </c>
      <c r="C915" t="inlineStr">
        <is>
          <t>Föryngringsavverkning</t>
        </is>
      </c>
      <c r="D915" s="1" t="n">
        <v>44490</v>
      </c>
      <c r="E915" s="1" t="n">
        <v>46219</v>
      </c>
      <c r="F915" t="inlineStr">
        <is>
          <t>STOCKHOLMS LÄN</t>
        </is>
      </c>
      <c r="G915" t="inlineStr">
        <is>
          <t>NORRTÄLJE</t>
        </is>
      </c>
      <c r="I915" t="n">
        <v>4.2</v>
      </c>
      <c r="J915" t="n">
        <v>0</v>
      </c>
      <c r="K915" t="n">
        <v>0</v>
      </c>
      <c r="L915" t="n">
        <v>0</v>
      </c>
      <c r="M915" t="n">
        <v>0</v>
      </c>
      <c r="N915" t="n">
        <v>0</v>
      </c>
      <c r="O915" t="n">
        <v>0</v>
      </c>
      <c r="P915" t="n">
        <v>0</v>
      </c>
      <c r="Q915" t="n">
        <v>0</v>
      </c>
      <c r="R915" t="n">
        <v>0</v>
      </c>
      <c r="S915" t="n">
        <v>0</v>
      </c>
      <c r="T915" t="n">
        <v>0</v>
      </c>
      <c r="U915" s="2" t="inlineStr"/>
    </row>
    <row r="916" ht="15" customHeight="1">
      <c r="A916" t="inlineStr">
        <is>
          <t>A 11940-2023</t>
        </is>
      </c>
      <c r="B916" t="inlineStr">
        <is>
          <t>avverkningsanmälan</t>
        </is>
      </c>
      <c r="C916" t="inlineStr">
        <is>
          <t>Avverkning för annat ändamål</t>
        </is>
      </c>
      <c r="D916" s="1" t="n">
        <v>44995</v>
      </c>
      <c r="E916" s="1" t="n">
        <v>46219</v>
      </c>
      <c r="F916" t="inlineStr">
        <is>
          <t>STOCKHOLMS LÄN</t>
        </is>
      </c>
      <c r="G916" t="inlineStr">
        <is>
          <t>NORRTÄLJE</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13314-2025</t>
        </is>
      </c>
      <c r="B917" t="inlineStr">
        <is>
          <t>avverkningsanmälan</t>
        </is>
      </c>
      <c r="C917" t="inlineStr">
        <is>
          <t>Föryngringsavverkning</t>
        </is>
      </c>
      <c r="D917" s="1" t="n">
        <v>45735</v>
      </c>
      <c r="E917" s="1" t="n">
        <v>46219</v>
      </c>
      <c r="F917" t="inlineStr">
        <is>
          <t>STOCKHOLMS LÄN</t>
        </is>
      </c>
      <c r="G917" t="inlineStr">
        <is>
          <t>NORRTÄLJE</t>
        </is>
      </c>
      <c r="I917" t="n">
        <v>2.4</v>
      </c>
      <c r="J917" t="n">
        <v>0</v>
      </c>
      <c r="K917" t="n">
        <v>0</v>
      </c>
      <c r="L917" t="n">
        <v>0</v>
      </c>
      <c r="M917" t="n">
        <v>0</v>
      </c>
      <c r="N917" t="n">
        <v>0</v>
      </c>
      <c r="O917" t="n">
        <v>0</v>
      </c>
      <c r="P917" t="n">
        <v>0</v>
      </c>
      <c r="Q917" t="n">
        <v>0</v>
      </c>
      <c r="R917" t="n">
        <v>0</v>
      </c>
      <c r="S917" t="n">
        <v>0</v>
      </c>
      <c r="T917" t="n">
        <v>0</v>
      </c>
      <c r="U917" s="2" t="inlineStr"/>
    </row>
    <row r="918" ht="15" customHeight="1">
      <c r="A918" t="inlineStr">
        <is>
          <t>A 29266-2022</t>
        </is>
      </c>
      <c r="B918" t="inlineStr">
        <is>
          <t>avverkningsanmälan</t>
        </is>
      </c>
      <c r="C918" t="inlineStr">
        <is>
          <t>Föryngringsavverkning</t>
        </is>
      </c>
      <c r="D918" s="1" t="n">
        <v>44750</v>
      </c>
      <c r="E918" s="1" t="n">
        <v>46219</v>
      </c>
      <c r="F918" t="inlineStr">
        <is>
          <t>STOCKHOLMS LÄN</t>
        </is>
      </c>
      <c r="G918" t="inlineStr">
        <is>
          <t>NORRTÄLJE</t>
        </is>
      </c>
      <c r="I918" t="n">
        <v>1.8</v>
      </c>
      <c r="J918" t="n">
        <v>0</v>
      </c>
      <c r="K918" t="n">
        <v>0</v>
      </c>
      <c r="L918" t="n">
        <v>0</v>
      </c>
      <c r="M918" t="n">
        <v>0</v>
      </c>
      <c r="N918" t="n">
        <v>0</v>
      </c>
      <c r="O918" t="n">
        <v>0</v>
      </c>
      <c r="P918" t="n">
        <v>0</v>
      </c>
      <c r="Q918" t="n">
        <v>0</v>
      </c>
      <c r="R918" t="n">
        <v>0</v>
      </c>
      <c r="S918" t="n">
        <v>0</v>
      </c>
      <c r="T918" t="n">
        <v>0</v>
      </c>
      <c r="U918" s="2" t="inlineStr"/>
    </row>
    <row r="919" ht="15" customHeight="1">
      <c r="A919" t="inlineStr">
        <is>
          <t>A 29278-2022</t>
        </is>
      </c>
      <c r="B919" t="inlineStr">
        <is>
          <t>avverkningsanmälan</t>
        </is>
      </c>
      <c r="C919" t="inlineStr">
        <is>
          <t>Avverkning för annat ändamål</t>
        </is>
      </c>
      <c r="D919" s="1" t="n">
        <v>44750</v>
      </c>
      <c r="E919" s="1" t="n">
        <v>46219</v>
      </c>
      <c r="F919" t="inlineStr">
        <is>
          <t>STOCKHOLMS LÄN</t>
        </is>
      </c>
      <c r="G919" t="inlineStr">
        <is>
          <t>NORRTÄLJE</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6401-2024</t>
        </is>
      </c>
      <c r="B920" t="inlineStr">
        <is>
          <t>avverkningsanmälan</t>
        </is>
      </c>
      <c r="C920" t="inlineStr">
        <is>
          <t>Föryngringsavverkning</t>
        </is>
      </c>
      <c r="D920" s="1" t="n">
        <v>45338</v>
      </c>
      <c r="E920" s="1" t="n">
        <v>46219</v>
      </c>
      <c r="F920" t="inlineStr">
        <is>
          <t>STOCKHOLMS LÄN</t>
        </is>
      </c>
      <c r="G920" t="inlineStr">
        <is>
          <t>NORRTÄLJE</t>
        </is>
      </c>
      <c r="I920" t="n">
        <v>2.2</v>
      </c>
      <c r="J920" t="n">
        <v>0</v>
      </c>
      <c r="K920" t="n">
        <v>0</v>
      </c>
      <c r="L920" t="n">
        <v>0</v>
      </c>
      <c r="M920" t="n">
        <v>0</v>
      </c>
      <c r="N920" t="n">
        <v>0</v>
      </c>
      <c r="O920" t="n">
        <v>0</v>
      </c>
      <c r="P920" t="n">
        <v>0</v>
      </c>
      <c r="Q920" t="n">
        <v>0</v>
      </c>
      <c r="R920" t="n">
        <v>0</v>
      </c>
      <c r="S920" t="n">
        <v>0</v>
      </c>
      <c r="T920" t="n">
        <v>0</v>
      </c>
      <c r="U920" s="2" t="inlineStr"/>
    </row>
    <row r="921" ht="15" customHeight="1">
      <c r="A921" t="inlineStr">
        <is>
          <t>A 24501-2023</t>
        </is>
      </c>
      <c r="B921" t="inlineStr">
        <is>
          <t>avverkningsanmälan</t>
        </is>
      </c>
      <c r="C921" t="inlineStr">
        <is>
          <t>Föryngringsavverkning</t>
        </is>
      </c>
      <c r="D921" s="1" t="n">
        <v>45082</v>
      </c>
      <c r="E921" s="1" t="n">
        <v>46219</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24520-2023</t>
        </is>
      </c>
      <c r="B922" t="inlineStr">
        <is>
          <t>avverkningsanmälan</t>
        </is>
      </c>
      <c r="C922" t="inlineStr">
        <is>
          <t>Föryngringsavverkning</t>
        </is>
      </c>
      <c r="D922" s="1" t="n">
        <v>45082</v>
      </c>
      <c r="E922" s="1" t="n">
        <v>46219</v>
      </c>
      <c r="F922" t="inlineStr">
        <is>
          <t>STOCKHOLMS LÄN</t>
        </is>
      </c>
      <c r="G922" t="inlineStr">
        <is>
          <t>NORRTÄLJE</t>
        </is>
      </c>
      <c r="I922" t="n">
        <v>4.3</v>
      </c>
      <c r="J922" t="n">
        <v>0</v>
      </c>
      <c r="K922" t="n">
        <v>0</v>
      </c>
      <c r="L922" t="n">
        <v>0</v>
      </c>
      <c r="M922" t="n">
        <v>0</v>
      </c>
      <c r="N922" t="n">
        <v>0</v>
      </c>
      <c r="O922" t="n">
        <v>0</v>
      </c>
      <c r="P922" t="n">
        <v>0</v>
      </c>
      <c r="Q922" t="n">
        <v>0</v>
      </c>
      <c r="R922" t="n">
        <v>0</v>
      </c>
      <c r="S922" t="n">
        <v>0</v>
      </c>
      <c r="T922" t="n">
        <v>0</v>
      </c>
      <c r="U922" s="2" t="inlineStr"/>
    </row>
    <row r="923" ht="15" customHeight="1">
      <c r="A923" t="inlineStr">
        <is>
          <t>A 19759-2026</t>
        </is>
      </c>
      <c r="B923" t="inlineStr">
        <is>
          <t>avverkningsanmälan</t>
        </is>
      </c>
      <c r="C923" t="inlineStr">
        <is>
          <t>Föryngringsavverkning</t>
        </is>
      </c>
      <c r="D923" s="1" t="n">
        <v>46135</v>
      </c>
      <c r="E923" s="1" t="n">
        <v>46219</v>
      </c>
      <c r="F923" t="inlineStr">
        <is>
          <t>STOCKHOLMS LÄN</t>
        </is>
      </c>
      <c r="G923" t="inlineStr">
        <is>
          <t>NORRTÄLJE</t>
        </is>
      </c>
      <c r="I923" t="n">
        <v>1.9</v>
      </c>
      <c r="J923" t="n">
        <v>0</v>
      </c>
      <c r="K923" t="n">
        <v>0</v>
      </c>
      <c r="L923" t="n">
        <v>0</v>
      </c>
      <c r="M923" t="n">
        <v>0</v>
      </c>
      <c r="N923" t="n">
        <v>0</v>
      </c>
      <c r="O923" t="n">
        <v>0</v>
      </c>
      <c r="P923" t="n">
        <v>0</v>
      </c>
      <c r="Q923" t="n">
        <v>0</v>
      </c>
      <c r="R923" t="n">
        <v>0</v>
      </c>
      <c r="S923" t="n">
        <v>0</v>
      </c>
      <c r="T923" t="n">
        <v>0</v>
      </c>
      <c r="U923" s="2" t="inlineStr"/>
    </row>
    <row r="924" ht="15" customHeight="1">
      <c r="A924" t="inlineStr">
        <is>
          <t>A 30668-2025</t>
        </is>
      </c>
      <c r="B924" t="inlineStr">
        <is>
          <t>avverkningsanmälan</t>
        </is>
      </c>
      <c r="C924" t="inlineStr">
        <is>
          <t>Föryngringsavverkning</t>
        </is>
      </c>
      <c r="D924" s="1" t="n">
        <v>45831</v>
      </c>
      <c r="E924" s="1" t="n">
        <v>46219</v>
      </c>
      <c r="F924" t="inlineStr">
        <is>
          <t>STOCKHOLMS LÄN</t>
        </is>
      </c>
      <c r="G924" t="inlineStr">
        <is>
          <t>NORRTÄLJE</t>
        </is>
      </c>
      <c r="I924" t="n">
        <v>4.9</v>
      </c>
      <c r="J924" t="n">
        <v>0</v>
      </c>
      <c r="K924" t="n">
        <v>0</v>
      </c>
      <c r="L924" t="n">
        <v>0</v>
      </c>
      <c r="M924" t="n">
        <v>0</v>
      </c>
      <c r="N924" t="n">
        <v>0</v>
      </c>
      <c r="O924" t="n">
        <v>0</v>
      </c>
      <c r="P924" t="n">
        <v>0</v>
      </c>
      <c r="Q924" t="n">
        <v>0</v>
      </c>
      <c r="R924" t="n">
        <v>0</v>
      </c>
      <c r="S924" t="n">
        <v>0</v>
      </c>
      <c r="T924" t="n">
        <v>0</v>
      </c>
      <c r="U924" s="2" t="inlineStr"/>
    </row>
    <row r="925" ht="15" customHeight="1">
      <c r="A925" t="inlineStr">
        <is>
          <t>A 32122-2025</t>
        </is>
      </c>
      <c r="B925" t="inlineStr">
        <is>
          <t>avverkningsanmälan</t>
        </is>
      </c>
      <c r="C925" t="inlineStr">
        <is>
          <t>Föryngringsavverkning</t>
        </is>
      </c>
      <c r="D925" s="1" t="n">
        <v>45835</v>
      </c>
      <c r="E925" s="1" t="n">
        <v>46219</v>
      </c>
      <c r="F925" t="inlineStr">
        <is>
          <t>STOCKHOLMS LÄN</t>
        </is>
      </c>
      <c r="G925" t="inlineStr">
        <is>
          <t>NORRTÄLJE</t>
        </is>
      </c>
      <c r="H925" t="inlineStr">
        <is>
          <t>Holmen skog AB</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8315-2025</t>
        </is>
      </c>
      <c r="B926" t="inlineStr">
        <is>
          <t>avverkningsanmälan</t>
        </is>
      </c>
      <c r="C926" t="inlineStr">
        <is>
          <t>Föryngringsavverkning</t>
        </is>
      </c>
      <c r="D926" s="1" t="n">
        <v>45708</v>
      </c>
      <c r="E926" s="1" t="n">
        <v>46219</v>
      </c>
      <c r="F926" t="inlineStr">
        <is>
          <t>STOCKHOLMS LÄN</t>
        </is>
      </c>
      <c r="G926" t="inlineStr">
        <is>
          <t>NORRTÄLJE</t>
        </is>
      </c>
      <c r="I926" t="n">
        <v>3.9</v>
      </c>
      <c r="J926" t="n">
        <v>0</v>
      </c>
      <c r="K926" t="n">
        <v>0</v>
      </c>
      <c r="L926" t="n">
        <v>0</v>
      </c>
      <c r="M926" t="n">
        <v>0</v>
      </c>
      <c r="N926" t="n">
        <v>0</v>
      </c>
      <c r="O926" t="n">
        <v>0</v>
      </c>
      <c r="P926" t="n">
        <v>0</v>
      </c>
      <c r="Q926" t="n">
        <v>0</v>
      </c>
      <c r="R926" t="n">
        <v>0</v>
      </c>
      <c r="S926" t="n">
        <v>0</v>
      </c>
      <c r="T926" t="n">
        <v>0</v>
      </c>
      <c r="U926" s="2" t="inlineStr"/>
    </row>
    <row r="927" ht="15" customHeight="1">
      <c r="A927" t="inlineStr">
        <is>
          <t>A 25696-2026</t>
        </is>
      </c>
      <c r="B927" t="inlineStr">
        <is>
          <t>avverkningsanmälan</t>
        </is>
      </c>
      <c r="C927" t="inlineStr">
        <is>
          <t>Föryngringsavverkning</t>
        </is>
      </c>
      <c r="D927" s="1" t="n">
        <v>46178</v>
      </c>
      <c r="E927" s="1" t="n">
        <v>46219</v>
      </c>
      <c r="F927" t="inlineStr">
        <is>
          <t>STOCKHOLMS LÄN</t>
        </is>
      </c>
      <c r="G927" t="inlineStr">
        <is>
          <t>NORRTÄLJE</t>
        </is>
      </c>
      <c r="I927" t="n">
        <v>0.9</v>
      </c>
      <c r="J927" t="n">
        <v>0</v>
      </c>
      <c r="K927" t="n">
        <v>0</v>
      </c>
      <c r="L927" t="n">
        <v>0</v>
      </c>
      <c r="M927" t="n">
        <v>0</v>
      </c>
      <c r="N927" t="n">
        <v>0</v>
      </c>
      <c r="O927" t="n">
        <v>0</v>
      </c>
      <c r="P927" t="n">
        <v>0</v>
      </c>
      <c r="Q927" t="n">
        <v>0</v>
      </c>
      <c r="R927" t="n">
        <v>0</v>
      </c>
      <c r="S927" t="n">
        <v>0</v>
      </c>
      <c r="T927" t="n">
        <v>0</v>
      </c>
      <c r="U927" s="2" t="inlineStr"/>
    </row>
    <row r="928" ht="15" customHeight="1">
      <c r="A928" t="inlineStr">
        <is>
          <t>A 20336-2024</t>
        </is>
      </c>
      <c r="B928" t="inlineStr">
        <is>
          <t>avverkningsanmälan</t>
        </is>
      </c>
      <c r="C928" t="inlineStr">
        <is>
          <t>Föryngringsavverkning</t>
        </is>
      </c>
      <c r="D928" s="1" t="n">
        <v>45435</v>
      </c>
      <c r="E928" s="1" t="n">
        <v>46219</v>
      </c>
      <c r="F928" t="inlineStr">
        <is>
          <t>STOCKHOLMS LÄN</t>
        </is>
      </c>
      <c r="G928" t="inlineStr">
        <is>
          <t>NORRTÄLJE</t>
        </is>
      </c>
      <c r="I928" t="n">
        <v>1.9</v>
      </c>
      <c r="J928" t="n">
        <v>0</v>
      </c>
      <c r="K928" t="n">
        <v>0</v>
      </c>
      <c r="L928" t="n">
        <v>0</v>
      </c>
      <c r="M928" t="n">
        <v>0</v>
      </c>
      <c r="N928" t="n">
        <v>0</v>
      </c>
      <c r="O928" t="n">
        <v>0</v>
      </c>
      <c r="P928" t="n">
        <v>0</v>
      </c>
      <c r="Q928" t="n">
        <v>0</v>
      </c>
      <c r="R928" t="n">
        <v>0</v>
      </c>
      <c r="S928" t="n">
        <v>0</v>
      </c>
      <c r="T928" t="n">
        <v>0</v>
      </c>
      <c r="U928" s="2" t="inlineStr"/>
    </row>
    <row r="929" ht="15" customHeight="1">
      <c r="A929" t="inlineStr">
        <is>
          <t>A 26117-2024</t>
        </is>
      </c>
      <c r="B929" t="inlineStr">
        <is>
          <t>avverkningsanmälan</t>
        </is>
      </c>
      <c r="C929" t="inlineStr">
        <is>
          <t>Föryngringsavverkning</t>
        </is>
      </c>
      <c r="D929" s="1" t="n">
        <v>45468</v>
      </c>
      <c r="E929" s="1" t="n">
        <v>46219</v>
      </c>
      <c r="F929" t="inlineStr">
        <is>
          <t>STOCKHOLMS LÄN</t>
        </is>
      </c>
      <c r="G929" t="inlineStr">
        <is>
          <t>NORRTÄLJE</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61113-2023</t>
        </is>
      </c>
      <c r="B930" t="inlineStr">
        <is>
          <t>avverkningsanmälan</t>
        </is>
      </c>
      <c r="C930" t="inlineStr">
        <is>
          <t>Föryngringsavverkning</t>
        </is>
      </c>
      <c r="D930" s="1" t="n">
        <v>45261</v>
      </c>
      <c r="E930" s="1" t="n">
        <v>46219</v>
      </c>
      <c r="F930" t="inlineStr">
        <is>
          <t>STOCKHOLMS LÄN</t>
        </is>
      </c>
      <c r="G930" t="inlineStr">
        <is>
          <t>NORRTÄLJE</t>
        </is>
      </c>
      <c r="I930" t="n">
        <v>1.1</v>
      </c>
      <c r="J930" t="n">
        <v>0</v>
      </c>
      <c r="K930" t="n">
        <v>0</v>
      </c>
      <c r="L930" t="n">
        <v>0</v>
      </c>
      <c r="M930" t="n">
        <v>0</v>
      </c>
      <c r="N930" t="n">
        <v>0</v>
      </c>
      <c r="O930" t="n">
        <v>0</v>
      </c>
      <c r="P930" t="n">
        <v>0</v>
      </c>
      <c r="Q930" t="n">
        <v>0</v>
      </c>
      <c r="R930" t="n">
        <v>0</v>
      </c>
      <c r="S930" t="n">
        <v>0</v>
      </c>
      <c r="T930" t="n">
        <v>0</v>
      </c>
      <c r="U930" s="2" t="inlineStr"/>
    </row>
    <row r="931" ht="15" customHeight="1">
      <c r="A931" t="inlineStr">
        <is>
          <t>A 59310-2023</t>
        </is>
      </c>
      <c r="B931" t="inlineStr">
        <is>
          <t>avverkningsanmälan</t>
        </is>
      </c>
      <c r="C931" t="inlineStr">
        <is>
          <t>Föryngringsavverkning</t>
        </is>
      </c>
      <c r="D931" s="1" t="n">
        <v>45253</v>
      </c>
      <c r="E931" s="1" t="n">
        <v>46219</v>
      </c>
      <c r="F931" t="inlineStr">
        <is>
          <t>STOCKHOLMS LÄN</t>
        </is>
      </c>
      <c r="G931" t="inlineStr">
        <is>
          <t>NORRTÄLJE</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55010-2024</t>
        </is>
      </c>
      <c r="B932" t="inlineStr">
        <is>
          <t>avverkningsanmälan</t>
        </is>
      </c>
      <c r="C932" t="inlineStr">
        <is>
          <t>Föryngringsavverkning</t>
        </is>
      </c>
      <c r="D932" s="1" t="n">
        <v>45621</v>
      </c>
      <c r="E932" s="1" t="n">
        <v>46219</v>
      </c>
      <c r="F932" t="inlineStr">
        <is>
          <t>STOCKHOLMS LÄN</t>
        </is>
      </c>
      <c r="G932" t="inlineStr">
        <is>
          <t>NORRTÄLJE</t>
        </is>
      </c>
      <c r="H932" t="inlineStr">
        <is>
          <t>Sveaskog</t>
        </is>
      </c>
      <c r="I932" t="n">
        <v>5.7</v>
      </c>
      <c r="J932" t="n">
        <v>0</v>
      </c>
      <c r="K932" t="n">
        <v>0</v>
      </c>
      <c r="L932" t="n">
        <v>0</v>
      </c>
      <c r="M932" t="n">
        <v>0</v>
      </c>
      <c r="N932" t="n">
        <v>0</v>
      </c>
      <c r="O932" t="n">
        <v>0</v>
      </c>
      <c r="P932" t="n">
        <v>0</v>
      </c>
      <c r="Q932" t="n">
        <v>0</v>
      </c>
      <c r="R932" t="n">
        <v>0</v>
      </c>
      <c r="S932" t="n">
        <v>0</v>
      </c>
      <c r="T932" t="n">
        <v>0</v>
      </c>
      <c r="U932" s="2" t="inlineStr"/>
    </row>
    <row r="933" ht="15" customHeight="1">
      <c r="A933" t="inlineStr">
        <is>
          <t>A 55018-2024</t>
        </is>
      </c>
      <c r="B933" t="inlineStr">
        <is>
          <t>avverkningsanmälan</t>
        </is>
      </c>
      <c r="C933" t="inlineStr">
        <is>
          <t>Föryngringsavverkning</t>
        </is>
      </c>
      <c r="D933" s="1" t="n">
        <v>45621</v>
      </c>
      <c r="E933" s="1" t="n">
        <v>46219</v>
      </c>
      <c r="F933" t="inlineStr">
        <is>
          <t>STOCKHOLMS LÄN</t>
        </is>
      </c>
      <c r="G933" t="inlineStr">
        <is>
          <t>NORRTÄLJE</t>
        </is>
      </c>
      <c r="H933" t="inlineStr">
        <is>
          <t>Sveaskog</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31874-2025</t>
        </is>
      </c>
      <c r="B934" t="inlineStr">
        <is>
          <t>avverkningsanmälan</t>
        </is>
      </c>
      <c r="C934" t="inlineStr">
        <is>
          <t>Föryngringsavverkning</t>
        </is>
      </c>
      <c r="D934" s="1" t="n">
        <v>45834</v>
      </c>
      <c r="E934" s="1" t="n">
        <v>46219</v>
      </c>
      <c r="F934" t="inlineStr">
        <is>
          <t>STOCKHOLMS LÄN</t>
        </is>
      </c>
      <c r="G934" t="inlineStr">
        <is>
          <t>NORRTÄLJE</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41966-2025</t>
        </is>
      </c>
      <c r="B935" t="inlineStr">
        <is>
          <t>avverkningsanmälan</t>
        </is>
      </c>
      <c r="C935" t="inlineStr">
        <is>
          <t>Föryngringsavverkning</t>
        </is>
      </c>
      <c r="D935" s="1" t="n">
        <v>45903</v>
      </c>
      <c r="E935" s="1" t="n">
        <v>46219</v>
      </c>
      <c r="F935" t="inlineStr">
        <is>
          <t>STOCKHOLMS LÄN</t>
        </is>
      </c>
      <c r="G935" t="inlineStr">
        <is>
          <t>NORRTÄLJE</t>
        </is>
      </c>
      <c r="H935" t="inlineStr">
        <is>
          <t>Sveaskog</t>
        </is>
      </c>
      <c r="I935" t="n">
        <v>3.7</v>
      </c>
      <c r="J935" t="n">
        <v>0</v>
      </c>
      <c r="K935" t="n">
        <v>0</v>
      </c>
      <c r="L935" t="n">
        <v>0</v>
      </c>
      <c r="M935" t="n">
        <v>0</v>
      </c>
      <c r="N935" t="n">
        <v>0</v>
      </c>
      <c r="O935" t="n">
        <v>0</v>
      </c>
      <c r="P935" t="n">
        <v>0</v>
      </c>
      <c r="Q935" t="n">
        <v>0</v>
      </c>
      <c r="R935" t="n">
        <v>0</v>
      </c>
      <c r="S935" t="n">
        <v>0</v>
      </c>
      <c r="T935" t="n">
        <v>0</v>
      </c>
      <c r="U935" s="2" t="inlineStr"/>
    </row>
    <row r="936" ht="15" customHeight="1">
      <c r="A936" t="inlineStr">
        <is>
          <t>A 31868-2025</t>
        </is>
      </c>
      <c r="B936" t="inlineStr">
        <is>
          <t>avverkningsanmälan</t>
        </is>
      </c>
      <c r="C936" t="inlineStr">
        <is>
          <t>Föryngringsavverkning</t>
        </is>
      </c>
      <c r="D936" s="1" t="n">
        <v>45834</v>
      </c>
      <c r="E936" s="1" t="n">
        <v>46219</v>
      </c>
      <c r="F936" t="inlineStr">
        <is>
          <t>STOCKHOLMS LÄN</t>
        </is>
      </c>
      <c r="G936" t="inlineStr">
        <is>
          <t>NORRTÄLJE</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1847-2023</t>
        </is>
      </c>
      <c r="B937" t="inlineStr">
        <is>
          <t>avverkningsanmälan</t>
        </is>
      </c>
      <c r="C937" t="inlineStr">
        <is>
          <t>Föryngringsavverkning</t>
        </is>
      </c>
      <c r="D937" s="1" t="n">
        <v>44938</v>
      </c>
      <c r="E937" s="1" t="n">
        <v>46219</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31880-2025</t>
        </is>
      </c>
      <c r="B938" t="inlineStr">
        <is>
          <t>avverkningsanmälan</t>
        </is>
      </c>
      <c r="C938" t="inlineStr">
        <is>
          <t>Föryngringsavverkning</t>
        </is>
      </c>
      <c r="D938" s="1" t="n">
        <v>45834</v>
      </c>
      <c r="E938" s="1" t="n">
        <v>46219</v>
      </c>
      <c r="F938" t="inlineStr">
        <is>
          <t>STOCKHOLMS LÄN</t>
        </is>
      </c>
      <c r="G938" t="inlineStr">
        <is>
          <t>NORRTÄLJE</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32283-2025</t>
        </is>
      </c>
      <c r="B939" t="inlineStr">
        <is>
          <t>avverkningsanmälan</t>
        </is>
      </c>
      <c r="C939" t="inlineStr">
        <is>
          <t>Föryngringsavverkning</t>
        </is>
      </c>
      <c r="D939" s="1" t="n">
        <v>45835</v>
      </c>
      <c r="E939" s="1" t="n">
        <v>46219</v>
      </c>
      <c r="F939" t="inlineStr">
        <is>
          <t>STOCKHOLMS LÄN</t>
        </is>
      </c>
      <c r="G939" t="inlineStr">
        <is>
          <t>NORRTÄLJE</t>
        </is>
      </c>
      <c r="I939" t="n">
        <v>1.8</v>
      </c>
      <c r="J939" t="n">
        <v>0</v>
      </c>
      <c r="K939" t="n">
        <v>0</v>
      </c>
      <c r="L939" t="n">
        <v>0</v>
      </c>
      <c r="M939" t="n">
        <v>0</v>
      </c>
      <c r="N939" t="n">
        <v>0</v>
      </c>
      <c r="O939" t="n">
        <v>0</v>
      </c>
      <c r="P939" t="n">
        <v>0</v>
      </c>
      <c r="Q939" t="n">
        <v>0</v>
      </c>
      <c r="R939" t="n">
        <v>0</v>
      </c>
      <c r="S939" t="n">
        <v>0</v>
      </c>
      <c r="T939" t="n">
        <v>0</v>
      </c>
      <c r="U939" s="2" t="inlineStr"/>
    </row>
    <row r="940" ht="15" customHeight="1">
      <c r="A940" t="inlineStr">
        <is>
          <t>A 29362-2022</t>
        </is>
      </c>
      <c r="B940" t="inlineStr">
        <is>
          <t>avverkningsanmälan</t>
        </is>
      </c>
      <c r="C940" t="inlineStr">
        <is>
          <t>Föryngringsavverkning</t>
        </is>
      </c>
      <c r="D940" s="1" t="n">
        <v>44753</v>
      </c>
      <c r="E940" s="1" t="n">
        <v>46219</v>
      </c>
      <c r="F940" t="inlineStr">
        <is>
          <t>STOCKHOLMS LÄN</t>
        </is>
      </c>
      <c r="G940" t="inlineStr">
        <is>
          <t>NORRTÄLJE</t>
        </is>
      </c>
      <c r="I940" t="n">
        <v>3.8</v>
      </c>
      <c r="J940" t="n">
        <v>0</v>
      </c>
      <c r="K940" t="n">
        <v>0</v>
      </c>
      <c r="L940" t="n">
        <v>0</v>
      </c>
      <c r="M940" t="n">
        <v>0</v>
      </c>
      <c r="N940" t="n">
        <v>0</v>
      </c>
      <c r="O940" t="n">
        <v>0</v>
      </c>
      <c r="P940" t="n">
        <v>0</v>
      </c>
      <c r="Q940" t="n">
        <v>0</v>
      </c>
      <c r="R940" t="n">
        <v>0</v>
      </c>
      <c r="S940" t="n">
        <v>0</v>
      </c>
      <c r="T940" t="n">
        <v>0</v>
      </c>
      <c r="U940" s="2" t="inlineStr"/>
    </row>
    <row r="941" ht="15" customHeight="1">
      <c r="A941" t="inlineStr">
        <is>
          <t>A 20291-2022</t>
        </is>
      </c>
      <c r="B941" t="inlineStr">
        <is>
          <t>avverkningsanmälan</t>
        </is>
      </c>
      <c r="C941" t="inlineStr">
        <is>
          <t>Föryngringsavverkning</t>
        </is>
      </c>
      <c r="D941" s="1" t="n">
        <v>44698</v>
      </c>
      <c r="E941" s="1" t="n">
        <v>46219</v>
      </c>
      <c r="F941" t="inlineStr">
        <is>
          <t>STOCKHOLMS LÄN</t>
        </is>
      </c>
      <c r="G941" t="inlineStr">
        <is>
          <t>NORRTÄLJE</t>
        </is>
      </c>
      <c r="H941" t="inlineStr">
        <is>
          <t>Naturvårdsverket</t>
        </is>
      </c>
      <c r="I941" t="n">
        <v>2</v>
      </c>
      <c r="J941" t="n">
        <v>0</v>
      </c>
      <c r="K941" t="n">
        <v>0</v>
      </c>
      <c r="L941" t="n">
        <v>0</v>
      </c>
      <c r="M941" t="n">
        <v>0</v>
      </c>
      <c r="N941" t="n">
        <v>0</v>
      </c>
      <c r="O941" t="n">
        <v>0</v>
      </c>
      <c r="P941" t="n">
        <v>0</v>
      </c>
      <c r="Q941" t="n">
        <v>0</v>
      </c>
      <c r="R941" t="n">
        <v>0</v>
      </c>
      <c r="S941" t="n">
        <v>0</v>
      </c>
      <c r="T941" t="n">
        <v>0</v>
      </c>
      <c r="U941" s="2" t="inlineStr"/>
    </row>
    <row r="942" ht="15" customHeight="1">
      <c r="A942" t="inlineStr">
        <is>
          <t>A 30221-2024</t>
        </is>
      </c>
      <c r="B942" t="inlineStr">
        <is>
          <t>avverkningsanmälan</t>
        </is>
      </c>
      <c r="C942" t="inlineStr">
        <is>
          <t>Föryngringsavverkning</t>
        </is>
      </c>
      <c r="D942" s="1" t="n">
        <v>45490</v>
      </c>
      <c r="E942" s="1" t="n">
        <v>46219</v>
      </c>
      <c r="F942" t="inlineStr">
        <is>
          <t>STOCKHOLMS LÄN</t>
        </is>
      </c>
      <c r="G942" t="inlineStr">
        <is>
          <t>NORRTÄLJE</t>
        </is>
      </c>
      <c r="H942" t="inlineStr">
        <is>
          <t>Holmen skog AB</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1283-2025</t>
        </is>
      </c>
      <c r="B943" t="inlineStr">
        <is>
          <t>avverkningsanmälan</t>
        </is>
      </c>
      <c r="C943" t="inlineStr">
        <is>
          <t>Föryngringsavverkning</t>
        </is>
      </c>
      <c r="D943" s="1" t="n">
        <v>45667</v>
      </c>
      <c r="E943" s="1" t="n">
        <v>46219</v>
      </c>
      <c r="F943" t="inlineStr">
        <is>
          <t>STOCKHOLMS LÄN</t>
        </is>
      </c>
      <c r="G943" t="inlineStr">
        <is>
          <t>NORRTÄLJE</t>
        </is>
      </c>
      <c r="I943" t="n">
        <v>1</v>
      </c>
      <c r="J943" t="n">
        <v>0</v>
      </c>
      <c r="K943" t="n">
        <v>0</v>
      </c>
      <c r="L943" t="n">
        <v>0</v>
      </c>
      <c r="M943" t="n">
        <v>0</v>
      </c>
      <c r="N943" t="n">
        <v>0</v>
      </c>
      <c r="O943" t="n">
        <v>0</v>
      </c>
      <c r="P943" t="n">
        <v>0</v>
      </c>
      <c r="Q943" t="n">
        <v>0</v>
      </c>
      <c r="R943" t="n">
        <v>0</v>
      </c>
      <c r="S943" t="n">
        <v>0</v>
      </c>
      <c r="T943" t="n">
        <v>0</v>
      </c>
      <c r="U943" s="2" t="inlineStr"/>
    </row>
    <row r="944" ht="15" customHeight="1">
      <c r="A944" t="inlineStr">
        <is>
          <t>A 35254-2025</t>
        </is>
      </c>
      <c r="B944" t="inlineStr">
        <is>
          <t>avverkningsanmälan</t>
        </is>
      </c>
      <c r="C944" t="inlineStr">
        <is>
          <t>Föryngringsavverkning</t>
        </is>
      </c>
      <c r="D944" s="1" t="n">
        <v>45853</v>
      </c>
      <c r="E944" s="1" t="n">
        <v>46219</v>
      </c>
      <c r="F944" t="inlineStr">
        <is>
          <t>STOCKHOLMS LÄN</t>
        </is>
      </c>
      <c r="G944" t="inlineStr">
        <is>
          <t>NORRTÄLJE</t>
        </is>
      </c>
      <c r="I944" t="n">
        <v>6.5</v>
      </c>
      <c r="J944" t="n">
        <v>0</v>
      </c>
      <c r="K944" t="n">
        <v>0</v>
      </c>
      <c r="L944" t="n">
        <v>0</v>
      </c>
      <c r="M944" t="n">
        <v>0</v>
      </c>
      <c r="N944" t="n">
        <v>0</v>
      </c>
      <c r="O944" t="n">
        <v>0</v>
      </c>
      <c r="P944" t="n">
        <v>0</v>
      </c>
      <c r="Q944" t="n">
        <v>0</v>
      </c>
      <c r="R944" t="n">
        <v>0</v>
      </c>
      <c r="S944" t="n">
        <v>0</v>
      </c>
      <c r="T944" t="n">
        <v>0</v>
      </c>
      <c r="U944" s="2" t="inlineStr"/>
    </row>
    <row r="945" ht="15" customHeight="1">
      <c r="A945" t="inlineStr">
        <is>
          <t>A 52254-2025</t>
        </is>
      </c>
      <c r="B945" t="inlineStr">
        <is>
          <t>avverkningsanmälan</t>
        </is>
      </c>
      <c r="C945" t="inlineStr">
        <is>
          <t>Föryngringsavverkning</t>
        </is>
      </c>
      <c r="D945" s="1" t="n">
        <v>45953</v>
      </c>
      <c r="E945" s="1" t="n">
        <v>46219</v>
      </c>
      <c r="F945" t="inlineStr">
        <is>
          <t>STOCKHOLMS LÄN</t>
        </is>
      </c>
      <c r="G945" t="inlineStr">
        <is>
          <t>NORRTÄLJE</t>
        </is>
      </c>
      <c r="I945" t="n">
        <v>2.2</v>
      </c>
      <c r="J945" t="n">
        <v>0</v>
      </c>
      <c r="K945" t="n">
        <v>0</v>
      </c>
      <c r="L945" t="n">
        <v>0</v>
      </c>
      <c r="M945" t="n">
        <v>0</v>
      </c>
      <c r="N945" t="n">
        <v>0</v>
      </c>
      <c r="O945" t="n">
        <v>0</v>
      </c>
      <c r="P945" t="n">
        <v>0</v>
      </c>
      <c r="Q945" t="n">
        <v>0</v>
      </c>
      <c r="R945" t="n">
        <v>0</v>
      </c>
      <c r="S945" t="n">
        <v>0</v>
      </c>
      <c r="T945" t="n">
        <v>0</v>
      </c>
      <c r="U945" s="2" t="inlineStr"/>
    </row>
    <row r="946" ht="15" customHeight="1">
      <c r="A946" t="inlineStr">
        <is>
          <t>A 27806-2025</t>
        </is>
      </c>
      <c r="B946" t="inlineStr">
        <is>
          <t>avverkningsanmälan</t>
        </is>
      </c>
      <c r="C946" t="inlineStr">
        <is>
          <t>Föryngringsavverkning</t>
        </is>
      </c>
      <c r="D946" s="1" t="n">
        <v>45817</v>
      </c>
      <c r="E946" s="1" t="n">
        <v>46219</v>
      </c>
      <c r="F946" t="inlineStr">
        <is>
          <t>STOCKHOLMS LÄN</t>
        </is>
      </c>
      <c r="G946" t="inlineStr">
        <is>
          <t>NORRTÄLJE</t>
        </is>
      </c>
      <c r="I946" t="n">
        <v>3</v>
      </c>
      <c r="J946" t="n">
        <v>0</v>
      </c>
      <c r="K946" t="n">
        <v>0</v>
      </c>
      <c r="L946" t="n">
        <v>0</v>
      </c>
      <c r="M946" t="n">
        <v>0</v>
      </c>
      <c r="N946" t="n">
        <v>0</v>
      </c>
      <c r="O946" t="n">
        <v>0</v>
      </c>
      <c r="P946" t="n">
        <v>0</v>
      </c>
      <c r="Q946" t="n">
        <v>0</v>
      </c>
      <c r="R946" t="n">
        <v>0</v>
      </c>
      <c r="S946" t="n">
        <v>0</v>
      </c>
      <c r="T946" t="n">
        <v>0</v>
      </c>
      <c r="U946" s="2" t="inlineStr"/>
    </row>
    <row r="947" ht="15" customHeight="1">
      <c r="A947" t="inlineStr">
        <is>
          <t>A 31926-2022</t>
        </is>
      </c>
      <c r="B947" t="inlineStr">
        <is>
          <t>avverkningsanmälan</t>
        </is>
      </c>
      <c r="C947" t="inlineStr">
        <is>
          <t>Föryngringsavverkning</t>
        </is>
      </c>
      <c r="D947" s="1" t="n">
        <v>44777</v>
      </c>
      <c r="E947" s="1" t="n">
        <v>46219</v>
      </c>
      <c r="F947" t="inlineStr">
        <is>
          <t>STOCKHOLMS LÄN</t>
        </is>
      </c>
      <c r="G947" t="inlineStr">
        <is>
          <t>NORRTÄLJE</t>
        </is>
      </c>
      <c r="I947" t="n">
        <v>5.2</v>
      </c>
      <c r="J947" t="n">
        <v>0</v>
      </c>
      <c r="K947" t="n">
        <v>0</v>
      </c>
      <c r="L947" t="n">
        <v>0</v>
      </c>
      <c r="M947" t="n">
        <v>0</v>
      </c>
      <c r="N947" t="n">
        <v>0</v>
      </c>
      <c r="O947" t="n">
        <v>0</v>
      </c>
      <c r="P947" t="n">
        <v>0</v>
      </c>
      <c r="Q947" t="n">
        <v>0</v>
      </c>
      <c r="R947" t="n">
        <v>0</v>
      </c>
      <c r="S947" t="n">
        <v>0</v>
      </c>
      <c r="T947" t="n">
        <v>0</v>
      </c>
      <c r="U947" s="2" t="inlineStr"/>
    </row>
    <row r="948" ht="15" customHeight="1">
      <c r="A948" t="inlineStr">
        <is>
          <t>A 1425-2025</t>
        </is>
      </c>
      <c r="B948" t="inlineStr">
        <is>
          <t>avverkningsanmälan</t>
        </is>
      </c>
      <c r="C948" t="inlineStr">
        <is>
          <t>Föryngringsavverkning</t>
        </is>
      </c>
      <c r="D948" s="1" t="n">
        <v>45668</v>
      </c>
      <c r="E948" s="1" t="n">
        <v>46219</v>
      </c>
      <c r="F948" t="inlineStr">
        <is>
          <t>STOCKHOLMS LÄN</t>
        </is>
      </c>
      <c r="G948" t="inlineStr">
        <is>
          <t>NORRTÄLJE</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1453-2025</t>
        </is>
      </c>
      <c r="B949" t="inlineStr">
        <is>
          <t>avverkningsanmälan</t>
        </is>
      </c>
      <c r="C949" t="inlineStr">
        <is>
          <t>Avverkning för att bevara och utveckla /försöksver</t>
        </is>
      </c>
      <c r="D949" s="1" t="n">
        <v>45670</v>
      </c>
      <c r="E949" s="1" t="n">
        <v>46219</v>
      </c>
      <c r="F949" t="inlineStr">
        <is>
          <t>STOCKHOLMS LÄN</t>
        </is>
      </c>
      <c r="G949" t="inlineStr">
        <is>
          <t>NORRTÄLJE</t>
        </is>
      </c>
      <c r="I949" t="n">
        <v>2.6</v>
      </c>
      <c r="J949" t="n">
        <v>0</v>
      </c>
      <c r="K949" t="n">
        <v>0</v>
      </c>
      <c r="L949" t="n">
        <v>0</v>
      </c>
      <c r="M949" t="n">
        <v>0</v>
      </c>
      <c r="N949" t="n">
        <v>0</v>
      </c>
      <c r="O949" t="n">
        <v>0</v>
      </c>
      <c r="P949" t="n">
        <v>0</v>
      </c>
      <c r="Q949" t="n">
        <v>0</v>
      </c>
      <c r="R949" t="n">
        <v>0</v>
      </c>
      <c r="S949" t="n">
        <v>0</v>
      </c>
      <c r="T949" t="n">
        <v>0</v>
      </c>
      <c r="U949" s="2" t="inlineStr"/>
    </row>
    <row r="950" ht="15" customHeight="1">
      <c r="A950" t="inlineStr">
        <is>
          <t>A 6070-2022</t>
        </is>
      </c>
      <c r="B950" t="inlineStr">
        <is>
          <t>avverkningsanmälan</t>
        </is>
      </c>
      <c r="C950" t="inlineStr">
        <is>
          <t>Föryngringsavverkning</t>
        </is>
      </c>
      <c r="D950" s="1" t="n">
        <v>44599</v>
      </c>
      <c r="E950" s="1" t="n">
        <v>46219</v>
      </c>
      <c r="F950" t="inlineStr">
        <is>
          <t>STOCKHOLMS LÄN</t>
        </is>
      </c>
      <c r="G950" t="inlineStr">
        <is>
          <t>NORRTÄLJE</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33211-2025</t>
        </is>
      </c>
      <c r="B951" t="inlineStr">
        <is>
          <t>avverkningsanmälan</t>
        </is>
      </c>
      <c r="C951" t="inlineStr">
        <is>
          <t>Föryngringsavverkning</t>
        </is>
      </c>
      <c r="D951" s="1" t="n">
        <v>45840</v>
      </c>
      <c r="E951" s="1" t="n">
        <v>46219</v>
      </c>
      <c r="F951" t="inlineStr">
        <is>
          <t>STOCKHOLMS LÄN</t>
        </is>
      </c>
      <c r="G951" t="inlineStr">
        <is>
          <t>NORRTÄLJE</t>
        </is>
      </c>
      <c r="I951" t="n">
        <v>5.1</v>
      </c>
      <c r="J951" t="n">
        <v>0</v>
      </c>
      <c r="K951" t="n">
        <v>0</v>
      </c>
      <c r="L951" t="n">
        <v>0</v>
      </c>
      <c r="M951" t="n">
        <v>0</v>
      </c>
      <c r="N951" t="n">
        <v>0</v>
      </c>
      <c r="O951" t="n">
        <v>0</v>
      </c>
      <c r="P951" t="n">
        <v>0</v>
      </c>
      <c r="Q951" t="n">
        <v>0</v>
      </c>
      <c r="R951" t="n">
        <v>0</v>
      </c>
      <c r="S951" t="n">
        <v>0</v>
      </c>
      <c r="T951" t="n">
        <v>0</v>
      </c>
      <c r="U951" s="2" t="inlineStr"/>
    </row>
    <row r="952" ht="15" customHeight="1">
      <c r="A952" t="inlineStr">
        <is>
          <t>A 27828-2022</t>
        </is>
      </c>
      <c r="B952" t="inlineStr">
        <is>
          <t>avverkningsanmälan</t>
        </is>
      </c>
      <c r="C952" t="inlineStr">
        <is>
          <t>Föryngringsavverkning</t>
        </is>
      </c>
      <c r="D952" s="1" t="n">
        <v>44743</v>
      </c>
      <c r="E952" s="1" t="n">
        <v>46219</v>
      </c>
      <c r="F952" t="inlineStr">
        <is>
          <t>STOCKHOLMS LÄN</t>
        </is>
      </c>
      <c r="G952" t="inlineStr">
        <is>
          <t>NORRTÄLJE</t>
        </is>
      </c>
      <c r="H952" t="inlineStr">
        <is>
          <t>Kommuner</t>
        </is>
      </c>
      <c r="I952" t="n">
        <v>1.6</v>
      </c>
      <c r="J952" t="n">
        <v>0</v>
      </c>
      <c r="K952" t="n">
        <v>0</v>
      </c>
      <c r="L952" t="n">
        <v>0</v>
      </c>
      <c r="M952" t="n">
        <v>0</v>
      </c>
      <c r="N952" t="n">
        <v>0</v>
      </c>
      <c r="O952" t="n">
        <v>0</v>
      </c>
      <c r="P952" t="n">
        <v>0</v>
      </c>
      <c r="Q952" t="n">
        <v>0</v>
      </c>
      <c r="R952" t="n">
        <v>0</v>
      </c>
      <c r="S952" t="n">
        <v>0</v>
      </c>
      <c r="T952" t="n">
        <v>0</v>
      </c>
      <c r="U952" s="2" t="inlineStr"/>
    </row>
    <row r="953" ht="15" customHeight="1">
      <c r="A953" t="inlineStr">
        <is>
          <t>A 24351-2025</t>
        </is>
      </c>
      <c r="B953" t="inlineStr">
        <is>
          <t>avverkningsanmälan</t>
        </is>
      </c>
      <c r="C953" t="inlineStr">
        <is>
          <t>Föryngringsavverkning</t>
        </is>
      </c>
      <c r="D953" s="1" t="n">
        <v>45797</v>
      </c>
      <c r="E953" s="1" t="n">
        <v>46219</v>
      </c>
      <c r="F953" t="inlineStr">
        <is>
          <t>STOCKHOLMS LÄN</t>
        </is>
      </c>
      <c r="G953" t="inlineStr">
        <is>
          <t>NORRTÄLJE</t>
        </is>
      </c>
      <c r="I953" t="n">
        <v>1.5</v>
      </c>
      <c r="J953" t="n">
        <v>0</v>
      </c>
      <c r="K953" t="n">
        <v>0</v>
      </c>
      <c r="L953" t="n">
        <v>0</v>
      </c>
      <c r="M953" t="n">
        <v>0</v>
      </c>
      <c r="N953" t="n">
        <v>0</v>
      </c>
      <c r="O953" t="n">
        <v>0</v>
      </c>
      <c r="P953" t="n">
        <v>0</v>
      </c>
      <c r="Q953" t="n">
        <v>0</v>
      </c>
      <c r="R953" t="n">
        <v>0</v>
      </c>
      <c r="S953" t="n">
        <v>0</v>
      </c>
      <c r="T953" t="n">
        <v>0</v>
      </c>
      <c r="U953" s="2" t="inlineStr"/>
    </row>
    <row r="954" ht="15" customHeight="1">
      <c r="A954" t="inlineStr">
        <is>
          <t>A 32872-2025</t>
        </is>
      </c>
      <c r="B954" t="inlineStr">
        <is>
          <t>avverkningsanmälan</t>
        </is>
      </c>
      <c r="C954" t="inlineStr">
        <is>
          <t>Föryngringsavverkning</t>
        </is>
      </c>
      <c r="D954" s="1" t="n">
        <v>45839</v>
      </c>
      <c r="E954" s="1" t="n">
        <v>46219</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52251-2025</t>
        </is>
      </c>
      <c r="B955" t="inlineStr">
        <is>
          <t>avverkningsanmälan</t>
        </is>
      </c>
      <c r="C955" t="inlineStr">
        <is>
          <t>Föryngringsavverkning</t>
        </is>
      </c>
      <c r="D955" s="1" t="n">
        <v>45953</v>
      </c>
      <c r="E955" s="1" t="n">
        <v>46219</v>
      </c>
      <c r="F955" t="inlineStr">
        <is>
          <t>STOCKHOLMS LÄN</t>
        </is>
      </c>
      <c r="G955" t="inlineStr">
        <is>
          <t>NORRTÄLJE</t>
        </is>
      </c>
      <c r="I955" t="n">
        <v>6.2</v>
      </c>
      <c r="J955" t="n">
        <v>0</v>
      </c>
      <c r="K955" t="n">
        <v>0</v>
      </c>
      <c r="L955" t="n">
        <v>0</v>
      </c>
      <c r="M955" t="n">
        <v>0</v>
      </c>
      <c r="N955" t="n">
        <v>0</v>
      </c>
      <c r="O955" t="n">
        <v>0</v>
      </c>
      <c r="P955" t="n">
        <v>0</v>
      </c>
      <c r="Q955" t="n">
        <v>0</v>
      </c>
      <c r="R955" t="n">
        <v>0</v>
      </c>
      <c r="S955" t="n">
        <v>0</v>
      </c>
      <c r="T955" t="n">
        <v>0</v>
      </c>
      <c r="U955" s="2" t="inlineStr"/>
    </row>
    <row r="956" ht="15" customHeight="1">
      <c r="A956" t="inlineStr">
        <is>
          <t>A 32094-2025</t>
        </is>
      </c>
      <c r="B956" t="inlineStr">
        <is>
          <t>avverkningsanmälan</t>
        </is>
      </c>
      <c r="C956" t="inlineStr">
        <is>
          <t>Föryngringsavverkning</t>
        </is>
      </c>
      <c r="D956" s="1" t="n">
        <v>45835</v>
      </c>
      <c r="E956" s="1" t="n">
        <v>46219</v>
      </c>
      <c r="F956" t="inlineStr">
        <is>
          <t>STOCKHOLMS LÄN</t>
        </is>
      </c>
      <c r="G956" t="inlineStr">
        <is>
          <t>NORRTÄLJE</t>
        </is>
      </c>
      <c r="H956" t="inlineStr">
        <is>
          <t>Holmen skog AB</t>
        </is>
      </c>
      <c r="I956" t="n">
        <v>2.9</v>
      </c>
      <c r="J956" t="n">
        <v>0</v>
      </c>
      <c r="K956" t="n">
        <v>0</v>
      </c>
      <c r="L956" t="n">
        <v>0</v>
      </c>
      <c r="M956" t="n">
        <v>0</v>
      </c>
      <c r="N956" t="n">
        <v>0</v>
      </c>
      <c r="O956" t="n">
        <v>0</v>
      </c>
      <c r="P956" t="n">
        <v>0</v>
      </c>
      <c r="Q956" t="n">
        <v>0</v>
      </c>
      <c r="R956" t="n">
        <v>0</v>
      </c>
      <c r="S956" t="n">
        <v>0</v>
      </c>
      <c r="T956" t="n">
        <v>0</v>
      </c>
      <c r="U956" s="2" t="inlineStr"/>
    </row>
    <row r="957" ht="15" customHeight="1">
      <c r="A957" t="inlineStr">
        <is>
          <t>A 59873-2024</t>
        </is>
      </c>
      <c r="B957" t="inlineStr">
        <is>
          <t>avverkningsanmälan</t>
        </is>
      </c>
      <c r="C957" t="inlineStr">
        <is>
          <t>Föryngringsavverkning</t>
        </is>
      </c>
      <c r="D957" s="1" t="n">
        <v>45640</v>
      </c>
      <c r="E957" s="1" t="n">
        <v>46219</v>
      </c>
      <c r="F957" t="inlineStr">
        <is>
          <t>STOCKHOLMS LÄN</t>
        </is>
      </c>
      <c r="G957" t="inlineStr">
        <is>
          <t>NORRTÄLJE</t>
        </is>
      </c>
      <c r="I957" t="n">
        <v>3.3</v>
      </c>
      <c r="J957" t="n">
        <v>0</v>
      </c>
      <c r="K957" t="n">
        <v>0</v>
      </c>
      <c r="L957" t="n">
        <v>0</v>
      </c>
      <c r="M957" t="n">
        <v>0</v>
      </c>
      <c r="N957" t="n">
        <v>0</v>
      </c>
      <c r="O957" t="n">
        <v>0</v>
      </c>
      <c r="P957" t="n">
        <v>0</v>
      </c>
      <c r="Q957" t="n">
        <v>0</v>
      </c>
      <c r="R957" t="n">
        <v>0</v>
      </c>
      <c r="S957" t="n">
        <v>0</v>
      </c>
      <c r="T957" t="n">
        <v>0</v>
      </c>
      <c r="U957" s="2" t="inlineStr"/>
    </row>
    <row r="958" ht="15" customHeight="1">
      <c r="A958" t="inlineStr">
        <is>
          <t>A 48161-2022</t>
        </is>
      </c>
      <c r="B958" t="inlineStr">
        <is>
          <t>avverkningsanmälan</t>
        </is>
      </c>
      <c r="C958" t="inlineStr">
        <is>
          <t>Föryngringsavverkning</t>
        </is>
      </c>
      <c r="D958" s="1" t="n">
        <v>44858</v>
      </c>
      <c r="E958" s="1" t="n">
        <v>46219</v>
      </c>
      <c r="F958" t="inlineStr">
        <is>
          <t>STOCKHOLMS LÄN</t>
        </is>
      </c>
      <c r="G958" t="inlineStr">
        <is>
          <t>NORRTÄLJE</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33336-2025</t>
        </is>
      </c>
      <c r="B959" t="inlineStr">
        <is>
          <t>avverkningsanmälan</t>
        </is>
      </c>
      <c r="C959" t="inlineStr">
        <is>
          <t>Avverkning för att bevara och utveckla /försöksver</t>
        </is>
      </c>
      <c r="D959" s="1" t="n">
        <v>45841</v>
      </c>
      <c r="E959" s="1" t="n">
        <v>46219</v>
      </c>
      <c r="F959" t="inlineStr">
        <is>
          <t>STOCKHOLMS LÄN</t>
        </is>
      </c>
      <c r="G959" t="inlineStr">
        <is>
          <t>NORRTÄLJE</t>
        </is>
      </c>
      <c r="I959" t="n">
        <v>2.4</v>
      </c>
      <c r="J959" t="n">
        <v>0</v>
      </c>
      <c r="K959" t="n">
        <v>0</v>
      </c>
      <c r="L959" t="n">
        <v>0</v>
      </c>
      <c r="M959" t="n">
        <v>0</v>
      </c>
      <c r="N959" t="n">
        <v>0</v>
      </c>
      <c r="O959" t="n">
        <v>0</v>
      </c>
      <c r="P959" t="n">
        <v>0</v>
      </c>
      <c r="Q959" t="n">
        <v>0</v>
      </c>
      <c r="R959" t="n">
        <v>0</v>
      </c>
      <c r="S959" t="n">
        <v>0</v>
      </c>
      <c r="T959" t="n">
        <v>0</v>
      </c>
      <c r="U959" s="2" t="inlineStr"/>
    </row>
    <row r="960" ht="15" customHeight="1">
      <c r="A960" t="inlineStr">
        <is>
          <t>A 23307-2024</t>
        </is>
      </c>
      <c r="B960" t="inlineStr">
        <is>
          <t>avverkningsanmälan</t>
        </is>
      </c>
      <c r="C960" t="inlineStr">
        <is>
          <t>Föryngringsavverkning</t>
        </is>
      </c>
      <c r="D960" s="1" t="n">
        <v>45453</v>
      </c>
      <c r="E960" s="1" t="n">
        <v>46219</v>
      </c>
      <c r="F960" t="inlineStr">
        <is>
          <t>STOCKHOLMS LÄN</t>
        </is>
      </c>
      <c r="G960" t="inlineStr">
        <is>
          <t>NORRTÄLJE</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2281-2024</t>
        </is>
      </c>
      <c r="B961" t="inlineStr">
        <is>
          <t>avverkningsanmälan</t>
        </is>
      </c>
      <c r="C961" t="inlineStr">
        <is>
          <t>Föryngringsavverkning</t>
        </is>
      </c>
      <c r="D961" s="1" t="n">
        <v>45310</v>
      </c>
      <c r="E961" s="1" t="n">
        <v>46219</v>
      </c>
      <c r="F961" t="inlineStr">
        <is>
          <t>STOCKHOLMS LÄN</t>
        </is>
      </c>
      <c r="G961" t="inlineStr">
        <is>
          <t>NORRTÄLJE</t>
        </is>
      </c>
      <c r="I961" t="n">
        <v>2.7</v>
      </c>
      <c r="J961" t="n">
        <v>0</v>
      </c>
      <c r="K961" t="n">
        <v>0</v>
      </c>
      <c r="L961" t="n">
        <v>0</v>
      </c>
      <c r="M961" t="n">
        <v>0</v>
      </c>
      <c r="N961" t="n">
        <v>0</v>
      </c>
      <c r="O961" t="n">
        <v>0</v>
      </c>
      <c r="P961" t="n">
        <v>0</v>
      </c>
      <c r="Q961" t="n">
        <v>0</v>
      </c>
      <c r="R961" t="n">
        <v>0</v>
      </c>
      <c r="S961" t="n">
        <v>0</v>
      </c>
      <c r="T961" t="n">
        <v>0</v>
      </c>
      <c r="U961" s="2" t="inlineStr"/>
    </row>
    <row r="962" ht="15" customHeight="1">
      <c r="A962" t="inlineStr">
        <is>
          <t>A 2287-2024</t>
        </is>
      </c>
      <c r="B962" t="inlineStr">
        <is>
          <t>avverkningsanmälan</t>
        </is>
      </c>
      <c r="C962" t="inlineStr">
        <is>
          <t>Föryngringsavverkning</t>
        </is>
      </c>
      <c r="D962" s="1" t="n">
        <v>45310</v>
      </c>
      <c r="E962" s="1" t="n">
        <v>46219</v>
      </c>
      <c r="F962" t="inlineStr">
        <is>
          <t>STOCKHOLMS LÄN</t>
        </is>
      </c>
      <c r="G962" t="inlineStr">
        <is>
          <t>NORRTÄLJE</t>
        </is>
      </c>
      <c r="I962" t="n">
        <v>1.2</v>
      </c>
      <c r="J962" t="n">
        <v>0</v>
      </c>
      <c r="K962" t="n">
        <v>0</v>
      </c>
      <c r="L962" t="n">
        <v>0</v>
      </c>
      <c r="M962" t="n">
        <v>0</v>
      </c>
      <c r="N962" t="n">
        <v>0</v>
      </c>
      <c r="O962" t="n">
        <v>0</v>
      </c>
      <c r="P962" t="n">
        <v>0</v>
      </c>
      <c r="Q962" t="n">
        <v>0</v>
      </c>
      <c r="R962" t="n">
        <v>0</v>
      </c>
      <c r="S962" t="n">
        <v>0</v>
      </c>
      <c r="T962" t="n">
        <v>0</v>
      </c>
      <c r="U962" s="2" t="inlineStr"/>
    </row>
    <row r="963" ht="15" customHeight="1">
      <c r="A963" t="inlineStr">
        <is>
          <t>A 37628-2025</t>
        </is>
      </c>
      <c r="B963" t="inlineStr">
        <is>
          <t>avverkningsanmälan</t>
        </is>
      </c>
      <c r="C963" t="inlineStr">
        <is>
          <t>Föryngringsavverkning</t>
        </is>
      </c>
      <c r="D963" s="1" t="n">
        <v>45880</v>
      </c>
      <c r="E963" s="1" t="n">
        <v>46219</v>
      </c>
      <c r="F963" t="inlineStr">
        <is>
          <t>STOCKHOLMS LÄN</t>
        </is>
      </c>
      <c r="G963" t="inlineStr">
        <is>
          <t>NORRTÄLJE</t>
        </is>
      </c>
      <c r="H963" t="inlineStr">
        <is>
          <t>Sveaskog</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20618-2022</t>
        </is>
      </c>
      <c r="B964" t="inlineStr">
        <is>
          <t>avverkningsanmälan</t>
        </is>
      </c>
      <c r="C964" t="inlineStr">
        <is>
          <t>Föryngringsavverkning</t>
        </is>
      </c>
      <c r="D964" s="1" t="n">
        <v>44700</v>
      </c>
      <c r="E964" s="1" t="n">
        <v>46219</v>
      </c>
      <c r="F964" t="inlineStr">
        <is>
          <t>STOCKHOLMS LÄN</t>
        </is>
      </c>
      <c r="G964" t="inlineStr">
        <is>
          <t>NORRTÄLJE</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26210-2026</t>
        </is>
      </c>
      <c r="B965" t="inlineStr">
        <is>
          <t>avverkningsanmälan</t>
        </is>
      </c>
      <c r="C965" t="inlineStr">
        <is>
          <t>Föryngringsavverkning</t>
        </is>
      </c>
      <c r="D965" s="1" t="n">
        <v>46182</v>
      </c>
      <c r="E965" s="1" t="n">
        <v>46219</v>
      </c>
      <c r="F965" t="inlineStr">
        <is>
          <t>STOCKHOLMS LÄN</t>
        </is>
      </c>
      <c r="G965" t="inlineStr">
        <is>
          <t>NORRTÄLJE</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59504-2023</t>
        </is>
      </c>
      <c r="B966" t="inlineStr">
        <is>
          <t>avverkningsanmälan</t>
        </is>
      </c>
      <c r="C966" t="inlineStr">
        <is>
          <t>Avverkning för annat ändamål</t>
        </is>
      </c>
      <c r="D966" s="1" t="n">
        <v>45254</v>
      </c>
      <c r="E966" s="1" t="n">
        <v>46219</v>
      </c>
      <c r="F966" t="inlineStr">
        <is>
          <t>STOCKHOLMS LÄN</t>
        </is>
      </c>
      <c r="G966" t="inlineStr">
        <is>
          <t>NORRTÄLJE</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13785-2024</t>
        </is>
      </c>
      <c r="B967" t="inlineStr">
        <is>
          <t>avverkningsanmälan</t>
        </is>
      </c>
      <c r="C967" t="inlineStr">
        <is>
          <t>Föryngringsavverkning</t>
        </is>
      </c>
      <c r="D967" s="1" t="n">
        <v>45391</v>
      </c>
      <c r="E967" s="1" t="n">
        <v>46219</v>
      </c>
      <c r="F967" t="inlineStr">
        <is>
          <t>STOCKHOLMS LÄN</t>
        </is>
      </c>
      <c r="G967" t="inlineStr">
        <is>
          <t>NORRTÄLJE</t>
        </is>
      </c>
      <c r="I967" t="n">
        <v>5</v>
      </c>
      <c r="J967" t="n">
        <v>0</v>
      </c>
      <c r="K967" t="n">
        <v>0</v>
      </c>
      <c r="L967" t="n">
        <v>0</v>
      </c>
      <c r="M967" t="n">
        <v>0</v>
      </c>
      <c r="N967" t="n">
        <v>0</v>
      </c>
      <c r="O967" t="n">
        <v>0</v>
      </c>
      <c r="P967" t="n">
        <v>0</v>
      </c>
      <c r="Q967" t="n">
        <v>0</v>
      </c>
      <c r="R967" t="n">
        <v>0</v>
      </c>
      <c r="S967" t="n">
        <v>0</v>
      </c>
      <c r="T967" t="n">
        <v>0</v>
      </c>
      <c r="U967" s="2" t="inlineStr"/>
    </row>
    <row r="968" ht="15" customHeight="1">
      <c r="A968" t="inlineStr">
        <is>
          <t>A 1654-2025</t>
        </is>
      </c>
      <c r="B968" t="inlineStr">
        <is>
          <t>avverkningsanmälan</t>
        </is>
      </c>
      <c r="C968" t="inlineStr">
        <is>
          <t>Föryngringsavverkning</t>
        </is>
      </c>
      <c r="D968" s="1" t="n">
        <v>45670</v>
      </c>
      <c r="E968" s="1" t="n">
        <v>46219</v>
      </c>
      <c r="F968" t="inlineStr">
        <is>
          <t>STOCKHOLMS LÄN</t>
        </is>
      </c>
      <c r="G968" t="inlineStr">
        <is>
          <t>NORRTÄLJE</t>
        </is>
      </c>
      <c r="I968" t="n">
        <v>2.5</v>
      </c>
      <c r="J968" t="n">
        <v>0</v>
      </c>
      <c r="K968" t="n">
        <v>0</v>
      </c>
      <c r="L968" t="n">
        <v>0</v>
      </c>
      <c r="M968" t="n">
        <v>0</v>
      </c>
      <c r="N968" t="n">
        <v>0</v>
      </c>
      <c r="O968" t="n">
        <v>0</v>
      </c>
      <c r="P968" t="n">
        <v>0</v>
      </c>
      <c r="Q968" t="n">
        <v>0</v>
      </c>
      <c r="R968" t="n">
        <v>0</v>
      </c>
      <c r="S968" t="n">
        <v>0</v>
      </c>
      <c r="T968" t="n">
        <v>0</v>
      </c>
      <c r="U968" s="2" t="inlineStr"/>
    </row>
    <row r="969" ht="15" customHeight="1">
      <c r="A969" t="inlineStr">
        <is>
          <t>A 25656-2023</t>
        </is>
      </c>
      <c r="B969" t="inlineStr">
        <is>
          <t>avverkningsanmälan</t>
        </is>
      </c>
      <c r="C969" t="inlineStr">
        <is>
          <t>Föryngringsavverkning</t>
        </is>
      </c>
      <c r="D969" s="1" t="n">
        <v>45089</v>
      </c>
      <c r="E969" s="1" t="n">
        <v>46219</v>
      </c>
      <c r="F969" t="inlineStr">
        <is>
          <t>STOCKHOLMS LÄN</t>
        </is>
      </c>
      <c r="G969" t="inlineStr">
        <is>
          <t>NORRTÄLJE</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38049-2023</t>
        </is>
      </c>
      <c r="B970" t="inlineStr">
        <is>
          <t>avverkningsanmälan</t>
        </is>
      </c>
      <c r="C970" t="inlineStr">
        <is>
          <t>Föryngringsavverkning</t>
        </is>
      </c>
      <c r="D970" s="1" t="n">
        <v>45159</v>
      </c>
      <c r="E970" s="1" t="n">
        <v>46219</v>
      </c>
      <c r="F970" t="inlineStr">
        <is>
          <t>STOCKHOLMS LÄN</t>
        </is>
      </c>
      <c r="G970" t="inlineStr">
        <is>
          <t>NORRTÄLJE</t>
        </is>
      </c>
      <c r="I970" t="n">
        <v>3.6</v>
      </c>
      <c r="J970" t="n">
        <v>0</v>
      </c>
      <c r="K970" t="n">
        <v>0</v>
      </c>
      <c r="L970" t="n">
        <v>0</v>
      </c>
      <c r="M970" t="n">
        <v>0</v>
      </c>
      <c r="N970" t="n">
        <v>0</v>
      </c>
      <c r="O970" t="n">
        <v>0</v>
      </c>
      <c r="P970" t="n">
        <v>0</v>
      </c>
      <c r="Q970" t="n">
        <v>0</v>
      </c>
      <c r="R970" t="n">
        <v>0</v>
      </c>
      <c r="S970" t="n">
        <v>0</v>
      </c>
      <c r="T970" t="n">
        <v>0</v>
      </c>
      <c r="U970" s="2" t="inlineStr"/>
    </row>
    <row r="971" ht="15" customHeight="1">
      <c r="A971" t="inlineStr">
        <is>
          <t>A 46073-2024</t>
        </is>
      </c>
      <c r="B971" t="inlineStr">
        <is>
          <t>avverkningsanmälan</t>
        </is>
      </c>
      <c r="C971" t="inlineStr">
        <is>
          <t>Föryngringsavverkning</t>
        </is>
      </c>
      <c r="D971" s="1" t="n">
        <v>45581</v>
      </c>
      <c r="E971" s="1" t="n">
        <v>46219</v>
      </c>
      <c r="F971" t="inlineStr">
        <is>
          <t>STOCKHOLMS LÄN</t>
        </is>
      </c>
      <c r="G971" t="inlineStr">
        <is>
          <t>NORRTÄLJE</t>
        </is>
      </c>
      <c r="I971" t="n">
        <v>2</v>
      </c>
      <c r="J971" t="n">
        <v>0</v>
      </c>
      <c r="K971" t="n">
        <v>0</v>
      </c>
      <c r="L971" t="n">
        <v>0</v>
      </c>
      <c r="M971" t="n">
        <v>0</v>
      </c>
      <c r="N971" t="n">
        <v>0</v>
      </c>
      <c r="O971" t="n">
        <v>0</v>
      </c>
      <c r="P971" t="n">
        <v>0</v>
      </c>
      <c r="Q971" t="n">
        <v>0</v>
      </c>
      <c r="R971" t="n">
        <v>0</v>
      </c>
      <c r="S971" t="n">
        <v>0</v>
      </c>
      <c r="T971" t="n">
        <v>0</v>
      </c>
      <c r="U971" s="2" t="inlineStr"/>
    </row>
    <row r="972" ht="15" customHeight="1">
      <c r="A972" t="inlineStr">
        <is>
          <t>A 3966-2024</t>
        </is>
      </c>
      <c r="B972" t="inlineStr">
        <is>
          <t>avverkningsanmälan</t>
        </is>
      </c>
      <c r="C972" t="inlineStr">
        <is>
          <t>Föryngringsavverkning</t>
        </is>
      </c>
      <c r="D972" s="1" t="n">
        <v>45322</v>
      </c>
      <c r="E972" s="1" t="n">
        <v>46219</v>
      </c>
      <c r="F972" t="inlineStr">
        <is>
          <t>STOCKHOLMS LÄN</t>
        </is>
      </c>
      <c r="G972" t="inlineStr">
        <is>
          <t>NORRTÄLJE</t>
        </is>
      </c>
      <c r="I972" t="n">
        <v>5.3</v>
      </c>
      <c r="J972" t="n">
        <v>0</v>
      </c>
      <c r="K972" t="n">
        <v>0</v>
      </c>
      <c r="L972" t="n">
        <v>0</v>
      </c>
      <c r="M972" t="n">
        <v>0</v>
      </c>
      <c r="N972" t="n">
        <v>0</v>
      </c>
      <c r="O972" t="n">
        <v>0</v>
      </c>
      <c r="P972" t="n">
        <v>0</v>
      </c>
      <c r="Q972" t="n">
        <v>0</v>
      </c>
      <c r="R972" t="n">
        <v>0</v>
      </c>
      <c r="S972" t="n">
        <v>0</v>
      </c>
      <c r="T972" t="n">
        <v>0</v>
      </c>
      <c r="U972" s="2" t="inlineStr"/>
    </row>
    <row r="973" ht="15" customHeight="1">
      <c r="A973" t="inlineStr">
        <is>
          <t>A 36689-2023</t>
        </is>
      </c>
      <c r="B973" t="inlineStr">
        <is>
          <t>avverkningsanmälan</t>
        </is>
      </c>
      <c r="C973" t="inlineStr">
        <is>
          <t>Föryngringsavverkning</t>
        </is>
      </c>
      <c r="D973" s="1" t="n">
        <v>45152</v>
      </c>
      <c r="E973" s="1" t="n">
        <v>46219</v>
      </c>
      <c r="F973" t="inlineStr">
        <is>
          <t>STOCKHOLMS LÄN</t>
        </is>
      </c>
      <c r="G973" t="inlineStr">
        <is>
          <t>NORRTÄLJE</t>
        </is>
      </c>
      <c r="I973" t="n">
        <v>1.8</v>
      </c>
      <c r="J973" t="n">
        <v>0</v>
      </c>
      <c r="K973" t="n">
        <v>0</v>
      </c>
      <c r="L973" t="n">
        <v>0</v>
      </c>
      <c r="M973" t="n">
        <v>0</v>
      </c>
      <c r="N973" t="n">
        <v>0</v>
      </c>
      <c r="O973" t="n">
        <v>0</v>
      </c>
      <c r="P973" t="n">
        <v>0</v>
      </c>
      <c r="Q973" t="n">
        <v>0</v>
      </c>
      <c r="R973" t="n">
        <v>0</v>
      </c>
      <c r="S973" t="n">
        <v>0</v>
      </c>
      <c r="T973" t="n">
        <v>0</v>
      </c>
      <c r="U973" s="2" t="inlineStr"/>
    </row>
    <row r="974" ht="15" customHeight="1">
      <c r="A974" t="inlineStr">
        <is>
          <t>A 25968-2026</t>
        </is>
      </c>
      <c r="B974" t="inlineStr">
        <is>
          <t>avverkningsanmälan</t>
        </is>
      </c>
      <c r="C974" t="inlineStr">
        <is>
          <t>Föryngringsavverkning</t>
        </is>
      </c>
      <c r="D974" s="1" t="n">
        <v>46181</v>
      </c>
      <c r="E974" s="1" t="n">
        <v>46219</v>
      </c>
      <c r="F974" t="inlineStr">
        <is>
          <t>STOCKHOLMS LÄN</t>
        </is>
      </c>
      <c r="G974" t="inlineStr">
        <is>
          <t>NORRTÄLJE</t>
        </is>
      </c>
      <c r="H974" t="inlineStr">
        <is>
          <t>Kyrkan</t>
        </is>
      </c>
      <c r="I974" t="n">
        <v>3.6</v>
      </c>
      <c r="J974" t="n">
        <v>0</v>
      </c>
      <c r="K974" t="n">
        <v>0</v>
      </c>
      <c r="L974" t="n">
        <v>0</v>
      </c>
      <c r="M974" t="n">
        <v>0</v>
      </c>
      <c r="N974" t="n">
        <v>0</v>
      </c>
      <c r="O974" t="n">
        <v>0</v>
      </c>
      <c r="P974" t="n">
        <v>0</v>
      </c>
      <c r="Q974" t="n">
        <v>0</v>
      </c>
      <c r="R974" t="n">
        <v>0</v>
      </c>
      <c r="S974" t="n">
        <v>0</v>
      </c>
      <c r="T974" t="n">
        <v>0</v>
      </c>
      <c r="U974" s="2" t="inlineStr"/>
    </row>
    <row r="975" ht="15" customHeight="1">
      <c r="A975" t="inlineStr">
        <is>
          <t>A 47521-2024</t>
        </is>
      </c>
      <c r="B975" t="inlineStr">
        <is>
          <t>avverkningsanmälan</t>
        </is>
      </c>
      <c r="C975" t="inlineStr">
        <is>
          <t>Föryngringsavverkning</t>
        </is>
      </c>
      <c r="D975" s="1" t="n">
        <v>45587</v>
      </c>
      <c r="E975" s="1" t="n">
        <v>46219</v>
      </c>
      <c r="F975" t="inlineStr">
        <is>
          <t>STOCKHOLMS LÄN</t>
        </is>
      </c>
      <c r="G975" t="inlineStr">
        <is>
          <t>NORRTÄLJE</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7806-2025</t>
        </is>
      </c>
      <c r="B976" t="inlineStr">
        <is>
          <t>avverkningsanmälan</t>
        </is>
      </c>
      <c r="C976" t="inlineStr">
        <is>
          <t>Föryngringsavverkning</t>
        </is>
      </c>
      <c r="D976" s="1" t="n">
        <v>45706</v>
      </c>
      <c r="E976" s="1" t="n">
        <v>46219</v>
      </c>
      <c r="F976" t="inlineStr">
        <is>
          <t>STOCKHOLMS LÄN</t>
        </is>
      </c>
      <c r="G976" t="inlineStr">
        <is>
          <t>NORRTÄLJE</t>
        </is>
      </c>
      <c r="H976" t="inlineStr">
        <is>
          <t>Holmen skog AB</t>
        </is>
      </c>
      <c r="I976" t="n">
        <v>3.5</v>
      </c>
      <c r="J976" t="n">
        <v>0</v>
      </c>
      <c r="K976" t="n">
        <v>0</v>
      </c>
      <c r="L976" t="n">
        <v>0</v>
      </c>
      <c r="M976" t="n">
        <v>0</v>
      </c>
      <c r="N976" t="n">
        <v>0</v>
      </c>
      <c r="O976" t="n">
        <v>0</v>
      </c>
      <c r="P976" t="n">
        <v>0</v>
      </c>
      <c r="Q976" t="n">
        <v>0</v>
      </c>
      <c r="R976" t="n">
        <v>0</v>
      </c>
      <c r="S976" t="n">
        <v>0</v>
      </c>
      <c r="T976" t="n">
        <v>0</v>
      </c>
      <c r="U976" s="2" t="inlineStr"/>
    </row>
    <row r="977" ht="15" customHeight="1">
      <c r="A977" t="inlineStr">
        <is>
          <t>A 11041-2025</t>
        </is>
      </c>
      <c r="B977" t="inlineStr">
        <is>
          <t>avverkningsanmälan</t>
        </is>
      </c>
      <c r="C977" t="inlineStr">
        <is>
          <t>Föryngringsavverkning</t>
        </is>
      </c>
      <c r="D977" s="1" t="n">
        <v>45723</v>
      </c>
      <c r="E977" s="1" t="n">
        <v>46219</v>
      </c>
      <c r="F977" t="inlineStr">
        <is>
          <t>STOCKHOLMS LÄN</t>
        </is>
      </c>
      <c r="G977" t="inlineStr">
        <is>
          <t>NORRTÄLJE</t>
        </is>
      </c>
      <c r="H977" t="inlineStr">
        <is>
          <t>Övriga Aktiebolag</t>
        </is>
      </c>
      <c r="I977" t="n">
        <v>1.8</v>
      </c>
      <c r="J977" t="n">
        <v>0</v>
      </c>
      <c r="K977" t="n">
        <v>0</v>
      </c>
      <c r="L977" t="n">
        <v>0</v>
      </c>
      <c r="M977" t="n">
        <v>0</v>
      </c>
      <c r="N977" t="n">
        <v>0</v>
      </c>
      <c r="O977" t="n">
        <v>0</v>
      </c>
      <c r="P977" t="n">
        <v>0</v>
      </c>
      <c r="Q977" t="n">
        <v>0</v>
      </c>
      <c r="R977" t="n">
        <v>0</v>
      </c>
      <c r="S977" t="n">
        <v>0</v>
      </c>
      <c r="T977" t="n">
        <v>0</v>
      </c>
      <c r="U977" s="2" t="inlineStr"/>
    </row>
    <row r="978" ht="15" customHeight="1">
      <c r="A978" t="inlineStr">
        <is>
          <t>A 35110-2025</t>
        </is>
      </c>
      <c r="B978" t="inlineStr">
        <is>
          <t>avverkningsanmälan</t>
        </is>
      </c>
      <c r="C978" t="inlineStr">
        <is>
          <t>Föryngringsavverkning</t>
        </is>
      </c>
      <c r="D978" s="1" t="n">
        <v>45852</v>
      </c>
      <c r="E978" s="1" t="n">
        <v>46219</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26083-2026</t>
        </is>
      </c>
      <c r="B979" t="inlineStr">
        <is>
          <t>avverkningsanmälan</t>
        </is>
      </c>
      <c r="C979" t="inlineStr">
        <is>
          <t>Föryngringsavverkning</t>
        </is>
      </c>
      <c r="D979" s="1" t="n">
        <v>46181</v>
      </c>
      <c r="E979" s="1" t="n">
        <v>46219</v>
      </c>
      <c r="F979" t="inlineStr">
        <is>
          <t>STOCKHOLMS LÄN</t>
        </is>
      </c>
      <c r="G979" t="inlineStr">
        <is>
          <t>NORRTÄLJE</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55503-2025</t>
        </is>
      </c>
      <c r="B980" t="inlineStr">
        <is>
          <t>avverkningsanmälan</t>
        </is>
      </c>
      <c r="C980" t="inlineStr">
        <is>
          <t>Föryngringsavverkning</t>
        </is>
      </c>
      <c r="D980" s="1" t="n">
        <v>45971</v>
      </c>
      <c r="E980" s="1" t="n">
        <v>46219</v>
      </c>
      <c r="F980" t="inlineStr">
        <is>
          <t>STOCKHOLMS LÄN</t>
        </is>
      </c>
      <c r="G980" t="inlineStr">
        <is>
          <t>NORRTÄLJE</t>
        </is>
      </c>
      <c r="I980" t="n">
        <v>3</v>
      </c>
      <c r="J980" t="n">
        <v>0</v>
      </c>
      <c r="K980" t="n">
        <v>0</v>
      </c>
      <c r="L980" t="n">
        <v>0</v>
      </c>
      <c r="M980" t="n">
        <v>0</v>
      </c>
      <c r="N980" t="n">
        <v>0</v>
      </c>
      <c r="O980" t="n">
        <v>0</v>
      </c>
      <c r="P980" t="n">
        <v>0</v>
      </c>
      <c r="Q980" t="n">
        <v>0</v>
      </c>
      <c r="R980" t="n">
        <v>0</v>
      </c>
      <c r="S980" t="n">
        <v>0</v>
      </c>
      <c r="T980" t="n">
        <v>0</v>
      </c>
      <c r="U980" s="2" t="inlineStr"/>
    </row>
    <row r="981" ht="15" customHeight="1">
      <c r="A981" t="inlineStr">
        <is>
          <t>A 35479-2025</t>
        </is>
      </c>
      <c r="B981" t="inlineStr">
        <is>
          <t>avverkningsanmälan</t>
        </is>
      </c>
      <c r="C981" t="inlineStr">
        <is>
          <t>Föryngringsavverkning</t>
        </is>
      </c>
      <c r="D981" s="1" t="n">
        <v>45855</v>
      </c>
      <c r="E981" s="1" t="n">
        <v>46219</v>
      </c>
      <c r="F981" t="inlineStr">
        <is>
          <t>STOCKHOLMS LÄN</t>
        </is>
      </c>
      <c r="G981" t="inlineStr">
        <is>
          <t>NORRTÄLJE</t>
        </is>
      </c>
      <c r="H981" t="inlineStr">
        <is>
          <t>Holmen skog AB</t>
        </is>
      </c>
      <c r="I981" t="n">
        <v>1.8</v>
      </c>
      <c r="J981" t="n">
        <v>0</v>
      </c>
      <c r="K981" t="n">
        <v>0</v>
      </c>
      <c r="L981" t="n">
        <v>0</v>
      </c>
      <c r="M981" t="n">
        <v>0</v>
      </c>
      <c r="N981" t="n">
        <v>0</v>
      </c>
      <c r="O981" t="n">
        <v>0</v>
      </c>
      <c r="P981" t="n">
        <v>0</v>
      </c>
      <c r="Q981" t="n">
        <v>0</v>
      </c>
      <c r="R981" t="n">
        <v>0</v>
      </c>
      <c r="S981" t="n">
        <v>0</v>
      </c>
      <c r="T981" t="n">
        <v>0</v>
      </c>
      <c r="U981" s="2" t="inlineStr"/>
    </row>
    <row r="982" ht="15" customHeight="1">
      <c r="A982" t="inlineStr">
        <is>
          <t>A 35478-2025</t>
        </is>
      </c>
      <c r="B982" t="inlineStr">
        <is>
          <t>avverkningsanmälan</t>
        </is>
      </c>
      <c r="C982" t="inlineStr">
        <is>
          <t>Föryngringsavverkning</t>
        </is>
      </c>
      <c r="D982" s="1" t="n">
        <v>45855</v>
      </c>
      <c r="E982" s="1" t="n">
        <v>46219</v>
      </c>
      <c r="F982" t="inlineStr">
        <is>
          <t>STOCKHOLMS LÄN</t>
        </is>
      </c>
      <c r="G982" t="inlineStr">
        <is>
          <t>NORRTÄLJE</t>
        </is>
      </c>
      <c r="H982" t="inlineStr">
        <is>
          <t>Holmen skog AB</t>
        </is>
      </c>
      <c r="I982" t="n">
        <v>2.7</v>
      </c>
      <c r="J982" t="n">
        <v>0</v>
      </c>
      <c r="K982" t="n">
        <v>0</v>
      </c>
      <c r="L982" t="n">
        <v>0</v>
      </c>
      <c r="M982" t="n">
        <v>0</v>
      </c>
      <c r="N982" t="n">
        <v>0</v>
      </c>
      <c r="O982" t="n">
        <v>0</v>
      </c>
      <c r="P982" t="n">
        <v>0</v>
      </c>
      <c r="Q982" t="n">
        <v>0</v>
      </c>
      <c r="R982" t="n">
        <v>0</v>
      </c>
      <c r="S982" t="n">
        <v>0</v>
      </c>
      <c r="T982" t="n">
        <v>0</v>
      </c>
      <c r="U982" s="2" t="inlineStr"/>
    </row>
    <row r="983" ht="15" customHeight="1">
      <c r="A983" t="inlineStr">
        <is>
          <t>A 25919-2026</t>
        </is>
      </c>
      <c r="B983" t="inlineStr">
        <is>
          <t>avverkningsanmälan</t>
        </is>
      </c>
      <c r="C983" t="inlineStr">
        <is>
          <t>Föryngringsavverkning</t>
        </is>
      </c>
      <c r="D983" s="1" t="n">
        <v>46178</v>
      </c>
      <c r="E983" s="1" t="n">
        <v>46219</v>
      </c>
      <c r="F983" t="inlineStr">
        <is>
          <t>STOCKHOLMS LÄN</t>
        </is>
      </c>
      <c r="G983" t="inlineStr">
        <is>
          <t>NORRTÄLJE</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20698-2025</t>
        </is>
      </c>
      <c r="B984" t="inlineStr">
        <is>
          <t>avverkningsanmälan</t>
        </is>
      </c>
      <c r="C984" t="inlineStr">
        <is>
          <t>Föryngringsavverkning</t>
        </is>
      </c>
      <c r="D984" s="1" t="n">
        <v>45776</v>
      </c>
      <c r="E984" s="1" t="n">
        <v>46219</v>
      </c>
      <c r="F984" t="inlineStr">
        <is>
          <t>STOCKHOLMS LÄN</t>
        </is>
      </c>
      <c r="G984" t="inlineStr">
        <is>
          <t>NORRTÄLJE</t>
        </is>
      </c>
      <c r="I984" t="n">
        <v>1.7</v>
      </c>
      <c r="J984" t="n">
        <v>0</v>
      </c>
      <c r="K984" t="n">
        <v>0</v>
      </c>
      <c r="L984" t="n">
        <v>0</v>
      </c>
      <c r="M984" t="n">
        <v>0</v>
      </c>
      <c r="N984" t="n">
        <v>0</v>
      </c>
      <c r="O984" t="n">
        <v>0</v>
      </c>
      <c r="P984" t="n">
        <v>0</v>
      </c>
      <c r="Q984" t="n">
        <v>0</v>
      </c>
      <c r="R984" t="n">
        <v>0</v>
      </c>
      <c r="S984" t="n">
        <v>0</v>
      </c>
      <c r="T984" t="n">
        <v>0</v>
      </c>
      <c r="U984" s="2" t="inlineStr"/>
    </row>
    <row r="985" ht="15" customHeight="1">
      <c r="A985" t="inlineStr">
        <is>
          <t>A 22232-2024</t>
        </is>
      </c>
      <c r="B985" t="inlineStr">
        <is>
          <t>avverkningsanmälan</t>
        </is>
      </c>
      <c r="C985" t="inlineStr">
        <is>
          <t>Föryngringsavverkning</t>
        </is>
      </c>
      <c r="D985" s="1" t="n">
        <v>45446</v>
      </c>
      <c r="E985" s="1" t="n">
        <v>46219</v>
      </c>
      <c r="F985" t="inlineStr">
        <is>
          <t>STOCKHOLMS LÄN</t>
        </is>
      </c>
      <c r="G985" t="inlineStr">
        <is>
          <t>NORRTÄLJE</t>
        </is>
      </c>
      <c r="I985" t="n">
        <v>12.8</v>
      </c>
      <c r="J985" t="n">
        <v>0</v>
      </c>
      <c r="K985" t="n">
        <v>0</v>
      </c>
      <c r="L985" t="n">
        <v>0</v>
      </c>
      <c r="M985" t="n">
        <v>0</v>
      </c>
      <c r="N985" t="n">
        <v>0</v>
      </c>
      <c r="O985" t="n">
        <v>0</v>
      </c>
      <c r="P985" t="n">
        <v>0</v>
      </c>
      <c r="Q985" t="n">
        <v>0</v>
      </c>
      <c r="R985" t="n">
        <v>0</v>
      </c>
      <c r="S985" t="n">
        <v>0</v>
      </c>
      <c r="T985" t="n">
        <v>0</v>
      </c>
      <c r="U985" s="2" t="inlineStr"/>
    </row>
    <row r="986" ht="15" customHeight="1">
      <c r="A986" t="inlineStr">
        <is>
          <t>A 34444-2024</t>
        </is>
      </c>
      <c r="B986" t="inlineStr">
        <is>
          <t>avverkningsanmälan</t>
        </is>
      </c>
      <c r="C986" t="inlineStr">
        <is>
          <t>Föryngringsavverkning</t>
        </is>
      </c>
      <c r="D986" s="1" t="n">
        <v>45525</v>
      </c>
      <c r="E986" s="1" t="n">
        <v>46219</v>
      </c>
      <c r="F986" t="inlineStr">
        <is>
          <t>STOCKHOLMS LÄN</t>
        </is>
      </c>
      <c r="G986" t="inlineStr">
        <is>
          <t>NORRTÄLJE</t>
        </is>
      </c>
      <c r="I986" t="n">
        <v>1.8</v>
      </c>
      <c r="J986" t="n">
        <v>0</v>
      </c>
      <c r="K986" t="n">
        <v>0</v>
      </c>
      <c r="L986" t="n">
        <v>0</v>
      </c>
      <c r="M986" t="n">
        <v>0</v>
      </c>
      <c r="N986" t="n">
        <v>0</v>
      </c>
      <c r="O986" t="n">
        <v>0</v>
      </c>
      <c r="P986" t="n">
        <v>0</v>
      </c>
      <c r="Q986" t="n">
        <v>0</v>
      </c>
      <c r="R986" t="n">
        <v>0</v>
      </c>
      <c r="S986" t="n">
        <v>0</v>
      </c>
      <c r="T986" t="n">
        <v>0</v>
      </c>
      <c r="U986" s="2" t="inlineStr"/>
    </row>
    <row r="987" ht="15" customHeight="1">
      <c r="A987" t="inlineStr">
        <is>
          <t>A 26416-2026</t>
        </is>
      </c>
      <c r="B987" t="inlineStr">
        <is>
          <t>avverkningsanmälan</t>
        </is>
      </c>
      <c r="C987" t="inlineStr">
        <is>
          <t>Föryngringsavverkning</t>
        </is>
      </c>
      <c r="D987" s="1" t="n">
        <v>46183</v>
      </c>
      <c r="E987" s="1" t="n">
        <v>46219</v>
      </c>
      <c r="F987" t="inlineStr">
        <is>
          <t>STOCKHOLMS LÄN</t>
        </is>
      </c>
      <c r="G987" t="inlineStr">
        <is>
          <t>NORRTÄLJE</t>
        </is>
      </c>
      <c r="I987" t="n">
        <v>3.7</v>
      </c>
      <c r="J987" t="n">
        <v>0</v>
      </c>
      <c r="K987" t="n">
        <v>0</v>
      </c>
      <c r="L987" t="n">
        <v>0</v>
      </c>
      <c r="M987" t="n">
        <v>0</v>
      </c>
      <c r="N987" t="n">
        <v>0</v>
      </c>
      <c r="O987" t="n">
        <v>0</v>
      </c>
      <c r="P987" t="n">
        <v>0</v>
      </c>
      <c r="Q987" t="n">
        <v>0</v>
      </c>
      <c r="R987" t="n">
        <v>0</v>
      </c>
      <c r="S987" t="n">
        <v>0</v>
      </c>
      <c r="T987" t="n">
        <v>0</v>
      </c>
      <c r="U987" s="2" t="inlineStr"/>
    </row>
    <row r="988" ht="15" customHeight="1">
      <c r="A988" t="inlineStr">
        <is>
          <t>A 25733-2025</t>
        </is>
      </c>
      <c r="B988" t="inlineStr">
        <is>
          <t>avverkningsanmälan</t>
        </is>
      </c>
      <c r="C988" t="inlineStr">
        <is>
          <t>Föryngringsavverkning</t>
        </is>
      </c>
      <c r="D988" s="1" t="n">
        <v>45800</v>
      </c>
      <c r="E988" s="1" t="n">
        <v>46219</v>
      </c>
      <c r="F988" t="inlineStr">
        <is>
          <t>STOCKHOLMS LÄN</t>
        </is>
      </c>
      <c r="G988" t="inlineStr">
        <is>
          <t>NORRTÄLJE</t>
        </is>
      </c>
      <c r="I988" t="n">
        <v>2.2</v>
      </c>
      <c r="J988" t="n">
        <v>0</v>
      </c>
      <c r="K988" t="n">
        <v>0</v>
      </c>
      <c r="L988" t="n">
        <v>0</v>
      </c>
      <c r="M988" t="n">
        <v>0</v>
      </c>
      <c r="N988" t="n">
        <v>0</v>
      </c>
      <c r="O988" t="n">
        <v>0</v>
      </c>
      <c r="P988" t="n">
        <v>0</v>
      </c>
      <c r="Q988" t="n">
        <v>0</v>
      </c>
      <c r="R988" t="n">
        <v>0</v>
      </c>
      <c r="S988" t="n">
        <v>0</v>
      </c>
      <c r="T988" t="n">
        <v>0</v>
      </c>
      <c r="U988" s="2" t="inlineStr"/>
    </row>
    <row r="989" ht="15" customHeight="1">
      <c r="A989" t="inlineStr">
        <is>
          <t>A 27554-2025</t>
        </is>
      </c>
      <c r="B989" t="inlineStr">
        <is>
          <t>avverkningsanmälan</t>
        </is>
      </c>
      <c r="C989" t="inlineStr">
        <is>
          <t>Föryngringsavverkning</t>
        </is>
      </c>
      <c r="D989" s="1" t="n">
        <v>45813</v>
      </c>
      <c r="E989" s="1" t="n">
        <v>46219</v>
      </c>
      <c r="F989" t="inlineStr">
        <is>
          <t>STOCKHOLMS LÄN</t>
        </is>
      </c>
      <c r="G989" t="inlineStr">
        <is>
          <t>NORRTÄLJE</t>
        </is>
      </c>
      <c r="H989" t="inlineStr">
        <is>
          <t>Övriga Aktiebolag</t>
        </is>
      </c>
      <c r="I989" t="n">
        <v>2.5</v>
      </c>
      <c r="J989" t="n">
        <v>0</v>
      </c>
      <c r="K989" t="n">
        <v>0</v>
      </c>
      <c r="L989" t="n">
        <v>0</v>
      </c>
      <c r="M989" t="n">
        <v>0</v>
      </c>
      <c r="N989" t="n">
        <v>0</v>
      </c>
      <c r="O989" t="n">
        <v>0</v>
      </c>
      <c r="P989" t="n">
        <v>0</v>
      </c>
      <c r="Q989" t="n">
        <v>0</v>
      </c>
      <c r="R989" t="n">
        <v>0</v>
      </c>
      <c r="S989" t="n">
        <v>0</v>
      </c>
      <c r="T989" t="n">
        <v>0</v>
      </c>
      <c r="U989" s="2" t="inlineStr"/>
    </row>
    <row r="990" ht="15" customHeight="1">
      <c r="A990" t="inlineStr">
        <is>
          <t>A 26406-2026</t>
        </is>
      </c>
      <c r="B990" t="inlineStr">
        <is>
          <t>avverkningsanmälan</t>
        </is>
      </c>
      <c r="C990" t="inlineStr">
        <is>
          <t>Föryngringsavverkning</t>
        </is>
      </c>
      <c r="D990" s="1" t="n">
        <v>46183</v>
      </c>
      <c r="E990" s="1" t="n">
        <v>46219</v>
      </c>
      <c r="F990" t="inlineStr">
        <is>
          <t>STOCKHOLMS LÄN</t>
        </is>
      </c>
      <c r="G990" t="inlineStr">
        <is>
          <t>NORRTÄLJE</t>
        </is>
      </c>
      <c r="I990" t="n">
        <v>9.300000000000001</v>
      </c>
      <c r="J990" t="n">
        <v>0</v>
      </c>
      <c r="K990" t="n">
        <v>0</v>
      </c>
      <c r="L990" t="n">
        <v>0</v>
      </c>
      <c r="M990" t="n">
        <v>0</v>
      </c>
      <c r="N990" t="n">
        <v>0</v>
      </c>
      <c r="O990" t="n">
        <v>0</v>
      </c>
      <c r="P990" t="n">
        <v>0</v>
      </c>
      <c r="Q990" t="n">
        <v>0</v>
      </c>
      <c r="R990" t="n">
        <v>0</v>
      </c>
      <c r="S990" t="n">
        <v>0</v>
      </c>
      <c r="T990" t="n">
        <v>0</v>
      </c>
      <c r="U990" s="2" t="inlineStr"/>
    </row>
    <row r="991" ht="15" customHeight="1">
      <c r="A991" t="inlineStr">
        <is>
          <t>A 26408-2026</t>
        </is>
      </c>
      <c r="B991" t="inlineStr">
        <is>
          <t>avverkningsanmälan</t>
        </is>
      </c>
      <c r="C991" t="inlineStr">
        <is>
          <t>Föryngringsavverkning</t>
        </is>
      </c>
      <c r="D991" s="1" t="n">
        <v>46183</v>
      </c>
      <c r="E991" s="1" t="n">
        <v>46219</v>
      </c>
      <c r="F991" t="inlineStr">
        <is>
          <t>STOCKHOLMS LÄN</t>
        </is>
      </c>
      <c r="G991" t="inlineStr">
        <is>
          <t>NORRTÄLJE</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26557-2026</t>
        </is>
      </c>
      <c r="B992" t="inlineStr">
        <is>
          <t>avverkningsanmälan</t>
        </is>
      </c>
      <c r="C992" t="inlineStr">
        <is>
          <t>Föryngringsavverkning</t>
        </is>
      </c>
      <c r="D992" s="1" t="n">
        <v>46183</v>
      </c>
      <c r="E992" s="1" t="n">
        <v>46219</v>
      </c>
      <c r="F992" t="inlineStr">
        <is>
          <t>STOCKHOLMS LÄN</t>
        </is>
      </c>
      <c r="G992" t="inlineStr">
        <is>
          <t>NORRTÄLJE</t>
        </is>
      </c>
      <c r="H992" t="inlineStr">
        <is>
          <t>Holmen skog AB</t>
        </is>
      </c>
      <c r="I992" t="n">
        <v>1.4</v>
      </c>
      <c r="J992" t="n">
        <v>0</v>
      </c>
      <c r="K992" t="n">
        <v>0</v>
      </c>
      <c r="L992" t="n">
        <v>0</v>
      </c>
      <c r="M992" t="n">
        <v>0</v>
      </c>
      <c r="N992" t="n">
        <v>0</v>
      </c>
      <c r="O992" t="n">
        <v>0</v>
      </c>
      <c r="P992" t="n">
        <v>0</v>
      </c>
      <c r="Q992" t="n">
        <v>0</v>
      </c>
      <c r="R992" t="n">
        <v>0</v>
      </c>
      <c r="S992" t="n">
        <v>0</v>
      </c>
      <c r="T992" t="n">
        <v>0</v>
      </c>
      <c r="U992" s="2" t="inlineStr"/>
    </row>
    <row r="993" ht="15" customHeight="1">
      <c r="A993" t="inlineStr">
        <is>
          <t>A 20692-2025</t>
        </is>
      </c>
      <c r="B993" t="inlineStr">
        <is>
          <t>avverkningsanmälan</t>
        </is>
      </c>
      <c r="C993" t="inlineStr">
        <is>
          <t>Föryngringsavverkning</t>
        </is>
      </c>
      <c r="D993" s="1" t="n">
        <v>45776</v>
      </c>
      <c r="E993" s="1" t="n">
        <v>46219</v>
      </c>
      <c r="F993" t="inlineStr">
        <is>
          <t>STOCKHOLMS LÄN</t>
        </is>
      </c>
      <c r="G993" t="inlineStr">
        <is>
          <t>NORRTÄLJE</t>
        </is>
      </c>
      <c r="I993" t="n">
        <v>2.1</v>
      </c>
      <c r="J993" t="n">
        <v>0</v>
      </c>
      <c r="K993" t="n">
        <v>0</v>
      </c>
      <c r="L993" t="n">
        <v>0</v>
      </c>
      <c r="M993" t="n">
        <v>0</v>
      </c>
      <c r="N993" t="n">
        <v>0</v>
      </c>
      <c r="O993" t="n">
        <v>0</v>
      </c>
      <c r="P993" t="n">
        <v>0</v>
      </c>
      <c r="Q993" t="n">
        <v>0</v>
      </c>
      <c r="R993" t="n">
        <v>0</v>
      </c>
      <c r="S993" t="n">
        <v>0</v>
      </c>
      <c r="T993" t="n">
        <v>0</v>
      </c>
      <c r="U993" s="2" t="inlineStr"/>
    </row>
    <row r="994" ht="15" customHeight="1">
      <c r="A994" t="inlineStr">
        <is>
          <t>A 46071-2024</t>
        </is>
      </c>
      <c r="B994" t="inlineStr">
        <is>
          <t>avverkningsanmälan</t>
        </is>
      </c>
      <c r="C994" t="inlineStr">
        <is>
          <t>Föryngringsavverkning</t>
        </is>
      </c>
      <c r="D994" s="1" t="n">
        <v>45581</v>
      </c>
      <c r="E994" s="1" t="n">
        <v>46219</v>
      </c>
      <c r="F994" t="inlineStr">
        <is>
          <t>STOCKHOLMS LÄN</t>
        </is>
      </c>
      <c r="G994" t="inlineStr">
        <is>
          <t>NORRTÄLJE</t>
        </is>
      </c>
      <c r="I994" t="n">
        <v>2.3</v>
      </c>
      <c r="J994" t="n">
        <v>0</v>
      </c>
      <c r="K994" t="n">
        <v>0</v>
      </c>
      <c r="L994" t="n">
        <v>0</v>
      </c>
      <c r="M994" t="n">
        <v>0</v>
      </c>
      <c r="N994" t="n">
        <v>0</v>
      </c>
      <c r="O994" t="n">
        <v>0</v>
      </c>
      <c r="P994" t="n">
        <v>0</v>
      </c>
      <c r="Q994" t="n">
        <v>0</v>
      </c>
      <c r="R994" t="n">
        <v>0</v>
      </c>
      <c r="S994" t="n">
        <v>0</v>
      </c>
      <c r="T994" t="n">
        <v>0</v>
      </c>
      <c r="U994" s="2" t="inlineStr"/>
    </row>
    <row r="995" ht="15" customHeight="1">
      <c r="A995" t="inlineStr">
        <is>
          <t>A 37632-2025</t>
        </is>
      </c>
      <c r="B995" t="inlineStr">
        <is>
          <t>avverkningsanmälan</t>
        </is>
      </c>
      <c r="C995" t="inlineStr">
        <is>
          <t>Föryngringsavverkning</t>
        </is>
      </c>
      <c r="D995" s="1" t="n">
        <v>45880</v>
      </c>
      <c r="E995" s="1" t="n">
        <v>46219</v>
      </c>
      <c r="F995" t="inlineStr">
        <is>
          <t>STOCKHOLMS LÄN</t>
        </is>
      </c>
      <c r="G995" t="inlineStr">
        <is>
          <t>NORRTÄLJE</t>
        </is>
      </c>
      <c r="H995" t="inlineStr">
        <is>
          <t>Sveaskog</t>
        </is>
      </c>
      <c r="I995" t="n">
        <v>6.4</v>
      </c>
      <c r="J995" t="n">
        <v>0</v>
      </c>
      <c r="K995" t="n">
        <v>0</v>
      </c>
      <c r="L995" t="n">
        <v>0</v>
      </c>
      <c r="M995" t="n">
        <v>0</v>
      </c>
      <c r="N995" t="n">
        <v>0</v>
      </c>
      <c r="O995" t="n">
        <v>0</v>
      </c>
      <c r="P995" t="n">
        <v>0</v>
      </c>
      <c r="Q995" t="n">
        <v>0</v>
      </c>
      <c r="R995" t="n">
        <v>0</v>
      </c>
      <c r="S995" t="n">
        <v>0</v>
      </c>
      <c r="T995" t="n">
        <v>0</v>
      </c>
      <c r="U995" s="2" t="inlineStr"/>
    </row>
    <row r="996" ht="15" customHeight="1">
      <c r="A996" t="inlineStr">
        <is>
          <t>A 27179-2026</t>
        </is>
      </c>
      <c r="B996" t="inlineStr">
        <is>
          <t>avverkningsanmälan</t>
        </is>
      </c>
      <c r="C996" t="inlineStr">
        <is>
          <t>Föryngringsavverkning</t>
        </is>
      </c>
      <c r="D996" s="1" t="n">
        <v>46188</v>
      </c>
      <c r="E996" s="1" t="n">
        <v>46219</v>
      </c>
      <c r="F996" t="inlineStr">
        <is>
          <t>STOCKHOLMS LÄN</t>
        </is>
      </c>
      <c r="G996" t="inlineStr">
        <is>
          <t>NORRTÄLJE</t>
        </is>
      </c>
      <c r="I996" t="n">
        <v>1</v>
      </c>
      <c r="J996" t="n">
        <v>0</v>
      </c>
      <c r="K996" t="n">
        <v>0</v>
      </c>
      <c r="L996" t="n">
        <v>0</v>
      </c>
      <c r="M996" t="n">
        <v>0</v>
      </c>
      <c r="N996" t="n">
        <v>0</v>
      </c>
      <c r="O996" t="n">
        <v>0</v>
      </c>
      <c r="P996" t="n">
        <v>0</v>
      </c>
      <c r="Q996" t="n">
        <v>0</v>
      </c>
      <c r="R996" t="n">
        <v>0</v>
      </c>
      <c r="S996" t="n">
        <v>0</v>
      </c>
      <c r="T996" t="n">
        <v>0</v>
      </c>
      <c r="U996" s="2" t="inlineStr"/>
    </row>
    <row r="997" ht="15" customHeight="1">
      <c r="A997" t="inlineStr">
        <is>
          <t>A 27181-2026</t>
        </is>
      </c>
      <c r="B997" t="inlineStr">
        <is>
          <t>avverkningsanmälan</t>
        </is>
      </c>
      <c r="C997" t="inlineStr">
        <is>
          <t>Föryngringsavverkning</t>
        </is>
      </c>
      <c r="D997" s="1" t="n">
        <v>46188</v>
      </c>
      <c r="E997" s="1" t="n">
        <v>46219</v>
      </c>
      <c r="F997" t="inlineStr">
        <is>
          <t>STOCKHOLMS LÄN</t>
        </is>
      </c>
      <c r="G997" t="inlineStr">
        <is>
          <t>NORRTÄLJE</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27187-2026</t>
        </is>
      </c>
      <c r="B998" t="inlineStr">
        <is>
          <t>avverkningsanmälan</t>
        </is>
      </c>
      <c r="C998" t="inlineStr">
        <is>
          <t>Föryngringsavverkning</t>
        </is>
      </c>
      <c r="D998" s="1" t="n">
        <v>46188</v>
      </c>
      <c r="E998" s="1" t="n">
        <v>46219</v>
      </c>
      <c r="F998" t="inlineStr">
        <is>
          <t>STOCKHOLMS LÄN</t>
        </is>
      </c>
      <c r="G998" t="inlineStr">
        <is>
          <t>NORRTÄLJE</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13137-2024</t>
        </is>
      </c>
      <c r="B999" t="inlineStr">
        <is>
          <t>avverkningsanmälan</t>
        </is>
      </c>
      <c r="C999" t="inlineStr">
        <is>
          <t>Föryngringsavverkning</t>
        </is>
      </c>
      <c r="D999" s="1" t="n">
        <v>45386</v>
      </c>
      <c r="E999" s="1" t="n">
        <v>46219</v>
      </c>
      <c r="F999" t="inlineStr">
        <is>
          <t>STOCKHOLMS LÄN</t>
        </is>
      </c>
      <c r="G999" t="inlineStr">
        <is>
          <t>NORRTÄLJE</t>
        </is>
      </c>
      <c r="I999" t="n">
        <v>5</v>
      </c>
      <c r="J999" t="n">
        <v>0</v>
      </c>
      <c r="K999" t="n">
        <v>0</v>
      </c>
      <c r="L999" t="n">
        <v>0</v>
      </c>
      <c r="M999" t="n">
        <v>0</v>
      </c>
      <c r="N999" t="n">
        <v>0</v>
      </c>
      <c r="O999" t="n">
        <v>0</v>
      </c>
      <c r="P999" t="n">
        <v>0</v>
      </c>
      <c r="Q999" t="n">
        <v>0</v>
      </c>
      <c r="R999" t="n">
        <v>0</v>
      </c>
      <c r="S999" t="n">
        <v>0</v>
      </c>
      <c r="T999" t="n">
        <v>0</v>
      </c>
      <c r="U999" s="2" t="inlineStr"/>
    </row>
    <row r="1000" ht="15" customHeight="1">
      <c r="A1000" t="inlineStr">
        <is>
          <t>A 38153-2025</t>
        </is>
      </c>
      <c r="B1000" t="inlineStr">
        <is>
          <t>avverkningsanmälan</t>
        </is>
      </c>
      <c r="C1000" t="inlineStr">
        <is>
          <t>Föryngringsavverkning</t>
        </is>
      </c>
      <c r="D1000" s="1" t="n">
        <v>45882</v>
      </c>
      <c r="E1000" s="1" t="n">
        <v>46219</v>
      </c>
      <c r="F1000" t="inlineStr">
        <is>
          <t>STOCKHOLMS LÄN</t>
        </is>
      </c>
      <c r="G1000" t="inlineStr">
        <is>
          <t>NORRTÄLJE</t>
        </is>
      </c>
      <c r="I1000" t="n">
        <v>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27422-2026</t>
        </is>
      </c>
      <c r="B1001" t="inlineStr">
        <is>
          <t>avverkningsanmälan</t>
        </is>
      </c>
      <c r="C1001" t="inlineStr">
        <is>
          <t>Föryngringsavverkning</t>
        </is>
      </c>
      <c r="D1001" s="1" t="n">
        <v>46189</v>
      </c>
      <c r="E1001" s="1" t="n">
        <v>46219</v>
      </c>
      <c r="F1001" t="inlineStr">
        <is>
          <t>STOCKHOLMS LÄN</t>
        </is>
      </c>
      <c r="G1001" t="inlineStr">
        <is>
          <t>NORRTÄLJE</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21818-2026</t>
        </is>
      </c>
      <c r="B1002" t="inlineStr">
        <is>
          <t>avverkningsanmälan</t>
        </is>
      </c>
      <c r="C1002" t="inlineStr">
        <is>
          <t>Föryngringsavverkning</t>
        </is>
      </c>
      <c r="D1002" s="1" t="n">
        <v>46150</v>
      </c>
      <c r="E1002" s="1" t="n">
        <v>46219</v>
      </c>
      <c r="F1002" t="inlineStr">
        <is>
          <t>STOCKHOLMS LÄN</t>
        </is>
      </c>
      <c r="G1002" t="inlineStr">
        <is>
          <t>NORRTÄLJE</t>
        </is>
      </c>
      <c r="I1002" t="n">
        <v>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21780-2026</t>
        </is>
      </c>
      <c r="B1003" t="inlineStr">
        <is>
          <t>avverkningsanmälan</t>
        </is>
      </c>
      <c r="C1003" t="inlineStr">
        <is>
          <t>Föryngringsavverkning</t>
        </is>
      </c>
      <c r="D1003" s="1" t="n">
        <v>46150</v>
      </c>
      <c r="E1003" s="1" t="n">
        <v>46219</v>
      </c>
      <c r="F1003" t="inlineStr">
        <is>
          <t>STOCKHOLMS LÄN</t>
        </is>
      </c>
      <c r="G1003" t="inlineStr">
        <is>
          <t>NORRTÄLJE</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21815-2026</t>
        </is>
      </c>
      <c r="B1004" t="inlineStr">
        <is>
          <t>avverkningsanmälan</t>
        </is>
      </c>
      <c r="C1004" t="inlineStr">
        <is>
          <t>Föryngringsavverkning</t>
        </is>
      </c>
      <c r="D1004" s="1" t="n">
        <v>46150</v>
      </c>
      <c r="E1004" s="1" t="n">
        <v>46219</v>
      </c>
      <c r="F1004" t="inlineStr">
        <is>
          <t>STOCKHOLMS LÄN</t>
        </is>
      </c>
      <c r="G1004" t="inlineStr">
        <is>
          <t>NORRTÄLJE</t>
        </is>
      </c>
      <c r="I1004" t="n">
        <v>2.8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27760-2026</t>
        </is>
      </c>
      <c r="B1005" t="inlineStr">
        <is>
          <t>avverkningsanmälan</t>
        </is>
      </c>
      <c r="C1005" t="inlineStr">
        <is>
          <t>Föryngringsavverkning</t>
        </is>
      </c>
      <c r="D1005" s="1" t="n">
        <v>46191</v>
      </c>
      <c r="E1005" s="1" t="n">
        <v>46219</v>
      </c>
      <c r="F1005" t="inlineStr">
        <is>
          <t>STOCKHOLMS LÄN</t>
        </is>
      </c>
      <c r="G1005" t="inlineStr">
        <is>
          <t>NORRTÄLJE</t>
        </is>
      </c>
      <c r="I1005" t="n">
        <v>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27764-2026</t>
        </is>
      </c>
      <c r="B1006" t="inlineStr">
        <is>
          <t>avverkningsanmälan</t>
        </is>
      </c>
      <c r="C1006" t="inlineStr">
        <is>
          <t>Föryngringsavverkning</t>
        </is>
      </c>
      <c r="D1006" s="1" t="n">
        <v>46191</v>
      </c>
      <c r="E1006" s="1" t="n">
        <v>46219</v>
      </c>
      <c r="F1006" t="inlineStr">
        <is>
          <t>STOCKHOLMS LÄN</t>
        </is>
      </c>
      <c r="G1006" t="inlineStr">
        <is>
          <t>NORRTÄLJE</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27767-2026</t>
        </is>
      </c>
      <c r="B1007" t="inlineStr">
        <is>
          <t>avverkningsanmälan</t>
        </is>
      </c>
      <c r="C1007" t="inlineStr">
        <is>
          <t>Föryngringsavverkning</t>
        </is>
      </c>
      <c r="D1007" s="1" t="n">
        <v>46191</v>
      </c>
      <c r="E1007" s="1" t="n">
        <v>46219</v>
      </c>
      <c r="F1007" t="inlineStr">
        <is>
          <t>STOCKHOLMS LÄN</t>
        </is>
      </c>
      <c r="G1007" t="inlineStr">
        <is>
          <t>NORRTÄLJE</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21786-2026</t>
        </is>
      </c>
      <c r="B1008" t="inlineStr">
        <is>
          <t>avverkningsanmälan</t>
        </is>
      </c>
      <c r="C1008" t="inlineStr">
        <is>
          <t>Föryngringsavverkning</t>
        </is>
      </c>
      <c r="D1008" s="1" t="n">
        <v>46150</v>
      </c>
      <c r="E1008" s="1" t="n">
        <v>46219</v>
      </c>
      <c r="F1008" t="inlineStr">
        <is>
          <t>STOCKHOLMS LÄN</t>
        </is>
      </c>
      <c r="G1008" t="inlineStr">
        <is>
          <t>NORRTÄLJE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21820-2026</t>
        </is>
      </c>
      <c r="B1009" t="inlineStr">
        <is>
          <t>avverkningsanmälan</t>
        </is>
      </c>
      <c r="C1009" t="inlineStr">
        <is>
          <t>Föryngringsavverkning</t>
        </is>
      </c>
      <c r="D1009" s="1" t="n">
        <v>46150</v>
      </c>
      <c r="E1009" s="1" t="n">
        <v>46219</v>
      </c>
      <c r="F1009" t="inlineStr">
        <is>
          <t>STOCKHOLMS LÄN</t>
        </is>
      </c>
      <c r="G1009" t="inlineStr">
        <is>
          <t>NORRTÄLJE</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28097-2026</t>
        </is>
      </c>
      <c r="B1010" t="inlineStr">
        <is>
          <t>avverkningsanmälan</t>
        </is>
      </c>
      <c r="C1010" t="inlineStr">
        <is>
          <t>Föryngringsavverkning</t>
        </is>
      </c>
      <c r="D1010" s="1" t="n">
        <v>46195</v>
      </c>
      <c r="E1010" s="1" t="n">
        <v>46219</v>
      </c>
      <c r="F1010" t="inlineStr">
        <is>
          <t>STOCKHOLMS LÄN</t>
        </is>
      </c>
      <c r="G1010" t="inlineStr">
        <is>
          <t>NORRTÄLJE</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21753-2026</t>
        </is>
      </c>
      <c r="B1011" t="inlineStr">
        <is>
          <t>avverkningsanmälan</t>
        </is>
      </c>
      <c r="C1011" t="inlineStr">
        <is>
          <t>Föryngringsavverkning</t>
        </is>
      </c>
      <c r="D1011" s="1" t="n">
        <v>46149</v>
      </c>
      <c r="E1011" s="1" t="n">
        <v>46219</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28404-2026</t>
        </is>
      </c>
      <c r="B1012" t="inlineStr">
        <is>
          <t>avverkningsanmälan</t>
        </is>
      </c>
      <c r="C1012" t="inlineStr">
        <is>
          <t>Föryngringsavverkning</t>
        </is>
      </c>
      <c r="D1012" s="1" t="n">
        <v>46197</v>
      </c>
      <c r="E1012" s="1" t="n">
        <v>46219</v>
      </c>
      <c r="F1012" t="inlineStr">
        <is>
          <t>STOCKHOLMS LÄN</t>
        </is>
      </c>
      <c r="G1012" t="inlineStr">
        <is>
          <t>NORRTÄLJE</t>
        </is>
      </c>
      <c r="I1012" t="n">
        <v>1.9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22618-2026</t>
        </is>
      </c>
      <c r="B1013" t="inlineStr">
        <is>
          <t>avverkningsanmälan</t>
        </is>
      </c>
      <c r="C1013" t="inlineStr">
        <is>
          <t>Föryngringsavverkning</t>
        </is>
      </c>
      <c r="D1013" s="1" t="n">
        <v>46155</v>
      </c>
      <c r="E1013" s="1" t="n">
        <v>46219</v>
      </c>
      <c r="F1013" t="inlineStr">
        <is>
          <t>STOCKHOLMS LÄN</t>
        </is>
      </c>
      <c r="G1013" t="inlineStr">
        <is>
          <t>NORRTÄLJE</t>
        </is>
      </c>
      <c r="I1013" t="n">
        <v>1.7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28733-2026</t>
        </is>
      </c>
      <c r="B1014" t="inlineStr">
        <is>
          <t>avverkningsanmälan</t>
        </is>
      </c>
      <c r="C1014" t="inlineStr">
        <is>
          <t>Föryngringsavverkning</t>
        </is>
      </c>
      <c r="D1014" s="1" t="n">
        <v>46198</v>
      </c>
      <c r="E1014" s="1" t="n">
        <v>46219</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28465-2026</t>
        </is>
      </c>
      <c r="B1015" t="inlineStr">
        <is>
          <t>avverkningsanmälan</t>
        </is>
      </c>
      <c r="C1015" t="inlineStr">
        <is>
          <t>Föryngringsavverkning</t>
        </is>
      </c>
      <c r="D1015" s="1" t="n">
        <v>46197</v>
      </c>
      <c r="E1015" s="1" t="n">
        <v>46219</v>
      </c>
      <c r="F1015" t="inlineStr">
        <is>
          <t>STOCKHOLMS LÄN</t>
        </is>
      </c>
      <c r="G1015" t="inlineStr">
        <is>
          <t>NORRTÄLJE</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27813-2025</t>
        </is>
      </c>
      <c r="B1016" t="inlineStr">
        <is>
          <t>avverkningsanmälan</t>
        </is>
      </c>
      <c r="C1016" t="inlineStr">
        <is>
          <t>Föryngringsavverkning</t>
        </is>
      </c>
      <c r="D1016" s="1" t="n">
        <v>45817</v>
      </c>
      <c r="E1016" s="1" t="n">
        <v>46219</v>
      </c>
      <c r="F1016" t="inlineStr">
        <is>
          <t>STOCKHOLMS LÄN</t>
        </is>
      </c>
      <c r="G1016" t="inlineStr">
        <is>
          <t>NORRTÄLJE</t>
        </is>
      </c>
      <c r="I1016" t="n">
        <v>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28403-2026</t>
        </is>
      </c>
      <c r="B1017" t="inlineStr">
        <is>
          <t>avverkningsanmälan</t>
        </is>
      </c>
      <c r="C1017" t="inlineStr">
        <is>
          <t>Föryngringsavverkning</t>
        </is>
      </c>
      <c r="D1017" s="1" t="n">
        <v>46197</v>
      </c>
      <c r="E1017" s="1" t="n">
        <v>46219</v>
      </c>
      <c r="F1017" t="inlineStr">
        <is>
          <t>STOCKHOLMS LÄN</t>
        </is>
      </c>
      <c r="G1017" t="inlineStr">
        <is>
          <t>NORRTÄLJE</t>
        </is>
      </c>
      <c r="I1017" t="n">
        <v>3.6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51121-2025</t>
        </is>
      </c>
      <c r="B1018" t="inlineStr">
        <is>
          <t>avverkningsanmälan</t>
        </is>
      </c>
      <c r="C1018" t="inlineStr">
        <is>
          <t>Föryngringsavverkning</t>
        </is>
      </c>
      <c r="D1018" s="1" t="n">
        <v>45947</v>
      </c>
      <c r="E1018" s="1" t="n">
        <v>46219</v>
      </c>
      <c r="F1018" t="inlineStr">
        <is>
          <t>STOCKHOLMS LÄN</t>
        </is>
      </c>
      <c r="G1018" t="inlineStr">
        <is>
          <t>NORRTÄLJE</t>
        </is>
      </c>
      <c r="I1018" t="n">
        <v>1.8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2054-2020</t>
        </is>
      </c>
      <c r="B1019" t="inlineStr">
        <is>
          <t>samrådsanmälan</t>
        </is>
      </c>
      <c r="C1019" t="inlineStr">
        <is>
          <t>Åtgärd i nyckelbiotop</t>
        </is>
      </c>
      <c r="D1019" s="1" t="n">
        <v>44099</v>
      </c>
      <c r="E1019" s="1" t="n">
        <v>46219</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1151-2020</t>
        </is>
      </c>
      <c r="B1020" t="inlineStr">
        <is>
          <t>samrådsanmälan</t>
        </is>
      </c>
      <c r="C1020" t="inlineStr">
        <is>
          <t>Åtgärd i nyckelbiotop</t>
        </is>
      </c>
      <c r="D1020" s="1" t="n">
        <v>43969</v>
      </c>
      <c r="E1020" s="1" t="n">
        <v>46219</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404-2023</t>
        </is>
      </c>
      <c r="B1021" t="inlineStr">
        <is>
          <t>samrådsanmälan</t>
        </is>
      </c>
      <c r="C1021" t="inlineStr">
        <is>
          <t>Annan skogsbruksåtgärd</t>
        </is>
      </c>
      <c r="D1021" s="1" t="n">
        <v>44959</v>
      </c>
      <c r="E1021" s="1" t="n">
        <v>46219</v>
      </c>
      <c r="F1021" t="inlineStr">
        <is>
          <t>STOCKHOLMS LÄN</t>
        </is>
      </c>
      <c r="G1021" t="inlineStr">
        <is>
          <t>NORRTÄLJE</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919-2020</t>
        </is>
      </c>
      <c r="B1022" t="inlineStr">
        <is>
          <t>samrådsanmälan</t>
        </is>
      </c>
      <c r="C1022" t="inlineStr">
        <is>
          <t>Åtgärd i nyckelbiotop</t>
        </is>
      </c>
      <c r="D1022" s="1" t="n">
        <v>43943</v>
      </c>
      <c r="E1022" s="1" t="n">
        <v>46219</v>
      </c>
      <c r="F1022" t="inlineStr">
        <is>
          <t>STOCKHOLMS LÄN</t>
        </is>
      </c>
      <c r="G1022" t="inlineStr">
        <is>
          <t>NORRTÄLJE</t>
        </is>
      </c>
      <c r="I1022" t="n">
        <v>9.699999999999999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821-2022</t>
        </is>
      </c>
      <c r="B1023" t="inlineStr">
        <is>
          <t>samrådsanmälan</t>
        </is>
      </c>
      <c r="C1023" t="inlineStr">
        <is>
          <t>Åtgärd i nyckelbiotop</t>
        </is>
      </c>
      <c r="D1023" s="1" t="n">
        <v>44599</v>
      </c>
      <c r="E1023" s="1" t="n">
        <v>46219</v>
      </c>
      <c r="F1023" t="inlineStr">
        <is>
          <t>STOCKHOLMS LÄN</t>
        </is>
      </c>
      <c r="G1023" t="inlineStr">
        <is>
          <t>NORRTÄLJE</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1511-2022</t>
        </is>
      </c>
      <c r="B1024" t="inlineStr">
        <is>
          <t>samrådsanmälan</t>
        </is>
      </c>
      <c r="C1024" t="inlineStr">
        <is>
          <t>Annan skogsbruksåtgärd</t>
        </is>
      </c>
      <c r="D1024" s="1" t="n">
        <v>44638</v>
      </c>
      <c r="E1024" s="1" t="n">
        <v>46219</v>
      </c>
      <c r="F1024" t="inlineStr">
        <is>
          <t>STOCKHOLMS LÄN</t>
        </is>
      </c>
      <c r="G1024" t="inlineStr">
        <is>
          <t>NORRTÄLJE</t>
        </is>
      </c>
      <c r="H1024" t="inlineStr">
        <is>
          <t>Övriga Aktiebolag</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1733-2022</t>
        </is>
      </c>
      <c r="B1025" t="inlineStr">
        <is>
          <t>samrådsanmälan</t>
        </is>
      </c>
      <c r="C1025" t="inlineStr">
        <is>
          <t>Åtgärd i nyckelbiotop</t>
        </is>
      </c>
      <c r="D1025" s="1" t="n">
        <v>44652</v>
      </c>
      <c r="E1025" s="1" t="n">
        <v>46219</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1291-2022</t>
        </is>
      </c>
      <c r="B1026" t="inlineStr">
        <is>
          <t>samrådsanmälan</t>
        </is>
      </c>
      <c r="C1026" t="inlineStr">
        <is>
          <t>Åtgärd i nyckelbiotop</t>
        </is>
      </c>
      <c r="D1026" s="1" t="n">
        <v>44627</v>
      </c>
      <c r="E1026" s="1" t="n">
        <v>46219</v>
      </c>
      <c r="F1026" t="inlineStr">
        <is>
          <t>STOCKHOLMS LÄN</t>
        </is>
      </c>
      <c r="G1026" t="inlineStr">
        <is>
          <t>NORRTÄLJE</t>
        </is>
      </c>
      <c r="I1026" t="n">
        <v>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10462-2021</t>
        </is>
      </c>
      <c r="B1027" t="inlineStr">
        <is>
          <t>samrådsanmälan</t>
        </is>
      </c>
      <c r="C1027" t="inlineStr">
        <is>
          <t>Åtgärd i nyckelbiotop</t>
        </is>
      </c>
      <c r="D1027" s="1" t="n">
        <v>44558</v>
      </c>
      <c r="E1027" s="1" t="n">
        <v>46219</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1093-2022</t>
        </is>
      </c>
      <c r="B1028" t="inlineStr">
        <is>
          <t>samrådsanmälan</t>
        </is>
      </c>
      <c r="C1028" t="inlineStr">
        <is>
          <t>Annan skogsbruksåtgärd</t>
        </is>
      </c>
      <c r="D1028" s="1" t="n">
        <v>44614</v>
      </c>
      <c r="E1028" s="1" t="n">
        <v>46219</v>
      </c>
      <c r="F1028" t="inlineStr">
        <is>
          <t>STOCKHOLMS LÄN</t>
        </is>
      </c>
      <c r="G1028" t="inlineStr">
        <is>
          <t>NORRTÄLJE</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230-2022</t>
        </is>
      </c>
      <c r="B1029" t="inlineStr">
        <is>
          <t>samrådsanmälan</t>
        </is>
      </c>
      <c r="C1029" t="inlineStr">
        <is>
          <t>Annan skogsbruksåtgärd</t>
        </is>
      </c>
      <c r="D1029" s="1" t="n">
        <v>44574</v>
      </c>
      <c r="E1029" s="1" t="n">
        <v>46219</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2402-2022</t>
        </is>
      </c>
      <c r="B1030" t="inlineStr">
        <is>
          <t>samrådsanmälan</t>
        </is>
      </c>
      <c r="C1030" t="inlineStr">
        <is>
          <t>Åtgärd i nyckelbiotop</t>
        </is>
      </c>
      <c r="D1030" s="1" t="n">
        <v>44690</v>
      </c>
      <c r="E1030" s="1" t="n">
        <v>46219</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5923-2022</t>
        </is>
      </c>
      <c r="B1031" t="inlineStr">
        <is>
          <t>samrådsanmälan</t>
        </is>
      </c>
      <c r="C1031" t="inlineStr">
        <is>
          <t>Annan skogsbruksåtgärd</t>
        </is>
      </c>
      <c r="D1031" s="1" t="n">
        <v>44854</v>
      </c>
      <c r="E1031" s="1" t="n">
        <v>46219</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4310-2023</t>
        </is>
      </c>
      <c r="B1032" t="inlineStr">
        <is>
          <t>samrådsanmälan</t>
        </is>
      </c>
      <c r="C1032" t="inlineStr">
        <is>
          <t>Annan skogsbruksåtgärd</t>
        </is>
      </c>
      <c r="D1032" s="1" t="n">
        <v>45260</v>
      </c>
      <c r="E1032" s="1" t="n">
        <v>46219</v>
      </c>
      <c r="F1032" t="inlineStr">
        <is>
          <t>STOCKHOLMS LÄN</t>
        </is>
      </c>
      <c r="G1032" t="inlineStr">
        <is>
          <t>NORRTÄLJE</t>
        </is>
      </c>
      <c r="I1032" t="n">
        <v>0</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769-2024</t>
        </is>
      </c>
      <c r="B1033" t="inlineStr">
        <is>
          <t>samrådsanmälan</t>
        </is>
      </c>
      <c r="C1033" t="inlineStr">
        <is>
          <t>Annan skogsbruksåtgärd</t>
        </is>
      </c>
      <c r="D1033" s="1" t="n">
        <v>45366</v>
      </c>
      <c r="E1033" s="1" t="n">
        <v>46219</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3425-2024</t>
        </is>
      </c>
      <c r="B1034" t="inlineStr">
        <is>
          <t>samrådsanmälan</t>
        </is>
      </c>
      <c r="C1034" t="inlineStr">
        <is>
          <t>Annan skogsbruksåtgärd</t>
        </is>
      </c>
      <c r="D1034" s="1" t="n">
        <v>45537</v>
      </c>
      <c r="E1034" s="1" t="n">
        <v>46219</v>
      </c>
      <c r="F1034" t="inlineStr">
        <is>
          <t>STOCKHOLMS LÄN</t>
        </is>
      </c>
      <c r="G1034" t="inlineStr">
        <is>
          <t>NORRTÄLJE</t>
        </is>
      </c>
      <c r="I1034" t="n">
        <v>3.9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8563-2021</t>
        </is>
      </c>
      <c r="B1035" t="inlineStr">
        <is>
          <t>samrådsanmälan</t>
        </is>
      </c>
      <c r="C1035" t="inlineStr">
        <is>
          <t>Åtgärd i nyckelbiotop</t>
        </is>
      </c>
      <c r="D1035" s="1" t="n">
        <v>44497</v>
      </c>
      <c r="E1035" s="1" t="n">
        <v>46219</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8559-2021</t>
        </is>
      </c>
      <c r="B1036" t="inlineStr">
        <is>
          <t>samrådsanmälan</t>
        </is>
      </c>
      <c r="C1036" t="inlineStr">
        <is>
          <t>Åtgärd i nyckelbiotop</t>
        </is>
      </c>
      <c r="D1036" s="1" t="n">
        <v>44497</v>
      </c>
      <c r="E1036" s="1" t="n">
        <v>46219</v>
      </c>
      <c r="F1036" t="inlineStr">
        <is>
          <t>STOCKHOLMS LÄN</t>
        </is>
      </c>
      <c r="G1036" t="inlineStr">
        <is>
          <t>NORRTÄLJE</t>
        </is>
      </c>
      <c r="I1036" t="n">
        <v>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599-2023</t>
        </is>
      </c>
      <c r="B1037" t="inlineStr">
        <is>
          <t>samrådsanmälan</t>
        </is>
      </c>
      <c r="C1037" t="inlineStr">
        <is>
          <t>Annan skogsbruksåtgärd</t>
        </is>
      </c>
      <c r="D1037" s="1" t="n">
        <v>44971</v>
      </c>
      <c r="E1037" s="1" t="n">
        <v>46219</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4005-2024</t>
        </is>
      </c>
      <c r="B1038" t="inlineStr">
        <is>
          <t>samrådsanmälan</t>
        </is>
      </c>
      <c r="C1038" t="inlineStr">
        <is>
          <t>Annan skogsbruksåtgärd</t>
        </is>
      </c>
      <c r="D1038" s="1" t="n">
        <v>45569</v>
      </c>
      <c r="E1038" s="1" t="n">
        <v>46219</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3205-2023</t>
        </is>
      </c>
      <c r="B1039" t="inlineStr">
        <is>
          <t>samrådsanmälan</t>
        </is>
      </c>
      <c r="C1039" t="inlineStr">
        <is>
          <t>Annan skogsbruksåtgärd</t>
        </is>
      </c>
      <c r="D1039" s="1" t="n">
        <v>45188</v>
      </c>
      <c r="E1039" s="1" t="n">
        <v>46219</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543-2023</t>
        </is>
      </c>
      <c r="B1040" t="inlineStr">
        <is>
          <t>samrådsanmälan</t>
        </is>
      </c>
      <c r="C1040" t="inlineStr">
        <is>
          <t>Annan skogsbruksåtgärd</t>
        </is>
      </c>
      <c r="D1040" s="1" t="n">
        <v>44973</v>
      </c>
      <c r="E1040" s="1" t="n">
        <v>46219</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3068-2023</t>
        </is>
      </c>
      <c r="B1041" t="inlineStr">
        <is>
          <t>samrådsanmälan</t>
        </is>
      </c>
      <c r="C1041" t="inlineStr">
        <is>
          <t>Annan skogsbruksåtgärd</t>
        </is>
      </c>
      <c r="D1041" s="1" t="n">
        <v>45183</v>
      </c>
      <c r="E1041" s="1" t="n">
        <v>46219</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644-2023</t>
        </is>
      </c>
      <c r="B1042" t="inlineStr">
        <is>
          <t>samrådsanmälan</t>
        </is>
      </c>
      <c r="C1042" t="inlineStr">
        <is>
          <t>Annan skogsbruksåtgärd</t>
        </is>
      </c>
      <c r="D1042" s="1" t="n">
        <v>44973</v>
      </c>
      <c r="E1042" s="1" t="n">
        <v>46219</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1807-2025</t>
        </is>
      </c>
      <c r="B1043" t="inlineStr">
        <is>
          <t>samrådsanmälan</t>
        </is>
      </c>
      <c r="C1043" t="inlineStr">
        <is>
          <t>Annan skogsbruksåtgärd</t>
        </is>
      </c>
      <c r="D1043" s="1" t="n">
        <v>45817</v>
      </c>
      <c r="E1043" s="1" t="n">
        <v>46219</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1726-2025</t>
        </is>
      </c>
      <c r="B1044" t="inlineStr">
        <is>
          <t>samrådsanmälan</t>
        </is>
      </c>
      <c r="C1044" t="inlineStr">
        <is>
          <t>Annan skogsbruksåtgärd</t>
        </is>
      </c>
      <c r="D1044" s="1" t="n">
        <v>45807</v>
      </c>
      <c r="E1044" s="1" t="n">
        <v>46219</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347-2026</t>
        </is>
      </c>
      <c r="B1045" t="inlineStr">
        <is>
          <t>samrådsanmälan</t>
        </is>
      </c>
      <c r="C1045" t="inlineStr">
        <is>
          <t>Annan skogsbruksåtgärd</t>
        </is>
      </c>
      <c r="D1045" s="1" t="n">
        <v>46062</v>
      </c>
      <c r="E1045" s="1" t="n">
        <v>46219</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S 371-2026</t>
        </is>
      </c>
      <c r="B1046" t="inlineStr">
        <is>
          <t>samrådsanmälan</t>
        </is>
      </c>
      <c r="C1046" t="inlineStr">
        <is>
          <t>Annan skogsbruksåtgärd</t>
        </is>
      </c>
      <c r="D1046" s="1" t="n">
        <v>46062</v>
      </c>
      <c r="E1046" s="1" t="n">
        <v>46219</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s="2" t="inlineStr"/>
    </row>
    <row r="1047">
      <c r="A1047" t="inlineStr">
        <is>
          <t>S 1733-2026</t>
        </is>
      </c>
      <c r="B1047" t="inlineStr">
        <is>
          <t>samrådsanmälan</t>
        </is>
      </c>
      <c r="C1047" t="inlineStr">
        <is>
          <t>Annan skogsbruksåtgärd</t>
        </is>
      </c>
      <c r="D1047" s="1" t="n">
        <v>46188</v>
      </c>
      <c r="E1047" s="1" t="n">
        <v>46219</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2026-07-16T01:26:32Z</dcterms:created>
  <dcterms:modified xmlns:dcterms="http://purl.org/dc/terms/" xmlns:xsi="http://www.w3.org/2001/XMLSchema-instance" xsi:type="dcterms:W3CDTF">2026-07-16T01:26:33Z</dcterms:modified>
</cp:coreProperties>
</file>