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45565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45565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45565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45565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45565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45565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45565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52797-2023</t>
        </is>
      </c>
      <c r="B10" s="1" t="n">
        <v>45226</v>
      </c>
      <c r="C10" s="1" t="n">
        <v>45565</v>
      </c>
      <c r="D10" t="inlineStr">
        <is>
          <t>STOCKHOLMS LÄN</t>
        </is>
      </c>
      <c r="E10" t="inlineStr">
        <is>
          <t>NORRTÄLJE</t>
        </is>
      </c>
      <c r="G10" t="n">
        <v>5.3</v>
      </c>
      <c r="H10" t="n">
        <v>3</v>
      </c>
      <c r="I10" t="n">
        <v>11</v>
      </c>
      <c r="J10" t="n">
        <v>6</v>
      </c>
      <c r="K10" t="n">
        <v>2</v>
      </c>
      <c r="L10" t="n">
        <v>0</v>
      </c>
      <c r="M10" t="n">
        <v>0</v>
      </c>
      <c r="N10" t="n">
        <v>0</v>
      </c>
      <c r="O10" t="n">
        <v>8</v>
      </c>
      <c r="P10" t="n">
        <v>2</v>
      </c>
      <c r="Q10" t="n">
        <v>21</v>
      </c>
      <c r="R10"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0">
        <f>HYPERLINK("https://klasma.github.io/Logging_0188/artfynd/A 52797-2023 artfynd.xlsx", "A 52797-2023")</f>
        <v/>
      </c>
      <c r="T10">
        <f>HYPERLINK("https://klasma.github.io/Logging_0188/kartor/A 52797-2023 karta.png", "A 52797-2023")</f>
        <v/>
      </c>
      <c r="V10">
        <f>HYPERLINK("https://klasma.github.io/Logging_0188/klagomål/A 52797-2023 FSC-klagomål.docx", "A 52797-2023")</f>
        <v/>
      </c>
      <c r="W10">
        <f>HYPERLINK("https://klasma.github.io/Logging_0188/klagomålsmail/A 52797-2023 FSC-klagomål mail.docx", "A 52797-2023")</f>
        <v/>
      </c>
      <c r="X10">
        <f>HYPERLINK("https://klasma.github.io/Logging_0188/tillsyn/A 52797-2023 tillsynsbegäran.docx", "A 52797-2023")</f>
        <v/>
      </c>
      <c r="Y10">
        <f>HYPERLINK("https://klasma.github.io/Logging_0188/tillsynsmail/A 52797-2023 tillsynsbegäran mail.docx", "A 52797-2023")</f>
        <v/>
      </c>
      <c r="Z10">
        <f>HYPERLINK("https://klasma.github.io/Logging_0188/fåglar/A 52797-2023 prioriterade fågelarter.docx", "A 52797-2023")</f>
        <v/>
      </c>
    </row>
    <row r="11" ht="15" customHeight="1">
      <c r="A11" t="inlineStr">
        <is>
          <t>A 32254-2020</t>
        </is>
      </c>
      <c r="B11" s="1" t="n">
        <v>44015</v>
      </c>
      <c r="C11" s="1" t="n">
        <v>45565</v>
      </c>
      <c r="D11" t="inlineStr">
        <is>
          <t>STOCKHOLMS LÄN</t>
        </is>
      </c>
      <c r="E11" t="inlineStr">
        <is>
          <t>NORRTÄLJE</t>
        </is>
      </c>
      <c r="G11" t="n">
        <v>32</v>
      </c>
      <c r="H11" t="n">
        <v>4</v>
      </c>
      <c r="I11" t="n">
        <v>9</v>
      </c>
      <c r="J11" t="n">
        <v>5</v>
      </c>
      <c r="K11" t="n">
        <v>4</v>
      </c>
      <c r="L11" t="n">
        <v>0</v>
      </c>
      <c r="M11" t="n">
        <v>0</v>
      </c>
      <c r="N11" t="n">
        <v>0</v>
      </c>
      <c r="O11" t="n">
        <v>9</v>
      </c>
      <c r="P11" t="n">
        <v>4</v>
      </c>
      <c r="Q11" t="n">
        <v>20</v>
      </c>
      <c r="R11"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10646-2024</t>
        </is>
      </c>
      <c r="B12" s="1" t="n">
        <v>45367</v>
      </c>
      <c r="C12" s="1" t="n">
        <v>45565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45565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45565</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45565</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45565</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45565</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45565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45565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45565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45565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45565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45565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45565</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45565</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45565</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45565</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45565</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45565</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45565</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45565</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45565</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45565</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45565</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45565</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45565</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45565</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45565</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45565</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45565</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45565</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45565</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45565</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45565</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45565</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45565</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45565</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45565</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45565</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45565</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45565</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45565</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45565</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45565</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45565</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45565</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45565</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45565</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45565</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45565</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45565</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45565</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45565</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45565</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45565</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45565</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45565</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45565</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45565</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45565</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45565</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45565</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45565</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45565</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45565</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45565</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45565</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45565</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45565</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45565</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45565</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45565</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45565</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45565</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45565</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45565</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45565</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45565</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45565</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45565</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45565</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45565</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45565</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45565</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45565</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45565</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45565</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45565</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45565</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45565</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45565</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45565</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45565</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45565</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45565</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45565</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45565</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45565</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45565</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45565</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45565</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45565</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45565</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45565</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45565</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45565</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45565</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45565</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45565</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45565</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45565</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45565</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45565</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45565</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45565</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45565</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45565</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45565</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45565</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45565</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45565</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45565</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45565</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45565</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45565</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45565</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45565</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45565</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45565</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45565</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45565</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45565</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45565</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45565</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45565</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45565</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45565</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45565</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45565</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45565</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45565</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45565</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45565</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45565</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45565</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45565</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45565</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45565</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45565</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45565</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45565</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45565</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45565</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45565</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45565</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45565</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45565</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45565</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45565</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45565</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45565</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45565</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45565</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45565</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45565</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45565</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45565</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45565</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45565</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45565</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45565</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45565</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45565</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45565</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45565</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45565</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45565</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45565</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45565</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45565</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45565</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45565</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45565</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45565</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45565</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45565</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45565</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45565</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45565</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45565</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45565</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45565</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45565</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45565</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45565</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45565</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45565</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45565</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45565</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45565</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45565</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45565</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45565</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45565</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45565</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45565</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45565</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45565</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45565</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45565</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45565</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45565</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45565</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45565</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45565</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45565</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45565</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45565</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45565</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45565</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45565</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45565</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45565</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45565</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45565</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45565</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45565</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45565</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45565</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45565</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45565</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45565</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45565</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45565</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45565</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45565</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45565</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45565</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45565</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45565</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45565</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45565</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45565</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45565</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45565</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45565</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45565</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45565</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45565</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45565</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45565</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45565</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45565</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45565</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45565</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45565</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45565</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45565</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45565</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45565</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45565</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45565</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45565</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45565</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45565</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45565</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45565</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45565</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45565</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45565</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45565</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45565</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45565</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45565</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45565</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45565</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45565</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45565</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45565</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45565</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45565</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45565</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45565</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45565</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45565</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45565</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45565</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45565</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45565</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45565</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45565</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45565</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45565</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45565</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45565</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45565</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45565</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45565</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45565</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45565</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45565</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45565</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45565</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45565</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45565</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45565</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45565</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45565</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45565</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45565</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45565</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45565</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45565</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45565</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45565</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45565</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45565</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45565</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45565</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45565</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45565</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45565</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45565</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45565</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45565</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45565</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45565</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45565</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45565</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45565</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45565</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45565</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45565</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45565</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45565</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45565</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45565</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45565</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45565</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45565</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45565</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45565</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45565</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45565</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45565</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45565</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45565</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45565</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45565</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45565</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45565</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45565</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45565</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45565</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45565</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45565</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45565</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45565</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45565</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45565</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45565</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45565</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45565</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45565</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45565</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45565</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45565</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45565</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45565</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45565</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45565</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45565</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45565</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45565</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45565</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45565</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45565</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45565</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45565</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45565</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45565</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45565</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45565</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45565</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45565</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45565</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45565</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45565</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45565</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45565</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45565</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45565</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45565</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45565</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45565</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45565</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45565</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45565</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45565</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45565</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45565</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45565</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45565</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45565</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45565</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45565</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45565</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45565</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45565</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45565</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45565</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45565</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45565</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45565</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45565</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45565</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45565</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45565</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45565</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45565</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45565</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45565</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45565</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45565</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45565</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45565</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45565</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45565</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45565</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45565</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45565</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45565</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45565</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45565</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45565</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45565</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45565</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45565</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45565</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45565</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45565</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45565</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45565</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45565</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45565</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45565</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45565</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45565</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45565</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45565</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45565</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45565</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45565</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45565</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45565</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45565</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45565</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45565</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45565</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45565</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45565</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45565</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45565</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45565</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45565</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45565</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45565</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45565</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45565</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45565</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45565</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45565</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45565</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45565</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45565</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45565</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45565</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45565</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45565</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45565</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45565</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45565</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45565</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45565</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45565</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45565</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45565</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45565</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45565</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45565</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45565</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45565</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45565</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45565</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45565</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45565</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45565</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45565</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45565</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45565</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45565</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45565</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45565</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45565</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45565</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45565</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45565</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45565</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45565</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45565</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45565</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45565</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45565</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45565</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45565</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45565</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45565</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45565</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45565</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45565</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45565</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45565</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45565</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45565</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45565</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45565</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45565</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45565</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45565</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45565</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45565</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45565</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45565</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45565</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45565</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45565</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45565</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45565</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45565</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45565</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45565</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45565</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45565</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45565</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45565</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45565</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45565</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45565</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45565</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45565</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45565</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45565</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45565</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45565</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45565</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45565</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45565</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45565</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45565</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45565</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45565</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45565</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45565</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45565</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45565</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45565</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45565</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45565</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45565</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45565</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45565</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45565</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45565</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45565</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45565</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45565</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45565</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45565</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45565</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45565</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45565</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45565</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45565</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45565</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45565</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45565</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45565</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45565</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45565</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45565</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45565</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45565</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45565</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45565</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45565</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45565</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45565</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45565</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45565</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45565</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45565</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45565</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45565</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45565</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45565</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45565</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45565</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45565</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45565</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45565</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45565</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45565</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45565</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45565</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45565</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45565</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45565</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45565</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45565</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45565</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45565</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45565</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45565</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45565</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45565</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45565</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45565</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45565</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45565</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45565</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45565</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45565</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45565</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45565</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45565</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45565</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45565</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45565</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45565</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45565</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45565</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45565</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45565</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45565</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45565</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45565</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45565</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45565</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45565</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45565</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45565</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45565</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45565</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45565</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45565</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45565</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45565</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45565</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45565</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45565</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45565</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45565</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45565</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45565</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45565</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45565</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45565</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45565</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45565</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45565</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45565</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45565</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45565</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45565</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45565</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45565</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45565</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45565</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45565</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45565</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45565</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45565</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45565</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45565</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45565</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45565</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45565</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45565</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45565</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45565</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45565</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45565</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45565</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45565</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45565</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45565</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45565</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45565</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45565</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45565</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45565</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45565</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45565</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45565</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45565</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45565</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45565</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45565</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45565</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45565</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45565</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45565</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45565</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45565</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45565</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45565</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45565</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45565</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45565</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45565</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45565</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45565</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45565</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45565</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45565</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45565</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45565</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45565</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45565</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45565</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45565</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45565</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45565</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45565</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45565</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45565</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45565</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45565</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45565</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45565</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45565</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45565</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45565</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45565</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45565</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45565</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45565</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45565</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45565</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45565</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45565</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45565</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45565</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45565</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45565</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45565</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45565</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45565</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45565</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45565</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45565</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45565</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45565</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45565</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45565</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45565</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45565</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45565</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45565</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45565</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45565</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45565</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45565</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45565</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45565</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45565</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45565</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45565</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45565</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45565</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45565</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45565</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45565</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45565</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45565</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45565</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45565</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45565</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45565</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45565</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45565</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45565</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45565</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45565</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45565</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45565</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45565</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45565</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45565</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45565</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45565</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45565</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45565</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45565</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45565</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45565</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45565</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45565</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45565</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45565</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45565</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45565</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45565</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45565</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45565</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45565</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45565</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45565</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45565</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45565</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45565</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45565</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45565</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45565</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45565</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45565</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45565</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45565</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45565</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45565</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45565</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45565</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45565</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45565</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45565</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45565</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45565</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45565</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45565</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45565</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45565</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45565</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45565</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45565</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45565</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45565</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45565</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45565</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45565</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45565</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45565</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45565</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45565</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45565</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45565</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45565</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45565</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45565</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45565</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45565</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45565</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45565</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45565</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45565</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45565</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45565</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45565</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45565</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45565</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45565</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45565</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45565</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45565</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45565</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45565</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45565</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45565</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45565</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45565</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45565</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45565</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45565</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45565</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45565</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45565</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45565</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45565</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45565</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45565</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45565</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45565</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45565</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45565</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45565</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45565</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45565</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45565</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45565</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45565</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45565</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45565</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45565</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45565</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45565</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45565</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45565</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45565</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45565</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45565</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45565</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45565</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45565</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45565</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45565</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45565</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45565</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45565</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45565</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45565</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45565</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45565</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45565</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45565</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45565</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45565</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45565</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45565</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45565</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45565</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45565</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45565</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45565</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45565</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45565</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45565</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45565</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45565</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45565</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45565</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45565</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45565</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45565</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45565</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45565</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45565</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45565</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45565</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45565</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45565</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45565</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45565</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45565</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45565</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45565</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45565</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45565</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45565</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45565</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45565</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45565</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45565</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45565</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45565</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45565</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45565</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45565</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45565</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45565</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45565</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45565</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45565</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45565</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45565</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45565</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45565</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45565</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45565</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45565</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45565</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45565</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45565</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45565</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45565</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45565</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45565</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45565</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45565</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45565</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45565</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45565</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45565</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45565</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45565</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45565</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45565</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45565</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45565</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45565</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45565</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45565</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45565</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45565</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45565</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45565</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45565</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45565</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45565</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45565</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45565</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45565</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45565</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45565</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45565</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45565</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45565</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45565</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45565</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45565</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45565</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45565</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45565</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45565</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45565</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45565</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45565</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45565</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45565</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45565</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45565</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45565</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45565</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45565</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45565</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45565</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45565</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45565</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45565</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45565</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45565</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45565</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45565</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45565</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45565</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45565</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45565</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45565</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45565</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45565</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45565</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45565</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45565</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45565</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45565</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45565</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45565</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45565</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45565</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45565</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45565</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45565</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45565</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45565</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45565</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45565</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45565</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45565</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45565</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45565</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45565</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45565</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45565</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45565</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45565</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45565</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45565</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45565</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45565</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45565</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45565</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45565</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45565</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45565</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45565</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45565</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45565</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45565</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45565</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45565</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45565</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45565</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45565</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45565</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45565</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45565</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45565</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45565</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45565</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45565</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45565</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45565</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45565</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45565</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45565</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45565</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45565</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45565</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45565</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45565</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45565</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45565</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45565</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45565</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45565</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45565</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45565</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45565</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45565</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45565</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45565</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45565</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45565</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45565</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45565</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45565</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45565</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45565</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45565</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45565</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45565</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45565</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45565</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45565</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45565</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45565</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45565</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45565</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45565</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45565</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45565</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45565</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45565</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45565</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45565</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45565</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45565</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45565</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45565</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45565</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45565</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45565</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45565</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45565</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45565</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45565</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45565</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45565</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45565</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45565</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45565</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45565</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45565</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45565</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45565</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45565</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45565</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45565</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45565</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45565</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45565</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45565</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45565</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45565</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45565</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45565</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45565</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45565</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45565</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45565</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45565</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45565</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45565</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45565</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45565</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45565</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45565</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45565</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45565</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45565</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45565</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45565</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45565</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45565</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45565</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45565</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45565</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45565</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45565</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45565</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45565</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45565</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45565</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45565</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45565</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45565</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45565</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45565</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45565</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45565</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45565</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45565</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45565</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45565</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45565</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45565</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45565</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45565</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45565</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45565</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45565</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45565</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45565</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45565</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45565</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45565</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45565</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45565</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45565</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45565</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45565</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45565</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45565</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45565</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45565</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45565</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45565</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45565</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45565</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45565</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45565</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45565</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45565</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45565</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45565</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45565</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45565</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45565</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45565</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45565</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45565</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45565</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45565</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45565</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45565</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45565</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45565</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45565</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45565</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45565</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45565</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45565</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45565</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45565</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45565</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45565</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45565</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45565</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45565</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45565</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45565</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45565</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45565</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45565</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45565</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45565</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45565</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45565</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45565</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45565</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45565</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45565</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45565</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45565</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45565</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45565</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45565</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45565</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45565</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45565</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45565</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45565</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45565</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45565</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45565</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45565</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45565</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45565</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45565</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45565</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45565</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45565</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45565</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45565</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45565</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45565</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45565</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45565</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45565</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45565</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45565</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45565</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45565</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45565</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45565</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45565</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45565</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45565</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45565</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45565</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45565</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45565</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45565</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45565</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45565</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45565</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45565</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45565</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45565</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45565</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45565</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45565</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45565</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45565</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45565</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45565</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45565</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45565</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45565</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45565</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45565</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45565</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45565</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45565</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45565</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45565</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45565</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45565</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45565</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45565</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45565</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45565</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45565</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45565</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45565</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45565</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45565</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45565</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45565</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45565</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45565</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45565</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45565</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45565</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45565</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45565</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45565</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45565</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45565</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45565</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45565</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45565</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45565</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45565</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45565</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45565</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45565</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45565</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45565</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45565</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45565</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45565</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45565</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45565</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45565</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45565</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45565</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45565</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45565</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45565</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45565</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45565</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45565</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45565</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45565</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45565</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45565</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45565</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45565</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45565</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45565</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45565</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45565</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45565</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45565</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45565</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45565</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45565</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45565</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45565</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45565</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45565</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45565</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45565</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45565</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45565</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45565</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45565</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45565</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45565</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45565</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45565</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45565</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45565</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45565</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45565</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45565</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45565</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45565</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45565</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45565</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45565</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45565</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45565</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45565</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45565</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45565</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45565</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45565</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45565</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45565</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45565</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45565</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45565</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45565</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45565</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45565</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45565</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45565</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45565</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45565</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45565</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45565</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45565</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45565</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45565</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45565</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45565</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45565</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45565</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45565</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45565</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45565</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45565</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45565</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45565</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45565</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45565</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45565</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45565</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45565</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45565</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45565</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45565</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45565</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45565</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45565</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45565</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45565</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45565</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45565</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45565</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45565</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45565</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45565</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45565</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45565</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45565</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45565</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45565</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45565</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45565</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45565</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45565</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45565</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45565</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45565</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45565</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45565</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45565</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45565</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45565</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45565</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45565</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45565</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45565</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45565</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45565</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45565</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45565</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45565</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45565</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45565</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45565</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45565</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45565</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45565</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45565</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45565</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45565</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45565</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45565</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45565</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45565</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45565</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45565</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45565</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45565</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45565</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45565</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45565</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45565</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45565</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45565</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45565</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45565</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45565</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45565</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45565</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45565</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45565</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45565</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45565</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45565</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45565</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45565</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45565</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45565</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45565</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45565</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45565</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45565</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45565</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45565</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45565</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45565</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45565</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45565</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45565</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45565</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45565</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45565</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45565</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45565</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45565</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45565</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45565</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45565</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45565</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45565</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45565</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45565</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45565</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45565</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45565</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45565</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45565</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45565</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45565</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45565</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45565</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45565</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45565</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45565</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45565</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45565</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45565</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45565</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45565</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45565</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45565</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45565</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45565</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45565</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45565</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45565</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45565</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45565</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45565</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45565</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45565</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45565</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45565</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45565</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45565</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45565</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45565</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45565</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45565</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45565</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45565</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45565</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45565</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45565</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45565</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45565</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45565</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45565</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45565</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45565</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45565</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45565</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45565</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45565</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45565</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45565</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45565</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45565</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45565</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45565</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45565</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45565</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45565</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45565</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45565</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45565</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45565</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45565</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45565</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45565</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45565</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45565</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45565</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45565</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45565</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45565</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45565</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45565</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45565</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45565</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45565</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45565</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45565</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45565</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45565</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45565</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45565</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45565</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45565</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45565</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45565</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45565</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45565</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45565</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45565</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45565</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45565</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45565</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45565</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45565</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45565</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45565</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45565</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45565</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45565</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45565</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45565</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45565</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45565</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45565</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45565</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45565</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45565</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45565</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45565</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45565</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45565</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45565</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45565</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45565</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45565</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45565</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45565</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45565</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45565</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45565</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45565</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45565</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45565</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45565</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45565</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45565</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45565</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45565</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45565</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45565</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45565</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45565</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45565</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45565</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45565</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45565</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45565</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45565</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45565</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45565</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45565</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45565</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45565</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45565</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45565</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45565</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45565</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45565</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45565</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45565</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45565</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45565</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45565</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45565</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45565</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45565</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38073-2024</t>
        </is>
      </c>
      <c r="B1741" s="1" t="n">
        <v>45544</v>
      </c>
      <c r="C1741" s="1" t="n">
        <v>45565</v>
      </c>
      <c r="D1741" t="inlineStr">
        <is>
          <t>STOCKHOLMS LÄN</t>
        </is>
      </c>
      <c r="E1741" t="inlineStr">
        <is>
          <t>NORRTÄLJE</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45565</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38878-2024</t>
        </is>
      </c>
      <c r="B1743" s="1" t="n">
        <v>45547</v>
      </c>
      <c r="C1743" s="1" t="n">
        <v>45565</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45565</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39202-2024</t>
        </is>
      </c>
      <c r="B1745" s="1" t="n">
        <v>45548</v>
      </c>
      <c r="C1745" s="1" t="n">
        <v>45565</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39203-2024</t>
        </is>
      </c>
      <c r="B1746" s="1" t="n">
        <v>45548</v>
      </c>
      <c r="C1746" s="1" t="n">
        <v>45565</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39238-2024</t>
        </is>
      </c>
      <c r="B1747" s="1" t="n">
        <v>45549</v>
      </c>
      <c r="C1747" s="1" t="n">
        <v>45565</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39237-2024</t>
        </is>
      </c>
      <c r="B1748" s="1" t="n">
        <v>45549</v>
      </c>
      <c r="C1748" s="1" t="n">
        <v>45565</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39667-2024</t>
        </is>
      </c>
      <c r="B1749" s="1" t="n">
        <v>45552</v>
      </c>
      <c r="C1749" s="1" t="n">
        <v>45565</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39669-2024</t>
        </is>
      </c>
      <c r="B1750" s="1" t="n">
        <v>45552</v>
      </c>
      <c r="C1750" s="1" t="n">
        <v>45565</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45565</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45565</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45565</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41218-2024</t>
        </is>
      </c>
      <c r="B1754" s="1" t="n">
        <v>45559</v>
      </c>
      <c r="C1754" s="1" t="n">
        <v>45565</v>
      </c>
      <c r="D1754" t="inlineStr">
        <is>
          <t>STOCKHOLMS LÄN</t>
        </is>
      </c>
      <c r="E1754" t="inlineStr">
        <is>
          <t>NORRTÄLJE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41219-2024</t>
        </is>
      </c>
      <c r="B1755" s="1" t="n">
        <v>45559</v>
      </c>
      <c r="C1755" s="1" t="n">
        <v>45565</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41253-2024</t>
        </is>
      </c>
      <c r="B1756" s="1" t="n">
        <v>45559</v>
      </c>
      <c r="C1756" s="1" t="n">
        <v>45565</v>
      </c>
      <c r="D1756" t="inlineStr">
        <is>
          <t>STOCKHOLMS LÄN</t>
        </is>
      </c>
      <c r="E1756" t="inlineStr">
        <is>
          <t>NORRTÄLJE</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41310-2024</t>
        </is>
      </c>
      <c r="B1757" s="1" t="n">
        <v>45559</v>
      </c>
      <c r="C1757" s="1" t="n">
        <v>45565</v>
      </c>
      <c r="D1757" t="inlineStr">
        <is>
          <t>STOCKHOLMS LÄN</t>
        </is>
      </c>
      <c r="E1757" t="inlineStr">
        <is>
          <t>NORRTÄLJE</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41243-2024</t>
        </is>
      </c>
      <c r="B1758" s="1" t="n">
        <v>45559</v>
      </c>
      <c r="C1758" s="1" t="n">
        <v>45565</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41342-2024</t>
        </is>
      </c>
      <c r="B1759" s="1" t="n">
        <v>45559</v>
      </c>
      <c r="C1759" s="1" t="n">
        <v>45565</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c r="A1760" t="inlineStr">
        <is>
          <t>A 41976-2024</t>
        </is>
      </c>
      <c r="B1760" s="1" t="n">
        <v>45561</v>
      </c>
      <c r="C1760" s="1" t="n">
        <v>45565</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2024-09-30T16:53:10Z</dcterms:created>
  <dcterms:modified xmlns:dcterms="http://purl.org/dc/terms/" xmlns:xsi="http://www.w3.org/2001/XMLSchema-instance" xsi:type="dcterms:W3CDTF">2024-09-30T16:53:11Z</dcterms:modified>
</cp:coreProperties>
</file>