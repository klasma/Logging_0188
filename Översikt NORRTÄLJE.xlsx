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45345</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45345</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45345</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45345</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45345</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45345</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45345</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45345</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45345</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45345</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45345</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45345</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45345</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45345</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45345</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45345</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45345</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45345</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45345</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45345</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45345</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45345</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45345</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45345</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45345</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45345</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45345</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45345</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45345</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45345</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45345</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45345</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45345</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45345</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45345</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45345</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45345</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45345</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45345</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45345</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45345</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45345</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45345</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45345</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45345</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45345</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45345</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45345</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45345</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45345</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45345</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45345</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45345</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45345</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45345</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45345</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45345</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45345</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45345</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45345</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45345</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45345</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45345</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45345</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45345</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45345</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45345</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45345</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45345</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10981-2019</t>
        </is>
      </c>
      <c r="B83" s="1" t="n">
        <v>43515</v>
      </c>
      <c r="C83" s="1" t="n">
        <v>45345</v>
      </c>
      <c r="D83" t="inlineStr">
        <is>
          <t>STOCKHOLMS LÄN</t>
        </is>
      </c>
      <c r="E83" t="inlineStr">
        <is>
          <t>NORRTÄLJE</t>
        </is>
      </c>
      <c r="G83" t="n">
        <v>29.6</v>
      </c>
      <c r="H83" t="n">
        <v>2</v>
      </c>
      <c r="I83" t="n">
        <v>0</v>
      </c>
      <c r="J83" t="n">
        <v>1</v>
      </c>
      <c r="K83" t="n">
        <v>0</v>
      </c>
      <c r="L83" t="n">
        <v>0</v>
      </c>
      <c r="M83" t="n">
        <v>0</v>
      </c>
      <c r="N83" t="n">
        <v>0</v>
      </c>
      <c r="O83" t="n">
        <v>1</v>
      </c>
      <c r="P83" t="n">
        <v>0</v>
      </c>
      <c r="Q83" t="n">
        <v>2</v>
      </c>
      <c r="R83" s="2" t="inlineStr">
        <is>
          <t>Talltita
Bivråk</t>
        </is>
      </c>
      <c r="S83">
        <f>HYPERLINK("https://klasma.github.io/Logging_0188/artfynd/A 10981-2019 artfynd.xlsx", "A 10981-2019")</f>
        <v/>
      </c>
      <c r="T83">
        <f>HYPERLINK("https://klasma.github.io/Logging_0188/kartor/A 10981-2019 karta.png", "A 10981-2019")</f>
        <v/>
      </c>
      <c r="V83">
        <f>HYPERLINK("https://klasma.github.io/Logging_0188/klagomål/A 10981-2019 FSC-klagomål.docx", "A 10981-2019")</f>
        <v/>
      </c>
      <c r="W83">
        <f>HYPERLINK("https://klasma.github.io/Logging_0188/klagomålsmail/A 10981-2019 FSC-klagomål mail.docx", "A 10981-2019")</f>
        <v/>
      </c>
      <c r="X83">
        <f>HYPERLINK("https://klasma.github.io/Logging_0188/tillsyn/A 10981-2019 tillsynsbegäran.docx", "A 10981-2019")</f>
        <v/>
      </c>
      <c r="Y83">
        <f>HYPERLINK("https://klasma.github.io/Logging_0188/tillsynsmail/A 10981-2019 tillsynsbegäran mail.docx", "A 10981-2019")</f>
        <v/>
      </c>
      <c r="Z83">
        <f>HYPERLINK("https://klasma.github.io/Logging_0188/fåglar/A 10981-2019 prioriterade fågelarter.docx", "A 10981-2019")</f>
        <v/>
      </c>
    </row>
    <row r="84" ht="15" customHeight="1">
      <c r="A84" t="inlineStr">
        <is>
          <t>A 14148-2019</t>
        </is>
      </c>
      <c r="B84" s="1" t="n">
        <v>43533</v>
      </c>
      <c r="C84" s="1" t="n">
        <v>45345</v>
      </c>
      <c r="D84" t="inlineStr">
        <is>
          <t>STOCKHOLMS LÄN</t>
        </is>
      </c>
      <c r="E84" t="inlineStr">
        <is>
          <t>NORRTÄLJE</t>
        </is>
      </c>
      <c r="G84" t="n">
        <v>6.1</v>
      </c>
      <c r="H84" t="n">
        <v>1</v>
      </c>
      <c r="I84" t="n">
        <v>0</v>
      </c>
      <c r="J84" t="n">
        <v>2</v>
      </c>
      <c r="K84" t="n">
        <v>0</v>
      </c>
      <c r="L84" t="n">
        <v>0</v>
      </c>
      <c r="M84" t="n">
        <v>0</v>
      </c>
      <c r="N84" t="n">
        <v>0</v>
      </c>
      <c r="O84" t="n">
        <v>2</v>
      </c>
      <c r="P84" t="n">
        <v>0</v>
      </c>
      <c r="Q84" t="n">
        <v>2</v>
      </c>
      <c r="R84" s="2" t="inlineStr">
        <is>
          <t>Havsörn
Tallticka</t>
        </is>
      </c>
      <c r="S84">
        <f>HYPERLINK("https://klasma.github.io/Logging_0188/artfynd/A 14148-2019 artfynd.xlsx", "A 14148-2019")</f>
        <v/>
      </c>
      <c r="T84">
        <f>HYPERLINK("https://klasma.github.io/Logging_0188/kartor/A 14148-2019 karta.png", "A 14148-2019")</f>
        <v/>
      </c>
      <c r="V84">
        <f>HYPERLINK("https://klasma.github.io/Logging_0188/klagomål/A 14148-2019 FSC-klagomål.docx", "A 14148-2019")</f>
        <v/>
      </c>
      <c r="W84">
        <f>HYPERLINK("https://klasma.github.io/Logging_0188/klagomålsmail/A 14148-2019 FSC-klagomål mail.docx", "A 14148-2019")</f>
        <v/>
      </c>
      <c r="X84">
        <f>HYPERLINK("https://klasma.github.io/Logging_0188/tillsyn/A 14148-2019 tillsynsbegäran.docx", "A 14148-2019")</f>
        <v/>
      </c>
      <c r="Y84">
        <f>HYPERLINK("https://klasma.github.io/Logging_0188/tillsynsmail/A 14148-2019 tillsynsbegäran mail.docx", "A 14148-2019")</f>
        <v/>
      </c>
      <c r="Z84">
        <f>HYPERLINK("https://klasma.github.io/Logging_0188/fåglar/A 14148-2019 prioriterade fågelarter.docx", "A 14148-2019")</f>
        <v/>
      </c>
    </row>
    <row r="85" ht="15" customHeight="1">
      <c r="A85" t="inlineStr">
        <is>
          <t>A 15109-2019</t>
        </is>
      </c>
      <c r="B85" s="1" t="n">
        <v>43539</v>
      </c>
      <c r="C85" s="1" t="n">
        <v>45345</v>
      </c>
      <c r="D85" t="inlineStr">
        <is>
          <t>STOCKHOLMS LÄN</t>
        </is>
      </c>
      <c r="E85" t="inlineStr">
        <is>
          <t>NORRTÄLJE</t>
        </is>
      </c>
      <c r="F85" t="inlineStr">
        <is>
          <t>Kommuner</t>
        </is>
      </c>
      <c r="G85" t="n">
        <v>1.8</v>
      </c>
      <c r="H85" t="n">
        <v>1</v>
      </c>
      <c r="I85" t="n">
        <v>1</v>
      </c>
      <c r="J85" t="n">
        <v>0</v>
      </c>
      <c r="K85" t="n">
        <v>0</v>
      </c>
      <c r="L85" t="n">
        <v>0</v>
      </c>
      <c r="M85" t="n">
        <v>0</v>
      </c>
      <c r="N85" t="n">
        <v>0</v>
      </c>
      <c r="O85" t="n">
        <v>0</v>
      </c>
      <c r="P85" t="n">
        <v>0</v>
      </c>
      <c r="Q85" t="n">
        <v>2</v>
      </c>
      <c r="R85" s="2" t="inlineStr">
        <is>
          <t>Vårärt
Blåsippa</t>
        </is>
      </c>
      <c r="S85">
        <f>HYPERLINK("https://klasma.github.io/Logging_0188/artfynd/A 15109-2019 artfynd.xlsx", "A 15109-2019")</f>
        <v/>
      </c>
      <c r="T85">
        <f>HYPERLINK("https://klasma.github.io/Logging_0188/kartor/A 15109-2019 karta.png", "A 15109-2019")</f>
        <v/>
      </c>
      <c r="V85">
        <f>HYPERLINK("https://klasma.github.io/Logging_0188/klagomål/A 15109-2019 FSC-klagomål.docx", "A 15109-2019")</f>
        <v/>
      </c>
      <c r="W85">
        <f>HYPERLINK("https://klasma.github.io/Logging_0188/klagomålsmail/A 15109-2019 FSC-klagomål mail.docx", "A 15109-2019")</f>
        <v/>
      </c>
      <c r="X85">
        <f>HYPERLINK("https://klasma.github.io/Logging_0188/tillsyn/A 15109-2019 tillsynsbegäran.docx", "A 15109-2019")</f>
        <v/>
      </c>
      <c r="Y85">
        <f>HYPERLINK("https://klasma.github.io/Logging_0188/tillsynsmail/A 15109-2019 tillsynsbegäran mail.docx", "A 15109-2019")</f>
        <v/>
      </c>
    </row>
    <row r="86" ht="15" customHeight="1">
      <c r="A86" t="inlineStr">
        <is>
          <t>A 14826-2019</t>
        </is>
      </c>
      <c r="B86" s="1" t="n">
        <v>43539</v>
      </c>
      <c r="C86" s="1" t="n">
        <v>45345</v>
      </c>
      <c r="D86" t="inlineStr">
        <is>
          <t>STOCKHOLMS LÄN</t>
        </is>
      </c>
      <c r="E86" t="inlineStr">
        <is>
          <t>NORRTÄLJE</t>
        </is>
      </c>
      <c r="F86" t="inlineStr">
        <is>
          <t>Kommuner</t>
        </is>
      </c>
      <c r="G86" t="n">
        <v>0.6</v>
      </c>
      <c r="H86" t="n">
        <v>0</v>
      </c>
      <c r="I86" t="n">
        <v>2</v>
      </c>
      <c r="J86" t="n">
        <v>0</v>
      </c>
      <c r="K86" t="n">
        <v>0</v>
      </c>
      <c r="L86" t="n">
        <v>0</v>
      </c>
      <c r="M86" t="n">
        <v>0</v>
      </c>
      <c r="N86" t="n">
        <v>0</v>
      </c>
      <c r="O86" t="n">
        <v>0</v>
      </c>
      <c r="P86" t="n">
        <v>0</v>
      </c>
      <c r="Q86" t="n">
        <v>2</v>
      </c>
      <c r="R86" s="2" t="inlineStr">
        <is>
          <t>Stubbspretmossa
Sårläka</t>
        </is>
      </c>
      <c r="S86">
        <f>HYPERLINK("https://klasma.github.io/Logging_0188/artfynd/A 14826-2019 artfynd.xlsx", "A 14826-2019")</f>
        <v/>
      </c>
      <c r="T86">
        <f>HYPERLINK("https://klasma.github.io/Logging_0188/kartor/A 14826-2019 karta.png", "A 14826-2019")</f>
        <v/>
      </c>
      <c r="V86">
        <f>HYPERLINK("https://klasma.github.io/Logging_0188/klagomål/A 14826-2019 FSC-klagomål.docx", "A 14826-2019")</f>
        <v/>
      </c>
      <c r="W86">
        <f>HYPERLINK("https://klasma.github.io/Logging_0188/klagomålsmail/A 14826-2019 FSC-klagomål mail.docx", "A 14826-2019")</f>
        <v/>
      </c>
      <c r="X86">
        <f>HYPERLINK("https://klasma.github.io/Logging_0188/tillsyn/A 14826-2019 tillsynsbegäran.docx", "A 14826-2019")</f>
        <v/>
      </c>
      <c r="Y86">
        <f>HYPERLINK("https://klasma.github.io/Logging_0188/tillsynsmail/A 14826-2019 tillsynsbegäran mail.docx", "A 14826-2019")</f>
        <v/>
      </c>
    </row>
    <row r="87" ht="15" customHeight="1">
      <c r="A87" t="inlineStr">
        <is>
          <t>A 23830-2019</t>
        </is>
      </c>
      <c r="B87" s="1" t="n">
        <v>43595</v>
      </c>
      <c r="C87" s="1" t="n">
        <v>45345</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45345</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6272-2020</t>
        </is>
      </c>
      <c r="B89" s="1" t="n">
        <v>43866</v>
      </c>
      <c r="C89" s="1" t="n">
        <v>45345</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45345</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45345</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45345</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45345</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45345</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45345</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45345</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45345</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Gök</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52124-2022</t>
        </is>
      </c>
      <c r="B98" s="1" t="n">
        <v>44868</v>
      </c>
      <c r="C98" s="1" t="n">
        <v>45345</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51980-2022</t>
        </is>
      </c>
      <c r="B99" s="1" t="n">
        <v>44872</v>
      </c>
      <c r="C99" s="1" t="n">
        <v>45345</v>
      </c>
      <c r="D99" t="inlineStr">
        <is>
          <t>STOCKHOLMS LÄN</t>
        </is>
      </c>
      <c r="E99" t="inlineStr">
        <is>
          <t>NORRTÄLJE</t>
        </is>
      </c>
      <c r="G99" t="n">
        <v>7.9</v>
      </c>
      <c r="H99" t="n">
        <v>1</v>
      </c>
      <c r="I99" t="n">
        <v>2</v>
      </c>
      <c r="J99" t="n">
        <v>0</v>
      </c>
      <c r="K99" t="n">
        <v>0</v>
      </c>
      <c r="L99" t="n">
        <v>0</v>
      </c>
      <c r="M99" t="n">
        <v>0</v>
      </c>
      <c r="N99" t="n">
        <v>0</v>
      </c>
      <c r="O99" t="n">
        <v>0</v>
      </c>
      <c r="P99" t="n">
        <v>0</v>
      </c>
      <c r="Q99" t="n">
        <v>2</v>
      </c>
      <c r="R99" s="2" t="inlineStr">
        <is>
          <t>Rödgul trumpetsvamp
Skogsknipprot</t>
        </is>
      </c>
      <c r="S99">
        <f>HYPERLINK("https://klasma.github.io/Logging_0188/artfynd/A 51980-2022 artfynd.xlsx", "A 51980-2022")</f>
        <v/>
      </c>
      <c r="T99">
        <f>HYPERLINK("https://klasma.github.io/Logging_0188/kartor/A 51980-2022 karta.png", "A 51980-2022")</f>
        <v/>
      </c>
      <c r="V99">
        <f>HYPERLINK("https://klasma.github.io/Logging_0188/klagomål/A 51980-2022 FSC-klagomål.docx", "A 51980-2022")</f>
        <v/>
      </c>
      <c r="W99">
        <f>HYPERLINK("https://klasma.github.io/Logging_0188/klagomålsmail/A 51980-2022 FSC-klagomål mail.docx", "A 51980-2022")</f>
        <v/>
      </c>
      <c r="X99">
        <f>HYPERLINK("https://klasma.github.io/Logging_0188/tillsyn/A 51980-2022 tillsynsbegäran.docx", "A 51980-2022")</f>
        <v/>
      </c>
      <c r="Y99">
        <f>HYPERLINK("https://klasma.github.io/Logging_0188/tillsynsmail/A 51980-2022 tillsynsbegäran mail.docx", "A 51980-2022")</f>
        <v/>
      </c>
    </row>
    <row r="100" ht="15" customHeight="1">
      <c r="A100" t="inlineStr">
        <is>
          <t>A 7341-2023</t>
        </is>
      </c>
      <c r="B100" s="1" t="n">
        <v>44971</v>
      </c>
      <c r="C100" s="1" t="n">
        <v>45345</v>
      </c>
      <c r="D100" t="inlineStr">
        <is>
          <t>STOCKHOLMS LÄN</t>
        </is>
      </c>
      <c r="E100" t="inlineStr">
        <is>
          <t>NORRTÄLJE</t>
        </is>
      </c>
      <c r="F100" t="inlineStr">
        <is>
          <t>Holmen skog AB</t>
        </is>
      </c>
      <c r="G100" t="n">
        <v>10.7</v>
      </c>
      <c r="H100" t="n">
        <v>0</v>
      </c>
      <c r="I100" t="n">
        <v>0</v>
      </c>
      <c r="J100" t="n">
        <v>2</v>
      </c>
      <c r="K100" t="n">
        <v>0</v>
      </c>
      <c r="L100" t="n">
        <v>0</v>
      </c>
      <c r="M100" t="n">
        <v>0</v>
      </c>
      <c r="N100" t="n">
        <v>0</v>
      </c>
      <c r="O100" t="n">
        <v>2</v>
      </c>
      <c r="P100" t="n">
        <v>0</v>
      </c>
      <c r="Q100" t="n">
        <v>2</v>
      </c>
      <c r="R100" s="2" t="inlineStr">
        <is>
          <t>Mindre bastardsvärmare
Smalsprötad bastardsvärmare</t>
        </is>
      </c>
      <c r="S100">
        <f>HYPERLINK("https://klasma.github.io/Logging_0188/artfynd/A 7341-2023 artfynd.xlsx", "A 7341-2023")</f>
        <v/>
      </c>
      <c r="T100">
        <f>HYPERLINK("https://klasma.github.io/Logging_0188/kartor/A 7341-2023 karta.png", "A 7341-2023")</f>
        <v/>
      </c>
      <c r="V100">
        <f>HYPERLINK("https://klasma.github.io/Logging_0188/klagomål/A 7341-2023 FSC-klagomål.docx", "A 7341-2023")</f>
        <v/>
      </c>
      <c r="W100">
        <f>HYPERLINK("https://klasma.github.io/Logging_0188/klagomålsmail/A 7341-2023 FSC-klagomål mail.docx", "A 7341-2023")</f>
        <v/>
      </c>
      <c r="X100">
        <f>HYPERLINK("https://klasma.github.io/Logging_0188/tillsyn/A 7341-2023 tillsynsbegäran.docx", "A 7341-2023")</f>
        <v/>
      </c>
      <c r="Y100">
        <f>HYPERLINK("https://klasma.github.io/Logging_0188/tillsynsmail/A 7341-2023 tillsynsbegäran mail.docx", "A 7341-2023")</f>
        <v/>
      </c>
    </row>
    <row r="101" ht="15" customHeight="1">
      <c r="A101" t="inlineStr">
        <is>
          <t>A 10136-2023</t>
        </is>
      </c>
      <c r="B101" s="1" t="n">
        <v>44986</v>
      </c>
      <c r="C101" s="1" t="n">
        <v>45345</v>
      </c>
      <c r="D101" t="inlineStr">
        <is>
          <t>STOCKHOLMS LÄN</t>
        </is>
      </c>
      <c r="E101" t="inlineStr">
        <is>
          <t>NORRTÄLJE</t>
        </is>
      </c>
      <c r="F101" t="inlineStr">
        <is>
          <t>Övriga statliga verk och myndigheter</t>
        </is>
      </c>
      <c r="G101" t="n">
        <v>3.6</v>
      </c>
      <c r="H101" t="n">
        <v>0</v>
      </c>
      <c r="I101" t="n">
        <v>0</v>
      </c>
      <c r="J101" t="n">
        <v>1</v>
      </c>
      <c r="K101" t="n">
        <v>1</v>
      </c>
      <c r="L101" t="n">
        <v>0</v>
      </c>
      <c r="M101" t="n">
        <v>0</v>
      </c>
      <c r="N101" t="n">
        <v>0</v>
      </c>
      <c r="O101" t="n">
        <v>2</v>
      </c>
      <c r="P101" t="n">
        <v>1</v>
      </c>
      <c r="Q101" t="n">
        <v>2</v>
      </c>
      <c r="R101" s="2" t="inlineStr">
        <is>
          <t>Svartfjällig musseron
Persiljespindling</t>
        </is>
      </c>
      <c r="S101">
        <f>HYPERLINK("https://klasma.github.io/Logging_0188/artfynd/A 10136-2023 artfynd.xlsx", "A 10136-2023")</f>
        <v/>
      </c>
      <c r="T101">
        <f>HYPERLINK("https://klasma.github.io/Logging_0188/kartor/A 10136-2023 karta.png", "A 10136-2023")</f>
        <v/>
      </c>
      <c r="V101">
        <f>HYPERLINK("https://klasma.github.io/Logging_0188/klagomål/A 10136-2023 FSC-klagomål.docx", "A 10136-2023")</f>
        <v/>
      </c>
      <c r="W101">
        <f>HYPERLINK("https://klasma.github.io/Logging_0188/klagomålsmail/A 10136-2023 FSC-klagomål mail.docx", "A 10136-2023")</f>
        <v/>
      </c>
      <c r="X101">
        <f>HYPERLINK("https://klasma.github.io/Logging_0188/tillsyn/A 10136-2023 tillsynsbegäran.docx", "A 10136-2023")</f>
        <v/>
      </c>
      <c r="Y101">
        <f>HYPERLINK("https://klasma.github.io/Logging_0188/tillsynsmail/A 10136-2023 tillsynsbegäran mail.docx", "A 10136-2023")</f>
        <v/>
      </c>
    </row>
    <row r="102" ht="15" customHeight="1">
      <c r="A102" t="inlineStr">
        <is>
          <t>A 21748-2023</t>
        </is>
      </c>
      <c r="B102" s="1" t="n">
        <v>45065</v>
      </c>
      <c r="C102" s="1" t="n">
        <v>45345</v>
      </c>
      <c r="D102" t="inlineStr">
        <is>
          <t>STOCKHOLMS LÄN</t>
        </is>
      </c>
      <c r="E102" t="inlineStr">
        <is>
          <t>NORRTÄLJE</t>
        </is>
      </c>
      <c r="F102" t="inlineStr">
        <is>
          <t>Holmen skog AB</t>
        </is>
      </c>
      <c r="G102" t="n">
        <v>2.4</v>
      </c>
      <c r="H102" t="n">
        <v>0</v>
      </c>
      <c r="I102" t="n">
        <v>2</v>
      </c>
      <c r="J102" t="n">
        <v>0</v>
      </c>
      <c r="K102" t="n">
        <v>0</v>
      </c>
      <c r="L102" t="n">
        <v>0</v>
      </c>
      <c r="M102" t="n">
        <v>0</v>
      </c>
      <c r="N102" t="n">
        <v>0</v>
      </c>
      <c r="O102" t="n">
        <v>0</v>
      </c>
      <c r="P102" t="n">
        <v>0</v>
      </c>
      <c r="Q102" t="n">
        <v>2</v>
      </c>
      <c r="R102" s="2" t="inlineStr">
        <is>
          <t>Aspvedgnagare
Tibast</t>
        </is>
      </c>
      <c r="S102">
        <f>HYPERLINK("https://klasma.github.io/Logging_0188/artfynd/A 21748-2023 artfynd.xlsx", "A 21748-2023")</f>
        <v/>
      </c>
      <c r="T102">
        <f>HYPERLINK("https://klasma.github.io/Logging_0188/kartor/A 21748-2023 karta.png", "A 21748-2023")</f>
        <v/>
      </c>
      <c r="V102">
        <f>HYPERLINK("https://klasma.github.io/Logging_0188/klagomål/A 21748-2023 FSC-klagomål.docx", "A 21748-2023")</f>
        <v/>
      </c>
      <c r="W102">
        <f>HYPERLINK("https://klasma.github.io/Logging_0188/klagomålsmail/A 21748-2023 FSC-klagomål mail.docx", "A 21748-2023")</f>
        <v/>
      </c>
      <c r="X102">
        <f>HYPERLINK("https://klasma.github.io/Logging_0188/tillsyn/A 21748-2023 tillsynsbegäran.docx", "A 21748-2023")</f>
        <v/>
      </c>
      <c r="Y102">
        <f>HYPERLINK("https://klasma.github.io/Logging_0188/tillsynsmail/A 21748-2023 tillsynsbegäran mail.docx", "A 21748-2023")</f>
        <v/>
      </c>
    </row>
    <row r="103" ht="15" customHeight="1">
      <c r="A103" t="inlineStr">
        <is>
          <t>A 23861-2023</t>
        </is>
      </c>
      <c r="B103" s="1" t="n">
        <v>45078</v>
      </c>
      <c r="C103" s="1" t="n">
        <v>45345</v>
      </c>
      <c r="D103" t="inlineStr">
        <is>
          <t>STOCKHOLMS LÄN</t>
        </is>
      </c>
      <c r="E103" t="inlineStr">
        <is>
          <t>NORRTÄLJE</t>
        </is>
      </c>
      <c r="G103" t="n">
        <v>3.3</v>
      </c>
      <c r="H103" t="n">
        <v>1</v>
      </c>
      <c r="I103" t="n">
        <v>1</v>
      </c>
      <c r="J103" t="n">
        <v>0</v>
      </c>
      <c r="K103" t="n">
        <v>0</v>
      </c>
      <c r="L103" t="n">
        <v>0</v>
      </c>
      <c r="M103" t="n">
        <v>0</v>
      </c>
      <c r="N103" t="n">
        <v>0</v>
      </c>
      <c r="O103" t="n">
        <v>0</v>
      </c>
      <c r="P103" t="n">
        <v>0</v>
      </c>
      <c r="Q103" t="n">
        <v>2</v>
      </c>
      <c r="R103" s="2" t="inlineStr">
        <is>
          <t>Tibast
Blåsippa</t>
        </is>
      </c>
      <c r="S103">
        <f>HYPERLINK("https://klasma.github.io/Logging_0188/artfynd/A 23861-2023 artfynd.xlsx", "A 23861-2023")</f>
        <v/>
      </c>
      <c r="T103">
        <f>HYPERLINK("https://klasma.github.io/Logging_0188/kartor/A 23861-2023 karta.png", "A 23861-2023")</f>
        <v/>
      </c>
      <c r="V103">
        <f>HYPERLINK("https://klasma.github.io/Logging_0188/klagomål/A 23861-2023 FSC-klagomål.docx", "A 23861-2023")</f>
        <v/>
      </c>
      <c r="W103">
        <f>HYPERLINK("https://klasma.github.io/Logging_0188/klagomålsmail/A 23861-2023 FSC-klagomål mail.docx", "A 23861-2023")</f>
        <v/>
      </c>
      <c r="X103">
        <f>HYPERLINK("https://klasma.github.io/Logging_0188/tillsyn/A 23861-2023 tillsynsbegäran.docx", "A 23861-2023")</f>
        <v/>
      </c>
      <c r="Y103">
        <f>HYPERLINK("https://klasma.github.io/Logging_0188/tillsynsmail/A 23861-2023 tillsynsbegäran mail.docx", "A 23861-2023")</f>
        <v/>
      </c>
    </row>
    <row r="104" ht="15" customHeight="1">
      <c r="A104" t="inlineStr">
        <is>
          <t>A 33287-2023</t>
        </is>
      </c>
      <c r="B104" s="1" t="n">
        <v>45127</v>
      </c>
      <c r="C104" s="1" t="n">
        <v>45345</v>
      </c>
      <c r="D104" t="inlineStr">
        <is>
          <t>STOCKHOLMS LÄN</t>
        </is>
      </c>
      <c r="E104" t="inlineStr">
        <is>
          <t>NORRTÄLJE</t>
        </is>
      </c>
      <c r="F104" t="inlineStr">
        <is>
          <t>Holmen skog AB</t>
        </is>
      </c>
      <c r="G104" t="n">
        <v>3.3</v>
      </c>
      <c r="H104" t="n">
        <v>0</v>
      </c>
      <c r="I104" t="n">
        <v>0</v>
      </c>
      <c r="J104" t="n">
        <v>2</v>
      </c>
      <c r="K104" t="n">
        <v>0</v>
      </c>
      <c r="L104" t="n">
        <v>0</v>
      </c>
      <c r="M104" t="n">
        <v>0</v>
      </c>
      <c r="N104" t="n">
        <v>0</v>
      </c>
      <c r="O104" t="n">
        <v>2</v>
      </c>
      <c r="P104" t="n">
        <v>0</v>
      </c>
      <c r="Q104" t="n">
        <v>2</v>
      </c>
      <c r="R104" s="2" t="inlineStr">
        <is>
          <t>Smalsprötad bastardsvärmare
Violettkantad guldvinge</t>
        </is>
      </c>
      <c r="S104">
        <f>HYPERLINK("https://klasma.github.io/Logging_0188/artfynd/A 33287-2023 artfynd.xlsx", "A 33287-2023")</f>
        <v/>
      </c>
      <c r="T104">
        <f>HYPERLINK("https://klasma.github.io/Logging_0188/kartor/A 33287-2023 karta.png", "A 33287-2023")</f>
        <v/>
      </c>
      <c r="V104">
        <f>HYPERLINK("https://klasma.github.io/Logging_0188/klagomål/A 33287-2023 FSC-klagomål.docx", "A 33287-2023")</f>
        <v/>
      </c>
      <c r="W104">
        <f>HYPERLINK("https://klasma.github.io/Logging_0188/klagomålsmail/A 33287-2023 FSC-klagomål mail.docx", "A 33287-2023")</f>
        <v/>
      </c>
      <c r="X104">
        <f>HYPERLINK("https://klasma.github.io/Logging_0188/tillsyn/A 33287-2023 tillsynsbegäran.docx", "A 33287-2023")</f>
        <v/>
      </c>
      <c r="Y104">
        <f>HYPERLINK("https://klasma.github.io/Logging_0188/tillsynsmail/A 33287-2023 tillsynsbegäran mail.docx", "A 33287-2023")</f>
        <v/>
      </c>
    </row>
    <row r="105" ht="15" customHeight="1">
      <c r="A105" t="inlineStr">
        <is>
          <t>A 51220-2023</t>
        </is>
      </c>
      <c r="B105" s="1" t="n">
        <v>45219</v>
      </c>
      <c r="C105" s="1" t="n">
        <v>45345</v>
      </c>
      <c r="D105" t="inlineStr">
        <is>
          <t>STOCKHOLMS LÄN</t>
        </is>
      </c>
      <c r="E105" t="inlineStr">
        <is>
          <t>NORRTÄLJE</t>
        </is>
      </c>
      <c r="G105" t="n">
        <v>7.7</v>
      </c>
      <c r="H105" t="n">
        <v>1</v>
      </c>
      <c r="I105" t="n">
        <v>0</v>
      </c>
      <c r="J105" t="n">
        <v>1</v>
      </c>
      <c r="K105" t="n">
        <v>0</v>
      </c>
      <c r="L105" t="n">
        <v>0</v>
      </c>
      <c r="M105" t="n">
        <v>0</v>
      </c>
      <c r="N105" t="n">
        <v>0</v>
      </c>
      <c r="O105" t="n">
        <v>1</v>
      </c>
      <c r="P105" t="n">
        <v>0</v>
      </c>
      <c r="Q105" t="n">
        <v>2</v>
      </c>
      <c r="R105" s="2" t="inlineStr">
        <is>
          <t>Ullticka
Blåsippa</t>
        </is>
      </c>
      <c r="S105">
        <f>HYPERLINK("https://klasma.github.io/Logging_0188/artfynd/A 51220-2023 artfynd.xlsx", "A 51220-2023")</f>
        <v/>
      </c>
      <c r="T105">
        <f>HYPERLINK("https://klasma.github.io/Logging_0188/kartor/A 51220-2023 karta.png", "A 51220-2023")</f>
        <v/>
      </c>
      <c r="V105">
        <f>HYPERLINK("https://klasma.github.io/Logging_0188/klagomål/A 51220-2023 FSC-klagomål.docx", "A 51220-2023")</f>
        <v/>
      </c>
      <c r="W105">
        <f>HYPERLINK("https://klasma.github.io/Logging_0188/klagomålsmail/A 51220-2023 FSC-klagomål mail.docx", "A 51220-2023")</f>
        <v/>
      </c>
      <c r="X105">
        <f>HYPERLINK("https://klasma.github.io/Logging_0188/tillsyn/A 51220-2023 tillsynsbegäran.docx", "A 51220-2023")</f>
        <v/>
      </c>
      <c r="Y105">
        <f>HYPERLINK("https://klasma.github.io/Logging_0188/tillsynsmail/A 51220-2023 tillsynsbegäran mail.docx", "A 51220-2023")</f>
        <v/>
      </c>
    </row>
    <row r="106" ht="15" customHeight="1">
      <c r="A106" t="inlineStr">
        <is>
          <t>A 52825-2023</t>
        </is>
      </c>
      <c r="B106" s="1" t="n">
        <v>45226</v>
      </c>
      <c r="C106" s="1" t="n">
        <v>45345</v>
      </c>
      <c r="D106" t="inlineStr">
        <is>
          <t>STOCKHOLMS LÄN</t>
        </is>
      </c>
      <c r="E106" t="inlineStr">
        <is>
          <t>NORRTÄLJE</t>
        </is>
      </c>
      <c r="G106" t="n">
        <v>1</v>
      </c>
      <c r="H106" t="n">
        <v>0</v>
      </c>
      <c r="I106" t="n">
        <v>2</v>
      </c>
      <c r="J106" t="n">
        <v>0</v>
      </c>
      <c r="K106" t="n">
        <v>0</v>
      </c>
      <c r="L106" t="n">
        <v>0</v>
      </c>
      <c r="M106" t="n">
        <v>0</v>
      </c>
      <c r="N106" t="n">
        <v>0</v>
      </c>
      <c r="O106" t="n">
        <v>0</v>
      </c>
      <c r="P106" t="n">
        <v>0</v>
      </c>
      <c r="Q106" t="n">
        <v>2</v>
      </c>
      <c r="R106" s="2" t="inlineStr">
        <is>
          <t>Fjällig taggsvamp s.str.
Strimspindling</t>
        </is>
      </c>
      <c r="S106">
        <f>HYPERLINK("https://klasma.github.io/Logging_0188/artfynd/A 52825-2023 artfynd.xlsx", "A 52825-2023")</f>
        <v/>
      </c>
      <c r="T106">
        <f>HYPERLINK("https://klasma.github.io/Logging_0188/kartor/A 52825-2023 karta.png", "A 52825-2023")</f>
        <v/>
      </c>
      <c r="V106">
        <f>HYPERLINK("https://klasma.github.io/Logging_0188/klagomål/A 52825-2023 FSC-klagomål.docx", "A 52825-2023")</f>
        <v/>
      </c>
      <c r="W106">
        <f>HYPERLINK("https://klasma.github.io/Logging_0188/klagomålsmail/A 52825-2023 FSC-klagomål mail.docx", "A 52825-2023")</f>
        <v/>
      </c>
      <c r="X106">
        <f>HYPERLINK("https://klasma.github.io/Logging_0188/tillsyn/A 52825-2023 tillsynsbegäran.docx", "A 52825-2023")</f>
        <v/>
      </c>
      <c r="Y106">
        <f>HYPERLINK("https://klasma.github.io/Logging_0188/tillsynsmail/A 52825-2023 tillsynsbegäran mail.docx", "A 52825-2023")</f>
        <v/>
      </c>
    </row>
    <row r="107" ht="15" customHeight="1">
      <c r="A107" t="inlineStr">
        <is>
          <t>A 4909-2024</t>
        </is>
      </c>
      <c r="B107" s="1" t="n">
        <v>45329</v>
      </c>
      <c r="C107" s="1" t="n">
        <v>45345</v>
      </c>
      <c r="D107" t="inlineStr">
        <is>
          <t>STOCKHOLMS LÄN</t>
        </is>
      </c>
      <c r="E107" t="inlineStr">
        <is>
          <t>NORRTÄLJE</t>
        </is>
      </c>
      <c r="G107" t="n">
        <v>4.1</v>
      </c>
      <c r="H107" t="n">
        <v>0</v>
      </c>
      <c r="I107" t="n">
        <v>2</v>
      </c>
      <c r="J107" t="n">
        <v>0</v>
      </c>
      <c r="K107" t="n">
        <v>0</v>
      </c>
      <c r="L107" t="n">
        <v>0</v>
      </c>
      <c r="M107" t="n">
        <v>0</v>
      </c>
      <c r="N107" t="n">
        <v>0</v>
      </c>
      <c r="O107" t="n">
        <v>0</v>
      </c>
      <c r="P107" t="n">
        <v>0</v>
      </c>
      <c r="Q107" t="n">
        <v>2</v>
      </c>
      <c r="R107" s="2" t="inlineStr">
        <is>
          <t>Fjällig taggsvamp s.str.
Rödgul trumpetsvamp</t>
        </is>
      </c>
      <c r="S107">
        <f>HYPERLINK("https://klasma.github.io/Logging_0188/artfynd/A 4909-2024 artfynd.xlsx", "A 4909-2024")</f>
        <v/>
      </c>
      <c r="T107">
        <f>HYPERLINK("https://klasma.github.io/Logging_0188/kartor/A 4909-2024 karta.png", "A 4909-2024")</f>
        <v/>
      </c>
      <c r="V107">
        <f>HYPERLINK("https://klasma.github.io/Logging_0188/klagomål/A 4909-2024 FSC-klagomål.docx", "A 4909-2024")</f>
        <v/>
      </c>
      <c r="W107">
        <f>HYPERLINK("https://klasma.github.io/Logging_0188/klagomålsmail/A 4909-2024 FSC-klagomål mail.docx", "A 4909-2024")</f>
        <v/>
      </c>
      <c r="X107">
        <f>HYPERLINK("https://klasma.github.io/Logging_0188/tillsyn/A 4909-2024 tillsynsbegäran.docx", "A 4909-2024")</f>
        <v/>
      </c>
      <c r="Y107">
        <f>HYPERLINK("https://klasma.github.io/Logging_0188/tillsynsmail/A 4909-2024 tillsynsbegäran mail.docx", "A 4909-2024")</f>
        <v/>
      </c>
    </row>
    <row r="108" ht="15" customHeight="1">
      <c r="A108" t="inlineStr">
        <is>
          <t>A 62482-2018</t>
        </is>
      </c>
      <c r="B108" s="1" t="n">
        <v>43415</v>
      </c>
      <c r="C108" s="1" t="n">
        <v>45345</v>
      </c>
      <c r="D108" t="inlineStr">
        <is>
          <t>STOCKHOLMS LÄN</t>
        </is>
      </c>
      <c r="E108" t="inlineStr">
        <is>
          <t>NORRTÄLJE</t>
        </is>
      </c>
      <c r="G108" t="n">
        <v>4.5</v>
      </c>
      <c r="H108" t="n">
        <v>0</v>
      </c>
      <c r="I108" t="n">
        <v>0</v>
      </c>
      <c r="J108" t="n">
        <v>1</v>
      </c>
      <c r="K108" t="n">
        <v>0</v>
      </c>
      <c r="L108" t="n">
        <v>0</v>
      </c>
      <c r="M108" t="n">
        <v>0</v>
      </c>
      <c r="N108" t="n">
        <v>0</v>
      </c>
      <c r="O108" t="n">
        <v>1</v>
      </c>
      <c r="P108" t="n">
        <v>0</v>
      </c>
      <c r="Q108" t="n">
        <v>1</v>
      </c>
      <c r="R108" s="2" t="inlineStr">
        <is>
          <t>Solvända</t>
        </is>
      </c>
      <c r="S108">
        <f>HYPERLINK("https://klasma.github.io/Logging_0188/artfynd/A 62482-2018 artfynd.xlsx", "A 62482-2018")</f>
        <v/>
      </c>
      <c r="T108">
        <f>HYPERLINK("https://klasma.github.io/Logging_0188/kartor/A 62482-2018 karta.png", "A 62482-2018")</f>
        <v/>
      </c>
      <c r="V108">
        <f>HYPERLINK("https://klasma.github.io/Logging_0188/klagomål/A 62482-2018 FSC-klagomål.docx", "A 62482-2018")</f>
        <v/>
      </c>
      <c r="W108">
        <f>HYPERLINK("https://klasma.github.io/Logging_0188/klagomålsmail/A 62482-2018 FSC-klagomål mail.docx", "A 62482-2018")</f>
        <v/>
      </c>
      <c r="X108">
        <f>HYPERLINK("https://klasma.github.io/Logging_0188/tillsyn/A 62482-2018 tillsynsbegäran.docx", "A 62482-2018")</f>
        <v/>
      </c>
      <c r="Y108">
        <f>HYPERLINK("https://klasma.github.io/Logging_0188/tillsynsmail/A 62482-2018 tillsynsbegäran mail.docx", "A 62482-2018")</f>
        <v/>
      </c>
    </row>
    <row r="109" ht="15" customHeight="1">
      <c r="A109" t="inlineStr">
        <is>
          <t>A 62403-2018</t>
        </is>
      </c>
      <c r="B109" s="1" t="n">
        <v>43416</v>
      </c>
      <c r="C109" s="1" t="n">
        <v>45345</v>
      </c>
      <c r="D109" t="inlineStr">
        <is>
          <t>STOCKHOLMS LÄN</t>
        </is>
      </c>
      <c r="E109" t="inlineStr">
        <is>
          <t>NORRTÄLJE</t>
        </is>
      </c>
      <c r="G109" t="n">
        <v>0.3</v>
      </c>
      <c r="H109" t="n">
        <v>0</v>
      </c>
      <c r="I109" t="n">
        <v>0</v>
      </c>
      <c r="J109" t="n">
        <v>1</v>
      </c>
      <c r="K109" t="n">
        <v>0</v>
      </c>
      <c r="L109" t="n">
        <v>0</v>
      </c>
      <c r="M109" t="n">
        <v>0</v>
      </c>
      <c r="N109" t="n">
        <v>0</v>
      </c>
      <c r="O109" t="n">
        <v>1</v>
      </c>
      <c r="P109" t="n">
        <v>0</v>
      </c>
      <c r="Q109" t="n">
        <v>1</v>
      </c>
      <c r="R109" s="2" t="inlineStr">
        <is>
          <t>Smalsprötad bastardsvärmare</t>
        </is>
      </c>
      <c r="S109">
        <f>HYPERLINK("https://klasma.github.io/Logging_0188/artfynd/A 62403-2018 artfynd.xlsx", "A 62403-2018")</f>
        <v/>
      </c>
      <c r="T109">
        <f>HYPERLINK("https://klasma.github.io/Logging_0188/kartor/A 62403-2018 karta.png", "A 62403-2018")</f>
        <v/>
      </c>
      <c r="V109">
        <f>HYPERLINK("https://klasma.github.io/Logging_0188/klagomål/A 62403-2018 FSC-klagomål.docx", "A 62403-2018")</f>
        <v/>
      </c>
      <c r="W109">
        <f>HYPERLINK("https://klasma.github.io/Logging_0188/klagomålsmail/A 62403-2018 FSC-klagomål mail.docx", "A 62403-2018")</f>
        <v/>
      </c>
      <c r="X109">
        <f>HYPERLINK("https://klasma.github.io/Logging_0188/tillsyn/A 62403-2018 tillsynsbegäran.docx", "A 62403-2018")</f>
        <v/>
      </c>
      <c r="Y109">
        <f>HYPERLINK("https://klasma.github.io/Logging_0188/tillsynsmail/A 62403-2018 tillsynsbegäran mail.docx", "A 62403-2018")</f>
        <v/>
      </c>
    </row>
    <row r="110" ht="15" customHeight="1">
      <c r="A110" t="inlineStr">
        <is>
          <t>A 2647-2019</t>
        </is>
      </c>
      <c r="B110" s="1" t="n">
        <v>43478</v>
      </c>
      <c r="C110" s="1" t="n">
        <v>45345</v>
      </c>
      <c r="D110" t="inlineStr">
        <is>
          <t>STOCKHOLMS LÄN</t>
        </is>
      </c>
      <c r="E110" t="inlineStr">
        <is>
          <t>NORRTÄLJE</t>
        </is>
      </c>
      <c r="G110" t="n">
        <v>3.4</v>
      </c>
      <c r="H110" t="n">
        <v>1</v>
      </c>
      <c r="I110" t="n">
        <v>0</v>
      </c>
      <c r="J110" t="n">
        <v>0</v>
      </c>
      <c r="K110" t="n">
        <v>0</v>
      </c>
      <c r="L110" t="n">
        <v>0</v>
      </c>
      <c r="M110" t="n">
        <v>0</v>
      </c>
      <c r="N110" t="n">
        <v>0</v>
      </c>
      <c r="O110" t="n">
        <v>0</v>
      </c>
      <c r="P110" t="n">
        <v>0</v>
      </c>
      <c r="Q110" t="n">
        <v>1</v>
      </c>
      <c r="R110" s="2" t="inlineStr">
        <is>
          <t>Blåsippa</t>
        </is>
      </c>
      <c r="S110">
        <f>HYPERLINK("https://klasma.github.io/Logging_0188/artfynd/A 2647-2019 artfynd.xlsx", "A 2647-2019")</f>
        <v/>
      </c>
      <c r="T110">
        <f>HYPERLINK("https://klasma.github.io/Logging_0188/kartor/A 2647-2019 karta.png", "A 2647-2019")</f>
        <v/>
      </c>
      <c r="V110">
        <f>HYPERLINK("https://klasma.github.io/Logging_0188/klagomål/A 2647-2019 FSC-klagomål.docx", "A 2647-2019")</f>
        <v/>
      </c>
      <c r="W110">
        <f>HYPERLINK("https://klasma.github.io/Logging_0188/klagomålsmail/A 2647-2019 FSC-klagomål mail.docx", "A 2647-2019")</f>
        <v/>
      </c>
      <c r="X110">
        <f>HYPERLINK("https://klasma.github.io/Logging_0188/tillsyn/A 2647-2019 tillsynsbegäran.docx", "A 2647-2019")</f>
        <v/>
      </c>
      <c r="Y110">
        <f>HYPERLINK("https://klasma.github.io/Logging_0188/tillsynsmail/A 2647-2019 tillsynsbegäran mail.docx", "A 2647-2019")</f>
        <v/>
      </c>
    </row>
    <row r="111" ht="15" customHeight="1">
      <c r="A111" t="inlineStr">
        <is>
          <t>A 3309-2019</t>
        </is>
      </c>
      <c r="B111" s="1" t="n">
        <v>43480</v>
      </c>
      <c r="C111" s="1" t="n">
        <v>45345</v>
      </c>
      <c r="D111" t="inlineStr">
        <is>
          <t>STOCKHOLMS LÄN</t>
        </is>
      </c>
      <c r="E111" t="inlineStr">
        <is>
          <t>NORRTÄLJE</t>
        </is>
      </c>
      <c r="G111" t="n">
        <v>12.6</v>
      </c>
      <c r="H111" t="n">
        <v>0</v>
      </c>
      <c r="I111" t="n">
        <v>1</v>
      </c>
      <c r="J111" t="n">
        <v>0</v>
      </c>
      <c r="K111" t="n">
        <v>0</v>
      </c>
      <c r="L111" t="n">
        <v>0</v>
      </c>
      <c r="M111" t="n">
        <v>0</v>
      </c>
      <c r="N111" t="n">
        <v>0</v>
      </c>
      <c r="O111" t="n">
        <v>0</v>
      </c>
      <c r="P111" t="n">
        <v>0</v>
      </c>
      <c r="Q111" t="n">
        <v>1</v>
      </c>
      <c r="R111" s="2" t="inlineStr">
        <is>
          <t>Granbräken</t>
        </is>
      </c>
      <c r="S111">
        <f>HYPERLINK("https://klasma.github.io/Logging_0188/artfynd/A 3309-2019 artfynd.xlsx", "A 3309-2019")</f>
        <v/>
      </c>
      <c r="T111">
        <f>HYPERLINK("https://klasma.github.io/Logging_0188/kartor/A 3309-2019 karta.png", "A 3309-2019")</f>
        <v/>
      </c>
      <c r="V111">
        <f>HYPERLINK("https://klasma.github.io/Logging_0188/klagomål/A 3309-2019 FSC-klagomål.docx", "A 3309-2019")</f>
        <v/>
      </c>
      <c r="W111">
        <f>HYPERLINK("https://klasma.github.io/Logging_0188/klagomålsmail/A 3309-2019 FSC-klagomål mail.docx", "A 3309-2019")</f>
        <v/>
      </c>
      <c r="X111">
        <f>HYPERLINK("https://klasma.github.io/Logging_0188/tillsyn/A 3309-2019 tillsynsbegäran.docx", "A 3309-2019")</f>
        <v/>
      </c>
      <c r="Y111">
        <f>HYPERLINK("https://klasma.github.io/Logging_0188/tillsynsmail/A 3309-2019 tillsynsbegäran mail.docx", "A 3309-2019")</f>
        <v/>
      </c>
    </row>
    <row r="112" ht="15" customHeight="1">
      <c r="A112" t="inlineStr">
        <is>
          <t>A 4067-2019</t>
        </is>
      </c>
      <c r="B112" s="1" t="n">
        <v>43482</v>
      </c>
      <c r="C112" s="1" t="n">
        <v>45345</v>
      </c>
      <c r="D112" t="inlineStr">
        <is>
          <t>STOCKHOLMS LÄN</t>
        </is>
      </c>
      <c r="E112" t="inlineStr">
        <is>
          <t>NORRTÄLJE</t>
        </is>
      </c>
      <c r="G112" t="n">
        <v>6</v>
      </c>
      <c r="H112" t="n">
        <v>0</v>
      </c>
      <c r="I112" t="n">
        <v>1</v>
      </c>
      <c r="J112" t="n">
        <v>0</v>
      </c>
      <c r="K112" t="n">
        <v>0</v>
      </c>
      <c r="L112" t="n">
        <v>0</v>
      </c>
      <c r="M112" t="n">
        <v>0</v>
      </c>
      <c r="N112" t="n">
        <v>0</v>
      </c>
      <c r="O112" t="n">
        <v>0</v>
      </c>
      <c r="P112" t="n">
        <v>0</v>
      </c>
      <c r="Q112" t="n">
        <v>1</v>
      </c>
      <c r="R112" s="2" t="inlineStr">
        <is>
          <t>Grovticka</t>
        </is>
      </c>
      <c r="S112">
        <f>HYPERLINK("https://klasma.github.io/Logging_0188/artfynd/A 4067-2019 artfynd.xlsx", "A 4067-2019")</f>
        <v/>
      </c>
      <c r="T112">
        <f>HYPERLINK("https://klasma.github.io/Logging_0188/kartor/A 4067-2019 karta.png", "A 4067-2019")</f>
        <v/>
      </c>
      <c r="V112">
        <f>HYPERLINK("https://klasma.github.io/Logging_0188/klagomål/A 4067-2019 FSC-klagomål.docx", "A 4067-2019")</f>
        <v/>
      </c>
      <c r="W112">
        <f>HYPERLINK("https://klasma.github.io/Logging_0188/klagomålsmail/A 4067-2019 FSC-klagomål mail.docx", "A 4067-2019")</f>
        <v/>
      </c>
      <c r="X112">
        <f>HYPERLINK("https://klasma.github.io/Logging_0188/tillsyn/A 4067-2019 tillsynsbegäran.docx", "A 4067-2019")</f>
        <v/>
      </c>
      <c r="Y112">
        <f>HYPERLINK("https://klasma.github.io/Logging_0188/tillsynsmail/A 4067-2019 tillsynsbegäran mail.docx", "A 4067-2019")</f>
        <v/>
      </c>
    </row>
    <row r="113" ht="15" customHeight="1">
      <c r="A113" t="inlineStr">
        <is>
          <t>A 5488-2019</t>
        </is>
      </c>
      <c r="B113" s="1" t="n">
        <v>43489</v>
      </c>
      <c r="C113" s="1" t="n">
        <v>45345</v>
      </c>
      <c r="D113" t="inlineStr">
        <is>
          <t>STOCKHOLMS LÄN</t>
        </is>
      </c>
      <c r="E113" t="inlineStr">
        <is>
          <t>NORRTÄLJE</t>
        </is>
      </c>
      <c r="G113" t="n">
        <v>5.5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5488-2019 artfynd.xlsx", "A 5488-2019")</f>
        <v/>
      </c>
      <c r="T113">
        <f>HYPERLINK("https://klasma.github.io/Logging_0188/kartor/A 5488-2019 karta.png", "A 5488-2019")</f>
        <v/>
      </c>
      <c r="V113">
        <f>HYPERLINK("https://klasma.github.io/Logging_0188/klagomål/A 5488-2019 FSC-klagomål.docx", "A 5488-2019")</f>
        <v/>
      </c>
      <c r="W113">
        <f>HYPERLINK("https://klasma.github.io/Logging_0188/klagomålsmail/A 5488-2019 FSC-klagomål mail.docx", "A 5488-2019")</f>
        <v/>
      </c>
      <c r="X113">
        <f>HYPERLINK("https://klasma.github.io/Logging_0188/tillsyn/A 5488-2019 tillsynsbegäran.docx", "A 5488-2019")</f>
        <v/>
      </c>
      <c r="Y113">
        <f>HYPERLINK("https://klasma.github.io/Logging_0188/tillsynsmail/A 5488-2019 tillsynsbegäran mail.docx", "A 5488-2019")</f>
        <v/>
      </c>
    </row>
    <row r="114" ht="15" customHeight="1">
      <c r="A114" t="inlineStr">
        <is>
          <t>A 5502-2019</t>
        </is>
      </c>
      <c r="B114" s="1" t="n">
        <v>43489</v>
      </c>
      <c r="C114" s="1" t="n">
        <v>45345</v>
      </c>
      <c r="D114" t="inlineStr">
        <is>
          <t>STOCKHOLMS LÄN</t>
        </is>
      </c>
      <c r="E114" t="inlineStr">
        <is>
          <t>NORRTÄLJE</t>
        </is>
      </c>
      <c r="G114" t="n">
        <v>37</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5502-2019 artfynd.xlsx", "A 5502-2019")</f>
        <v/>
      </c>
      <c r="T114">
        <f>HYPERLINK("https://klasma.github.io/Logging_0188/kartor/A 5502-2019 karta.png", "A 5502-2019")</f>
        <v/>
      </c>
      <c r="V114">
        <f>HYPERLINK("https://klasma.github.io/Logging_0188/klagomål/A 5502-2019 FSC-klagomål.docx", "A 5502-2019")</f>
        <v/>
      </c>
      <c r="W114">
        <f>HYPERLINK("https://klasma.github.io/Logging_0188/klagomålsmail/A 5502-2019 FSC-klagomål mail.docx", "A 5502-2019")</f>
        <v/>
      </c>
      <c r="X114">
        <f>HYPERLINK("https://klasma.github.io/Logging_0188/tillsyn/A 5502-2019 tillsynsbegäran.docx", "A 5502-2019")</f>
        <v/>
      </c>
      <c r="Y114">
        <f>HYPERLINK("https://klasma.github.io/Logging_0188/tillsynsmail/A 5502-2019 tillsynsbegäran mail.docx", "A 5502-2019")</f>
        <v/>
      </c>
    </row>
    <row r="115" ht="15" customHeight="1">
      <c r="A115" t="inlineStr">
        <is>
          <t>A 6523-2019</t>
        </is>
      </c>
      <c r="B115" s="1" t="n">
        <v>43494</v>
      </c>
      <c r="C115" s="1" t="n">
        <v>45345</v>
      </c>
      <c r="D115" t="inlineStr">
        <is>
          <t>STOCKHOLMS LÄN</t>
        </is>
      </c>
      <c r="E115" t="inlineStr">
        <is>
          <t>NORRTÄLJE</t>
        </is>
      </c>
      <c r="F115" t="inlineStr">
        <is>
          <t>Holmen skog AB</t>
        </is>
      </c>
      <c r="G115" t="n">
        <v>1.1</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6523-2019 artfynd.xlsx", "A 6523-2019")</f>
        <v/>
      </c>
      <c r="T115">
        <f>HYPERLINK("https://klasma.github.io/Logging_0188/kartor/A 6523-2019 karta.png", "A 6523-2019")</f>
        <v/>
      </c>
      <c r="V115">
        <f>HYPERLINK("https://klasma.github.io/Logging_0188/klagomål/A 6523-2019 FSC-klagomål.docx", "A 6523-2019")</f>
        <v/>
      </c>
      <c r="W115">
        <f>HYPERLINK("https://klasma.github.io/Logging_0188/klagomålsmail/A 6523-2019 FSC-klagomål mail.docx", "A 6523-2019")</f>
        <v/>
      </c>
      <c r="X115">
        <f>HYPERLINK("https://klasma.github.io/Logging_0188/tillsyn/A 6523-2019 tillsynsbegäran.docx", "A 6523-2019")</f>
        <v/>
      </c>
      <c r="Y115">
        <f>HYPERLINK("https://klasma.github.io/Logging_0188/tillsynsmail/A 6523-2019 tillsynsbegäran mail.docx", "A 6523-2019")</f>
        <v/>
      </c>
    </row>
    <row r="116" ht="15" customHeight="1">
      <c r="A116" t="inlineStr">
        <is>
          <t>A 7739-2019</t>
        </is>
      </c>
      <c r="B116" s="1" t="n">
        <v>43500</v>
      </c>
      <c r="C116" s="1" t="n">
        <v>45345</v>
      </c>
      <c r="D116" t="inlineStr">
        <is>
          <t>STOCKHOLMS LÄN</t>
        </is>
      </c>
      <c r="E116" t="inlineStr">
        <is>
          <t>NORRTÄLJE</t>
        </is>
      </c>
      <c r="G116" t="n">
        <v>10.7</v>
      </c>
      <c r="H116" t="n">
        <v>0</v>
      </c>
      <c r="I116" t="n">
        <v>0</v>
      </c>
      <c r="J116" t="n">
        <v>1</v>
      </c>
      <c r="K116" t="n">
        <v>0</v>
      </c>
      <c r="L116" t="n">
        <v>0</v>
      </c>
      <c r="M116" t="n">
        <v>0</v>
      </c>
      <c r="N116" t="n">
        <v>0</v>
      </c>
      <c r="O116" t="n">
        <v>1</v>
      </c>
      <c r="P116" t="n">
        <v>0</v>
      </c>
      <c r="Q116" t="n">
        <v>1</v>
      </c>
      <c r="R116" s="2" t="inlineStr">
        <is>
          <t>Brunklöver</t>
        </is>
      </c>
      <c r="S116">
        <f>HYPERLINK("https://klasma.github.io/Logging_0188/artfynd/A 7739-2019 artfynd.xlsx", "A 7739-2019")</f>
        <v/>
      </c>
      <c r="T116">
        <f>HYPERLINK("https://klasma.github.io/Logging_0188/kartor/A 7739-2019 karta.png", "A 7739-2019")</f>
        <v/>
      </c>
      <c r="V116">
        <f>HYPERLINK("https://klasma.github.io/Logging_0188/klagomål/A 7739-2019 FSC-klagomål.docx", "A 7739-2019")</f>
        <v/>
      </c>
      <c r="W116">
        <f>HYPERLINK("https://klasma.github.io/Logging_0188/klagomålsmail/A 7739-2019 FSC-klagomål mail.docx", "A 7739-2019")</f>
        <v/>
      </c>
      <c r="X116">
        <f>HYPERLINK("https://klasma.github.io/Logging_0188/tillsyn/A 7739-2019 tillsynsbegäran.docx", "A 7739-2019")</f>
        <v/>
      </c>
      <c r="Y116">
        <f>HYPERLINK("https://klasma.github.io/Logging_0188/tillsynsmail/A 7739-2019 tillsynsbegäran mail.docx", "A 7739-2019")</f>
        <v/>
      </c>
    </row>
    <row r="117" ht="15" customHeight="1">
      <c r="A117" t="inlineStr">
        <is>
          <t>A 8742-2019</t>
        </is>
      </c>
      <c r="B117" s="1" t="n">
        <v>43503</v>
      </c>
      <c r="C117" s="1" t="n">
        <v>45345</v>
      </c>
      <c r="D117" t="inlineStr">
        <is>
          <t>STOCKHOLMS LÄN</t>
        </is>
      </c>
      <c r="E117" t="inlineStr">
        <is>
          <t>NORRTÄLJE</t>
        </is>
      </c>
      <c r="G117" t="n">
        <v>5.2</v>
      </c>
      <c r="H117" t="n">
        <v>0</v>
      </c>
      <c r="I117" t="n">
        <v>0</v>
      </c>
      <c r="J117" t="n">
        <v>0</v>
      </c>
      <c r="K117" t="n">
        <v>0</v>
      </c>
      <c r="L117" t="n">
        <v>1</v>
      </c>
      <c r="M117" t="n">
        <v>0</v>
      </c>
      <c r="N117" t="n">
        <v>0</v>
      </c>
      <c r="O117" t="n">
        <v>1</v>
      </c>
      <c r="P117" t="n">
        <v>1</v>
      </c>
      <c r="Q117" t="n">
        <v>1</v>
      </c>
      <c r="R117" s="2" t="inlineStr">
        <is>
          <t>Ask</t>
        </is>
      </c>
      <c r="S117">
        <f>HYPERLINK("https://klasma.github.io/Logging_0188/artfynd/A 8742-2019 artfynd.xlsx", "A 8742-2019")</f>
        <v/>
      </c>
      <c r="T117">
        <f>HYPERLINK("https://klasma.github.io/Logging_0188/kartor/A 8742-2019 karta.png", "A 8742-2019")</f>
        <v/>
      </c>
      <c r="V117">
        <f>HYPERLINK("https://klasma.github.io/Logging_0188/klagomål/A 8742-2019 FSC-klagomål.docx", "A 8742-2019")</f>
        <v/>
      </c>
      <c r="W117">
        <f>HYPERLINK("https://klasma.github.io/Logging_0188/klagomålsmail/A 8742-2019 FSC-klagomål mail.docx", "A 8742-2019")</f>
        <v/>
      </c>
      <c r="X117">
        <f>HYPERLINK("https://klasma.github.io/Logging_0188/tillsyn/A 8742-2019 tillsynsbegäran.docx", "A 8742-2019")</f>
        <v/>
      </c>
      <c r="Y117">
        <f>HYPERLINK("https://klasma.github.io/Logging_0188/tillsynsmail/A 8742-2019 tillsynsbegäran mail.docx", "A 8742-2019")</f>
        <v/>
      </c>
    </row>
    <row r="118" ht="15" customHeight="1">
      <c r="A118" t="inlineStr">
        <is>
          <t>A 9041-2019</t>
        </is>
      </c>
      <c r="B118" s="1" t="n">
        <v>43504</v>
      </c>
      <c r="C118" s="1" t="n">
        <v>45345</v>
      </c>
      <c r="D118" t="inlineStr">
        <is>
          <t>STOCKHOLMS LÄN</t>
        </is>
      </c>
      <c r="E118" t="inlineStr">
        <is>
          <t>NORRTÄLJE</t>
        </is>
      </c>
      <c r="F118" t="inlineStr">
        <is>
          <t>Holmen skog AB</t>
        </is>
      </c>
      <c r="G118" t="n">
        <v>3.5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9041-2019 artfynd.xlsx", "A 9041-2019")</f>
        <v/>
      </c>
      <c r="T118">
        <f>HYPERLINK("https://klasma.github.io/Logging_0188/kartor/A 9041-2019 karta.png", "A 9041-2019")</f>
        <v/>
      </c>
      <c r="V118">
        <f>HYPERLINK("https://klasma.github.io/Logging_0188/klagomål/A 9041-2019 FSC-klagomål.docx", "A 9041-2019")</f>
        <v/>
      </c>
      <c r="W118">
        <f>HYPERLINK("https://klasma.github.io/Logging_0188/klagomålsmail/A 9041-2019 FSC-klagomål mail.docx", "A 9041-2019")</f>
        <v/>
      </c>
      <c r="X118">
        <f>HYPERLINK("https://klasma.github.io/Logging_0188/tillsyn/A 9041-2019 tillsynsbegäran.docx", "A 9041-2019")</f>
        <v/>
      </c>
      <c r="Y118">
        <f>HYPERLINK("https://klasma.github.io/Logging_0188/tillsynsmail/A 9041-2019 tillsynsbegäran mail.docx", "A 9041-2019")</f>
        <v/>
      </c>
    </row>
    <row r="119" ht="15" customHeight="1">
      <c r="A119" t="inlineStr">
        <is>
          <t>A 9689-2019</t>
        </is>
      </c>
      <c r="B119" s="1" t="n">
        <v>43508</v>
      </c>
      <c r="C119" s="1" t="n">
        <v>45345</v>
      </c>
      <c r="D119" t="inlineStr">
        <is>
          <t>STOCKHOLMS LÄN</t>
        </is>
      </c>
      <c r="E119" t="inlineStr">
        <is>
          <t>NORRTÄLJE</t>
        </is>
      </c>
      <c r="F119" t="inlineStr">
        <is>
          <t>Övriga statliga verk och myndigheter</t>
        </is>
      </c>
      <c r="G119" t="n">
        <v>10</v>
      </c>
      <c r="H119" t="n">
        <v>0</v>
      </c>
      <c r="I119" t="n">
        <v>0</v>
      </c>
      <c r="J119" t="n">
        <v>0</v>
      </c>
      <c r="K119" t="n">
        <v>1</v>
      </c>
      <c r="L119" t="n">
        <v>0</v>
      </c>
      <c r="M119" t="n">
        <v>0</v>
      </c>
      <c r="N119" t="n">
        <v>0</v>
      </c>
      <c r="O119" t="n">
        <v>1</v>
      </c>
      <c r="P119" t="n">
        <v>1</v>
      </c>
      <c r="Q119" t="n">
        <v>1</v>
      </c>
      <c r="R119" s="2" t="inlineStr">
        <is>
          <t>Trubbdaggkåpa</t>
        </is>
      </c>
      <c r="S119">
        <f>HYPERLINK("https://klasma.github.io/Logging_0188/artfynd/A 9689-2019 artfynd.xlsx", "A 9689-2019")</f>
        <v/>
      </c>
      <c r="T119">
        <f>HYPERLINK("https://klasma.github.io/Logging_0188/kartor/A 9689-2019 karta.png", "A 9689-2019")</f>
        <v/>
      </c>
      <c r="V119">
        <f>HYPERLINK("https://klasma.github.io/Logging_0188/klagomål/A 9689-2019 FSC-klagomål.docx", "A 9689-2019")</f>
        <v/>
      </c>
      <c r="W119">
        <f>HYPERLINK("https://klasma.github.io/Logging_0188/klagomålsmail/A 9689-2019 FSC-klagomål mail.docx", "A 9689-2019")</f>
        <v/>
      </c>
      <c r="X119">
        <f>HYPERLINK("https://klasma.github.io/Logging_0188/tillsyn/A 9689-2019 tillsynsbegäran.docx", "A 9689-2019")</f>
        <v/>
      </c>
      <c r="Y119">
        <f>HYPERLINK("https://klasma.github.io/Logging_0188/tillsynsmail/A 9689-2019 tillsynsbegäran mail.docx", "A 9689-2019")</f>
        <v/>
      </c>
    </row>
    <row r="120" ht="15" customHeight="1">
      <c r="A120" t="inlineStr">
        <is>
          <t>A 9917-2019</t>
        </is>
      </c>
      <c r="B120" s="1" t="n">
        <v>43509</v>
      </c>
      <c r="C120" s="1" t="n">
        <v>45345</v>
      </c>
      <c r="D120" t="inlineStr">
        <is>
          <t>STOCKHOLMS LÄN</t>
        </is>
      </c>
      <c r="E120" t="inlineStr">
        <is>
          <t>NORRTÄLJE</t>
        </is>
      </c>
      <c r="G120" t="n">
        <v>1.7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9917-2019 artfynd.xlsx", "A 9917-2019")</f>
        <v/>
      </c>
      <c r="T120">
        <f>HYPERLINK("https://klasma.github.io/Logging_0188/kartor/A 9917-2019 karta.png", "A 9917-2019")</f>
        <v/>
      </c>
      <c r="V120">
        <f>HYPERLINK("https://klasma.github.io/Logging_0188/klagomål/A 9917-2019 FSC-klagomål.docx", "A 9917-2019")</f>
        <v/>
      </c>
      <c r="W120">
        <f>HYPERLINK("https://klasma.github.io/Logging_0188/klagomålsmail/A 9917-2019 FSC-klagomål mail.docx", "A 9917-2019")</f>
        <v/>
      </c>
      <c r="X120">
        <f>HYPERLINK("https://klasma.github.io/Logging_0188/tillsyn/A 9917-2019 tillsynsbegäran.docx", "A 9917-2019")</f>
        <v/>
      </c>
      <c r="Y120">
        <f>HYPERLINK("https://klasma.github.io/Logging_0188/tillsynsmail/A 9917-2019 tillsynsbegäran mail.docx", "A 9917-2019")</f>
        <v/>
      </c>
    </row>
    <row r="121" ht="15" customHeight="1">
      <c r="A121" t="inlineStr">
        <is>
          <t>A 10426-2019</t>
        </is>
      </c>
      <c r="B121" s="1" t="n">
        <v>43511</v>
      </c>
      <c r="C121" s="1" t="n">
        <v>45345</v>
      </c>
      <c r="D121" t="inlineStr">
        <is>
          <t>STOCKHOLMS LÄN</t>
        </is>
      </c>
      <c r="E121" t="inlineStr">
        <is>
          <t>NORRTÄLJE</t>
        </is>
      </c>
      <c r="G121" t="n">
        <v>19</v>
      </c>
      <c r="H121" t="n">
        <v>1</v>
      </c>
      <c r="I121" t="n">
        <v>0</v>
      </c>
      <c r="J121" t="n">
        <v>0</v>
      </c>
      <c r="K121" t="n">
        <v>0</v>
      </c>
      <c r="L121" t="n">
        <v>0</v>
      </c>
      <c r="M121" t="n">
        <v>0</v>
      </c>
      <c r="N121" t="n">
        <v>0</v>
      </c>
      <c r="O121" t="n">
        <v>0</v>
      </c>
      <c r="P121" t="n">
        <v>0</v>
      </c>
      <c r="Q121" t="n">
        <v>1</v>
      </c>
      <c r="R121" s="2" t="inlineStr">
        <is>
          <t>Grönvit nattviol</t>
        </is>
      </c>
      <c r="S121">
        <f>HYPERLINK("https://klasma.github.io/Logging_0188/artfynd/A 10426-2019 artfynd.xlsx", "A 10426-2019")</f>
        <v/>
      </c>
      <c r="T121">
        <f>HYPERLINK("https://klasma.github.io/Logging_0188/kartor/A 10426-2019 karta.png", "A 10426-2019")</f>
        <v/>
      </c>
      <c r="V121">
        <f>HYPERLINK("https://klasma.github.io/Logging_0188/klagomål/A 10426-2019 FSC-klagomål.docx", "A 10426-2019")</f>
        <v/>
      </c>
      <c r="W121">
        <f>HYPERLINK("https://klasma.github.io/Logging_0188/klagomålsmail/A 10426-2019 FSC-klagomål mail.docx", "A 10426-2019")</f>
        <v/>
      </c>
      <c r="X121">
        <f>HYPERLINK("https://klasma.github.io/Logging_0188/tillsyn/A 10426-2019 tillsynsbegäran.docx", "A 10426-2019")</f>
        <v/>
      </c>
      <c r="Y121">
        <f>HYPERLINK("https://klasma.github.io/Logging_0188/tillsynsmail/A 10426-2019 tillsynsbegäran mail.docx", "A 10426-2019")</f>
        <v/>
      </c>
    </row>
    <row r="122" ht="15" customHeight="1">
      <c r="A122" t="inlineStr">
        <is>
          <t>A 11462-2019</t>
        </is>
      </c>
      <c r="B122" s="1" t="n">
        <v>43517</v>
      </c>
      <c r="C122" s="1" t="n">
        <v>45345</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45345</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45345</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45345</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45345</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45345</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45345</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45345</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45345</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45345</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45345</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45345</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45345</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45345</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45345</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45345</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45345</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45345</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45345</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45345</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45345</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45345</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45345</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45345</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45345</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45345</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45345</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45345</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45345</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45345</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45345</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45345</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45345</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45345</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45345</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45345</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45345</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45345</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45345</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45345</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45345</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45345</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45345</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45345</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45345</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45345</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45345</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45345</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45345</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45345</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45345</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45345</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45345</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45345</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45345</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45345</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45345</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45345</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45345</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45345</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45345</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45345</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45345</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45345</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45345</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45345</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45345</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45345</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6950-2024</t>
        </is>
      </c>
      <c r="B190" s="1" t="n">
        <v>45343</v>
      </c>
      <c r="C190" s="1" t="n">
        <v>45345</v>
      </c>
      <c r="D190" t="inlineStr">
        <is>
          <t>STOCKHOLMS LÄN</t>
        </is>
      </c>
      <c r="E190" t="inlineStr">
        <is>
          <t>NORRTÄLJE</t>
        </is>
      </c>
      <c r="G190" t="n">
        <v>26.8</v>
      </c>
      <c r="H190" t="n">
        <v>1</v>
      </c>
      <c r="I190" t="n">
        <v>0</v>
      </c>
      <c r="J190" t="n">
        <v>0</v>
      </c>
      <c r="K190" t="n">
        <v>0</v>
      </c>
      <c r="L190" t="n">
        <v>0</v>
      </c>
      <c r="M190" t="n">
        <v>0</v>
      </c>
      <c r="N190" t="n">
        <v>0</v>
      </c>
      <c r="O190" t="n">
        <v>0</v>
      </c>
      <c r="P190" t="n">
        <v>0</v>
      </c>
      <c r="Q190" t="n">
        <v>1</v>
      </c>
      <c r="R190" s="2" t="inlineStr">
        <is>
          <t>Blåsippa</t>
        </is>
      </c>
      <c r="S190">
        <f>HYPERLINK("https://klasma.github.io/Logging_0188/artfynd/A 6950-2024 artfynd.xlsx", "A 6950-2024")</f>
        <v/>
      </c>
      <c r="T190">
        <f>HYPERLINK("https://klasma.github.io/Logging_0188/kartor/A 6950-2024 karta.png", "A 6950-2024")</f>
        <v/>
      </c>
      <c r="V190">
        <f>HYPERLINK("https://klasma.github.io/Logging_0188/klagomål/A 6950-2024 FSC-klagomål.docx", "A 6950-2024")</f>
        <v/>
      </c>
      <c r="W190">
        <f>HYPERLINK("https://klasma.github.io/Logging_0188/klagomålsmail/A 6950-2024 FSC-klagomål mail.docx", "A 6950-2024")</f>
        <v/>
      </c>
      <c r="X190">
        <f>HYPERLINK("https://klasma.github.io/Logging_0188/tillsyn/A 6950-2024 tillsynsbegäran.docx", "A 6950-2024")</f>
        <v/>
      </c>
      <c r="Y190">
        <f>HYPERLINK("https://klasma.github.io/Logging_0188/tillsynsmail/A 6950-2024 tillsynsbegäran mail.docx", "A 6950-2024")</f>
        <v/>
      </c>
    </row>
    <row r="191" ht="15" customHeight="1">
      <c r="A191" t="inlineStr">
        <is>
          <t>A 34215-2018</t>
        </is>
      </c>
      <c r="B191" s="1" t="n">
        <v>43318</v>
      </c>
      <c r="C191" s="1" t="n">
        <v>45345</v>
      </c>
      <c r="D191" t="inlineStr">
        <is>
          <t>STOCKHOLMS LÄN</t>
        </is>
      </c>
      <c r="E191" t="inlineStr">
        <is>
          <t>NORRTÄLJE</t>
        </is>
      </c>
      <c r="G191" t="n">
        <v>4.1</v>
      </c>
      <c r="H191" t="n">
        <v>0</v>
      </c>
      <c r="I191" t="n">
        <v>0</v>
      </c>
      <c r="J191" t="n">
        <v>0</v>
      </c>
      <c r="K191" t="n">
        <v>0</v>
      </c>
      <c r="L191" t="n">
        <v>0</v>
      </c>
      <c r="M191" t="n">
        <v>0</v>
      </c>
      <c r="N191" t="n">
        <v>0</v>
      </c>
      <c r="O191" t="n">
        <v>0</v>
      </c>
      <c r="P191" t="n">
        <v>0</v>
      </c>
      <c r="Q191" t="n">
        <v>0</v>
      </c>
      <c r="R191" s="2" t="inlineStr"/>
    </row>
    <row r="192" ht="15" customHeight="1">
      <c r="A192" t="inlineStr">
        <is>
          <t>A 41609-2018</t>
        </is>
      </c>
      <c r="B192" s="1" t="n">
        <v>43349</v>
      </c>
      <c r="C192" s="1" t="n">
        <v>45345</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44575-2018</t>
        </is>
      </c>
      <c r="B193" s="1" t="n">
        <v>43361</v>
      </c>
      <c r="C193" s="1" t="n">
        <v>45345</v>
      </c>
      <c r="D193" t="inlineStr">
        <is>
          <t>STOCKHOLMS LÄN</t>
        </is>
      </c>
      <c r="E193" t="inlineStr">
        <is>
          <t>NORRTÄLJE</t>
        </is>
      </c>
      <c r="G193" t="n">
        <v>9.9</v>
      </c>
      <c r="H193" t="n">
        <v>0</v>
      </c>
      <c r="I193" t="n">
        <v>0</v>
      </c>
      <c r="J193" t="n">
        <v>0</v>
      </c>
      <c r="K193" t="n">
        <v>0</v>
      </c>
      <c r="L193" t="n">
        <v>0</v>
      </c>
      <c r="M193" t="n">
        <v>0</v>
      </c>
      <c r="N193" t="n">
        <v>0</v>
      </c>
      <c r="O193" t="n">
        <v>0</v>
      </c>
      <c r="P193" t="n">
        <v>0</v>
      </c>
      <c r="Q193" t="n">
        <v>0</v>
      </c>
      <c r="R193" s="2" t="inlineStr"/>
    </row>
    <row r="194" ht="15" customHeight="1">
      <c r="A194" t="inlineStr">
        <is>
          <t>A 44554-2018</t>
        </is>
      </c>
      <c r="B194" s="1" t="n">
        <v>43361</v>
      </c>
      <c r="C194" s="1" t="n">
        <v>45345</v>
      </c>
      <c r="D194" t="inlineStr">
        <is>
          <t>STOCKHOLMS LÄN</t>
        </is>
      </c>
      <c r="E194" t="inlineStr">
        <is>
          <t>NORRTÄLJE</t>
        </is>
      </c>
      <c r="G194" t="n">
        <v>0.5</v>
      </c>
      <c r="H194" t="n">
        <v>0</v>
      </c>
      <c r="I194" t="n">
        <v>0</v>
      </c>
      <c r="J194" t="n">
        <v>0</v>
      </c>
      <c r="K194" t="n">
        <v>0</v>
      </c>
      <c r="L194" t="n">
        <v>0</v>
      </c>
      <c r="M194" t="n">
        <v>0</v>
      </c>
      <c r="N194" t="n">
        <v>0</v>
      </c>
      <c r="O194" t="n">
        <v>0</v>
      </c>
      <c r="P194" t="n">
        <v>0</v>
      </c>
      <c r="Q194" t="n">
        <v>0</v>
      </c>
      <c r="R194" s="2" t="inlineStr"/>
    </row>
    <row r="195" ht="15" customHeight="1">
      <c r="A195" t="inlineStr">
        <is>
          <t>A 55474-2018</t>
        </is>
      </c>
      <c r="B195" s="1" t="n">
        <v>43391</v>
      </c>
      <c r="C195" s="1" t="n">
        <v>45345</v>
      </c>
      <c r="D195" t="inlineStr">
        <is>
          <t>STOCKHOLMS LÄN</t>
        </is>
      </c>
      <c r="E195" t="inlineStr">
        <is>
          <t>NORRTÄLJE</t>
        </is>
      </c>
      <c r="G195" t="n">
        <v>1.5</v>
      </c>
      <c r="H195" t="n">
        <v>0</v>
      </c>
      <c r="I195" t="n">
        <v>0</v>
      </c>
      <c r="J195" t="n">
        <v>0</v>
      </c>
      <c r="K195" t="n">
        <v>0</v>
      </c>
      <c r="L195" t="n">
        <v>0</v>
      </c>
      <c r="M195" t="n">
        <v>0</v>
      </c>
      <c r="N195" t="n">
        <v>0</v>
      </c>
      <c r="O195" t="n">
        <v>0</v>
      </c>
      <c r="P195" t="n">
        <v>0</v>
      </c>
      <c r="Q195" t="n">
        <v>0</v>
      </c>
      <c r="R195" s="2" t="inlineStr"/>
    </row>
    <row r="196" ht="15" customHeight="1">
      <c r="A196" t="inlineStr">
        <is>
          <t>A 59037-2018</t>
        </is>
      </c>
      <c r="B196" s="1" t="n">
        <v>43402</v>
      </c>
      <c r="C196" s="1" t="n">
        <v>45345</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59531-2018</t>
        </is>
      </c>
      <c r="B197" s="1" t="n">
        <v>43404</v>
      </c>
      <c r="C197" s="1" t="n">
        <v>45345</v>
      </c>
      <c r="D197" t="inlineStr">
        <is>
          <t>STOCKHOLMS LÄN</t>
        </is>
      </c>
      <c r="E197" t="inlineStr">
        <is>
          <t>NORRTÄLJE</t>
        </is>
      </c>
      <c r="G197" t="n">
        <v>2</v>
      </c>
      <c r="H197" t="n">
        <v>0</v>
      </c>
      <c r="I197" t="n">
        <v>0</v>
      </c>
      <c r="J197" t="n">
        <v>0</v>
      </c>
      <c r="K197" t="n">
        <v>0</v>
      </c>
      <c r="L197" t="n">
        <v>0</v>
      </c>
      <c r="M197" t="n">
        <v>0</v>
      </c>
      <c r="N197" t="n">
        <v>0</v>
      </c>
      <c r="O197" t="n">
        <v>0</v>
      </c>
      <c r="P197" t="n">
        <v>0</v>
      </c>
      <c r="Q197" t="n">
        <v>0</v>
      </c>
      <c r="R197" s="2" t="inlineStr"/>
    </row>
    <row r="198" ht="15" customHeight="1">
      <c r="A198" t="inlineStr">
        <is>
          <t>A 59257-2018</t>
        </is>
      </c>
      <c r="B198" s="1" t="n">
        <v>43404</v>
      </c>
      <c r="C198" s="1" t="n">
        <v>45345</v>
      </c>
      <c r="D198" t="inlineStr">
        <is>
          <t>STOCKHOLMS LÄN</t>
        </is>
      </c>
      <c r="E198" t="inlineStr">
        <is>
          <t>NORRTÄLJE</t>
        </is>
      </c>
      <c r="G198" t="n">
        <v>6</v>
      </c>
      <c r="H198" t="n">
        <v>0</v>
      </c>
      <c r="I198" t="n">
        <v>0</v>
      </c>
      <c r="J198" t="n">
        <v>0</v>
      </c>
      <c r="K198" t="n">
        <v>0</v>
      </c>
      <c r="L198" t="n">
        <v>0</v>
      </c>
      <c r="M198" t="n">
        <v>0</v>
      </c>
      <c r="N198" t="n">
        <v>0</v>
      </c>
      <c r="O198" t="n">
        <v>0</v>
      </c>
      <c r="P198" t="n">
        <v>0</v>
      </c>
      <c r="Q198" t="n">
        <v>0</v>
      </c>
      <c r="R198" s="2" t="inlineStr"/>
    </row>
    <row r="199" ht="15" customHeight="1">
      <c r="A199" t="inlineStr">
        <is>
          <t>A 59205-2018</t>
        </is>
      </c>
      <c r="B199" s="1" t="n">
        <v>43404</v>
      </c>
      <c r="C199" s="1" t="n">
        <v>45345</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57788-2018</t>
        </is>
      </c>
      <c r="B200" s="1" t="n">
        <v>43405</v>
      </c>
      <c r="C200" s="1" t="n">
        <v>45345</v>
      </c>
      <c r="D200" t="inlineStr">
        <is>
          <t>STOCKHOLMS LÄN</t>
        </is>
      </c>
      <c r="E200" t="inlineStr">
        <is>
          <t>NORRTÄLJE</t>
        </is>
      </c>
      <c r="G200" t="n">
        <v>5.3</v>
      </c>
      <c r="H200" t="n">
        <v>0</v>
      </c>
      <c r="I200" t="n">
        <v>0</v>
      </c>
      <c r="J200" t="n">
        <v>0</v>
      </c>
      <c r="K200" t="n">
        <v>0</v>
      </c>
      <c r="L200" t="n">
        <v>0</v>
      </c>
      <c r="M200" t="n">
        <v>0</v>
      </c>
      <c r="N200" t="n">
        <v>0</v>
      </c>
      <c r="O200" t="n">
        <v>0</v>
      </c>
      <c r="P200" t="n">
        <v>0</v>
      </c>
      <c r="Q200" t="n">
        <v>0</v>
      </c>
      <c r="R200" s="2" t="inlineStr"/>
    </row>
    <row r="201" ht="15" customHeight="1">
      <c r="A201" t="inlineStr">
        <is>
          <t>A 59554-2018</t>
        </is>
      </c>
      <c r="B201" s="1" t="n">
        <v>43405</v>
      </c>
      <c r="C201" s="1" t="n">
        <v>45345</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64973-2018</t>
        </is>
      </c>
      <c r="B202" s="1" t="n">
        <v>43405</v>
      </c>
      <c r="C202" s="1" t="n">
        <v>45345</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58116-2018</t>
        </is>
      </c>
      <c r="B203" s="1" t="n">
        <v>43406</v>
      </c>
      <c r="C203" s="1" t="n">
        <v>45345</v>
      </c>
      <c r="D203" t="inlineStr">
        <is>
          <t>STOCKHOLMS LÄN</t>
        </is>
      </c>
      <c r="E203" t="inlineStr">
        <is>
          <t>NORRTÄLJE</t>
        </is>
      </c>
      <c r="G203" t="n">
        <v>3.4</v>
      </c>
      <c r="H203" t="n">
        <v>0</v>
      </c>
      <c r="I203" t="n">
        <v>0</v>
      </c>
      <c r="J203" t="n">
        <v>0</v>
      </c>
      <c r="K203" t="n">
        <v>0</v>
      </c>
      <c r="L203" t="n">
        <v>0</v>
      </c>
      <c r="M203" t="n">
        <v>0</v>
      </c>
      <c r="N203" t="n">
        <v>0</v>
      </c>
      <c r="O203" t="n">
        <v>0</v>
      </c>
      <c r="P203" t="n">
        <v>0</v>
      </c>
      <c r="Q203" t="n">
        <v>0</v>
      </c>
      <c r="R203" s="2" t="inlineStr"/>
    </row>
    <row r="204" ht="15" customHeight="1">
      <c r="A204" t="inlineStr">
        <is>
          <t>A 58894-2018</t>
        </is>
      </c>
      <c r="B204" s="1" t="n">
        <v>43410</v>
      </c>
      <c r="C204" s="1" t="n">
        <v>45345</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62408-2018</t>
        </is>
      </c>
      <c r="B205" s="1" t="n">
        <v>43416</v>
      </c>
      <c r="C205" s="1" t="n">
        <v>45345</v>
      </c>
      <c r="D205" t="inlineStr">
        <is>
          <t>STOCKHOLMS LÄN</t>
        </is>
      </c>
      <c r="E205" t="inlineStr">
        <is>
          <t>NORRTÄLJE</t>
        </is>
      </c>
      <c r="G205" t="n">
        <v>0.2</v>
      </c>
      <c r="H205" t="n">
        <v>0</v>
      </c>
      <c r="I205" t="n">
        <v>0</v>
      </c>
      <c r="J205" t="n">
        <v>0</v>
      </c>
      <c r="K205" t="n">
        <v>0</v>
      </c>
      <c r="L205" t="n">
        <v>0</v>
      </c>
      <c r="M205" t="n">
        <v>0</v>
      </c>
      <c r="N205" t="n">
        <v>0</v>
      </c>
      <c r="O205" t="n">
        <v>0</v>
      </c>
      <c r="P205" t="n">
        <v>0</v>
      </c>
      <c r="Q205" t="n">
        <v>0</v>
      </c>
      <c r="R205" s="2" t="inlineStr"/>
    </row>
    <row r="206" ht="15" customHeight="1">
      <c r="A206" t="inlineStr">
        <is>
          <t>A 59363-2018</t>
        </is>
      </c>
      <c r="B206" s="1" t="n">
        <v>43418</v>
      </c>
      <c r="C206" s="1" t="n">
        <v>45345</v>
      </c>
      <c r="D206" t="inlineStr">
        <is>
          <t>STOCKHOLMS LÄN</t>
        </is>
      </c>
      <c r="E206" t="inlineStr">
        <is>
          <t>NORRTÄLJE</t>
        </is>
      </c>
      <c r="G206" t="n">
        <v>4.5</v>
      </c>
      <c r="H206" t="n">
        <v>0</v>
      </c>
      <c r="I206" t="n">
        <v>0</v>
      </c>
      <c r="J206" t="n">
        <v>0</v>
      </c>
      <c r="K206" t="n">
        <v>0</v>
      </c>
      <c r="L206" t="n">
        <v>0</v>
      </c>
      <c r="M206" t="n">
        <v>0</v>
      </c>
      <c r="N206" t="n">
        <v>0</v>
      </c>
      <c r="O206" t="n">
        <v>0</v>
      </c>
      <c r="P206" t="n">
        <v>0</v>
      </c>
      <c r="Q206" t="n">
        <v>0</v>
      </c>
      <c r="R206" s="2" t="inlineStr"/>
    </row>
    <row r="207" ht="15" customHeight="1">
      <c r="A207" t="inlineStr">
        <is>
          <t>A 61000-2018</t>
        </is>
      </c>
      <c r="B207" s="1" t="n">
        <v>43419</v>
      </c>
      <c r="C207" s="1" t="n">
        <v>45345</v>
      </c>
      <c r="D207" t="inlineStr">
        <is>
          <t>STOCKHOLMS LÄN</t>
        </is>
      </c>
      <c r="E207" t="inlineStr">
        <is>
          <t>NORRTÄLJE</t>
        </is>
      </c>
      <c r="G207" t="n">
        <v>2.9</v>
      </c>
      <c r="H207" t="n">
        <v>0</v>
      </c>
      <c r="I207" t="n">
        <v>0</v>
      </c>
      <c r="J207" t="n">
        <v>0</v>
      </c>
      <c r="K207" t="n">
        <v>0</v>
      </c>
      <c r="L207" t="n">
        <v>0</v>
      </c>
      <c r="M207" t="n">
        <v>0</v>
      </c>
      <c r="N207" t="n">
        <v>0</v>
      </c>
      <c r="O207" t="n">
        <v>0</v>
      </c>
      <c r="P207" t="n">
        <v>0</v>
      </c>
      <c r="Q207" t="n">
        <v>0</v>
      </c>
      <c r="R207" s="2" t="inlineStr"/>
    </row>
    <row r="208" ht="15" customHeight="1">
      <c r="A208" t="inlineStr">
        <is>
          <t>A 61574-2018</t>
        </is>
      </c>
      <c r="B208" s="1" t="n">
        <v>43424</v>
      </c>
      <c r="C208" s="1" t="n">
        <v>45345</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63233-2018</t>
        </is>
      </c>
      <c r="B209" s="1" t="n">
        <v>43426</v>
      </c>
      <c r="C209" s="1" t="n">
        <v>45345</v>
      </c>
      <c r="D209" t="inlineStr">
        <is>
          <t>STOCKHOLMS LÄN</t>
        </is>
      </c>
      <c r="E209" t="inlineStr">
        <is>
          <t>NORRTÄLJE</t>
        </is>
      </c>
      <c r="G209" t="n">
        <v>6.4</v>
      </c>
      <c r="H209" t="n">
        <v>0</v>
      </c>
      <c r="I209" t="n">
        <v>0</v>
      </c>
      <c r="J209" t="n">
        <v>0</v>
      </c>
      <c r="K209" t="n">
        <v>0</v>
      </c>
      <c r="L209" t="n">
        <v>0</v>
      </c>
      <c r="M209" t="n">
        <v>0</v>
      </c>
      <c r="N209" t="n">
        <v>0</v>
      </c>
      <c r="O209" t="n">
        <v>0</v>
      </c>
      <c r="P209" t="n">
        <v>0</v>
      </c>
      <c r="Q209" t="n">
        <v>0</v>
      </c>
      <c r="R209" s="2" t="inlineStr"/>
    </row>
    <row r="210" ht="15" customHeight="1">
      <c r="A210" t="inlineStr">
        <is>
          <t>A 63230-2018</t>
        </is>
      </c>
      <c r="B210" s="1" t="n">
        <v>43426</v>
      </c>
      <c r="C210" s="1" t="n">
        <v>45345</v>
      </c>
      <c r="D210" t="inlineStr">
        <is>
          <t>STOCKHOLMS LÄN</t>
        </is>
      </c>
      <c r="E210" t="inlineStr">
        <is>
          <t>NORRTÄLJE</t>
        </is>
      </c>
      <c r="G210" t="n">
        <v>1.1</v>
      </c>
      <c r="H210" t="n">
        <v>0</v>
      </c>
      <c r="I210" t="n">
        <v>0</v>
      </c>
      <c r="J210" t="n">
        <v>0</v>
      </c>
      <c r="K210" t="n">
        <v>0</v>
      </c>
      <c r="L210" t="n">
        <v>0</v>
      </c>
      <c r="M210" t="n">
        <v>0</v>
      </c>
      <c r="N210" t="n">
        <v>0</v>
      </c>
      <c r="O210" t="n">
        <v>0</v>
      </c>
      <c r="P210" t="n">
        <v>0</v>
      </c>
      <c r="Q210" t="n">
        <v>0</v>
      </c>
      <c r="R210" s="2" t="inlineStr"/>
    </row>
    <row r="211" ht="15" customHeight="1">
      <c r="A211" t="inlineStr">
        <is>
          <t>A 65027-2018</t>
        </is>
      </c>
      <c r="B211" s="1" t="n">
        <v>43432</v>
      </c>
      <c r="C211" s="1" t="n">
        <v>45345</v>
      </c>
      <c r="D211" t="inlineStr">
        <is>
          <t>STOCKHOLMS LÄN</t>
        </is>
      </c>
      <c r="E211" t="inlineStr">
        <is>
          <t>NORRTÄLJE</t>
        </is>
      </c>
      <c r="G211" t="n">
        <v>2.7</v>
      </c>
      <c r="H211" t="n">
        <v>0</v>
      </c>
      <c r="I211" t="n">
        <v>0</v>
      </c>
      <c r="J211" t="n">
        <v>0</v>
      </c>
      <c r="K211" t="n">
        <v>0</v>
      </c>
      <c r="L211" t="n">
        <v>0</v>
      </c>
      <c r="M211" t="n">
        <v>0</v>
      </c>
      <c r="N211" t="n">
        <v>0</v>
      </c>
      <c r="O211" t="n">
        <v>0</v>
      </c>
      <c r="P211" t="n">
        <v>0</v>
      </c>
      <c r="Q211" t="n">
        <v>0</v>
      </c>
      <c r="R211" s="2" t="inlineStr"/>
    </row>
    <row r="212" ht="15" customHeight="1">
      <c r="A212" t="inlineStr">
        <is>
          <t>A 65015-2018</t>
        </is>
      </c>
      <c r="B212" s="1" t="n">
        <v>43432</v>
      </c>
      <c r="C212" s="1" t="n">
        <v>45345</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65566-2018</t>
        </is>
      </c>
      <c r="B213" s="1" t="n">
        <v>43433</v>
      </c>
      <c r="C213" s="1" t="n">
        <v>45345</v>
      </c>
      <c r="D213" t="inlineStr">
        <is>
          <t>STOCKHOLMS LÄN</t>
        </is>
      </c>
      <c r="E213" t="inlineStr">
        <is>
          <t>NORRTÄLJE</t>
        </is>
      </c>
      <c r="G213" t="n">
        <v>2</v>
      </c>
      <c r="H213" t="n">
        <v>0</v>
      </c>
      <c r="I213" t="n">
        <v>0</v>
      </c>
      <c r="J213" t="n">
        <v>0</v>
      </c>
      <c r="K213" t="n">
        <v>0</v>
      </c>
      <c r="L213" t="n">
        <v>0</v>
      </c>
      <c r="M213" t="n">
        <v>0</v>
      </c>
      <c r="N213" t="n">
        <v>0</v>
      </c>
      <c r="O213" t="n">
        <v>0</v>
      </c>
      <c r="P213" t="n">
        <v>0</v>
      </c>
      <c r="Q213" t="n">
        <v>0</v>
      </c>
      <c r="R213" s="2" t="inlineStr"/>
    </row>
    <row r="214" ht="15" customHeight="1">
      <c r="A214" t="inlineStr">
        <is>
          <t>A 66351-2018</t>
        </is>
      </c>
      <c r="B214" s="1" t="n">
        <v>43436</v>
      </c>
      <c r="C214" s="1" t="n">
        <v>45345</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66350-2018</t>
        </is>
      </c>
      <c r="B215" s="1" t="n">
        <v>43436</v>
      </c>
      <c r="C215" s="1" t="n">
        <v>45345</v>
      </c>
      <c r="D215" t="inlineStr">
        <is>
          <t>STOCKHOLMS LÄN</t>
        </is>
      </c>
      <c r="E215" t="inlineStr">
        <is>
          <t>NORRTÄLJE</t>
        </is>
      </c>
      <c r="G215" t="n">
        <v>1</v>
      </c>
      <c r="H215" t="n">
        <v>0</v>
      </c>
      <c r="I215" t="n">
        <v>0</v>
      </c>
      <c r="J215" t="n">
        <v>0</v>
      </c>
      <c r="K215" t="n">
        <v>0</v>
      </c>
      <c r="L215" t="n">
        <v>0</v>
      </c>
      <c r="M215" t="n">
        <v>0</v>
      </c>
      <c r="N215" t="n">
        <v>0</v>
      </c>
      <c r="O215" t="n">
        <v>0</v>
      </c>
      <c r="P215" t="n">
        <v>0</v>
      </c>
      <c r="Q215" t="n">
        <v>0</v>
      </c>
      <c r="R215" s="2" t="inlineStr"/>
    </row>
    <row r="216" ht="15" customHeight="1">
      <c r="A216" t="inlineStr">
        <is>
          <t>A 67951-2018</t>
        </is>
      </c>
      <c r="B216" s="1" t="n">
        <v>43440</v>
      </c>
      <c r="C216" s="1" t="n">
        <v>45345</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70310-2018</t>
        </is>
      </c>
      <c r="B217" s="1" t="n">
        <v>43445</v>
      </c>
      <c r="C217" s="1" t="n">
        <v>45345</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69025-2018</t>
        </is>
      </c>
      <c r="B218" s="1" t="n">
        <v>43445</v>
      </c>
      <c r="C218" s="1" t="n">
        <v>45345</v>
      </c>
      <c r="D218" t="inlineStr">
        <is>
          <t>STOCKHOLMS LÄN</t>
        </is>
      </c>
      <c r="E218" t="inlineStr">
        <is>
          <t>NORRTÄLJE</t>
        </is>
      </c>
      <c r="G218" t="n">
        <v>1.1</v>
      </c>
      <c r="H218" t="n">
        <v>0</v>
      </c>
      <c r="I218" t="n">
        <v>0</v>
      </c>
      <c r="J218" t="n">
        <v>0</v>
      </c>
      <c r="K218" t="n">
        <v>0</v>
      </c>
      <c r="L218" t="n">
        <v>0</v>
      </c>
      <c r="M218" t="n">
        <v>0</v>
      </c>
      <c r="N218" t="n">
        <v>0</v>
      </c>
      <c r="O218" t="n">
        <v>0</v>
      </c>
      <c r="P218" t="n">
        <v>0</v>
      </c>
      <c r="Q218" t="n">
        <v>0</v>
      </c>
      <c r="R218" s="2" t="inlineStr"/>
    </row>
    <row r="219" ht="15" customHeight="1">
      <c r="A219" t="inlineStr">
        <is>
          <t>A 71399-2018</t>
        </is>
      </c>
      <c r="B219" s="1" t="n">
        <v>43453</v>
      </c>
      <c r="C219" s="1" t="n">
        <v>45345</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72278-2018</t>
        </is>
      </c>
      <c r="B220" s="1" t="n">
        <v>43455</v>
      </c>
      <c r="C220" s="1" t="n">
        <v>45345</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72281-2018</t>
        </is>
      </c>
      <c r="B221" s="1" t="n">
        <v>43455</v>
      </c>
      <c r="C221" s="1" t="n">
        <v>45345</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72328-2018</t>
        </is>
      </c>
      <c r="B222" s="1" t="n">
        <v>43459</v>
      </c>
      <c r="C222" s="1" t="n">
        <v>45345</v>
      </c>
      <c r="D222" t="inlineStr">
        <is>
          <t>STOCKHOLMS LÄN</t>
        </is>
      </c>
      <c r="E222" t="inlineStr">
        <is>
          <t>NORRTÄLJE</t>
        </is>
      </c>
      <c r="G222" t="n">
        <v>4.4</v>
      </c>
      <c r="H222" t="n">
        <v>0</v>
      </c>
      <c r="I222" t="n">
        <v>0</v>
      </c>
      <c r="J222" t="n">
        <v>0</v>
      </c>
      <c r="K222" t="n">
        <v>0</v>
      </c>
      <c r="L222" t="n">
        <v>0</v>
      </c>
      <c r="M222" t="n">
        <v>0</v>
      </c>
      <c r="N222" t="n">
        <v>0</v>
      </c>
      <c r="O222" t="n">
        <v>0</v>
      </c>
      <c r="P222" t="n">
        <v>0</v>
      </c>
      <c r="Q222" t="n">
        <v>0</v>
      </c>
      <c r="R222" s="2" t="inlineStr"/>
    </row>
    <row r="223" ht="15" customHeight="1">
      <c r="A223" t="inlineStr">
        <is>
          <t>A 72453-2018</t>
        </is>
      </c>
      <c r="B223" s="1" t="n">
        <v>43461</v>
      </c>
      <c r="C223" s="1" t="n">
        <v>45345</v>
      </c>
      <c r="D223" t="inlineStr">
        <is>
          <t>STOCKHOLMS LÄN</t>
        </is>
      </c>
      <c r="E223" t="inlineStr">
        <is>
          <t>NORRTÄLJE</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72408-2018</t>
        </is>
      </c>
      <c r="B224" s="1" t="n">
        <v>43461</v>
      </c>
      <c r="C224" s="1" t="n">
        <v>45345</v>
      </c>
      <c r="D224" t="inlineStr">
        <is>
          <t>STOCKHOLMS LÄN</t>
        </is>
      </c>
      <c r="E224" t="inlineStr">
        <is>
          <t>NORRTÄLJE</t>
        </is>
      </c>
      <c r="G224" t="n">
        <v>1.9</v>
      </c>
      <c r="H224" t="n">
        <v>0</v>
      </c>
      <c r="I224" t="n">
        <v>0</v>
      </c>
      <c r="J224" t="n">
        <v>0</v>
      </c>
      <c r="K224" t="n">
        <v>0</v>
      </c>
      <c r="L224" t="n">
        <v>0</v>
      </c>
      <c r="M224" t="n">
        <v>0</v>
      </c>
      <c r="N224" t="n">
        <v>0</v>
      </c>
      <c r="O224" t="n">
        <v>0</v>
      </c>
      <c r="P224" t="n">
        <v>0</v>
      </c>
      <c r="Q224" t="n">
        <v>0</v>
      </c>
      <c r="R224" s="2" t="inlineStr"/>
    </row>
    <row r="225" ht="15" customHeight="1">
      <c r="A225" t="inlineStr">
        <is>
          <t>A 248-2019</t>
        </is>
      </c>
      <c r="B225" s="1" t="n">
        <v>43467</v>
      </c>
      <c r="C225" s="1" t="n">
        <v>45345</v>
      </c>
      <c r="D225" t="inlineStr">
        <is>
          <t>STOCKHOLMS LÄN</t>
        </is>
      </c>
      <c r="E225" t="inlineStr">
        <is>
          <t>NORRTÄLJE</t>
        </is>
      </c>
      <c r="G225" t="n">
        <v>9.4</v>
      </c>
      <c r="H225" t="n">
        <v>0</v>
      </c>
      <c r="I225" t="n">
        <v>0</v>
      </c>
      <c r="J225" t="n">
        <v>0</v>
      </c>
      <c r="K225" t="n">
        <v>0</v>
      </c>
      <c r="L225" t="n">
        <v>0</v>
      </c>
      <c r="M225" t="n">
        <v>0</v>
      </c>
      <c r="N225" t="n">
        <v>0</v>
      </c>
      <c r="O225" t="n">
        <v>0</v>
      </c>
      <c r="P225" t="n">
        <v>0</v>
      </c>
      <c r="Q225" t="n">
        <v>0</v>
      </c>
      <c r="R225" s="2" t="inlineStr"/>
    </row>
    <row r="226" ht="15" customHeight="1">
      <c r="A226" t="inlineStr">
        <is>
          <t>A 441-2019</t>
        </is>
      </c>
      <c r="B226" s="1" t="n">
        <v>43468</v>
      </c>
      <c r="C226" s="1" t="n">
        <v>45345</v>
      </c>
      <c r="D226" t="inlineStr">
        <is>
          <t>STOCKHOLMS LÄN</t>
        </is>
      </c>
      <c r="E226" t="inlineStr">
        <is>
          <t>NORRTÄLJE</t>
        </is>
      </c>
      <c r="G226" t="n">
        <v>7.2</v>
      </c>
      <c r="H226" t="n">
        <v>0</v>
      </c>
      <c r="I226" t="n">
        <v>0</v>
      </c>
      <c r="J226" t="n">
        <v>0</v>
      </c>
      <c r="K226" t="n">
        <v>0</v>
      </c>
      <c r="L226" t="n">
        <v>0</v>
      </c>
      <c r="M226" t="n">
        <v>0</v>
      </c>
      <c r="N226" t="n">
        <v>0</v>
      </c>
      <c r="O226" t="n">
        <v>0</v>
      </c>
      <c r="P226" t="n">
        <v>0</v>
      </c>
      <c r="Q226" t="n">
        <v>0</v>
      </c>
      <c r="R226" s="2" t="inlineStr"/>
    </row>
    <row r="227" ht="15" customHeight="1">
      <c r="A227" t="inlineStr">
        <is>
          <t>A 694-2019</t>
        </is>
      </c>
      <c r="B227" s="1" t="n">
        <v>43469</v>
      </c>
      <c r="C227" s="1" t="n">
        <v>45345</v>
      </c>
      <c r="D227" t="inlineStr">
        <is>
          <t>STOCKHOLMS LÄN</t>
        </is>
      </c>
      <c r="E227" t="inlineStr">
        <is>
          <t>NORRTÄLJE</t>
        </is>
      </c>
      <c r="G227" t="n">
        <v>9.4</v>
      </c>
      <c r="H227" t="n">
        <v>0</v>
      </c>
      <c r="I227" t="n">
        <v>0</v>
      </c>
      <c r="J227" t="n">
        <v>0</v>
      </c>
      <c r="K227" t="n">
        <v>0</v>
      </c>
      <c r="L227" t="n">
        <v>0</v>
      </c>
      <c r="M227" t="n">
        <v>0</v>
      </c>
      <c r="N227" t="n">
        <v>0</v>
      </c>
      <c r="O227" t="n">
        <v>0</v>
      </c>
      <c r="P227" t="n">
        <v>0</v>
      </c>
      <c r="Q227" t="n">
        <v>0</v>
      </c>
      <c r="R227" s="2" t="inlineStr"/>
    </row>
    <row r="228" ht="15" customHeight="1">
      <c r="A228" t="inlineStr">
        <is>
          <t>A 649-2019</t>
        </is>
      </c>
      <c r="B228" s="1" t="n">
        <v>43469</v>
      </c>
      <c r="C228" s="1" t="n">
        <v>45345</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708-2019</t>
        </is>
      </c>
      <c r="B229" s="1" t="n">
        <v>43470</v>
      </c>
      <c r="C229" s="1" t="n">
        <v>45345</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738-2019</t>
        </is>
      </c>
      <c r="B230" s="1" t="n">
        <v>43471</v>
      </c>
      <c r="C230" s="1" t="n">
        <v>45345</v>
      </c>
      <c r="D230" t="inlineStr">
        <is>
          <t>STOCKHOLMS LÄN</t>
        </is>
      </c>
      <c r="E230" t="inlineStr">
        <is>
          <t>NORRTÄLJE</t>
        </is>
      </c>
      <c r="G230" t="n">
        <v>1.9</v>
      </c>
      <c r="H230" t="n">
        <v>0</v>
      </c>
      <c r="I230" t="n">
        <v>0</v>
      </c>
      <c r="J230" t="n">
        <v>0</v>
      </c>
      <c r="K230" t="n">
        <v>0</v>
      </c>
      <c r="L230" t="n">
        <v>0</v>
      </c>
      <c r="M230" t="n">
        <v>0</v>
      </c>
      <c r="N230" t="n">
        <v>0</v>
      </c>
      <c r="O230" t="n">
        <v>0</v>
      </c>
      <c r="P230" t="n">
        <v>0</v>
      </c>
      <c r="Q230" t="n">
        <v>0</v>
      </c>
      <c r="R230" s="2" t="inlineStr"/>
    </row>
    <row r="231" ht="15" customHeight="1">
      <c r="A231" t="inlineStr">
        <is>
          <t>A 753-2019</t>
        </is>
      </c>
      <c r="B231" s="1" t="n">
        <v>43471</v>
      </c>
      <c r="C231" s="1" t="n">
        <v>45345</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728-2019</t>
        </is>
      </c>
      <c r="B232" s="1" t="n">
        <v>43471</v>
      </c>
      <c r="C232" s="1" t="n">
        <v>45345</v>
      </c>
      <c r="D232" t="inlineStr">
        <is>
          <t>STOCKHOLMS LÄN</t>
        </is>
      </c>
      <c r="E232" t="inlineStr">
        <is>
          <t>NORRTÄLJE</t>
        </is>
      </c>
      <c r="G232" t="n">
        <v>1.9</v>
      </c>
      <c r="H232" t="n">
        <v>0</v>
      </c>
      <c r="I232" t="n">
        <v>0</v>
      </c>
      <c r="J232" t="n">
        <v>0</v>
      </c>
      <c r="K232" t="n">
        <v>0</v>
      </c>
      <c r="L232" t="n">
        <v>0</v>
      </c>
      <c r="M232" t="n">
        <v>0</v>
      </c>
      <c r="N232" t="n">
        <v>0</v>
      </c>
      <c r="O232" t="n">
        <v>0</v>
      </c>
      <c r="P232" t="n">
        <v>0</v>
      </c>
      <c r="Q232" t="n">
        <v>0</v>
      </c>
      <c r="R232" s="2" t="inlineStr"/>
    </row>
    <row r="233" ht="15" customHeight="1">
      <c r="A233" t="inlineStr">
        <is>
          <t>A 740-2019</t>
        </is>
      </c>
      <c r="B233" s="1" t="n">
        <v>43471</v>
      </c>
      <c r="C233" s="1" t="n">
        <v>45345</v>
      </c>
      <c r="D233" t="inlineStr">
        <is>
          <t>STOCKHOLMS LÄN</t>
        </is>
      </c>
      <c r="E233" t="inlineStr">
        <is>
          <t>NORRTÄLJE</t>
        </is>
      </c>
      <c r="G233" t="n">
        <v>11.4</v>
      </c>
      <c r="H233" t="n">
        <v>0</v>
      </c>
      <c r="I233" t="n">
        <v>0</v>
      </c>
      <c r="J233" t="n">
        <v>0</v>
      </c>
      <c r="K233" t="n">
        <v>0</v>
      </c>
      <c r="L233" t="n">
        <v>0</v>
      </c>
      <c r="M233" t="n">
        <v>0</v>
      </c>
      <c r="N233" t="n">
        <v>0</v>
      </c>
      <c r="O233" t="n">
        <v>0</v>
      </c>
      <c r="P233" t="n">
        <v>0</v>
      </c>
      <c r="Q233" t="n">
        <v>0</v>
      </c>
      <c r="R233" s="2" t="inlineStr"/>
    </row>
    <row r="234" ht="15" customHeight="1">
      <c r="A234" t="inlineStr">
        <is>
          <t>A 761-2019</t>
        </is>
      </c>
      <c r="B234" s="1" t="n">
        <v>43471</v>
      </c>
      <c r="C234" s="1" t="n">
        <v>45345</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750-2019</t>
        </is>
      </c>
      <c r="B235" s="1" t="n">
        <v>43471</v>
      </c>
      <c r="C235" s="1" t="n">
        <v>45345</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725-2019</t>
        </is>
      </c>
      <c r="B236" s="1" t="n">
        <v>43471</v>
      </c>
      <c r="C236" s="1" t="n">
        <v>45345</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751-2019</t>
        </is>
      </c>
      <c r="B237" s="1" t="n">
        <v>43471</v>
      </c>
      <c r="C237" s="1" t="n">
        <v>45345</v>
      </c>
      <c r="D237" t="inlineStr">
        <is>
          <t>STOCKHOLMS LÄN</t>
        </is>
      </c>
      <c r="E237" t="inlineStr">
        <is>
          <t>NORRTÄLJE</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743-2019</t>
        </is>
      </c>
      <c r="B238" s="1" t="n">
        <v>43471</v>
      </c>
      <c r="C238" s="1" t="n">
        <v>45345</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726-2019</t>
        </is>
      </c>
      <c r="B239" s="1" t="n">
        <v>43471</v>
      </c>
      <c r="C239" s="1" t="n">
        <v>45345</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744-2019</t>
        </is>
      </c>
      <c r="B240" s="1" t="n">
        <v>43471</v>
      </c>
      <c r="C240" s="1" t="n">
        <v>45345</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758-2019</t>
        </is>
      </c>
      <c r="B241" s="1" t="n">
        <v>43471</v>
      </c>
      <c r="C241" s="1" t="n">
        <v>45345</v>
      </c>
      <c r="D241" t="inlineStr">
        <is>
          <t>STOCKHOLMS LÄN</t>
        </is>
      </c>
      <c r="E241" t="inlineStr">
        <is>
          <t>NORRTÄLJE</t>
        </is>
      </c>
      <c r="G241" t="n">
        <v>3</v>
      </c>
      <c r="H241" t="n">
        <v>0</v>
      </c>
      <c r="I241" t="n">
        <v>0</v>
      </c>
      <c r="J241" t="n">
        <v>0</v>
      </c>
      <c r="K241" t="n">
        <v>0</v>
      </c>
      <c r="L241" t="n">
        <v>0</v>
      </c>
      <c r="M241" t="n">
        <v>0</v>
      </c>
      <c r="N241" t="n">
        <v>0</v>
      </c>
      <c r="O241" t="n">
        <v>0</v>
      </c>
      <c r="P241" t="n">
        <v>0</v>
      </c>
      <c r="Q241" t="n">
        <v>0</v>
      </c>
      <c r="R241" s="2" t="inlineStr"/>
    </row>
    <row r="242" ht="15" customHeight="1">
      <c r="A242" t="inlineStr">
        <is>
          <t>A 727-2019</t>
        </is>
      </c>
      <c r="B242" s="1" t="n">
        <v>43471</v>
      </c>
      <c r="C242" s="1" t="n">
        <v>45345</v>
      </c>
      <c r="D242" t="inlineStr">
        <is>
          <t>STOCKHOLMS LÄN</t>
        </is>
      </c>
      <c r="E242" t="inlineStr">
        <is>
          <t>NORRTÄLJE</t>
        </is>
      </c>
      <c r="G242" t="n">
        <v>4.9</v>
      </c>
      <c r="H242" t="n">
        <v>0</v>
      </c>
      <c r="I242" t="n">
        <v>0</v>
      </c>
      <c r="J242" t="n">
        <v>0</v>
      </c>
      <c r="K242" t="n">
        <v>0</v>
      </c>
      <c r="L242" t="n">
        <v>0</v>
      </c>
      <c r="M242" t="n">
        <v>0</v>
      </c>
      <c r="N242" t="n">
        <v>0</v>
      </c>
      <c r="O242" t="n">
        <v>0</v>
      </c>
      <c r="P242" t="n">
        <v>0</v>
      </c>
      <c r="Q242" t="n">
        <v>0</v>
      </c>
      <c r="R242" s="2" t="inlineStr"/>
    </row>
    <row r="243" ht="15" customHeight="1">
      <c r="A243" t="inlineStr">
        <is>
          <t>A 891-2019</t>
        </is>
      </c>
      <c r="B243" s="1" t="n">
        <v>43472</v>
      </c>
      <c r="C243" s="1" t="n">
        <v>45345</v>
      </c>
      <c r="D243" t="inlineStr">
        <is>
          <t>STOCKHOLMS LÄN</t>
        </is>
      </c>
      <c r="E243" t="inlineStr">
        <is>
          <t>NORRTÄLJE</t>
        </is>
      </c>
      <c r="G243" t="n">
        <v>1.6</v>
      </c>
      <c r="H243" t="n">
        <v>0</v>
      </c>
      <c r="I243" t="n">
        <v>0</v>
      </c>
      <c r="J243" t="n">
        <v>0</v>
      </c>
      <c r="K243" t="n">
        <v>0</v>
      </c>
      <c r="L243" t="n">
        <v>0</v>
      </c>
      <c r="M243" t="n">
        <v>0</v>
      </c>
      <c r="N243" t="n">
        <v>0</v>
      </c>
      <c r="O243" t="n">
        <v>0</v>
      </c>
      <c r="P243" t="n">
        <v>0</v>
      </c>
      <c r="Q243" t="n">
        <v>0</v>
      </c>
      <c r="R243" s="2" t="inlineStr"/>
    </row>
    <row r="244" ht="15" customHeight="1">
      <c r="A244" t="inlineStr">
        <is>
          <t>A 1093-2019</t>
        </is>
      </c>
      <c r="B244" s="1" t="n">
        <v>43472</v>
      </c>
      <c r="C244" s="1" t="n">
        <v>45345</v>
      </c>
      <c r="D244" t="inlineStr">
        <is>
          <t>STOCKHOLMS LÄN</t>
        </is>
      </c>
      <c r="E244" t="inlineStr">
        <is>
          <t>NORRTÄLJE</t>
        </is>
      </c>
      <c r="G244" t="n">
        <v>3.5</v>
      </c>
      <c r="H244" t="n">
        <v>0</v>
      </c>
      <c r="I244" t="n">
        <v>0</v>
      </c>
      <c r="J244" t="n">
        <v>0</v>
      </c>
      <c r="K244" t="n">
        <v>0</v>
      </c>
      <c r="L244" t="n">
        <v>0</v>
      </c>
      <c r="M244" t="n">
        <v>0</v>
      </c>
      <c r="N244" t="n">
        <v>0</v>
      </c>
      <c r="O244" t="n">
        <v>0</v>
      </c>
      <c r="P244" t="n">
        <v>0</v>
      </c>
      <c r="Q244" t="n">
        <v>0</v>
      </c>
      <c r="R244" s="2" t="inlineStr"/>
    </row>
    <row r="245" ht="15" customHeight="1">
      <c r="A245" t="inlineStr">
        <is>
          <t>A 1099-2019</t>
        </is>
      </c>
      <c r="B245" s="1" t="n">
        <v>43472</v>
      </c>
      <c r="C245" s="1" t="n">
        <v>45345</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1336-2019</t>
        </is>
      </c>
      <c r="B246" s="1" t="n">
        <v>43473</v>
      </c>
      <c r="C246" s="1" t="n">
        <v>45345</v>
      </c>
      <c r="D246" t="inlineStr">
        <is>
          <t>STOCKHOLMS LÄN</t>
        </is>
      </c>
      <c r="E246" t="inlineStr">
        <is>
          <t>NORRTÄLJE</t>
        </is>
      </c>
      <c r="G246" t="n">
        <v>4.8</v>
      </c>
      <c r="H246" t="n">
        <v>0</v>
      </c>
      <c r="I246" t="n">
        <v>0</v>
      </c>
      <c r="J246" t="n">
        <v>0</v>
      </c>
      <c r="K246" t="n">
        <v>0</v>
      </c>
      <c r="L246" t="n">
        <v>0</v>
      </c>
      <c r="M246" t="n">
        <v>0</v>
      </c>
      <c r="N246" t="n">
        <v>0</v>
      </c>
      <c r="O246" t="n">
        <v>0</v>
      </c>
      <c r="P246" t="n">
        <v>0</v>
      </c>
      <c r="Q246" t="n">
        <v>0</v>
      </c>
      <c r="R246" s="2" t="inlineStr"/>
    </row>
    <row r="247" ht="15" customHeight="1">
      <c r="A247" t="inlineStr">
        <is>
          <t>A 1349-2019</t>
        </is>
      </c>
      <c r="B247" s="1" t="n">
        <v>43473</v>
      </c>
      <c r="C247" s="1" t="n">
        <v>45345</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1252-2019</t>
        </is>
      </c>
      <c r="B248" s="1" t="n">
        <v>43473</v>
      </c>
      <c r="C248" s="1" t="n">
        <v>45345</v>
      </c>
      <c r="D248" t="inlineStr">
        <is>
          <t>STOCKHOLMS LÄN</t>
        </is>
      </c>
      <c r="E248" t="inlineStr">
        <is>
          <t>NORRTÄLJE</t>
        </is>
      </c>
      <c r="G248" t="n">
        <v>3.7</v>
      </c>
      <c r="H248" t="n">
        <v>0</v>
      </c>
      <c r="I248" t="n">
        <v>0</v>
      </c>
      <c r="J248" t="n">
        <v>0</v>
      </c>
      <c r="K248" t="n">
        <v>0</v>
      </c>
      <c r="L248" t="n">
        <v>0</v>
      </c>
      <c r="M248" t="n">
        <v>0</v>
      </c>
      <c r="N248" t="n">
        <v>0</v>
      </c>
      <c r="O248" t="n">
        <v>0</v>
      </c>
      <c r="P248" t="n">
        <v>0</v>
      </c>
      <c r="Q248" t="n">
        <v>0</v>
      </c>
      <c r="R248" s="2" t="inlineStr"/>
    </row>
    <row r="249" ht="15" customHeight="1">
      <c r="A249" t="inlineStr">
        <is>
          <t>A 3688-2019</t>
        </is>
      </c>
      <c r="B249" s="1" t="n">
        <v>43473</v>
      </c>
      <c r="C249" s="1" t="n">
        <v>45345</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3042-2019</t>
        </is>
      </c>
      <c r="B250" s="1" t="n">
        <v>43473</v>
      </c>
      <c r="C250" s="1" t="n">
        <v>45345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2215-2019</t>
        </is>
      </c>
      <c r="B251" s="1" t="n">
        <v>43475</v>
      </c>
      <c r="C251" s="1" t="n">
        <v>45345</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2281-2019</t>
        </is>
      </c>
      <c r="B252" s="1" t="n">
        <v>43475</v>
      </c>
      <c r="C252" s="1" t="n">
        <v>45345</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1996-2019</t>
        </is>
      </c>
      <c r="B253" s="1" t="n">
        <v>43475</v>
      </c>
      <c r="C253" s="1" t="n">
        <v>45345</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2143-2019</t>
        </is>
      </c>
      <c r="B254" s="1" t="n">
        <v>43475</v>
      </c>
      <c r="C254" s="1" t="n">
        <v>45345</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2011-2019</t>
        </is>
      </c>
      <c r="B255" s="1" t="n">
        <v>43475</v>
      </c>
      <c r="C255" s="1" t="n">
        <v>45345</v>
      </c>
      <c r="D255" t="inlineStr">
        <is>
          <t>STOCKHOLMS LÄN</t>
        </is>
      </c>
      <c r="E255" t="inlineStr">
        <is>
          <t>NORRTÄLJE</t>
        </is>
      </c>
      <c r="G255" t="n">
        <v>2.9</v>
      </c>
      <c r="H255" t="n">
        <v>0</v>
      </c>
      <c r="I255" t="n">
        <v>0</v>
      </c>
      <c r="J255" t="n">
        <v>0</v>
      </c>
      <c r="K255" t="n">
        <v>0</v>
      </c>
      <c r="L255" t="n">
        <v>0</v>
      </c>
      <c r="M255" t="n">
        <v>0</v>
      </c>
      <c r="N255" t="n">
        <v>0</v>
      </c>
      <c r="O255" t="n">
        <v>0</v>
      </c>
      <c r="P255" t="n">
        <v>0</v>
      </c>
      <c r="Q255" t="n">
        <v>0</v>
      </c>
      <c r="R255" s="2" t="inlineStr"/>
    </row>
    <row r="256" ht="15" customHeight="1">
      <c r="A256" t="inlineStr">
        <is>
          <t>A 2259-2019</t>
        </is>
      </c>
      <c r="B256" s="1" t="n">
        <v>43475</v>
      </c>
      <c r="C256" s="1" t="n">
        <v>45345</v>
      </c>
      <c r="D256" t="inlineStr">
        <is>
          <t>STOCKHOLMS LÄN</t>
        </is>
      </c>
      <c r="E256" t="inlineStr">
        <is>
          <t>NORRTÄLJE</t>
        </is>
      </c>
      <c r="G256" t="n">
        <v>6.3</v>
      </c>
      <c r="H256" t="n">
        <v>0</v>
      </c>
      <c r="I256" t="n">
        <v>0</v>
      </c>
      <c r="J256" t="n">
        <v>0</v>
      </c>
      <c r="K256" t="n">
        <v>0</v>
      </c>
      <c r="L256" t="n">
        <v>0</v>
      </c>
      <c r="M256" t="n">
        <v>0</v>
      </c>
      <c r="N256" t="n">
        <v>0</v>
      </c>
      <c r="O256" t="n">
        <v>0</v>
      </c>
      <c r="P256" t="n">
        <v>0</v>
      </c>
      <c r="Q256" t="n">
        <v>0</v>
      </c>
      <c r="R256" s="2" t="inlineStr"/>
    </row>
    <row r="257" ht="15" customHeight="1">
      <c r="A257" t="inlineStr">
        <is>
          <t>A 2251-2019</t>
        </is>
      </c>
      <c r="B257" s="1" t="n">
        <v>43475</v>
      </c>
      <c r="C257" s="1" t="n">
        <v>45345</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2200-2019</t>
        </is>
      </c>
      <c r="B258" s="1" t="n">
        <v>43475</v>
      </c>
      <c r="C258" s="1" t="n">
        <v>45345</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2137-2019</t>
        </is>
      </c>
      <c r="B259" s="1" t="n">
        <v>43475</v>
      </c>
      <c r="C259" s="1" t="n">
        <v>45345</v>
      </c>
      <c r="D259" t="inlineStr">
        <is>
          <t>STOCKHOLMS LÄN</t>
        </is>
      </c>
      <c r="E259" t="inlineStr">
        <is>
          <t>NORRTÄLJE</t>
        </is>
      </c>
      <c r="G259" t="n">
        <v>4.3</v>
      </c>
      <c r="H259" t="n">
        <v>0</v>
      </c>
      <c r="I259" t="n">
        <v>0</v>
      </c>
      <c r="J259" t="n">
        <v>0</v>
      </c>
      <c r="K259" t="n">
        <v>0</v>
      </c>
      <c r="L259" t="n">
        <v>0</v>
      </c>
      <c r="M259" t="n">
        <v>0</v>
      </c>
      <c r="N259" t="n">
        <v>0</v>
      </c>
      <c r="O259" t="n">
        <v>0</v>
      </c>
      <c r="P259" t="n">
        <v>0</v>
      </c>
      <c r="Q259" t="n">
        <v>0</v>
      </c>
      <c r="R259" s="2" t="inlineStr"/>
    </row>
    <row r="260" ht="15" customHeight="1">
      <c r="A260" t="inlineStr">
        <is>
          <t>A 3848-2019</t>
        </is>
      </c>
      <c r="B260" s="1" t="n">
        <v>43475</v>
      </c>
      <c r="C260" s="1" t="n">
        <v>45345</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2568-2019</t>
        </is>
      </c>
      <c r="B261" s="1" t="n">
        <v>43476</v>
      </c>
      <c r="C261" s="1" t="n">
        <v>45345</v>
      </c>
      <c r="D261" t="inlineStr">
        <is>
          <t>STOCKHOLMS LÄN</t>
        </is>
      </c>
      <c r="E261" t="inlineStr">
        <is>
          <t>NORRTÄLJE</t>
        </is>
      </c>
      <c r="G261" t="n">
        <v>7.4</v>
      </c>
      <c r="H261" t="n">
        <v>0</v>
      </c>
      <c r="I261" t="n">
        <v>0</v>
      </c>
      <c r="J261" t="n">
        <v>0</v>
      </c>
      <c r="K261" t="n">
        <v>0</v>
      </c>
      <c r="L261" t="n">
        <v>0</v>
      </c>
      <c r="M261" t="n">
        <v>0</v>
      </c>
      <c r="N261" t="n">
        <v>0</v>
      </c>
      <c r="O261" t="n">
        <v>0</v>
      </c>
      <c r="P261" t="n">
        <v>0</v>
      </c>
      <c r="Q261" t="n">
        <v>0</v>
      </c>
      <c r="R261" s="2" t="inlineStr"/>
    </row>
    <row r="262" ht="15" customHeight="1">
      <c r="A262" t="inlineStr">
        <is>
          <t>A 2571-2019</t>
        </is>
      </c>
      <c r="B262" s="1" t="n">
        <v>43476</v>
      </c>
      <c r="C262" s="1" t="n">
        <v>45345</v>
      </c>
      <c r="D262" t="inlineStr">
        <is>
          <t>STOCKHOLMS LÄN</t>
        </is>
      </c>
      <c r="E262" t="inlineStr">
        <is>
          <t>NORRTÄLJE</t>
        </is>
      </c>
      <c r="G262" t="n">
        <v>16.5</v>
      </c>
      <c r="H262" t="n">
        <v>0</v>
      </c>
      <c r="I262" t="n">
        <v>0</v>
      </c>
      <c r="J262" t="n">
        <v>0</v>
      </c>
      <c r="K262" t="n">
        <v>0</v>
      </c>
      <c r="L262" t="n">
        <v>0</v>
      </c>
      <c r="M262" t="n">
        <v>0</v>
      </c>
      <c r="N262" t="n">
        <v>0</v>
      </c>
      <c r="O262" t="n">
        <v>0</v>
      </c>
      <c r="P262" t="n">
        <v>0</v>
      </c>
      <c r="Q262" t="n">
        <v>0</v>
      </c>
      <c r="R262" s="2" t="inlineStr"/>
    </row>
    <row r="263" ht="15" customHeight="1">
      <c r="A263" t="inlineStr">
        <is>
          <t>A 2628-2019</t>
        </is>
      </c>
      <c r="B263" s="1" t="n">
        <v>43477</v>
      </c>
      <c r="C263" s="1" t="n">
        <v>45345</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2626-2019</t>
        </is>
      </c>
      <c r="B264" s="1" t="n">
        <v>43477</v>
      </c>
      <c r="C264" s="1" t="n">
        <v>45345</v>
      </c>
      <c r="D264" t="inlineStr">
        <is>
          <t>STOCKHOLMS LÄN</t>
        </is>
      </c>
      <c r="E264" t="inlineStr">
        <is>
          <t>NORRTÄLJE</t>
        </is>
      </c>
      <c r="G264" t="n">
        <v>4.5</v>
      </c>
      <c r="H264" t="n">
        <v>0</v>
      </c>
      <c r="I264" t="n">
        <v>0</v>
      </c>
      <c r="J264" t="n">
        <v>0</v>
      </c>
      <c r="K264" t="n">
        <v>0</v>
      </c>
      <c r="L264" t="n">
        <v>0</v>
      </c>
      <c r="M264" t="n">
        <v>0</v>
      </c>
      <c r="N264" t="n">
        <v>0</v>
      </c>
      <c r="O264" t="n">
        <v>0</v>
      </c>
      <c r="P264" t="n">
        <v>0</v>
      </c>
      <c r="Q264" t="n">
        <v>0</v>
      </c>
      <c r="R264" s="2" t="inlineStr"/>
    </row>
    <row r="265" ht="15" customHeight="1">
      <c r="A265" t="inlineStr">
        <is>
          <t>A 2634-2019</t>
        </is>
      </c>
      <c r="B265" s="1" t="n">
        <v>43478</v>
      </c>
      <c r="C265" s="1" t="n">
        <v>45345</v>
      </c>
      <c r="D265" t="inlineStr">
        <is>
          <t>STOCKHOLMS LÄN</t>
        </is>
      </c>
      <c r="E265" t="inlineStr">
        <is>
          <t>NORRTÄLJE</t>
        </is>
      </c>
      <c r="G265" t="n">
        <v>2.7</v>
      </c>
      <c r="H265" t="n">
        <v>0</v>
      </c>
      <c r="I265" t="n">
        <v>0</v>
      </c>
      <c r="J265" t="n">
        <v>0</v>
      </c>
      <c r="K265" t="n">
        <v>0</v>
      </c>
      <c r="L265" t="n">
        <v>0</v>
      </c>
      <c r="M265" t="n">
        <v>0</v>
      </c>
      <c r="N265" t="n">
        <v>0</v>
      </c>
      <c r="O265" t="n">
        <v>0</v>
      </c>
      <c r="P265" t="n">
        <v>0</v>
      </c>
      <c r="Q265" t="n">
        <v>0</v>
      </c>
      <c r="R265" s="2" t="inlineStr"/>
    </row>
    <row r="266" ht="15" customHeight="1">
      <c r="A266" t="inlineStr">
        <is>
          <t>A 2659-2019</t>
        </is>
      </c>
      <c r="B266" s="1" t="n">
        <v>43478</v>
      </c>
      <c r="C266" s="1" t="n">
        <v>45345</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2646-2019</t>
        </is>
      </c>
      <c r="B267" s="1" t="n">
        <v>43478</v>
      </c>
      <c r="C267" s="1" t="n">
        <v>45345</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2657-2019</t>
        </is>
      </c>
      <c r="B268" s="1" t="n">
        <v>43478</v>
      </c>
      <c r="C268" s="1" t="n">
        <v>45345</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2651-2019</t>
        </is>
      </c>
      <c r="B269" s="1" t="n">
        <v>43478</v>
      </c>
      <c r="C269" s="1" t="n">
        <v>45345</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2635-2019</t>
        </is>
      </c>
      <c r="B270" s="1" t="n">
        <v>43478</v>
      </c>
      <c r="C270" s="1" t="n">
        <v>45345</v>
      </c>
      <c r="D270" t="inlineStr">
        <is>
          <t>STOCKHOLMS LÄN</t>
        </is>
      </c>
      <c r="E270" t="inlineStr">
        <is>
          <t>NORRTÄLJE</t>
        </is>
      </c>
      <c r="G270" t="n">
        <v>5</v>
      </c>
      <c r="H270" t="n">
        <v>0</v>
      </c>
      <c r="I270" t="n">
        <v>0</v>
      </c>
      <c r="J270" t="n">
        <v>0</v>
      </c>
      <c r="K270" t="n">
        <v>0</v>
      </c>
      <c r="L270" t="n">
        <v>0</v>
      </c>
      <c r="M270" t="n">
        <v>0</v>
      </c>
      <c r="N270" t="n">
        <v>0</v>
      </c>
      <c r="O270" t="n">
        <v>0</v>
      </c>
      <c r="P270" t="n">
        <v>0</v>
      </c>
      <c r="Q270" t="n">
        <v>0</v>
      </c>
      <c r="R270" s="2" t="inlineStr"/>
    </row>
    <row r="271" ht="15" customHeight="1">
      <c r="A271" t="inlineStr">
        <is>
          <t>A 2655-2019</t>
        </is>
      </c>
      <c r="B271" s="1" t="n">
        <v>43478</v>
      </c>
      <c r="C271" s="1" t="n">
        <v>45345</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2658-2019</t>
        </is>
      </c>
      <c r="B272" s="1" t="n">
        <v>43478</v>
      </c>
      <c r="C272" s="1" t="n">
        <v>45345</v>
      </c>
      <c r="D272" t="inlineStr">
        <is>
          <t>STOCKHOLMS LÄN</t>
        </is>
      </c>
      <c r="E272" t="inlineStr">
        <is>
          <t>NORRTÄLJE</t>
        </is>
      </c>
      <c r="G272" t="n">
        <v>3</v>
      </c>
      <c r="H272" t="n">
        <v>0</v>
      </c>
      <c r="I272" t="n">
        <v>0</v>
      </c>
      <c r="J272" t="n">
        <v>0</v>
      </c>
      <c r="K272" t="n">
        <v>0</v>
      </c>
      <c r="L272" t="n">
        <v>0</v>
      </c>
      <c r="M272" t="n">
        <v>0</v>
      </c>
      <c r="N272" t="n">
        <v>0</v>
      </c>
      <c r="O272" t="n">
        <v>0</v>
      </c>
      <c r="P272" t="n">
        <v>0</v>
      </c>
      <c r="Q272" t="n">
        <v>0</v>
      </c>
      <c r="R272" s="2" t="inlineStr"/>
    </row>
    <row r="273" ht="15" customHeight="1">
      <c r="A273" t="inlineStr">
        <is>
          <t>A 2823-2019</t>
        </is>
      </c>
      <c r="B273" s="1" t="n">
        <v>43479</v>
      </c>
      <c r="C273" s="1" t="n">
        <v>45345</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2796-2019</t>
        </is>
      </c>
      <c r="B274" s="1" t="n">
        <v>43479</v>
      </c>
      <c r="C274" s="1" t="n">
        <v>45345</v>
      </c>
      <c r="D274" t="inlineStr">
        <is>
          <t>STOCKHOLMS LÄN</t>
        </is>
      </c>
      <c r="E274" t="inlineStr">
        <is>
          <t>NORRTÄLJE</t>
        </is>
      </c>
      <c r="G274" t="n">
        <v>2.3</v>
      </c>
      <c r="H274" t="n">
        <v>0</v>
      </c>
      <c r="I274" t="n">
        <v>0</v>
      </c>
      <c r="J274" t="n">
        <v>0</v>
      </c>
      <c r="K274" t="n">
        <v>0</v>
      </c>
      <c r="L274" t="n">
        <v>0</v>
      </c>
      <c r="M274" t="n">
        <v>0</v>
      </c>
      <c r="N274" t="n">
        <v>0</v>
      </c>
      <c r="O274" t="n">
        <v>0</v>
      </c>
      <c r="P274" t="n">
        <v>0</v>
      </c>
      <c r="Q274" t="n">
        <v>0</v>
      </c>
      <c r="R274" s="2" t="inlineStr"/>
    </row>
    <row r="275" ht="15" customHeight="1">
      <c r="A275" t="inlineStr">
        <is>
          <t>A 2833-2019</t>
        </is>
      </c>
      <c r="B275" s="1" t="n">
        <v>43479</v>
      </c>
      <c r="C275" s="1" t="n">
        <v>45345</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2966-2019</t>
        </is>
      </c>
      <c r="B276" s="1" t="n">
        <v>43479</v>
      </c>
      <c r="C276" s="1" t="n">
        <v>45345</v>
      </c>
      <c r="D276" t="inlineStr">
        <is>
          <t>STOCKHOLMS LÄN</t>
        </is>
      </c>
      <c r="E276" t="inlineStr">
        <is>
          <t>NORRTÄLJE</t>
        </is>
      </c>
      <c r="G276" t="n">
        <v>4.2</v>
      </c>
      <c r="H276" t="n">
        <v>0</v>
      </c>
      <c r="I276" t="n">
        <v>0</v>
      </c>
      <c r="J276" t="n">
        <v>0</v>
      </c>
      <c r="K276" t="n">
        <v>0</v>
      </c>
      <c r="L276" t="n">
        <v>0</v>
      </c>
      <c r="M276" t="n">
        <v>0</v>
      </c>
      <c r="N276" t="n">
        <v>0</v>
      </c>
      <c r="O276" t="n">
        <v>0</v>
      </c>
      <c r="P276" t="n">
        <v>0</v>
      </c>
      <c r="Q276" t="n">
        <v>0</v>
      </c>
      <c r="R276" s="2" t="inlineStr"/>
    </row>
    <row r="277" ht="15" customHeight="1">
      <c r="A277" t="inlineStr">
        <is>
          <t>A 3079-2019</t>
        </is>
      </c>
      <c r="B277" s="1" t="n">
        <v>43479</v>
      </c>
      <c r="C277" s="1" t="n">
        <v>45345</v>
      </c>
      <c r="D277" t="inlineStr">
        <is>
          <t>STOCKHOLMS LÄN</t>
        </is>
      </c>
      <c r="E277" t="inlineStr">
        <is>
          <t>NORRTÄLJE</t>
        </is>
      </c>
      <c r="G277" t="n">
        <v>13.6</v>
      </c>
      <c r="H277" t="n">
        <v>0</v>
      </c>
      <c r="I277" t="n">
        <v>0</v>
      </c>
      <c r="J277" t="n">
        <v>0</v>
      </c>
      <c r="K277" t="n">
        <v>0</v>
      </c>
      <c r="L277" t="n">
        <v>0</v>
      </c>
      <c r="M277" t="n">
        <v>0</v>
      </c>
      <c r="N277" t="n">
        <v>0</v>
      </c>
      <c r="O277" t="n">
        <v>0</v>
      </c>
      <c r="P277" t="n">
        <v>0</v>
      </c>
      <c r="Q277" t="n">
        <v>0</v>
      </c>
      <c r="R277" s="2" t="inlineStr"/>
    </row>
    <row r="278" ht="15" customHeight="1">
      <c r="A278" t="inlineStr">
        <is>
          <t>A 2839-2019</t>
        </is>
      </c>
      <c r="B278" s="1" t="n">
        <v>43479</v>
      </c>
      <c r="C278" s="1" t="n">
        <v>45345</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4731-2019</t>
        </is>
      </c>
      <c r="B279" s="1" t="n">
        <v>43479</v>
      </c>
      <c r="C279" s="1" t="n">
        <v>45345</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3088-2019</t>
        </is>
      </c>
      <c r="B280" s="1" t="n">
        <v>43479</v>
      </c>
      <c r="C280" s="1" t="n">
        <v>45345</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3133-2019</t>
        </is>
      </c>
      <c r="B281" s="1" t="n">
        <v>43480</v>
      </c>
      <c r="C281" s="1" t="n">
        <v>45345</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3376-2019</t>
        </is>
      </c>
      <c r="B282" s="1" t="n">
        <v>43480</v>
      </c>
      <c r="C282" s="1" t="n">
        <v>45345</v>
      </c>
      <c r="D282" t="inlineStr">
        <is>
          <t>STOCKHOLMS LÄN</t>
        </is>
      </c>
      <c r="E282" t="inlineStr">
        <is>
          <t>NORRTÄLJE</t>
        </is>
      </c>
      <c r="G282" t="n">
        <v>4.9</v>
      </c>
      <c r="H282" t="n">
        <v>0</v>
      </c>
      <c r="I282" t="n">
        <v>0</v>
      </c>
      <c r="J282" t="n">
        <v>0</v>
      </c>
      <c r="K282" t="n">
        <v>0</v>
      </c>
      <c r="L282" t="n">
        <v>0</v>
      </c>
      <c r="M282" t="n">
        <v>0</v>
      </c>
      <c r="N282" t="n">
        <v>0</v>
      </c>
      <c r="O282" t="n">
        <v>0</v>
      </c>
      <c r="P282" t="n">
        <v>0</v>
      </c>
      <c r="Q282" t="n">
        <v>0</v>
      </c>
      <c r="R282" s="2" t="inlineStr"/>
    </row>
    <row r="283" ht="15" customHeight="1">
      <c r="A283" t="inlineStr">
        <is>
          <t>A 3361-2019</t>
        </is>
      </c>
      <c r="B283" s="1" t="n">
        <v>43480</v>
      </c>
      <c r="C283" s="1" t="n">
        <v>45345</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3372-2019</t>
        </is>
      </c>
      <c r="B284" s="1" t="n">
        <v>43480</v>
      </c>
      <c r="C284" s="1" t="n">
        <v>45345</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3232-2019</t>
        </is>
      </c>
      <c r="B285" s="1" t="n">
        <v>43480</v>
      </c>
      <c r="C285" s="1" t="n">
        <v>45345</v>
      </c>
      <c r="D285" t="inlineStr">
        <is>
          <t>STOCKHOLMS LÄN</t>
        </is>
      </c>
      <c r="E285" t="inlineStr">
        <is>
          <t>NORRTÄLJE</t>
        </is>
      </c>
      <c r="G285" t="n">
        <v>9.1</v>
      </c>
      <c r="H285" t="n">
        <v>0</v>
      </c>
      <c r="I285" t="n">
        <v>0</v>
      </c>
      <c r="J285" t="n">
        <v>0</v>
      </c>
      <c r="K285" t="n">
        <v>0</v>
      </c>
      <c r="L285" t="n">
        <v>0</v>
      </c>
      <c r="M285" t="n">
        <v>0</v>
      </c>
      <c r="N285" t="n">
        <v>0</v>
      </c>
      <c r="O285" t="n">
        <v>0</v>
      </c>
      <c r="P285" t="n">
        <v>0</v>
      </c>
      <c r="Q285" t="n">
        <v>0</v>
      </c>
      <c r="R285" s="2" t="inlineStr"/>
    </row>
    <row r="286" ht="15" customHeight="1">
      <c r="A286" t="inlineStr">
        <is>
          <t>A 3156-2019</t>
        </is>
      </c>
      <c r="B286" s="1" t="n">
        <v>43480</v>
      </c>
      <c r="C286" s="1" t="n">
        <v>45345</v>
      </c>
      <c r="D286" t="inlineStr">
        <is>
          <t>STOCKHOLMS LÄN</t>
        </is>
      </c>
      <c r="E286" t="inlineStr">
        <is>
          <t>NORRTÄLJE</t>
        </is>
      </c>
      <c r="G286" t="n">
        <v>0.1</v>
      </c>
      <c r="H286" t="n">
        <v>0</v>
      </c>
      <c r="I286" t="n">
        <v>0</v>
      </c>
      <c r="J286" t="n">
        <v>0</v>
      </c>
      <c r="K286" t="n">
        <v>0</v>
      </c>
      <c r="L286" t="n">
        <v>0</v>
      </c>
      <c r="M286" t="n">
        <v>0</v>
      </c>
      <c r="N286" t="n">
        <v>0</v>
      </c>
      <c r="O286" t="n">
        <v>0</v>
      </c>
      <c r="P286" t="n">
        <v>0</v>
      </c>
      <c r="Q286" t="n">
        <v>0</v>
      </c>
      <c r="R286" s="2" t="inlineStr"/>
    </row>
    <row r="287" ht="15" customHeight="1">
      <c r="A287" t="inlineStr">
        <is>
          <t>A 3475-2019</t>
        </is>
      </c>
      <c r="B287" s="1" t="n">
        <v>43481</v>
      </c>
      <c r="C287" s="1" t="n">
        <v>45345</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3480-2019</t>
        </is>
      </c>
      <c r="B288" s="1" t="n">
        <v>43481</v>
      </c>
      <c r="C288" s="1" t="n">
        <v>45345</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3741-2019</t>
        </is>
      </c>
      <c r="B289" s="1" t="n">
        <v>43481</v>
      </c>
      <c r="C289" s="1" t="n">
        <v>45345</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3743-2019</t>
        </is>
      </c>
      <c r="B290" s="1" t="n">
        <v>43481</v>
      </c>
      <c r="C290" s="1" t="n">
        <v>45345</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3456-2019</t>
        </is>
      </c>
      <c r="B291" s="1" t="n">
        <v>43481</v>
      </c>
      <c r="C291" s="1" t="n">
        <v>45345</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3502-2019</t>
        </is>
      </c>
      <c r="B292" s="1" t="n">
        <v>43481</v>
      </c>
      <c r="C292" s="1" t="n">
        <v>45345</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4107-2019</t>
        </is>
      </c>
      <c r="B293" s="1" t="n">
        <v>43482</v>
      </c>
      <c r="C293" s="1" t="n">
        <v>45345</v>
      </c>
      <c r="D293" t="inlineStr">
        <is>
          <t>STOCKHOLMS LÄN</t>
        </is>
      </c>
      <c r="E293" t="inlineStr">
        <is>
          <t>NORRTÄLJE</t>
        </is>
      </c>
      <c r="G293" t="n">
        <v>1.8</v>
      </c>
      <c r="H293" t="n">
        <v>0</v>
      </c>
      <c r="I293" t="n">
        <v>0</v>
      </c>
      <c r="J293" t="n">
        <v>0</v>
      </c>
      <c r="K293" t="n">
        <v>0</v>
      </c>
      <c r="L293" t="n">
        <v>0</v>
      </c>
      <c r="M293" t="n">
        <v>0</v>
      </c>
      <c r="N293" t="n">
        <v>0</v>
      </c>
      <c r="O293" t="n">
        <v>0</v>
      </c>
      <c r="P293" t="n">
        <v>0</v>
      </c>
      <c r="Q293" t="n">
        <v>0</v>
      </c>
      <c r="R293" s="2" t="inlineStr"/>
    </row>
    <row r="294" ht="15" customHeight="1">
      <c r="A294" t="inlineStr">
        <is>
          <t>A 3879-2019</t>
        </is>
      </c>
      <c r="B294" s="1" t="n">
        <v>43482</v>
      </c>
      <c r="C294" s="1" t="n">
        <v>45345</v>
      </c>
      <c r="D294" t="inlineStr">
        <is>
          <t>STOCKHOLMS LÄN</t>
        </is>
      </c>
      <c r="E294" t="inlineStr">
        <is>
          <t>NORRTÄLJE</t>
        </is>
      </c>
      <c r="G294" t="n">
        <v>1.6</v>
      </c>
      <c r="H294" t="n">
        <v>0</v>
      </c>
      <c r="I294" t="n">
        <v>0</v>
      </c>
      <c r="J294" t="n">
        <v>0</v>
      </c>
      <c r="K294" t="n">
        <v>0</v>
      </c>
      <c r="L294" t="n">
        <v>0</v>
      </c>
      <c r="M294" t="n">
        <v>0</v>
      </c>
      <c r="N294" t="n">
        <v>0</v>
      </c>
      <c r="O294" t="n">
        <v>0</v>
      </c>
      <c r="P294" t="n">
        <v>0</v>
      </c>
      <c r="Q294" t="n">
        <v>0</v>
      </c>
      <c r="R294" s="2" t="inlineStr"/>
    </row>
    <row r="295" ht="15" customHeight="1">
      <c r="A295" t="inlineStr">
        <is>
          <t>A 4040-2019</t>
        </is>
      </c>
      <c r="B295" s="1" t="n">
        <v>43482</v>
      </c>
      <c r="C295" s="1" t="n">
        <v>45345</v>
      </c>
      <c r="D295" t="inlineStr">
        <is>
          <t>STOCKHOLMS LÄN</t>
        </is>
      </c>
      <c r="E295" t="inlineStr">
        <is>
          <t>NORRTÄLJE</t>
        </is>
      </c>
      <c r="F295" t="inlineStr">
        <is>
          <t>Övriga statliga verk och myndigheter</t>
        </is>
      </c>
      <c r="G295" t="n">
        <v>10.7</v>
      </c>
      <c r="H295" t="n">
        <v>0</v>
      </c>
      <c r="I295" t="n">
        <v>0</v>
      </c>
      <c r="J295" t="n">
        <v>0</v>
      </c>
      <c r="K295" t="n">
        <v>0</v>
      </c>
      <c r="L295" t="n">
        <v>0</v>
      </c>
      <c r="M295" t="n">
        <v>0</v>
      </c>
      <c r="N295" t="n">
        <v>0</v>
      </c>
      <c r="O295" t="n">
        <v>0</v>
      </c>
      <c r="P295" t="n">
        <v>0</v>
      </c>
      <c r="Q295" t="n">
        <v>0</v>
      </c>
      <c r="R295" s="2" t="inlineStr"/>
    </row>
    <row r="296" ht="15" customHeight="1">
      <c r="A296" t="inlineStr">
        <is>
          <t>A 4036-2019</t>
        </is>
      </c>
      <c r="B296" s="1" t="n">
        <v>43482</v>
      </c>
      <c r="C296" s="1" t="n">
        <v>45345</v>
      </c>
      <c r="D296" t="inlineStr">
        <is>
          <t>STOCKHOLMS LÄN</t>
        </is>
      </c>
      <c r="E296" t="inlineStr">
        <is>
          <t>NORRTÄLJE</t>
        </is>
      </c>
      <c r="G296" t="n">
        <v>6</v>
      </c>
      <c r="H296" t="n">
        <v>0</v>
      </c>
      <c r="I296" t="n">
        <v>0</v>
      </c>
      <c r="J296" t="n">
        <v>0</v>
      </c>
      <c r="K296" t="n">
        <v>0</v>
      </c>
      <c r="L296" t="n">
        <v>0</v>
      </c>
      <c r="M296" t="n">
        <v>0</v>
      </c>
      <c r="N296" t="n">
        <v>0</v>
      </c>
      <c r="O296" t="n">
        <v>0</v>
      </c>
      <c r="P296" t="n">
        <v>0</v>
      </c>
      <c r="Q296" t="n">
        <v>0</v>
      </c>
      <c r="R296" s="2" t="inlineStr"/>
    </row>
    <row r="297" ht="15" customHeight="1">
      <c r="A297" t="inlineStr">
        <is>
          <t>A 4037-2019</t>
        </is>
      </c>
      <c r="B297" s="1" t="n">
        <v>43482</v>
      </c>
      <c r="C297" s="1" t="n">
        <v>45345</v>
      </c>
      <c r="D297" t="inlineStr">
        <is>
          <t>STOCKHOLMS LÄN</t>
        </is>
      </c>
      <c r="E297" t="inlineStr">
        <is>
          <t>NORRTÄLJE</t>
        </is>
      </c>
      <c r="G297" t="n">
        <v>5.1</v>
      </c>
      <c r="H297" t="n">
        <v>0</v>
      </c>
      <c r="I297" t="n">
        <v>0</v>
      </c>
      <c r="J297" t="n">
        <v>0</v>
      </c>
      <c r="K297" t="n">
        <v>0</v>
      </c>
      <c r="L297" t="n">
        <v>0</v>
      </c>
      <c r="M297" t="n">
        <v>0</v>
      </c>
      <c r="N297" t="n">
        <v>0</v>
      </c>
      <c r="O297" t="n">
        <v>0</v>
      </c>
      <c r="P297" t="n">
        <v>0</v>
      </c>
      <c r="Q297" t="n">
        <v>0</v>
      </c>
      <c r="R297" s="2" t="inlineStr"/>
    </row>
    <row r="298" ht="15" customHeight="1">
      <c r="A298" t="inlineStr">
        <is>
          <t>A 4027-2019</t>
        </is>
      </c>
      <c r="B298" s="1" t="n">
        <v>43482</v>
      </c>
      <c r="C298" s="1" t="n">
        <v>45345</v>
      </c>
      <c r="D298" t="inlineStr">
        <is>
          <t>STOCKHOLMS LÄN</t>
        </is>
      </c>
      <c r="E298" t="inlineStr">
        <is>
          <t>NORRTÄLJE</t>
        </is>
      </c>
      <c r="G298" t="n">
        <v>2.7</v>
      </c>
      <c r="H298" t="n">
        <v>0</v>
      </c>
      <c r="I298" t="n">
        <v>0</v>
      </c>
      <c r="J298" t="n">
        <v>0</v>
      </c>
      <c r="K298" t="n">
        <v>0</v>
      </c>
      <c r="L298" t="n">
        <v>0</v>
      </c>
      <c r="M298" t="n">
        <v>0</v>
      </c>
      <c r="N298" t="n">
        <v>0</v>
      </c>
      <c r="O298" t="n">
        <v>0</v>
      </c>
      <c r="P298" t="n">
        <v>0</v>
      </c>
      <c r="Q298" t="n">
        <v>0</v>
      </c>
      <c r="R298" s="2" t="inlineStr"/>
    </row>
    <row r="299" ht="15" customHeight="1">
      <c r="A299" t="inlineStr">
        <is>
          <t>A 3864-2019</t>
        </is>
      </c>
      <c r="B299" s="1" t="n">
        <v>43482</v>
      </c>
      <c r="C299" s="1" t="n">
        <v>45345</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4133-2019</t>
        </is>
      </c>
      <c r="B300" s="1" t="n">
        <v>43483</v>
      </c>
      <c r="C300" s="1" t="n">
        <v>45345</v>
      </c>
      <c r="D300" t="inlineStr">
        <is>
          <t>STOCKHOLMS LÄN</t>
        </is>
      </c>
      <c r="E300" t="inlineStr">
        <is>
          <t>NORRTÄLJE</t>
        </is>
      </c>
      <c r="G300" t="n">
        <v>3.9</v>
      </c>
      <c r="H300" t="n">
        <v>0</v>
      </c>
      <c r="I300" t="n">
        <v>0</v>
      </c>
      <c r="J300" t="n">
        <v>0</v>
      </c>
      <c r="K300" t="n">
        <v>0</v>
      </c>
      <c r="L300" t="n">
        <v>0</v>
      </c>
      <c r="M300" t="n">
        <v>0</v>
      </c>
      <c r="N300" t="n">
        <v>0</v>
      </c>
      <c r="O300" t="n">
        <v>0</v>
      </c>
      <c r="P300" t="n">
        <v>0</v>
      </c>
      <c r="Q300" t="n">
        <v>0</v>
      </c>
      <c r="R300" s="2" t="inlineStr"/>
    </row>
    <row r="301" ht="15" customHeight="1">
      <c r="A301" t="inlineStr">
        <is>
          <t>A 4397-2019</t>
        </is>
      </c>
      <c r="B301" s="1" t="n">
        <v>43484</v>
      </c>
      <c r="C301" s="1" t="n">
        <v>45345</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4393-2019</t>
        </is>
      </c>
      <c r="B302" s="1" t="n">
        <v>43484</v>
      </c>
      <c r="C302" s="1" t="n">
        <v>45345</v>
      </c>
      <c r="D302" t="inlineStr">
        <is>
          <t>STOCKHOLMS LÄN</t>
        </is>
      </c>
      <c r="E302" t="inlineStr">
        <is>
          <t>NORRTÄLJE</t>
        </is>
      </c>
      <c r="G302" t="n">
        <v>2.3</v>
      </c>
      <c r="H302" t="n">
        <v>0</v>
      </c>
      <c r="I302" t="n">
        <v>0</v>
      </c>
      <c r="J302" t="n">
        <v>0</v>
      </c>
      <c r="K302" t="n">
        <v>0</v>
      </c>
      <c r="L302" t="n">
        <v>0</v>
      </c>
      <c r="M302" t="n">
        <v>0</v>
      </c>
      <c r="N302" t="n">
        <v>0</v>
      </c>
      <c r="O302" t="n">
        <v>0</v>
      </c>
      <c r="P302" t="n">
        <v>0</v>
      </c>
      <c r="Q302" t="n">
        <v>0</v>
      </c>
      <c r="R302" s="2" t="inlineStr"/>
    </row>
    <row r="303" ht="15" customHeight="1">
      <c r="A303" t="inlineStr">
        <is>
          <t>A 4395-2019</t>
        </is>
      </c>
      <c r="B303" s="1" t="n">
        <v>43484</v>
      </c>
      <c r="C303" s="1" t="n">
        <v>45345</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4394-2019</t>
        </is>
      </c>
      <c r="B304" s="1" t="n">
        <v>43484</v>
      </c>
      <c r="C304" s="1" t="n">
        <v>45345</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4457-2019</t>
        </is>
      </c>
      <c r="B305" s="1" t="n">
        <v>43485</v>
      </c>
      <c r="C305" s="1" t="n">
        <v>45345</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4548-2019</t>
        </is>
      </c>
      <c r="B306" s="1" t="n">
        <v>43486</v>
      </c>
      <c r="C306" s="1" t="n">
        <v>45345</v>
      </c>
      <c r="D306" t="inlineStr">
        <is>
          <t>STOCKHOLMS LÄN</t>
        </is>
      </c>
      <c r="E306" t="inlineStr">
        <is>
          <t>NORRTÄLJE</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4528-2019</t>
        </is>
      </c>
      <c r="B307" s="1" t="n">
        <v>43486</v>
      </c>
      <c r="C307" s="1" t="n">
        <v>45345</v>
      </c>
      <c r="D307" t="inlineStr">
        <is>
          <t>STOCKHOLMS LÄN</t>
        </is>
      </c>
      <c r="E307" t="inlineStr">
        <is>
          <t>NORRTÄLJE</t>
        </is>
      </c>
      <c r="G307" t="n">
        <v>3.1</v>
      </c>
      <c r="H307" t="n">
        <v>0</v>
      </c>
      <c r="I307" t="n">
        <v>0</v>
      </c>
      <c r="J307" t="n">
        <v>0</v>
      </c>
      <c r="K307" t="n">
        <v>0</v>
      </c>
      <c r="L307" t="n">
        <v>0</v>
      </c>
      <c r="M307" t="n">
        <v>0</v>
      </c>
      <c r="N307" t="n">
        <v>0</v>
      </c>
      <c r="O307" t="n">
        <v>0</v>
      </c>
      <c r="P307" t="n">
        <v>0</v>
      </c>
      <c r="Q307" t="n">
        <v>0</v>
      </c>
      <c r="R307" s="2" t="inlineStr"/>
    </row>
    <row r="308" ht="15" customHeight="1">
      <c r="A308" t="inlineStr">
        <is>
          <t>A 4885-2019</t>
        </is>
      </c>
      <c r="B308" s="1" t="n">
        <v>43486</v>
      </c>
      <c r="C308" s="1" t="n">
        <v>45345</v>
      </c>
      <c r="D308" t="inlineStr">
        <is>
          <t>STOCKHOLMS LÄN</t>
        </is>
      </c>
      <c r="E308" t="inlineStr">
        <is>
          <t>NORRTÄLJE</t>
        </is>
      </c>
      <c r="G308" t="n">
        <v>11.4</v>
      </c>
      <c r="H308" t="n">
        <v>0</v>
      </c>
      <c r="I308" t="n">
        <v>0</v>
      </c>
      <c r="J308" t="n">
        <v>0</v>
      </c>
      <c r="K308" t="n">
        <v>0</v>
      </c>
      <c r="L308" t="n">
        <v>0</v>
      </c>
      <c r="M308" t="n">
        <v>0</v>
      </c>
      <c r="N308" t="n">
        <v>0</v>
      </c>
      <c r="O308" t="n">
        <v>0</v>
      </c>
      <c r="P308" t="n">
        <v>0</v>
      </c>
      <c r="Q308" t="n">
        <v>0</v>
      </c>
      <c r="R308" s="2" t="inlineStr"/>
    </row>
    <row r="309" ht="15" customHeight="1">
      <c r="A309" t="inlineStr">
        <is>
          <t>A 4833-2019</t>
        </is>
      </c>
      <c r="B309" s="1" t="n">
        <v>43486</v>
      </c>
      <c r="C309" s="1" t="n">
        <v>45345</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4862-2019</t>
        </is>
      </c>
      <c r="B310" s="1" t="n">
        <v>43486</v>
      </c>
      <c r="C310" s="1" t="n">
        <v>45345</v>
      </c>
      <c r="D310" t="inlineStr">
        <is>
          <t>STOCKHOLMS LÄN</t>
        </is>
      </c>
      <c r="E310" t="inlineStr">
        <is>
          <t>NORRTÄLJE</t>
        </is>
      </c>
      <c r="G310" t="n">
        <v>14</v>
      </c>
      <c r="H310" t="n">
        <v>0</v>
      </c>
      <c r="I310" t="n">
        <v>0</v>
      </c>
      <c r="J310" t="n">
        <v>0</v>
      </c>
      <c r="K310" t="n">
        <v>0</v>
      </c>
      <c r="L310" t="n">
        <v>0</v>
      </c>
      <c r="M310" t="n">
        <v>0</v>
      </c>
      <c r="N310" t="n">
        <v>0</v>
      </c>
      <c r="O310" t="n">
        <v>0</v>
      </c>
      <c r="P310" t="n">
        <v>0</v>
      </c>
      <c r="Q310" t="n">
        <v>0</v>
      </c>
      <c r="R310" s="2" t="inlineStr"/>
    </row>
    <row r="311" ht="15" customHeight="1">
      <c r="A311" t="inlineStr">
        <is>
          <t>A 4947-2019</t>
        </is>
      </c>
      <c r="B311" s="1" t="n">
        <v>43487</v>
      </c>
      <c r="C311" s="1" t="n">
        <v>45345</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5109-2019</t>
        </is>
      </c>
      <c r="B312" s="1" t="n">
        <v>43487</v>
      </c>
      <c r="C312" s="1" t="n">
        <v>45345</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4857-2019</t>
        </is>
      </c>
      <c r="B313" s="1" t="n">
        <v>43487</v>
      </c>
      <c r="C313" s="1" t="n">
        <v>45345</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5106-2019</t>
        </is>
      </c>
      <c r="B314" s="1" t="n">
        <v>43487</v>
      </c>
      <c r="C314" s="1" t="n">
        <v>45345</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6606-2019</t>
        </is>
      </c>
      <c r="B315" s="1" t="n">
        <v>43487</v>
      </c>
      <c r="C315" s="1" t="n">
        <v>45345</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5080-2019</t>
        </is>
      </c>
      <c r="B316" s="1" t="n">
        <v>43487</v>
      </c>
      <c r="C316" s="1" t="n">
        <v>45345</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5386-2019</t>
        </is>
      </c>
      <c r="B317" s="1" t="n">
        <v>43488</v>
      </c>
      <c r="C317" s="1" t="n">
        <v>45345</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5314-2019</t>
        </is>
      </c>
      <c r="B318" s="1" t="n">
        <v>43488</v>
      </c>
      <c r="C318" s="1" t="n">
        <v>45345</v>
      </c>
      <c r="D318" t="inlineStr">
        <is>
          <t>STOCKHOLMS LÄN</t>
        </is>
      </c>
      <c r="E318" t="inlineStr">
        <is>
          <t>NORRTÄLJE</t>
        </is>
      </c>
      <c r="G318" t="n">
        <v>0.3</v>
      </c>
      <c r="H318" t="n">
        <v>0</v>
      </c>
      <c r="I318" t="n">
        <v>0</v>
      </c>
      <c r="J318" t="n">
        <v>0</v>
      </c>
      <c r="K318" t="n">
        <v>0</v>
      </c>
      <c r="L318" t="n">
        <v>0</v>
      </c>
      <c r="M318" t="n">
        <v>0</v>
      </c>
      <c r="N318" t="n">
        <v>0</v>
      </c>
      <c r="O318" t="n">
        <v>0</v>
      </c>
      <c r="P318" t="n">
        <v>0</v>
      </c>
      <c r="Q318" t="n">
        <v>0</v>
      </c>
      <c r="R318" s="2" t="inlineStr"/>
    </row>
    <row r="319" ht="15" customHeight="1">
      <c r="A319" t="inlineStr">
        <is>
          <t>A 5517-2019</t>
        </is>
      </c>
      <c r="B319" s="1" t="n">
        <v>43489</v>
      </c>
      <c r="C319" s="1" t="n">
        <v>45345</v>
      </c>
      <c r="D319" t="inlineStr">
        <is>
          <t>STOCKHOLMS LÄN</t>
        </is>
      </c>
      <c r="E319" t="inlineStr">
        <is>
          <t>NORRTÄLJE</t>
        </is>
      </c>
      <c r="G319" t="n">
        <v>3.3</v>
      </c>
      <c r="H319" t="n">
        <v>0</v>
      </c>
      <c r="I319" t="n">
        <v>0</v>
      </c>
      <c r="J319" t="n">
        <v>0</v>
      </c>
      <c r="K319" t="n">
        <v>0</v>
      </c>
      <c r="L319" t="n">
        <v>0</v>
      </c>
      <c r="M319" t="n">
        <v>0</v>
      </c>
      <c r="N319" t="n">
        <v>0</v>
      </c>
      <c r="O319" t="n">
        <v>0</v>
      </c>
      <c r="P319" t="n">
        <v>0</v>
      </c>
      <c r="Q319" t="n">
        <v>0</v>
      </c>
      <c r="R319" s="2" t="inlineStr"/>
    </row>
    <row r="320" ht="15" customHeight="1">
      <c r="A320" t="inlineStr">
        <is>
          <t>A 5548-2019</t>
        </is>
      </c>
      <c r="B320" s="1" t="n">
        <v>43489</v>
      </c>
      <c r="C320" s="1" t="n">
        <v>45345</v>
      </c>
      <c r="D320" t="inlineStr">
        <is>
          <t>STOCKHOLMS LÄN</t>
        </is>
      </c>
      <c r="E320" t="inlineStr">
        <is>
          <t>NORRTÄLJE</t>
        </is>
      </c>
      <c r="G320" t="n">
        <v>1.8</v>
      </c>
      <c r="H320" t="n">
        <v>0</v>
      </c>
      <c r="I320" t="n">
        <v>0</v>
      </c>
      <c r="J320" t="n">
        <v>0</v>
      </c>
      <c r="K320" t="n">
        <v>0</v>
      </c>
      <c r="L320" t="n">
        <v>0</v>
      </c>
      <c r="M320" t="n">
        <v>0</v>
      </c>
      <c r="N320" t="n">
        <v>0</v>
      </c>
      <c r="O320" t="n">
        <v>0</v>
      </c>
      <c r="P320" t="n">
        <v>0</v>
      </c>
      <c r="Q320" t="n">
        <v>0</v>
      </c>
      <c r="R320" s="2" t="inlineStr"/>
    </row>
    <row r="321" ht="15" customHeight="1">
      <c r="A321" t="inlineStr">
        <is>
          <t>A 5580-2019</t>
        </is>
      </c>
      <c r="B321" s="1" t="n">
        <v>43489</v>
      </c>
      <c r="C321" s="1" t="n">
        <v>45345</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5486-2019</t>
        </is>
      </c>
      <c r="B322" s="1" t="n">
        <v>43489</v>
      </c>
      <c r="C322" s="1" t="n">
        <v>45345</v>
      </c>
      <c r="D322" t="inlineStr">
        <is>
          <t>STOCKHOLMS LÄN</t>
        </is>
      </c>
      <c r="E322" t="inlineStr">
        <is>
          <t>NORRTÄLJE</t>
        </is>
      </c>
      <c r="F322" t="inlineStr">
        <is>
          <t>Övriga Aktiebolag</t>
        </is>
      </c>
      <c r="G322" t="n">
        <v>3.9</v>
      </c>
      <c r="H322" t="n">
        <v>0</v>
      </c>
      <c r="I322" t="n">
        <v>0</v>
      </c>
      <c r="J322" t="n">
        <v>0</v>
      </c>
      <c r="K322" t="n">
        <v>0</v>
      </c>
      <c r="L322" t="n">
        <v>0</v>
      </c>
      <c r="M322" t="n">
        <v>0</v>
      </c>
      <c r="N322" t="n">
        <v>0</v>
      </c>
      <c r="O322" t="n">
        <v>0</v>
      </c>
      <c r="P322" t="n">
        <v>0</v>
      </c>
      <c r="Q322" t="n">
        <v>0</v>
      </c>
      <c r="R322" s="2" t="inlineStr"/>
    </row>
    <row r="323" ht="15" customHeight="1">
      <c r="A323" t="inlineStr">
        <is>
          <t>A 5640-2019</t>
        </is>
      </c>
      <c r="B323" s="1" t="n">
        <v>43489</v>
      </c>
      <c r="C323" s="1" t="n">
        <v>45345</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5664-2019</t>
        </is>
      </c>
      <c r="B324" s="1" t="n">
        <v>43489</v>
      </c>
      <c r="C324" s="1" t="n">
        <v>45345</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5504-2019</t>
        </is>
      </c>
      <c r="B325" s="1" t="n">
        <v>43489</v>
      </c>
      <c r="C325" s="1" t="n">
        <v>45345</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5919-2019</t>
        </is>
      </c>
      <c r="B326" s="1" t="n">
        <v>43490</v>
      </c>
      <c r="C326" s="1" t="n">
        <v>45345</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5959-2019</t>
        </is>
      </c>
      <c r="B327" s="1" t="n">
        <v>43492</v>
      </c>
      <c r="C327" s="1" t="n">
        <v>45345</v>
      </c>
      <c r="D327" t="inlineStr">
        <is>
          <t>STOCKHOLMS LÄN</t>
        </is>
      </c>
      <c r="E327" t="inlineStr">
        <is>
          <t>NORRTÄLJE</t>
        </is>
      </c>
      <c r="G327" t="n">
        <v>1.6</v>
      </c>
      <c r="H327" t="n">
        <v>0</v>
      </c>
      <c r="I327" t="n">
        <v>0</v>
      </c>
      <c r="J327" t="n">
        <v>0</v>
      </c>
      <c r="K327" t="n">
        <v>0</v>
      </c>
      <c r="L327" t="n">
        <v>0</v>
      </c>
      <c r="M327" t="n">
        <v>0</v>
      </c>
      <c r="N327" t="n">
        <v>0</v>
      </c>
      <c r="O327" t="n">
        <v>0</v>
      </c>
      <c r="P327" t="n">
        <v>0</v>
      </c>
      <c r="Q327" t="n">
        <v>0</v>
      </c>
      <c r="R327" s="2" t="inlineStr"/>
    </row>
    <row r="328" ht="15" customHeight="1">
      <c r="A328" t="inlineStr">
        <is>
          <t>A 6187-2019</t>
        </is>
      </c>
      <c r="B328" s="1" t="n">
        <v>43493</v>
      </c>
      <c r="C328" s="1" t="n">
        <v>45345</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6184-2019</t>
        </is>
      </c>
      <c r="B329" s="1" t="n">
        <v>43493</v>
      </c>
      <c r="C329" s="1" t="n">
        <v>45345</v>
      </c>
      <c r="D329" t="inlineStr">
        <is>
          <t>STOCKHOLMS LÄN</t>
        </is>
      </c>
      <c r="E329" t="inlineStr">
        <is>
          <t>NORRTÄLJE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6121-2019</t>
        </is>
      </c>
      <c r="B330" s="1" t="n">
        <v>43493</v>
      </c>
      <c r="C330" s="1" t="n">
        <v>45345</v>
      </c>
      <c r="D330" t="inlineStr">
        <is>
          <t>STOCKHOLMS LÄN</t>
        </is>
      </c>
      <c r="E330" t="inlineStr">
        <is>
          <t>NORRTÄLJE</t>
        </is>
      </c>
      <c r="G330" t="n">
        <v>4.8</v>
      </c>
      <c r="H330" t="n">
        <v>0</v>
      </c>
      <c r="I330" t="n">
        <v>0</v>
      </c>
      <c r="J330" t="n">
        <v>0</v>
      </c>
      <c r="K330" t="n">
        <v>0</v>
      </c>
      <c r="L330" t="n">
        <v>0</v>
      </c>
      <c r="M330" t="n">
        <v>0</v>
      </c>
      <c r="N330" t="n">
        <v>0</v>
      </c>
      <c r="O330" t="n">
        <v>0</v>
      </c>
      <c r="P330" t="n">
        <v>0</v>
      </c>
      <c r="Q330" t="n">
        <v>0</v>
      </c>
      <c r="R330" s="2" t="inlineStr"/>
    </row>
    <row r="331" ht="15" customHeight="1">
      <c r="A331" t="inlineStr">
        <is>
          <t>A 6170-2019</t>
        </is>
      </c>
      <c r="B331" s="1" t="n">
        <v>43493</v>
      </c>
      <c r="C331" s="1" t="n">
        <v>45345</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6496-2019</t>
        </is>
      </c>
      <c r="B332" s="1" t="n">
        <v>43494</v>
      </c>
      <c r="C332" s="1" t="n">
        <v>45345</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6563-2019</t>
        </is>
      </c>
      <c r="B333" s="1" t="n">
        <v>43494</v>
      </c>
      <c r="C333" s="1" t="n">
        <v>45345</v>
      </c>
      <c r="D333" t="inlineStr">
        <is>
          <t>STOCKHOLMS LÄN</t>
        </is>
      </c>
      <c r="E333" t="inlineStr">
        <is>
          <t>NORRTÄLJE</t>
        </is>
      </c>
      <c r="G333" t="n">
        <v>0.4</v>
      </c>
      <c r="H333" t="n">
        <v>0</v>
      </c>
      <c r="I333" t="n">
        <v>0</v>
      </c>
      <c r="J333" t="n">
        <v>0</v>
      </c>
      <c r="K333" t="n">
        <v>0</v>
      </c>
      <c r="L333" t="n">
        <v>0</v>
      </c>
      <c r="M333" t="n">
        <v>0</v>
      </c>
      <c r="N333" t="n">
        <v>0</v>
      </c>
      <c r="O333" t="n">
        <v>0</v>
      </c>
      <c r="P333" t="n">
        <v>0</v>
      </c>
      <c r="Q333" t="n">
        <v>0</v>
      </c>
      <c r="R333" s="2" t="inlineStr"/>
    </row>
    <row r="334" ht="15" customHeight="1">
      <c r="A334" t="inlineStr">
        <is>
          <t>A 6560-2019</t>
        </is>
      </c>
      <c r="B334" s="1" t="n">
        <v>43494</v>
      </c>
      <c r="C334" s="1" t="n">
        <v>45345</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6740-2019</t>
        </is>
      </c>
      <c r="B335" s="1" t="n">
        <v>43494</v>
      </c>
      <c r="C335" s="1" t="n">
        <v>45345</v>
      </c>
      <c r="D335" t="inlineStr">
        <is>
          <t>STOCKHOLMS LÄN</t>
        </is>
      </c>
      <c r="E335" t="inlineStr">
        <is>
          <t>NORRTÄLJE</t>
        </is>
      </c>
      <c r="G335" t="n">
        <v>4.9</v>
      </c>
      <c r="H335" t="n">
        <v>0</v>
      </c>
      <c r="I335" t="n">
        <v>0</v>
      </c>
      <c r="J335" t="n">
        <v>0</v>
      </c>
      <c r="K335" t="n">
        <v>0</v>
      </c>
      <c r="L335" t="n">
        <v>0</v>
      </c>
      <c r="M335" t="n">
        <v>0</v>
      </c>
      <c r="N335" t="n">
        <v>0</v>
      </c>
      <c r="O335" t="n">
        <v>0</v>
      </c>
      <c r="P335" t="n">
        <v>0</v>
      </c>
      <c r="Q335" t="n">
        <v>0</v>
      </c>
      <c r="R335" s="2" t="inlineStr"/>
    </row>
    <row r="336" ht="15" customHeight="1">
      <c r="A336" t="inlineStr">
        <is>
          <t>A 6530-2019</t>
        </is>
      </c>
      <c r="B336" s="1" t="n">
        <v>43494</v>
      </c>
      <c r="C336" s="1" t="n">
        <v>45345</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6545-2019</t>
        </is>
      </c>
      <c r="B337" s="1" t="n">
        <v>43494</v>
      </c>
      <c r="C337" s="1" t="n">
        <v>45345</v>
      </c>
      <c r="D337" t="inlineStr">
        <is>
          <t>STOCKHOLMS LÄN</t>
        </is>
      </c>
      <c r="E337" t="inlineStr">
        <is>
          <t>NORRTÄLJE</t>
        </is>
      </c>
      <c r="G337" t="n">
        <v>2.1</v>
      </c>
      <c r="H337" t="n">
        <v>0</v>
      </c>
      <c r="I337" t="n">
        <v>0</v>
      </c>
      <c r="J337" t="n">
        <v>0</v>
      </c>
      <c r="K337" t="n">
        <v>0</v>
      </c>
      <c r="L337" t="n">
        <v>0</v>
      </c>
      <c r="M337" t="n">
        <v>0</v>
      </c>
      <c r="N337" t="n">
        <v>0</v>
      </c>
      <c r="O337" t="n">
        <v>0</v>
      </c>
      <c r="P337" t="n">
        <v>0</v>
      </c>
      <c r="Q337" t="n">
        <v>0</v>
      </c>
      <c r="R337" s="2" t="inlineStr"/>
    </row>
    <row r="338" ht="15" customHeight="1">
      <c r="A338" t="inlineStr">
        <is>
          <t>A 6921-2019</t>
        </is>
      </c>
      <c r="B338" s="1" t="n">
        <v>43495</v>
      </c>
      <c r="C338" s="1" t="n">
        <v>45345</v>
      </c>
      <c r="D338" t="inlineStr">
        <is>
          <t>STOCKHOLMS LÄN</t>
        </is>
      </c>
      <c r="E338" t="inlineStr">
        <is>
          <t>NORRTÄLJE</t>
        </is>
      </c>
      <c r="G338" t="n">
        <v>5.8</v>
      </c>
      <c r="H338" t="n">
        <v>0</v>
      </c>
      <c r="I338" t="n">
        <v>0</v>
      </c>
      <c r="J338" t="n">
        <v>0</v>
      </c>
      <c r="K338" t="n">
        <v>0</v>
      </c>
      <c r="L338" t="n">
        <v>0</v>
      </c>
      <c r="M338" t="n">
        <v>0</v>
      </c>
      <c r="N338" t="n">
        <v>0</v>
      </c>
      <c r="O338" t="n">
        <v>0</v>
      </c>
      <c r="P338" t="n">
        <v>0</v>
      </c>
      <c r="Q338" t="n">
        <v>0</v>
      </c>
      <c r="R338" s="2" t="inlineStr"/>
    </row>
    <row r="339" ht="15" customHeight="1">
      <c r="A339" t="inlineStr">
        <is>
          <t>A 7041-2019</t>
        </is>
      </c>
      <c r="B339" s="1" t="n">
        <v>43495</v>
      </c>
      <c r="C339" s="1" t="n">
        <v>45345</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7040-2019</t>
        </is>
      </c>
      <c r="B340" s="1" t="n">
        <v>43495</v>
      </c>
      <c r="C340" s="1" t="n">
        <v>45345</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7003-2019</t>
        </is>
      </c>
      <c r="B341" s="1" t="n">
        <v>43495</v>
      </c>
      <c r="C341" s="1" t="n">
        <v>45345</v>
      </c>
      <c r="D341" t="inlineStr">
        <is>
          <t>STOCKHOLMS LÄN</t>
        </is>
      </c>
      <c r="E341" t="inlineStr">
        <is>
          <t>NORRTÄLJE</t>
        </is>
      </c>
      <c r="G341" t="n">
        <v>3</v>
      </c>
      <c r="H341" t="n">
        <v>0</v>
      </c>
      <c r="I341" t="n">
        <v>0</v>
      </c>
      <c r="J341" t="n">
        <v>0</v>
      </c>
      <c r="K341" t="n">
        <v>0</v>
      </c>
      <c r="L341" t="n">
        <v>0</v>
      </c>
      <c r="M341" t="n">
        <v>0</v>
      </c>
      <c r="N341" t="n">
        <v>0</v>
      </c>
      <c r="O341" t="n">
        <v>0</v>
      </c>
      <c r="P341" t="n">
        <v>0</v>
      </c>
      <c r="Q341" t="n">
        <v>0</v>
      </c>
      <c r="R341" s="2" t="inlineStr"/>
    </row>
    <row r="342" ht="15" customHeight="1">
      <c r="A342" t="inlineStr">
        <is>
          <t>A 6985-2019</t>
        </is>
      </c>
      <c r="B342" s="1" t="n">
        <v>43495</v>
      </c>
      <c r="C342" s="1" t="n">
        <v>45345</v>
      </c>
      <c r="D342" t="inlineStr">
        <is>
          <t>STOCKHOLMS LÄN</t>
        </is>
      </c>
      <c r="E342" t="inlineStr">
        <is>
          <t>NORRTÄLJE</t>
        </is>
      </c>
      <c r="G342" t="n">
        <v>75.09999999999999</v>
      </c>
      <c r="H342" t="n">
        <v>0</v>
      </c>
      <c r="I342" t="n">
        <v>0</v>
      </c>
      <c r="J342" t="n">
        <v>0</v>
      </c>
      <c r="K342" t="n">
        <v>0</v>
      </c>
      <c r="L342" t="n">
        <v>0</v>
      </c>
      <c r="M342" t="n">
        <v>0</v>
      </c>
      <c r="N342" t="n">
        <v>0</v>
      </c>
      <c r="O342" t="n">
        <v>0</v>
      </c>
      <c r="P342" t="n">
        <v>0</v>
      </c>
      <c r="Q342" t="n">
        <v>0</v>
      </c>
      <c r="R342" s="2" t="inlineStr"/>
    </row>
    <row r="343" ht="15" customHeight="1">
      <c r="A343" t="inlineStr">
        <is>
          <t>A 6970-2019</t>
        </is>
      </c>
      <c r="B343" s="1" t="n">
        <v>43495</v>
      </c>
      <c r="C343" s="1" t="n">
        <v>45345</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7090-2019</t>
        </is>
      </c>
      <c r="B344" s="1" t="n">
        <v>43495</v>
      </c>
      <c r="C344" s="1" t="n">
        <v>45345</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7015-2019</t>
        </is>
      </c>
      <c r="B345" s="1" t="n">
        <v>43495</v>
      </c>
      <c r="C345" s="1" t="n">
        <v>45345</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7117-2019</t>
        </is>
      </c>
      <c r="B346" s="1" t="n">
        <v>43496</v>
      </c>
      <c r="C346" s="1" t="n">
        <v>45345</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7288-2019</t>
        </is>
      </c>
      <c r="B347" s="1" t="n">
        <v>43496</v>
      </c>
      <c r="C347" s="1" t="n">
        <v>45345</v>
      </c>
      <c r="D347" t="inlineStr">
        <is>
          <t>STOCKHOLMS LÄN</t>
        </is>
      </c>
      <c r="E347" t="inlineStr">
        <is>
          <t>NORRTÄLJE</t>
        </is>
      </c>
      <c r="G347" t="n">
        <v>7.6</v>
      </c>
      <c r="H347" t="n">
        <v>0</v>
      </c>
      <c r="I347" t="n">
        <v>0</v>
      </c>
      <c r="J347" t="n">
        <v>0</v>
      </c>
      <c r="K347" t="n">
        <v>0</v>
      </c>
      <c r="L347" t="n">
        <v>0</v>
      </c>
      <c r="M347" t="n">
        <v>0</v>
      </c>
      <c r="N347" t="n">
        <v>0</v>
      </c>
      <c r="O347" t="n">
        <v>0</v>
      </c>
      <c r="P347" t="n">
        <v>0</v>
      </c>
      <c r="Q347" t="n">
        <v>0</v>
      </c>
      <c r="R347" s="2" t="inlineStr"/>
    </row>
    <row r="348" ht="15" customHeight="1">
      <c r="A348" t="inlineStr">
        <is>
          <t>A 7278-2019</t>
        </is>
      </c>
      <c r="B348" s="1" t="n">
        <v>43496</v>
      </c>
      <c r="C348" s="1" t="n">
        <v>45345</v>
      </c>
      <c r="D348" t="inlineStr">
        <is>
          <t>STOCKHOLMS LÄN</t>
        </is>
      </c>
      <c r="E348" t="inlineStr">
        <is>
          <t>NORRTÄLJE</t>
        </is>
      </c>
      <c r="G348" t="n">
        <v>13.6</v>
      </c>
      <c r="H348" t="n">
        <v>0</v>
      </c>
      <c r="I348" t="n">
        <v>0</v>
      </c>
      <c r="J348" t="n">
        <v>0</v>
      </c>
      <c r="K348" t="n">
        <v>0</v>
      </c>
      <c r="L348" t="n">
        <v>0</v>
      </c>
      <c r="M348" t="n">
        <v>0</v>
      </c>
      <c r="N348" t="n">
        <v>0</v>
      </c>
      <c r="O348" t="n">
        <v>0</v>
      </c>
      <c r="P348" t="n">
        <v>0</v>
      </c>
      <c r="Q348" t="n">
        <v>0</v>
      </c>
      <c r="R348" s="2" t="inlineStr"/>
    </row>
    <row r="349" ht="15" customHeight="1">
      <c r="A349" t="inlineStr">
        <is>
          <t>A 7255-2019</t>
        </is>
      </c>
      <c r="B349" s="1" t="n">
        <v>43496</v>
      </c>
      <c r="C349" s="1" t="n">
        <v>45345</v>
      </c>
      <c r="D349" t="inlineStr">
        <is>
          <t>STOCKHOLMS LÄN</t>
        </is>
      </c>
      <c r="E349" t="inlineStr">
        <is>
          <t>NORRTÄLJE</t>
        </is>
      </c>
      <c r="G349" t="n">
        <v>1.8</v>
      </c>
      <c r="H349" t="n">
        <v>0</v>
      </c>
      <c r="I349" t="n">
        <v>0</v>
      </c>
      <c r="J349" t="n">
        <v>0</v>
      </c>
      <c r="K349" t="n">
        <v>0</v>
      </c>
      <c r="L349" t="n">
        <v>0</v>
      </c>
      <c r="M349" t="n">
        <v>0</v>
      </c>
      <c r="N349" t="n">
        <v>0</v>
      </c>
      <c r="O349" t="n">
        <v>0</v>
      </c>
      <c r="P349" t="n">
        <v>0</v>
      </c>
      <c r="Q349" t="n">
        <v>0</v>
      </c>
      <c r="R349" s="2" t="inlineStr"/>
    </row>
    <row r="350" ht="15" customHeight="1">
      <c r="A350" t="inlineStr">
        <is>
          <t>A 7285-2019</t>
        </is>
      </c>
      <c r="B350" s="1" t="n">
        <v>43496</v>
      </c>
      <c r="C350" s="1" t="n">
        <v>45345</v>
      </c>
      <c r="D350" t="inlineStr">
        <is>
          <t>STOCKHOLMS LÄN</t>
        </is>
      </c>
      <c r="E350" t="inlineStr">
        <is>
          <t>NORRTÄLJE</t>
        </is>
      </c>
      <c r="G350" t="n">
        <v>7.8</v>
      </c>
      <c r="H350" t="n">
        <v>0</v>
      </c>
      <c r="I350" t="n">
        <v>0</v>
      </c>
      <c r="J350" t="n">
        <v>0</v>
      </c>
      <c r="K350" t="n">
        <v>0</v>
      </c>
      <c r="L350" t="n">
        <v>0</v>
      </c>
      <c r="M350" t="n">
        <v>0</v>
      </c>
      <c r="N350" t="n">
        <v>0</v>
      </c>
      <c r="O350" t="n">
        <v>0</v>
      </c>
      <c r="P350" t="n">
        <v>0</v>
      </c>
      <c r="Q350" t="n">
        <v>0</v>
      </c>
      <c r="R350" s="2" t="inlineStr"/>
    </row>
    <row r="351" ht="15" customHeight="1">
      <c r="A351" t="inlineStr">
        <is>
          <t>A 7176-2019</t>
        </is>
      </c>
      <c r="B351" s="1" t="n">
        <v>43496</v>
      </c>
      <c r="C351" s="1" t="n">
        <v>45345</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7170-2019</t>
        </is>
      </c>
      <c r="B352" s="1" t="n">
        <v>43496</v>
      </c>
      <c r="C352" s="1" t="n">
        <v>45345</v>
      </c>
      <c r="D352" t="inlineStr">
        <is>
          <t>STOCKHOLMS LÄN</t>
        </is>
      </c>
      <c r="E352" t="inlineStr">
        <is>
          <t>NORRTÄLJE</t>
        </is>
      </c>
      <c r="F352" t="inlineStr">
        <is>
          <t>Holmen skog AB</t>
        </is>
      </c>
      <c r="G352" t="n">
        <v>14.6</v>
      </c>
      <c r="H352" t="n">
        <v>0</v>
      </c>
      <c r="I352" t="n">
        <v>0</v>
      </c>
      <c r="J352" t="n">
        <v>0</v>
      </c>
      <c r="K352" t="n">
        <v>0</v>
      </c>
      <c r="L352" t="n">
        <v>0</v>
      </c>
      <c r="M352" t="n">
        <v>0</v>
      </c>
      <c r="N352" t="n">
        <v>0</v>
      </c>
      <c r="O352" t="n">
        <v>0</v>
      </c>
      <c r="P352" t="n">
        <v>0</v>
      </c>
      <c r="Q352" t="n">
        <v>0</v>
      </c>
      <c r="R352" s="2" t="inlineStr"/>
    </row>
    <row r="353" ht="15" customHeight="1">
      <c r="A353" t="inlineStr">
        <is>
          <t>A 7343-2019</t>
        </is>
      </c>
      <c r="B353" s="1" t="n">
        <v>43496</v>
      </c>
      <c r="C353" s="1" t="n">
        <v>45345</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7174-2019</t>
        </is>
      </c>
      <c r="B354" s="1" t="n">
        <v>43496</v>
      </c>
      <c r="C354" s="1" t="n">
        <v>45345</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7502-2019</t>
        </is>
      </c>
      <c r="B355" s="1" t="n">
        <v>43497</v>
      </c>
      <c r="C355" s="1" t="n">
        <v>45345</v>
      </c>
      <c r="D355" t="inlineStr">
        <is>
          <t>STOCKHOLMS LÄN</t>
        </is>
      </c>
      <c r="E355" t="inlineStr">
        <is>
          <t>NORRTÄLJE</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7426-2019</t>
        </is>
      </c>
      <c r="B356" s="1" t="n">
        <v>43497</v>
      </c>
      <c r="C356" s="1" t="n">
        <v>45345</v>
      </c>
      <c r="D356" t="inlineStr">
        <is>
          <t>STOCKHOLMS LÄN</t>
        </is>
      </c>
      <c r="E356" t="inlineStr">
        <is>
          <t>NORRTÄLJE</t>
        </is>
      </c>
      <c r="G356" t="n">
        <v>3.8</v>
      </c>
      <c r="H356" t="n">
        <v>0</v>
      </c>
      <c r="I356" t="n">
        <v>0</v>
      </c>
      <c r="J356" t="n">
        <v>0</v>
      </c>
      <c r="K356" t="n">
        <v>0</v>
      </c>
      <c r="L356" t="n">
        <v>0</v>
      </c>
      <c r="M356" t="n">
        <v>0</v>
      </c>
      <c r="N356" t="n">
        <v>0</v>
      </c>
      <c r="O356" t="n">
        <v>0</v>
      </c>
      <c r="P356" t="n">
        <v>0</v>
      </c>
      <c r="Q356" t="n">
        <v>0</v>
      </c>
      <c r="R356" s="2" t="inlineStr"/>
    </row>
    <row r="357" ht="15" customHeight="1">
      <c r="A357" t="inlineStr">
        <is>
          <t>A 7568-2019</t>
        </is>
      </c>
      <c r="B357" s="1" t="n">
        <v>43497</v>
      </c>
      <c r="C357" s="1" t="n">
        <v>45345</v>
      </c>
      <c r="D357" t="inlineStr">
        <is>
          <t>STOCKHOLMS LÄN</t>
        </is>
      </c>
      <c r="E357" t="inlineStr">
        <is>
          <t>NORRTÄLJE</t>
        </is>
      </c>
      <c r="G357" t="n">
        <v>4.2</v>
      </c>
      <c r="H357" t="n">
        <v>0</v>
      </c>
      <c r="I357" t="n">
        <v>0</v>
      </c>
      <c r="J357" t="n">
        <v>0</v>
      </c>
      <c r="K357" t="n">
        <v>0</v>
      </c>
      <c r="L357" t="n">
        <v>0</v>
      </c>
      <c r="M357" t="n">
        <v>0</v>
      </c>
      <c r="N357" t="n">
        <v>0</v>
      </c>
      <c r="O357" t="n">
        <v>0</v>
      </c>
      <c r="P357" t="n">
        <v>0</v>
      </c>
      <c r="Q357" t="n">
        <v>0</v>
      </c>
      <c r="R357" s="2" t="inlineStr"/>
    </row>
    <row r="358" ht="15" customHeight="1">
      <c r="A358" t="inlineStr">
        <is>
          <t>A 7403-2019</t>
        </is>
      </c>
      <c r="B358" s="1" t="n">
        <v>43497</v>
      </c>
      <c r="C358" s="1" t="n">
        <v>45345</v>
      </c>
      <c r="D358" t="inlineStr">
        <is>
          <t>STOCKHOLMS LÄN</t>
        </is>
      </c>
      <c r="E358" t="inlineStr">
        <is>
          <t>NORRTÄLJE</t>
        </is>
      </c>
      <c r="G358" t="n">
        <v>6.1</v>
      </c>
      <c r="H358" t="n">
        <v>0</v>
      </c>
      <c r="I358" t="n">
        <v>0</v>
      </c>
      <c r="J358" t="n">
        <v>0</v>
      </c>
      <c r="K358" t="n">
        <v>0</v>
      </c>
      <c r="L358" t="n">
        <v>0</v>
      </c>
      <c r="M358" t="n">
        <v>0</v>
      </c>
      <c r="N358" t="n">
        <v>0</v>
      </c>
      <c r="O358" t="n">
        <v>0</v>
      </c>
      <c r="P358" t="n">
        <v>0</v>
      </c>
      <c r="Q358" t="n">
        <v>0</v>
      </c>
      <c r="R358" s="2" t="inlineStr"/>
    </row>
    <row r="359" ht="15" customHeight="1">
      <c r="A359" t="inlineStr">
        <is>
          <t>A 7429-2019</t>
        </is>
      </c>
      <c r="B359" s="1" t="n">
        <v>43497</v>
      </c>
      <c r="C359" s="1" t="n">
        <v>45345</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7579-2019</t>
        </is>
      </c>
      <c r="B360" s="1" t="n">
        <v>43498</v>
      </c>
      <c r="C360" s="1" t="n">
        <v>45345</v>
      </c>
      <c r="D360" t="inlineStr">
        <is>
          <t>STOCKHOLMS LÄN</t>
        </is>
      </c>
      <c r="E360" t="inlineStr">
        <is>
          <t>NORRTÄLJE</t>
        </is>
      </c>
      <c r="G360" t="n">
        <v>2.8</v>
      </c>
      <c r="H360" t="n">
        <v>0</v>
      </c>
      <c r="I360" t="n">
        <v>0</v>
      </c>
      <c r="J360" t="n">
        <v>0</v>
      </c>
      <c r="K360" t="n">
        <v>0</v>
      </c>
      <c r="L360" t="n">
        <v>0</v>
      </c>
      <c r="M360" t="n">
        <v>0</v>
      </c>
      <c r="N360" t="n">
        <v>0</v>
      </c>
      <c r="O360" t="n">
        <v>0</v>
      </c>
      <c r="P360" t="n">
        <v>0</v>
      </c>
      <c r="Q360" t="n">
        <v>0</v>
      </c>
      <c r="R360" s="2" t="inlineStr"/>
    </row>
    <row r="361" ht="15" customHeight="1">
      <c r="A361" t="inlineStr">
        <is>
          <t>A 7608-2019</t>
        </is>
      </c>
      <c r="B361" s="1" t="n">
        <v>43499</v>
      </c>
      <c r="C361" s="1" t="n">
        <v>45345</v>
      </c>
      <c r="D361" t="inlineStr">
        <is>
          <t>STOCKHOLMS LÄN</t>
        </is>
      </c>
      <c r="E361" t="inlineStr">
        <is>
          <t>NORRTÄLJE</t>
        </is>
      </c>
      <c r="G361" t="n">
        <v>10</v>
      </c>
      <c r="H361" t="n">
        <v>0</v>
      </c>
      <c r="I361" t="n">
        <v>0</v>
      </c>
      <c r="J361" t="n">
        <v>0</v>
      </c>
      <c r="K361" t="n">
        <v>0</v>
      </c>
      <c r="L361" t="n">
        <v>0</v>
      </c>
      <c r="M361" t="n">
        <v>0</v>
      </c>
      <c r="N361" t="n">
        <v>0</v>
      </c>
      <c r="O361" t="n">
        <v>0</v>
      </c>
      <c r="P361" t="n">
        <v>0</v>
      </c>
      <c r="Q361" t="n">
        <v>0</v>
      </c>
      <c r="R361" s="2" t="inlineStr"/>
    </row>
    <row r="362" ht="15" customHeight="1">
      <c r="A362" t="inlineStr">
        <is>
          <t>A 7606-2019</t>
        </is>
      </c>
      <c r="B362" s="1" t="n">
        <v>43499</v>
      </c>
      <c r="C362" s="1" t="n">
        <v>45345</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7607-2019</t>
        </is>
      </c>
      <c r="B363" s="1" t="n">
        <v>43499</v>
      </c>
      <c r="C363" s="1" t="n">
        <v>45345</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7650-2019</t>
        </is>
      </c>
      <c r="B364" s="1" t="n">
        <v>43500</v>
      </c>
      <c r="C364" s="1" t="n">
        <v>45345</v>
      </c>
      <c r="D364" t="inlineStr">
        <is>
          <t>STOCKHOLMS LÄN</t>
        </is>
      </c>
      <c r="E364" t="inlineStr">
        <is>
          <t>NORRTÄLJE</t>
        </is>
      </c>
      <c r="F364" t="inlineStr">
        <is>
          <t>Övriga Aktiebolag</t>
        </is>
      </c>
      <c r="G364" t="n">
        <v>3.8</v>
      </c>
      <c r="H364" t="n">
        <v>0</v>
      </c>
      <c r="I364" t="n">
        <v>0</v>
      </c>
      <c r="J364" t="n">
        <v>0</v>
      </c>
      <c r="K364" t="n">
        <v>0</v>
      </c>
      <c r="L364" t="n">
        <v>0</v>
      </c>
      <c r="M364" t="n">
        <v>0</v>
      </c>
      <c r="N364" t="n">
        <v>0</v>
      </c>
      <c r="O364" t="n">
        <v>0</v>
      </c>
      <c r="P364" t="n">
        <v>0</v>
      </c>
      <c r="Q364" t="n">
        <v>0</v>
      </c>
      <c r="R364" s="2" t="inlineStr"/>
    </row>
    <row r="365" ht="15" customHeight="1">
      <c r="A365" t="inlineStr">
        <is>
          <t>A 8039-2019</t>
        </is>
      </c>
      <c r="B365" s="1" t="n">
        <v>43501</v>
      </c>
      <c r="C365" s="1" t="n">
        <v>45345</v>
      </c>
      <c r="D365" t="inlineStr">
        <is>
          <t>STOCKHOLMS LÄN</t>
        </is>
      </c>
      <c r="E365" t="inlineStr">
        <is>
          <t>NORRTÄLJE</t>
        </is>
      </c>
      <c r="G365" t="n">
        <v>16.8</v>
      </c>
      <c r="H365" t="n">
        <v>0</v>
      </c>
      <c r="I365" t="n">
        <v>0</v>
      </c>
      <c r="J365" t="n">
        <v>0</v>
      </c>
      <c r="K365" t="n">
        <v>0</v>
      </c>
      <c r="L365" t="n">
        <v>0</v>
      </c>
      <c r="M365" t="n">
        <v>0</v>
      </c>
      <c r="N365" t="n">
        <v>0</v>
      </c>
      <c r="O365" t="n">
        <v>0</v>
      </c>
      <c r="P365" t="n">
        <v>0</v>
      </c>
      <c r="Q365" t="n">
        <v>0</v>
      </c>
      <c r="R365" s="2" t="inlineStr"/>
    </row>
    <row r="366" ht="15" customHeight="1">
      <c r="A366" t="inlineStr">
        <is>
          <t>A 8256-2019</t>
        </is>
      </c>
      <c r="B366" s="1" t="n">
        <v>43501</v>
      </c>
      <c r="C366" s="1" t="n">
        <v>45345</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8452-2019</t>
        </is>
      </c>
      <c r="B367" s="1" t="n">
        <v>43502</v>
      </c>
      <c r="C367" s="1" t="n">
        <v>45345</v>
      </c>
      <c r="D367" t="inlineStr">
        <is>
          <t>STOCKHOLMS LÄN</t>
        </is>
      </c>
      <c r="E367" t="inlineStr">
        <is>
          <t>NORRTÄLJE</t>
        </is>
      </c>
      <c r="G367" t="n">
        <v>3</v>
      </c>
      <c r="H367" t="n">
        <v>0</v>
      </c>
      <c r="I367" t="n">
        <v>0</v>
      </c>
      <c r="J367" t="n">
        <v>0</v>
      </c>
      <c r="K367" t="n">
        <v>0</v>
      </c>
      <c r="L367" t="n">
        <v>0</v>
      </c>
      <c r="M367" t="n">
        <v>0</v>
      </c>
      <c r="N367" t="n">
        <v>0</v>
      </c>
      <c r="O367" t="n">
        <v>0</v>
      </c>
      <c r="P367" t="n">
        <v>0</v>
      </c>
      <c r="Q367" t="n">
        <v>0</v>
      </c>
      <c r="R367" s="2" t="inlineStr"/>
    </row>
    <row r="368" ht="15" customHeight="1">
      <c r="A368" t="inlineStr">
        <is>
          <t>A 8586-2019</t>
        </is>
      </c>
      <c r="B368" s="1" t="n">
        <v>43502</v>
      </c>
      <c r="C368" s="1" t="n">
        <v>45345</v>
      </c>
      <c r="D368" t="inlineStr">
        <is>
          <t>STOCKHOLMS LÄN</t>
        </is>
      </c>
      <c r="E368" t="inlineStr">
        <is>
          <t>NORRTÄLJE</t>
        </is>
      </c>
      <c r="G368" t="n">
        <v>12.4</v>
      </c>
      <c r="H368" t="n">
        <v>0</v>
      </c>
      <c r="I368" t="n">
        <v>0</v>
      </c>
      <c r="J368" t="n">
        <v>0</v>
      </c>
      <c r="K368" t="n">
        <v>0</v>
      </c>
      <c r="L368" t="n">
        <v>0</v>
      </c>
      <c r="M368" t="n">
        <v>0</v>
      </c>
      <c r="N368" t="n">
        <v>0</v>
      </c>
      <c r="O368" t="n">
        <v>0</v>
      </c>
      <c r="P368" t="n">
        <v>0</v>
      </c>
      <c r="Q368" t="n">
        <v>0</v>
      </c>
      <c r="R368" s="2" t="inlineStr"/>
    </row>
    <row r="369" ht="15" customHeight="1">
      <c r="A369" t="inlineStr">
        <is>
          <t>A 8574-2019</t>
        </is>
      </c>
      <c r="B369" s="1" t="n">
        <v>43502</v>
      </c>
      <c r="C369" s="1" t="n">
        <v>45345</v>
      </c>
      <c r="D369" t="inlineStr">
        <is>
          <t>STOCKHOLMS LÄN</t>
        </is>
      </c>
      <c r="E369" t="inlineStr">
        <is>
          <t>NORRTÄLJE</t>
        </is>
      </c>
      <c r="G369" t="n">
        <v>0.9</v>
      </c>
      <c r="H369" t="n">
        <v>0</v>
      </c>
      <c r="I369" t="n">
        <v>0</v>
      </c>
      <c r="J369" t="n">
        <v>0</v>
      </c>
      <c r="K369" t="n">
        <v>0</v>
      </c>
      <c r="L369" t="n">
        <v>0</v>
      </c>
      <c r="M369" t="n">
        <v>0</v>
      </c>
      <c r="N369" t="n">
        <v>0</v>
      </c>
      <c r="O369" t="n">
        <v>0</v>
      </c>
      <c r="P369" t="n">
        <v>0</v>
      </c>
      <c r="Q369" t="n">
        <v>0</v>
      </c>
      <c r="R369" s="2" t="inlineStr"/>
    </row>
    <row r="370" ht="15" customHeight="1">
      <c r="A370" t="inlineStr">
        <is>
          <t>A 8678-2019</t>
        </is>
      </c>
      <c r="B370" s="1" t="n">
        <v>43503</v>
      </c>
      <c r="C370" s="1" t="n">
        <v>45345</v>
      </c>
      <c r="D370" t="inlineStr">
        <is>
          <t>STOCKHOLMS LÄN</t>
        </is>
      </c>
      <c r="E370" t="inlineStr">
        <is>
          <t>NORRTÄLJE</t>
        </is>
      </c>
      <c r="G370" t="n">
        <v>2.5</v>
      </c>
      <c r="H370" t="n">
        <v>0</v>
      </c>
      <c r="I370" t="n">
        <v>0</v>
      </c>
      <c r="J370" t="n">
        <v>0</v>
      </c>
      <c r="K370" t="n">
        <v>0</v>
      </c>
      <c r="L370" t="n">
        <v>0</v>
      </c>
      <c r="M370" t="n">
        <v>0</v>
      </c>
      <c r="N370" t="n">
        <v>0</v>
      </c>
      <c r="O370" t="n">
        <v>0</v>
      </c>
      <c r="P370" t="n">
        <v>0</v>
      </c>
      <c r="Q370" t="n">
        <v>0</v>
      </c>
      <c r="R370" s="2" t="inlineStr"/>
    </row>
    <row r="371" ht="15" customHeight="1">
      <c r="A371" t="inlineStr">
        <is>
          <t>A 8701-2019</t>
        </is>
      </c>
      <c r="B371" s="1" t="n">
        <v>43503</v>
      </c>
      <c r="C371" s="1" t="n">
        <v>45345</v>
      </c>
      <c r="D371" t="inlineStr">
        <is>
          <t>STOCKHOLMS LÄN</t>
        </is>
      </c>
      <c r="E371" t="inlineStr">
        <is>
          <t>NORRTÄLJE</t>
        </is>
      </c>
      <c r="G371" t="n">
        <v>15.3</v>
      </c>
      <c r="H371" t="n">
        <v>0</v>
      </c>
      <c r="I371" t="n">
        <v>0</v>
      </c>
      <c r="J371" t="n">
        <v>0</v>
      </c>
      <c r="K371" t="n">
        <v>0</v>
      </c>
      <c r="L371" t="n">
        <v>0</v>
      </c>
      <c r="M371" t="n">
        <v>0</v>
      </c>
      <c r="N371" t="n">
        <v>0</v>
      </c>
      <c r="O371" t="n">
        <v>0</v>
      </c>
      <c r="P371" t="n">
        <v>0</v>
      </c>
      <c r="Q371" t="n">
        <v>0</v>
      </c>
      <c r="R371" s="2" t="inlineStr"/>
    </row>
    <row r="372" ht="15" customHeight="1">
      <c r="A372" t="inlineStr">
        <is>
          <t>A 8719-2019</t>
        </is>
      </c>
      <c r="B372" s="1" t="n">
        <v>43503</v>
      </c>
      <c r="C372" s="1" t="n">
        <v>45345</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8721-2019</t>
        </is>
      </c>
      <c r="B373" s="1" t="n">
        <v>43503</v>
      </c>
      <c r="C373" s="1" t="n">
        <v>45345</v>
      </c>
      <c r="D373" t="inlineStr">
        <is>
          <t>STOCKHOLMS LÄN</t>
        </is>
      </c>
      <c r="E373" t="inlineStr">
        <is>
          <t>NORRTÄLJE</t>
        </is>
      </c>
      <c r="G373" t="n">
        <v>5.2</v>
      </c>
      <c r="H373" t="n">
        <v>0</v>
      </c>
      <c r="I373" t="n">
        <v>0</v>
      </c>
      <c r="J373" t="n">
        <v>0</v>
      </c>
      <c r="K373" t="n">
        <v>0</v>
      </c>
      <c r="L373" t="n">
        <v>0</v>
      </c>
      <c r="M373" t="n">
        <v>0</v>
      </c>
      <c r="N373" t="n">
        <v>0</v>
      </c>
      <c r="O373" t="n">
        <v>0</v>
      </c>
      <c r="P373" t="n">
        <v>0</v>
      </c>
      <c r="Q373" t="n">
        <v>0</v>
      </c>
      <c r="R373" s="2" t="inlineStr"/>
    </row>
    <row r="374" ht="15" customHeight="1">
      <c r="A374" t="inlineStr">
        <is>
          <t>A 8818-2019</t>
        </is>
      </c>
      <c r="B374" s="1" t="n">
        <v>43503</v>
      </c>
      <c r="C374" s="1" t="n">
        <v>45345</v>
      </c>
      <c r="D374" t="inlineStr">
        <is>
          <t>STOCKHOLMS LÄN</t>
        </is>
      </c>
      <c r="E374" t="inlineStr">
        <is>
          <t>NORRTÄLJE</t>
        </is>
      </c>
      <c r="F374" t="inlineStr">
        <is>
          <t>Övriga statliga verk och myndigheter</t>
        </is>
      </c>
      <c r="G374" t="n">
        <v>2.7</v>
      </c>
      <c r="H374" t="n">
        <v>0</v>
      </c>
      <c r="I374" t="n">
        <v>0</v>
      </c>
      <c r="J374" t="n">
        <v>0</v>
      </c>
      <c r="K374" t="n">
        <v>0</v>
      </c>
      <c r="L374" t="n">
        <v>0</v>
      </c>
      <c r="M374" t="n">
        <v>0</v>
      </c>
      <c r="N374" t="n">
        <v>0</v>
      </c>
      <c r="O374" t="n">
        <v>0</v>
      </c>
      <c r="P374" t="n">
        <v>0</v>
      </c>
      <c r="Q374" t="n">
        <v>0</v>
      </c>
      <c r="R374" s="2" t="inlineStr"/>
    </row>
    <row r="375" ht="15" customHeight="1">
      <c r="A375" t="inlineStr">
        <is>
          <t>A 8692-2019</t>
        </is>
      </c>
      <c r="B375" s="1" t="n">
        <v>43503</v>
      </c>
      <c r="C375" s="1" t="n">
        <v>45345</v>
      </c>
      <c r="D375" t="inlineStr">
        <is>
          <t>STOCKHOLMS LÄN</t>
        </is>
      </c>
      <c r="E375" t="inlineStr">
        <is>
          <t>NORRTÄLJE</t>
        </is>
      </c>
      <c r="G375" t="n">
        <v>6.8</v>
      </c>
      <c r="H375" t="n">
        <v>0</v>
      </c>
      <c r="I375" t="n">
        <v>0</v>
      </c>
      <c r="J375" t="n">
        <v>0</v>
      </c>
      <c r="K375" t="n">
        <v>0</v>
      </c>
      <c r="L375" t="n">
        <v>0</v>
      </c>
      <c r="M375" t="n">
        <v>0</v>
      </c>
      <c r="N375" t="n">
        <v>0</v>
      </c>
      <c r="O375" t="n">
        <v>0</v>
      </c>
      <c r="P375" t="n">
        <v>0</v>
      </c>
      <c r="Q375" t="n">
        <v>0</v>
      </c>
      <c r="R375" s="2" t="inlineStr"/>
    </row>
    <row r="376" ht="15" customHeight="1">
      <c r="A376" t="inlineStr">
        <is>
          <t>A 9090-2019</t>
        </is>
      </c>
      <c r="B376" s="1" t="n">
        <v>43504</v>
      </c>
      <c r="C376" s="1" t="n">
        <v>45345</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9154-2019</t>
        </is>
      </c>
      <c r="B377" s="1" t="n">
        <v>43504</v>
      </c>
      <c r="C377" s="1" t="n">
        <v>45345</v>
      </c>
      <c r="D377" t="inlineStr">
        <is>
          <t>STOCKHOLMS LÄN</t>
        </is>
      </c>
      <c r="E377" t="inlineStr">
        <is>
          <t>NORRTÄLJE</t>
        </is>
      </c>
      <c r="G377" t="n">
        <v>2.9</v>
      </c>
      <c r="H377" t="n">
        <v>0</v>
      </c>
      <c r="I377" t="n">
        <v>0</v>
      </c>
      <c r="J377" t="n">
        <v>0</v>
      </c>
      <c r="K377" t="n">
        <v>0</v>
      </c>
      <c r="L377" t="n">
        <v>0</v>
      </c>
      <c r="M377" t="n">
        <v>0</v>
      </c>
      <c r="N377" t="n">
        <v>0</v>
      </c>
      <c r="O377" t="n">
        <v>0</v>
      </c>
      <c r="P377" t="n">
        <v>0</v>
      </c>
      <c r="Q377" t="n">
        <v>0</v>
      </c>
      <c r="R377" s="2" t="inlineStr"/>
    </row>
    <row r="378" ht="15" customHeight="1">
      <c r="A378" t="inlineStr">
        <is>
          <t>A 9216-2019</t>
        </is>
      </c>
      <c r="B378" s="1" t="n">
        <v>43506</v>
      </c>
      <c r="C378" s="1" t="n">
        <v>45345</v>
      </c>
      <c r="D378" t="inlineStr">
        <is>
          <t>STOCKHOLMS LÄN</t>
        </is>
      </c>
      <c r="E378" t="inlineStr">
        <is>
          <t>NORRTÄLJE</t>
        </is>
      </c>
      <c r="G378" t="n">
        <v>3.8</v>
      </c>
      <c r="H378" t="n">
        <v>0</v>
      </c>
      <c r="I378" t="n">
        <v>0</v>
      </c>
      <c r="J378" t="n">
        <v>0</v>
      </c>
      <c r="K378" t="n">
        <v>0</v>
      </c>
      <c r="L378" t="n">
        <v>0</v>
      </c>
      <c r="M378" t="n">
        <v>0</v>
      </c>
      <c r="N378" t="n">
        <v>0</v>
      </c>
      <c r="O378" t="n">
        <v>0</v>
      </c>
      <c r="P378" t="n">
        <v>0</v>
      </c>
      <c r="Q378" t="n">
        <v>0</v>
      </c>
      <c r="R378" s="2" t="inlineStr"/>
    </row>
    <row r="379" ht="15" customHeight="1">
      <c r="A379" t="inlineStr">
        <is>
          <t>A 9452-2019</t>
        </is>
      </c>
      <c r="B379" s="1" t="n">
        <v>43507</v>
      </c>
      <c r="C379" s="1" t="n">
        <v>45345</v>
      </c>
      <c r="D379" t="inlineStr">
        <is>
          <t>STOCKHOLMS LÄN</t>
        </is>
      </c>
      <c r="E379" t="inlineStr">
        <is>
          <t>NORRTÄLJE</t>
        </is>
      </c>
      <c r="G379" t="n">
        <v>4.2</v>
      </c>
      <c r="H379" t="n">
        <v>0</v>
      </c>
      <c r="I379" t="n">
        <v>0</v>
      </c>
      <c r="J379" t="n">
        <v>0</v>
      </c>
      <c r="K379" t="n">
        <v>0</v>
      </c>
      <c r="L379" t="n">
        <v>0</v>
      </c>
      <c r="M379" t="n">
        <v>0</v>
      </c>
      <c r="N379" t="n">
        <v>0</v>
      </c>
      <c r="O379" t="n">
        <v>0</v>
      </c>
      <c r="P379" t="n">
        <v>0</v>
      </c>
      <c r="Q379" t="n">
        <v>0</v>
      </c>
      <c r="R379" s="2" t="inlineStr"/>
    </row>
    <row r="380" ht="15" customHeight="1">
      <c r="A380" t="inlineStr">
        <is>
          <t>A 9507-2019</t>
        </is>
      </c>
      <c r="B380" s="1" t="n">
        <v>43507</v>
      </c>
      <c r="C380" s="1" t="n">
        <v>45345</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9500-2019</t>
        </is>
      </c>
      <c r="B381" s="1" t="n">
        <v>43507</v>
      </c>
      <c r="C381" s="1" t="n">
        <v>45345</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9505-2019</t>
        </is>
      </c>
      <c r="B382" s="1" t="n">
        <v>43507</v>
      </c>
      <c r="C382" s="1" t="n">
        <v>45345</v>
      </c>
      <c r="D382" t="inlineStr">
        <is>
          <t>STOCKHOLMS LÄN</t>
        </is>
      </c>
      <c r="E382" t="inlineStr">
        <is>
          <t>NORRTÄLJE</t>
        </is>
      </c>
      <c r="G382" t="n">
        <v>2.9</v>
      </c>
      <c r="H382" t="n">
        <v>0</v>
      </c>
      <c r="I382" t="n">
        <v>0</v>
      </c>
      <c r="J382" t="n">
        <v>0</v>
      </c>
      <c r="K382" t="n">
        <v>0</v>
      </c>
      <c r="L382" t="n">
        <v>0</v>
      </c>
      <c r="M382" t="n">
        <v>0</v>
      </c>
      <c r="N382" t="n">
        <v>0</v>
      </c>
      <c r="O382" t="n">
        <v>0</v>
      </c>
      <c r="P382" t="n">
        <v>0</v>
      </c>
      <c r="Q382" t="n">
        <v>0</v>
      </c>
      <c r="R382" s="2" t="inlineStr"/>
    </row>
    <row r="383" ht="15" customHeight="1">
      <c r="A383" t="inlineStr">
        <is>
          <t>A 9462-2019</t>
        </is>
      </c>
      <c r="B383" s="1" t="n">
        <v>43507</v>
      </c>
      <c r="C383" s="1" t="n">
        <v>45345</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9504-2019</t>
        </is>
      </c>
      <c r="B384" s="1" t="n">
        <v>43507</v>
      </c>
      <c r="C384" s="1" t="n">
        <v>45345</v>
      </c>
      <c r="D384" t="inlineStr">
        <is>
          <t>STOCKHOLMS LÄN</t>
        </is>
      </c>
      <c r="E384" t="inlineStr">
        <is>
          <t>NORRTÄLJE</t>
        </is>
      </c>
      <c r="G384" t="n">
        <v>2.9</v>
      </c>
      <c r="H384" t="n">
        <v>0</v>
      </c>
      <c r="I384" t="n">
        <v>0</v>
      </c>
      <c r="J384" t="n">
        <v>0</v>
      </c>
      <c r="K384" t="n">
        <v>0</v>
      </c>
      <c r="L384" t="n">
        <v>0</v>
      </c>
      <c r="M384" t="n">
        <v>0</v>
      </c>
      <c r="N384" t="n">
        <v>0</v>
      </c>
      <c r="O384" t="n">
        <v>0</v>
      </c>
      <c r="P384" t="n">
        <v>0</v>
      </c>
      <c r="Q384" t="n">
        <v>0</v>
      </c>
      <c r="R384" s="2" t="inlineStr"/>
    </row>
    <row r="385" ht="15" customHeight="1">
      <c r="A385" t="inlineStr">
        <is>
          <t>A 9447-2019</t>
        </is>
      </c>
      <c r="B385" s="1" t="n">
        <v>43507</v>
      </c>
      <c r="C385" s="1" t="n">
        <v>45345</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9506-2019</t>
        </is>
      </c>
      <c r="B386" s="1" t="n">
        <v>43507</v>
      </c>
      <c r="C386" s="1" t="n">
        <v>45345</v>
      </c>
      <c r="D386" t="inlineStr">
        <is>
          <t>STOCKHOLMS LÄN</t>
        </is>
      </c>
      <c r="E386" t="inlineStr">
        <is>
          <t>NORRTÄLJE</t>
        </is>
      </c>
      <c r="G386" t="n">
        <v>3.7</v>
      </c>
      <c r="H386" t="n">
        <v>0</v>
      </c>
      <c r="I386" t="n">
        <v>0</v>
      </c>
      <c r="J386" t="n">
        <v>0</v>
      </c>
      <c r="K386" t="n">
        <v>0</v>
      </c>
      <c r="L386" t="n">
        <v>0</v>
      </c>
      <c r="M386" t="n">
        <v>0</v>
      </c>
      <c r="N386" t="n">
        <v>0</v>
      </c>
      <c r="O386" t="n">
        <v>0</v>
      </c>
      <c r="P386" t="n">
        <v>0</v>
      </c>
      <c r="Q386" t="n">
        <v>0</v>
      </c>
      <c r="R386" s="2" t="inlineStr"/>
    </row>
    <row r="387" ht="15" customHeight="1">
      <c r="A387" t="inlineStr">
        <is>
          <t>A 9432-2019</t>
        </is>
      </c>
      <c r="B387" s="1" t="n">
        <v>43507</v>
      </c>
      <c r="C387" s="1" t="n">
        <v>45345</v>
      </c>
      <c r="D387" t="inlineStr">
        <is>
          <t>STOCKHOLMS LÄN</t>
        </is>
      </c>
      <c r="E387" t="inlineStr">
        <is>
          <t>NORRTÄLJE</t>
        </is>
      </c>
      <c r="G387" t="n">
        <v>4.3</v>
      </c>
      <c r="H387" t="n">
        <v>0</v>
      </c>
      <c r="I387" t="n">
        <v>0</v>
      </c>
      <c r="J387" t="n">
        <v>0</v>
      </c>
      <c r="K387" t="n">
        <v>0</v>
      </c>
      <c r="L387" t="n">
        <v>0</v>
      </c>
      <c r="M387" t="n">
        <v>0</v>
      </c>
      <c r="N387" t="n">
        <v>0</v>
      </c>
      <c r="O387" t="n">
        <v>0</v>
      </c>
      <c r="P387" t="n">
        <v>0</v>
      </c>
      <c r="Q387" t="n">
        <v>0</v>
      </c>
      <c r="R387" s="2" t="inlineStr"/>
    </row>
    <row r="388" ht="15" customHeight="1">
      <c r="A388" t="inlineStr">
        <is>
          <t>A 9712-2019</t>
        </is>
      </c>
      <c r="B388" s="1" t="n">
        <v>43508</v>
      </c>
      <c r="C388" s="1" t="n">
        <v>45345</v>
      </c>
      <c r="D388" t="inlineStr">
        <is>
          <t>STOCKHOLMS LÄN</t>
        </is>
      </c>
      <c r="E388" t="inlineStr">
        <is>
          <t>NORRTÄLJE</t>
        </is>
      </c>
      <c r="G388" t="n">
        <v>3.7</v>
      </c>
      <c r="H388" t="n">
        <v>0</v>
      </c>
      <c r="I388" t="n">
        <v>0</v>
      </c>
      <c r="J388" t="n">
        <v>0</v>
      </c>
      <c r="K388" t="n">
        <v>0</v>
      </c>
      <c r="L388" t="n">
        <v>0</v>
      </c>
      <c r="M388" t="n">
        <v>0</v>
      </c>
      <c r="N388" t="n">
        <v>0</v>
      </c>
      <c r="O388" t="n">
        <v>0</v>
      </c>
      <c r="P388" t="n">
        <v>0</v>
      </c>
      <c r="Q388" t="n">
        <v>0</v>
      </c>
      <c r="R388" s="2" t="inlineStr"/>
    </row>
    <row r="389" ht="15" customHeight="1">
      <c r="A389" t="inlineStr">
        <is>
          <t>A 9577-2019</t>
        </is>
      </c>
      <c r="B389" s="1" t="n">
        <v>43508</v>
      </c>
      <c r="C389" s="1" t="n">
        <v>45345</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9687-2019</t>
        </is>
      </c>
      <c r="B390" s="1" t="n">
        <v>43508</v>
      </c>
      <c r="C390" s="1" t="n">
        <v>45345</v>
      </c>
      <c r="D390" t="inlineStr">
        <is>
          <t>STOCKHOLMS LÄN</t>
        </is>
      </c>
      <c r="E390" t="inlineStr">
        <is>
          <t>NORRTÄLJE</t>
        </is>
      </c>
      <c r="F390" t="inlineStr">
        <is>
          <t>Övriga statliga verk och myndigheter</t>
        </is>
      </c>
      <c r="G390" t="n">
        <v>10</v>
      </c>
      <c r="H390" t="n">
        <v>0</v>
      </c>
      <c r="I390" t="n">
        <v>0</v>
      </c>
      <c r="J390" t="n">
        <v>0</v>
      </c>
      <c r="K390" t="n">
        <v>0</v>
      </c>
      <c r="L390" t="n">
        <v>0</v>
      </c>
      <c r="M390" t="n">
        <v>0</v>
      </c>
      <c r="N390" t="n">
        <v>0</v>
      </c>
      <c r="O390" t="n">
        <v>0</v>
      </c>
      <c r="P390" t="n">
        <v>0</v>
      </c>
      <c r="Q390" t="n">
        <v>0</v>
      </c>
      <c r="R390" s="2" t="inlineStr"/>
    </row>
    <row r="391" ht="15" customHeight="1">
      <c r="A391" t="inlineStr">
        <is>
          <t>A 9693-2019</t>
        </is>
      </c>
      <c r="B391" s="1" t="n">
        <v>43508</v>
      </c>
      <c r="C391" s="1" t="n">
        <v>45345</v>
      </c>
      <c r="D391" t="inlineStr">
        <is>
          <t>STOCKHOLMS LÄN</t>
        </is>
      </c>
      <c r="E391" t="inlineStr">
        <is>
          <t>NORRTÄLJE</t>
        </is>
      </c>
      <c r="F391" t="inlineStr">
        <is>
          <t>Övriga statliga verk och myndigheter</t>
        </is>
      </c>
      <c r="G391" t="n">
        <v>3</v>
      </c>
      <c r="H391" t="n">
        <v>0</v>
      </c>
      <c r="I391" t="n">
        <v>0</v>
      </c>
      <c r="J391" t="n">
        <v>0</v>
      </c>
      <c r="K391" t="n">
        <v>0</v>
      </c>
      <c r="L391" t="n">
        <v>0</v>
      </c>
      <c r="M391" t="n">
        <v>0</v>
      </c>
      <c r="N391" t="n">
        <v>0</v>
      </c>
      <c r="O391" t="n">
        <v>0</v>
      </c>
      <c r="P391" t="n">
        <v>0</v>
      </c>
      <c r="Q391" t="n">
        <v>0</v>
      </c>
      <c r="R391" s="2" t="inlineStr"/>
    </row>
    <row r="392" ht="15" customHeight="1">
      <c r="A392" t="inlineStr">
        <is>
          <t>A 9927-2019</t>
        </is>
      </c>
      <c r="B392" s="1" t="n">
        <v>43509</v>
      </c>
      <c r="C392" s="1" t="n">
        <v>45345</v>
      </c>
      <c r="D392" t="inlineStr">
        <is>
          <t>STOCKHOLMS LÄN</t>
        </is>
      </c>
      <c r="E392" t="inlineStr">
        <is>
          <t>NORRTÄLJE</t>
        </is>
      </c>
      <c r="G392" t="n">
        <v>3.7</v>
      </c>
      <c r="H392" t="n">
        <v>0</v>
      </c>
      <c r="I392" t="n">
        <v>0</v>
      </c>
      <c r="J392" t="n">
        <v>0</v>
      </c>
      <c r="K392" t="n">
        <v>0</v>
      </c>
      <c r="L392" t="n">
        <v>0</v>
      </c>
      <c r="M392" t="n">
        <v>0</v>
      </c>
      <c r="N392" t="n">
        <v>0</v>
      </c>
      <c r="O392" t="n">
        <v>0</v>
      </c>
      <c r="P392" t="n">
        <v>0</v>
      </c>
      <c r="Q392" t="n">
        <v>0</v>
      </c>
      <c r="R392" s="2" t="inlineStr"/>
    </row>
    <row r="393" ht="15" customHeight="1">
      <c r="A393" t="inlineStr">
        <is>
          <t>A 10062-2019</t>
        </is>
      </c>
      <c r="B393" s="1" t="n">
        <v>43510</v>
      </c>
      <c r="C393" s="1" t="n">
        <v>45345</v>
      </c>
      <c r="D393" t="inlineStr">
        <is>
          <t>STOCKHOLMS LÄN</t>
        </is>
      </c>
      <c r="E393" t="inlineStr">
        <is>
          <t>NORRTÄLJE</t>
        </is>
      </c>
      <c r="G393" t="n">
        <v>1.7</v>
      </c>
      <c r="H393" t="n">
        <v>0</v>
      </c>
      <c r="I393" t="n">
        <v>0</v>
      </c>
      <c r="J393" t="n">
        <v>0</v>
      </c>
      <c r="K393" t="n">
        <v>0</v>
      </c>
      <c r="L393" t="n">
        <v>0</v>
      </c>
      <c r="M393" t="n">
        <v>0</v>
      </c>
      <c r="N393" t="n">
        <v>0</v>
      </c>
      <c r="O393" t="n">
        <v>0</v>
      </c>
      <c r="P393" t="n">
        <v>0</v>
      </c>
      <c r="Q393" t="n">
        <v>0</v>
      </c>
      <c r="R393" s="2" t="inlineStr"/>
    </row>
    <row r="394" ht="15" customHeight="1">
      <c r="A394" t="inlineStr">
        <is>
          <t>A 10207-2019</t>
        </is>
      </c>
      <c r="B394" s="1" t="n">
        <v>43510</v>
      </c>
      <c r="C394" s="1" t="n">
        <v>45345</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10150-2019</t>
        </is>
      </c>
      <c r="B395" s="1" t="n">
        <v>43510</v>
      </c>
      <c r="C395" s="1" t="n">
        <v>45345</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10225-2019</t>
        </is>
      </c>
      <c r="B396" s="1" t="n">
        <v>43510</v>
      </c>
      <c r="C396" s="1" t="n">
        <v>45345</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10100-2019</t>
        </is>
      </c>
      <c r="B397" s="1" t="n">
        <v>43510</v>
      </c>
      <c r="C397" s="1" t="n">
        <v>45345</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10055-2019</t>
        </is>
      </c>
      <c r="B398" s="1" t="n">
        <v>43510</v>
      </c>
      <c r="C398" s="1" t="n">
        <v>45345</v>
      </c>
      <c r="D398" t="inlineStr">
        <is>
          <t>STOCKHOLMS LÄN</t>
        </is>
      </c>
      <c r="E398" t="inlineStr">
        <is>
          <t>NORRTÄLJE</t>
        </is>
      </c>
      <c r="G398" t="n">
        <v>3.2</v>
      </c>
      <c r="H398" t="n">
        <v>0</v>
      </c>
      <c r="I398" t="n">
        <v>0</v>
      </c>
      <c r="J398" t="n">
        <v>0</v>
      </c>
      <c r="K398" t="n">
        <v>0</v>
      </c>
      <c r="L398" t="n">
        <v>0</v>
      </c>
      <c r="M398" t="n">
        <v>0</v>
      </c>
      <c r="N398" t="n">
        <v>0</v>
      </c>
      <c r="O398" t="n">
        <v>0</v>
      </c>
      <c r="P398" t="n">
        <v>0</v>
      </c>
      <c r="Q398" t="n">
        <v>0</v>
      </c>
      <c r="R398" s="2" t="inlineStr"/>
    </row>
    <row r="399" ht="15" customHeight="1">
      <c r="A399" t="inlineStr">
        <is>
          <t>A 10049-2019</t>
        </is>
      </c>
      <c r="B399" s="1" t="n">
        <v>43510</v>
      </c>
      <c r="C399" s="1" t="n">
        <v>45345</v>
      </c>
      <c r="D399" t="inlineStr">
        <is>
          <t>STOCKHOLMS LÄN</t>
        </is>
      </c>
      <c r="E399" t="inlineStr">
        <is>
          <t>NORRTÄLJE</t>
        </is>
      </c>
      <c r="G399" t="n">
        <v>3.8</v>
      </c>
      <c r="H399" t="n">
        <v>0</v>
      </c>
      <c r="I399" t="n">
        <v>0</v>
      </c>
      <c r="J399" t="n">
        <v>0</v>
      </c>
      <c r="K399" t="n">
        <v>0</v>
      </c>
      <c r="L399" t="n">
        <v>0</v>
      </c>
      <c r="M399" t="n">
        <v>0</v>
      </c>
      <c r="N399" t="n">
        <v>0</v>
      </c>
      <c r="O399" t="n">
        <v>0</v>
      </c>
      <c r="P399" t="n">
        <v>0</v>
      </c>
      <c r="Q399" t="n">
        <v>0</v>
      </c>
      <c r="R399" s="2" t="inlineStr"/>
    </row>
    <row r="400" ht="15" customHeight="1">
      <c r="A400" t="inlineStr">
        <is>
          <t>A 10168-2019</t>
        </is>
      </c>
      <c r="B400" s="1" t="n">
        <v>43510</v>
      </c>
      <c r="C400" s="1" t="n">
        <v>45345</v>
      </c>
      <c r="D400" t="inlineStr">
        <is>
          <t>STOCKHOLMS LÄN</t>
        </is>
      </c>
      <c r="E400" t="inlineStr">
        <is>
          <t>NORRTÄLJE</t>
        </is>
      </c>
      <c r="G400" t="n">
        <v>3.4</v>
      </c>
      <c r="H400" t="n">
        <v>0</v>
      </c>
      <c r="I400" t="n">
        <v>0</v>
      </c>
      <c r="J400" t="n">
        <v>0</v>
      </c>
      <c r="K400" t="n">
        <v>0</v>
      </c>
      <c r="L400" t="n">
        <v>0</v>
      </c>
      <c r="M400" t="n">
        <v>0</v>
      </c>
      <c r="N400" t="n">
        <v>0</v>
      </c>
      <c r="O400" t="n">
        <v>0</v>
      </c>
      <c r="P400" t="n">
        <v>0</v>
      </c>
      <c r="Q400" t="n">
        <v>0</v>
      </c>
      <c r="R400" s="2" t="inlineStr"/>
    </row>
    <row r="401" ht="15" customHeight="1">
      <c r="A401" t="inlineStr">
        <is>
          <t>A 10071-2019</t>
        </is>
      </c>
      <c r="B401" s="1" t="n">
        <v>43510</v>
      </c>
      <c r="C401" s="1" t="n">
        <v>45345</v>
      </c>
      <c r="D401" t="inlineStr">
        <is>
          <t>STOCKHOLMS LÄN</t>
        </is>
      </c>
      <c r="E401" t="inlineStr">
        <is>
          <t>NORRTÄLJE</t>
        </is>
      </c>
      <c r="G401" t="n">
        <v>11.8</v>
      </c>
      <c r="H401" t="n">
        <v>0</v>
      </c>
      <c r="I401" t="n">
        <v>0</v>
      </c>
      <c r="J401" t="n">
        <v>0</v>
      </c>
      <c r="K401" t="n">
        <v>0</v>
      </c>
      <c r="L401" t="n">
        <v>0</v>
      </c>
      <c r="M401" t="n">
        <v>0</v>
      </c>
      <c r="N401" t="n">
        <v>0</v>
      </c>
      <c r="O401" t="n">
        <v>0</v>
      </c>
      <c r="P401" t="n">
        <v>0</v>
      </c>
      <c r="Q401" t="n">
        <v>0</v>
      </c>
      <c r="R401" s="2" t="inlineStr"/>
    </row>
    <row r="402" ht="15" customHeight="1">
      <c r="A402" t="inlineStr">
        <is>
          <t>A 10277-2019</t>
        </is>
      </c>
      <c r="B402" s="1" t="n">
        <v>43511</v>
      </c>
      <c r="C402" s="1" t="n">
        <v>45345</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10458-2019</t>
        </is>
      </c>
      <c r="B403" s="1" t="n">
        <v>43511</v>
      </c>
      <c r="C403" s="1" t="n">
        <v>45345</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10314-2019</t>
        </is>
      </c>
      <c r="B404" s="1" t="n">
        <v>43511</v>
      </c>
      <c r="C404" s="1" t="n">
        <v>45345</v>
      </c>
      <c r="D404" t="inlineStr">
        <is>
          <t>STOCKHOLMS LÄN</t>
        </is>
      </c>
      <c r="E404" t="inlineStr">
        <is>
          <t>NORRTÄLJE</t>
        </is>
      </c>
      <c r="G404" t="n">
        <v>6.2</v>
      </c>
      <c r="H404" t="n">
        <v>0</v>
      </c>
      <c r="I404" t="n">
        <v>0</v>
      </c>
      <c r="J404" t="n">
        <v>0</v>
      </c>
      <c r="K404" t="n">
        <v>0</v>
      </c>
      <c r="L404" t="n">
        <v>0</v>
      </c>
      <c r="M404" t="n">
        <v>0</v>
      </c>
      <c r="N404" t="n">
        <v>0</v>
      </c>
      <c r="O404" t="n">
        <v>0</v>
      </c>
      <c r="P404" t="n">
        <v>0</v>
      </c>
      <c r="Q404" t="n">
        <v>0</v>
      </c>
      <c r="R404" s="2" t="inlineStr"/>
    </row>
    <row r="405" ht="15" customHeight="1">
      <c r="A405" t="inlineStr">
        <is>
          <t>A 10540-2019</t>
        </is>
      </c>
      <c r="B405" s="1" t="n">
        <v>43511</v>
      </c>
      <c r="C405" s="1" t="n">
        <v>45345</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10504-2019</t>
        </is>
      </c>
      <c r="B406" s="1" t="n">
        <v>43512</v>
      </c>
      <c r="C406" s="1" t="n">
        <v>45345</v>
      </c>
      <c r="D406" t="inlineStr">
        <is>
          <t>STOCKHOLMS LÄN</t>
        </is>
      </c>
      <c r="E406" t="inlineStr">
        <is>
          <t>NORRTÄLJE</t>
        </is>
      </c>
      <c r="G406" t="n">
        <v>2.8</v>
      </c>
      <c r="H406" t="n">
        <v>0</v>
      </c>
      <c r="I406" t="n">
        <v>0</v>
      </c>
      <c r="J406" t="n">
        <v>0</v>
      </c>
      <c r="K406" t="n">
        <v>0</v>
      </c>
      <c r="L406" t="n">
        <v>0</v>
      </c>
      <c r="M406" t="n">
        <v>0</v>
      </c>
      <c r="N406" t="n">
        <v>0</v>
      </c>
      <c r="O406" t="n">
        <v>0</v>
      </c>
      <c r="P406" t="n">
        <v>0</v>
      </c>
      <c r="Q406" t="n">
        <v>0</v>
      </c>
      <c r="R406" s="2" t="inlineStr"/>
    </row>
    <row r="407" ht="15" customHeight="1">
      <c r="A407" t="inlineStr">
        <is>
          <t>A 10794-2019</t>
        </is>
      </c>
      <c r="B407" s="1" t="n">
        <v>43514</v>
      </c>
      <c r="C407" s="1" t="n">
        <v>45345</v>
      </c>
      <c r="D407" t="inlineStr">
        <is>
          <t>STOCKHOLMS LÄN</t>
        </is>
      </c>
      <c r="E407" t="inlineStr">
        <is>
          <t>NORRTÄLJE</t>
        </is>
      </c>
      <c r="G407" t="n">
        <v>11.3</v>
      </c>
      <c r="H407" t="n">
        <v>0</v>
      </c>
      <c r="I407" t="n">
        <v>0</v>
      </c>
      <c r="J407" t="n">
        <v>0</v>
      </c>
      <c r="K407" t="n">
        <v>0</v>
      </c>
      <c r="L407" t="n">
        <v>0</v>
      </c>
      <c r="M407" t="n">
        <v>0</v>
      </c>
      <c r="N407" t="n">
        <v>0</v>
      </c>
      <c r="O407" t="n">
        <v>0</v>
      </c>
      <c r="P407" t="n">
        <v>0</v>
      </c>
      <c r="Q407" t="n">
        <v>0</v>
      </c>
      <c r="R407" s="2" t="inlineStr"/>
    </row>
    <row r="408" ht="15" customHeight="1">
      <c r="A408" t="inlineStr">
        <is>
          <t>A 10542-2019</t>
        </is>
      </c>
      <c r="B408" s="1" t="n">
        <v>43514</v>
      </c>
      <c r="C408" s="1" t="n">
        <v>45345</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10616-2019</t>
        </is>
      </c>
      <c r="B409" s="1" t="n">
        <v>43514</v>
      </c>
      <c r="C409" s="1" t="n">
        <v>45345</v>
      </c>
      <c r="D409" t="inlineStr">
        <is>
          <t>STOCKHOLMS LÄN</t>
        </is>
      </c>
      <c r="E409" t="inlineStr">
        <is>
          <t>NORRTÄLJE</t>
        </is>
      </c>
      <c r="F409" t="inlineStr">
        <is>
          <t>Kommuner</t>
        </is>
      </c>
      <c r="G409" t="n">
        <v>6.2</v>
      </c>
      <c r="H409" t="n">
        <v>0</v>
      </c>
      <c r="I409" t="n">
        <v>0</v>
      </c>
      <c r="J409" t="n">
        <v>0</v>
      </c>
      <c r="K409" t="n">
        <v>0</v>
      </c>
      <c r="L409" t="n">
        <v>0</v>
      </c>
      <c r="M409" t="n">
        <v>0</v>
      </c>
      <c r="N409" t="n">
        <v>0</v>
      </c>
      <c r="O409" t="n">
        <v>0</v>
      </c>
      <c r="P409" t="n">
        <v>0</v>
      </c>
      <c r="Q409" t="n">
        <v>0</v>
      </c>
      <c r="R409" s="2" t="inlineStr"/>
    </row>
    <row r="410" ht="15" customHeight="1">
      <c r="A410" t="inlineStr">
        <is>
          <t>A 10597-2019</t>
        </is>
      </c>
      <c r="B410" s="1" t="n">
        <v>43514</v>
      </c>
      <c r="C410" s="1" t="n">
        <v>45345</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10790-2019</t>
        </is>
      </c>
      <c r="B411" s="1" t="n">
        <v>43514</v>
      </c>
      <c r="C411" s="1" t="n">
        <v>45345</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10904-2019</t>
        </is>
      </c>
      <c r="B412" s="1" t="n">
        <v>43515</v>
      </c>
      <c r="C412" s="1" t="n">
        <v>45345</v>
      </c>
      <c r="D412" t="inlineStr">
        <is>
          <t>STOCKHOLMS LÄN</t>
        </is>
      </c>
      <c r="E412" t="inlineStr">
        <is>
          <t>NORRTÄLJE</t>
        </is>
      </c>
      <c r="G412" t="n">
        <v>5.3</v>
      </c>
      <c r="H412" t="n">
        <v>0</v>
      </c>
      <c r="I412" t="n">
        <v>0</v>
      </c>
      <c r="J412" t="n">
        <v>0</v>
      </c>
      <c r="K412" t="n">
        <v>0</v>
      </c>
      <c r="L412" t="n">
        <v>0</v>
      </c>
      <c r="M412" t="n">
        <v>0</v>
      </c>
      <c r="N412" t="n">
        <v>0</v>
      </c>
      <c r="O412" t="n">
        <v>0</v>
      </c>
      <c r="P412" t="n">
        <v>0</v>
      </c>
      <c r="Q412" t="n">
        <v>0</v>
      </c>
      <c r="R412" s="2" t="inlineStr"/>
    </row>
    <row r="413" ht="15" customHeight="1">
      <c r="A413" t="inlineStr">
        <is>
          <t>A 10960-2019</t>
        </is>
      </c>
      <c r="B413" s="1" t="n">
        <v>43515</v>
      </c>
      <c r="C413" s="1" t="n">
        <v>45345</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11010-2019</t>
        </is>
      </c>
      <c r="B414" s="1" t="n">
        <v>43515</v>
      </c>
      <c r="C414" s="1" t="n">
        <v>45345</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11076-2019</t>
        </is>
      </c>
      <c r="B415" s="1" t="n">
        <v>43515</v>
      </c>
      <c r="C415" s="1" t="n">
        <v>45345</v>
      </c>
      <c r="D415" t="inlineStr">
        <is>
          <t>STOCKHOLMS LÄN</t>
        </is>
      </c>
      <c r="E415" t="inlineStr">
        <is>
          <t>NORRTÄLJE</t>
        </is>
      </c>
      <c r="G415" t="n">
        <v>1.9</v>
      </c>
      <c r="H415" t="n">
        <v>0</v>
      </c>
      <c r="I415" t="n">
        <v>0</v>
      </c>
      <c r="J415" t="n">
        <v>0</v>
      </c>
      <c r="K415" t="n">
        <v>0</v>
      </c>
      <c r="L415" t="n">
        <v>0</v>
      </c>
      <c r="M415" t="n">
        <v>0</v>
      </c>
      <c r="N415" t="n">
        <v>0</v>
      </c>
      <c r="O415" t="n">
        <v>0</v>
      </c>
      <c r="P415" t="n">
        <v>0</v>
      </c>
      <c r="Q415" t="n">
        <v>0</v>
      </c>
      <c r="R415" s="2" t="inlineStr"/>
    </row>
    <row r="416" ht="15" customHeight="1">
      <c r="A416" t="inlineStr">
        <is>
          <t>A 11031-2019</t>
        </is>
      </c>
      <c r="B416" s="1" t="n">
        <v>43515</v>
      </c>
      <c r="C416" s="1" t="n">
        <v>45345</v>
      </c>
      <c r="D416" t="inlineStr">
        <is>
          <t>STOCKHOLMS LÄN</t>
        </is>
      </c>
      <c r="E416" t="inlineStr">
        <is>
          <t>NORRTÄLJE</t>
        </is>
      </c>
      <c r="F416" t="inlineStr">
        <is>
          <t>Kommuner</t>
        </is>
      </c>
      <c r="G416" t="n">
        <v>0.8</v>
      </c>
      <c r="H416" t="n">
        <v>0</v>
      </c>
      <c r="I416" t="n">
        <v>0</v>
      </c>
      <c r="J416" t="n">
        <v>0</v>
      </c>
      <c r="K416" t="n">
        <v>0</v>
      </c>
      <c r="L416" t="n">
        <v>0</v>
      </c>
      <c r="M416" t="n">
        <v>0</v>
      </c>
      <c r="N416" t="n">
        <v>0</v>
      </c>
      <c r="O416" t="n">
        <v>0</v>
      </c>
      <c r="P416" t="n">
        <v>0</v>
      </c>
      <c r="Q416" t="n">
        <v>0</v>
      </c>
      <c r="R416" s="2" t="inlineStr"/>
    </row>
    <row r="417" ht="15" customHeight="1">
      <c r="A417" t="inlineStr">
        <is>
          <t>A 10987-2019</t>
        </is>
      </c>
      <c r="B417" s="1" t="n">
        <v>43515</v>
      </c>
      <c r="C417" s="1" t="n">
        <v>45345</v>
      </c>
      <c r="D417" t="inlineStr">
        <is>
          <t>STOCKHOLMS LÄN</t>
        </is>
      </c>
      <c r="E417" t="inlineStr">
        <is>
          <t>NORRTÄLJE</t>
        </is>
      </c>
      <c r="G417" t="n">
        <v>33.9</v>
      </c>
      <c r="H417" t="n">
        <v>0</v>
      </c>
      <c r="I417" t="n">
        <v>0</v>
      </c>
      <c r="J417" t="n">
        <v>0</v>
      </c>
      <c r="K417" t="n">
        <v>0</v>
      </c>
      <c r="L417" t="n">
        <v>0</v>
      </c>
      <c r="M417" t="n">
        <v>0</v>
      </c>
      <c r="N417" t="n">
        <v>0</v>
      </c>
      <c r="O417" t="n">
        <v>0</v>
      </c>
      <c r="P417" t="n">
        <v>0</v>
      </c>
      <c r="Q417" t="n">
        <v>0</v>
      </c>
      <c r="R417" s="2" t="inlineStr"/>
    </row>
    <row r="418" ht="15" customHeight="1">
      <c r="A418" t="inlineStr">
        <is>
          <t>A 10934-2019</t>
        </is>
      </c>
      <c r="B418" s="1" t="n">
        <v>43515</v>
      </c>
      <c r="C418" s="1" t="n">
        <v>45345</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11286-2019</t>
        </is>
      </c>
      <c r="B419" s="1" t="n">
        <v>43516</v>
      </c>
      <c r="C419" s="1" t="n">
        <v>45345</v>
      </c>
      <c r="D419" t="inlineStr">
        <is>
          <t>STOCKHOLMS LÄN</t>
        </is>
      </c>
      <c r="E419" t="inlineStr">
        <is>
          <t>NORRTÄLJE</t>
        </is>
      </c>
      <c r="G419" t="n">
        <v>1.3</v>
      </c>
      <c r="H419" t="n">
        <v>0</v>
      </c>
      <c r="I419" t="n">
        <v>0</v>
      </c>
      <c r="J419" t="n">
        <v>0</v>
      </c>
      <c r="K419" t="n">
        <v>0</v>
      </c>
      <c r="L419" t="n">
        <v>0</v>
      </c>
      <c r="M419" t="n">
        <v>0</v>
      </c>
      <c r="N419" t="n">
        <v>0</v>
      </c>
      <c r="O419" t="n">
        <v>0</v>
      </c>
      <c r="P419" t="n">
        <v>0</v>
      </c>
      <c r="Q419" t="n">
        <v>0</v>
      </c>
      <c r="R419" s="2" t="inlineStr"/>
    </row>
    <row r="420" ht="15" customHeight="1">
      <c r="A420" t="inlineStr">
        <is>
          <t>A 11260-2019</t>
        </is>
      </c>
      <c r="B420" s="1" t="n">
        <v>43516</v>
      </c>
      <c r="C420" s="1" t="n">
        <v>45345</v>
      </c>
      <c r="D420" t="inlineStr">
        <is>
          <t>STOCKHOLMS LÄN</t>
        </is>
      </c>
      <c r="E420" t="inlineStr">
        <is>
          <t>NORRTÄLJE</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11243-2019</t>
        </is>
      </c>
      <c r="B421" s="1" t="n">
        <v>43516</v>
      </c>
      <c r="C421" s="1" t="n">
        <v>45345</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11242-2019</t>
        </is>
      </c>
      <c r="B422" s="1" t="n">
        <v>43516</v>
      </c>
      <c r="C422" s="1" t="n">
        <v>45345</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11321-2019</t>
        </is>
      </c>
      <c r="B423" s="1" t="n">
        <v>43517</v>
      </c>
      <c r="C423" s="1" t="n">
        <v>45345</v>
      </c>
      <c r="D423" t="inlineStr">
        <is>
          <t>STOCKHOLMS LÄN</t>
        </is>
      </c>
      <c r="E423" t="inlineStr">
        <is>
          <t>NORRTÄLJE</t>
        </is>
      </c>
      <c r="G423" t="n">
        <v>8.6</v>
      </c>
      <c r="H423" t="n">
        <v>0</v>
      </c>
      <c r="I423" t="n">
        <v>0</v>
      </c>
      <c r="J423" t="n">
        <v>0</v>
      </c>
      <c r="K423" t="n">
        <v>0</v>
      </c>
      <c r="L423" t="n">
        <v>0</v>
      </c>
      <c r="M423" t="n">
        <v>0</v>
      </c>
      <c r="N423" t="n">
        <v>0</v>
      </c>
      <c r="O423" t="n">
        <v>0</v>
      </c>
      <c r="P423" t="n">
        <v>0</v>
      </c>
      <c r="Q423" t="n">
        <v>0</v>
      </c>
      <c r="R423" s="2" t="inlineStr"/>
    </row>
    <row r="424" ht="15" customHeight="1">
      <c r="A424" t="inlineStr">
        <is>
          <t>A 11356-2019</t>
        </is>
      </c>
      <c r="B424" s="1" t="n">
        <v>43517</v>
      </c>
      <c r="C424" s="1" t="n">
        <v>45345</v>
      </c>
      <c r="D424" t="inlineStr">
        <is>
          <t>STOCKHOLMS LÄN</t>
        </is>
      </c>
      <c r="E424" t="inlineStr">
        <is>
          <t>NORRTÄLJE</t>
        </is>
      </c>
      <c r="G424" t="n">
        <v>1.8</v>
      </c>
      <c r="H424" t="n">
        <v>0</v>
      </c>
      <c r="I424" t="n">
        <v>0</v>
      </c>
      <c r="J424" t="n">
        <v>0</v>
      </c>
      <c r="K424" t="n">
        <v>0</v>
      </c>
      <c r="L424" t="n">
        <v>0</v>
      </c>
      <c r="M424" t="n">
        <v>0</v>
      </c>
      <c r="N424" t="n">
        <v>0</v>
      </c>
      <c r="O424" t="n">
        <v>0</v>
      </c>
      <c r="P424" t="n">
        <v>0</v>
      </c>
      <c r="Q424" t="n">
        <v>0</v>
      </c>
      <c r="R424" s="2" t="inlineStr"/>
    </row>
    <row r="425" ht="15" customHeight="1">
      <c r="A425" t="inlineStr">
        <is>
          <t>A 11361-2019</t>
        </is>
      </c>
      <c r="B425" s="1" t="n">
        <v>43517</v>
      </c>
      <c r="C425" s="1" t="n">
        <v>45345</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11320-2019</t>
        </is>
      </c>
      <c r="B426" s="1" t="n">
        <v>43517</v>
      </c>
      <c r="C426" s="1" t="n">
        <v>45345</v>
      </c>
      <c r="D426" t="inlineStr">
        <is>
          <t>STOCKHOLMS LÄN</t>
        </is>
      </c>
      <c r="E426" t="inlineStr">
        <is>
          <t>NORRTÄLJE</t>
        </is>
      </c>
      <c r="G426" t="n">
        <v>6.7</v>
      </c>
      <c r="H426" t="n">
        <v>0</v>
      </c>
      <c r="I426" t="n">
        <v>0</v>
      </c>
      <c r="J426" t="n">
        <v>0</v>
      </c>
      <c r="K426" t="n">
        <v>0</v>
      </c>
      <c r="L426" t="n">
        <v>0</v>
      </c>
      <c r="M426" t="n">
        <v>0</v>
      </c>
      <c r="N426" t="n">
        <v>0</v>
      </c>
      <c r="O426" t="n">
        <v>0</v>
      </c>
      <c r="P426" t="n">
        <v>0</v>
      </c>
      <c r="Q426" t="n">
        <v>0</v>
      </c>
      <c r="R426" s="2" t="inlineStr"/>
    </row>
    <row r="427" ht="15" customHeight="1">
      <c r="A427" t="inlineStr">
        <is>
          <t>A 11328-2019</t>
        </is>
      </c>
      <c r="B427" s="1" t="n">
        <v>43517</v>
      </c>
      <c r="C427" s="1" t="n">
        <v>45345</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11465-2019</t>
        </is>
      </c>
      <c r="B428" s="1" t="n">
        <v>43517</v>
      </c>
      <c r="C428" s="1" t="n">
        <v>45345</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11487-2019</t>
        </is>
      </c>
      <c r="B429" s="1" t="n">
        <v>43517</v>
      </c>
      <c r="C429" s="1" t="n">
        <v>45345</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11430-2019</t>
        </is>
      </c>
      <c r="B430" s="1" t="n">
        <v>43517</v>
      </c>
      <c r="C430" s="1" t="n">
        <v>45345</v>
      </c>
      <c r="D430" t="inlineStr">
        <is>
          <t>STOCKHOLMS LÄN</t>
        </is>
      </c>
      <c r="E430" t="inlineStr">
        <is>
          <t>NORRTÄLJE</t>
        </is>
      </c>
      <c r="G430" t="n">
        <v>4.5</v>
      </c>
      <c r="H430" t="n">
        <v>0</v>
      </c>
      <c r="I430" t="n">
        <v>0</v>
      </c>
      <c r="J430" t="n">
        <v>0</v>
      </c>
      <c r="K430" t="n">
        <v>0</v>
      </c>
      <c r="L430" t="n">
        <v>0</v>
      </c>
      <c r="M430" t="n">
        <v>0</v>
      </c>
      <c r="N430" t="n">
        <v>0</v>
      </c>
      <c r="O430" t="n">
        <v>0</v>
      </c>
      <c r="P430" t="n">
        <v>0</v>
      </c>
      <c r="Q430" t="n">
        <v>0</v>
      </c>
      <c r="R430" s="2" t="inlineStr"/>
    </row>
    <row r="431" ht="15" customHeight="1">
      <c r="A431" t="inlineStr">
        <is>
          <t>A 11452-2019</t>
        </is>
      </c>
      <c r="B431" s="1" t="n">
        <v>43517</v>
      </c>
      <c r="C431" s="1" t="n">
        <v>45345</v>
      </c>
      <c r="D431" t="inlineStr">
        <is>
          <t>STOCKHOLMS LÄN</t>
        </is>
      </c>
      <c r="E431" t="inlineStr">
        <is>
          <t>NORRTÄLJE</t>
        </is>
      </c>
      <c r="G431" t="n">
        <v>2.2</v>
      </c>
      <c r="H431" t="n">
        <v>0</v>
      </c>
      <c r="I431" t="n">
        <v>0</v>
      </c>
      <c r="J431" t="n">
        <v>0</v>
      </c>
      <c r="K431" t="n">
        <v>0</v>
      </c>
      <c r="L431" t="n">
        <v>0</v>
      </c>
      <c r="M431" t="n">
        <v>0</v>
      </c>
      <c r="N431" t="n">
        <v>0</v>
      </c>
      <c r="O431" t="n">
        <v>0</v>
      </c>
      <c r="P431" t="n">
        <v>0</v>
      </c>
      <c r="Q431" t="n">
        <v>0</v>
      </c>
      <c r="R431" s="2" t="inlineStr"/>
    </row>
    <row r="432" ht="15" customHeight="1">
      <c r="A432" t="inlineStr">
        <is>
          <t>A 11997-2019</t>
        </is>
      </c>
      <c r="B432" s="1" t="n">
        <v>43521</v>
      </c>
      <c r="C432" s="1" t="n">
        <v>45345</v>
      </c>
      <c r="D432" t="inlineStr">
        <is>
          <t>STOCKHOLMS LÄN</t>
        </is>
      </c>
      <c r="E432" t="inlineStr">
        <is>
          <t>NORRTÄLJE</t>
        </is>
      </c>
      <c r="G432" t="n">
        <v>3.9</v>
      </c>
      <c r="H432" t="n">
        <v>0</v>
      </c>
      <c r="I432" t="n">
        <v>0</v>
      </c>
      <c r="J432" t="n">
        <v>0</v>
      </c>
      <c r="K432" t="n">
        <v>0</v>
      </c>
      <c r="L432" t="n">
        <v>0</v>
      </c>
      <c r="M432" t="n">
        <v>0</v>
      </c>
      <c r="N432" t="n">
        <v>0</v>
      </c>
      <c r="O432" t="n">
        <v>0</v>
      </c>
      <c r="P432" t="n">
        <v>0</v>
      </c>
      <c r="Q432" t="n">
        <v>0</v>
      </c>
      <c r="R432" s="2" t="inlineStr"/>
    </row>
    <row r="433" ht="15" customHeight="1">
      <c r="A433" t="inlineStr">
        <is>
          <t>A 11996-2019</t>
        </is>
      </c>
      <c r="B433" s="1" t="n">
        <v>43521</v>
      </c>
      <c r="C433" s="1" t="n">
        <v>45345</v>
      </c>
      <c r="D433" t="inlineStr">
        <is>
          <t>STOCKHOLMS LÄN</t>
        </is>
      </c>
      <c r="E433" t="inlineStr">
        <is>
          <t>NORRTÄLJE</t>
        </is>
      </c>
      <c r="G433" t="n">
        <v>5.7</v>
      </c>
      <c r="H433" t="n">
        <v>0</v>
      </c>
      <c r="I433" t="n">
        <v>0</v>
      </c>
      <c r="J433" t="n">
        <v>0</v>
      </c>
      <c r="K433" t="n">
        <v>0</v>
      </c>
      <c r="L433" t="n">
        <v>0</v>
      </c>
      <c r="M433" t="n">
        <v>0</v>
      </c>
      <c r="N433" t="n">
        <v>0</v>
      </c>
      <c r="O433" t="n">
        <v>0</v>
      </c>
      <c r="P433" t="n">
        <v>0</v>
      </c>
      <c r="Q433" t="n">
        <v>0</v>
      </c>
      <c r="R433" s="2" t="inlineStr"/>
    </row>
    <row r="434" ht="15" customHeight="1">
      <c r="A434" t="inlineStr">
        <is>
          <t>A 11992-2019</t>
        </is>
      </c>
      <c r="B434" s="1" t="n">
        <v>43521</v>
      </c>
      <c r="C434" s="1" t="n">
        <v>45345</v>
      </c>
      <c r="D434" t="inlineStr">
        <is>
          <t>STOCKHOLMS LÄN</t>
        </is>
      </c>
      <c r="E434" t="inlineStr">
        <is>
          <t>NORRTÄLJE</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11987-2019</t>
        </is>
      </c>
      <c r="B435" s="1" t="n">
        <v>43521</v>
      </c>
      <c r="C435" s="1" t="n">
        <v>45345</v>
      </c>
      <c r="D435" t="inlineStr">
        <is>
          <t>STOCKHOLMS LÄN</t>
        </is>
      </c>
      <c r="E435" t="inlineStr">
        <is>
          <t>NORRTÄLJE</t>
        </is>
      </c>
      <c r="G435" t="n">
        <v>15.6</v>
      </c>
      <c r="H435" t="n">
        <v>0</v>
      </c>
      <c r="I435" t="n">
        <v>0</v>
      </c>
      <c r="J435" t="n">
        <v>0</v>
      </c>
      <c r="K435" t="n">
        <v>0</v>
      </c>
      <c r="L435" t="n">
        <v>0</v>
      </c>
      <c r="M435" t="n">
        <v>0</v>
      </c>
      <c r="N435" t="n">
        <v>0</v>
      </c>
      <c r="O435" t="n">
        <v>0</v>
      </c>
      <c r="P435" t="n">
        <v>0</v>
      </c>
      <c r="Q435" t="n">
        <v>0</v>
      </c>
      <c r="R435" s="2" t="inlineStr"/>
    </row>
    <row r="436" ht="15" customHeight="1">
      <c r="A436" t="inlineStr">
        <is>
          <t>A 11797-2019</t>
        </is>
      </c>
      <c r="B436" s="1" t="n">
        <v>43521</v>
      </c>
      <c r="C436" s="1" t="n">
        <v>45345</v>
      </c>
      <c r="D436" t="inlineStr">
        <is>
          <t>STOCKHOLMS LÄN</t>
        </is>
      </c>
      <c r="E436" t="inlineStr">
        <is>
          <t>NORRTÄLJE</t>
        </is>
      </c>
      <c r="G436" t="n">
        <v>2</v>
      </c>
      <c r="H436" t="n">
        <v>0</v>
      </c>
      <c r="I436" t="n">
        <v>0</v>
      </c>
      <c r="J436" t="n">
        <v>0</v>
      </c>
      <c r="K436" t="n">
        <v>0</v>
      </c>
      <c r="L436" t="n">
        <v>0</v>
      </c>
      <c r="M436" t="n">
        <v>0</v>
      </c>
      <c r="N436" t="n">
        <v>0</v>
      </c>
      <c r="O436" t="n">
        <v>0</v>
      </c>
      <c r="P436" t="n">
        <v>0</v>
      </c>
      <c r="Q436" t="n">
        <v>0</v>
      </c>
      <c r="R436" s="2" t="inlineStr"/>
    </row>
    <row r="437" ht="15" customHeight="1">
      <c r="A437" t="inlineStr">
        <is>
          <t>A 12061-2019</t>
        </is>
      </c>
      <c r="B437" s="1" t="n">
        <v>43522</v>
      </c>
      <c r="C437" s="1" t="n">
        <v>45345</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12351-2019</t>
        </is>
      </c>
      <c r="B438" s="1" t="n">
        <v>43523</v>
      </c>
      <c r="C438" s="1" t="n">
        <v>45345</v>
      </c>
      <c r="D438" t="inlineStr">
        <is>
          <t>STOCKHOLMS LÄN</t>
        </is>
      </c>
      <c r="E438" t="inlineStr">
        <is>
          <t>NORRTÄLJE</t>
        </is>
      </c>
      <c r="G438" t="n">
        <v>0.6</v>
      </c>
      <c r="H438" t="n">
        <v>0</v>
      </c>
      <c r="I438" t="n">
        <v>0</v>
      </c>
      <c r="J438" t="n">
        <v>0</v>
      </c>
      <c r="K438" t="n">
        <v>0</v>
      </c>
      <c r="L438" t="n">
        <v>0</v>
      </c>
      <c r="M438" t="n">
        <v>0</v>
      </c>
      <c r="N438" t="n">
        <v>0</v>
      </c>
      <c r="O438" t="n">
        <v>0</v>
      </c>
      <c r="P438" t="n">
        <v>0</v>
      </c>
      <c r="Q438" t="n">
        <v>0</v>
      </c>
      <c r="R438" s="2" t="inlineStr"/>
    </row>
    <row r="439" ht="15" customHeight="1">
      <c r="A439" t="inlineStr">
        <is>
          <t>A 12418-2019</t>
        </is>
      </c>
      <c r="B439" s="1" t="n">
        <v>43523</v>
      </c>
      <c r="C439" s="1" t="n">
        <v>45345</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12668-2019</t>
        </is>
      </c>
      <c r="B440" s="1" t="n">
        <v>43524</v>
      </c>
      <c r="C440" s="1" t="n">
        <v>45345</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12564-2019</t>
        </is>
      </c>
      <c r="B441" s="1" t="n">
        <v>43524</v>
      </c>
      <c r="C441" s="1" t="n">
        <v>45345</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12577-2019</t>
        </is>
      </c>
      <c r="B442" s="1" t="n">
        <v>43524</v>
      </c>
      <c r="C442" s="1" t="n">
        <v>45345</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12580-2019</t>
        </is>
      </c>
      <c r="B443" s="1" t="n">
        <v>43524</v>
      </c>
      <c r="C443" s="1" t="n">
        <v>45345</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12569-2019</t>
        </is>
      </c>
      <c r="B444" s="1" t="n">
        <v>43524</v>
      </c>
      <c r="C444" s="1" t="n">
        <v>45345</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12804-2019</t>
        </is>
      </c>
      <c r="B445" s="1" t="n">
        <v>43525</v>
      </c>
      <c r="C445" s="1" t="n">
        <v>45345</v>
      </c>
      <c r="D445" t="inlineStr">
        <is>
          <t>STOCKHOLMS LÄN</t>
        </is>
      </c>
      <c r="E445" t="inlineStr">
        <is>
          <t>NORRTÄLJE</t>
        </is>
      </c>
      <c r="G445" t="n">
        <v>3.4</v>
      </c>
      <c r="H445" t="n">
        <v>0</v>
      </c>
      <c r="I445" t="n">
        <v>0</v>
      </c>
      <c r="J445" t="n">
        <v>0</v>
      </c>
      <c r="K445" t="n">
        <v>0</v>
      </c>
      <c r="L445" t="n">
        <v>0</v>
      </c>
      <c r="M445" t="n">
        <v>0</v>
      </c>
      <c r="N445" t="n">
        <v>0</v>
      </c>
      <c r="O445" t="n">
        <v>0</v>
      </c>
      <c r="P445" t="n">
        <v>0</v>
      </c>
      <c r="Q445" t="n">
        <v>0</v>
      </c>
      <c r="R445" s="2" t="inlineStr"/>
    </row>
    <row r="446" ht="15" customHeight="1">
      <c r="A446" t="inlineStr">
        <is>
          <t>A 12817-2019</t>
        </is>
      </c>
      <c r="B446" s="1" t="n">
        <v>43525</v>
      </c>
      <c r="C446" s="1" t="n">
        <v>45345</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12811-2019</t>
        </is>
      </c>
      <c r="B447" s="1" t="n">
        <v>43525</v>
      </c>
      <c r="C447" s="1" t="n">
        <v>45345</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12805-2019</t>
        </is>
      </c>
      <c r="B448" s="1" t="n">
        <v>43525</v>
      </c>
      <c r="C448" s="1" t="n">
        <v>45345</v>
      </c>
      <c r="D448" t="inlineStr">
        <is>
          <t>STOCKHOLMS LÄN</t>
        </is>
      </c>
      <c r="E448" t="inlineStr">
        <is>
          <t>NORRTÄLJE</t>
        </is>
      </c>
      <c r="G448" t="n">
        <v>4.5</v>
      </c>
      <c r="H448" t="n">
        <v>0</v>
      </c>
      <c r="I448" t="n">
        <v>0</v>
      </c>
      <c r="J448" t="n">
        <v>0</v>
      </c>
      <c r="K448" t="n">
        <v>0</v>
      </c>
      <c r="L448" t="n">
        <v>0</v>
      </c>
      <c r="M448" t="n">
        <v>0</v>
      </c>
      <c r="N448" t="n">
        <v>0</v>
      </c>
      <c r="O448" t="n">
        <v>0</v>
      </c>
      <c r="P448" t="n">
        <v>0</v>
      </c>
      <c r="Q448" t="n">
        <v>0</v>
      </c>
      <c r="R448" s="2" t="inlineStr"/>
    </row>
    <row r="449" ht="15" customHeight="1">
      <c r="A449" t="inlineStr">
        <is>
          <t>A 12839-2019</t>
        </is>
      </c>
      <c r="B449" s="1" t="n">
        <v>43525</v>
      </c>
      <c r="C449" s="1" t="n">
        <v>45345</v>
      </c>
      <c r="D449" t="inlineStr">
        <is>
          <t>STOCKHOLMS LÄN</t>
        </is>
      </c>
      <c r="E449" t="inlineStr">
        <is>
          <t>NORRTÄLJE</t>
        </is>
      </c>
      <c r="G449" t="n">
        <v>3.1</v>
      </c>
      <c r="H449" t="n">
        <v>0</v>
      </c>
      <c r="I449" t="n">
        <v>0</v>
      </c>
      <c r="J449" t="n">
        <v>0</v>
      </c>
      <c r="K449" t="n">
        <v>0</v>
      </c>
      <c r="L449" t="n">
        <v>0</v>
      </c>
      <c r="M449" t="n">
        <v>0</v>
      </c>
      <c r="N449" t="n">
        <v>0</v>
      </c>
      <c r="O449" t="n">
        <v>0</v>
      </c>
      <c r="P449" t="n">
        <v>0</v>
      </c>
      <c r="Q449" t="n">
        <v>0</v>
      </c>
      <c r="R449" s="2" t="inlineStr"/>
    </row>
    <row r="450" ht="15" customHeight="1">
      <c r="A450" t="inlineStr">
        <is>
          <t>A 12919-2019</t>
        </is>
      </c>
      <c r="B450" s="1" t="n">
        <v>43525</v>
      </c>
      <c r="C450" s="1" t="n">
        <v>45345</v>
      </c>
      <c r="D450" t="inlineStr">
        <is>
          <t>STOCKHOLMS LÄN</t>
        </is>
      </c>
      <c r="E450" t="inlineStr">
        <is>
          <t>NORRTÄLJE</t>
        </is>
      </c>
      <c r="G450" t="n">
        <v>2.9</v>
      </c>
      <c r="H450" t="n">
        <v>0</v>
      </c>
      <c r="I450" t="n">
        <v>0</v>
      </c>
      <c r="J450" t="n">
        <v>0</v>
      </c>
      <c r="K450" t="n">
        <v>0</v>
      </c>
      <c r="L450" t="n">
        <v>0</v>
      </c>
      <c r="M450" t="n">
        <v>0</v>
      </c>
      <c r="N450" t="n">
        <v>0</v>
      </c>
      <c r="O450" t="n">
        <v>0</v>
      </c>
      <c r="P450" t="n">
        <v>0</v>
      </c>
      <c r="Q450" t="n">
        <v>0</v>
      </c>
      <c r="R450" s="2" t="inlineStr"/>
    </row>
    <row r="451" ht="15" customHeight="1">
      <c r="A451" t="inlineStr">
        <is>
          <t>A 12790-2019</t>
        </is>
      </c>
      <c r="B451" s="1" t="n">
        <v>43525</v>
      </c>
      <c r="C451" s="1" t="n">
        <v>45345</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12765-2019</t>
        </is>
      </c>
      <c r="B452" s="1" t="n">
        <v>43525</v>
      </c>
      <c r="C452" s="1" t="n">
        <v>45345</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17037-2019</t>
        </is>
      </c>
      <c r="B453" s="1" t="n">
        <v>43525</v>
      </c>
      <c r="C453" s="1" t="n">
        <v>45345</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12797-2019</t>
        </is>
      </c>
      <c r="B454" s="1" t="n">
        <v>43525</v>
      </c>
      <c r="C454" s="1" t="n">
        <v>45345</v>
      </c>
      <c r="D454" t="inlineStr">
        <is>
          <t>STOCKHOLMS LÄN</t>
        </is>
      </c>
      <c r="E454" t="inlineStr">
        <is>
          <t>NORRTÄLJE</t>
        </is>
      </c>
      <c r="G454" t="n">
        <v>3.1</v>
      </c>
      <c r="H454" t="n">
        <v>0</v>
      </c>
      <c r="I454" t="n">
        <v>0</v>
      </c>
      <c r="J454" t="n">
        <v>0</v>
      </c>
      <c r="K454" t="n">
        <v>0</v>
      </c>
      <c r="L454" t="n">
        <v>0</v>
      </c>
      <c r="M454" t="n">
        <v>0</v>
      </c>
      <c r="N454" t="n">
        <v>0</v>
      </c>
      <c r="O454" t="n">
        <v>0</v>
      </c>
      <c r="P454" t="n">
        <v>0</v>
      </c>
      <c r="Q454" t="n">
        <v>0</v>
      </c>
      <c r="R454" s="2" t="inlineStr"/>
    </row>
    <row r="455" ht="15" customHeight="1">
      <c r="A455" t="inlineStr">
        <is>
          <t>A 17033-2019</t>
        </is>
      </c>
      <c r="B455" s="1" t="n">
        <v>43525</v>
      </c>
      <c r="C455" s="1" t="n">
        <v>45345</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12964-2019</t>
        </is>
      </c>
      <c r="B456" s="1" t="n">
        <v>43526</v>
      </c>
      <c r="C456" s="1" t="n">
        <v>45345</v>
      </c>
      <c r="D456" t="inlineStr">
        <is>
          <t>STOCKHOLMS LÄN</t>
        </is>
      </c>
      <c r="E456" t="inlineStr">
        <is>
          <t>NORRTÄLJE</t>
        </is>
      </c>
      <c r="G456" t="n">
        <v>3.2</v>
      </c>
      <c r="H456" t="n">
        <v>0</v>
      </c>
      <c r="I456" t="n">
        <v>0</v>
      </c>
      <c r="J456" t="n">
        <v>0</v>
      </c>
      <c r="K456" t="n">
        <v>0</v>
      </c>
      <c r="L456" t="n">
        <v>0</v>
      </c>
      <c r="M456" t="n">
        <v>0</v>
      </c>
      <c r="N456" t="n">
        <v>0</v>
      </c>
      <c r="O456" t="n">
        <v>0</v>
      </c>
      <c r="P456" t="n">
        <v>0</v>
      </c>
      <c r="Q456" t="n">
        <v>0</v>
      </c>
      <c r="R456" s="2" t="inlineStr"/>
    </row>
    <row r="457" ht="15" customHeight="1">
      <c r="A457" t="inlineStr">
        <is>
          <t>A 12979-2019</t>
        </is>
      </c>
      <c r="B457" s="1" t="n">
        <v>43527</v>
      </c>
      <c r="C457" s="1" t="n">
        <v>45345</v>
      </c>
      <c r="D457" t="inlineStr">
        <is>
          <t>STOCKHOLMS LÄN</t>
        </is>
      </c>
      <c r="E457" t="inlineStr">
        <is>
          <t>NORRTÄLJE</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13096-2019</t>
        </is>
      </c>
      <c r="B458" s="1" t="n">
        <v>43528</v>
      </c>
      <c r="C458" s="1" t="n">
        <v>45345</v>
      </c>
      <c r="D458" t="inlineStr">
        <is>
          <t>STOCKHOLMS LÄN</t>
        </is>
      </c>
      <c r="E458" t="inlineStr">
        <is>
          <t>NORRTÄLJE</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13210-2019</t>
        </is>
      </c>
      <c r="B459" s="1" t="n">
        <v>43528</v>
      </c>
      <c r="C459" s="1" t="n">
        <v>45345</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13353-2019</t>
        </is>
      </c>
      <c r="B460" s="1" t="n">
        <v>43529</v>
      </c>
      <c r="C460" s="1" t="n">
        <v>45345</v>
      </c>
      <c r="D460" t="inlineStr">
        <is>
          <t>STOCKHOLMS LÄN</t>
        </is>
      </c>
      <c r="E460" t="inlineStr">
        <is>
          <t>NORRTÄLJE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13356-2019</t>
        </is>
      </c>
      <c r="B461" s="1" t="n">
        <v>43529</v>
      </c>
      <c r="C461" s="1" t="n">
        <v>45345</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13354-2019</t>
        </is>
      </c>
      <c r="B462" s="1" t="n">
        <v>43529</v>
      </c>
      <c r="C462" s="1" t="n">
        <v>45345</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13315-2019</t>
        </is>
      </c>
      <c r="B463" s="1" t="n">
        <v>43529</v>
      </c>
      <c r="C463" s="1" t="n">
        <v>45345</v>
      </c>
      <c r="D463" t="inlineStr">
        <is>
          <t>STOCKHOLMS LÄN</t>
        </is>
      </c>
      <c r="E463" t="inlineStr">
        <is>
          <t>NORRTÄLJE</t>
        </is>
      </c>
      <c r="G463" t="n">
        <v>2.9</v>
      </c>
      <c r="H463" t="n">
        <v>0</v>
      </c>
      <c r="I463" t="n">
        <v>0</v>
      </c>
      <c r="J463" t="n">
        <v>0</v>
      </c>
      <c r="K463" t="n">
        <v>0</v>
      </c>
      <c r="L463" t="n">
        <v>0</v>
      </c>
      <c r="M463" t="n">
        <v>0</v>
      </c>
      <c r="N463" t="n">
        <v>0</v>
      </c>
      <c r="O463" t="n">
        <v>0</v>
      </c>
      <c r="P463" t="n">
        <v>0</v>
      </c>
      <c r="Q463" t="n">
        <v>0</v>
      </c>
      <c r="R463" s="2" t="inlineStr"/>
    </row>
    <row r="464" ht="15" customHeight="1">
      <c r="A464" t="inlineStr">
        <is>
          <t>A 13289-2019</t>
        </is>
      </c>
      <c r="B464" s="1" t="n">
        <v>43529</v>
      </c>
      <c r="C464" s="1" t="n">
        <v>45345</v>
      </c>
      <c r="D464" t="inlineStr">
        <is>
          <t>STOCKHOLMS LÄN</t>
        </is>
      </c>
      <c r="E464" t="inlineStr">
        <is>
          <t>NORRTÄLJE</t>
        </is>
      </c>
      <c r="F464" t="inlineStr">
        <is>
          <t>Holmen skog AB</t>
        </is>
      </c>
      <c r="G464" t="n">
        <v>4.6</v>
      </c>
      <c r="H464" t="n">
        <v>0</v>
      </c>
      <c r="I464" t="n">
        <v>0</v>
      </c>
      <c r="J464" t="n">
        <v>0</v>
      </c>
      <c r="K464" t="n">
        <v>0</v>
      </c>
      <c r="L464" t="n">
        <v>0</v>
      </c>
      <c r="M464" t="n">
        <v>0</v>
      </c>
      <c r="N464" t="n">
        <v>0</v>
      </c>
      <c r="O464" t="n">
        <v>0</v>
      </c>
      <c r="P464" t="n">
        <v>0</v>
      </c>
      <c r="Q464" t="n">
        <v>0</v>
      </c>
      <c r="R464" s="2" t="inlineStr"/>
    </row>
    <row r="465" ht="15" customHeight="1">
      <c r="A465" t="inlineStr">
        <is>
          <t>A 13566-2019</t>
        </is>
      </c>
      <c r="B465" s="1" t="n">
        <v>43530</v>
      </c>
      <c r="C465" s="1" t="n">
        <v>45345</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13676-2019</t>
        </is>
      </c>
      <c r="B466" s="1" t="n">
        <v>43530</v>
      </c>
      <c r="C466" s="1" t="n">
        <v>45345</v>
      </c>
      <c r="D466" t="inlineStr">
        <is>
          <t>STOCKHOLMS LÄN</t>
        </is>
      </c>
      <c r="E466" t="inlineStr">
        <is>
          <t>NORRTÄLJE</t>
        </is>
      </c>
      <c r="G466" t="n">
        <v>6.2</v>
      </c>
      <c r="H466" t="n">
        <v>0</v>
      </c>
      <c r="I466" t="n">
        <v>0</v>
      </c>
      <c r="J466" t="n">
        <v>0</v>
      </c>
      <c r="K466" t="n">
        <v>0</v>
      </c>
      <c r="L466" t="n">
        <v>0</v>
      </c>
      <c r="M466" t="n">
        <v>0</v>
      </c>
      <c r="N466" t="n">
        <v>0</v>
      </c>
      <c r="O466" t="n">
        <v>0</v>
      </c>
      <c r="P466" t="n">
        <v>0</v>
      </c>
      <c r="Q466" t="n">
        <v>0</v>
      </c>
      <c r="R466" s="2" t="inlineStr"/>
    </row>
    <row r="467" ht="15" customHeight="1">
      <c r="A467" t="inlineStr">
        <is>
          <t>A 13851-2019</t>
        </is>
      </c>
      <c r="B467" s="1" t="n">
        <v>43531</v>
      </c>
      <c r="C467" s="1" t="n">
        <v>45345</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13940-2019</t>
        </is>
      </c>
      <c r="B468" s="1" t="n">
        <v>43531</v>
      </c>
      <c r="C468" s="1" t="n">
        <v>45345</v>
      </c>
      <c r="D468" t="inlineStr">
        <is>
          <t>STOCKHOLMS LÄN</t>
        </is>
      </c>
      <c r="E468" t="inlineStr">
        <is>
          <t>NORRTÄLJE</t>
        </is>
      </c>
      <c r="G468" t="n">
        <v>4.2</v>
      </c>
      <c r="H468" t="n">
        <v>0</v>
      </c>
      <c r="I468" t="n">
        <v>0</v>
      </c>
      <c r="J468" t="n">
        <v>0</v>
      </c>
      <c r="K468" t="n">
        <v>0</v>
      </c>
      <c r="L468" t="n">
        <v>0</v>
      </c>
      <c r="M468" t="n">
        <v>0</v>
      </c>
      <c r="N468" t="n">
        <v>0</v>
      </c>
      <c r="O468" t="n">
        <v>0</v>
      </c>
      <c r="P468" t="n">
        <v>0</v>
      </c>
      <c r="Q468" t="n">
        <v>0</v>
      </c>
      <c r="R468" s="2" t="inlineStr"/>
    </row>
    <row r="469" ht="15" customHeight="1">
      <c r="A469" t="inlineStr">
        <is>
          <t>A 13828-2019</t>
        </is>
      </c>
      <c r="B469" s="1" t="n">
        <v>43531</v>
      </c>
      <c r="C469" s="1" t="n">
        <v>45345</v>
      </c>
      <c r="D469" t="inlineStr">
        <is>
          <t>STOCKHOLMS LÄN</t>
        </is>
      </c>
      <c r="E469" t="inlineStr">
        <is>
          <t>NORRTÄLJE</t>
        </is>
      </c>
      <c r="G469" t="n">
        <v>2.9</v>
      </c>
      <c r="H469" t="n">
        <v>0</v>
      </c>
      <c r="I469" t="n">
        <v>0</v>
      </c>
      <c r="J469" t="n">
        <v>0</v>
      </c>
      <c r="K469" t="n">
        <v>0</v>
      </c>
      <c r="L469" t="n">
        <v>0</v>
      </c>
      <c r="M469" t="n">
        <v>0</v>
      </c>
      <c r="N469" t="n">
        <v>0</v>
      </c>
      <c r="O469" t="n">
        <v>0</v>
      </c>
      <c r="P469" t="n">
        <v>0</v>
      </c>
      <c r="Q469" t="n">
        <v>0</v>
      </c>
      <c r="R469" s="2" t="inlineStr"/>
    </row>
    <row r="470" ht="15" customHeight="1">
      <c r="A470" t="inlineStr">
        <is>
          <t>A 14027-2019</t>
        </is>
      </c>
      <c r="B470" s="1" t="n">
        <v>43532</v>
      </c>
      <c r="C470" s="1" t="n">
        <v>45345</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14049-2019</t>
        </is>
      </c>
      <c r="B471" s="1" t="n">
        <v>43532</v>
      </c>
      <c r="C471" s="1" t="n">
        <v>45345</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14147-2019</t>
        </is>
      </c>
      <c r="B472" s="1" t="n">
        <v>43532</v>
      </c>
      <c r="C472" s="1" t="n">
        <v>45345</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14145-2019</t>
        </is>
      </c>
      <c r="B473" s="1" t="n">
        <v>43532</v>
      </c>
      <c r="C473" s="1" t="n">
        <v>45345</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14146-2019</t>
        </is>
      </c>
      <c r="B474" s="1" t="n">
        <v>43532</v>
      </c>
      <c r="C474" s="1" t="n">
        <v>45345</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14020-2019</t>
        </is>
      </c>
      <c r="B475" s="1" t="n">
        <v>43532</v>
      </c>
      <c r="C475" s="1" t="n">
        <v>45345</v>
      </c>
      <c r="D475" t="inlineStr">
        <is>
          <t>STOCKHOLMS LÄN</t>
        </is>
      </c>
      <c r="E475" t="inlineStr">
        <is>
          <t>NORRTÄLJE</t>
        </is>
      </c>
      <c r="G475" t="n">
        <v>4.7</v>
      </c>
      <c r="H475" t="n">
        <v>0</v>
      </c>
      <c r="I475" t="n">
        <v>0</v>
      </c>
      <c r="J475" t="n">
        <v>0</v>
      </c>
      <c r="K475" t="n">
        <v>0</v>
      </c>
      <c r="L475" t="n">
        <v>0</v>
      </c>
      <c r="M475" t="n">
        <v>0</v>
      </c>
      <c r="N475" t="n">
        <v>0</v>
      </c>
      <c r="O475" t="n">
        <v>0</v>
      </c>
      <c r="P475" t="n">
        <v>0</v>
      </c>
      <c r="Q475" t="n">
        <v>0</v>
      </c>
      <c r="R475" s="2" t="inlineStr"/>
    </row>
    <row r="476" ht="15" customHeight="1">
      <c r="A476" t="inlineStr">
        <is>
          <t>A 14161-2019</t>
        </is>
      </c>
      <c r="B476" s="1" t="n">
        <v>43533</v>
      </c>
      <c r="C476" s="1" t="n">
        <v>45345</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14294-2019</t>
        </is>
      </c>
      <c r="B477" s="1" t="n">
        <v>43535</v>
      </c>
      <c r="C477" s="1" t="n">
        <v>45345</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14258-2019</t>
        </is>
      </c>
      <c r="B478" s="1" t="n">
        <v>43535</v>
      </c>
      <c r="C478" s="1" t="n">
        <v>45345</v>
      </c>
      <c r="D478" t="inlineStr">
        <is>
          <t>STOCKHOLMS LÄN</t>
        </is>
      </c>
      <c r="E478" t="inlineStr">
        <is>
          <t>NORRTÄLJE</t>
        </is>
      </c>
      <c r="G478" t="n">
        <v>4.2</v>
      </c>
      <c r="H478" t="n">
        <v>0</v>
      </c>
      <c r="I478" t="n">
        <v>0</v>
      </c>
      <c r="J478" t="n">
        <v>0</v>
      </c>
      <c r="K478" t="n">
        <v>0</v>
      </c>
      <c r="L478" t="n">
        <v>0</v>
      </c>
      <c r="M478" t="n">
        <v>0</v>
      </c>
      <c r="N478" t="n">
        <v>0</v>
      </c>
      <c r="O478" t="n">
        <v>0</v>
      </c>
      <c r="P478" t="n">
        <v>0</v>
      </c>
      <c r="Q478" t="n">
        <v>0</v>
      </c>
      <c r="R478" s="2" t="inlineStr"/>
    </row>
    <row r="479" ht="15" customHeight="1">
      <c r="A479" t="inlineStr">
        <is>
          <t>A 14297-2019</t>
        </is>
      </c>
      <c r="B479" s="1" t="n">
        <v>43535</v>
      </c>
      <c r="C479" s="1" t="n">
        <v>45345</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14330-2019</t>
        </is>
      </c>
      <c r="B480" s="1" t="n">
        <v>43535</v>
      </c>
      <c r="C480" s="1" t="n">
        <v>45345</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14293-2019</t>
        </is>
      </c>
      <c r="B481" s="1" t="n">
        <v>43535</v>
      </c>
      <c r="C481" s="1" t="n">
        <v>45345</v>
      </c>
      <c r="D481" t="inlineStr">
        <is>
          <t>STOCKHOLMS LÄN</t>
        </is>
      </c>
      <c r="E481" t="inlineStr">
        <is>
          <t>NORRTÄLJE</t>
        </is>
      </c>
      <c r="G481" t="n">
        <v>5.3</v>
      </c>
      <c r="H481" t="n">
        <v>0</v>
      </c>
      <c r="I481" t="n">
        <v>0</v>
      </c>
      <c r="J481" t="n">
        <v>0</v>
      </c>
      <c r="K481" t="n">
        <v>0</v>
      </c>
      <c r="L481" t="n">
        <v>0</v>
      </c>
      <c r="M481" t="n">
        <v>0</v>
      </c>
      <c r="N481" t="n">
        <v>0</v>
      </c>
      <c r="O481" t="n">
        <v>0</v>
      </c>
      <c r="P481" t="n">
        <v>0</v>
      </c>
      <c r="Q481" t="n">
        <v>0</v>
      </c>
      <c r="R481" s="2" t="inlineStr"/>
    </row>
    <row r="482" ht="15" customHeight="1">
      <c r="A482" t="inlineStr">
        <is>
          <t>A 14239-2019</t>
        </is>
      </c>
      <c r="B482" s="1" t="n">
        <v>43536</v>
      </c>
      <c r="C482" s="1" t="n">
        <v>45345</v>
      </c>
      <c r="D482" t="inlineStr">
        <is>
          <t>STOCKHOLMS LÄN</t>
        </is>
      </c>
      <c r="E482" t="inlineStr">
        <is>
          <t>NORRTÄLJE</t>
        </is>
      </c>
      <c r="G482" t="n">
        <v>3.4</v>
      </c>
      <c r="H482" t="n">
        <v>0</v>
      </c>
      <c r="I482" t="n">
        <v>0</v>
      </c>
      <c r="J482" t="n">
        <v>0</v>
      </c>
      <c r="K482" t="n">
        <v>0</v>
      </c>
      <c r="L482" t="n">
        <v>0</v>
      </c>
      <c r="M482" t="n">
        <v>0</v>
      </c>
      <c r="N482" t="n">
        <v>0</v>
      </c>
      <c r="O482" t="n">
        <v>0</v>
      </c>
      <c r="P482" t="n">
        <v>0</v>
      </c>
      <c r="Q482" t="n">
        <v>0</v>
      </c>
      <c r="R482" s="2" t="inlineStr"/>
    </row>
    <row r="483" ht="15" customHeight="1">
      <c r="A483" t="inlineStr">
        <is>
          <t>A 14229-2019</t>
        </is>
      </c>
      <c r="B483" s="1" t="n">
        <v>43536</v>
      </c>
      <c r="C483" s="1" t="n">
        <v>45345</v>
      </c>
      <c r="D483" t="inlineStr">
        <is>
          <t>STOCKHOLMS LÄN</t>
        </is>
      </c>
      <c r="E483" t="inlineStr">
        <is>
          <t>NORRTÄLJE</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14946-2019</t>
        </is>
      </c>
      <c r="B484" s="1" t="n">
        <v>43537</v>
      </c>
      <c r="C484" s="1" t="n">
        <v>45345</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14958-2019</t>
        </is>
      </c>
      <c r="B485" s="1" t="n">
        <v>43538</v>
      </c>
      <c r="C485" s="1" t="n">
        <v>45345</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14840-2019</t>
        </is>
      </c>
      <c r="B486" s="1" t="n">
        <v>43538</v>
      </c>
      <c r="C486" s="1" t="n">
        <v>45345</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15085-2019</t>
        </is>
      </c>
      <c r="B487" s="1" t="n">
        <v>43538</v>
      </c>
      <c r="C487" s="1" t="n">
        <v>45345</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14995-2019</t>
        </is>
      </c>
      <c r="B488" s="1" t="n">
        <v>43538</v>
      </c>
      <c r="C488" s="1" t="n">
        <v>45345</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15017-2019</t>
        </is>
      </c>
      <c r="B489" s="1" t="n">
        <v>43538</v>
      </c>
      <c r="C489" s="1" t="n">
        <v>45345</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14849-2019</t>
        </is>
      </c>
      <c r="B490" s="1" t="n">
        <v>43539</v>
      </c>
      <c r="C490" s="1" t="n">
        <v>45345</v>
      </c>
      <c r="D490" t="inlineStr">
        <is>
          <t>STOCKHOLMS LÄN</t>
        </is>
      </c>
      <c r="E490" t="inlineStr">
        <is>
          <t>NORRTÄLJE</t>
        </is>
      </c>
      <c r="F490" t="inlineStr">
        <is>
          <t>Kommuner</t>
        </is>
      </c>
      <c r="G490" t="n">
        <v>0.9</v>
      </c>
      <c r="H490" t="n">
        <v>0</v>
      </c>
      <c r="I490" t="n">
        <v>0</v>
      </c>
      <c r="J490" t="n">
        <v>0</v>
      </c>
      <c r="K490" t="n">
        <v>0</v>
      </c>
      <c r="L490" t="n">
        <v>0</v>
      </c>
      <c r="M490" t="n">
        <v>0</v>
      </c>
      <c r="N490" t="n">
        <v>0</v>
      </c>
      <c r="O490" t="n">
        <v>0</v>
      </c>
      <c r="P490" t="n">
        <v>0</v>
      </c>
      <c r="Q490" t="n">
        <v>0</v>
      </c>
      <c r="R490" s="2" t="inlineStr"/>
    </row>
    <row r="491" ht="15" customHeight="1">
      <c r="A491" t="inlineStr">
        <is>
          <t>A 15237-2019</t>
        </is>
      </c>
      <c r="B491" s="1" t="n">
        <v>43539</v>
      </c>
      <c r="C491" s="1" t="n">
        <v>45345</v>
      </c>
      <c r="D491" t="inlineStr">
        <is>
          <t>STOCKHOLMS LÄN</t>
        </is>
      </c>
      <c r="E491" t="inlineStr">
        <is>
          <t>NORRTÄLJE</t>
        </is>
      </c>
      <c r="G491" t="n">
        <v>3.4</v>
      </c>
      <c r="H491" t="n">
        <v>0</v>
      </c>
      <c r="I491" t="n">
        <v>0</v>
      </c>
      <c r="J491" t="n">
        <v>0</v>
      </c>
      <c r="K491" t="n">
        <v>0</v>
      </c>
      <c r="L491" t="n">
        <v>0</v>
      </c>
      <c r="M491" t="n">
        <v>0</v>
      </c>
      <c r="N491" t="n">
        <v>0</v>
      </c>
      <c r="O491" t="n">
        <v>0</v>
      </c>
      <c r="P491" t="n">
        <v>0</v>
      </c>
      <c r="Q491" t="n">
        <v>0</v>
      </c>
      <c r="R491" s="2" t="inlineStr"/>
    </row>
    <row r="492" ht="15" customHeight="1">
      <c r="A492" t="inlineStr">
        <is>
          <t>A 15453-2019</t>
        </is>
      </c>
      <c r="B492" s="1" t="n">
        <v>43539</v>
      </c>
      <c r="C492" s="1" t="n">
        <v>45345</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15098-2019</t>
        </is>
      </c>
      <c r="B493" s="1" t="n">
        <v>43539</v>
      </c>
      <c r="C493" s="1" t="n">
        <v>45345</v>
      </c>
      <c r="D493" t="inlineStr">
        <is>
          <t>STOCKHOLMS LÄN</t>
        </is>
      </c>
      <c r="E493" t="inlineStr">
        <is>
          <t>NORRTÄLJE</t>
        </is>
      </c>
      <c r="F493" t="inlineStr">
        <is>
          <t>Kommuner</t>
        </is>
      </c>
      <c r="G493" t="n">
        <v>1.6</v>
      </c>
      <c r="H493" t="n">
        <v>0</v>
      </c>
      <c r="I493" t="n">
        <v>0</v>
      </c>
      <c r="J493" t="n">
        <v>0</v>
      </c>
      <c r="K493" t="n">
        <v>0</v>
      </c>
      <c r="L493" t="n">
        <v>0</v>
      </c>
      <c r="M493" t="n">
        <v>0</v>
      </c>
      <c r="N493" t="n">
        <v>0</v>
      </c>
      <c r="O493" t="n">
        <v>0</v>
      </c>
      <c r="P493" t="n">
        <v>0</v>
      </c>
      <c r="Q493" t="n">
        <v>0</v>
      </c>
      <c r="R493" s="2" t="inlineStr"/>
    </row>
    <row r="494" ht="15" customHeight="1">
      <c r="A494" t="inlineStr">
        <is>
          <t>A 14804-2019</t>
        </is>
      </c>
      <c r="B494" s="1" t="n">
        <v>43539</v>
      </c>
      <c r="C494" s="1" t="n">
        <v>45345</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15541-2019</t>
        </is>
      </c>
      <c r="B495" s="1" t="n">
        <v>43542</v>
      </c>
      <c r="C495" s="1" t="n">
        <v>45345</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15500-2019</t>
        </is>
      </c>
      <c r="B496" s="1" t="n">
        <v>43542</v>
      </c>
      <c r="C496" s="1" t="n">
        <v>45345</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15727-2019</t>
        </is>
      </c>
      <c r="B497" s="1" t="n">
        <v>43543</v>
      </c>
      <c r="C497" s="1" t="n">
        <v>45345</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15710-2019</t>
        </is>
      </c>
      <c r="B498" s="1" t="n">
        <v>43543</v>
      </c>
      <c r="C498" s="1" t="n">
        <v>45345</v>
      </c>
      <c r="D498" t="inlineStr">
        <is>
          <t>STOCKHOLMS LÄN</t>
        </is>
      </c>
      <c r="E498" t="inlineStr">
        <is>
          <t>NORRTÄLJE</t>
        </is>
      </c>
      <c r="G498" t="n">
        <v>15.8</v>
      </c>
      <c r="H498" t="n">
        <v>0</v>
      </c>
      <c r="I498" t="n">
        <v>0</v>
      </c>
      <c r="J498" t="n">
        <v>0</v>
      </c>
      <c r="K498" t="n">
        <v>0</v>
      </c>
      <c r="L498" t="n">
        <v>0</v>
      </c>
      <c r="M498" t="n">
        <v>0</v>
      </c>
      <c r="N498" t="n">
        <v>0</v>
      </c>
      <c r="O498" t="n">
        <v>0</v>
      </c>
      <c r="P498" t="n">
        <v>0</v>
      </c>
      <c r="Q498" t="n">
        <v>0</v>
      </c>
      <c r="R498" s="2" t="inlineStr"/>
    </row>
    <row r="499" ht="15" customHeight="1">
      <c r="A499" t="inlineStr">
        <is>
          <t>A 15728-2019</t>
        </is>
      </c>
      <c r="B499" s="1" t="n">
        <v>43543</v>
      </c>
      <c r="C499" s="1" t="n">
        <v>45345</v>
      </c>
      <c r="D499" t="inlineStr">
        <is>
          <t>STOCKHOLMS LÄN</t>
        </is>
      </c>
      <c r="E499" t="inlineStr">
        <is>
          <t>NORRTÄLJE</t>
        </is>
      </c>
      <c r="G499" t="n">
        <v>6.9</v>
      </c>
      <c r="H499" t="n">
        <v>0</v>
      </c>
      <c r="I499" t="n">
        <v>0</v>
      </c>
      <c r="J499" t="n">
        <v>0</v>
      </c>
      <c r="K499" t="n">
        <v>0</v>
      </c>
      <c r="L499" t="n">
        <v>0</v>
      </c>
      <c r="M499" t="n">
        <v>0</v>
      </c>
      <c r="N499" t="n">
        <v>0</v>
      </c>
      <c r="O499" t="n">
        <v>0</v>
      </c>
      <c r="P499" t="n">
        <v>0</v>
      </c>
      <c r="Q499" t="n">
        <v>0</v>
      </c>
      <c r="R499" s="2" t="inlineStr"/>
    </row>
    <row r="500" ht="15" customHeight="1">
      <c r="A500" t="inlineStr">
        <is>
          <t>A 15673-2019</t>
        </is>
      </c>
      <c r="B500" s="1" t="n">
        <v>43543</v>
      </c>
      <c r="C500" s="1" t="n">
        <v>45345</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15736-2019</t>
        </is>
      </c>
      <c r="B501" s="1" t="n">
        <v>43543</v>
      </c>
      <c r="C501" s="1" t="n">
        <v>45345</v>
      </c>
      <c r="D501" t="inlineStr">
        <is>
          <t>STOCKHOLMS LÄN</t>
        </is>
      </c>
      <c r="E501" t="inlineStr">
        <is>
          <t>NORRTÄLJE</t>
        </is>
      </c>
      <c r="G501" t="n">
        <v>6.2</v>
      </c>
      <c r="H501" t="n">
        <v>0</v>
      </c>
      <c r="I501" t="n">
        <v>0</v>
      </c>
      <c r="J501" t="n">
        <v>0</v>
      </c>
      <c r="K501" t="n">
        <v>0</v>
      </c>
      <c r="L501" t="n">
        <v>0</v>
      </c>
      <c r="M501" t="n">
        <v>0</v>
      </c>
      <c r="N501" t="n">
        <v>0</v>
      </c>
      <c r="O501" t="n">
        <v>0</v>
      </c>
      <c r="P501" t="n">
        <v>0</v>
      </c>
      <c r="Q501" t="n">
        <v>0</v>
      </c>
      <c r="R501" s="2" t="inlineStr"/>
    </row>
    <row r="502" ht="15" customHeight="1">
      <c r="A502" t="inlineStr">
        <is>
          <t>A 15702-2019</t>
        </is>
      </c>
      <c r="B502" s="1" t="n">
        <v>43543</v>
      </c>
      <c r="C502" s="1" t="n">
        <v>45345</v>
      </c>
      <c r="D502" t="inlineStr">
        <is>
          <t>STOCKHOLMS LÄN</t>
        </is>
      </c>
      <c r="E502" t="inlineStr">
        <is>
          <t>NORRTÄLJE</t>
        </is>
      </c>
      <c r="G502" t="n">
        <v>21.3</v>
      </c>
      <c r="H502" t="n">
        <v>0</v>
      </c>
      <c r="I502" t="n">
        <v>0</v>
      </c>
      <c r="J502" t="n">
        <v>0</v>
      </c>
      <c r="K502" t="n">
        <v>0</v>
      </c>
      <c r="L502" t="n">
        <v>0</v>
      </c>
      <c r="M502" t="n">
        <v>0</v>
      </c>
      <c r="N502" t="n">
        <v>0</v>
      </c>
      <c r="O502" t="n">
        <v>0</v>
      </c>
      <c r="P502" t="n">
        <v>0</v>
      </c>
      <c r="Q502" t="n">
        <v>0</v>
      </c>
      <c r="R502" s="2" t="inlineStr"/>
    </row>
    <row r="503" ht="15" customHeight="1">
      <c r="A503" t="inlineStr">
        <is>
          <t>A 16186-2019</t>
        </is>
      </c>
      <c r="B503" s="1" t="n">
        <v>43545</v>
      </c>
      <c r="C503" s="1" t="n">
        <v>45345</v>
      </c>
      <c r="D503" t="inlineStr">
        <is>
          <t>STOCKHOLMS LÄN</t>
        </is>
      </c>
      <c r="E503" t="inlineStr">
        <is>
          <t>NORRTÄLJE</t>
        </is>
      </c>
      <c r="G503" t="n">
        <v>5.7</v>
      </c>
      <c r="H503" t="n">
        <v>0</v>
      </c>
      <c r="I503" t="n">
        <v>0</v>
      </c>
      <c r="J503" t="n">
        <v>0</v>
      </c>
      <c r="K503" t="n">
        <v>0</v>
      </c>
      <c r="L503" t="n">
        <v>0</v>
      </c>
      <c r="M503" t="n">
        <v>0</v>
      </c>
      <c r="N503" t="n">
        <v>0</v>
      </c>
      <c r="O503" t="n">
        <v>0</v>
      </c>
      <c r="P503" t="n">
        <v>0</v>
      </c>
      <c r="Q503" t="n">
        <v>0</v>
      </c>
      <c r="R503" s="2" t="inlineStr"/>
    </row>
    <row r="504" ht="15" customHeight="1">
      <c r="A504" t="inlineStr">
        <is>
          <t>A 16211-2019</t>
        </is>
      </c>
      <c r="B504" s="1" t="n">
        <v>43545</v>
      </c>
      <c r="C504" s="1" t="n">
        <v>45345</v>
      </c>
      <c r="D504" t="inlineStr">
        <is>
          <t>STOCKHOLMS LÄN</t>
        </is>
      </c>
      <c r="E504" t="inlineStr">
        <is>
          <t>NORRTÄLJE</t>
        </is>
      </c>
      <c r="G504" t="n">
        <v>14.2</v>
      </c>
      <c r="H504" t="n">
        <v>0</v>
      </c>
      <c r="I504" t="n">
        <v>0</v>
      </c>
      <c r="J504" t="n">
        <v>0</v>
      </c>
      <c r="K504" t="n">
        <v>0</v>
      </c>
      <c r="L504" t="n">
        <v>0</v>
      </c>
      <c r="M504" t="n">
        <v>0</v>
      </c>
      <c r="N504" t="n">
        <v>0</v>
      </c>
      <c r="O504" t="n">
        <v>0</v>
      </c>
      <c r="P504" t="n">
        <v>0</v>
      </c>
      <c r="Q504" t="n">
        <v>0</v>
      </c>
      <c r="R504" s="2" t="inlineStr"/>
    </row>
    <row r="505" ht="15" customHeight="1">
      <c r="A505" t="inlineStr">
        <is>
          <t>A 16318-2019</t>
        </is>
      </c>
      <c r="B505" s="1" t="n">
        <v>43545</v>
      </c>
      <c r="C505" s="1" t="n">
        <v>45345</v>
      </c>
      <c r="D505" t="inlineStr">
        <is>
          <t>STOCKHOLMS LÄN</t>
        </is>
      </c>
      <c r="E505" t="inlineStr">
        <is>
          <t>NORRTÄLJE</t>
        </is>
      </c>
      <c r="F505" t="inlineStr">
        <is>
          <t>Kyrkan</t>
        </is>
      </c>
      <c r="G505" t="n">
        <v>0.5</v>
      </c>
      <c r="H505" t="n">
        <v>0</v>
      </c>
      <c r="I505" t="n">
        <v>0</v>
      </c>
      <c r="J505" t="n">
        <v>0</v>
      </c>
      <c r="K505" t="n">
        <v>0</v>
      </c>
      <c r="L505" t="n">
        <v>0</v>
      </c>
      <c r="M505" t="n">
        <v>0</v>
      </c>
      <c r="N505" t="n">
        <v>0</v>
      </c>
      <c r="O505" t="n">
        <v>0</v>
      </c>
      <c r="P505" t="n">
        <v>0</v>
      </c>
      <c r="Q505" t="n">
        <v>0</v>
      </c>
      <c r="R505" s="2" t="inlineStr"/>
    </row>
    <row r="506" ht="15" customHeight="1">
      <c r="A506" t="inlineStr">
        <is>
          <t>A 16258-2019</t>
        </is>
      </c>
      <c r="B506" s="1" t="n">
        <v>43545</v>
      </c>
      <c r="C506" s="1" t="n">
        <v>45345</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16533-2019</t>
        </is>
      </c>
      <c r="B507" s="1" t="n">
        <v>43546</v>
      </c>
      <c r="C507" s="1" t="n">
        <v>45345</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16575-2019</t>
        </is>
      </c>
      <c r="B508" s="1" t="n">
        <v>43547</v>
      </c>
      <c r="C508" s="1" t="n">
        <v>45345</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16584-2019</t>
        </is>
      </c>
      <c r="B509" s="1" t="n">
        <v>43548</v>
      </c>
      <c r="C509" s="1" t="n">
        <v>45345</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16581-2019</t>
        </is>
      </c>
      <c r="B510" s="1" t="n">
        <v>43548</v>
      </c>
      <c r="C510" s="1" t="n">
        <v>45345</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16579-2019</t>
        </is>
      </c>
      <c r="B511" s="1" t="n">
        <v>43548</v>
      </c>
      <c r="C511" s="1" t="n">
        <v>45345</v>
      </c>
      <c r="D511" t="inlineStr">
        <is>
          <t>STOCKHOLMS LÄN</t>
        </is>
      </c>
      <c r="E511" t="inlineStr">
        <is>
          <t>NORRTÄLJE</t>
        </is>
      </c>
      <c r="G511" t="n">
        <v>5.9</v>
      </c>
      <c r="H511" t="n">
        <v>0</v>
      </c>
      <c r="I511" t="n">
        <v>0</v>
      </c>
      <c r="J511" t="n">
        <v>0</v>
      </c>
      <c r="K511" t="n">
        <v>0</v>
      </c>
      <c r="L511" t="n">
        <v>0</v>
      </c>
      <c r="M511" t="n">
        <v>0</v>
      </c>
      <c r="N511" t="n">
        <v>0</v>
      </c>
      <c r="O511" t="n">
        <v>0</v>
      </c>
      <c r="P511" t="n">
        <v>0</v>
      </c>
      <c r="Q511" t="n">
        <v>0</v>
      </c>
      <c r="R511" s="2" t="inlineStr"/>
    </row>
    <row r="512" ht="15" customHeight="1">
      <c r="A512" t="inlineStr">
        <is>
          <t>A 16881-2019</t>
        </is>
      </c>
      <c r="B512" s="1" t="n">
        <v>43550</v>
      </c>
      <c r="C512" s="1" t="n">
        <v>45345</v>
      </c>
      <c r="D512" t="inlineStr">
        <is>
          <t>STOCKHOLMS LÄN</t>
        </is>
      </c>
      <c r="E512" t="inlineStr">
        <is>
          <t>NORRTÄLJE</t>
        </is>
      </c>
      <c r="F512" t="inlineStr">
        <is>
          <t>Övriga Aktiebolag</t>
        </is>
      </c>
      <c r="G512" t="n">
        <v>6.3</v>
      </c>
      <c r="H512" t="n">
        <v>0</v>
      </c>
      <c r="I512" t="n">
        <v>0</v>
      </c>
      <c r="J512" t="n">
        <v>0</v>
      </c>
      <c r="K512" t="n">
        <v>0</v>
      </c>
      <c r="L512" t="n">
        <v>0</v>
      </c>
      <c r="M512" t="n">
        <v>0</v>
      </c>
      <c r="N512" t="n">
        <v>0</v>
      </c>
      <c r="O512" t="n">
        <v>0</v>
      </c>
      <c r="P512" t="n">
        <v>0</v>
      </c>
      <c r="Q512" t="n">
        <v>0</v>
      </c>
      <c r="R512" s="2" t="inlineStr"/>
    </row>
    <row r="513" ht="15" customHeight="1">
      <c r="A513" t="inlineStr">
        <is>
          <t>A 17233-2019</t>
        </is>
      </c>
      <c r="B513" s="1" t="n">
        <v>43550</v>
      </c>
      <c r="C513" s="1" t="n">
        <v>45345</v>
      </c>
      <c r="D513" t="inlineStr">
        <is>
          <t>STOCKHOLMS LÄN</t>
        </is>
      </c>
      <c r="E513" t="inlineStr">
        <is>
          <t>NORRTÄLJE</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16984-2019</t>
        </is>
      </c>
      <c r="B514" s="1" t="n">
        <v>43550</v>
      </c>
      <c r="C514" s="1" t="n">
        <v>45345</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16918-2019</t>
        </is>
      </c>
      <c r="B515" s="1" t="n">
        <v>43550</v>
      </c>
      <c r="C515" s="1" t="n">
        <v>45345</v>
      </c>
      <c r="D515" t="inlineStr">
        <is>
          <t>STOCKHOLMS LÄN</t>
        </is>
      </c>
      <c r="E515" t="inlineStr">
        <is>
          <t>NORRTÄLJE</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17060-2019</t>
        </is>
      </c>
      <c r="B516" s="1" t="n">
        <v>43551</v>
      </c>
      <c r="C516" s="1" t="n">
        <v>45345</v>
      </c>
      <c r="D516" t="inlineStr">
        <is>
          <t>STOCKHOLMS LÄN</t>
        </is>
      </c>
      <c r="E516" t="inlineStr">
        <is>
          <t>NORRTÄLJE</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17149-2019</t>
        </is>
      </c>
      <c r="B517" s="1" t="n">
        <v>43551</v>
      </c>
      <c r="C517" s="1" t="n">
        <v>45345</v>
      </c>
      <c r="D517" t="inlineStr">
        <is>
          <t>STOCKHOLMS LÄN</t>
        </is>
      </c>
      <c r="E517" t="inlineStr">
        <is>
          <t>NORRTÄLJE</t>
        </is>
      </c>
      <c r="G517" t="n">
        <v>1.9</v>
      </c>
      <c r="H517" t="n">
        <v>0</v>
      </c>
      <c r="I517" t="n">
        <v>0</v>
      </c>
      <c r="J517" t="n">
        <v>0</v>
      </c>
      <c r="K517" t="n">
        <v>0</v>
      </c>
      <c r="L517" t="n">
        <v>0</v>
      </c>
      <c r="M517" t="n">
        <v>0</v>
      </c>
      <c r="N517" t="n">
        <v>0</v>
      </c>
      <c r="O517" t="n">
        <v>0</v>
      </c>
      <c r="P517" t="n">
        <v>0</v>
      </c>
      <c r="Q517" t="n">
        <v>0</v>
      </c>
      <c r="R517" s="2" t="inlineStr"/>
    </row>
    <row r="518" ht="15" customHeight="1">
      <c r="A518" t="inlineStr">
        <is>
          <t>A 17061-2019</t>
        </is>
      </c>
      <c r="B518" s="1" t="n">
        <v>43551</v>
      </c>
      <c r="C518" s="1" t="n">
        <v>45345</v>
      </c>
      <c r="D518" t="inlineStr">
        <is>
          <t>STOCKHOLMS LÄN</t>
        </is>
      </c>
      <c r="E518" t="inlineStr">
        <is>
          <t>NORRTÄLJE</t>
        </is>
      </c>
      <c r="F518" t="inlineStr">
        <is>
          <t>Kommuner</t>
        </is>
      </c>
      <c r="G518" t="n">
        <v>3.7</v>
      </c>
      <c r="H518" t="n">
        <v>0</v>
      </c>
      <c r="I518" t="n">
        <v>0</v>
      </c>
      <c r="J518" t="n">
        <v>0</v>
      </c>
      <c r="K518" t="n">
        <v>0</v>
      </c>
      <c r="L518" t="n">
        <v>0</v>
      </c>
      <c r="M518" t="n">
        <v>0</v>
      </c>
      <c r="N518" t="n">
        <v>0</v>
      </c>
      <c r="O518" t="n">
        <v>0</v>
      </c>
      <c r="P518" t="n">
        <v>0</v>
      </c>
      <c r="Q518" t="n">
        <v>0</v>
      </c>
      <c r="R518" s="2" t="inlineStr"/>
    </row>
    <row r="519" ht="15" customHeight="1">
      <c r="A519" t="inlineStr">
        <is>
          <t>A 17350-2019</t>
        </is>
      </c>
      <c r="B519" s="1" t="n">
        <v>43552</v>
      </c>
      <c r="C519" s="1" t="n">
        <v>45345</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17240-2019</t>
        </is>
      </c>
      <c r="B520" s="1" t="n">
        <v>43552</v>
      </c>
      <c r="C520" s="1" t="n">
        <v>45345</v>
      </c>
      <c r="D520" t="inlineStr">
        <is>
          <t>STOCKHOLMS LÄN</t>
        </is>
      </c>
      <c r="E520" t="inlineStr">
        <is>
          <t>NORRTÄLJE</t>
        </is>
      </c>
      <c r="G520" t="n">
        <v>1.4</v>
      </c>
      <c r="H520" t="n">
        <v>0</v>
      </c>
      <c r="I520" t="n">
        <v>0</v>
      </c>
      <c r="J520" t="n">
        <v>0</v>
      </c>
      <c r="K520" t="n">
        <v>0</v>
      </c>
      <c r="L520" t="n">
        <v>0</v>
      </c>
      <c r="M520" t="n">
        <v>0</v>
      </c>
      <c r="N520" t="n">
        <v>0</v>
      </c>
      <c r="O520" t="n">
        <v>0</v>
      </c>
      <c r="P520" t="n">
        <v>0</v>
      </c>
      <c r="Q520" t="n">
        <v>0</v>
      </c>
      <c r="R520" s="2" t="inlineStr"/>
    </row>
    <row r="521" ht="15" customHeight="1">
      <c r="A521" t="inlineStr">
        <is>
          <t>A 17272-2019</t>
        </is>
      </c>
      <c r="B521" s="1" t="n">
        <v>43552</v>
      </c>
      <c r="C521" s="1" t="n">
        <v>45345</v>
      </c>
      <c r="D521" t="inlineStr">
        <is>
          <t>STOCKHOLMS LÄN</t>
        </is>
      </c>
      <c r="E521" t="inlineStr">
        <is>
          <t>NORRTÄLJE</t>
        </is>
      </c>
      <c r="G521" t="n">
        <v>5.8</v>
      </c>
      <c r="H521" t="n">
        <v>0</v>
      </c>
      <c r="I521" t="n">
        <v>0</v>
      </c>
      <c r="J521" t="n">
        <v>0</v>
      </c>
      <c r="K521" t="n">
        <v>0</v>
      </c>
      <c r="L521" t="n">
        <v>0</v>
      </c>
      <c r="M521" t="n">
        <v>0</v>
      </c>
      <c r="N521" t="n">
        <v>0</v>
      </c>
      <c r="O521" t="n">
        <v>0</v>
      </c>
      <c r="P521" t="n">
        <v>0</v>
      </c>
      <c r="Q521" t="n">
        <v>0</v>
      </c>
      <c r="R521" s="2" t="inlineStr"/>
    </row>
    <row r="522" ht="15" customHeight="1">
      <c r="A522" t="inlineStr">
        <is>
          <t>A 17378-2019</t>
        </is>
      </c>
      <c r="B522" s="1" t="n">
        <v>43552</v>
      </c>
      <c r="C522" s="1" t="n">
        <v>45345</v>
      </c>
      <c r="D522" t="inlineStr">
        <is>
          <t>STOCKHOLMS LÄN</t>
        </is>
      </c>
      <c r="E522" t="inlineStr">
        <is>
          <t>NORRTÄLJE</t>
        </is>
      </c>
      <c r="G522" t="n">
        <v>8.1</v>
      </c>
      <c r="H522" t="n">
        <v>0</v>
      </c>
      <c r="I522" t="n">
        <v>0</v>
      </c>
      <c r="J522" t="n">
        <v>0</v>
      </c>
      <c r="K522" t="n">
        <v>0</v>
      </c>
      <c r="L522" t="n">
        <v>0</v>
      </c>
      <c r="M522" t="n">
        <v>0</v>
      </c>
      <c r="N522" t="n">
        <v>0</v>
      </c>
      <c r="O522" t="n">
        <v>0</v>
      </c>
      <c r="P522" t="n">
        <v>0</v>
      </c>
      <c r="Q522" t="n">
        <v>0</v>
      </c>
      <c r="R522" s="2" t="inlineStr"/>
    </row>
    <row r="523" ht="15" customHeight="1">
      <c r="A523" t="inlineStr">
        <is>
          <t>A 17297-2019</t>
        </is>
      </c>
      <c r="B523" s="1" t="n">
        <v>43552</v>
      </c>
      <c r="C523" s="1" t="n">
        <v>45345</v>
      </c>
      <c r="D523" t="inlineStr">
        <is>
          <t>STOCKHOLMS LÄN</t>
        </is>
      </c>
      <c r="E523" t="inlineStr">
        <is>
          <t>NORRTÄLJE</t>
        </is>
      </c>
      <c r="G523" t="n">
        <v>2.1</v>
      </c>
      <c r="H523" t="n">
        <v>0</v>
      </c>
      <c r="I523" t="n">
        <v>0</v>
      </c>
      <c r="J523" t="n">
        <v>0</v>
      </c>
      <c r="K523" t="n">
        <v>0</v>
      </c>
      <c r="L523" t="n">
        <v>0</v>
      </c>
      <c r="M523" t="n">
        <v>0</v>
      </c>
      <c r="N523" t="n">
        <v>0</v>
      </c>
      <c r="O523" t="n">
        <v>0</v>
      </c>
      <c r="P523" t="n">
        <v>0</v>
      </c>
      <c r="Q523" t="n">
        <v>0</v>
      </c>
      <c r="R523" s="2" t="inlineStr"/>
    </row>
    <row r="524" ht="15" customHeight="1">
      <c r="A524" t="inlineStr">
        <is>
          <t>A 17389-2019</t>
        </is>
      </c>
      <c r="B524" s="1" t="n">
        <v>43552</v>
      </c>
      <c r="C524" s="1" t="n">
        <v>45345</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17292-2019</t>
        </is>
      </c>
      <c r="B525" s="1" t="n">
        <v>43552</v>
      </c>
      <c r="C525" s="1" t="n">
        <v>45345</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17390-2019</t>
        </is>
      </c>
      <c r="B526" s="1" t="n">
        <v>43552</v>
      </c>
      <c r="C526" s="1" t="n">
        <v>45345</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17582-2019</t>
        </is>
      </c>
      <c r="B527" s="1" t="n">
        <v>43553</v>
      </c>
      <c r="C527" s="1" t="n">
        <v>45345</v>
      </c>
      <c r="D527" t="inlineStr">
        <is>
          <t>STOCKHOLMS LÄN</t>
        </is>
      </c>
      <c r="E527" t="inlineStr">
        <is>
          <t>NORRTÄLJE</t>
        </is>
      </c>
      <c r="G527" t="n">
        <v>1.9</v>
      </c>
      <c r="H527" t="n">
        <v>0</v>
      </c>
      <c r="I527" t="n">
        <v>0</v>
      </c>
      <c r="J527" t="n">
        <v>0</v>
      </c>
      <c r="K527" t="n">
        <v>0</v>
      </c>
      <c r="L527" t="n">
        <v>0</v>
      </c>
      <c r="M527" t="n">
        <v>0</v>
      </c>
      <c r="N527" t="n">
        <v>0</v>
      </c>
      <c r="O527" t="n">
        <v>0</v>
      </c>
      <c r="P527" t="n">
        <v>0</v>
      </c>
      <c r="Q527" t="n">
        <v>0</v>
      </c>
      <c r="R527" s="2" t="inlineStr"/>
    </row>
    <row r="528" ht="15" customHeight="1">
      <c r="A528" t="inlineStr">
        <is>
          <t>A 17552-2019</t>
        </is>
      </c>
      <c r="B528" s="1" t="n">
        <v>43553</v>
      </c>
      <c r="C528" s="1" t="n">
        <v>45345</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17752-2019</t>
        </is>
      </c>
      <c r="B529" s="1" t="n">
        <v>43556</v>
      </c>
      <c r="C529" s="1" t="n">
        <v>45345</v>
      </c>
      <c r="D529" t="inlineStr">
        <is>
          <t>STOCKHOLMS LÄN</t>
        </is>
      </c>
      <c r="E529" t="inlineStr">
        <is>
          <t>NORRTÄLJE</t>
        </is>
      </c>
      <c r="G529" t="n">
        <v>3</v>
      </c>
      <c r="H529" t="n">
        <v>0</v>
      </c>
      <c r="I529" t="n">
        <v>0</v>
      </c>
      <c r="J529" t="n">
        <v>0</v>
      </c>
      <c r="K529" t="n">
        <v>0</v>
      </c>
      <c r="L529" t="n">
        <v>0</v>
      </c>
      <c r="M529" t="n">
        <v>0</v>
      </c>
      <c r="N529" t="n">
        <v>0</v>
      </c>
      <c r="O529" t="n">
        <v>0</v>
      </c>
      <c r="P529" t="n">
        <v>0</v>
      </c>
      <c r="Q529" t="n">
        <v>0</v>
      </c>
      <c r="R529" s="2" t="inlineStr"/>
    </row>
    <row r="530" ht="15" customHeight="1">
      <c r="A530" t="inlineStr">
        <is>
          <t>A 17795-2019</t>
        </is>
      </c>
      <c r="B530" s="1" t="n">
        <v>43556</v>
      </c>
      <c r="C530" s="1" t="n">
        <v>45345</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17757-2019</t>
        </is>
      </c>
      <c r="B531" s="1" t="n">
        <v>43556</v>
      </c>
      <c r="C531" s="1" t="n">
        <v>45345</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17963-2019</t>
        </is>
      </c>
      <c r="B532" s="1" t="n">
        <v>43557</v>
      </c>
      <c r="C532" s="1" t="n">
        <v>45345</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18378-2019</t>
        </is>
      </c>
      <c r="B533" s="1" t="n">
        <v>43559</v>
      </c>
      <c r="C533" s="1" t="n">
        <v>45345</v>
      </c>
      <c r="D533" t="inlineStr">
        <is>
          <t>STOCKHOLMS LÄN</t>
        </is>
      </c>
      <c r="E533" t="inlineStr">
        <is>
          <t>NORRTÄLJE</t>
        </is>
      </c>
      <c r="G533" t="n">
        <v>5.8</v>
      </c>
      <c r="H533" t="n">
        <v>0</v>
      </c>
      <c r="I533" t="n">
        <v>0</v>
      </c>
      <c r="J533" t="n">
        <v>0</v>
      </c>
      <c r="K533" t="n">
        <v>0</v>
      </c>
      <c r="L533" t="n">
        <v>0</v>
      </c>
      <c r="M533" t="n">
        <v>0</v>
      </c>
      <c r="N533" t="n">
        <v>0</v>
      </c>
      <c r="O533" t="n">
        <v>0</v>
      </c>
      <c r="P533" t="n">
        <v>0</v>
      </c>
      <c r="Q533" t="n">
        <v>0</v>
      </c>
      <c r="R533" s="2" t="inlineStr"/>
    </row>
    <row r="534" ht="15" customHeight="1">
      <c r="A534" t="inlineStr">
        <is>
          <t>A 18664-2019</t>
        </is>
      </c>
      <c r="B534" s="1" t="n">
        <v>43560</v>
      </c>
      <c r="C534" s="1" t="n">
        <v>45345</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18767-2019</t>
        </is>
      </c>
      <c r="B535" s="1" t="n">
        <v>43560</v>
      </c>
      <c r="C535" s="1" t="n">
        <v>45345</v>
      </c>
      <c r="D535" t="inlineStr">
        <is>
          <t>STOCKHOLMS LÄN</t>
        </is>
      </c>
      <c r="E535" t="inlineStr">
        <is>
          <t>NORRTÄLJE</t>
        </is>
      </c>
      <c r="G535" t="n">
        <v>4</v>
      </c>
      <c r="H535" t="n">
        <v>0</v>
      </c>
      <c r="I535" t="n">
        <v>0</v>
      </c>
      <c r="J535" t="n">
        <v>0</v>
      </c>
      <c r="K535" t="n">
        <v>0</v>
      </c>
      <c r="L535" t="n">
        <v>0</v>
      </c>
      <c r="M535" t="n">
        <v>0</v>
      </c>
      <c r="N535" t="n">
        <v>0</v>
      </c>
      <c r="O535" t="n">
        <v>0</v>
      </c>
      <c r="P535" t="n">
        <v>0</v>
      </c>
      <c r="Q535" t="n">
        <v>0</v>
      </c>
      <c r="R535" s="2" t="inlineStr"/>
    </row>
    <row r="536" ht="15" customHeight="1">
      <c r="A536" t="inlineStr">
        <is>
          <t>A 18820-2019</t>
        </is>
      </c>
      <c r="B536" s="1" t="n">
        <v>43563</v>
      </c>
      <c r="C536" s="1" t="n">
        <v>45345</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18890-2019</t>
        </is>
      </c>
      <c r="B537" s="1" t="n">
        <v>43563</v>
      </c>
      <c r="C537" s="1" t="n">
        <v>45345</v>
      </c>
      <c r="D537" t="inlineStr">
        <is>
          <t>STOCKHOLMS LÄN</t>
        </is>
      </c>
      <c r="E537" t="inlineStr">
        <is>
          <t>NORRTÄLJE</t>
        </is>
      </c>
      <c r="G537" t="n">
        <v>4.7</v>
      </c>
      <c r="H537" t="n">
        <v>0</v>
      </c>
      <c r="I537" t="n">
        <v>0</v>
      </c>
      <c r="J537" t="n">
        <v>0</v>
      </c>
      <c r="K537" t="n">
        <v>0</v>
      </c>
      <c r="L537" t="n">
        <v>0</v>
      </c>
      <c r="M537" t="n">
        <v>0</v>
      </c>
      <c r="N537" t="n">
        <v>0</v>
      </c>
      <c r="O537" t="n">
        <v>0</v>
      </c>
      <c r="P537" t="n">
        <v>0</v>
      </c>
      <c r="Q537" t="n">
        <v>0</v>
      </c>
      <c r="R537" s="2" t="inlineStr"/>
    </row>
    <row r="538" ht="15" customHeight="1">
      <c r="A538" t="inlineStr">
        <is>
          <t>A 18909-2019</t>
        </is>
      </c>
      <c r="B538" s="1" t="n">
        <v>43563</v>
      </c>
      <c r="C538" s="1" t="n">
        <v>45345</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19026-2019</t>
        </is>
      </c>
      <c r="B539" s="1" t="n">
        <v>43563</v>
      </c>
      <c r="C539" s="1" t="n">
        <v>45345</v>
      </c>
      <c r="D539" t="inlineStr">
        <is>
          <t>STOCKHOLMS LÄN</t>
        </is>
      </c>
      <c r="E539" t="inlineStr">
        <is>
          <t>NORRTÄLJE</t>
        </is>
      </c>
      <c r="G539" t="n">
        <v>4.4</v>
      </c>
      <c r="H539" t="n">
        <v>0</v>
      </c>
      <c r="I539" t="n">
        <v>0</v>
      </c>
      <c r="J539" t="n">
        <v>0</v>
      </c>
      <c r="K539" t="n">
        <v>0</v>
      </c>
      <c r="L539" t="n">
        <v>0</v>
      </c>
      <c r="M539" t="n">
        <v>0</v>
      </c>
      <c r="N539" t="n">
        <v>0</v>
      </c>
      <c r="O539" t="n">
        <v>0</v>
      </c>
      <c r="P539" t="n">
        <v>0</v>
      </c>
      <c r="Q539" t="n">
        <v>0</v>
      </c>
      <c r="R539" s="2" t="inlineStr"/>
    </row>
    <row r="540" ht="15" customHeight="1">
      <c r="A540" t="inlineStr">
        <is>
          <t>A 19014-2019</t>
        </is>
      </c>
      <c r="B540" s="1" t="n">
        <v>43563</v>
      </c>
      <c r="C540" s="1" t="n">
        <v>45345</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19247-2019</t>
        </is>
      </c>
      <c r="B541" s="1" t="n">
        <v>43564</v>
      </c>
      <c r="C541" s="1" t="n">
        <v>45345</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19255-2019</t>
        </is>
      </c>
      <c r="B542" s="1" t="n">
        <v>43564</v>
      </c>
      <c r="C542" s="1" t="n">
        <v>45345</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19302-2019</t>
        </is>
      </c>
      <c r="B543" s="1" t="n">
        <v>43565</v>
      </c>
      <c r="C543" s="1" t="n">
        <v>45345</v>
      </c>
      <c r="D543" t="inlineStr">
        <is>
          <t>STOCKHOLMS LÄN</t>
        </is>
      </c>
      <c r="E543" t="inlineStr">
        <is>
          <t>NORRTÄLJE</t>
        </is>
      </c>
      <c r="F543" t="inlineStr">
        <is>
          <t>Kommuner</t>
        </is>
      </c>
      <c r="G543" t="n">
        <v>4.2</v>
      </c>
      <c r="H543" t="n">
        <v>0</v>
      </c>
      <c r="I543" t="n">
        <v>0</v>
      </c>
      <c r="J543" t="n">
        <v>0</v>
      </c>
      <c r="K543" t="n">
        <v>0</v>
      </c>
      <c r="L543" t="n">
        <v>0</v>
      </c>
      <c r="M543" t="n">
        <v>0</v>
      </c>
      <c r="N543" t="n">
        <v>0</v>
      </c>
      <c r="O543" t="n">
        <v>0</v>
      </c>
      <c r="P543" t="n">
        <v>0</v>
      </c>
      <c r="Q543" t="n">
        <v>0</v>
      </c>
      <c r="R543" s="2" t="inlineStr"/>
    </row>
    <row r="544" ht="15" customHeight="1">
      <c r="A544" t="inlineStr">
        <is>
          <t>A 19301-2019</t>
        </is>
      </c>
      <c r="B544" s="1" t="n">
        <v>43565</v>
      </c>
      <c r="C544" s="1" t="n">
        <v>45345</v>
      </c>
      <c r="D544" t="inlineStr">
        <is>
          <t>STOCKHOLMS LÄN</t>
        </is>
      </c>
      <c r="E544" t="inlineStr">
        <is>
          <t>NORRTÄLJE</t>
        </is>
      </c>
      <c r="F544" t="inlineStr">
        <is>
          <t>Kommuner</t>
        </is>
      </c>
      <c r="G544" t="n">
        <v>3.9</v>
      </c>
      <c r="H544" t="n">
        <v>0</v>
      </c>
      <c r="I544" t="n">
        <v>0</v>
      </c>
      <c r="J544" t="n">
        <v>0</v>
      </c>
      <c r="K544" t="n">
        <v>0</v>
      </c>
      <c r="L544" t="n">
        <v>0</v>
      </c>
      <c r="M544" t="n">
        <v>0</v>
      </c>
      <c r="N544" t="n">
        <v>0</v>
      </c>
      <c r="O544" t="n">
        <v>0</v>
      </c>
      <c r="P544" t="n">
        <v>0</v>
      </c>
      <c r="Q544" t="n">
        <v>0</v>
      </c>
      <c r="R544" s="2" t="inlineStr"/>
    </row>
    <row r="545" ht="15" customHeight="1">
      <c r="A545" t="inlineStr">
        <is>
          <t>A 19297-2019</t>
        </is>
      </c>
      <c r="B545" s="1" t="n">
        <v>43565</v>
      </c>
      <c r="C545" s="1" t="n">
        <v>45345</v>
      </c>
      <c r="D545" t="inlineStr">
        <is>
          <t>STOCKHOLMS LÄN</t>
        </is>
      </c>
      <c r="E545" t="inlineStr">
        <is>
          <t>NORRTÄLJE</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19537-2019</t>
        </is>
      </c>
      <c r="B546" s="1" t="n">
        <v>43565</v>
      </c>
      <c r="C546" s="1" t="n">
        <v>45345</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19539-2019</t>
        </is>
      </c>
      <c r="B547" s="1" t="n">
        <v>43565</v>
      </c>
      <c r="C547" s="1" t="n">
        <v>45345</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19540-2019</t>
        </is>
      </c>
      <c r="B548" s="1" t="n">
        <v>43565</v>
      </c>
      <c r="C548" s="1" t="n">
        <v>45345</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19638-2019</t>
        </is>
      </c>
      <c r="B549" s="1" t="n">
        <v>43566</v>
      </c>
      <c r="C549" s="1" t="n">
        <v>45345</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19593-2019</t>
        </is>
      </c>
      <c r="B550" s="1" t="n">
        <v>43566</v>
      </c>
      <c r="C550" s="1" t="n">
        <v>45345</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19872-2019</t>
        </is>
      </c>
      <c r="B551" s="1" t="n">
        <v>43567</v>
      </c>
      <c r="C551" s="1" t="n">
        <v>45345</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19811-2019</t>
        </is>
      </c>
      <c r="B552" s="1" t="n">
        <v>43567</v>
      </c>
      <c r="C552" s="1" t="n">
        <v>45345</v>
      </c>
      <c r="D552" t="inlineStr">
        <is>
          <t>STOCKHOLMS LÄN</t>
        </is>
      </c>
      <c r="E552" t="inlineStr">
        <is>
          <t>NORRTÄLJE</t>
        </is>
      </c>
      <c r="F552" t="inlineStr">
        <is>
          <t>Kommuner</t>
        </is>
      </c>
      <c r="G552" t="n">
        <v>1.6</v>
      </c>
      <c r="H552" t="n">
        <v>0</v>
      </c>
      <c r="I552" t="n">
        <v>0</v>
      </c>
      <c r="J552" t="n">
        <v>0</v>
      </c>
      <c r="K552" t="n">
        <v>0</v>
      </c>
      <c r="L552" t="n">
        <v>0</v>
      </c>
      <c r="M552" t="n">
        <v>0</v>
      </c>
      <c r="N552" t="n">
        <v>0</v>
      </c>
      <c r="O552" t="n">
        <v>0</v>
      </c>
      <c r="P552" t="n">
        <v>0</v>
      </c>
      <c r="Q552" t="n">
        <v>0</v>
      </c>
      <c r="R552" s="2" t="inlineStr"/>
    </row>
    <row r="553" ht="15" customHeight="1">
      <c r="A553" t="inlineStr">
        <is>
          <t>A 19812-2019</t>
        </is>
      </c>
      <c r="B553" s="1" t="n">
        <v>43567</v>
      </c>
      <c r="C553" s="1" t="n">
        <v>45345</v>
      </c>
      <c r="D553" t="inlineStr">
        <is>
          <t>STOCKHOLMS LÄN</t>
        </is>
      </c>
      <c r="E553" t="inlineStr">
        <is>
          <t>NORRTÄLJE</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19931-2019</t>
        </is>
      </c>
      <c r="B554" s="1" t="n">
        <v>43568</v>
      </c>
      <c r="C554" s="1" t="n">
        <v>45345</v>
      </c>
      <c r="D554" t="inlineStr">
        <is>
          <t>STOCKHOLMS LÄN</t>
        </is>
      </c>
      <c r="E554" t="inlineStr">
        <is>
          <t>NORRTÄLJE</t>
        </is>
      </c>
      <c r="G554" t="n">
        <v>4.2</v>
      </c>
      <c r="H554" t="n">
        <v>0</v>
      </c>
      <c r="I554" t="n">
        <v>0</v>
      </c>
      <c r="J554" t="n">
        <v>0</v>
      </c>
      <c r="K554" t="n">
        <v>0</v>
      </c>
      <c r="L554" t="n">
        <v>0</v>
      </c>
      <c r="M554" t="n">
        <v>0</v>
      </c>
      <c r="N554" t="n">
        <v>0</v>
      </c>
      <c r="O554" t="n">
        <v>0</v>
      </c>
      <c r="P554" t="n">
        <v>0</v>
      </c>
      <c r="Q554" t="n">
        <v>0</v>
      </c>
      <c r="R554" s="2" t="inlineStr"/>
    </row>
    <row r="555" ht="15" customHeight="1">
      <c r="A555" t="inlineStr">
        <is>
          <t>A 20033-2019</t>
        </is>
      </c>
      <c r="B555" s="1" t="n">
        <v>43570</v>
      </c>
      <c r="C555" s="1" t="n">
        <v>45345</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20020-2019</t>
        </is>
      </c>
      <c r="B556" s="1" t="n">
        <v>43570</v>
      </c>
      <c r="C556" s="1" t="n">
        <v>45345</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20051-2019</t>
        </is>
      </c>
      <c r="B557" s="1" t="n">
        <v>43570</v>
      </c>
      <c r="C557" s="1" t="n">
        <v>45345</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20137-2019</t>
        </is>
      </c>
      <c r="B558" s="1" t="n">
        <v>43570</v>
      </c>
      <c r="C558" s="1" t="n">
        <v>45345</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20007-2019</t>
        </is>
      </c>
      <c r="B559" s="1" t="n">
        <v>43570</v>
      </c>
      <c r="C559" s="1" t="n">
        <v>45345</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20052-2019</t>
        </is>
      </c>
      <c r="B560" s="1" t="n">
        <v>43570</v>
      </c>
      <c r="C560" s="1" t="n">
        <v>45345</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20159-2019</t>
        </is>
      </c>
      <c r="B561" s="1" t="n">
        <v>43570</v>
      </c>
      <c r="C561" s="1" t="n">
        <v>45345</v>
      </c>
      <c r="D561" t="inlineStr">
        <is>
          <t>STOCKHOLMS LÄN</t>
        </is>
      </c>
      <c r="E561" t="inlineStr">
        <is>
          <t>NORRTÄLJE</t>
        </is>
      </c>
      <c r="F561" t="inlineStr">
        <is>
          <t>Kommuner</t>
        </is>
      </c>
      <c r="G561" t="n">
        <v>2</v>
      </c>
      <c r="H561" t="n">
        <v>0</v>
      </c>
      <c r="I561" t="n">
        <v>0</v>
      </c>
      <c r="J561" t="n">
        <v>0</v>
      </c>
      <c r="K561" t="n">
        <v>0</v>
      </c>
      <c r="L561" t="n">
        <v>0</v>
      </c>
      <c r="M561" t="n">
        <v>0</v>
      </c>
      <c r="N561" t="n">
        <v>0</v>
      </c>
      <c r="O561" t="n">
        <v>0</v>
      </c>
      <c r="P561" t="n">
        <v>0</v>
      </c>
      <c r="Q561" t="n">
        <v>0</v>
      </c>
      <c r="R561" s="2" t="inlineStr"/>
    </row>
    <row r="562" ht="15" customHeight="1">
      <c r="A562" t="inlineStr">
        <is>
          <t>A 20181-2019</t>
        </is>
      </c>
      <c r="B562" s="1" t="n">
        <v>43570</v>
      </c>
      <c r="C562" s="1" t="n">
        <v>45345</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20184-2019</t>
        </is>
      </c>
      <c r="B563" s="1" t="n">
        <v>43570</v>
      </c>
      <c r="C563" s="1" t="n">
        <v>45345</v>
      </c>
      <c r="D563" t="inlineStr">
        <is>
          <t>STOCKHOLMS LÄN</t>
        </is>
      </c>
      <c r="E563" t="inlineStr">
        <is>
          <t>NORRTÄLJE</t>
        </is>
      </c>
      <c r="G563" t="n">
        <v>2.8</v>
      </c>
      <c r="H563" t="n">
        <v>0</v>
      </c>
      <c r="I563" t="n">
        <v>0</v>
      </c>
      <c r="J563" t="n">
        <v>0</v>
      </c>
      <c r="K563" t="n">
        <v>0</v>
      </c>
      <c r="L563" t="n">
        <v>0</v>
      </c>
      <c r="M563" t="n">
        <v>0</v>
      </c>
      <c r="N563" t="n">
        <v>0</v>
      </c>
      <c r="O563" t="n">
        <v>0</v>
      </c>
      <c r="P563" t="n">
        <v>0</v>
      </c>
      <c r="Q563" t="n">
        <v>0</v>
      </c>
      <c r="R563" s="2" t="inlineStr"/>
    </row>
    <row r="564" ht="15" customHeight="1">
      <c r="A564" t="inlineStr">
        <is>
          <t>A 20193-2019</t>
        </is>
      </c>
      <c r="B564" s="1" t="n">
        <v>43570</v>
      </c>
      <c r="C564" s="1" t="n">
        <v>45345</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20090-2019</t>
        </is>
      </c>
      <c r="B565" s="1" t="n">
        <v>43570</v>
      </c>
      <c r="C565" s="1" t="n">
        <v>45345</v>
      </c>
      <c r="D565" t="inlineStr">
        <is>
          <t>STOCKHOLMS LÄN</t>
        </is>
      </c>
      <c r="E565" t="inlineStr">
        <is>
          <t>NORRTÄLJE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20165-2019</t>
        </is>
      </c>
      <c r="B566" s="1" t="n">
        <v>43570</v>
      </c>
      <c r="C566" s="1" t="n">
        <v>45345</v>
      </c>
      <c r="D566" t="inlineStr">
        <is>
          <t>STOCKHOLMS LÄN</t>
        </is>
      </c>
      <c r="E566" t="inlineStr">
        <is>
          <t>NORRTÄLJE</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20023-2019</t>
        </is>
      </c>
      <c r="B567" s="1" t="n">
        <v>43570</v>
      </c>
      <c r="C567" s="1" t="n">
        <v>45345</v>
      </c>
      <c r="D567" t="inlineStr">
        <is>
          <t>STOCKHOLMS LÄN</t>
        </is>
      </c>
      <c r="E567" t="inlineStr">
        <is>
          <t>NORRTÄLJE</t>
        </is>
      </c>
      <c r="G567" t="n">
        <v>5.1</v>
      </c>
      <c r="H567" t="n">
        <v>0</v>
      </c>
      <c r="I567" t="n">
        <v>0</v>
      </c>
      <c r="J567" t="n">
        <v>0</v>
      </c>
      <c r="K567" t="n">
        <v>0</v>
      </c>
      <c r="L567" t="n">
        <v>0</v>
      </c>
      <c r="M567" t="n">
        <v>0</v>
      </c>
      <c r="N567" t="n">
        <v>0</v>
      </c>
      <c r="O567" t="n">
        <v>0</v>
      </c>
      <c r="P567" t="n">
        <v>0</v>
      </c>
      <c r="Q567" t="n">
        <v>0</v>
      </c>
      <c r="R567" s="2" t="inlineStr"/>
    </row>
    <row r="568" ht="15" customHeight="1">
      <c r="A568" t="inlineStr">
        <is>
          <t>A 20531-2019</t>
        </is>
      </c>
      <c r="B568" s="1" t="n">
        <v>43572</v>
      </c>
      <c r="C568" s="1" t="n">
        <v>45345</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20743-2019</t>
        </is>
      </c>
      <c r="B569" s="1" t="n">
        <v>43573</v>
      </c>
      <c r="C569" s="1" t="n">
        <v>45345</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20809-2019</t>
        </is>
      </c>
      <c r="B570" s="1" t="n">
        <v>43573</v>
      </c>
      <c r="C570" s="1" t="n">
        <v>45345</v>
      </c>
      <c r="D570" t="inlineStr">
        <is>
          <t>STOCKHOLMS LÄN</t>
        </is>
      </c>
      <c r="E570" t="inlineStr">
        <is>
          <t>NORRTÄLJE</t>
        </is>
      </c>
      <c r="F570" t="inlineStr">
        <is>
          <t>Kommuner</t>
        </is>
      </c>
      <c r="G570" t="n">
        <v>2.2</v>
      </c>
      <c r="H570" t="n">
        <v>0</v>
      </c>
      <c r="I570" t="n">
        <v>0</v>
      </c>
      <c r="J570" t="n">
        <v>0</v>
      </c>
      <c r="K570" t="n">
        <v>0</v>
      </c>
      <c r="L570" t="n">
        <v>0</v>
      </c>
      <c r="M570" t="n">
        <v>0</v>
      </c>
      <c r="N570" t="n">
        <v>0</v>
      </c>
      <c r="O570" t="n">
        <v>0</v>
      </c>
      <c r="P570" t="n">
        <v>0</v>
      </c>
      <c r="Q570" t="n">
        <v>0</v>
      </c>
      <c r="R570" s="2" t="inlineStr"/>
    </row>
    <row r="571" ht="15" customHeight="1">
      <c r="A571" t="inlineStr">
        <is>
          <t>A 20925-2019</t>
        </is>
      </c>
      <c r="B571" s="1" t="n">
        <v>43578</v>
      </c>
      <c r="C571" s="1" t="n">
        <v>45345</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21062-2019</t>
        </is>
      </c>
      <c r="B572" s="1" t="n">
        <v>43578</v>
      </c>
      <c r="C572" s="1" t="n">
        <v>45345</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21441-2019</t>
        </is>
      </c>
      <c r="B573" s="1" t="n">
        <v>43580</v>
      </c>
      <c r="C573" s="1" t="n">
        <v>45345</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21521-2019</t>
        </is>
      </c>
      <c r="B574" s="1" t="n">
        <v>43580</v>
      </c>
      <c r="C574" s="1" t="n">
        <v>45345</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21508-2019</t>
        </is>
      </c>
      <c r="B575" s="1" t="n">
        <v>43580</v>
      </c>
      <c r="C575" s="1" t="n">
        <v>45345</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21457-2019</t>
        </is>
      </c>
      <c r="B576" s="1" t="n">
        <v>43580</v>
      </c>
      <c r="C576" s="1" t="n">
        <v>45345</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21501-2019</t>
        </is>
      </c>
      <c r="B577" s="1" t="n">
        <v>43580</v>
      </c>
      <c r="C577" s="1" t="n">
        <v>45345</v>
      </c>
      <c r="D577" t="inlineStr">
        <is>
          <t>STOCKHOLMS LÄN</t>
        </is>
      </c>
      <c r="E577" t="inlineStr">
        <is>
          <t>NORRTÄLJE</t>
        </is>
      </c>
      <c r="G577" t="n">
        <v>3.6</v>
      </c>
      <c r="H577" t="n">
        <v>0</v>
      </c>
      <c r="I577" t="n">
        <v>0</v>
      </c>
      <c r="J577" t="n">
        <v>0</v>
      </c>
      <c r="K577" t="n">
        <v>0</v>
      </c>
      <c r="L577" t="n">
        <v>0</v>
      </c>
      <c r="M577" t="n">
        <v>0</v>
      </c>
      <c r="N577" t="n">
        <v>0</v>
      </c>
      <c r="O577" t="n">
        <v>0</v>
      </c>
      <c r="P577" t="n">
        <v>0</v>
      </c>
      <c r="Q577" t="n">
        <v>0</v>
      </c>
      <c r="R577" s="2" t="inlineStr"/>
    </row>
    <row r="578" ht="15" customHeight="1">
      <c r="A578" t="inlineStr">
        <is>
          <t>A 21616-2019</t>
        </is>
      </c>
      <c r="B578" s="1" t="n">
        <v>43581</v>
      </c>
      <c r="C578" s="1" t="n">
        <v>45345</v>
      </c>
      <c r="D578" t="inlineStr">
        <is>
          <t>STOCKHOLMS LÄN</t>
        </is>
      </c>
      <c r="E578" t="inlineStr">
        <is>
          <t>NORRTÄLJE</t>
        </is>
      </c>
      <c r="G578" t="n">
        <v>5.3</v>
      </c>
      <c r="H578" t="n">
        <v>0</v>
      </c>
      <c r="I578" t="n">
        <v>0</v>
      </c>
      <c r="J578" t="n">
        <v>0</v>
      </c>
      <c r="K578" t="n">
        <v>0</v>
      </c>
      <c r="L578" t="n">
        <v>0</v>
      </c>
      <c r="M578" t="n">
        <v>0</v>
      </c>
      <c r="N578" t="n">
        <v>0</v>
      </c>
      <c r="O578" t="n">
        <v>0</v>
      </c>
      <c r="P578" t="n">
        <v>0</v>
      </c>
      <c r="Q578" t="n">
        <v>0</v>
      </c>
      <c r="R578" s="2" t="inlineStr"/>
    </row>
    <row r="579" ht="15" customHeight="1">
      <c r="A579" t="inlineStr">
        <is>
          <t>A 21662-2019</t>
        </is>
      </c>
      <c r="B579" s="1" t="n">
        <v>43581</v>
      </c>
      <c r="C579" s="1" t="n">
        <v>45345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21720-2019</t>
        </is>
      </c>
      <c r="B580" s="1" t="n">
        <v>43581</v>
      </c>
      <c r="C580" s="1" t="n">
        <v>45345</v>
      </c>
      <c r="D580" t="inlineStr">
        <is>
          <t>STOCKHOLMS LÄN</t>
        </is>
      </c>
      <c r="E580" t="inlineStr">
        <is>
          <t>NORRTÄLJE</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21692-2019</t>
        </is>
      </c>
      <c r="B581" s="1" t="n">
        <v>43581</v>
      </c>
      <c r="C581" s="1" t="n">
        <v>45345</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21811-2019</t>
        </is>
      </c>
      <c r="B582" s="1" t="n">
        <v>43582</v>
      </c>
      <c r="C582" s="1" t="n">
        <v>45345</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22207-2019</t>
        </is>
      </c>
      <c r="B583" s="1" t="n">
        <v>43585</v>
      </c>
      <c r="C583" s="1" t="n">
        <v>45345</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22211-2019</t>
        </is>
      </c>
      <c r="B584" s="1" t="n">
        <v>43585</v>
      </c>
      <c r="C584" s="1" t="n">
        <v>45345</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22254-2019</t>
        </is>
      </c>
      <c r="B585" s="1" t="n">
        <v>43585</v>
      </c>
      <c r="C585" s="1" t="n">
        <v>45345</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22218-2019</t>
        </is>
      </c>
      <c r="B586" s="1" t="n">
        <v>43585</v>
      </c>
      <c r="C586" s="1" t="n">
        <v>45345</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22331-2019</t>
        </is>
      </c>
      <c r="B587" s="1" t="n">
        <v>43586</v>
      </c>
      <c r="C587" s="1" t="n">
        <v>45345</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22359-2019</t>
        </is>
      </c>
      <c r="B588" s="1" t="n">
        <v>43587</v>
      </c>
      <c r="C588" s="1" t="n">
        <v>45345</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22422-2019</t>
        </is>
      </c>
      <c r="B589" s="1" t="n">
        <v>43587</v>
      </c>
      <c r="C589" s="1" t="n">
        <v>45345</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22490-2019</t>
        </is>
      </c>
      <c r="B590" s="1" t="n">
        <v>43587</v>
      </c>
      <c r="C590" s="1" t="n">
        <v>45345</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22496-2019</t>
        </is>
      </c>
      <c r="B591" s="1" t="n">
        <v>43587</v>
      </c>
      <c r="C591" s="1" t="n">
        <v>45345</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23711-2019</t>
        </is>
      </c>
      <c r="B592" s="1" t="n">
        <v>43594</v>
      </c>
      <c r="C592" s="1" t="n">
        <v>45345</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23710-2019</t>
        </is>
      </c>
      <c r="B593" s="1" t="n">
        <v>43594</v>
      </c>
      <c r="C593" s="1" t="n">
        <v>45345</v>
      </c>
      <c r="D593" t="inlineStr">
        <is>
          <t>STOCKHOLMS LÄN</t>
        </is>
      </c>
      <c r="E593" t="inlineStr">
        <is>
          <t>NORRTÄLJE</t>
        </is>
      </c>
      <c r="G593" t="n">
        <v>2.2</v>
      </c>
      <c r="H593" t="n">
        <v>0</v>
      </c>
      <c r="I593" t="n">
        <v>0</v>
      </c>
      <c r="J593" t="n">
        <v>0</v>
      </c>
      <c r="K593" t="n">
        <v>0</v>
      </c>
      <c r="L593" t="n">
        <v>0</v>
      </c>
      <c r="M593" t="n">
        <v>0</v>
      </c>
      <c r="N593" t="n">
        <v>0</v>
      </c>
      <c r="O593" t="n">
        <v>0</v>
      </c>
      <c r="P593" t="n">
        <v>0</v>
      </c>
      <c r="Q593" t="n">
        <v>0</v>
      </c>
      <c r="R593" s="2" t="inlineStr"/>
    </row>
    <row r="594" ht="15" customHeight="1">
      <c r="A594" t="inlineStr">
        <is>
          <t>A 23862-2019</t>
        </is>
      </c>
      <c r="B594" s="1" t="n">
        <v>43595</v>
      </c>
      <c r="C594" s="1" t="n">
        <v>45345</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23878-2019</t>
        </is>
      </c>
      <c r="B595" s="1" t="n">
        <v>43595</v>
      </c>
      <c r="C595" s="1" t="n">
        <v>45345</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23961-2019</t>
        </is>
      </c>
      <c r="B596" s="1" t="n">
        <v>43597</v>
      </c>
      <c r="C596" s="1" t="n">
        <v>45345</v>
      </c>
      <c r="D596" t="inlineStr">
        <is>
          <t>STOCKHOLMS LÄN</t>
        </is>
      </c>
      <c r="E596" t="inlineStr">
        <is>
          <t>NORRTÄLJE</t>
        </is>
      </c>
      <c r="G596" t="n">
        <v>17.6</v>
      </c>
      <c r="H596" t="n">
        <v>0</v>
      </c>
      <c r="I596" t="n">
        <v>0</v>
      </c>
      <c r="J596" t="n">
        <v>0</v>
      </c>
      <c r="K596" t="n">
        <v>0</v>
      </c>
      <c r="L596" t="n">
        <v>0</v>
      </c>
      <c r="M596" t="n">
        <v>0</v>
      </c>
      <c r="N596" t="n">
        <v>0</v>
      </c>
      <c r="O596" t="n">
        <v>0</v>
      </c>
      <c r="P596" t="n">
        <v>0</v>
      </c>
      <c r="Q596" t="n">
        <v>0</v>
      </c>
      <c r="R596" s="2" t="inlineStr"/>
    </row>
    <row r="597" ht="15" customHeight="1">
      <c r="A597" t="inlineStr">
        <is>
          <t>A 23965-2019</t>
        </is>
      </c>
      <c r="B597" s="1" t="n">
        <v>43597</v>
      </c>
      <c r="C597" s="1" t="n">
        <v>45345</v>
      </c>
      <c r="D597" t="inlineStr">
        <is>
          <t>STOCKHOLMS LÄN</t>
        </is>
      </c>
      <c r="E597" t="inlineStr">
        <is>
          <t>NORRTÄLJE</t>
        </is>
      </c>
      <c r="G597" t="n">
        <v>6.1</v>
      </c>
      <c r="H597" t="n">
        <v>0</v>
      </c>
      <c r="I597" t="n">
        <v>0</v>
      </c>
      <c r="J597" t="n">
        <v>0</v>
      </c>
      <c r="K597" t="n">
        <v>0</v>
      </c>
      <c r="L597" t="n">
        <v>0</v>
      </c>
      <c r="M597" t="n">
        <v>0</v>
      </c>
      <c r="N597" t="n">
        <v>0</v>
      </c>
      <c r="O597" t="n">
        <v>0</v>
      </c>
      <c r="P597" t="n">
        <v>0</v>
      </c>
      <c r="Q597" t="n">
        <v>0</v>
      </c>
      <c r="R597" s="2" t="inlineStr"/>
    </row>
    <row r="598" ht="15" customHeight="1">
      <c r="A598" t="inlineStr">
        <is>
          <t>A 23963-2019</t>
        </is>
      </c>
      <c r="B598" s="1" t="n">
        <v>43597</v>
      </c>
      <c r="C598" s="1" t="n">
        <v>45345</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24124-2019</t>
        </is>
      </c>
      <c r="B599" s="1" t="n">
        <v>43598</v>
      </c>
      <c r="C599" s="1" t="n">
        <v>45345</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24058-2019</t>
        </is>
      </c>
      <c r="B600" s="1" t="n">
        <v>43598</v>
      </c>
      <c r="C600" s="1" t="n">
        <v>45345</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24562-2019</t>
        </is>
      </c>
      <c r="B601" s="1" t="n">
        <v>43600</v>
      </c>
      <c r="C601" s="1" t="n">
        <v>45345</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24721-2019</t>
        </is>
      </c>
      <c r="B602" s="1" t="n">
        <v>43601</v>
      </c>
      <c r="C602" s="1" t="n">
        <v>45345</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25284-2019</t>
        </is>
      </c>
      <c r="B603" s="1" t="n">
        <v>43605</v>
      </c>
      <c r="C603" s="1" t="n">
        <v>45345</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25535-2019</t>
        </is>
      </c>
      <c r="B604" s="1" t="n">
        <v>43606</v>
      </c>
      <c r="C604" s="1" t="n">
        <v>45345</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25316-2019</t>
        </is>
      </c>
      <c r="B605" s="1" t="n">
        <v>43606</v>
      </c>
      <c r="C605" s="1" t="n">
        <v>45345</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26374-2019</t>
        </is>
      </c>
      <c r="B606" s="1" t="n">
        <v>43606</v>
      </c>
      <c r="C606" s="1" t="n">
        <v>45345</v>
      </c>
      <c r="D606" t="inlineStr">
        <is>
          <t>STOCKHOLMS LÄN</t>
        </is>
      </c>
      <c r="E606" t="inlineStr">
        <is>
          <t>NORRTÄLJE</t>
        </is>
      </c>
      <c r="G606" t="n">
        <v>11.6</v>
      </c>
      <c r="H606" t="n">
        <v>0</v>
      </c>
      <c r="I606" t="n">
        <v>0</v>
      </c>
      <c r="J606" t="n">
        <v>0</v>
      </c>
      <c r="K606" t="n">
        <v>0</v>
      </c>
      <c r="L606" t="n">
        <v>0</v>
      </c>
      <c r="M606" t="n">
        <v>0</v>
      </c>
      <c r="N606" t="n">
        <v>0</v>
      </c>
      <c r="O606" t="n">
        <v>0</v>
      </c>
      <c r="P606" t="n">
        <v>0</v>
      </c>
      <c r="Q606" t="n">
        <v>0</v>
      </c>
      <c r="R606" s="2" t="inlineStr"/>
    </row>
    <row r="607" ht="15" customHeight="1">
      <c r="A607" t="inlineStr">
        <is>
          <t>A 25315-2019</t>
        </is>
      </c>
      <c r="B607" s="1" t="n">
        <v>43606</v>
      </c>
      <c r="C607" s="1" t="n">
        <v>45345</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25625-2019</t>
        </is>
      </c>
      <c r="B608" s="1" t="n">
        <v>43607</v>
      </c>
      <c r="C608" s="1" t="n">
        <v>45345</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26272-2019</t>
        </is>
      </c>
      <c r="B609" s="1" t="n">
        <v>43611</v>
      </c>
      <c r="C609" s="1" t="n">
        <v>45345</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26620-2019</t>
        </is>
      </c>
      <c r="B610" s="1" t="n">
        <v>43612</v>
      </c>
      <c r="C610" s="1" t="n">
        <v>45345</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26391-2019</t>
        </is>
      </c>
      <c r="B611" s="1" t="n">
        <v>43612</v>
      </c>
      <c r="C611" s="1" t="n">
        <v>45345</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26933-2019</t>
        </is>
      </c>
      <c r="B612" s="1" t="n">
        <v>43613</v>
      </c>
      <c r="C612" s="1" t="n">
        <v>45345</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26830-2019</t>
        </is>
      </c>
      <c r="B613" s="1" t="n">
        <v>43613</v>
      </c>
      <c r="C613" s="1" t="n">
        <v>45345</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27095-2019</t>
        </is>
      </c>
      <c r="B614" s="1" t="n">
        <v>43614</v>
      </c>
      <c r="C614" s="1" t="n">
        <v>45345</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28157-2019</t>
        </is>
      </c>
      <c r="B615" s="1" t="n">
        <v>43614</v>
      </c>
      <c r="C615" s="1" t="n">
        <v>45345</v>
      </c>
      <c r="D615" t="inlineStr">
        <is>
          <t>STOCKHOLMS LÄN</t>
        </is>
      </c>
      <c r="E615" t="inlineStr">
        <is>
          <t>NORRTÄLJE</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27264-2019</t>
        </is>
      </c>
      <c r="B616" s="1" t="n">
        <v>43615</v>
      </c>
      <c r="C616" s="1" t="n">
        <v>45345</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27971-2019</t>
        </is>
      </c>
      <c r="B617" s="1" t="n">
        <v>43620</v>
      </c>
      <c r="C617" s="1" t="n">
        <v>45345</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27967-2019</t>
        </is>
      </c>
      <c r="B618" s="1" t="n">
        <v>43620</v>
      </c>
      <c r="C618" s="1" t="n">
        <v>45345</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28121-2019</t>
        </is>
      </c>
      <c r="B619" s="1" t="n">
        <v>43621</v>
      </c>
      <c r="C619" s="1" t="n">
        <v>45345</v>
      </c>
      <c r="D619" t="inlineStr">
        <is>
          <t>STOCKHOLMS LÄN</t>
        </is>
      </c>
      <c r="E619" t="inlineStr">
        <is>
          <t>NORRTÄLJE</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28289-2019</t>
        </is>
      </c>
      <c r="B620" s="1" t="n">
        <v>43623</v>
      </c>
      <c r="C620" s="1" t="n">
        <v>45345</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28519-2019</t>
        </is>
      </c>
      <c r="B621" s="1" t="n">
        <v>43626</v>
      </c>
      <c r="C621" s="1" t="n">
        <v>45345</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28495-2019</t>
        </is>
      </c>
      <c r="B622" s="1" t="n">
        <v>43626</v>
      </c>
      <c r="C622" s="1" t="n">
        <v>45345</v>
      </c>
      <c r="D622" t="inlineStr">
        <is>
          <t>STOCKHOLMS LÄN</t>
        </is>
      </c>
      <c r="E622" t="inlineStr">
        <is>
          <t>NORRTÄLJE</t>
        </is>
      </c>
      <c r="G622" t="n">
        <v>14.7</v>
      </c>
      <c r="H622" t="n">
        <v>0</v>
      </c>
      <c r="I622" t="n">
        <v>0</v>
      </c>
      <c r="J622" t="n">
        <v>0</v>
      </c>
      <c r="K622" t="n">
        <v>0</v>
      </c>
      <c r="L622" t="n">
        <v>0</v>
      </c>
      <c r="M622" t="n">
        <v>0</v>
      </c>
      <c r="N622" t="n">
        <v>0</v>
      </c>
      <c r="O622" t="n">
        <v>0</v>
      </c>
      <c r="P622" t="n">
        <v>0</v>
      </c>
      <c r="Q622" t="n">
        <v>0</v>
      </c>
      <c r="R622" s="2" t="inlineStr"/>
    </row>
    <row r="623" ht="15" customHeight="1">
      <c r="A623" t="inlineStr">
        <is>
          <t>A 28394-2019</t>
        </is>
      </c>
      <c r="B623" s="1" t="n">
        <v>43626</v>
      </c>
      <c r="C623" s="1" t="n">
        <v>45345</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45345</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29312-2019</t>
        </is>
      </c>
      <c r="B625" s="1" t="n">
        <v>43629</v>
      </c>
      <c r="C625" s="1" t="n">
        <v>45345</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29759-2019</t>
        </is>
      </c>
      <c r="B626" s="1" t="n">
        <v>43631</v>
      </c>
      <c r="C626" s="1" t="n">
        <v>45345</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30000-2019</t>
        </is>
      </c>
      <c r="B627" s="1" t="n">
        <v>43633</v>
      </c>
      <c r="C627" s="1" t="n">
        <v>45345</v>
      </c>
      <c r="D627" t="inlineStr">
        <is>
          <t>STOCKHOLMS LÄN</t>
        </is>
      </c>
      <c r="E627" t="inlineStr">
        <is>
          <t>NORRTÄLJE</t>
        </is>
      </c>
      <c r="G627" t="n">
        <v>5.4</v>
      </c>
      <c r="H627" t="n">
        <v>0</v>
      </c>
      <c r="I627" t="n">
        <v>0</v>
      </c>
      <c r="J627" t="n">
        <v>0</v>
      </c>
      <c r="K627" t="n">
        <v>0</v>
      </c>
      <c r="L627" t="n">
        <v>0</v>
      </c>
      <c r="M627" t="n">
        <v>0</v>
      </c>
      <c r="N627" t="n">
        <v>0</v>
      </c>
      <c r="O627" t="n">
        <v>0</v>
      </c>
      <c r="P627" t="n">
        <v>0</v>
      </c>
      <c r="Q627" t="n">
        <v>0</v>
      </c>
      <c r="R627" s="2" t="inlineStr"/>
    </row>
    <row r="628" ht="15" customHeight="1">
      <c r="A628" t="inlineStr">
        <is>
          <t>A 30833-2019</t>
        </is>
      </c>
      <c r="B628" s="1" t="n">
        <v>43636</v>
      </c>
      <c r="C628" s="1" t="n">
        <v>45345</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31215-2019</t>
        </is>
      </c>
      <c r="B629" s="1" t="n">
        <v>43640</v>
      </c>
      <c r="C629" s="1" t="n">
        <v>45345</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31017-2019</t>
        </is>
      </c>
      <c r="B630" s="1" t="n">
        <v>43640</v>
      </c>
      <c r="C630" s="1" t="n">
        <v>45345</v>
      </c>
      <c r="D630" t="inlineStr">
        <is>
          <t>STOCKHOLMS LÄN</t>
        </is>
      </c>
      <c r="E630" t="inlineStr">
        <is>
          <t>NORRTÄLJE</t>
        </is>
      </c>
      <c r="G630" t="n">
        <v>3.4</v>
      </c>
      <c r="H630" t="n">
        <v>0</v>
      </c>
      <c r="I630" t="n">
        <v>0</v>
      </c>
      <c r="J630" t="n">
        <v>0</v>
      </c>
      <c r="K630" t="n">
        <v>0</v>
      </c>
      <c r="L630" t="n">
        <v>0</v>
      </c>
      <c r="M630" t="n">
        <v>0</v>
      </c>
      <c r="N630" t="n">
        <v>0</v>
      </c>
      <c r="O630" t="n">
        <v>0</v>
      </c>
      <c r="P630" t="n">
        <v>0</v>
      </c>
      <c r="Q630" t="n">
        <v>0</v>
      </c>
      <c r="R630" s="2" t="inlineStr"/>
    </row>
    <row r="631" ht="15" customHeight="1">
      <c r="A631" t="inlineStr">
        <is>
          <t>A 31966-2019</t>
        </is>
      </c>
      <c r="B631" s="1" t="n">
        <v>43643</v>
      </c>
      <c r="C631" s="1" t="n">
        <v>45345</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32725-2019</t>
        </is>
      </c>
      <c r="B632" s="1" t="n">
        <v>43647</v>
      </c>
      <c r="C632" s="1" t="n">
        <v>45345</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32726-2019</t>
        </is>
      </c>
      <c r="B633" s="1" t="n">
        <v>43647</v>
      </c>
      <c r="C633" s="1" t="n">
        <v>45345</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33207-2019</t>
        </is>
      </c>
      <c r="B634" s="1" t="n">
        <v>43649</v>
      </c>
      <c r="C634" s="1" t="n">
        <v>45345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33955-2019</t>
        </is>
      </c>
      <c r="B635" s="1" t="n">
        <v>43654</v>
      </c>
      <c r="C635" s="1" t="n">
        <v>45345</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33966-2019</t>
        </is>
      </c>
      <c r="B636" s="1" t="n">
        <v>43654</v>
      </c>
      <c r="C636" s="1" t="n">
        <v>45345</v>
      </c>
      <c r="D636" t="inlineStr">
        <is>
          <t>STOCKHOLMS LÄN</t>
        </is>
      </c>
      <c r="E636" t="inlineStr">
        <is>
          <t>NORRTÄLJE</t>
        </is>
      </c>
      <c r="G636" t="n">
        <v>3.2</v>
      </c>
      <c r="H636" t="n">
        <v>0</v>
      </c>
      <c r="I636" t="n">
        <v>0</v>
      </c>
      <c r="J636" t="n">
        <v>0</v>
      </c>
      <c r="K636" t="n">
        <v>0</v>
      </c>
      <c r="L636" t="n">
        <v>0</v>
      </c>
      <c r="M636" t="n">
        <v>0</v>
      </c>
      <c r="N636" t="n">
        <v>0</v>
      </c>
      <c r="O636" t="n">
        <v>0</v>
      </c>
      <c r="P636" t="n">
        <v>0</v>
      </c>
      <c r="Q636" t="n">
        <v>0</v>
      </c>
      <c r="R636" s="2" t="inlineStr"/>
    </row>
    <row r="637" ht="15" customHeight="1">
      <c r="A637" t="inlineStr">
        <is>
          <t>A 35247-2019</t>
        </is>
      </c>
      <c r="B637" s="1" t="n">
        <v>43656</v>
      </c>
      <c r="C637" s="1" t="n">
        <v>45345</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35244-2019</t>
        </is>
      </c>
      <c r="B638" s="1" t="n">
        <v>43656</v>
      </c>
      <c r="C638" s="1" t="n">
        <v>45345</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35249-2019</t>
        </is>
      </c>
      <c r="B639" s="1" t="n">
        <v>43656</v>
      </c>
      <c r="C639" s="1" t="n">
        <v>45345</v>
      </c>
      <c r="D639" t="inlineStr">
        <is>
          <t>STOCKHOLMS LÄN</t>
        </is>
      </c>
      <c r="E639" t="inlineStr">
        <is>
          <t>NORRTÄLJE</t>
        </is>
      </c>
      <c r="G639" t="n">
        <v>0.8</v>
      </c>
      <c r="H639" t="n">
        <v>0</v>
      </c>
      <c r="I639" t="n">
        <v>0</v>
      </c>
      <c r="J639" t="n">
        <v>0</v>
      </c>
      <c r="K639" t="n">
        <v>0</v>
      </c>
      <c r="L639" t="n">
        <v>0</v>
      </c>
      <c r="M639" t="n">
        <v>0</v>
      </c>
      <c r="N639" t="n">
        <v>0</v>
      </c>
      <c r="O639" t="n">
        <v>0</v>
      </c>
      <c r="P639" t="n">
        <v>0</v>
      </c>
      <c r="Q639" t="n">
        <v>0</v>
      </c>
      <c r="R639" s="2" t="inlineStr"/>
    </row>
    <row r="640" ht="15" customHeight="1">
      <c r="A640" t="inlineStr">
        <is>
          <t>A 35251-2019</t>
        </is>
      </c>
      <c r="B640" s="1" t="n">
        <v>43656</v>
      </c>
      <c r="C640" s="1" t="n">
        <v>45345</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35492-2019</t>
        </is>
      </c>
      <c r="B641" s="1" t="n">
        <v>43663</v>
      </c>
      <c r="C641" s="1" t="n">
        <v>45345</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35770-2019</t>
        </is>
      </c>
      <c r="B642" s="1" t="n">
        <v>43665</v>
      </c>
      <c r="C642" s="1" t="n">
        <v>45345</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35766-2019</t>
        </is>
      </c>
      <c r="B643" s="1" t="n">
        <v>43665</v>
      </c>
      <c r="C643" s="1" t="n">
        <v>45345</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36418-2019</t>
        </is>
      </c>
      <c r="B644" s="1" t="n">
        <v>43670</v>
      </c>
      <c r="C644" s="1" t="n">
        <v>45345</v>
      </c>
      <c r="D644" t="inlineStr">
        <is>
          <t>STOCKHOLMS LÄN</t>
        </is>
      </c>
      <c r="E644" t="inlineStr">
        <is>
          <t>NORRTÄLJE</t>
        </is>
      </c>
      <c r="G644" t="n">
        <v>16.8</v>
      </c>
      <c r="H644" t="n">
        <v>0</v>
      </c>
      <c r="I644" t="n">
        <v>0</v>
      </c>
      <c r="J644" t="n">
        <v>0</v>
      </c>
      <c r="K644" t="n">
        <v>0</v>
      </c>
      <c r="L644" t="n">
        <v>0</v>
      </c>
      <c r="M644" t="n">
        <v>0</v>
      </c>
      <c r="N644" t="n">
        <v>0</v>
      </c>
      <c r="O644" t="n">
        <v>0</v>
      </c>
      <c r="P644" t="n">
        <v>0</v>
      </c>
      <c r="Q644" t="n">
        <v>0</v>
      </c>
      <c r="R644" s="2" t="inlineStr"/>
    </row>
    <row r="645" ht="15" customHeight="1">
      <c r="A645" t="inlineStr">
        <is>
          <t>A 37401-2019</t>
        </is>
      </c>
      <c r="B645" s="1" t="n">
        <v>43678</v>
      </c>
      <c r="C645" s="1" t="n">
        <v>45345</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37662-2019</t>
        </is>
      </c>
      <c r="B646" s="1" t="n">
        <v>43682</v>
      </c>
      <c r="C646" s="1" t="n">
        <v>45345</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38144-2019</t>
        </is>
      </c>
      <c r="B647" s="1" t="n">
        <v>43684</v>
      </c>
      <c r="C647" s="1" t="n">
        <v>45345</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38139-2019</t>
        </is>
      </c>
      <c r="B648" s="1" t="n">
        <v>43684</v>
      </c>
      <c r="C648" s="1" t="n">
        <v>45345</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38145-2019</t>
        </is>
      </c>
      <c r="B649" s="1" t="n">
        <v>43684</v>
      </c>
      <c r="C649" s="1" t="n">
        <v>45345</v>
      </c>
      <c r="D649" t="inlineStr">
        <is>
          <t>STOCKHOLMS LÄN</t>
        </is>
      </c>
      <c r="E649" t="inlineStr">
        <is>
          <t>NORRTÄLJE</t>
        </is>
      </c>
      <c r="G649" t="n">
        <v>9.9</v>
      </c>
      <c r="H649" t="n">
        <v>0</v>
      </c>
      <c r="I649" t="n">
        <v>0</v>
      </c>
      <c r="J649" t="n">
        <v>0</v>
      </c>
      <c r="K649" t="n">
        <v>0</v>
      </c>
      <c r="L649" t="n">
        <v>0</v>
      </c>
      <c r="M649" t="n">
        <v>0</v>
      </c>
      <c r="N649" t="n">
        <v>0</v>
      </c>
      <c r="O649" t="n">
        <v>0</v>
      </c>
      <c r="P649" t="n">
        <v>0</v>
      </c>
      <c r="Q649" t="n">
        <v>0</v>
      </c>
      <c r="R649" s="2" t="inlineStr"/>
    </row>
    <row r="650" ht="15" customHeight="1">
      <c r="A650" t="inlineStr">
        <is>
          <t>A 38140-2019</t>
        </is>
      </c>
      <c r="B650" s="1" t="n">
        <v>43684</v>
      </c>
      <c r="C650" s="1" t="n">
        <v>45345</v>
      </c>
      <c r="D650" t="inlineStr">
        <is>
          <t>STOCKHOLMS LÄN</t>
        </is>
      </c>
      <c r="E650" t="inlineStr">
        <is>
          <t>NORRTÄLJE</t>
        </is>
      </c>
      <c r="G650" t="n">
        <v>3.4</v>
      </c>
      <c r="H650" t="n">
        <v>0</v>
      </c>
      <c r="I650" t="n">
        <v>0</v>
      </c>
      <c r="J650" t="n">
        <v>0</v>
      </c>
      <c r="K650" t="n">
        <v>0</v>
      </c>
      <c r="L650" t="n">
        <v>0</v>
      </c>
      <c r="M650" t="n">
        <v>0</v>
      </c>
      <c r="N650" t="n">
        <v>0</v>
      </c>
      <c r="O650" t="n">
        <v>0</v>
      </c>
      <c r="P650" t="n">
        <v>0</v>
      </c>
      <c r="Q650" t="n">
        <v>0</v>
      </c>
      <c r="R650" s="2" t="inlineStr"/>
    </row>
    <row r="651" ht="15" customHeight="1">
      <c r="A651" t="inlineStr">
        <is>
          <t>A 38143-2019</t>
        </is>
      </c>
      <c r="B651" s="1" t="n">
        <v>43684</v>
      </c>
      <c r="C651" s="1" t="n">
        <v>45345</v>
      </c>
      <c r="D651" t="inlineStr">
        <is>
          <t>STOCKHOLMS LÄN</t>
        </is>
      </c>
      <c r="E651" t="inlineStr">
        <is>
          <t>NORRTÄLJE</t>
        </is>
      </c>
      <c r="G651" t="n">
        <v>12.7</v>
      </c>
      <c r="H651" t="n">
        <v>0</v>
      </c>
      <c r="I651" t="n">
        <v>0</v>
      </c>
      <c r="J651" t="n">
        <v>0</v>
      </c>
      <c r="K651" t="n">
        <v>0</v>
      </c>
      <c r="L651" t="n">
        <v>0</v>
      </c>
      <c r="M651" t="n">
        <v>0</v>
      </c>
      <c r="N651" t="n">
        <v>0</v>
      </c>
      <c r="O651" t="n">
        <v>0</v>
      </c>
      <c r="P651" t="n">
        <v>0</v>
      </c>
      <c r="Q651" t="n">
        <v>0</v>
      </c>
      <c r="R651" s="2" t="inlineStr"/>
    </row>
    <row r="652" ht="15" customHeight="1">
      <c r="A652" t="inlineStr">
        <is>
          <t>A 38506-2019</t>
        </is>
      </c>
      <c r="B652" s="1" t="n">
        <v>43685</v>
      </c>
      <c r="C652" s="1" t="n">
        <v>45345</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38605-2019</t>
        </is>
      </c>
      <c r="B653" s="1" t="n">
        <v>43686</v>
      </c>
      <c r="C653" s="1" t="n">
        <v>45345</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38737-2019</t>
        </is>
      </c>
      <c r="B654" s="1" t="n">
        <v>43686</v>
      </c>
      <c r="C654" s="1" t="n">
        <v>45345</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40571-2019</t>
        </is>
      </c>
      <c r="B655" s="1" t="n">
        <v>43696</v>
      </c>
      <c r="C655" s="1" t="n">
        <v>45345</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42330-2019</t>
        </is>
      </c>
      <c r="B656" s="1" t="n">
        <v>43703</v>
      </c>
      <c r="C656" s="1" t="n">
        <v>45345</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43379-2019</t>
        </is>
      </c>
      <c r="B657" s="1" t="n">
        <v>43703</v>
      </c>
      <c r="C657" s="1" t="n">
        <v>45345</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43296-2019</t>
        </is>
      </c>
      <c r="B658" s="1" t="n">
        <v>43706</v>
      </c>
      <c r="C658" s="1" t="n">
        <v>45345</v>
      </c>
      <c r="D658" t="inlineStr">
        <is>
          <t>STOCKHOLMS LÄN</t>
        </is>
      </c>
      <c r="E658" t="inlineStr">
        <is>
          <t>NORRTÄLJE</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44643-2019</t>
        </is>
      </c>
      <c r="B659" s="1" t="n">
        <v>43712</v>
      </c>
      <c r="C659" s="1" t="n">
        <v>45345</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45463-2019</t>
        </is>
      </c>
      <c r="B660" s="1" t="n">
        <v>43714</v>
      </c>
      <c r="C660" s="1" t="n">
        <v>45345</v>
      </c>
      <c r="D660" t="inlineStr">
        <is>
          <t>STOCKHOLMS LÄN</t>
        </is>
      </c>
      <c r="E660" t="inlineStr">
        <is>
          <t>NORRTÄLJE</t>
        </is>
      </c>
      <c r="F660" t="inlineStr">
        <is>
          <t>Övriga statliga verk och myndigheter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45477-2019</t>
        </is>
      </c>
      <c r="B661" s="1" t="n">
        <v>43714</v>
      </c>
      <c r="C661" s="1" t="n">
        <v>45345</v>
      </c>
      <c r="D661" t="inlineStr">
        <is>
          <t>STOCKHOLMS LÄN</t>
        </is>
      </c>
      <c r="E661" t="inlineStr">
        <is>
          <t>NORRTÄLJE</t>
        </is>
      </c>
      <c r="F661" t="inlineStr">
        <is>
          <t>Övriga statliga verk och myndigheter</t>
        </is>
      </c>
      <c r="G661" t="n">
        <v>8.9</v>
      </c>
      <c r="H661" t="n">
        <v>0</v>
      </c>
      <c r="I661" t="n">
        <v>0</v>
      </c>
      <c r="J661" t="n">
        <v>0</v>
      </c>
      <c r="K661" t="n">
        <v>0</v>
      </c>
      <c r="L661" t="n">
        <v>0</v>
      </c>
      <c r="M661" t="n">
        <v>0</v>
      </c>
      <c r="N661" t="n">
        <v>0</v>
      </c>
      <c r="O661" t="n">
        <v>0</v>
      </c>
      <c r="P661" t="n">
        <v>0</v>
      </c>
      <c r="Q661" t="n">
        <v>0</v>
      </c>
      <c r="R661" s="2" t="inlineStr"/>
    </row>
    <row r="662" ht="15" customHeight="1">
      <c r="A662" t="inlineStr">
        <is>
          <t>A 46327-2019</t>
        </is>
      </c>
      <c r="B662" s="1" t="n">
        <v>43718</v>
      </c>
      <c r="C662" s="1" t="n">
        <v>45345</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47876-2019</t>
        </is>
      </c>
      <c r="B663" s="1" t="n">
        <v>43725</v>
      </c>
      <c r="C663" s="1" t="n">
        <v>45345</v>
      </c>
      <c r="D663" t="inlineStr">
        <is>
          <t>STOCKHOLMS LÄN</t>
        </is>
      </c>
      <c r="E663" t="inlineStr">
        <is>
          <t>NORRTÄLJE</t>
        </is>
      </c>
      <c r="G663" t="n">
        <v>11.4</v>
      </c>
      <c r="H663" t="n">
        <v>0</v>
      </c>
      <c r="I663" t="n">
        <v>0</v>
      </c>
      <c r="J663" t="n">
        <v>0</v>
      </c>
      <c r="K663" t="n">
        <v>0</v>
      </c>
      <c r="L663" t="n">
        <v>0</v>
      </c>
      <c r="M663" t="n">
        <v>0</v>
      </c>
      <c r="N663" t="n">
        <v>0</v>
      </c>
      <c r="O663" t="n">
        <v>0</v>
      </c>
      <c r="P663" t="n">
        <v>0</v>
      </c>
      <c r="Q663" t="n">
        <v>0</v>
      </c>
      <c r="R663" s="2" t="inlineStr"/>
    </row>
    <row r="664" ht="15" customHeight="1">
      <c r="A664" t="inlineStr">
        <is>
          <t>A 47877-2019</t>
        </is>
      </c>
      <c r="B664" s="1" t="n">
        <v>43725</v>
      </c>
      <c r="C664" s="1" t="n">
        <v>45345</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47903-2019</t>
        </is>
      </c>
      <c r="B665" s="1" t="n">
        <v>43725</v>
      </c>
      <c r="C665" s="1" t="n">
        <v>45345</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47901-2019</t>
        </is>
      </c>
      <c r="B666" s="1" t="n">
        <v>43725</v>
      </c>
      <c r="C666" s="1" t="n">
        <v>45345</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47939-2019</t>
        </is>
      </c>
      <c r="B667" s="1" t="n">
        <v>43725</v>
      </c>
      <c r="C667" s="1" t="n">
        <v>45345</v>
      </c>
      <c r="D667" t="inlineStr">
        <is>
          <t>STOCKHOLMS LÄN</t>
        </is>
      </c>
      <c r="E667" t="inlineStr">
        <is>
          <t>NORRTÄLJE</t>
        </is>
      </c>
      <c r="G667" t="n">
        <v>4.5</v>
      </c>
      <c r="H667" t="n">
        <v>0</v>
      </c>
      <c r="I667" t="n">
        <v>0</v>
      </c>
      <c r="J667" t="n">
        <v>0</v>
      </c>
      <c r="K667" t="n">
        <v>0</v>
      </c>
      <c r="L667" t="n">
        <v>0</v>
      </c>
      <c r="M667" t="n">
        <v>0</v>
      </c>
      <c r="N667" t="n">
        <v>0</v>
      </c>
      <c r="O667" t="n">
        <v>0</v>
      </c>
      <c r="P667" t="n">
        <v>0</v>
      </c>
      <c r="Q667" t="n">
        <v>0</v>
      </c>
      <c r="R667" s="2" t="inlineStr"/>
    </row>
    <row r="668" ht="15" customHeight="1">
      <c r="A668" t="inlineStr">
        <is>
          <t>A 47941-2019</t>
        </is>
      </c>
      <c r="B668" s="1" t="n">
        <v>43725</v>
      </c>
      <c r="C668" s="1" t="n">
        <v>45345</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47879-2019</t>
        </is>
      </c>
      <c r="B669" s="1" t="n">
        <v>43725</v>
      </c>
      <c r="C669" s="1" t="n">
        <v>45345</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48730-2019</t>
        </is>
      </c>
      <c r="B670" s="1" t="n">
        <v>43728</v>
      </c>
      <c r="C670" s="1" t="n">
        <v>45345</v>
      </c>
      <c r="D670" t="inlineStr">
        <is>
          <t>STOCKHOLMS LÄN</t>
        </is>
      </c>
      <c r="E670" t="inlineStr">
        <is>
          <t>NORRTÄLJE</t>
        </is>
      </c>
      <c r="F670" t="inlineStr">
        <is>
          <t>Övriga statliga verk och myndigheter</t>
        </is>
      </c>
      <c r="G670" t="n">
        <v>1.3</v>
      </c>
      <c r="H670" t="n">
        <v>0</v>
      </c>
      <c r="I670" t="n">
        <v>0</v>
      </c>
      <c r="J670" t="n">
        <v>0</v>
      </c>
      <c r="K670" t="n">
        <v>0</v>
      </c>
      <c r="L670" t="n">
        <v>0</v>
      </c>
      <c r="M670" t="n">
        <v>0</v>
      </c>
      <c r="N670" t="n">
        <v>0</v>
      </c>
      <c r="O670" t="n">
        <v>0</v>
      </c>
      <c r="P670" t="n">
        <v>0</v>
      </c>
      <c r="Q670" t="n">
        <v>0</v>
      </c>
      <c r="R670" s="2" t="inlineStr"/>
    </row>
    <row r="671" ht="15" customHeight="1">
      <c r="A671" t="inlineStr">
        <is>
          <t>A 49252-2019</t>
        </is>
      </c>
      <c r="B671" s="1" t="n">
        <v>43731</v>
      </c>
      <c r="C671" s="1" t="n">
        <v>45345</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51940-2019</t>
        </is>
      </c>
      <c r="B672" s="1" t="n">
        <v>43741</v>
      </c>
      <c r="C672" s="1" t="n">
        <v>45345</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51942-2019</t>
        </is>
      </c>
      <c r="B673" s="1" t="n">
        <v>43741</v>
      </c>
      <c r="C673" s="1" t="n">
        <v>45345</v>
      </c>
      <c r="D673" t="inlineStr">
        <is>
          <t>STOCKHOLMS LÄN</t>
        </is>
      </c>
      <c r="E673" t="inlineStr">
        <is>
          <t>NORRTÄLJE</t>
        </is>
      </c>
      <c r="G673" t="n">
        <v>5.6</v>
      </c>
      <c r="H673" t="n">
        <v>0</v>
      </c>
      <c r="I673" t="n">
        <v>0</v>
      </c>
      <c r="J673" t="n">
        <v>0</v>
      </c>
      <c r="K673" t="n">
        <v>0</v>
      </c>
      <c r="L673" t="n">
        <v>0</v>
      </c>
      <c r="M673" t="n">
        <v>0</v>
      </c>
      <c r="N673" t="n">
        <v>0</v>
      </c>
      <c r="O673" t="n">
        <v>0</v>
      </c>
      <c r="P673" t="n">
        <v>0</v>
      </c>
      <c r="Q673" t="n">
        <v>0</v>
      </c>
      <c r="R673" s="2" t="inlineStr"/>
    </row>
    <row r="674" ht="15" customHeight="1">
      <c r="A674" t="inlineStr">
        <is>
          <t>A 55481-2019</t>
        </is>
      </c>
      <c r="B674" s="1" t="n">
        <v>43759</v>
      </c>
      <c r="C674" s="1" t="n">
        <v>45345</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55891-2019</t>
        </is>
      </c>
      <c r="B675" s="1" t="n">
        <v>43761</v>
      </c>
      <c r="C675" s="1" t="n">
        <v>45345</v>
      </c>
      <c r="D675" t="inlineStr">
        <is>
          <t>STOCKHOLMS LÄN</t>
        </is>
      </c>
      <c r="E675" t="inlineStr">
        <is>
          <t>NORRTÄLJE</t>
        </is>
      </c>
      <c r="G675" t="n">
        <v>7.6</v>
      </c>
      <c r="H675" t="n">
        <v>0</v>
      </c>
      <c r="I675" t="n">
        <v>0</v>
      </c>
      <c r="J675" t="n">
        <v>0</v>
      </c>
      <c r="K675" t="n">
        <v>0</v>
      </c>
      <c r="L675" t="n">
        <v>0</v>
      </c>
      <c r="M675" t="n">
        <v>0</v>
      </c>
      <c r="N675" t="n">
        <v>0</v>
      </c>
      <c r="O675" t="n">
        <v>0</v>
      </c>
      <c r="P675" t="n">
        <v>0</v>
      </c>
      <c r="Q675" t="n">
        <v>0</v>
      </c>
      <c r="R675" s="2" t="inlineStr"/>
    </row>
    <row r="676" ht="15" customHeight="1">
      <c r="A676" t="inlineStr">
        <is>
          <t>A 56349-2019</t>
        </is>
      </c>
      <c r="B676" s="1" t="n">
        <v>43762</v>
      </c>
      <c r="C676" s="1" t="n">
        <v>45345</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57759-2019</t>
        </is>
      </c>
      <c r="B677" s="1" t="n">
        <v>43763</v>
      </c>
      <c r="C677" s="1" t="n">
        <v>45345</v>
      </c>
      <c r="D677" t="inlineStr">
        <is>
          <t>STOCKHOLMS LÄN</t>
        </is>
      </c>
      <c r="E677" t="inlineStr">
        <is>
          <t>NORRTÄLJE</t>
        </is>
      </c>
      <c r="F677" t="inlineStr">
        <is>
          <t>Övriga Aktiebolag</t>
        </is>
      </c>
      <c r="G677" t="n">
        <v>7.3</v>
      </c>
      <c r="H677" t="n">
        <v>0</v>
      </c>
      <c r="I677" t="n">
        <v>0</v>
      </c>
      <c r="J677" t="n">
        <v>0</v>
      </c>
      <c r="K677" t="n">
        <v>0</v>
      </c>
      <c r="L677" t="n">
        <v>0</v>
      </c>
      <c r="M677" t="n">
        <v>0</v>
      </c>
      <c r="N677" t="n">
        <v>0</v>
      </c>
      <c r="O677" t="n">
        <v>0</v>
      </c>
      <c r="P677" t="n">
        <v>0</v>
      </c>
      <c r="Q677" t="n">
        <v>0</v>
      </c>
      <c r="R677" s="2" t="inlineStr"/>
    </row>
    <row r="678" ht="15" customHeight="1">
      <c r="A678" t="inlineStr">
        <is>
          <t>A 57063-2019</t>
        </is>
      </c>
      <c r="B678" s="1" t="n">
        <v>43766</v>
      </c>
      <c r="C678" s="1" t="n">
        <v>45345</v>
      </c>
      <c r="D678" t="inlineStr">
        <is>
          <t>STOCKHOLMS LÄN</t>
        </is>
      </c>
      <c r="E678" t="inlineStr">
        <is>
          <t>NORRTÄLJE</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56950-2019</t>
        </is>
      </c>
      <c r="B679" s="1" t="n">
        <v>43766</v>
      </c>
      <c r="C679" s="1" t="n">
        <v>45345</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57605-2019</t>
        </is>
      </c>
      <c r="B680" s="1" t="n">
        <v>43768</v>
      </c>
      <c r="C680" s="1" t="n">
        <v>45345</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58064-2019</t>
        </is>
      </c>
      <c r="B681" s="1" t="n">
        <v>43769</v>
      </c>
      <c r="C681" s="1" t="n">
        <v>45345</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58631-2019</t>
        </is>
      </c>
      <c r="B682" s="1" t="n">
        <v>43773</v>
      </c>
      <c r="C682" s="1" t="n">
        <v>45345</v>
      </c>
      <c r="D682" t="inlineStr">
        <is>
          <t>STOCKHOLMS LÄN</t>
        </is>
      </c>
      <c r="E682" t="inlineStr">
        <is>
          <t>NORRTÄLJE</t>
        </is>
      </c>
      <c r="G682" t="n">
        <v>6</v>
      </c>
      <c r="H682" t="n">
        <v>0</v>
      </c>
      <c r="I682" t="n">
        <v>0</v>
      </c>
      <c r="J682" t="n">
        <v>0</v>
      </c>
      <c r="K682" t="n">
        <v>0</v>
      </c>
      <c r="L682" t="n">
        <v>0</v>
      </c>
      <c r="M682" t="n">
        <v>0</v>
      </c>
      <c r="N682" t="n">
        <v>0</v>
      </c>
      <c r="O682" t="n">
        <v>0</v>
      </c>
      <c r="P682" t="n">
        <v>0</v>
      </c>
      <c r="Q682" t="n">
        <v>0</v>
      </c>
      <c r="R682" s="2" t="inlineStr"/>
    </row>
    <row r="683" ht="15" customHeight="1">
      <c r="A683" t="inlineStr">
        <is>
          <t>A 60214-2019</t>
        </is>
      </c>
      <c r="B683" s="1" t="n">
        <v>43780</v>
      </c>
      <c r="C683" s="1" t="n">
        <v>45345</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60208-2019</t>
        </is>
      </c>
      <c r="B684" s="1" t="n">
        <v>43780</v>
      </c>
      <c r="C684" s="1" t="n">
        <v>45345</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60842-2019</t>
        </is>
      </c>
      <c r="B685" s="1" t="n">
        <v>43781</v>
      </c>
      <c r="C685" s="1" t="n">
        <v>45345</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60844-2019</t>
        </is>
      </c>
      <c r="B686" s="1" t="n">
        <v>43781</v>
      </c>
      <c r="C686" s="1" t="n">
        <v>45345</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61657-2019</t>
        </is>
      </c>
      <c r="B687" s="1" t="n">
        <v>43784</v>
      </c>
      <c r="C687" s="1" t="n">
        <v>45345</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62848-2019</t>
        </is>
      </c>
      <c r="B688" s="1" t="n">
        <v>43790</v>
      </c>
      <c r="C688" s="1" t="n">
        <v>45345</v>
      </c>
      <c r="D688" t="inlineStr">
        <is>
          <t>STOCKHOLMS LÄN</t>
        </is>
      </c>
      <c r="E688" t="inlineStr">
        <is>
          <t>NORRTÄLJE</t>
        </is>
      </c>
      <c r="F688" t="inlineStr">
        <is>
          <t>Holmen skog AB</t>
        </is>
      </c>
      <c r="G688" t="n">
        <v>6.6</v>
      </c>
      <c r="H688" t="n">
        <v>0</v>
      </c>
      <c r="I688" t="n">
        <v>0</v>
      </c>
      <c r="J688" t="n">
        <v>0</v>
      </c>
      <c r="K688" t="n">
        <v>0</v>
      </c>
      <c r="L688" t="n">
        <v>0</v>
      </c>
      <c r="M688" t="n">
        <v>0</v>
      </c>
      <c r="N688" t="n">
        <v>0</v>
      </c>
      <c r="O688" t="n">
        <v>0</v>
      </c>
      <c r="P688" t="n">
        <v>0</v>
      </c>
      <c r="Q688" t="n">
        <v>0</v>
      </c>
      <c r="R688" s="2" t="inlineStr"/>
    </row>
    <row r="689" ht="15" customHeight="1">
      <c r="A689" t="inlineStr">
        <is>
          <t>A 62980-2019</t>
        </is>
      </c>
      <c r="B689" s="1" t="n">
        <v>43790</v>
      </c>
      <c r="C689" s="1" t="n">
        <v>45345</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63513-2019</t>
        </is>
      </c>
      <c r="B690" s="1" t="n">
        <v>43794</v>
      </c>
      <c r="C690" s="1" t="n">
        <v>45345</v>
      </c>
      <c r="D690" t="inlineStr">
        <is>
          <t>STOCKHOLMS LÄN</t>
        </is>
      </c>
      <c r="E690" t="inlineStr">
        <is>
          <t>NORRTÄLJE</t>
        </is>
      </c>
      <c r="G690" t="n">
        <v>9</v>
      </c>
      <c r="H690" t="n">
        <v>0</v>
      </c>
      <c r="I690" t="n">
        <v>0</v>
      </c>
      <c r="J690" t="n">
        <v>0</v>
      </c>
      <c r="K690" t="n">
        <v>0</v>
      </c>
      <c r="L690" t="n">
        <v>0</v>
      </c>
      <c r="M690" t="n">
        <v>0</v>
      </c>
      <c r="N690" t="n">
        <v>0</v>
      </c>
      <c r="O690" t="n">
        <v>0</v>
      </c>
      <c r="P690" t="n">
        <v>0</v>
      </c>
      <c r="Q690" t="n">
        <v>0</v>
      </c>
      <c r="R690" s="2" t="inlineStr"/>
    </row>
    <row r="691" ht="15" customHeight="1">
      <c r="A691" t="inlineStr">
        <is>
          <t>A 63529-2019</t>
        </is>
      </c>
      <c r="B691" s="1" t="n">
        <v>43794</v>
      </c>
      <c r="C691" s="1" t="n">
        <v>45345</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63495-2019</t>
        </is>
      </c>
      <c r="B692" s="1" t="n">
        <v>43794</v>
      </c>
      <c r="C692" s="1" t="n">
        <v>45345</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63504-2019</t>
        </is>
      </c>
      <c r="B693" s="1" t="n">
        <v>43794</v>
      </c>
      <c r="C693" s="1" t="n">
        <v>45345</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63528-2019</t>
        </is>
      </c>
      <c r="B694" s="1" t="n">
        <v>43794</v>
      </c>
      <c r="C694" s="1" t="n">
        <v>45345</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63515-2019</t>
        </is>
      </c>
      <c r="B695" s="1" t="n">
        <v>43794</v>
      </c>
      <c r="C695" s="1" t="n">
        <v>45345</v>
      </c>
      <c r="D695" t="inlineStr">
        <is>
          <t>STOCKHOLMS LÄN</t>
        </is>
      </c>
      <c r="E695" t="inlineStr">
        <is>
          <t>NORRTÄLJE</t>
        </is>
      </c>
      <c r="G695" t="n">
        <v>7.1</v>
      </c>
      <c r="H695" t="n">
        <v>0</v>
      </c>
      <c r="I695" t="n">
        <v>0</v>
      </c>
      <c r="J695" t="n">
        <v>0</v>
      </c>
      <c r="K695" t="n">
        <v>0</v>
      </c>
      <c r="L695" t="n">
        <v>0</v>
      </c>
      <c r="M695" t="n">
        <v>0</v>
      </c>
      <c r="N695" t="n">
        <v>0</v>
      </c>
      <c r="O695" t="n">
        <v>0</v>
      </c>
      <c r="P695" t="n">
        <v>0</v>
      </c>
      <c r="Q695" t="n">
        <v>0</v>
      </c>
      <c r="R695" s="2" t="inlineStr"/>
    </row>
    <row r="696" ht="15" customHeight="1">
      <c r="A696" t="inlineStr">
        <is>
          <t>A 64293-2019</t>
        </is>
      </c>
      <c r="B696" s="1" t="n">
        <v>43797</v>
      </c>
      <c r="C696" s="1" t="n">
        <v>45345</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65640-2019</t>
        </is>
      </c>
      <c r="B697" s="1" t="n">
        <v>43804</v>
      </c>
      <c r="C697" s="1" t="n">
        <v>45345</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65998-2019</t>
        </is>
      </c>
      <c r="B698" s="1" t="n">
        <v>43805</v>
      </c>
      <c r="C698" s="1" t="n">
        <v>45345</v>
      </c>
      <c r="D698" t="inlineStr">
        <is>
          <t>STOCKHOLMS LÄN</t>
        </is>
      </c>
      <c r="E698" t="inlineStr">
        <is>
          <t>NORRTÄLJE</t>
        </is>
      </c>
      <c r="G698" t="n">
        <v>6.5</v>
      </c>
      <c r="H698" t="n">
        <v>0</v>
      </c>
      <c r="I698" t="n">
        <v>0</v>
      </c>
      <c r="J698" t="n">
        <v>0</v>
      </c>
      <c r="K698" t="n">
        <v>0</v>
      </c>
      <c r="L698" t="n">
        <v>0</v>
      </c>
      <c r="M698" t="n">
        <v>0</v>
      </c>
      <c r="N698" t="n">
        <v>0</v>
      </c>
      <c r="O698" t="n">
        <v>0</v>
      </c>
      <c r="P698" t="n">
        <v>0</v>
      </c>
      <c r="Q698" t="n">
        <v>0</v>
      </c>
      <c r="R698" s="2" t="inlineStr"/>
    </row>
    <row r="699" ht="15" customHeight="1">
      <c r="A699" t="inlineStr">
        <is>
          <t>A 66604-2019</t>
        </is>
      </c>
      <c r="B699" s="1" t="n">
        <v>43809</v>
      </c>
      <c r="C699" s="1" t="n">
        <v>45345</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67158-2019</t>
        </is>
      </c>
      <c r="B700" s="1" t="n">
        <v>43811</v>
      </c>
      <c r="C700" s="1" t="n">
        <v>45345</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67324-2019</t>
        </is>
      </c>
      <c r="B701" s="1" t="n">
        <v>43812</v>
      </c>
      <c r="C701" s="1" t="n">
        <v>45345</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68865-2019</t>
        </is>
      </c>
      <c r="B702" s="1" t="n">
        <v>43821</v>
      </c>
      <c r="C702" s="1" t="n">
        <v>45345</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1099-2020</t>
        </is>
      </c>
      <c r="B703" s="1" t="n">
        <v>43822</v>
      </c>
      <c r="C703" s="1" t="n">
        <v>45345</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4475-2020</t>
        </is>
      </c>
      <c r="B704" s="1" t="n">
        <v>43849</v>
      </c>
      <c r="C704" s="1" t="n">
        <v>45345</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2808-2020</t>
        </is>
      </c>
      <c r="B705" s="1" t="n">
        <v>43850</v>
      </c>
      <c r="C705" s="1" t="n">
        <v>45345</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2810-2020</t>
        </is>
      </c>
      <c r="B706" s="1" t="n">
        <v>43850</v>
      </c>
      <c r="C706" s="1" t="n">
        <v>45345</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2803-2020</t>
        </is>
      </c>
      <c r="B707" s="1" t="n">
        <v>43850</v>
      </c>
      <c r="C707" s="1" t="n">
        <v>45345</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3882-2020</t>
        </is>
      </c>
      <c r="B708" s="1" t="n">
        <v>43854</v>
      </c>
      <c r="C708" s="1" t="n">
        <v>45345</v>
      </c>
      <c r="D708" t="inlineStr">
        <is>
          <t>STOCKHOLMS LÄN</t>
        </is>
      </c>
      <c r="E708" t="inlineStr">
        <is>
          <t>NORRTÄLJE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4094-2020</t>
        </is>
      </c>
      <c r="B709" s="1" t="n">
        <v>43857</v>
      </c>
      <c r="C709" s="1" t="n">
        <v>45345</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4950-2020</t>
        </is>
      </c>
      <c r="B710" s="1" t="n">
        <v>43859</v>
      </c>
      <c r="C710" s="1" t="n">
        <v>45345</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5084-2020</t>
        </is>
      </c>
      <c r="B711" s="1" t="n">
        <v>43859</v>
      </c>
      <c r="C711" s="1" t="n">
        <v>45345</v>
      </c>
      <c r="D711" t="inlineStr">
        <is>
          <t>STOCKHOLMS LÄN</t>
        </is>
      </c>
      <c r="E711" t="inlineStr">
        <is>
          <t>NORRTÄLJE</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4952-2020</t>
        </is>
      </c>
      <c r="B712" s="1" t="n">
        <v>43859</v>
      </c>
      <c r="C712" s="1" t="n">
        <v>45345</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5735-2020</t>
        </is>
      </c>
      <c r="B713" s="1" t="n">
        <v>43863</v>
      </c>
      <c r="C713" s="1" t="n">
        <v>45345</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5733-2020</t>
        </is>
      </c>
      <c r="B714" s="1" t="n">
        <v>43863</v>
      </c>
      <c r="C714" s="1" t="n">
        <v>45345</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5739-2020</t>
        </is>
      </c>
      <c r="B715" s="1" t="n">
        <v>43863</v>
      </c>
      <c r="C715" s="1" t="n">
        <v>45345</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7471-2020</t>
        </is>
      </c>
      <c r="B716" s="1" t="n">
        <v>43871</v>
      </c>
      <c r="C716" s="1" t="n">
        <v>45345</v>
      </c>
      <c r="D716" t="inlineStr">
        <is>
          <t>STOCKHOLMS LÄN</t>
        </is>
      </c>
      <c r="E716" t="inlineStr">
        <is>
          <t>NORRTÄLJE</t>
        </is>
      </c>
      <c r="G716" t="n">
        <v>7.8</v>
      </c>
      <c r="H716" t="n">
        <v>0</v>
      </c>
      <c r="I716" t="n">
        <v>0</v>
      </c>
      <c r="J716" t="n">
        <v>0</v>
      </c>
      <c r="K716" t="n">
        <v>0</v>
      </c>
      <c r="L716" t="n">
        <v>0</v>
      </c>
      <c r="M716" t="n">
        <v>0</v>
      </c>
      <c r="N716" t="n">
        <v>0</v>
      </c>
      <c r="O716" t="n">
        <v>0</v>
      </c>
      <c r="P716" t="n">
        <v>0</v>
      </c>
      <c r="Q716" t="n">
        <v>0</v>
      </c>
      <c r="R716" s="2" t="inlineStr"/>
    </row>
    <row r="717" ht="15" customHeight="1">
      <c r="A717" t="inlineStr">
        <is>
          <t>A 9845-2020</t>
        </is>
      </c>
      <c r="B717" s="1" t="n">
        <v>43881</v>
      </c>
      <c r="C717" s="1" t="n">
        <v>45345</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10618-2020</t>
        </is>
      </c>
      <c r="B718" s="1" t="n">
        <v>43887</v>
      </c>
      <c r="C718" s="1" t="n">
        <v>45345</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11184-2020</t>
        </is>
      </c>
      <c r="B719" s="1" t="n">
        <v>43892</v>
      </c>
      <c r="C719" s="1" t="n">
        <v>45345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11576-2020</t>
        </is>
      </c>
      <c r="B720" s="1" t="n">
        <v>43893</v>
      </c>
      <c r="C720" s="1" t="n">
        <v>45345</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12113-2020</t>
        </is>
      </c>
      <c r="B721" s="1" t="n">
        <v>43895</v>
      </c>
      <c r="C721" s="1" t="n">
        <v>45345</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12970-2020</t>
        </is>
      </c>
      <c r="B722" s="1" t="n">
        <v>43900</v>
      </c>
      <c r="C722" s="1" t="n">
        <v>45345</v>
      </c>
      <c r="D722" t="inlineStr">
        <is>
          <t>STOCKHOLMS LÄN</t>
        </is>
      </c>
      <c r="E722" t="inlineStr">
        <is>
          <t>NORRTÄLJE</t>
        </is>
      </c>
      <c r="F722" t="inlineStr">
        <is>
          <t>Kommuner</t>
        </is>
      </c>
      <c r="G722" t="n">
        <v>3</v>
      </c>
      <c r="H722" t="n">
        <v>0</v>
      </c>
      <c r="I722" t="n">
        <v>0</v>
      </c>
      <c r="J722" t="n">
        <v>0</v>
      </c>
      <c r="K722" t="n">
        <v>0</v>
      </c>
      <c r="L722" t="n">
        <v>0</v>
      </c>
      <c r="M722" t="n">
        <v>0</v>
      </c>
      <c r="N722" t="n">
        <v>0</v>
      </c>
      <c r="O722" t="n">
        <v>0</v>
      </c>
      <c r="P722" t="n">
        <v>0</v>
      </c>
      <c r="Q722" t="n">
        <v>0</v>
      </c>
      <c r="R722" s="2" t="inlineStr"/>
    </row>
    <row r="723" ht="15" customHeight="1">
      <c r="A723" t="inlineStr">
        <is>
          <t>A 13230-2020</t>
        </is>
      </c>
      <c r="B723" s="1" t="n">
        <v>43901</v>
      </c>
      <c r="C723" s="1" t="n">
        <v>45345</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13287-2020</t>
        </is>
      </c>
      <c r="B724" s="1" t="n">
        <v>43901</v>
      </c>
      <c r="C724" s="1" t="n">
        <v>45345</v>
      </c>
      <c r="D724" t="inlineStr">
        <is>
          <t>STOCKHOLMS LÄN</t>
        </is>
      </c>
      <c r="E724" t="inlineStr">
        <is>
          <t>NORRTÄLJE</t>
        </is>
      </c>
      <c r="F724" t="inlineStr">
        <is>
          <t>Kommuner</t>
        </is>
      </c>
      <c r="G724" t="n">
        <v>3.2</v>
      </c>
      <c r="H724" t="n">
        <v>0</v>
      </c>
      <c r="I724" t="n">
        <v>0</v>
      </c>
      <c r="J724" t="n">
        <v>0</v>
      </c>
      <c r="K724" t="n">
        <v>0</v>
      </c>
      <c r="L724" t="n">
        <v>0</v>
      </c>
      <c r="M724" t="n">
        <v>0</v>
      </c>
      <c r="N724" t="n">
        <v>0</v>
      </c>
      <c r="O724" t="n">
        <v>0</v>
      </c>
      <c r="P724" t="n">
        <v>0</v>
      </c>
      <c r="Q724" t="n">
        <v>0</v>
      </c>
      <c r="R724" s="2" t="inlineStr"/>
    </row>
    <row r="725" ht="15" customHeight="1">
      <c r="A725" t="inlineStr">
        <is>
          <t>A 13281-2020</t>
        </is>
      </c>
      <c r="B725" s="1" t="n">
        <v>43901</v>
      </c>
      <c r="C725" s="1" t="n">
        <v>45345</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13501-2020</t>
        </is>
      </c>
      <c r="B726" s="1" t="n">
        <v>43902</v>
      </c>
      <c r="C726" s="1" t="n">
        <v>45345</v>
      </c>
      <c r="D726" t="inlineStr">
        <is>
          <t>STOCKHOLMS LÄN</t>
        </is>
      </c>
      <c r="E726" t="inlineStr">
        <is>
          <t>NORRTÄLJE</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13506-2020</t>
        </is>
      </c>
      <c r="B727" s="1" t="n">
        <v>43902</v>
      </c>
      <c r="C727" s="1" t="n">
        <v>45345</v>
      </c>
      <c r="D727" t="inlineStr">
        <is>
          <t>STOCKHOLMS LÄN</t>
        </is>
      </c>
      <c r="E727" t="inlineStr">
        <is>
          <t>NORRTÄLJE</t>
        </is>
      </c>
      <c r="G727" t="n">
        <v>5.7</v>
      </c>
      <c r="H727" t="n">
        <v>0</v>
      </c>
      <c r="I727" t="n">
        <v>0</v>
      </c>
      <c r="J727" t="n">
        <v>0</v>
      </c>
      <c r="K727" t="n">
        <v>0</v>
      </c>
      <c r="L727" t="n">
        <v>0</v>
      </c>
      <c r="M727" t="n">
        <v>0</v>
      </c>
      <c r="N727" t="n">
        <v>0</v>
      </c>
      <c r="O727" t="n">
        <v>0</v>
      </c>
      <c r="P727" t="n">
        <v>0</v>
      </c>
      <c r="Q727" t="n">
        <v>0</v>
      </c>
      <c r="R727" s="2" t="inlineStr"/>
    </row>
    <row r="728" ht="15" customHeight="1">
      <c r="A728" t="inlineStr">
        <is>
          <t>A 14525-2020</t>
        </is>
      </c>
      <c r="B728" s="1" t="n">
        <v>43908</v>
      </c>
      <c r="C728" s="1" t="n">
        <v>45345</v>
      </c>
      <c r="D728" t="inlineStr">
        <is>
          <t>STOCKHOLMS LÄN</t>
        </is>
      </c>
      <c r="E728" t="inlineStr">
        <is>
          <t>NORRTÄLJE</t>
        </is>
      </c>
      <c r="G728" t="n">
        <v>10.2</v>
      </c>
      <c r="H728" t="n">
        <v>0</v>
      </c>
      <c r="I728" t="n">
        <v>0</v>
      </c>
      <c r="J728" t="n">
        <v>0</v>
      </c>
      <c r="K728" t="n">
        <v>0</v>
      </c>
      <c r="L728" t="n">
        <v>0</v>
      </c>
      <c r="M728" t="n">
        <v>0</v>
      </c>
      <c r="N728" t="n">
        <v>0</v>
      </c>
      <c r="O728" t="n">
        <v>0</v>
      </c>
      <c r="P728" t="n">
        <v>0</v>
      </c>
      <c r="Q728" t="n">
        <v>0</v>
      </c>
      <c r="R728" s="2" t="inlineStr"/>
    </row>
    <row r="729" ht="15" customHeight="1">
      <c r="A729" t="inlineStr">
        <is>
          <t>A 14565-2020</t>
        </is>
      </c>
      <c r="B729" s="1" t="n">
        <v>43908</v>
      </c>
      <c r="C729" s="1" t="n">
        <v>45345</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14831-2020</t>
        </is>
      </c>
      <c r="B730" s="1" t="n">
        <v>43909</v>
      </c>
      <c r="C730" s="1" t="n">
        <v>45345</v>
      </c>
      <c r="D730" t="inlineStr">
        <is>
          <t>STOCKHOLMS LÄN</t>
        </is>
      </c>
      <c r="E730" t="inlineStr">
        <is>
          <t>NORRTÄLJE</t>
        </is>
      </c>
      <c r="G730" t="n">
        <v>11.4</v>
      </c>
      <c r="H730" t="n">
        <v>0</v>
      </c>
      <c r="I730" t="n">
        <v>0</v>
      </c>
      <c r="J730" t="n">
        <v>0</v>
      </c>
      <c r="K730" t="n">
        <v>0</v>
      </c>
      <c r="L730" t="n">
        <v>0</v>
      </c>
      <c r="M730" t="n">
        <v>0</v>
      </c>
      <c r="N730" t="n">
        <v>0</v>
      </c>
      <c r="O730" t="n">
        <v>0</v>
      </c>
      <c r="P730" t="n">
        <v>0</v>
      </c>
      <c r="Q730" t="n">
        <v>0</v>
      </c>
      <c r="R730" s="2" t="inlineStr"/>
    </row>
    <row r="731" ht="15" customHeight="1">
      <c r="A731" t="inlineStr">
        <is>
          <t>A 15663-2020</t>
        </is>
      </c>
      <c r="B731" s="1" t="n">
        <v>43915</v>
      </c>
      <c r="C731" s="1" t="n">
        <v>45345</v>
      </c>
      <c r="D731" t="inlineStr">
        <is>
          <t>STOCKHOLMS LÄN</t>
        </is>
      </c>
      <c r="E731" t="inlineStr">
        <is>
          <t>NORRTÄLJE</t>
        </is>
      </c>
      <c r="G731" t="n">
        <v>11.1</v>
      </c>
      <c r="H731" t="n">
        <v>0</v>
      </c>
      <c r="I731" t="n">
        <v>0</v>
      </c>
      <c r="J731" t="n">
        <v>0</v>
      </c>
      <c r="K731" t="n">
        <v>0</v>
      </c>
      <c r="L731" t="n">
        <v>0</v>
      </c>
      <c r="M731" t="n">
        <v>0</v>
      </c>
      <c r="N731" t="n">
        <v>0</v>
      </c>
      <c r="O731" t="n">
        <v>0</v>
      </c>
      <c r="P731" t="n">
        <v>0</v>
      </c>
      <c r="Q731" t="n">
        <v>0</v>
      </c>
      <c r="R731" s="2" t="inlineStr"/>
    </row>
    <row r="732" ht="15" customHeight="1">
      <c r="A732" t="inlineStr">
        <is>
          <t>A 16273-2020</t>
        </is>
      </c>
      <c r="B732" s="1" t="n">
        <v>43917</v>
      </c>
      <c r="C732" s="1" t="n">
        <v>45345</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17965-2020</t>
        </is>
      </c>
      <c r="B733" s="1" t="n">
        <v>43925</v>
      </c>
      <c r="C733" s="1" t="n">
        <v>45345</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19258-2020</t>
        </is>
      </c>
      <c r="B734" s="1" t="n">
        <v>43937</v>
      </c>
      <c r="C734" s="1" t="n">
        <v>45345</v>
      </c>
      <c r="D734" t="inlineStr">
        <is>
          <t>STOCKHOLMS LÄN</t>
        </is>
      </c>
      <c r="E734" t="inlineStr">
        <is>
          <t>NORRTÄLJE</t>
        </is>
      </c>
      <c r="F734" t="inlineStr">
        <is>
          <t>Övriga statliga verk och myndigheter</t>
        </is>
      </c>
      <c r="G734" t="n">
        <v>2.9</v>
      </c>
      <c r="H734" t="n">
        <v>0</v>
      </c>
      <c r="I734" t="n">
        <v>0</v>
      </c>
      <c r="J734" t="n">
        <v>0</v>
      </c>
      <c r="K734" t="n">
        <v>0</v>
      </c>
      <c r="L734" t="n">
        <v>0</v>
      </c>
      <c r="M734" t="n">
        <v>0</v>
      </c>
      <c r="N734" t="n">
        <v>0</v>
      </c>
      <c r="O734" t="n">
        <v>0</v>
      </c>
      <c r="P734" t="n">
        <v>0</v>
      </c>
      <c r="Q734" t="n">
        <v>0</v>
      </c>
      <c r="R734" s="2" t="inlineStr"/>
    </row>
    <row r="735" ht="15" customHeight="1">
      <c r="A735" t="inlineStr">
        <is>
          <t>A 20257-2020</t>
        </is>
      </c>
      <c r="B735" s="1" t="n">
        <v>43944</v>
      </c>
      <c r="C735" s="1" t="n">
        <v>45345</v>
      </c>
      <c r="D735" t="inlineStr">
        <is>
          <t>STOCKHOLMS LÄN</t>
        </is>
      </c>
      <c r="E735" t="inlineStr">
        <is>
          <t>NORRTÄLJE</t>
        </is>
      </c>
      <c r="G735" t="n">
        <v>80.09999999999999</v>
      </c>
      <c r="H735" t="n">
        <v>0</v>
      </c>
      <c r="I735" t="n">
        <v>0</v>
      </c>
      <c r="J735" t="n">
        <v>0</v>
      </c>
      <c r="K735" t="n">
        <v>0</v>
      </c>
      <c r="L735" t="n">
        <v>0</v>
      </c>
      <c r="M735" t="n">
        <v>0</v>
      </c>
      <c r="N735" t="n">
        <v>0</v>
      </c>
      <c r="O735" t="n">
        <v>0</v>
      </c>
      <c r="P735" t="n">
        <v>0</v>
      </c>
      <c r="Q735" t="n">
        <v>0</v>
      </c>
      <c r="R735" s="2" t="inlineStr"/>
    </row>
    <row r="736" ht="15" customHeight="1">
      <c r="A736" t="inlineStr">
        <is>
          <t>A 21849-2020</t>
        </is>
      </c>
      <c r="B736" s="1" t="n">
        <v>43958</v>
      </c>
      <c r="C736" s="1" t="n">
        <v>45345</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21875-2020</t>
        </is>
      </c>
      <c r="B737" s="1" t="n">
        <v>43958</v>
      </c>
      <c r="C737" s="1" t="n">
        <v>45345</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23751-2020</t>
        </is>
      </c>
      <c r="B738" s="1" t="n">
        <v>43970</v>
      </c>
      <c r="C738" s="1" t="n">
        <v>45345</v>
      </c>
      <c r="D738" t="inlineStr">
        <is>
          <t>STOCKHOLMS LÄN</t>
        </is>
      </c>
      <c r="E738" t="inlineStr">
        <is>
          <t>NORRTÄLJE</t>
        </is>
      </c>
      <c r="G738" t="n">
        <v>5.6</v>
      </c>
      <c r="H738" t="n">
        <v>0</v>
      </c>
      <c r="I738" t="n">
        <v>0</v>
      </c>
      <c r="J738" t="n">
        <v>0</v>
      </c>
      <c r="K738" t="n">
        <v>0</v>
      </c>
      <c r="L738" t="n">
        <v>0</v>
      </c>
      <c r="M738" t="n">
        <v>0</v>
      </c>
      <c r="N738" t="n">
        <v>0</v>
      </c>
      <c r="O738" t="n">
        <v>0</v>
      </c>
      <c r="P738" t="n">
        <v>0</v>
      </c>
      <c r="Q738" t="n">
        <v>0</v>
      </c>
      <c r="R738" s="2" t="inlineStr"/>
    </row>
    <row r="739" ht="15" customHeight="1">
      <c r="A739" t="inlineStr">
        <is>
          <t>A 24136-2020</t>
        </is>
      </c>
      <c r="B739" s="1" t="n">
        <v>43973</v>
      </c>
      <c r="C739" s="1" t="n">
        <v>45345</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25584-2020</t>
        </is>
      </c>
      <c r="B740" s="1" t="n">
        <v>43983</v>
      </c>
      <c r="C740" s="1" t="n">
        <v>45345</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25589-2020</t>
        </is>
      </c>
      <c r="B741" s="1" t="n">
        <v>43983</v>
      </c>
      <c r="C741" s="1" t="n">
        <v>45345</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25897-2020</t>
        </is>
      </c>
      <c r="B742" s="1" t="n">
        <v>43984</v>
      </c>
      <c r="C742" s="1" t="n">
        <v>45345</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28495-2020</t>
        </is>
      </c>
      <c r="B743" s="1" t="n">
        <v>43999</v>
      </c>
      <c r="C743" s="1" t="n">
        <v>45345</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30600-2020</t>
        </is>
      </c>
      <c r="B744" s="1" t="n">
        <v>44008</v>
      </c>
      <c r="C744" s="1" t="n">
        <v>45345</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31783-2020</t>
        </is>
      </c>
      <c r="B745" s="1" t="n">
        <v>44014</v>
      </c>
      <c r="C745" s="1" t="n">
        <v>45345</v>
      </c>
      <c r="D745" t="inlineStr">
        <is>
          <t>STOCKHOLMS LÄN</t>
        </is>
      </c>
      <c r="E745" t="inlineStr">
        <is>
          <t>NORRTÄLJE</t>
        </is>
      </c>
      <c r="G745" t="n">
        <v>4.8</v>
      </c>
      <c r="H745" t="n">
        <v>0</v>
      </c>
      <c r="I745" t="n">
        <v>0</v>
      </c>
      <c r="J745" t="n">
        <v>0</v>
      </c>
      <c r="K745" t="n">
        <v>0</v>
      </c>
      <c r="L745" t="n">
        <v>0</v>
      </c>
      <c r="M745" t="n">
        <v>0</v>
      </c>
      <c r="N745" t="n">
        <v>0</v>
      </c>
      <c r="O745" t="n">
        <v>0</v>
      </c>
      <c r="P745" t="n">
        <v>0</v>
      </c>
      <c r="Q745" t="n">
        <v>0</v>
      </c>
      <c r="R745" s="2" t="inlineStr"/>
    </row>
    <row r="746" ht="15" customHeight="1">
      <c r="A746" t="inlineStr">
        <is>
          <t>A 33749-2020</t>
        </is>
      </c>
      <c r="B746" s="1" t="n">
        <v>44026</v>
      </c>
      <c r="C746" s="1" t="n">
        <v>45345</v>
      </c>
      <c r="D746" t="inlineStr">
        <is>
          <t>STOCKHOLMS LÄN</t>
        </is>
      </c>
      <c r="E746" t="inlineStr">
        <is>
          <t>NORRTÄLJE</t>
        </is>
      </c>
      <c r="F746" t="inlineStr">
        <is>
          <t>Holmen skog AB</t>
        </is>
      </c>
      <c r="G746" t="n">
        <v>0.5</v>
      </c>
      <c r="H746" t="n">
        <v>0</v>
      </c>
      <c r="I746" t="n">
        <v>0</v>
      </c>
      <c r="J746" t="n">
        <v>0</v>
      </c>
      <c r="K746" t="n">
        <v>0</v>
      </c>
      <c r="L746" t="n">
        <v>0</v>
      </c>
      <c r="M746" t="n">
        <v>0</v>
      </c>
      <c r="N746" t="n">
        <v>0</v>
      </c>
      <c r="O746" t="n">
        <v>0</v>
      </c>
      <c r="P746" t="n">
        <v>0</v>
      </c>
      <c r="Q746" t="n">
        <v>0</v>
      </c>
      <c r="R746" s="2" t="inlineStr"/>
    </row>
    <row r="747" ht="15" customHeight="1">
      <c r="A747" t="inlineStr">
        <is>
          <t>A 34651-2020</t>
        </is>
      </c>
      <c r="B747" s="1" t="n">
        <v>44034</v>
      </c>
      <c r="C747" s="1" t="n">
        <v>45345</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34650-2020</t>
        </is>
      </c>
      <c r="B748" s="1" t="n">
        <v>44034</v>
      </c>
      <c r="C748" s="1" t="n">
        <v>45345</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36314-2020</t>
        </is>
      </c>
      <c r="B749" s="1" t="n">
        <v>44049</v>
      </c>
      <c r="C749" s="1" t="n">
        <v>45345</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36359-2020</t>
        </is>
      </c>
      <c r="B750" s="1" t="n">
        <v>44049</v>
      </c>
      <c r="C750" s="1" t="n">
        <v>45345</v>
      </c>
      <c r="D750" t="inlineStr">
        <is>
          <t>STOCKHOLMS LÄN</t>
        </is>
      </c>
      <c r="E750" t="inlineStr">
        <is>
          <t>NORRTÄLJE</t>
        </is>
      </c>
      <c r="G750" t="n">
        <v>6.5</v>
      </c>
      <c r="H750" t="n">
        <v>0</v>
      </c>
      <c r="I750" t="n">
        <v>0</v>
      </c>
      <c r="J750" t="n">
        <v>0</v>
      </c>
      <c r="K750" t="n">
        <v>0</v>
      </c>
      <c r="L750" t="n">
        <v>0</v>
      </c>
      <c r="M750" t="n">
        <v>0</v>
      </c>
      <c r="N750" t="n">
        <v>0</v>
      </c>
      <c r="O750" t="n">
        <v>0</v>
      </c>
      <c r="P750" t="n">
        <v>0</v>
      </c>
      <c r="Q750" t="n">
        <v>0</v>
      </c>
      <c r="R750" s="2" t="inlineStr"/>
    </row>
    <row r="751" ht="15" customHeight="1">
      <c r="A751" t="inlineStr">
        <is>
          <t>A 40837-2020</t>
        </is>
      </c>
      <c r="B751" s="1" t="n">
        <v>44067</v>
      </c>
      <c r="C751" s="1" t="n">
        <v>45345</v>
      </c>
      <c r="D751" t="inlineStr">
        <is>
          <t>STOCKHOLMS LÄN</t>
        </is>
      </c>
      <c r="E751" t="inlineStr">
        <is>
          <t>NORRTÄLJE</t>
        </is>
      </c>
      <c r="G751" t="n">
        <v>20.6</v>
      </c>
      <c r="H751" t="n">
        <v>0</v>
      </c>
      <c r="I751" t="n">
        <v>0</v>
      </c>
      <c r="J751" t="n">
        <v>0</v>
      </c>
      <c r="K751" t="n">
        <v>0</v>
      </c>
      <c r="L751" t="n">
        <v>0</v>
      </c>
      <c r="M751" t="n">
        <v>0</v>
      </c>
      <c r="N751" t="n">
        <v>0</v>
      </c>
      <c r="O751" t="n">
        <v>0</v>
      </c>
      <c r="P751" t="n">
        <v>0</v>
      </c>
      <c r="Q751" t="n">
        <v>0</v>
      </c>
      <c r="R751" s="2" t="inlineStr"/>
    </row>
    <row r="752" ht="15" customHeight="1">
      <c r="A752" t="inlineStr">
        <is>
          <t>A 40661-2020</t>
        </is>
      </c>
      <c r="B752" s="1" t="n">
        <v>44069</v>
      </c>
      <c r="C752" s="1" t="n">
        <v>45345</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42247-2020</t>
        </is>
      </c>
      <c r="B753" s="1" t="n">
        <v>44074</v>
      </c>
      <c r="C753" s="1" t="n">
        <v>45345</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42256-2020</t>
        </is>
      </c>
      <c r="B754" s="1" t="n">
        <v>44074</v>
      </c>
      <c r="C754" s="1" t="n">
        <v>45345</v>
      </c>
      <c r="D754" t="inlineStr">
        <is>
          <t>STOCKHOLMS LÄN</t>
        </is>
      </c>
      <c r="E754" t="inlineStr">
        <is>
          <t>NORRTÄLJE</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41694-2020</t>
        </is>
      </c>
      <c r="B755" s="1" t="n">
        <v>44074</v>
      </c>
      <c r="C755" s="1" t="n">
        <v>45345</v>
      </c>
      <c r="D755" t="inlineStr">
        <is>
          <t>STOCKHOLMS LÄN</t>
        </is>
      </c>
      <c r="E755" t="inlineStr">
        <is>
          <t>NORRTÄLJE</t>
        </is>
      </c>
      <c r="G755" t="n">
        <v>3</v>
      </c>
      <c r="H755" t="n">
        <v>0</v>
      </c>
      <c r="I755" t="n">
        <v>0</v>
      </c>
      <c r="J755" t="n">
        <v>0</v>
      </c>
      <c r="K755" t="n">
        <v>0</v>
      </c>
      <c r="L755" t="n">
        <v>0</v>
      </c>
      <c r="M755" t="n">
        <v>0</v>
      </c>
      <c r="N755" t="n">
        <v>0</v>
      </c>
      <c r="O755" t="n">
        <v>0</v>
      </c>
      <c r="P755" t="n">
        <v>0</v>
      </c>
      <c r="Q755" t="n">
        <v>0</v>
      </c>
      <c r="R755" s="2" t="inlineStr"/>
    </row>
    <row r="756" ht="15" customHeight="1">
      <c r="A756" t="inlineStr">
        <is>
          <t>A 42365-2020</t>
        </is>
      </c>
      <c r="B756" s="1" t="n">
        <v>44076</v>
      </c>
      <c r="C756" s="1" t="n">
        <v>45345</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42361-2020</t>
        </is>
      </c>
      <c r="B757" s="1" t="n">
        <v>44076</v>
      </c>
      <c r="C757" s="1" t="n">
        <v>45345</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42455-2020</t>
        </is>
      </c>
      <c r="B758" s="1" t="n">
        <v>44076</v>
      </c>
      <c r="C758" s="1" t="n">
        <v>45345</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43751-2020</t>
        </is>
      </c>
      <c r="B759" s="1" t="n">
        <v>44082</v>
      </c>
      <c r="C759" s="1" t="n">
        <v>45345</v>
      </c>
      <c r="D759" t="inlineStr">
        <is>
          <t>STOCKHOLMS LÄN</t>
        </is>
      </c>
      <c r="E759" t="inlineStr">
        <is>
          <t>NORRTÄLJE</t>
        </is>
      </c>
      <c r="G759" t="n">
        <v>8</v>
      </c>
      <c r="H759" t="n">
        <v>0</v>
      </c>
      <c r="I759" t="n">
        <v>0</v>
      </c>
      <c r="J759" t="n">
        <v>0</v>
      </c>
      <c r="K759" t="n">
        <v>0</v>
      </c>
      <c r="L759" t="n">
        <v>0</v>
      </c>
      <c r="M759" t="n">
        <v>0</v>
      </c>
      <c r="N759" t="n">
        <v>0</v>
      </c>
      <c r="O759" t="n">
        <v>0</v>
      </c>
      <c r="P759" t="n">
        <v>0</v>
      </c>
      <c r="Q759" t="n">
        <v>0</v>
      </c>
      <c r="R759" s="2" t="inlineStr"/>
    </row>
    <row r="760" ht="15" customHeight="1">
      <c r="A760" t="inlineStr">
        <is>
          <t>A 44096-2020</t>
        </is>
      </c>
      <c r="B760" s="1" t="n">
        <v>44083</v>
      </c>
      <c r="C760" s="1" t="n">
        <v>45345</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44071-2020</t>
        </is>
      </c>
      <c r="B761" s="1" t="n">
        <v>44083</v>
      </c>
      <c r="C761" s="1" t="n">
        <v>45345</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44183-2020</t>
        </is>
      </c>
      <c r="B762" s="1" t="n">
        <v>44083</v>
      </c>
      <c r="C762" s="1" t="n">
        <v>45345</v>
      </c>
      <c r="D762" t="inlineStr">
        <is>
          <t>STOCKHOLMS LÄN</t>
        </is>
      </c>
      <c r="E762" t="inlineStr">
        <is>
          <t>NORRTÄLJE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44792-2020</t>
        </is>
      </c>
      <c r="B763" s="1" t="n">
        <v>44085</v>
      </c>
      <c r="C763" s="1" t="n">
        <v>45345</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45988-2020</t>
        </is>
      </c>
      <c r="B764" s="1" t="n">
        <v>44091</v>
      </c>
      <c r="C764" s="1" t="n">
        <v>45345</v>
      </c>
      <c r="D764" t="inlineStr">
        <is>
          <t>STOCKHOLMS LÄN</t>
        </is>
      </c>
      <c r="E764" t="inlineStr">
        <is>
          <t>NORRTÄLJE</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46556-2020</t>
        </is>
      </c>
      <c r="B765" s="1" t="n">
        <v>44095</v>
      </c>
      <c r="C765" s="1" t="n">
        <v>45345</v>
      </c>
      <c r="D765" t="inlineStr">
        <is>
          <t>STOCKHOLMS LÄN</t>
        </is>
      </c>
      <c r="E765" t="inlineStr">
        <is>
          <t>NORRTÄLJE</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47291-2020</t>
        </is>
      </c>
      <c r="B766" s="1" t="n">
        <v>44097</v>
      </c>
      <c r="C766" s="1" t="n">
        <v>45345</v>
      </c>
      <c r="D766" t="inlineStr">
        <is>
          <t>STOCKHOLMS LÄN</t>
        </is>
      </c>
      <c r="E766" t="inlineStr">
        <is>
          <t>NORRTÄLJE</t>
        </is>
      </c>
      <c r="F766" t="inlineStr">
        <is>
          <t>Holmen skog AB</t>
        </is>
      </c>
      <c r="G766" t="n">
        <v>0.8</v>
      </c>
      <c r="H766" t="n">
        <v>0</v>
      </c>
      <c r="I766" t="n">
        <v>0</v>
      </c>
      <c r="J766" t="n">
        <v>0</v>
      </c>
      <c r="K766" t="n">
        <v>0</v>
      </c>
      <c r="L766" t="n">
        <v>0</v>
      </c>
      <c r="M766" t="n">
        <v>0</v>
      </c>
      <c r="N766" t="n">
        <v>0</v>
      </c>
      <c r="O766" t="n">
        <v>0</v>
      </c>
      <c r="P766" t="n">
        <v>0</v>
      </c>
      <c r="Q766" t="n">
        <v>0</v>
      </c>
      <c r="R766" s="2" t="inlineStr"/>
    </row>
    <row r="767" ht="15" customHeight="1">
      <c r="A767" t="inlineStr">
        <is>
          <t>A 48392-2020</t>
        </is>
      </c>
      <c r="B767" s="1" t="n">
        <v>44097</v>
      </c>
      <c r="C767" s="1" t="n">
        <v>45345</v>
      </c>
      <c r="D767" t="inlineStr">
        <is>
          <t>STOCKHOLMS LÄN</t>
        </is>
      </c>
      <c r="E767" t="inlineStr">
        <is>
          <t>NORRTÄLJE</t>
        </is>
      </c>
      <c r="G767" t="n">
        <v>12.5</v>
      </c>
      <c r="H767" t="n">
        <v>0</v>
      </c>
      <c r="I767" t="n">
        <v>0</v>
      </c>
      <c r="J767" t="n">
        <v>0</v>
      </c>
      <c r="K767" t="n">
        <v>0</v>
      </c>
      <c r="L767" t="n">
        <v>0</v>
      </c>
      <c r="M767" t="n">
        <v>0</v>
      </c>
      <c r="N767" t="n">
        <v>0</v>
      </c>
      <c r="O767" t="n">
        <v>0</v>
      </c>
      <c r="P767" t="n">
        <v>0</v>
      </c>
      <c r="Q767" t="n">
        <v>0</v>
      </c>
      <c r="R767" s="2" t="inlineStr"/>
    </row>
    <row r="768" ht="15" customHeight="1">
      <c r="A768" t="inlineStr">
        <is>
          <t>A 47869-2020</t>
        </is>
      </c>
      <c r="B768" s="1" t="n">
        <v>44098</v>
      </c>
      <c r="C768" s="1" t="n">
        <v>45345</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47868-2020</t>
        </is>
      </c>
      <c r="B769" s="1" t="n">
        <v>44098</v>
      </c>
      <c r="C769" s="1" t="n">
        <v>45345</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48066-2020</t>
        </is>
      </c>
      <c r="B770" s="1" t="n">
        <v>44100</v>
      </c>
      <c r="C770" s="1" t="n">
        <v>45345</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48071-2020</t>
        </is>
      </c>
      <c r="B771" s="1" t="n">
        <v>44100</v>
      </c>
      <c r="C771" s="1" t="n">
        <v>45345</v>
      </c>
      <c r="D771" t="inlineStr">
        <is>
          <t>STOCKHOLMS LÄN</t>
        </is>
      </c>
      <c r="E771" t="inlineStr">
        <is>
          <t>NORRTÄLJE</t>
        </is>
      </c>
      <c r="G771" t="n">
        <v>6.8</v>
      </c>
      <c r="H771" t="n">
        <v>0</v>
      </c>
      <c r="I771" t="n">
        <v>0</v>
      </c>
      <c r="J771" t="n">
        <v>0</v>
      </c>
      <c r="K771" t="n">
        <v>0</v>
      </c>
      <c r="L771" t="n">
        <v>0</v>
      </c>
      <c r="M771" t="n">
        <v>0</v>
      </c>
      <c r="N771" t="n">
        <v>0</v>
      </c>
      <c r="O771" t="n">
        <v>0</v>
      </c>
      <c r="P771" t="n">
        <v>0</v>
      </c>
      <c r="Q771" t="n">
        <v>0</v>
      </c>
      <c r="R771" s="2" t="inlineStr"/>
    </row>
    <row r="772" ht="15" customHeight="1">
      <c r="A772" t="inlineStr">
        <is>
          <t>A 48496-2020</t>
        </is>
      </c>
      <c r="B772" s="1" t="n">
        <v>44103</v>
      </c>
      <c r="C772" s="1" t="n">
        <v>45345</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48522-2020</t>
        </is>
      </c>
      <c r="B773" s="1" t="n">
        <v>44103</v>
      </c>
      <c r="C773" s="1" t="n">
        <v>45345</v>
      </c>
      <c r="D773" t="inlineStr">
        <is>
          <t>STOCKHOLMS LÄN</t>
        </is>
      </c>
      <c r="E773" t="inlineStr">
        <is>
          <t>NORRTÄLJE</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49334-2020</t>
        </is>
      </c>
      <c r="B774" s="1" t="n">
        <v>44105</v>
      </c>
      <c r="C774" s="1" t="n">
        <v>45345</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49327-2020</t>
        </is>
      </c>
      <c r="B775" s="1" t="n">
        <v>44105</v>
      </c>
      <c r="C775" s="1" t="n">
        <v>45345</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49898-2020</t>
        </is>
      </c>
      <c r="B776" s="1" t="n">
        <v>44108</v>
      </c>
      <c r="C776" s="1" t="n">
        <v>45345</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50497-2020</t>
        </is>
      </c>
      <c r="B777" s="1" t="n">
        <v>44110</v>
      </c>
      <c r="C777" s="1" t="n">
        <v>45345</v>
      </c>
      <c r="D777" t="inlineStr">
        <is>
          <t>STOCKHOLMS LÄN</t>
        </is>
      </c>
      <c r="E777" t="inlineStr">
        <is>
          <t>NORRTÄLJE</t>
        </is>
      </c>
      <c r="F777" t="inlineStr">
        <is>
          <t>Holmen skog AB</t>
        </is>
      </c>
      <c r="G777" t="n">
        <v>4.3</v>
      </c>
      <c r="H777" t="n">
        <v>0</v>
      </c>
      <c r="I777" t="n">
        <v>0</v>
      </c>
      <c r="J777" t="n">
        <v>0</v>
      </c>
      <c r="K777" t="n">
        <v>0</v>
      </c>
      <c r="L777" t="n">
        <v>0</v>
      </c>
      <c r="M777" t="n">
        <v>0</v>
      </c>
      <c r="N777" t="n">
        <v>0</v>
      </c>
      <c r="O777" t="n">
        <v>0</v>
      </c>
      <c r="P777" t="n">
        <v>0</v>
      </c>
      <c r="Q777" t="n">
        <v>0</v>
      </c>
      <c r="R777" s="2" t="inlineStr"/>
    </row>
    <row r="778" ht="15" customHeight="1">
      <c r="A778" t="inlineStr">
        <is>
          <t>A 50738-2020</t>
        </is>
      </c>
      <c r="B778" s="1" t="n">
        <v>44111</v>
      </c>
      <c r="C778" s="1" t="n">
        <v>45345</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50746-2020</t>
        </is>
      </c>
      <c r="B779" s="1" t="n">
        <v>44111</v>
      </c>
      <c r="C779" s="1" t="n">
        <v>45345</v>
      </c>
      <c r="D779" t="inlineStr">
        <is>
          <t>STOCKHOLMS LÄN</t>
        </is>
      </c>
      <c r="E779" t="inlineStr">
        <is>
          <t>NORRTÄLJE</t>
        </is>
      </c>
      <c r="G779" t="n">
        <v>4.9</v>
      </c>
      <c r="H779" t="n">
        <v>0</v>
      </c>
      <c r="I779" t="n">
        <v>0</v>
      </c>
      <c r="J779" t="n">
        <v>0</v>
      </c>
      <c r="K779" t="n">
        <v>0</v>
      </c>
      <c r="L779" t="n">
        <v>0</v>
      </c>
      <c r="M779" t="n">
        <v>0</v>
      </c>
      <c r="N779" t="n">
        <v>0</v>
      </c>
      <c r="O779" t="n">
        <v>0</v>
      </c>
      <c r="P779" t="n">
        <v>0</v>
      </c>
      <c r="Q779" t="n">
        <v>0</v>
      </c>
      <c r="R779" s="2" t="inlineStr"/>
    </row>
    <row r="780" ht="15" customHeight="1">
      <c r="A780" t="inlineStr">
        <is>
          <t>A 50742-2020</t>
        </is>
      </c>
      <c r="B780" s="1" t="n">
        <v>44111</v>
      </c>
      <c r="C780" s="1" t="n">
        <v>45345</v>
      </c>
      <c r="D780" t="inlineStr">
        <is>
          <t>STOCKHOLMS LÄN</t>
        </is>
      </c>
      <c r="E780" t="inlineStr">
        <is>
          <t>NORRTÄLJE</t>
        </is>
      </c>
      <c r="G780" t="n">
        <v>0.4</v>
      </c>
      <c r="H780" t="n">
        <v>0</v>
      </c>
      <c r="I780" t="n">
        <v>0</v>
      </c>
      <c r="J780" t="n">
        <v>0</v>
      </c>
      <c r="K780" t="n">
        <v>0</v>
      </c>
      <c r="L780" t="n">
        <v>0</v>
      </c>
      <c r="M780" t="n">
        <v>0</v>
      </c>
      <c r="N780" t="n">
        <v>0</v>
      </c>
      <c r="O780" t="n">
        <v>0</v>
      </c>
      <c r="P780" t="n">
        <v>0</v>
      </c>
      <c r="Q780" t="n">
        <v>0</v>
      </c>
      <c r="R780" s="2" t="inlineStr"/>
    </row>
    <row r="781" ht="15" customHeight="1">
      <c r="A781" t="inlineStr">
        <is>
          <t>A 51720-2020</t>
        </is>
      </c>
      <c r="B781" s="1" t="n">
        <v>44113</v>
      </c>
      <c r="C781" s="1" t="n">
        <v>45345</v>
      </c>
      <c r="D781" t="inlineStr">
        <is>
          <t>STOCKHOLMS LÄN</t>
        </is>
      </c>
      <c r="E781" t="inlineStr">
        <is>
          <t>NORRTÄLJE</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51787-2020</t>
        </is>
      </c>
      <c r="B782" s="1" t="n">
        <v>44116</v>
      </c>
      <c r="C782" s="1" t="n">
        <v>45345</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51798-2020</t>
        </is>
      </c>
      <c r="B783" s="1" t="n">
        <v>44116</v>
      </c>
      <c r="C783" s="1" t="n">
        <v>45345</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53768-2020</t>
        </is>
      </c>
      <c r="B784" s="1" t="n">
        <v>44123</v>
      </c>
      <c r="C784" s="1" t="n">
        <v>45345</v>
      </c>
      <c r="D784" t="inlineStr">
        <is>
          <t>STOCKHOLMS LÄN</t>
        </is>
      </c>
      <c r="E784" t="inlineStr">
        <is>
          <t>NORRTÄLJE</t>
        </is>
      </c>
      <c r="F784" t="inlineStr">
        <is>
          <t>Kommuner</t>
        </is>
      </c>
      <c r="G784" t="n">
        <v>2.1</v>
      </c>
      <c r="H784" t="n">
        <v>0</v>
      </c>
      <c r="I784" t="n">
        <v>0</v>
      </c>
      <c r="J784" t="n">
        <v>0</v>
      </c>
      <c r="K784" t="n">
        <v>0</v>
      </c>
      <c r="L784" t="n">
        <v>0</v>
      </c>
      <c r="M784" t="n">
        <v>0</v>
      </c>
      <c r="N784" t="n">
        <v>0</v>
      </c>
      <c r="O784" t="n">
        <v>0</v>
      </c>
      <c r="P784" t="n">
        <v>0</v>
      </c>
      <c r="Q784" t="n">
        <v>0</v>
      </c>
      <c r="R784" s="2" t="inlineStr"/>
    </row>
    <row r="785" ht="15" customHeight="1">
      <c r="A785" t="inlineStr">
        <is>
          <t>A 53652-2020</t>
        </is>
      </c>
      <c r="B785" s="1" t="n">
        <v>44124</v>
      </c>
      <c r="C785" s="1" t="n">
        <v>45345</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53690-2020</t>
        </is>
      </c>
      <c r="B786" s="1" t="n">
        <v>44124</v>
      </c>
      <c r="C786" s="1" t="n">
        <v>45345</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53607-2020</t>
        </is>
      </c>
      <c r="B787" s="1" t="n">
        <v>44124</v>
      </c>
      <c r="C787" s="1" t="n">
        <v>45345</v>
      </c>
      <c r="D787" t="inlineStr">
        <is>
          <t>STOCKHOLMS LÄN</t>
        </is>
      </c>
      <c r="E787" t="inlineStr">
        <is>
          <t>NORRTÄLJE</t>
        </is>
      </c>
      <c r="F787" t="inlineStr">
        <is>
          <t>Holmen skog AB</t>
        </is>
      </c>
      <c r="G787" t="n">
        <v>1.9</v>
      </c>
      <c r="H787" t="n">
        <v>0</v>
      </c>
      <c r="I787" t="n">
        <v>0</v>
      </c>
      <c r="J787" t="n">
        <v>0</v>
      </c>
      <c r="K787" t="n">
        <v>0</v>
      </c>
      <c r="L787" t="n">
        <v>0</v>
      </c>
      <c r="M787" t="n">
        <v>0</v>
      </c>
      <c r="N787" t="n">
        <v>0</v>
      </c>
      <c r="O787" t="n">
        <v>0</v>
      </c>
      <c r="P787" t="n">
        <v>0</v>
      </c>
      <c r="Q787" t="n">
        <v>0</v>
      </c>
      <c r="R787" s="2" t="inlineStr"/>
    </row>
    <row r="788" ht="15" customHeight="1">
      <c r="A788" t="inlineStr">
        <is>
          <t>A 55089-2020</t>
        </is>
      </c>
      <c r="B788" s="1" t="n">
        <v>44130</v>
      </c>
      <c r="C788" s="1" t="n">
        <v>45345</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55895-2020</t>
        </is>
      </c>
      <c r="B789" s="1" t="n">
        <v>44132</v>
      </c>
      <c r="C789" s="1" t="n">
        <v>45345</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55890-2020</t>
        </is>
      </c>
      <c r="B790" s="1" t="n">
        <v>44132</v>
      </c>
      <c r="C790" s="1" t="n">
        <v>45345</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55982-2020</t>
        </is>
      </c>
      <c r="B791" s="1" t="n">
        <v>44132</v>
      </c>
      <c r="C791" s="1" t="n">
        <v>45345</v>
      </c>
      <c r="D791" t="inlineStr">
        <is>
          <t>STOCKHOLMS LÄN</t>
        </is>
      </c>
      <c r="E791" t="inlineStr">
        <is>
          <t>NORRTÄLJE</t>
        </is>
      </c>
      <c r="G791" t="n">
        <v>11.3</v>
      </c>
      <c r="H791" t="n">
        <v>0</v>
      </c>
      <c r="I791" t="n">
        <v>0</v>
      </c>
      <c r="J791" t="n">
        <v>0</v>
      </c>
      <c r="K791" t="n">
        <v>0</v>
      </c>
      <c r="L791" t="n">
        <v>0</v>
      </c>
      <c r="M791" t="n">
        <v>0</v>
      </c>
      <c r="N791" t="n">
        <v>0</v>
      </c>
      <c r="O791" t="n">
        <v>0</v>
      </c>
      <c r="P791" t="n">
        <v>0</v>
      </c>
      <c r="Q791" t="n">
        <v>0</v>
      </c>
      <c r="R791" s="2" t="inlineStr"/>
    </row>
    <row r="792" ht="15" customHeight="1">
      <c r="A792" t="inlineStr">
        <is>
          <t>A 56166-2020</t>
        </is>
      </c>
      <c r="B792" s="1" t="n">
        <v>44133</v>
      </c>
      <c r="C792" s="1" t="n">
        <v>45345</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56323-2020</t>
        </is>
      </c>
      <c r="B793" s="1" t="n">
        <v>44134</v>
      </c>
      <c r="C793" s="1" t="n">
        <v>45345</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57216-2020</t>
        </is>
      </c>
      <c r="B794" s="1" t="n">
        <v>44139</v>
      </c>
      <c r="C794" s="1" t="n">
        <v>45345</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57957-2020</t>
        </is>
      </c>
      <c r="B795" s="1" t="n">
        <v>44143</v>
      </c>
      <c r="C795" s="1" t="n">
        <v>45345</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57987-2020</t>
        </is>
      </c>
      <c r="B796" s="1" t="n">
        <v>44143</v>
      </c>
      <c r="C796" s="1" t="n">
        <v>45345</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58493-2020</t>
        </is>
      </c>
      <c r="B797" s="1" t="n">
        <v>44145</v>
      </c>
      <c r="C797" s="1" t="n">
        <v>45345</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58661-2020</t>
        </is>
      </c>
      <c r="B798" s="1" t="n">
        <v>44145</v>
      </c>
      <c r="C798" s="1" t="n">
        <v>45345</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58665-2020</t>
        </is>
      </c>
      <c r="B799" s="1" t="n">
        <v>44145</v>
      </c>
      <c r="C799" s="1" t="n">
        <v>45345</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58888-2020</t>
        </is>
      </c>
      <c r="B800" s="1" t="n">
        <v>44146</v>
      </c>
      <c r="C800" s="1" t="n">
        <v>45345</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60321-2020</t>
        </is>
      </c>
      <c r="B801" s="1" t="n">
        <v>44152</v>
      </c>
      <c r="C801" s="1" t="n">
        <v>45345</v>
      </c>
      <c r="D801" t="inlineStr">
        <is>
          <t>STOCKHOLMS LÄN</t>
        </is>
      </c>
      <c r="E801" t="inlineStr">
        <is>
          <t>NORRTÄLJE</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60542-2020</t>
        </is>
      </c>
      <c r="B802" s="1" t="n">
        <v>44153</v>
      </c>
      <c r="C802" s="1" t="n">
        <v>45345</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60977-2020</t>
        </is>
      </c>
      <c r="B803" s="1" t="n">
        <v>44154</v>
      </c>
      <c r="C803" s="1" t="n">
        <v>45345</v>
      </c>
      <c r="D803" t="inlineStr">
        <is>
          <t>STOCKHOLMS LÄN</t>
        </is>
      </c>
      <c r="E803" t="inlineStr">
        <is>
          <t>NORRTÄLJE</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60891-2020</t>
        </is>
      </c>
      <c r="B804" s="1" t="n">
        <v>44154</v>
      </c>
      <c r="C804" s="1" t="n">
        <v>45345</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60961-2020</t>
        </is>
      </c>
      <c r="B805" s="1" t="n">
        <v>44154</v>
      </c>
      <c r="C805" s="1" t="n">
        <v>45345</v>
      </c>
      <c r="D805" t="inlineStr">
        <is>
          <t>STOCKHOLMS LÄN</t>
        </is>
      </c>
      <c r="E805" t="inlineStr">
        <is>
          <t>NORRTÄLJE</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61195-2020</t>
        </is>
      </c>
      <c r="B806" s="1" t="n">
        <v>44155</v>
      </c>
      <c r="C806" s="1" t="n">
        <v>45345</v>
      </c>
      <c r="D806" t="inlineStr">
        <is>
          <t>STOCKHOLMS LÄN</t>
        </is>
      </c>
      <c r="E806" t="inlineStr">
        <is>
          <t>NORRTÄLJE</t>
        </is>
      </c>
      <c r="G806" t="n">
        <v>7.8</v>
      </c>
      <c r="H806" t="n">
        <v>0</v>
      </c>
      <c r="I806" t="n">
        <v>0</v>
      </c>
      <c r="J806" t="n">
        <v>0</v>
      </c>
      <c r="K806" t="n">
        <v>0</v>
      </c>
      <c r="L806" t="n">
        <v>0</v>
      </c>
      <c r="M806" t="n">
        <v>0</v>
      </c>
      <c r="N806" t="n">
        <v>0</v>
      </c>
      <c r="O806" t="n">
        <v>0</v>
      </c>
      <c r="P806" t="n">
        <v>0</v>
      </c>
      <c r="Q806" t="n">
        <v>0</v>
      </c>
      <c r="R806" s="2" t="inlineStr"/>
    </row>
    <row r="807" ht="15" customHeight="1">
      <c r="A807" t="inlineStr">
        <is>
          <t>A 61221-2020</t>
        </is>
      </c>
      <c r="B807" s="1" t="n">
        <v>44155</v>
      </c>
      <c r="C807" s="1" t="n">
        <v>45345</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61363-2020</t>
        </is>
      </c>
      <c r="B808" s="1" t="n">
        <v>44155</v>
      </c>
      <c r="C808" s="1" t="n">
        <v>45345</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61469-2020</t>
        </is>
      </c>
      <c r="B809" s="1" t="n">
        <v>44155</v>
      </c>
      <c r="C809" s="1" t="n">
        <v>45345</v>
      </c>
      <c r="D809" t="inlineStr">
        <is>
          <t>STOCKHOLMS LÄN</t>
        </is>
      </c>
      <c r="E809" t="inlineStr">
        <is>
          <t>NORRTÄLJE</t>
        </is>
      </c>
      <c r="F809" t="inlineStr">
        <is>
          <t>Övriga Aktiebolag</t>
        </is>
      </c>
      <c r="G809" t="n">
        <v>2.6</v>
      </c>
      <c r="H809" t="n">
        <v>0</v>
      </c>
      <c r="I809" t="n">
        <v>0</v>
      </c>
      <c r="J809" t="n">
        <v>0</v>
      </c>
      <c r="K809" t="n">
        <v>0</v>
      </c>
      <c r="L809" t="n">
        <v>0</v>
      </c>
      <c r="M809" t="n">
        <v>0</v>
      </c>
      <c r="N809" t="n">
        <v>0</v>
      </c>
      <c r="O809" t="n">
        <v>0</v>
      </c>
      <c r="P809" t="n">
        <v>0</v>
      </c>
      <c r="Q809" t="n">
        <v>0</v>
      </c>
      <c r="R809" s="2" t="inlineStr"/>
    </row>
    <row r="810" ht="15" customHeight="1">
      <c r="A810" t="inlineStr">
        <is>
          <t>A 61192-2020</t>
        </is>
      </c>
      <c r="B810" s="1" t="n">
        <v>44155</v>
      </c>
      <c r="C810" s="1" t="n">
        <v>45345</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62460-2020</t>
        </is>
      </c>
      <c r="B811" s="1" t="n">
        <v>44160</v>
      </c>
      <c r="C811" s="1" t="n">
        <v>45345</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62854-2020</t>
        </is>
      </c>
      <c r="B812" s="1" t="n">
        <v>44161</v>
      </c>
      <c r="C812" s="1" t="n">
        <v>45345</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63824-2020</t>
        </is>
      </c>
      <c r="B813" s="1" t="n">
        <v>44162</v>
      </c>
      <c r="C813" s="1" t="n">
        <v>45345</v>
      </c>
      <c r="D813" t="inlineStr">
        <is>
          <t>STOCKHOLMS LÄN</t>
        </is>
      </c>
      <c r="E813" t="inlineStr">
        <is>
          <t>NORRTÄLJE</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66372-2020</t>
        </is>
      </c>
      <c r="B814" s="1" t="n">
        <v>44176</v>
      </c>
      <c r="C814" s="1" t="n">
        <v>45345</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66907-2020</t>
        </is>
      </c>
      <c r="B815" s="1" t="n">
        <v>44176</v>
      </c>
      <c r="C815" s="1" t="n">
        <v>45345</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67393-2020</t>
        </is>
      </c>
      <c r="B816" s="1" t="n">
        <v>44181</v>
      </c>
      <c r="C816" s="1" t="n">
        <v>45345</v>
      </c>
      <c r="D816" t="inlineStr">
        <is>
          <t>STOCKHOLMS LÄN</t>
        </is>
      </c>
      <c r="E816" t="inlineStr">
        <is>
          <t>NORRTÄLJE</t>
        </is>
      </c>
      <c r="G816" t="n">
        <v>5.5</v>
      </c>
      <c r="H816" t="n">
        <v>0</v>
      </c>
      <c r="I816" t="n">
        <v>0</v>
      </c>
      <c r="J816" t="n">
        <v>0</v>
      </c>
      <c r="K816" t="n">
        <v>0</v>
      </c>
      <c r="L816" t="n">
        <v>0</v>
      </c>
      <c r="M816" t="n">
        <v>0</v>
      </c>
      <c r="N816" t="n">
        <v>0</v>
      </c>
      <c r="O816" t="n">
        <v>0</v>
      </c>
      <c r="P816" t="n">
        <v>0</v>
      </c>
      <c r="Q816" t="n">
        <v>0</v>
      </c>
      <c r="R816" s="2" t="inlineStr"/>
    </row>
    <row r="817" ht="15" customHeight="1">
      <c r="A817" t="inlineStr">
        <is>
          <t>A 68081-2020</t>
        </is>
      </c>
      <c r="B817" s="1" t="n">
        <v>44183</v>
      </c>
      <c r="C817" s="1" t="n">
        <v>45345</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367-2021</t>
        </is>
      </c>
      <c r="B818" s="1" t="n">
        <v>44201</v>
      </c>
      <c r="C818" s="1" t="n">
        <v>45345</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348-2021</t>
        </is>
      </c>
      <c r="B819" s="1" t="n">
        <v>44201</v>
      </c>
      <c r="C819" s="1" t="n">
        <v>45345</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1637-2021</t>
        </is>
      </c>
      <c r="B820" s="1" t="n">
        <v>44209</v>
      </c>
      <c r="C820" s="1" t="n">
        <v>45345</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1970-2021</t>
        </is>
      </c>
      <c r="B821" s="1" t="n">
        <v>44210</v>
      </c>
      <c r="C821" s="1" t="n">
        <v>45345</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2447-2021</t>
        </is>
      </c>
      <c r="B822" s="1" t="n">
        <v>44214</v>
      </c>
      <c r="C822" s="1" t="n">
        <v>45345</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2976-2021</t>
        </is>
      </c>
      <c r="B823" s="1" t="n">
        <v>44216</v>
      </c>
      <c r="C823" s="1" t="n">
        <v>45345</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3143-2021</t>
        </is>
      </c>
      <c r="B824" s="1" t="n">
        <v>44217</v>
      </c>
      <c r="C824" s="1" t="n">
        <v>45345</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3386-2021</t>
        </is>
      </c>
      <c r="B825" s="1" t="n">
        <v>44218</v>
      </c>
      <c r="C825" s="1" t="n">
        <v>45345</v>
      </c>
      <c r="D825" t="inlineStr">
        <is>
          <t>STOCKHOLMS LÄN</t>
        </is>
      </c>
      <c r="E825" t="inlineStr">
        <is>
          <t>NORRTÄLJE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4634-2021</t>
        </is>
      </c>
      <c r="B826" s="1" t="n">
        <v>44224</v>
      </c>
      <c r="C826" s="1" t="n">
        <v>45345</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4632-2021</t>
        </is>
      </c>
      <c r="B827" s="1" t="n">
        <v>44224</v>
      </c>
      <c r="C827" s="1" t="n">
        <v>45345</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5037-2021</t>
        </is>
      </c>
      <c r="B828" s="1" t="n">
        <v>44228</v>
      </c>
      <c r="C828" s="1" t="n">
        <v>45345</v>
      </c>
      <c r="D828" t="inlineStr">
        <is>
          <t>STOCKHOLMS LÄN</t>
        </is>
      </c>
      <c r="E828" t="inlineStr">
        <is>
          <t>NORRTÄLJE</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5562-2021</t>
        </is>
      </c>
      <c r="B829" s="1" t="n">
        <v>44230</v>
      </c>
      <c r="C829" s="1" t="n">
        <v>45345</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5566-2021</t>
        </is>
      </c>
      <c r="B830" s="1" t="n">
        <v>44230</v>
      </c>
      <c r="C830" s="1" t="n">
        <v>45345</v>
      </c>
      <c r="D830" t="inlineStr">
        <is>
          <t>STOCKHOLMS LÄN</t>
        </is>
      </c>
      <c r="E830" t="inlineStr">
        <is>
          <t>NORRTÄLJE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5950-2021</t>
        </is>
      </c>
      <c r="B831" s="1" t="n">
        <v>44231</v>
      </c>
      <c r="C831" s="1" t="n">
        <v>45345</v>
      </c>
      <c r="D831" t="inlineStr">
        <is>
          <t>STOCKHOLMS LÄN</t>
        </is>
      </c>
      <c r="E831" t="inlineStr">
        <is>
          <t>NORRTÄLJE</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6049-2021</t>
        </is>
      </c>
      <c r="B832" s="1" t="n">
        <v>44231</v>
      </c>
      <c r="C832" s="1" t="n">
        <v>45345</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7903-2021</t>
        </is>
      </c>
      <c r="B833" s="1" t="n">
        <v>44243</v>
      </c>
      <c r="C833" s="1" t="n">
        <v>45345</v>
      </c>
      <c r="D833" t="inlineStr">
        <is>
          <t>STOCKHOLMS LÄN</t>
        </is>
      </c>
      <c r="E833" t="inlineStr">
        <is>
          <t>NORRTÄLJE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7999-2021</t>
        </is>
      </c>
      <c r="B834" s="1" t="n">
        <v>44243</v>
      </c>
      <c r="C834" s="1" t="n">
        <v>45345</v>
      </c>
      <c r="D834" t="inlineStr">
        <is>
          <t>STOCKHOLMS LÄN</t>
        </is>
      </c>
      <c r="E834" t="inlineStr">
        <is>
          <t>NORRTÄLJE</t>
        </is>
      </c>
      <c r="G834" t="n">
        <v>6.8</v>
      </c>
      <c r="H834" t="n">
        <v>0</v>
      </c>
      <c r="I834" t="n">
        <v>0</v>
      </c>
      <c r="J834" t="n">
        <v>0</v>
      </c>
      <c r="K834" t="n">
        <v>0</v>
      </c>
      <c r="L834" t="n">
        <v>0</v>
      </c>
      <c r="M834" t="n">
        <v>0</v>
      </c>
      <c r="N834" t="n">
        <v>0</v>
      </c>
      <c r="O834" t="n">
        <v>0</v>
      </c>
      <c r="P834" t="n">
        <v>0</v>
      </c>
      <c r="Q834" t="n">
        <v>0</v>
      </c>
      <c r="R834" s="2" t="inlineStr"/>
    </row>
    <row r="835" ht="15" customHeight="1">
      <c r="A835" t="inlineStr">
        <is>
          <t>A 8338-2021</t>
        </is>
      </c>
      <c r="B835" s="1" t="n">
        <v>44244</v>
      </c>
      <c r="C835" s="1" t="n">
        <v>45345</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9467-2021</t>
        </is>
      </c>
      <c r="B836" s="1" t="n">
        <v>44251</v>
      </c>
      <c r="C836" s="1" t="n">
        <v>45345</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9469-2021</t>
        </is>
      </c>
      <c r="B837" s="1" t="n">
        <v>44251</v>
      </c>
      <c r="C837" s="1" t="n">
        <v>45345</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9446-2021</t>
        </is>
      </c>
      <c r="B838" s="1" t="n">
        <v>44251</v>
      </c>
      <c r="C838" s="1" t="n">
        <v>45345</v>
      </c>
      <c r="D838" t="inlineStr">
        <is>
          <t>STOCKHOLMS LÄN</t>
        </is>
      </c>
      <c r="E838" t="inlineStr">
        <is>
          <t>NORRTÄLJE</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9719-2021</t>
        </is>
      </c>
      <c r="B839" s="1" t="n">
        <v>44252</v>
      </c>
      <c r="C839" s="1" t="n">
        <v>45345</v>
      </c>
      <c r="D839" t="inlineStr">
        <is>
          <t>STOCKHOLMS LÄN</t>
        </is>
      </c>
      <c r="E839" t="inlineStr">
        <is>
          <t>NORRTÄLJE</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9703-2021</t>
        </is>
      </c>
      <c r="B840" s="1" t="n">
        <v>44252</v>
      </c>
      <c r="C840" s="1" t="n">
        <v>45345</v>
      </c>
      <c r="D840" t="inlineStr">
        <is>
          <t>STOCKHOLMS LÄN</t>
        </is>
      </c>
      <c r="E840" t="inlineStr">
        <is>
          <t>NORRTÄLJE</t>
        </is>
      </c>
      <c r="G840" t="n">
        <v>3.4</v>
      </c>
      <c r="H840" t="n">
        <v>0</v>
      </c>
      <c r="I840" t="n">
        <v>0</v>
      </c>
      <c r="J840" t="n">
        <v>0</v>
      </c>
      <c r="K840" t="n">
        <v>0</v>
      </c>
      <c r="L840" t="n">
        <v>0</v>
      </c>
      <c r="M840" t="n">
        <v>0</v>
      </c>
      <c r="N840" t="n">
        <v>0</v>
      </c>
      <c r="O840" t="n">
        <v>0</v>
      </c>
      <c r="P840" t="n">
        <v>0</v>
      </c>
      <c r="Q840" t="n">
        <v>0</v>
      </c>
      <c r="R840" s="2" t="inlineStr"/>
    </row>
    <row r="841" ht="15" customHeight="1">
      <c r="A841" t="inlineStr">
        <is>
          <t>A 10687-2021</t>
        </is>
      </c>
      <c r="B841" s="1" t="n">
        <v>44258</v>
      </c>
      <c r="C841" s="1" t="n">
        <v>45345</v>
      </c>
      <c r="D841" t="inlineStr">
        <is>
          <t>STOCKHOLMS LÄN</t>
        </is>
      </c>
      <c r="E841" t="inlineStr">
        <is>
          <t>NORRTÄLJE</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10684-2021</t>
        </is>
      </c>
      <c r="B842" s="1" t="n">
        <v>44258</v>
      </c>
      <c r="C842" s="1" t="n">
        <v>45345</v>
      </c>
      <c r="D842" t="inlineStr">
        <is>
          <t>STOCKHOLMS LÄN</t>
        </is>
      </c>
      <c r="E842" t="inlineStr">
        <is>
          <t>NORRTÄLJE</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11122-2021</t>
        </is>
      </c>
      <c r="B843" s="1" t="n">
        <v>44260</v>
      </c>
      <c r="C843" s="1" t="n">
        <v>45345</v>
      </c>
      <c r="D843" t="inlineStr">
        <is>
          <t>STOCKHOLMS LÄN</t>
        </is>
      </c>
      <c r="E843" t="inlineStr">
        <is>
          <t>NORRTÄLJE</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11438-2021</t>
        </is>
      </c>
      <c r="B844" s="1" t="n">
        <v>44263</v>
      </c>
      <c r="C844" s="1" t="n">
        <v>45345</v>
      </c>
      <c r="D844" t="inlineStr">
        <is>
          <t>STOCKHOLMS LÄN</t>
        </is>
      </c>
      <c r="E844" t="inlineStr">
        <is>
          <t>NORRTÄLJE</t>
        </is>
      </c>
      <c r="G844" t="n">
        <v>2.6</v>
      </c>
      <c r="H844" t="n">
        <v>0</v>
      </c>
      <c r="I844" t="n">
        <v>0</v>
      </c>
      <c r="J844" t="n">
        <v>0</v>
      </c>
      <c r="K844" t="n">
        <v>0</v>
      </c>
      <c r="L844" t="n">
        <v>0</v>
      </c>
      <c r="M844" t="n">
        <v>0</v>
      </c>
      <c r="N844" t="n">
        <v>0</v>
      </c>
      <c r="O844" t="n">
        <v>0</v>
      </c>
      <c r="P844" t="n">
        <v>0</v>
      </c>
      <c r="Q844" t="n">
        <v>0</v>
      </c>
      <c r="R844" s="2" t="inlineStr"/>
    </row>
    <row r="845" ht="15" customHeight="1">
      <c r="A845" t="inlineStr">
        <is>
          <t>A 11988-2021</t>
        </is>
      </c>
      <c r="B845" s="1" t="n">
        <v>44266</v>
      </c>
      <c r="C845" s="1" t="n">
        <v>45345</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12031-2021</t>
        </is>
      </c>
      <c r="B846" s="1" t="n">
        <v>44266</v>
      </c>
      <c r="C846" s="1" t="n">
        <v>45345</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12111-2021</t>
        </is>
      </c>
      <c r="B847" s="1" t="n">
        <v>44266</v>
      </c>
      <c r="C847" s="1" t="n">
        <v>45345</v>
      </c>
      <c r="D847" t="inlineStr">
        <is>
          <t>STOCKHOLMS LÄN</t>
        </is>
      </c>
      <c r="E847" t="inlineStr">
        <is>
          <t>NORRTÄLJE</t>
        </is>
      </c>
      <c r="G847" t="n">
        <v>5.5</v>
      </c>
      <c r="H847" t="n">
        <v>0</v>
      </c>
      <c r="I847" t="n">
        <v>0</v>
      </c>
      <c r="J847" t="n">
        <v>0</v>
      </c>
      <c r="K847" t="n">
        <v>0</v>
      </c>
      <c r="L847" t="n">
        <v>0</v>
      </c>
      <c r="M847" t="n">
        <v>0</v>
      </c>
      <c r="N847" t="n">
        <v>0</v>
      </c>
      <c r="O847" t="n">
        <v>0</v>
      </c>
      <c r="P847" t="n">
        <v>0</v>
      </c>
      <c r="Q847" t="n">
        <v>0</v>
      </c>
      <c r="R847" s="2" t="inlineStr"/>
    </row>
    <row r="848" ht="15" customHeight="1">
      <c r="A848" t="inlineStr">
        <is>
          <t>A 12132-2021</t>
        </is>
      </c>
      <c r="B848" s="1" t="n">
        <v>44266</v>
      </c>
      <c r="C848" s="1" t="n">
        <v>45345</v>
      </c>
      <c r="D848" t="inlineStr">
        <is>
          <t>STOCKHOLMS LÄN</t>
        </is>
      </c>
      <c r="E848" t="inlineStr">
        <is>
          <t>NORRTÄLJE</t>
        </is>
      </c>
      <c r="G848" t="n">
        <v>4</v>
      </c>
      <c r="H848" t="n">
        <v>0</v>
      </c>
      <c r="I848" t="n">
        <v>0</v>
      </c>
      <c r="J848" t="n">
        <v>0</v>
      </c>
      <c r="K848" t="n">
        <v>0</v>
      </c>
      <c r="L848" t="n">
        <v>0</v>
      </c>
      <c r="M848" t="n">
        <v>0</v>
      </c>
      <c r="N848" t="n">
        <v>0</v>
      </c>
      <c r="O848" t="n">
        <v>0</v>
      </c>
      <c r="P848" t="n">
        <v>0</v>
      </c>
      <c r="Q848" t="n">
        <v>0</v>
      </c>
      <c r="R848" s="2" t="inlineStr"/>
    </row>
    <row r="849" ht="15" customHeight="1">
      <c r="A849" t="inlineStr">
        <is>
          <t>A 12564-2021</t>
        </is>
      </c>
      <c r="B849" s="1" t="n">
        <v>44270</v>
      </c>
      <c r="C849" s="1" t="n">
        <v>45345</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12779-2021</t>
        </is>
      </c>
      <c r="B850" s="1" t="n">
        <v>44270</v>
      </c>
      <c r="C850" s="1" t="n">
        <v>45345</v>
      </c>
      <c r="D850" t="inlineStr">
        <is>
          <t>STOCKHOLMS LÄN</t>
        </is>
      </c>
      <c r="E850" t="inlineStr">
        <is>
          <t>NORRTÄLJE</t>
        </is>
      </c>
      <c r="G850" t="n">
        <v>10.8</v>
      </c>
      <c r="H850" t="n">
        <v>0</v>
      </c>
      <c r="I850" t="n">
        <v>0</v>
      </c>
      <c r="J850" t="n">
        <v>0</v>
      </c>
      <c r="K850" t="n">
        <v>0</v>
      </c>
      <c r="L850" t="n">
        <v>0</v>
      </c>
      <c r="M850" t="n">
        <v>0</v>
      </c>
      <c r="N850" t="n">
        <v>0</v>
      </c>
      <c r="O850" t="n">
        <v>0</v>
      </c>
      <c r="P850" t="n">
        <v>0</v>
      </c>
      <c r="Q850" t="n">
        <v>0</v>
      </c>
      <c r="R850" s="2" t="inlineStr"/>
    </row>
    <row r="851" ht="15" customHeight="1">
      <c r="A851" t="inlineStr">
        <is>
          <t>A 12782-2021</t>
        </is>
      </c>
      <c r="B851" s="1" t="n">
        <v>44270</v>
      </c>
      <c r="C851" s="1" t="n">
        <v>45345</v>
      </c>
      <c r="D851" t="inlineStr">
        <is>
          <t>STOCKHOLMS LÄN</t>
        </is>
      </c>
      <c r="E851" t="inlineStr">
        <is>
          <t>NORRTÄLJE</t>
        </is>
      </c>
      <c r="G851" t="n">
        <v>3.8</v>
      </c>
      <c r="H851" t="n">
        <v>0</v>
      </c>
      <c r="I851" t="n">
        <v>0</v>
      </c>
      <c r="J851" t="n">
        <v>0</v>
      </c>
      <c r="K851" t="n">
        <v>0</v>
      </c>
      <c r="L851" t="n">
        <v>0</v>
      </c>
      <c r="M851" t="n">
        <v>0</v>
      </c>
      <c r="N851" t="n">
        <v>0</v>
      </c>
      <c r="O851" t="n">
        <v>0</v>
      </c>
      <c r="P851" t="n">
        <v>0</v>
      </c>
      <c r="Q851" t="n">
        <v>0</v>
      </c>
      <c r="R851" s="2" t="inlineStr"/>
    </row>
    <row r="852" ht="15" customHeight="1">
      <c r="A852" t="inlineStr">
        <is>
          <t>A 13051-2021</t>
        </is>
      </c>
      <c r="B852" s="1" t="n">
        <v>44272</v>
      </c>
      <c r="C852" s="1" t="n">
        <v>45345</v>
      </c>
      <c r="D852" t="inlineStr">
        <is>
          <t>STOCKHOLMS LÄN</t>
        </is>
      </c>
      <c r="E852" t="inlineStr">
        <is>
          <t>NORRTÄLJE</t>
        </is>
      </c>
      <c r="G852" t="n">
        <v>9.1</v>
      </c>
      <c r="H852" t="n">
        <v>0</v>
      </c>
      <c r="I852" t="n">
        <v>0</v>
      </c>
      <c r="J852" t="n">
        <v>0</v>
      </c>
      <c r="K852" t="n">
        <v>0</v>
      </c>
      <c r="L852" t="n">
        <v>0</v>
      </c>
      <c r="M852" t="n">
        <v>0</v>
      </c>
      <c r="N852" t="n">
        <v>0</v>
      </c>
      <c r="O852" t="n">
        <v>0</v>
      </c>
      <c r="P852" t="n">
        <v>0</v>
      </c>
      <c r="Q852" t="n">
        <v>0</v>
      </c>
      <c r="R852" s="2" t="inlineStr"/>
    </row>
    <row r="853" ht="15" customHeight="1">
      <c r="A853" t="inlineStr">
        <is>
          <t>A 13148-2021</t>
        </is>
      </c>
      <c r="B853" s="1" t="n">
        <v>44272</v>
      </c>
      <c r="C853" s="1" t="n">
        <v>45345</v>
      </c>
      <c r="D853" t="inlineStr">
        <is>
          <t>STOCKHOLMS LÄN</t>
        </is>
      </c>
      <c r="E853" t="inlineStr">
        <is>
          <t>NORRTÄLJE</t>
        </is>
      </c>
      <c r="G853" t="n">
        <v>12.4</v>
      </c>
      <c r="H853" t="n">
        <v>0</v>
      </c>
      <c r="I853" t="n">
        <v>0</v>
      </c>
      <c r="J853" t="n">
        <v>0</v>
      </c>
      <c r="K853" t="n">
        <v>0</v>
      </c>
      <c r="L853" t="n">
        <v>0</v>
      </c>
      <c r="M853" t="n">
        <v>0</v>
      </c>
      <c r="N853" t="n">
        <v>0</v>
      </c>
      <c r="O853" t="n">
        <v>0</v>
      </c>
      <c r="P853" t="n">
        <v>0</v>
      </c>
      <c r="Q853" t="n">
        <v>0</v>
      </c>
      <c r="R853" s="2" t="inlineStr"/>
    </row>
    <row r="854" ht="15" customHeight="1">
      <c r="A854" t="inlineStr">
        <is>
          <t>A 13736-2021</t>
        </is>
      </c>
      <c r="B854" s="1" t="n">
        <v>44274</v>
      </c>
      <c r="C854" s="1" t="n">
        <v>45345</v>
      </c>
      <c r="D854" t="inlineStr">
        <is>
          <t>STOCKHOLMS LÄN</t>
        </is>
      </c>
      <c r="E854" t="inlineStr">
        <is>
          <t>NORRTÄLJE</t>
        </is>
      </c>
      <c r="F854" t="inlineStr">
        <is>
          <t>Holmen skog AB</t>
        </is>
      </c>
      <c r="G854" t="n">
        <v>3.5</v>
      </c>
      <c r="H854" t="n">
        <v>0</v>
      </c>
      <c r="I854" t="n">
        <v>0</v>
      </c>
      <c r="J854" t="n">
        <v>0</v>
      </c>
      <c r="K854" t="n">
        <v>0</v>
      </c>
      <c r="L854" t="n">
        <v>0</v>
      </c>
      <c r="M854" t="n">
        <v>0</v>
      </c>
      <c r="N854" t="n">
        <v>0</v>
      </c>
      <c r="O854" t="n">
        <v>0</v>
      </c>
      <c r="P854" t="n">
        <v>0</v>
      </c>
      <c r="Q854" t="n">
        <v>0</v>
      </c>
      <c r="R854" s="2" t="inlineStr"/>
    </row>
    <row r="855" ht="15" customHeight="1">
      <c r="A855" t="inlineStr">
        <is>
          <t>A 13752-2021</t>
        </is>
      </c>
      <c r="B855" s="1" t="n">
        <v>44274</v>
      </c>
      <c r="C855" s="1" t="n">
        <v>45345</v>
      </c>
      <c r="D855" t="inlineStr">
        <is>
          <t>STOCKHOLMS LÄN</t>
        </is>
      </c>
      <c r="E855" t="inlineStr">
        <is>
          <t>NORRTÄLJE</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14381-2021</t>
        </is>
      </c>
      <c r="B856" s="1" t="n">
        <v>44279</v>
      </c>
      <c r="C856" s="1" t="n">
        <v>45345</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14922-2021</t>
        </is>
      </c>
      <c r="B857" s="1" t="n">
        <v>44281</v>
      </c>
      <c r="C857" s="1" t="n">
        <v>45345</v>
      </c>
      <c r="D857" t="inlineStr">
        <is>
          <t>STOCKHOLMS LÄN</t>
        </is>
      </c>
      <c r="E857" t="inlineStr">
        <is>
          <t>NORRTÄLJE</t>
        </is>
      </c>
      <c r="G857" t="n">
        <v>4.8</v>
      </c>
      <c r="H857" t="n">
        <v>0</v>
      </c>
      <c r="I857" t="n">
        <v>0</v>
      </c>
      <c r="J857" t="n">
        <v>0</v>
      </c>
      <c r="K857" t="n">
        <v>0</v>
      </c>
      <c r="L857" t="n">
        <v>0</v>
      </c>
      <c r="M857" t="n">
        <v>0</v>
      </c>
      <c r="N857" t="n">
        <v>0</v>
      </c>
      <c r="O857" t="n">
        <v>0</v>
      </c>
      <c r="P857" t="n">
        <v>0</v>
      </c>
      <c r="Q857" t="n">
        <v>0</v>
      </c>
      <c r="R857" s="2" t="inlineStr"/>
    </row>
    <row r="858" ht="15" customHeight="1">
      <c r="A858" t="inlineStr">
        <is>
          <t>A 14933-2021</t>
        </is>
      </c>
      <c r="B858" s="1" t="n">
        <v>44281</v>
      </c>
      <c r="C858" s="1" t="n">
        <v>45345</v>
      </c>
      <c r="D858" t="inlineStr">
        <is>
          <t>STOCKHOLMS LÄN</t>
        </is>
      </c>
      <c r="E858" t="inlineStr">
        <is>
          <t>NORRTÄLJE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15289-2021</t>
        </is>
      </c>
      <c r="B859" s="1" t="n">
        <v>44284</v>
      </c>
      <c r="C859" s="1" t="n">
        <v>45345</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15441-2021</t>
        </is>
      </c>
      <c r="B860" s="1" t="n">
        <v>44284</v>
      </c>
      <c r="C860" s="1" t="n">
        <v>45345</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15552-2021</t>
        </is>
      </c>
      <c r="B861" s="1" t="n">
        <v>44285</v>
      </c>
      <c r="C861" s="1" t="n">
        <v>45345</v>
      </c>
      <c r="D861" t="inlineStr">
        <is>
          <t>STOCKHOLMS LÄN</t>
        </is>
      </c>
      <c r="E861" t="inlineStr">
        <is>
          <t>NORRTÄLJE</t>
        </is>
      </c>
      <c r="G861" t="n">
        <v>10</v>
      </c>
      <c r="H861" t="n">
        <v>0</v>
      </c>
      <c r="I861" t="n">
        <v>0</v>
      </c>
      <c r="J861" t="n">
        <v>0</v>
      </c>
      <c r="K861" t="n">
        <v>0</v>
      </c>
      <c r="L861" t="n">
        <v>0</v>
      </c>
      <c r="M861" t="n">
        <v>0</v>
      </c>
      <c r="N861" t="n">
        <v>0</v>
      </c>
      <c r="O861" t="n">
        <v>0</v>
      </c>
      <c r="P861" t="n">
        <v>0</v>
      </c>
      <c r="Q861" t="n">
        <v>0</v>
      </c>
      <c r="R861" s="2" t="inlineStr"/>
    </row>
    <row r="862" ht="15" customHeight="1">
      <c r="A862" t="inlineStr">
        <is>
          <t>A 16668-2021</t>
        </is>
      </c>
      <c r="B862" s="1" t="n">
        <v>44294</v>
      </c>
      <c r="C862" s="1" t="n">
        <v>45345</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17460-2021</t>
        </is>
      </c>
      <c r="B863" s="1" t="n">
        <v>44299</v>
      </c>
      <c r="C863" s="1" t="n">
        <v>45345</v>
      </c>
      <c r="D863" t="inlineStr">
        <is>
          <t>STOCKHOLMS LÄN</t>
        </is>
      </c>
      <c r="E863" t="inlineStr">
        <is>
          <t>NORRTÄLJE</t>
        </is>
      </c>
      <c r="G863" t="n">
        <v>3.2</v>
      </c>
      <c r="H863" t="n">
        <v>0</v>
      </c>
      <c r="I863" t="n">
        <v>0</v>
      </c>
      <c r="J863" t="n">
        <v>0</v>
      </c>
      <c r="K863" t="n">
        <v>0</v>
      </c>
      <c r="L863" t="n">
        <v>0</v>
      </c>
      <c r="M863" t="n">
        <v>0</v>
      </c>
      <c r="N863" t="n">
        <v>0</v>
      </c>
      <c r="O863" t="n">
        <v>0</v>
      </c>
      <c r="P863" t="n">
        <v>0</v>
      </c>
      <c r="Q863" t="n">
        <v>0</v>
      </c>
      <c r="R863" s="2" t="inlineStr"/>
    </row>
    <row r="864" ht="15" customHeight="1">
      <c r="A864" t="inlineStr">
        <is>
          <t>A 17703-2021</t>
        </is>
      </c>
      <c r="B864" s="1" t="n">
        <v>44300</v>
      </c>
      <c r="C864" s="1" t="n">
        <v>45345</v>
      </c>
      <c r="D864" t="inlineStr">
        <is>
          <t>STOCKHOLMS LÄN</t>
        </is>
      </c>
      <c r="E864" t="inlineStr">
        <is>
          <t>NORRTÄLJE</t>
        </is>
      </c>
      <c r="F864" t="inlineStr">
        <is>
          <t>Holmen skog AB</t>
        </is>
      </c>
      <c r="G864" t="n">
        <v>1.1</v>
      </c>
      <c r="H864" t="n">
        <v>0</v>
      </c>
      <c r="I864" t="n">
        <v>0</v>
      </c>
      <c r="J864" t="n">
        <v>0</v>
      </c>
      <c r="K864" t="n">
        <v>0</v>
      </c>
      <c r="L864" t="n">
        <v>0</v>
      </c>
      <c r="M864" t="n">
        <v>0</v>
      </c>
      <c r="N864" t="n">
        <v>0</v>
      </c>
      <c r="O864" t="n">
        <v>0</v>
      </c>
      <c r="P864" t="n">
        <v>0</v>
      </c>
      <c r="Q864" t="n">
        <v>0</v>
      </c>
      <c r="R864" s="2" t="inlineStr"/>
    </row>
    <row r="865" ht="15" customHeight="1">
      <c r="A865" t="inlineStr">
        <is>
          <t>A 18580-2021</t>
        </is>
      </c>
      <c r="B865" s="1" t="n">
        <v>44306</v>
      </c>
      <c r="C865" s="1" t="n">
        <v>45345</v>
      </c>
      <c r="D865" t="inlineStr">
        <is>
          <t>STOCKHOLMS LÄN</t>
        </is>
      </c>
      <c r="E865" t="inlineStr">
        <is>
          <t>NORRTÄLJE</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18609-2021</t>
        </is>
      </c>
      <c r="B866" s="1" t="n">
        <v>44306</v>
      </c>
      <c r="C866" s="1" t="n">
        <v>45345</v>
      </c>
      <c r="D866" t="inlineStr">
        <is>
          <t>STOCKHOLMS LÄN</t>
        </is>
      </c>
      <c r="E866" t="inlineStr">
        <is>
          <t>NORRTÄLJE</t>
        </is>
      </c>
      <c r="G866" t="n">
        <v>9.5</v>
      </c>
      <c r="H866" t="n">
        <v>0</v>
      </c>
      <c r="I866" t="n">
        <v>0</v>
      </c>
      <c r="J866" t="n">
        <v>0</v>
      </c>
      <c r="K866" t="n">
        <v>0</v>
      </c>
      <c r="L866" t="n">
        <v>0</v>
      </c>
      <c r="M866" t="n">
        <v>0</v>
      </c>
      <c r="N866" t="n">
        <v>0</v>
      </c>
      <c r="O866" t="n">
        <v>0</v>
      </c>
      <c r="P866" t="n">
        <v>0</v>
      </c>
      <c r="Q866" t="n">
        <v>0</v>
      </c>
      <c r="R866" s="2" t="inlineStr"/>
    </row>
    <row r="867" ht="15" customHeight="1">
      <c r="A867" t="inlineStr">
        <is>
          <t>A 18539-2021</t>
        </is>
      </c>
      <c r="B867" s="1" t="n">
        <v>44306</v>
      </c>
      <c r="C867" s="1" t="n">
        <v>45345</v>
      </c>
      <c r="D867" t="inlineStr">
        <is>
          <t>STOCKHOLMS LÄN</t>
        </is>
      </c>
      <c r="E867" t="inlineStr">
        <is>
          <t>NORRTÄLJE</t>
        </is>
      </c>
      <c r="F867" t="inlineStr">
        <is>
          <t>Holmen skog AB</t>
        </is>
      </c>
      <c r="G867" t="n">
        <v>5.5</v>
      </c>
      <c r="H867" t="n">
        <v>0</v>
      </c>
      <c r="I867" t="n">
        <v>0</v>
      </c>
      <c r="J867" t="n">
        <v>0</v>
      </c>
      <c r="K867" t="n">
        <v>0</v>
      </c>
      <c r="L867" t="n">
        <v>0</v>
      </c>
      <c r="M867" t="n">
        <v>0</v>
      </c>
      <c r="N867" t="n">
        <v>0</v>
      </c>
      <c r="O867" t="n">
        <v>0</v>
      </c>
      <c r="P867" t="n">
        <v>0</v>
      </c>
      <c r="Q867" t="n">
        <v>0</v>
      </c>
      <c r="R867" s="2" t="inlineStr"/>
    </row>
    <row r="868" ht="15" customHeight="1">
      <c r="A868" t="inlineStr">
        <is>
          <t>A 18570-2021</t>
        </is>
      </c>
      <c r="B868" s="1" t="n">
        <v>44306</v>
      </c>
      <c r="C868" s="1" t="n">
        <v>45345</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19283-2021</t>
        </is>
      </c>
      <c r="B869" s="1" t="n">
        <v>44309</v>
      </c>
      <c r="C869" s="1" t="n">
        <v>45345</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19400-2021</t>
        </is>
      </c>
      <c r="B870" s="1" t="n">
        <v>44309</v>
      </c>
      <c r="C870" s="1" t="n">
        <v>45345</v>
      </c>
      <c r="D870" t="inlineStr">
        <is>
          <t>STOCKHOLMS LÄN</t>
        </is>
      </c>
      <c r="E870" t="inlineStr">
        <is>
          <t>NORRTÄLJE</t>
        </is>
      </c>
      <c r="F870" t="inlineStr">
        <is>
          <t>Kommuner</t>
        </is>
      </c>
      <c r="G870" t="n">
        <v>2.4</v>
      </c>
      <c r="H870" t="n">
        <v>0</v>
      </c>
      <c r="I870" t="n">
        <v>0</v>
      </c>
      <c r="J870" t="n">
        <v>0</v>
      </c>
      <c r="K870" t="n">
        <v>0</v>
      </c>
      <c r="L870" t="n">
        <v>0</v>
      </c>
      <c r="M870" t="n">
        <v>0</v>
      </c>
      <c r="N870" t="n">
        <v>0</v>
      </c>
      <c r="O870" t="n">
        <v>0</v>
      </c>
      <c r="P870" t="n">
        <v>0</v>
      </c>
      <c r="Q870" t="n">
        <v>0</v>
      </c>
      <c r="R870" s="2" t="inlineStr"/>
    </row>
    <row r="871" ht="15" customHeight="1">
      <c r="A871" t="inlineStr">
        <is>
          <t>A 19307-2021</t>
        </is>
      </c>
      <c r="B871" s="1" t="n">
        <v>44309</v>
      </c>
      <c r="C871" s="1" t="n">
        <v>45345</v>
      </c>
      <c r="D871" t="inlineStr">
        <is>
          <t>STOCKHOLMS LÄN</t>
        </is>
      </c>
      <c r="E871" t="inlineStr">
        <is>
          <t>NORRTÄLJE</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19398-2021</t>
        </is>
      </c>
      <c r="B872" s="1" t="n">
        <v>44309</v>
      </c>
      <c r="C872" s="1" t="n">
        <v>45345</v>
      </c>
      <c r="D872" t="inlineStr">
        <is>
          <t>STOCKHOLMS LÄN</t>
        </is>
      </c>
      <c r="E872" t="inlineStr">
        <is>
          <t>NORRTÄLJE</t>
        </is>
      </c>
      <c r="F872" t="inlineStr">
        <is>
          <t>Kommuner</t>
        </is>
      </c>
      <c r="G872" t="n">
        <v>2.1</v>
      </c>
      <c r="H872" t="n">
        <v>0</v>
      </c>
      <c r="I872" t="n">
        <v>0</v>
      </c>
      <c r="J872" t="n">
        <v>0</v>
      </c>
      <c r="K872" t="n">
        <v>0</v>
      </c>
      <c r="L872" t="n">
        <v>0</v>
      </c>
      <c r="M872" t="n">
        <v>0</v>
      </c>
      <c r="N872" t="n">
        <v>0</v>
      </c>
      <c r="O872" t="n">
        <v>0</v>
      </c>
      <c r="P872" t="n">
        <v>0</v>
      </c>
      <c r="Q872" t="n">
        <v>0</v>
      </c>
      <c r="R872" s="2" t="inlineStr"/>
    </row>
    <row r="873" ht="15" customHeight="1">
      <c r="A873" t="inlineStr">
        <is>
          <t>A 20073-2021</t>
        </is>
      </c>
      <c r="B873" s="1" t="n">
        <v>44314</v>
      </c>
      <c r="C873" s="1" t="n">
        <v>45345</v>
      </c>
      <c r="D873" t="inlineStr">
        <is>
          <t>STOCKHOLMS LÄN</t>
        </is>
      </c>
      <c r="E873" t="inlineStr">
        <is>
          <t>NORRTÄLJE</t>
        </is>
      </c>
      <c r="G873" t="n">
        <v>4.6</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45345</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21291-2021</t>
        </is>
      </c>
      <c r="B875" s="1" t="n">
        <v>44319</v>
      </c>
      <c r="C875" s="1" t="n">
        <v>45345</v>
      </c>
      <c r="D875" t="inlineStr">
        <is>
          <t>STOCKHOLMS LÄN</t>
        </is>
      </c>
      <c r="E875" t="inlineStr">
        <is>
          <t>NORRTÄLJE</t>
        </is>
      </c>
      <c r="G875" t="n">
        <v>12.7</v>
      </c>
      <c r="H875" t="n">
        <v>0</v>
      </c>
      <c r="I875" t="n">
        <v>0</v>
      </c>
      <c r="J875" t="n">
        <v>0</v>
      </c>
      <c r="K875" t="n">
        <v>0</v>
      </c>
      <c r="L875" t="n">
        <v>0</v>
      </c>
      <c r="M875" t="n">
        <v>0</v>
      </c>
      <c r="N875" t="n">
        <v>0</v>
      </c>
      <c r="O875" t="n">
        <v>0</v>
      </c>
      <c r="P875" t="n">
        <v>0</v>
      </c>
      <c r="Q875" t="n">
        <v>0</v>
      </c>
      <c r="R875" s="2" t="inlineStr"/>
    </row>
    <row r="876" ht="15" customHeight="1">
      <c r="A876" t="inlineStr">
        <is>
          <t>A 21529-2021</t>
        </is>
      </c>
      <c r="B876" s="1" t="n">
        <v>44321</v>
      </c>
      <c r="C876" s="1" t="n">
        <v>45345</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22832-2021</t>
        </is>
      </c>
      <c r="B877" s="1" t="n">
        <v>44325</v>
      </c>
      <c r="C877" s="1" t="n">
        <v>45345</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22816-2021</t>
        </is>
      </c>
      <c r="B878" s="1" t="n">
        <v>44325</v>
      </c>
      <c r="C878" s="1" t="n">
        <v>45345</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22369-2021</t>
        </is>
      </c>
      <c r="B879" s="1" t="n">
        <v>44326</v>
      </c>
      <c r="C879" s="1" t="n">
        <v>45345</v>
      </c>
      <c r="D879" t="inlineStr">
        <is>
          <t>STOCKHOLMS LÄN</t>
        </is>
      </c>
      <c r="E879" t="inlineStr">
        <is>
          <t>NORRTÄLJE</t>
        </is>
      </c>
      <c r="F879" t="inlineStr">
        <is>
          <t>Holmen skog AB</t>
        </is>
      </c>
      <c r="G879" t="n">
        <v>3.4</v>
      </c>
      <c r="H879" t="n">
        <v>0</v>
      </c>
      <c r="I879" t="n">
        <v>0</v>
      </c>
      <c r="J879" t="n">
        <v>0</v>
      </c>
      <c r="K879" t="n">
        <v>0</v>
      </c>
      <c r="L879" t="n">
        <v>0</v>
      </c>
      <c r="M879" t="n">
        <v>0</v>
      </c>
      <c r="N879" t="n">
        <v>0</v>
      </c>
      <c r="O879" t="n">
        <v>0</v>
      </c>
      <c r="P879" t="n">
        <v>0</v>
      </c>
      <c r="Q879" t="n">
        <v>0</v>
      </c>
      <c r="R879" s="2" t="inlineStr"/>
    </row>
    <row r="880" ht="15" customHeight="1">
      <c r="A880" t="inlineStr">
        <is>
          <t>A 22421-2021</t>
        </is>
      </c>
      <c r="B880" s="1" t="n">
        <v>44326</v>
      </c>
      <c r="C880" s="1" t="n">
        <v>45345</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22412-2021</t>
        </is>
      </c>
      <c r="B881" s="1" t="n">
        <v>44326</v>
      </c>
      <c r="C881" s="1" t="n">
        <v>45345</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23123-2021</t>
        </is>
      </c>
      <c r="B882" s="1" t="n">
        <v>44330</v>
      </c>
      <c r="C882" s="1" t="n">
        <v>45345</v>
      </c>
      <c r="D882" t="inlineStr">
        <is>
          <t>STOCKHOLMS LÄN</t>
        </is>
      </c>
      <c r="E882" t="inlineStr">
        <is>
          <t>NORRTÄLJE</t>
        </is>
      </c>
      <c r="G882" t="n">
        <v>0.4</v>
      </c>
      <c r="H882" t="n">
        <v>0</v>
      </c>
      <c r="I882" t="n">
        <v>0</v>
      </c>
      <c r="J882" t="n">
        <v>0</v>
      </c>
      <c r="K882" t="n">
        <v>0</v>
      </c>
      <c r="L882" t="n">
        <v>0</v>
      </c>
      <c r="M882" t="n">
        <v>0</v>
      </c>
      <c r="N882" t="n">
        <v>0</v>
      </c>
      <c r="O882" t="n">
        <v>0</v>
      </c>
      <c r="P882" t="n">
        <v>0</v>
      </c>
      <c r="Q882" t="n">
        <v>0</v>
      </c>
      <c r="R882" s="2" t="inlineStr"/>
    </row>
    <row r="883" ht="15" customHeight="1">
      <c r="A883" t="inlineStr">
        <is>
          <t>A 23096-2021</t>
        </is>
      </c>
      <c r="B883" s="1" t="n">
        <v>44330</v>
      </c>
      <c r="C883" s="1" t="n">
        <v>45345</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23122-2021</t>
        </is>
      </c>
      <c r="B884" s="1" t="n">
        <v>44330</v>
      </c>
      <c r="C884" s="1" t="n">
        <v>45345</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23453-2021</t>
        </is>
      </c>
      <c r="B885" s="1" t="n">
        <v>44333</v>
      </c>
      <c r="C885" s="1" t="n">
        <v>45345</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24082-2021</t>
        </is>
      </c>
      <c r="B886" s="1" t="n">
        <v>44336</v>
      </c>
      <c r="C886" s="1" t="n">
        <v>45345</v>
      </c>
      <c r="D886" t="inlineStr">
        <is>
          <t>STOCKHOLMS LÄN</t>
        </is>
      </c>
      <c r="E886" t="inlineStr">
        <is>
          <t>NORRTÄLJE</t>
        </is>
      </c>
      <c r="G886" t="n">
        <v>6.8</v>
      </c>
      <c r="H886" t="n">
        <v>0</v>
      </c>
      <c r="I886" t="n">
        <v>0</v>
      </c>
      <c r="J886" t="n">
        <v>0</v>
      </c>
      <c r="K886" t="n">
        <v>0</v>
      </c>
      <c r="L886" t="n">
        <v>0</v>
      </c>
      <c r="M886" t="n">
        <v>0</v>
      </c>
      <c r="N886" t="n">
        <v>0</v>
      </c>
      <c r="O886" t="n">
        <v>0</v>
      </c>
      <c r="P886" t="n">
        <v>0</v>
      </c>
      <c r="Q886" t="n">
        <v>0</v>
      </c>
      <c r="R886" s="2" t="inlineStr"/>
    </row>
    <row r="887" ht="15" customHeight="1">
      <c r="A887" t="inlineStr">
        <is>
          <t>A 25463-2021</t>
        </is>
      </c>
      <c r="B887" s="1" t="n">
        <v>44342</v>
      </c>
      <c r="C887" s="1" t="n">
        <v>45345</v>
      </c>
      <c r="D887" t="inlineStr">
        <is>
          <t>STOCKHOLMS LÄN</t>
        </is>
      </c>
      <c r="E887" t="inlineStr">
        <is>
          <t>NORRTÄLJE</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27217-2021</t>
        </is>
      </c>
      <c r="B888" s="1" t="n">
        <v>44350</v>
      </c>
      <c r="C888" s="1" t="n">
        <v>45345</v>
      </c>
      <c r="D888" t="inlineStr">
        <is>
          <t>STOCKHOLMS LÄN</t>
        </is>
      </c>
      <c r="E888" t="inlineStr">
        <is>
          <t>NORRTÄLJE</t>
        </is>
      </c>
      <c r="G888" t="n">
        <v>5.5</v>
      </c>
      <c r="H888" t="n">
        <v>0</v>
      </c>
      <c r="I888" t="n">
        <v>0</v>
      </c>
      <c r="J888" t="n">
        <v>0</v>
      </c>
      <c r="K888" t="n">
        <v>0</v>
      </c>
      <c r="L888" t="n">
        <v>0</v>
      </c>
      <c r="M888" t="n">
        <v>0</v>
      </c>
      <c r="N888" t="n">
        <v>0</v>
      </c>
      <c r="O888" t="n">
        <v>0</v>
      </c>
      <c r="P888" t="n">
        <v>0</v>
      </c>
      <c r="Q888" t="n">
        <v>0</v>
      </c>
      <c r="R888" s="2" t="inlineStr"/>
    </row>
    <row r="889" ht="15" customHeight="1">
      <c r="A889" t="inlineStr">
        <is>
          <t>A 27214-2021</t>
        </is>
      </c>
      <c r="B889" s="1" t="n">
        <v>44350</v>
      </c>
      <c r="C889" s="1" t="n">
        <v>45345</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29357-2021</t>
        </is>
      </c>
      <c r="B890" s="1" t="n">
        <v>44361</v>
      </c>
      <c r="C890" s="1" t="n">
        <v>45345</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29680-2021</t>
        </is>
      </c>
      <c r="B891" s="1" t="n">
        <v>44362</v>
      </c>
      <c r="C891" s="1" t="n">
        <v>45345</v>
      </c>
      <c r="D891" t="inlineStr">
        <is>
          <t>STOCKHOLMS LÄN</t>
        </is>
      </c>
      <c r="E891" t="inlineStr">
        <is>
          <t>NORRTÄLJE</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29684-2021</t>
        </is>
      </c>
      <c r="B892" s="1" t="n">
        <v>44362</v>
      </c>
      <c r="C892" s="1" t="n">
        <v>45345</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30129-2021</t>
        </is>
      </c>
      <c r="B893" s="1" t="n">
        <v>44363</v>
      </c>
      <c r="C893" s="1" t="n">
        <v>45345</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30138-2021</t>
        </is>
      </c>
      <c r="B894" s="1" t="n">
        <v>44363</v>
      </c>
      <c r="C894" s="1" t="n">
        <v>45345</v>
      </c>
      <c r="D894" t="inlineStr">
        <is>
          <t>STOCKHOLMS LÄN</t>
        </is>
      </c>
      <c r="E894" t="inlineStr">
        <is>
          <t>NORRTÄLJE</t>
        </is>
      </c>
      <c r="G894" t="n">
        <v>4.5</v>
      </c>
      <c r="H894" t="n">
        <v>0</v>
      </c>
      <c r="I894" t="n">
        <v>0</v>
      </c>
      <c r="J894" t="n">
        <v>0</v>
      </c>
      <c r="K894" t="n">
        <v>0</v>
      </c>
      <c r="L894" t="n">
        <v>0</v>
      </c>
      <c r="M894" t="n">
        <v>0</v>
      </c>
      <c r="N894" t="n">
        <v>0</v>
      </c>
      <c r="O894" t="n">
        <v>0</v>
      </c>
      <c r="P894" t="n">
        <v>0</v>
      </c>
      <c r="Q894" t="n">
        <v>0</v>
      </c>
      <c r="R894" s="2" t="inlineStr"/>
    </row>
    <row r="895" ht="15" customHeight="1">
      <c r="A895" t="inlineStr">
        <is>
          <t>A 31688-2021</t>
        </is>
      </c>
      <c r="B895" s="1" t="n">
        <v>44369</v>
      </c>
      <c r="C895" s="1" t="n">
        <v>45345</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32002-2021</t>
        </is>
      </c>
      <c r="B896" s="1" t="n">
        <v>44370</v>
      </c>
      <c r="C896" s="1" t="n">
        <v>45345</v>
      </c>
      <c r="D896" t="inlineStr">
        <is>
          <t>STOCKHOLMS LÄN</t>
        </is>
      </c>
      <c r="E896" t="inlineStr">
        <is>
          <t>NORRTÄLJE</t>
        </is>
      </c>
      <c r="F896" t="inlineStr">
        <is>
          <t>Övriga Aktiebolag</t>
        </is>
      </c>
      <c r="G896" t="n">
        <v>4</v>
      </c>
      <c r="H896" t="n">
        <v>0</v>
      </c>
      <c r="I896" t="n">
        <v>0</v>
      </c>
      <c r="J896" t="n">
        <v>0</v>
      </c>
      <c r="K896" t="n">
        <v>0</v>
      </c>
      <c r="L896" t="n">
        <v>0</v>
      </c>
      <c r="M896" t="n">
        <v>0</v>
      </c>
      <c r="N896" t="n">
        <v>0</v>
      </c>
      <c r="O896" t="n">
        <v>0</v>
      </c>
      <c r="P896" t="n">
        <v>0</v>
      </c>
      <c r="Q896" t="n">
        <v>0</v>
      </c>
      <c r="R896" s="2" t="inlineStr"/>
    </row>
    <row r="897" ht="15" customHeight="1">
      <c r="A897" t="inlineStr">
        <is>
          <t>A 32051-2021</t>
        </is>
      </c>
      <c r="B897" s="1" t="n">
        <v>44370</v>
      </c>
      <c r="C897" s="1" t="n">
        <v>45345</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32055-2021</t>
        </is>
      </c>
      <c r="B898" s="1" t="n">
        <v>44370</v>
      </c>
      <c r="C898" s="1" t="n">
        <v>45345</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32561-2021</t>
        </is>
      </c>
      <c r="B899" s="1" t="n">
        <v>44375</v>
      </c>
      <c r="C899" s="1" t="n">
        <v>45345</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32857-2021</t>
        </is>
      </c>
      <c r="B900" s="1" t="n">
        <v>44375</v>
      </c>
      <c r="C900" s="1" t="n">
        <v>45345</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33053-2021</t>
        </is>
      </c>
      <c r="B901" s="1" t="n">
        <v>44376</v>
      </c>
      <c r="C901" s="1" t="n">
        <v>45345</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33046-2021</t>
        </is>
      </c>
      <c r="B902" s="1" t="n">
        <v>44376</v>
      </c>
      <c r="C902" s="1" t="n">
        <v>45345</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33040-2021</t>
        </is>
      </c>
      <c r="B903" s="1" t="n">
        <v>44376</v>
      </c>
      <c r="C903" s="1" t="n">
        <v>45345</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34520-2021</t>
        </is>
      </c>
      <c r="B904" s="1" t="n">
        <v>44379</v>
      </c>
      <c r="C904" s="1" t="n">
        <v>45345</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34432-2021</t>
        </is>
      </c>
      <c r="B905" s="1" t="n">
        <v>44380</v>
      </c>
      <c r="C905" s="1" t="n">
        <v>45345</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34431-2021</t>
        </is>
      </c>
      <c r="B906" s="1" t="n">
        <v>44380</v>
      </c>
      <c r="C906" s="1" t="n">
        <v>45345</v>
      </c>
      <c r="D906" t="inlineStr">
        <is>
          <t>STOCKHOLMS LÄN</t>
        </is>
      </c>
      <c r="E906" t="inlineStr">
        <is>
          <t>NORRTÄLJE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34436-2021</t>
        </is>
      </c>
      <c r="B907" s="1" t="n">
        <v>44380</v>
      </c>
      <c r="C907" s="1" t="n">
        <v>45345</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34731-2021</t>
        </is>
      </c>
      <c r="B908" s="1" t="n">
        <v>44382</v>
      </c>
      <c r="C908" s="1" t="n">
        <v>45345</v>
      </c>
      <c r="D908" t="inlineStr">
        <is>
          <t>STOCKHOLMS LÄN</t>
        </is>
      </c>
      <c r="E908" t="inlineStr">
        <is>
          <t>NORRTÄLJE</t>
        </is>
      </c>
      <c r="G908" t="n">
        <v>0.2</v>
      </c>
      <c r="H908" t="n">
        <v>0</v>
      </c>
      <c r="I908" t="n">
        <v>0</v>
      </c>
      <c r="J908" t="n">
        <v>0</v>
      </c>
      <c r="K908" t="n">
        <v>0</v>
      </c>
      <c r="L908" t="n">
        <v>0</v>
      </c>
      <c r="M908" t="n">
        <v>0</v>
      </c>
      <c r="N908" t="n">
        <v>0</v>
      </c>
      <c r="O908" t="n">
        <v>0</v>
      </c>
      <c r="P908" t="n">
        <v>0</v>
      </c>
      <c r="Q908" t="n">
        <v>0</v>
      </c>
      <c r="R908" s="2" t="inlineStr"/>
    </row>
    <row r="909" ht="15" customHeight="1">
      <c r="A909" t="inlineStr">
        <is>
          <t>A 34792-2021</t>
        </is>
      </c>
      <c r="B909" s="1" t="n">
        <v>44383</v>
      </c>
      <c r="C909" s="1" t="n">
        <v>45345</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36246-2021</t>
        </is>
      </c>
      <c r="B910" s="1" t="n">
        <v>44390</v>
      </c>
      <c r="C910" s="1" t="n">
        <v>45345</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36565-2021</t>
        </is>
      </c>
      <c r="B911" s="1" t="n">
        <v>44391</v>
      </c>
      <c r="C911" s="1" t="n">
        <v>45345</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37085-2021</t>
        </is>
      </c>
      <c r="B912" s="1" t="n">
        <v>44395</v>
      </c>
      <c r="C912" s="1" t="n">
        <v>45345</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37344-2021</t>
        </is>
      </c>
      <c r="B913" s="1" t="n">
        <v>44397</v>
      </c>
      <c r="C913" s="1" t="n">
        <v>45345</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37415-2021</t>
        </is>
      </c>
      <c r="B914" s="1" t="n">
        <v>44397</v>
      </c>
      <c r="C914" s="1" t="n">
        <v>45345</v>
      </c>
      <c r="D914" t="inlineStr">
        <is>
          <t>STOCKHOLMS LÄN</t>
        </is>
      </c>
      <c r="E914" t="inlineStr">
        <is>
          <t>NORRTÄLJE</t>
        </is>
      </c>
      <c r="F914" t="inlineStr">
        <is>
          <t>Övriga Aktiebolag</t>
        </is>
      </c>
      <c r="G914" t="n">
        <v>3</v>
      </c>
      <c r="H914" t="n">
        <v>0</v>
      </c>
      <c r="I914" t="n">
        <v>0</v>
      </c>
      <c r="J914" t="n">
        <v>0</v>
      </c>
      <c r="K914" t="n">
        <v>0</v>
      </c>
      <c r="L914" t="n">
        <v>0</v>
      </c>
      <c r="M914" t="n">
        <v>0</v>
      </c>
      <c r="N914" t="n">
        <v>0</v>
      </c>
      <c r="O914" t="n">
        <v>0</v>
      </c>
      <c r="P914" t="n">
        <v>0</v>
      </c>
      <c r="Q914" t="n">
        <v>0</v>
      </c>
      <c r="R914" s="2" t="inlineStr"/>
    </row>
    <row r="915" ht="15" customHeight="1">
      <c r="A915" t="inlineStr">
        <is>
          <t>A 37444-2021</t>
        </is>
      </c>
      <c r="B915" s="1" t="n">
        <v>44398</v>
      </c>
      <c r="C915" s="1" t="n">
        <v>45345</v>
      </c>
      <c r="D915" t="inlineStr">
        <is>
          <t>STOCKHOLMS LÄN</t>
        </is>
      </c>
      <c r="E915" t="inlineStr">
        <is>
          <t>NORRTÄLJE</t>
        </is>
      </c>
      <c r="F915" t="inlineStr">
        <is>
          <t>Holmen skog AB</t>
        </is>
      </c>
      <c r="G915" t="n">
        <v>3.2</v>
      </c>
      <c r="H915" t="n">
        <v>0</v>
      </c>
      <c r="I915" t="n">
        <v>0</v>
      </c>
      <c r="J915" t="n">
        <v>0</v>
      </c>
      <c r="K915" t="n">
        <v>0</v>
      </c>
      <c r="L915" t="n">
        <v>0</v>
      </c>
      <c r="M915" t="n">
        <v>0</v>
      </c>
      <c r="N915" t="n">
        <v>0</v>
      </c>
      <c r="O915" t="n">
        <v>0</v>
      </c>
      <c r="P915" t="n">
        <v>0</v>
      </c>
      <c r="Q915" t="n">
        <v>0</v>
      </c>
      <c r="R915" s="2" t="inlineStr"/>
    </row>
    <row r="916" ht="15" customHeight="1">
      <c r="A916" t="inlineStr">
        <is>
          <t>A 37462-2021</t>
        </is>
      </c>
      <c r="B916" s="1" t="n">
        <v>44398</v>
      </c>
      <c r="C916" s="1" t="n">
        <v>45345</v>
      </c>
      <c r="D916" t="inlineStr">
        <is>
          <t>STOCKHOLMS LÄN</t>
        </is>
      </c>
      <c r="E916" t="inlineStr">
        <is>
          <t>NORRTÄLJE</t>
        </is>
      </c>
      <c r="G916" t="n">
        <v>3.5</v>
      </c>
      <c r="H916" t="n">
        <v>0</v>
      </c>
      <c r="I916" t="n">
        <v>0</v>
      </c>
      <c r="J916" t="n">
        <v>0</v>
      </c>
      <c r="K916" t="n">
        <v>0</v>
      </c>
      <c r="L916" t="n">
        <v>0</v>
      </c>
      <c r="M916" t="n">
        <v>0</v>
      </c>
      <c r="N916" t="n">
        <v>0</v>
      </c>
      <c r="O916" t="n">
        <v>0</v>
      </c>
      <c r="P916" t="n">
        <v>0</v>
      </c>
      <c r="Q916" t="n">
        <v>0</v>
      </c>
      <c r="R916" s="2" t="inlineStr"/>
    </row>
    <row r="917" ht="15" customHeight="1">
      <c r="A917" t="inlineStr">
        <is>
          <t>A 37530-2021</t>
        </is>
      </c>
      <c r="B917" s="1" t="n">
        <v>44399</v>
      </c>
      <c r="C917" s="1" t="n">
        <v>45345</v>
      </c>
      <c r="D917" t="inlineStr">
        <is>
          <t>STOCKHOLMS LÄN</t>
        </is>
      </c>
      <c r="E917" t="inlineStr">
        <is>
          <t>NORRTÄLJE</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37522-2021</t>
        </is>
      </c>
      <c r="B918" s="1" t="n">
        <v>44399</v>
      </c>
      <c r="C918" s="1" t="n">
        <v>45345</v>
      </c>
      <c r="D918" t="inlineStr">
        <is>
          <t>STOCKHOLMS LÄN</t>
        </is>
      </c>
      <c r="E918" t="inlineStr">
        <is>
          <t>NORRTÄLJE</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37525-2021</t>
        </is>
      </c>
      <c r="B919" s="1" t="n">
        <v>44399</v>
      </c>
      <c r="C919" s="1" t="n">
        <v>45345</v>
      </c>
      <c r="D919" t="inlineStr">
        <is>
          <t>STOCKHOLMS LÄN</t>
        </is>
      </c>
      <c r="E919" t="inlineStr">
        <is>
          <t>NORRTÄLJE</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37712-2021</t>
        </is>
      </c>
      <c r="B920" s="1" t="n">
        <v>44400</v>
      </c>
      <c r="C920" s="1" t="n">
        <v>45345</v>
      </c>
      <c r="D920" t="inlineStr">
        <is>
          <t>STOCKHOLMS LÄN</t>
        </is>
      </c>
      <c r="E920" t="inlineStr">
        <is>
          <t>NORRTÄLJE</t>
        </is>
      </c>
      <c r="G920" t="n">
        <v>22.9</v>
      </c>
      <c r="H920" t="n">
        <v>0</v>
      </c>
      <c r="I920" t="n">
        <v>0</v>
      </c>
      <c r="J920" t="n">
        <v>0</v>
      </c>
      <c r="K920" t="n">
        <v>0</v>
      </c>
      <c r="L920" t="n">
        <v>0</v>
      </c>
      <c r="M920" t="n">
        <v>0</v>
      </c>
      <c r="N920" t="n">
        <v>0</v>
      </c>
      <c r="O920" t="n">
        <v>0</v>
      </c>
      <c r="P920" t="n">
        <v>0</v>
      </c>
      <c r="Q920" t="n">
        <v>0</v>
      </c>
      <c r="R920" s="2" t="inlineStr"/>
    </row>
    <row r="921" ht="15" customHeight="1">
      <c r="A921" t="inlineStr">
        <is>
          <t>A 37859-2021</t>
        </is>
      </c>
      <c r="B921" s="1" t="n">
        <v>44403</v>
      </c>
      <c r="C921" s="1" t="n">
        <v>45345</v>
      </c>
      <c r="D921" t="inlineStr">
        <is>
          <t>STOCKHOLMS LÄN</t>
        </is>
      </c>
      <c r="E921" t="inlineStr">
        <is>
          <t>NORRTÄLJE</t>
        </is>
      </c>
      <c r="F921" t="inlineStr">
        <is>
          <t>Holmen skog AB</t>
        </is>
      </c>
      <c r="G921" t="n">
        <v>6.9</v>
      </c>
      <c r="H921" t="n">
        <v>0</v>
      </c>
      <c r="I921" t="n">
        <v>0</v>
      </c>
      <c r="J921" t="n">
        <v>0</v>
      </c>
      <c r="K921" t="n">
        <v>0</v>
      </c>
      <c r="L921" t="n">
        <v>0</v>
      </c>
      <c r="M921" t="n">
        <v>0</v>
      </c>
      <c r="N921" t="n">
        <v>0</v>
      </c>
      <c r="O921" t="n">
        <v>0</v>
      </c>
      <c r="P921" t="n">
        <v>0</v>
      </c>
      <c r="Q921" t="n">
        <v>0</v>
      </c>
      <c r="R921" s="2" t="inlineStr"/>
    </row>
    <row r="922" ht="15" customHeight="1">
      <c r="A922" t="inlineStr">
        <is>
          <t>A 39157-2021</t>
        </is>
      </c>
      <c r="B922" s="1" t="n">
        <v>44412</v>
      </c>
      <c r="C922" s="1" t="n">
        <v>45345</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39496-2021</t>
        </is>
      </c>
      <c r="B923" s="1" t="n">
        <v>44414</v>
      </c>
      <c r="C923" s="1" t="n">
        <v>45345</v>
      </c>
      <c r="D923" t="inlineStr">
        <is>
          <t>STOCKHOLMS LÄN</t>
        </is>
      </c>
      <c r="E923" t="inlineStr">
        <is>
          <t>NORRTÄLJE</t>
        </is>
      </c>
      <c r="G923" t="n">
        <v>4.6</v>
      </c>
      <c r="H923" t="n">
        <v>0</v>
      </c>
      <c r="I923" t="n">
        <v>0</v>
      </c>
      <c r="J923" t="n">
        <v>0</v>
      </c>
      <c r="K923" t="n">
        <v>0</v>
      </c>
      <c r="L923" t="n">
        <v>0</v>
      </c>
      <c r="M923" t="n">
        <v>0</v>
      </c>
      <c r="N923" t="n">
        <v>0</v>
      </c>
      <c r="O923" t="n">
        <v>0</v>
      </c>
      <c r="P923" t="n">
        <v>0</v>
      </c>
      <c r="Q923" t="n">
        <v>0</v>
      </c>
      <c r="R923" s="2" t="inlineStr"/>
    </row>
    <row r="924" ht="15" customHeight="1">
      <c r="A924" t="inlineStr">
        <is>
          <t>A 39497-2021</t>
        </is>
      </c>
      <c r="B924" s="1" t="n">
        <v>44414</v>
      </c>
      <c r="C924" s="1" t="n">
        <v>45345</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40425-2021</t>
        </is>
      </c>
      <c r="B925" s="1" t="n">
        <v>44419</v>
      </c>
      <c r="C925" s="1" t="n">
        <v>45345</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40542-2021</t>
        </is>
      </c>
      <c r="B926" s="1" t="n">
        <v>44420</v>
      </c>
      <c r="C926" s="1" t="n">
        <v>45345</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40546-2021</t>
        </is>
      </c>
      <c r="B927" s="1" t="n">
        <v>44420</v>
      </c>
      <c r="C927" s="1" t="n">
        <v>45345</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41595-2021</t>
        </is>
      </c>
      <c r="B928" s="1" t="n">
        <v>44425</v>
      </c>
      <c r="C928" s="1" t="n">
        <v>45345</v>
      </c>
      <c r="D928" t="inlineStr">
        <is>
          <t>STOCKHOLMS LÄN</t>
        </is>
      </c>
      <c r="E928" t="inlineStr">
        <is>
          <t>NORRTÄLJE</t>
        </is>
      </c>
      <c r="G928" t="n">
        <v>3.2</v>
      </c>
      <c r="H928" t="n">
        <v>0</v>
      </c>
      <c r="I928" t="n">
        <v>0</v>
      </c>
      <c r="J928" t="n">
        <v>0</v>
      </c>
      <c r="K928" t="n">
        <v>0</v>
      </c>
      <c r="L928" t="n">
        <v>0</v>
      </c>
      <c r="M928" t="n">
        <v>0</v>
      </c>
      <c r="N928" t="n">
        <v>0</v>
      </c>
      <c r="O928" t="n">
        <v>0</v>
      </c>
      <c r="P928" t="n">
        <v>0</v>
      </c>
      <c r="Q928" t="n">
        <v>0</v>
      </c>
      <c r="R928" s="2" t="inlineStr"/>
    </row>
    <row r="929" ht="15" customHeight="1">
      <c r="A929" t="inlineStr">
        <is>
          <t>A 41823-2021</t>
        </is>
      </c>
      <c r="B929" s="1" t="n">
        <v>44425</v>
      </c>
      <c r="C929" s="1" t="n">
        <v>45345</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41822-2021</t>
        </is>
      </c>
      <c r="B930" s="1" t="n">
        <v>44425</v>
      </c>
      <c r="C930" s="1" t="n">
        <v>45345</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42396-2021</t>
        </is>
      </c>
      <c r="B931" s="1" t="n">
        <v>44427</v>
      </c>
      <c r="C931" s="1" t="n">
        <v>45345</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43478-2021</t>
        </is>
      </c>
      <c r="B932" s="1" t="n">
        <v>44432</v>
      </c>
      <c r="C932" s="1" t="n">
        <v>45345</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44274-2021</t>
        </is>
      </c>
      <c r="B933" s="1" t="n">
        <v>44435</v>
      </c>
      <c r="C933" s="1" t="n">
        <v>45345</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47344-2021</t>
        </is>
      </c>
      <c r="B934" s="1" t="n">
        <v>44447</v>
      </c>
      <c r="C934" s="1" t="n">
        <v>45345</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47349-2021</t>
        </is>
      </c>
      <c r="B935" s="1" t="n">
        <v>44447</v>
      </c>
      <c r="C935" s="1" t="n">
        <v>45345</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47691-2021</t>
        </is>
      </c>
      <c r="B936" s="1" t="n">
        <v>44448</v>
      </c>
      <c r="C936" s="1" t="n">
        <v>45345</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48384-2021</t>
        </is>
      </c>
      <c r="B937" s="1" t="n">
        <v>44451</v>
      </c>
      <c r="C937" s="1" t="n">
        <v>45345</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48798-2021</t>
        </is>
      </c>
      <c r="B938" s="1" t="n">
        <v>44452</v>
      </c>
      <c r="C938" s="1" t="n">
        <v>45345</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48932-2021</t>
        </is>
      </c>
      <c r="B939" s="1" t="n">
        <v>44453</v>
      </c>
      <c r="C939" s="1" t="n">
        <v>45345</v>
      </c>
      <c r="D939" t="inlineStr">
        <is>
          <t>STOCKHOLMS LÄN</t>
        </is>
      </c>
      <c r="E939" t="inlineStr">
        <is>
          <t>NORRTÄLJE</t>
        </is>
      </c>
      <c r="G939" t="n">
        <v>11.2</v>
      </c>
      <c r="H939" t="n">
        <v>0</v>
      </c>
      <c r="I939" t="n">
        <v>0</v>
      </c>
      <c r="J939" t="n">
        <v>0</v>
      </c>
      <c r="K939" t="n">
        <v>0</v>
      </c>
      <c r="L939" t="n">
        <v>0</v>
      </c>
      <c r="M939" t="n">
        <v>0</v>
      </c>
      <c r="N939" t="n">
        <v>0</v>
      </c>
      <c r="O939" t="n">
        <v>0</v>
      </c>
      <c r="P939" t="n">
        <v>0</v>
      </c>
      <c r="Q939" t="n">
        <v>0</v>
      </c>
      <c r="R939" s="2" t="inlineStr"/>
    </row>
    <row r="940" ht="15" customHeight="1">
      <c r="A940" t="inlineStr">
        <is>
          <t>A 49113-2021</t>
        </is>
      </c>
      <c r="B940" s="1" t="n">
        <v>44453</v>
      </c>
      <c r="C940" s="1" t="n">
        <v>45345</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50038-2021</t>
        </is>
      </c>
      <c r="B941" s="1" t="n">
        <v>44456</v>
      </c>
      <c r="C941" s="1" t="n">
        <v>45345</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50108-2021</t>
        </is>
      </c>
      <c r="B942" s="1" t="n">
        <v>44456</v>
      </c>
      <c r="C942" s="1" t="n">
        <v>45345</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50252-2021</t>
        </is>
      </c>
      <c r="B943" s="1" t="n">
        <v>44458</v>
      </c>
      <c r="C943" s="1" t="n">
        <v>45345</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50602-2021</t>
        </is>
      </c>
      <c r="B944" s="1" t="n">
        <v>44459</v>
      </c>
      <c r="C944" s="1" t="n">
        <v>45345</v>
      </c>
      <c r="D944" t="inlineStr">
        <is>
          <t>STOCKHOLMS LÄN</t>
        </is>
      </c>
      <c r="E944" t="inlineStr">
        <is>
          <t>NORRTÄLJE</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51279-2021</t>
        </is>
      </c>
      <c r="B945" s="1" t="n">
        <v>44461</v>
      </c>
      <c r="C945" s="1" t="n">
        <v>45345</v>
      </c>
      <c r="D945" t="inlineStr">
        <is>
          <t>STOCKHOLMS LÄN</t>
        </is>
      </c>
      <c r="E945" t="inlineStr">
        <is>
          <t>NORRTÄLJE</t>
        </is>
      </c>
      <c r="F945" t="inlineStr">
        <is>
          <t>Holmen skog AB</t>
        </is>
      </c>
      <c r="G945" t="n">
        <v>2.1</v>
      </c>
      <c r="H945" t="n">
        <v>0</v>
      </c>
      <c r="I945" t="n">
        <v>0</v>
      </c>
      <c r="J945" t="n">
        <v>0</v>
      </c>
      <c r="K945" t="n">
        <v>0</v>
      </c>
      <c r="L945" t="n">
        <v>0</v>
      </c>
      <c r="M945" t="n">
        <v>0</v>
      </c>
      <c r="N945" t="n">
        <v>0</v>
      </c>
      <c r="O945" t="n">
        <v>0</v>
      </c>
      <c r="P945" t="n">
        <v>0</v>
      </c>
      <c r="Q945" t="n">
        <v>0</v>
      </c>
      <c r="R945" s="2" t="inlineStr"/>
    </row>
    <row r="946" ht="15" customHeight="1">
      <c r="A946" t="inlineStr">
        <is>
          <t>A 51315-2021</t>
        </is>
      </c>
      <c r="B946" s="1" t="n">
        <v>44461</v>
      </c>
      <c r="C946" s="1" t="n">
        <v>45345</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52090-2021</t>
        </is>
      </c>
      <c r="B947" s="1" t="n">
        <v>44463</v>
      </c>
      <c r="C947" s="1" t="n">
        <v>45345</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52449-2021</t>
        </is>
      </c>
      <c r="B948" s="1" t="n">
        <v>44466</v>
      </c>
      <c r="C948" s="1" t="n">
        <v>45345</v>
      </c>
      <c r="D948" t="inlineStr">
        <is>
          <t>STOCKHOLMS LÄN</t>
        </is>
      </c>
      <c r="E948" t="inlineStr">
        <is>
          <t>NORRTÄLJE</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54276-2021</t>
        </is>
      </c>
      <c r="B949" s="1" t="n">
        <v>44470</v>
      </c>
      <c r="C949" s="1" t="n">
        <v>45345</v>
      </c>
      <c r="D949" t="inlineStr">
        <is>
          <t>STOCKHOLMS LÄN</t>
        </is>
      </c>
      <c r="E949" t="inlineStr">
        <is>
          <t>NORRTÄLJE</t>
        </is>
      </c>
      <c r="G949" t="n">
        <v>7.3</v>
      </c>
      <c r="H949" t="n">
        <v>0</v>
      </c>
      <c r="I949" t="n">
        <v>0</v>
      </c>
      <c r="J949" t="n">
        <v>0</v>
      </c>
      <c r="K949" t="n">
        <v>0</v>
      </c>
      <c r="L949" t="n">
        <v>0</v>
      </c>
      <c r="M949" t="n">
        <v>0</v>
      </c>
      <c r="N949" t="n">
        <v>0</v>
      </c>
      <c r="O949" t="n">
        <v>0</v>
      </c>
      <c r="P949" t="n">
        <v>0</v>
      </c>
      <c r="Q949" t="n">
        <v>0</v>
      </c>
      <c r="R949" s="2" t="inlineStr"/>
    </row>
    <row r="950" ht="15" customHeight="1">
      <c r="A950" t="inlineStr">
        <is>
          <t>A 54273-2021</t>
        </is>
      </c>
      <c r="B950" s="1" t="n">
        <v>44470</v>
      </c>
      <c r="C950" s="1" t="n">
        <v>45345</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54272-2021</t>
        </is>
      </c>
      <c r="B951" s="1" t="n">
        <v>44470</v>
      </c>
      <c r="C951" s="1" t="n">
        <v>45345</v>
      </c>
      <c r="D951" t="inlineStr">
        <is>
          <t>STOCKHOLMS LÄN</t>
        </is>
      </c>
      <c r="E951" t="inlineStr">
        <is>
          <t>NORRTÄLJE</t>
        </is>
      </c>
      <c r="G951" t="n">
        <v>5.8</v>
      </c>
      <c r="H951" t="n">
        <v>0</v>
      </c>
      <c r="I951" t="n">
        <v>0</v>
      </c>
      <c r="J951" t="n">
        <v>0</v>
      </c>
      <c r="K951" t="n">
        <v>0</v>
      </c>
      <c r="L951" t="n">
        <v>0</v>
      </c>
      <c r="M951" t="n">
        <v>0</v>
      </c>
      <c r="N951" t="n">
        <v>0</v>
      </c>
      <c r="O951" t="n">
        <v>0</v>
      </c>
      <c r="P951" t="n">
        <v>0</v>
      </c>
      <c r="Q951" t="n">
        <v>0</v>
      </c>
      <c r="R951" s="2" t="inlineStr"/>
    </row>
    <row r="952" ht="15" customHeight="1">
      <c r="A952" t="inlineStr">
        <is>
          <t>A 54396-2021</t>
        </is>
      </c>
      <c r="B952" s="1" t="n">
        <v>44472</v>
      </c>
      <c r="C952" s="1" t="n">
        <v>45345</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55058-2021</t>
        </is>
      </c>
      <c r="B953" s="1" t="n">
        <v>44474</v>
      </c>
      <c r="C953" s="1" t="n">
        <v>45345</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56219-2021</t>
        </is>
      </c>
      <c r="B954" s="1" t="n">
        <v>44477</v>
      </c>
      <c r="C954" s="1" t="n">
        <v>45345</v>
      </c>
      <c r="D954" t="inlineStr">
        <is>
          <t>STOCKHOLMS LÄN</t>
        </is>
      </c>
      <c r="E954" t="inlineStr">
        <is>
          <t>NORRTÄLJE</t>
        </is>
      </c>
      <c r="F954" t="inlineStr">
        <is>
          <t>Kommuner</t>
        </is>
      </c>
      <c r="G954" t="n">
        <v>2.3</v>
      </c>
      <c r="H954" t="n">
        <v>0</v>
      </c>
      <c r="I954" t="n">
        <v>0</v>
      </c>
      <c r="J954" t="n">
        <v>0</v>
      </c>
      <c r="K954" t="n">
        <v>0</v>
      </c>
      <c r="L954" t="n">
        <v>0</v>
      </c>
      <c r="M954" t="n">
        <v>0</v>
      </c>
      <c r="N954" t="n">
        <v>0</v>
      </c>
      <c r="O954" t="n">
        <v>0</v>
      </c>
      <c r="P954" t="n">
        <v>0</v>
      </c>
      <c r="Q954" t="n">
        <v>0</v>
      </c>
      <c r="R954" s="2" t="inlineStr"/>
    </row>
    <row r="955" ht="15" customHeight="1">
      <c r="A955" t="inlineStr">
        <is>
          <t>A 56225-2021</t>
        </is>
      </c>
      <c r="B955" s="1" t="n">
        <v>44478</v>
      </c>
      <c r="C955" s="1" t="n">
        <v>45345</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56878-2021</t>
        </is>
      </c>
      <c r="B956" s="1" t="n">
        <v>44481</v>
      </c>
      <c r="C956" s="1" t="n">
        <v>45345</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57442-2021</t>
        </is>
      </c>
      <c r="B957" s="1" t="n">
        <v>44483</v>
      </c>
      <c r="C957" s="1" t="n">
        <v>45345</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57507-2021</t>
        </is>
      </c>
      <c r="B958" s="1" t="n">
        <v>44483</v>
      </c>
      <c r="C958" s="1" t="n">
        <v>45345</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58989-2021</t>
        </is>
      </c>
      <c r="B959" s="1" t="n">
        <v>44490</v>
      </c>
      <c r="C959" s="1" t="n">
        <v>45345</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58990-2021</t>
        </is>
      </c>
      <c r="B960" s="1" t="n">
        <v>44490</v>
      </c>
      <c r="C960" s="1" t="n">
        <v>45345</v>
      </c>
      <c r="D960" t="inlineStr">
        <is>
          <t>STOCKHOLMS LÄN</t>
        </is>
      </c>
      <c r="E960" t="inlineStr">
        <is>
          <t>NORRTÄLJE</t>
        </is>
      </c>
      <c r="G960" t="n">
        <v>4.2</v>
      </c>
      <c r="H960" t="n">
        <v>0</v>
      </c>
      <c r="I960" t="n">
        <v>0</v>
      </c>
      <c r="J960" t="n">
        <v>0</v>
      </c>
      <c r="K960" t="n">
        <v>0</v>
      </c>
      <c r="L960" t="n">
        <v>0</v>
      </c>
      <c r="M960" t="n">
        <v>0</v>
      </c>
      <c r="N960" t="n">
        <v>0</v>
      </c>
      <c r="O960" t="n">
        <v>0</v>
      </c>
      <c r="P960" t="n">
        <v>0</v>
      </c>
      <c r="Q960" t="n">
        <v>0</v>
      </c>
      <c r="R960" s="2" t="inlineStr"/>
    </row>
    <row r="961" ht="15" customHeight="1">
      <c r="A961" t="inlineStr">
        <is>
          <t>A 60217-2021</t>
        </is>
      </c>
      <c r="B961" s="1" t="n">
        <v>44495</v>
      </c>
      <c r="C961" s="1" t="n">
        <v>45345</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60184-2021</t>
        </is>
      </c>
      <c r="B962" s="1" t="n">
        <v>44495</v>
      </c>
      <c r="C962" s="1" t="n">
        <v>45345</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60186-2021</t>
        </is>
      </c>
      <c r="B963" s="1" t="n">
        <v>44495</v>
      </c>
      <c r="C963" s="1" t="n">
        <v>45345</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60209-2021</t>
        </is>
      </c>
      <c r="B964" s="1" t="n">
        <v>44495</v>
      </c>
      <c r="C964" s="1" t="n">
        <v>45345</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60671-2021</t>
        </is>
      </c>
      <c r="B965" s="1" t="n">
        <v>44496</v>
      </c>
      <c r="C965" s="1" t="n">
        <v>45345</v>
      </c>
      <c r="D965" t="inlineStr">
        <is>
          <t>STOCKHOLMS LÄN</t>
        </is>
      </c>
      <c r="E965" t="inlineStr">
        <is>
          <t>NORRTÄLJE</t>
        </is>
      </c>
      <c r="G965" t="n">
        <v>3.3</v>
      </c>
      <c r="H965" t="n">
        <v>0</v>
      </c>
      <c r="I965" t="n">
        <v>0</v>
      </c>
      <c r="J965" t="n">
        <v>0</v>
      </c>
      <c r="K965" t="n">
        <v>0</v>
      </c>
      <c r="L965" t="n">
        <v>0</v>
      </c>
      <c r="M965" t="n">
        <v>0</v>
      </c>
      <c r="N965" t="n">
        <v>0</v>
      </c>
      <c r="O965" t="n">
        <v>0</v>
      </c>
      <c r="P965" t="n">
        <v>0</v>
      </c>
      <c r="Q965" t="n">
        <v>0</v>
      </c>
      <c r="R965" s="2" t="inlineStr"/>
    </row>
    <row r="966" ht="15" customHeight="1">
      <c r="A966" t="inlineStr">
        <is>
          <t>A 60733-2021</t>
        </is>
      </c>
      <c r="B966" s="1" t="n">
        <v>44496</v>
      </c>
      <c r="C966" s="1" t="n">
        <v>45345</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60813-2021</t>
        </is>
      </c>
      <c r="B967" s="1" t="n">
        <v>44496</v>
      </c>
      <c r="C967" s="1" t="n">
        <v>45345</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60822-2021</t>
        </is>
      </c>
      <c r="B968" s="1" t="n">
        <v>44496</v>
      </c>
      <c r="C968" s="1" t="n">
        <v>45345</v>
      </c>
      <c r="D968" t="inlineStr">
        <is>
          <t>STOCKHOLMS LÄN</t>
        </is>
      </c>
      <c r="E968" t="inlineStr">
        <is>
          <t>NORRTÄLJE</t>
        </is>
      </c>
      <c r="G968" t="n">
        <v>7.6</v>
      </c>
      <c r="H968" t="n">
        <v>0</v>
      </c>
      <c r="I968" t="n">
        <v>0</v>
      </c>
      <c r="J968" t="n">
        <v>0</v>
      </c>
      <c r="K968" t="n">
        <v>0</v>
      </c>
      <c r="L968" t="n">
        <v>0</v>
      </c>
      <c r="M968" t="n">
        <v>0</v>
      </c>
      <c r="N968" t="n">
        <v>0</v>
      </c>
      <c r="O968" t="n">
        <v>0</v>
      </c>
      <c r="P968" t="n">
        <v>0</v>
      </c>
      <c r="Q968" t="n">
        <v>0</v>
      </c>
      <c r="R968" s="2" t="inlineStr"/>
    </row>
    <row r="969" ht="15" customHeight="1">
      <c r="A969" t="inlineStr">
        <is>
          <t>A 62030-2021</t>
        </is>
      </c>
      <c r="B969" s="1" t="n">
        <v>44502</v>
      </c>
      <c r="C969" s="1" t="n">
        <v>45345</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63530-2021</t>
        </is>
      </c>
      <c r="B970" s="1" t="n">
        <v>44508</v>
      </c>
      <c r="C970" s="1" t="n">
        <v>45345</v>
      </c>
      <c r="D970" t="inlineStr">
        <is>
          <t>STOCKHOLMS LÄN</t>
        </is>
      </c>
      <c r="E970" t="inlineStr">
        <is>
          <t>NORRTÄLJE</t>
        </is>
      </c>
      <c r="G970" t="n">
        <v>8.9</v>
      </c>
      <c r="H970" t="n">
        <v>0</v>
      </c>
      <c r="I970" t="n">
        <v>0</v>
      </c>
      <c r="J970" t="n">
        <v>0</v>
      </c>
      <c r="K970" t="n">
        <v>0</v>
      </c>
      <c r="L970" t="n">
        <v>0</v>
      </c>
      <c r="M970" t="n">
        <v>0</v>
      </c>
      <c r="N970" t="n">
        <v>0</v>
      </c>
      <c r="O970" t="n">
        <v>0</v>
      </c>
      <c r="P970" t="n">
        <v>0</v>
      </c>
      <c r="Q970" t="n">
        <v>0</v>
      </c>
      <c r="R970" s="2" t="inlineStr"/>
    </row>
    <row r="971" ht="15" customHeight="1">
      <c r="A971" t="inlineStr">
        <is>
          <t>A 64137-2021</t>
        </is>
      </c>
      <c r="B971" s="1" t="n">
        <v>44510</v>
      </c>
      <c r="C971" s="1" t="n">
        <v>45345</v>
      </c>
      <c r="D971" t="inlineStr">
        <is>
          <t>STOCKHOLMS LÄN</t>
        </is>
      </c>
      <c r="E971" t="inlineStr">
        <is>
          <t>NORRTÄLJE</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64212-2021</t>
        </is>
      </c>
      <c r="B972" s="1" t="n">
        <v>44510</v>
      </c>
      <c r="C972" s="1" t="n">
        <v>45345</v>
      </c>
      <c r="D972" t="inlineStr">
        <is>
          <t>STOCKHOLMS LÄN</t>
        </is>
      </c>
      <c r="E972" t="inlineStr">
        <is>
          <t>NORRTÄLJE</t>
        </is>
      </c>
      <c r="G972" t="n">
        <v>28.7</v>
      </c>
      <c r="H972" t="n">
        <v>0</v>
      </c>
      <c r="I972" t="n">
        <v>0</v>
      </c>
      <c r="J972" t="n">
        <v>0</v>
      </c>
      <c r="K972" t="n">
        <v>0</v>
      </c>
      <c r="L972" t="n">
        <v>0</v>
      </c>
      <c r="M972" t="n">
        <v>0</v>
      </c>
      <c r="N972" t="n">
        <v>0</v>
      </c>
      <c r="O972" t="n">
        <v>0</v>
      </c>
      <c r="P972" t="n">
        <v>0</v>
      </c>
      <c r="Q972" t="n">
        <v>0</v>
      </c>
      <c r="R972" s="2" t="inlineStr"/>
    </row>
    <row r="973" ht="15" customHeight="1">
      <c r="A973" t="inlineStr">
        <is>
          <t>A 64074-2021</t>
        </is>
      </c>
      <c r="B973" s="1" t="n">
        <v>44510</v>
      </c>
      <c r="C973" s="1" t="n">
        <v>45345</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64145-2021</t>
        </is>
      </c>
      <c r="B974" s="1" t="n">
        <v>44510</v>
      </c>
      <c r="C974" s="1" t="n">
        <v>45345</v>
      </c>
      <c r="D974" t="inlineStr">
        <is>
          <t>STOCKHOLMS LÄN</t>
        </is>
      </c>
      <c r="E974" t="inlineStr">
        <is>
          <t>NORRTÄLJE</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64600-2021</t>
        </is>
      </c>
      <c r="B975" s="1" t="n">
        <v>44511</v>
      </c>
      <c r="C975" s="1" t="n">
        <v>45345</v>
      </c>
      <c r="D975" t="inlineStr">
        <is>
          <t>STOCKHOLMS LÄN</t>
        </is>
      </c>
      <c r="E975" t="inlineStr">
        <is>
          <t>NORRTÄLJE</t>
        </is>
      </c>
      <c r="G975" t="n">
        <v>6.2</v>
      </c>
      <c r="H975" t="n">
        <v>0</v>
      </c>
      <c r="I975" t="n">
        <v>0</v>
      </c>
      <c r="J975" t="n">
        <v>0</v>
      </c>
      <c r="K975" t="n">
        <v>0</v>
      </c>
      <c r="L975" t="n">
        <v>0</v>
      </c>
      <c r="M975" t="n">
        <v>0</v>
      </c>
      <c r="N975" t="n">
        <v>0</v>
      </c>
      <c r="O975" t="n">
        <v>0</v>
      </c>
      <c r="P975" t="n">
        <v>0</v>
      </c>
      <c r="Q975" t="n">
        <v>0</v>
      </c>
      <c r="R975" s="2" t="inlineStr"/>
    </row>
    <row r="976" ht="15" customHeight="1">
      <c r="A976" t="inlineStr">
        <is>
          <t>A 64599-2021</t>
        </is>
      </c>
      <c r="B976" s="1" t="n">
        <v>44511</v>
      </c>
      <c r="C976" s="1" t="n">
        <v>45345</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64628-2021</t>
        </is>
      </c>
      <c r="B977" s="1" t="n">
        <v>44511</v>
      </c>
      <c r="C977" s="1" t="n">
        <v>45345</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64915-2021</t>
        </is>
      </c>
      <c r="B978" s="1" t="n">
        <v>44512</v>
      </c>
      <c r="C978" s="1" t="n">
        <v>45345</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65359-2021</t>
        </is>
      </c>
      <c r="B979" s="1" t="n">
        <v>44515</v>
      </c>
      <c r="C979" s="1" t="n">
        <v>45345</v>
      </c>
      <c r="D979" t="inlineStr">
        <is>
          <t>STOCKHOLMS LÄN</t>
        </is>
      </c>
      <c r="E979" t="inlineStr">
        <is>
          <t>NORRTÄLJE</t>
        </is>
      </c>
      <c r="F979" t="inlineStr">
        <is>
          <t>Kyrkan</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65499-2021</t>
        </is>
      </c>
      <c r="B980" s="1" t="n">
        <v>44516</v>
      </c>
      <c r="C980" s="1" t="n">
        <v>45345</v>
      </c>
      <c r="D980" t="inlineStr">
        <is>
          <t>STOCKHOLMS LÄN</t>
        </is>
      </c>
      <c r="E980" t="inlineStr">
        <is>
          <t>NORRTÄLJE</t>
        </is>
      </c>
      <c r="F980" t="inlineStr">
        <is>
          <t>Kommuner</t>
        </is>
      </c>
      <c r="G980" t="n">
        <v>5.2</v>
      </c>
      <c r="H980" t="n">
        <v>0</v>
      </c>
      <c r="I980" t="n">
        <v>0</v>
      </c>
      <c r="J980" t="n">
        <v>0</v>
      </c>
      <c r="K980" t="n">
        <v>0</v>
      </c>
      <c r="L980" t="n">
        <v>0</v>
      </c>
      <c r="M980" t="n">
        <v>0</v>
      </c>
      <c r="N980" t="n">
        <v>0</v>
      </c>
      <c r="O980" t="n">
        <v>0</v>
      </c>
      <c r="P980" t="n">
        <v>0</v>
      </c>
      <c r="Q980" t="n">
        <v>0</v>
      </c>
      <c r="R980" s="2" t="inlineStr"/>
    </row>
    <row r="981" ht="15" customHeight="1">
      <c r="A981" t="inlineStr">
        <is>
          <t>A 65513-2021</t>
        </is>
      </c>
      <c r="B981" s="1" t="n">
        <v>44516</v>
      </c>
      <c r="C981" s="1" t="n">
        <v>45345</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65511-2021</t>
        </is>
      </c>
      <c r="B982" s="1" t="n">
        <v>44516</v>
      </c>
      <c r="C982" s="1" t="n">
        <v>45345</v>
      </c>
      <c r="D982" t="inlineStr">
        <is>
          <t>STOCKHOLMS LÄN</t>
        </is>
      </c>
      <c r="E982" t="inlineStr">
        <is>
          <t>NORRTÄLJE</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65501-2021</t>
        </is>
      </c>
      <c r="B983" s="1" t="n">
        <v>44516</v>
      </c>
      <c r="C983" s="1" t="n">
        <v>45345</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65509-2021</t>
        </is>
      </c>
      <c r="B984" s="1" t="n">
        <v>44516</v>
      </c>
      <c r="C984" s="1" t="n">
        <v>45345</v>
      </c>
      <c r="D984" t="inlineStr">
        <is>
          <t>STOCKHOLMS LÄN</t>
        </is>
      </c>
      <c r="E984" t="inlineStr">
        <is>
          <t>NORRTÄLJE</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65611-2021</t>
        </is>
      </c>
      <c r="B985" s="1" t="n">
        <v>44516</v>
      </c>
      <c r="C985" s="1" t="n">
        <v>45345</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65737-2021</t>
        </is>
      </c>
      <c r="B986" s="1" t="n">
        <v>44516</v>
      </c>
      <c r="C986" s="1" t="n">
        <v>45345</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66450-2021</t>
        </is>
      </c>
      <c r="B987" s="1" t="n">
        <v>44518</v>
      </c>
      <c r="C987" s="1" t="n">
        <v>45345</v>
      </c>
      <c r="D987" t="inlineStr">
        <is>
          <t>STOCKHOLMS LÄN</t>
        </is>
      </c>
      <c r="E987" t="inlineStr">
        <is>
          <t>NORRTÄLJE</t>
        </is>
      </c>
      <c r="G987" t="n">
        <v>9.1</v>
      </c>
      <c r="H987" t="n">
        <v>0</v>
      </c>
      <c r="I987" t="n">
        <v>0</v>
      </c>
      <c r="J987" t="n">
        <v>0</v>
      </c>
      <c r="K987" t="n">
        <v>0</v>
      </c>
      <c r="L987" t="n">
        <v>0</v>
      </c>
      <c r="M987" t="n">
        <v>0</v>
      </c>
      <c r="N987" t="n">
        <v>0</v>
      </c>
      <c r="O987" t="n">
        <v>0</v>
      </c>
      <c r="P987" t="n">
        <v>0</v>
      </c>
      <c r="Q987" t="n">
        <v>0</v>
      </c>
      <c r="R987" s="2" t="inlineStr"/>
    </row>
    <row r="988" ht="15" customHeight="1">
      <c r="A988" t="inlineStr">
        <is>
          <t>A 66608-2021</t>
        </is>
      </c>
      <c r="B988" s="1" t="n">
        <v>44519</v>
      </c>
      <c r="C988" s="1" t="n">
        <v>45345</v>
      </c>
      <c r="D988" t="inlineStr">
        <is>
          <t>STOCKHOLMS LÄN</t>
        </is>
      </c>
      <c r="E988" t="inlineStr">
        <is>
          <t>NORRTÄLJE</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66592-2021</t>
        </is>
      </c>
      <c r="B989" s="1" t="n">
        <v>44519</v>
      </c>
      <c r="C989" s="1" t="n">
        <v>45345</v>
      </c>
      <c r="D989" t="inlineStr">
        <is>
          <t>STOCKHOLMS LÄN</t>
        </is>
      </c>
      <c r="E989" t="inlineStr">
        <is>
          <t>NORRTÄLJE</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66769-2021</t>
        </is>
      </c>
      <c r="B990" s="1" t="n">
        <v>44521</v>
      </c>
      <c r="C990" s="1" t="n">
        <v>45345</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67285-2021</t>
        </is>
      </c>
      <c r="B991" s="1" t="n">
        <v>44523</v>
      </c>
      <c r="C991" s="1" t="n">
        <v>45345</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67525-2021</t>
        </is>
      </c>
      <c r="B992" s="1" t="n">
        <v>44524</v>
      </c>
      <c r="C992" s="1" t="n">
        <v>45345</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67598-2021</t>
        </is>
      </c>
      <c r="B993" s="1" t="n">
        <v>44524</v>
      </c>
      <c r="C993" s="1" t="n">
        <v>45345</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45345</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67990-2021</t>
        </is>
      </c>
      <c r="B995" s="1" t="n">
        <v>44525</v>
      </c>
      <c r="C995" s="1" t="n">
        <v>45345</v>
      </c>
      <c r="D995" t="inlineStr">
        <is>
          <t>STOCKHOLMS LÄN</t>
        </is>
      </c>
      <c r="E995" t="inlineStr">
        <is>
          <t>NORRTÄLJE</t>
        </is>
      </c>
      <c r="F995" t="inlineStr">
        <is>
          <t>Sveaskog</t>
        </is>
      </c>
      <c r="G995" t="n">
        <v>7.8</v>
      </c>
      <c r="H995" t="n">
        <v>0</v>
      </c>
      <c r="I995" t="n">
        <v>0</v>
      </c>
      <c r="J995" t="n">
        <v>0</v>
      </c>
      <c r="K995" t="n">
        <v>0</v>
      </c>
      <c r="L995" t="n">
        <v>0</v>
      </c>
      <c r="M995" t="n">
        <v>0</v>
      </c>
      <c r="N995" t="n">
        <v>0</v>
      </c>
      <c r="O995" t="n">
        <v>0</v>
      </c>
      <c r="P995" t="n">
        <v>0</v>
      </c>
      <c r="Q995" t="n">
        <v>0</v>
      </c>
      <c r="R995" s="2" t="inlineStr"/>
    </row>
    <row r="996" ht="15" customHeight="1">
      <c r="A996" t="inlineStr">
        <is>
          <t>A 67992-2021</t>
        </is>
      </c>
      <c r="B996" s="1" t="n">
        <v>44525</v>
      </c>
      <c r="C996" s="1" t="n">
        <v>45345</v>
      </c>
      <c r="D996" t="inlineStr">
        <is>
          <t>STOCKHOLMS LÄN</t>
        </is>
      </c>
      <c r="E996" t="inlineStr">
        <is>
          <t>NORRTÄLJE</t>
        </is>
      </c>
      <c r="F996" t="inlineStr">
        <is>
          <t>Sveaskog</t>
        </is>
      </c>
      <c r="G996" t="n">
        <v>4.6</v>
      </c>
      <c r="H996" t="n">
        <v>0</v>
      </c>
      <c r="I996" t="n">
        <v>0</v>
      </c>
      <c r="J996" t="n">
        <v>0</v>
      </c>
      <c r="K996" t="n">
        <v>0</v>
      </c>
      <c r="L996" t="n">
        <v>0</v>
      </c>
      <c r="M996" t="n">
        <v>0</v>
      </c>
      <c r="N996" t="n">
        <v>0</v>
      </c>
      <c r="O996" t="n">
        <v>0</v>
      </c>
      <c r="P996" t="n">
        <v>0</v>
      </c>
      <c r="Q996" t="n">
        <v>0</v>
      </c>
      <c r="R996" s="2" t="inlineStr"/>
    </row>
    <row r="997" ht="15" customHeight="1">
      <c r="A997" t="inlineStr">
        <is>
          <t>A 67993-2021</t>
        </is>
      </c>
      <c r="B997" s="1" t="n">
        <v>44525</v>
      </c>
      <c r="C997" s="1" t="n">
        <v>45345</v>
      </c>
      <c r="D997" t="inlineStr">
        <is>
          <t>STOCKHOLMS LÄN</t>
        </is>
      </c>
      <c r="E997" t="inlineStr">
        <is>
          <t>NORRTÄLJE</t>
        </is>
      </c>
      <c r="F997" t="inlineStr">
        <is>
          <t>Sveaskog</t>
        </is>
      </c>
      <c r="G997" t="n">
        <v>3.4</v>
      </c>
      <c r="H997" t="n">
        <v>0</v>
      </c>
      <c r="I997" t="n">
        <v>0</v>
      </c>
      <c r="J997" t="n">
        <v>0</v>
      </c>
      <c r="K997" t="n">
        <v>0</v>
      </c>
      <c r="L997" t="n">
        <v>0</v>
      </c>
      <c r="M997" t="n">
        <v>0</v>
      </c>
      <c r="N997" t="n">
        <v>0</v>
      </c>
      <c r="O997" t="n">
        <v>0</v>
      </c>
      <c r="P997" t="n">
        <v>0</v>
      </c>
      <c r="Q997" t="n">
        <v>0</v>
      </c>
      <c r="R997" s="2" t="inlineStr"/>
    </row>
    <row r="998" ht="15" customHeight="1">
      <c r="A998" t="inlineStr">
        <is>
          <t>A 68273-2021</t>
        </is>
      </c>
      <c r="B998" s="1" t="n">
        <v>44526</v>
      </c>
      <c r="C998" s="1" t="n">
        <v>45345</v>
      </c>
      <c r="D998" t="inlineStr">
        <is>
          <t>STOCKHOLMS LÄN</t>
        </is>
      </c>
      <c r="E998" t="inlineStr">
        <is>
          <t>NORRTÄLJE</t>
        </is>
      </c>
      <c r="G998" t="n">
        <v>5.3</v>
      </c>
      <c r="H998" t="n">
        <v>0</v>
      </c>
      <c r="I998" t="n">
        <v>0</v>
      </c>
      <c r="J998" t="n">
        <v>0</v>
      </c>
      <c r="K998" t="n">
        <v>0</v>
      </c>
      <c r="L998" t="n">
        <v>0</v>
      </c>
      <c r="M998" t="n">
        <v>0</v>
      </c>
      <c r="N998" t="n">
        <v>0</v>
      </c>
      <c r="O998" t="n">
        <v>0</v>
      </c>
      <c r="P998" t="n">
        <v>0</v>
      </c>
      <c r="Q998" t="n">
        <v>0</v>
      </c>
      <c r="R998" s="2" t="inlineStr"/>
    </row>
    <row r="999" ht="15" customHeight="1">
      <c r="A999" t="inlineStr">
        <is>
          <t>A 68361-2021</t>
        </is>
      </c>
      <c r="B999" s="1" t="n">
        <v>44528</v>
      </c>
      <c r="C999" s="1" t="n">
        <v>45345</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69034-2021</t>
        </is>
      </c>
      <c r="B1000" s="1" t="n">
        <v>44529</v>
      </c>
      <c r="C1000" s="1" t="n">
        <v>45345</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69539-2021</t>
        </is>
      </c>
      <c r="B1001" s="1" t="n">
        <v>44531</v>
      </c>
      <c r="C1001" s="1" t="n">
        <v>45345</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69723-2021</t>
        </is>
      </c>
      <c r="B1002" s="1" t="n">
        <v>44532</v>
      </c>
      <c r="C1002" s="1" t="n">
        <v>45345</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69816-2021</t>
        </is>
      </c>
      <c r="B1003" s="1" t="n">
        <v>44532</v>
      </c>
      <c r="C1003" s="1" t="n">
        <v>45345</v>
      </c>
      <c r="D1003" t="inlineStr">
        <is>
          <t>STOCKHOLMS LÄN</t>
        </is>
      </c>
      <c r="E1003" t="inlineStr">
        <is>
          <t>NORRTÄLJE</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70170-2021</t>
        </is>
      </c>
      <c r="B1004" s="1" t="n">
        <v>44533</v>
      </c>
      <c r="C1004" s="1" t="n">
        <v>45345</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69988-2021</t>
        </is>
      </c>
      <c r="B1005" s="1" t="n">
        <v>44533</v>
      </c>
      <c r="C1005" s="1" t="n">
        <v>45345</v>
      </c>
      <c r="D1005" t="inlineStr">
        <is>
          <t>STOCKHOLMS LÄN</t>
        </is>
      </c>
      <c r="E1005" t="inlineStr">
        <is>
          <t>NORRTÄLJE</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70469-2021</t>
        </is>
      </c>
      <c r="B1006" s="1" t="n">
        <v>44536</v>
      </c>
      <c r="C1006" s="1" t="n">
        <v>45345</v>
      </c>
      <c r="D1006" t="inlineStr">
        <is>
          <t>STOCKHOLMS LÄN</t>
        </is>
      </c>
      <c r="E1006" t="inlineStr">
        <is>
          <t>NORRTÄLJE</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71325-2021</t>
        </is>
      </c>
      <c r="B1007" s="1" t="n">
        <v>44539</v>
      </c>
      <c r="C1007" s="1" t="n">
        <v>45345</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71552-2021</t>
        </is>
      </c>
      <c r="B1008" s="1" t="n">
        <v>44540</v>
      </c>
      <c r="C1008" s="1" t="n">
        <v>45345</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71479-2021</t>
        </is>
      </c>
      <c r="B1009" s="1" t="n">
        <v>44540</v>
      </c>
      <c r="C1009" s="1" t="n">
        <v>45345</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71543-2021</t>
        </is>
      </c>
      <c r="B1010" s="1" t="n">
        <v>44540</v>
      </c>
      <c r="C1010" s="1" t="n">
        <v>45345</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71873-2021</t>
        </is>
      </c>
      <c r="B1011" s="1" t="n">
        <v>44543</v>
      </c>
      <c r="C1011" s="1" t="n">
        <v>45345</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71876-2021</t>
        </is>
      </c>
      <c r="B1012" s="1" t="n">
        <v>44543</v>
      </c>
      <c r="C1012" s="1" t="n">
        <v>45345</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71880-2021</t>
        </is>
      </c>
      <c r="B1013" s="1" t="n">
        <v>44543</v>
      </c>
      <c r="C1013" s="1" t="n">
        <v>45345</v>
      </c>
      <c r="D1013" t="inlineStr">
        <is>
          <t>STOCKHOLMS LÄN</t>
        </is>
      </c>
      <c r="E1013" t="inlineStr">
        <is>
          <t>NORRTÄLJE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71871-2021</t>
        </is>
      </c>
      <c r="B1014" s="1" t="n">
        <v>44543</v>
      </c>
      <c r="C1014" s="1" t="n">
        <v>45345</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71878-2021</t>
        </is>
      </c>
      <c r="B1015" s="1" t="n">
        <v>44543</v>
      </c>
      <c r="C1015" s="1" t="n">
        <v>45345</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72085-2021</t>
        </is>
      </c>
      <c r="B1016" s="1" t="n">
        <v>44544</v>
      </c>
      <c r="C1016" s="1" t="n">
        <v>45345</v>
      </c>
      <c r="D1016" t="inlineStr">
        <is>
          <t>STOCKHOLMS LÄN</t>
        </is>
      </c>
      <c r="E1016" t="inlineStr">
        <is>
          <t>NORRTÄLJE</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72202-2021</t>
        </is>
      </c>
      <c r="B1017" s="1" t="n">
        <v>44544</v>
      </c>
      <c r="C1017" s="1" t="n">
        <v>45345</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72308-2021</t>
        </is>
      </c>
      <c r="B1018" s="1" t="n">
        <v>44545</v>
      </c>
      <c r="C1018" s="1" t="n">
        <v>45345</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72343-2021</t>
        </is>
      </c>
      <c r="B1019" s="1" t="n">
        <v>44545</v>
      </c>
      <c r="C1019" s="1" t="n">
        <v>45345</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72357-2021</t>
        </is>
      </c>
      <c r="B1020" s="1" t="n">
        <v>44545</v>
      </c>
      <c r="C1020" s="1" t="n">
        <v>45345</v>
      </c>
      <c r="D1020" t="inlineStr">
        <is>
          <t>STOCKHOLMS LÄN</t>
        </is>
      </c>
      <c r="E1020" t="inlineStr">
        <is>
          <t>NORRTÄLJE</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72355-2021</t>
        </is>
      </c>
      <c r="B1021" s="1" t="n">
        <v>44545</v>
      </c>
      <c r="C1021" s="1" t="n">
        <v>45345</v>
      </c>
      <c r="D1021" t="inlineStr">
        <is>
          <t>STOCKHOLMS LÄN</t>
        </is>
      </c>
      <c r="E1021" t="inlineStr">
        <is>
          <t>NORRTÄLJE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72353-2021</t>
        </is>
      </c>
      <c r="B1022" s="1" t="n">
        <v>44545</v>
      </c>
      <c r="C1022" s="1" t="n">
        <v>45345</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72747-2021</t>
        </is>
      </c>
      <c r="B1023" s="1" t="n">
        <v>44546</v>
      </c>
      <c r="C1023" s="1" t="n">
        <v>45345</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72704-2021</t>
        </is>
      </c>
      <c r="B1024" s="1" t="n">
        <v>44546</v>
      </c>
      <c r="C1024" s="1" t="n">
        <v>45345</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72890-2021</t>
        </is>
      </c>
      <c r="B1025" s="1" t="n">
        <v>44547</v>
      </c>
      <c r="C1025" s="1" t="n">
        <v>45345</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73311-2021</t>
        </is>
      </c>
      <c r="B1026" s="1" t="n">
        <v>44549</v>
      </c>
      <c r="C1026" s="1" t="n">
        <v>45345</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73307-2021</t>
        </is>
      </c>
      <c r="B1027" s="1" t="n">
        <v>44549</v>
      </c>
      <c r="C1027" s="1" t="n">
        <v>45345</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73271-2021</t>
        </is>
      </c>
      <c r="B1028" s="1" t="n">
        <v>44550</v>
      </c>
      <c r="C1028" s="1" t="n">
        <v>45345</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73504-2021</t>
        </is>
      </c>
      <c r="B1029" s="1" t="n">
        <v>44551</v>
      </c>
      <c r="C1029" s="1" t="n">
        <v>45345</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73855-2021</t>
        </is>
      </c>
      <c r="B1030" s="1" t="n">
        <v>44552</v>
      </c>
      <c r="C1030" s="1" t="n">
        <v>45345</v>
      </c>
      <c r="D1030" t="inlineStr">
        <is>
          <t>STOCKHOLMS LÄN</t>
        </is>
      </c>
      <c r="E1030" t="inlineStr">
        <is>
          <t>NORRTÄLJE</t>
        </is>
      </c>
      <c r="F1030" t="inlineStr">
        <is>
          <t>Övriga Aktiebolag</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73992-2021</t>
        </is>
      </c>
      <c r="B1031" s="1" t="n">
        <v>44556</v>
      </c>
      <c r="C1031" s="1" t="n">
        <v>45345</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73993-2021</t>
        </is>
      </c>
      <c r="B1032" s="1" t="n">
        <v>44556</v>
      </c>
      <c r="C1032" s="1" t="n">
        <v>45345</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74468-2021</t>
        </is>
      </c>
      <c r="B1033" s="1" t="n">
        <v>44560</v>
      </c>
      <c r="C1033" s="1" t="n">
        <v>45345</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185-2022</t>
        </is>
      </c>
      <c r="B1034" s="1" t="n">
        <v>44564</v>
      </c>
      <c r="C1034" s="1" t="n">
        <v>45345</v>
      </c>
      <c r="D1034" t="inlineStr">
        <is>
          <t>STOCKHOLMS LÄN</t>
        </is>
      </c>
      <c r="E1034" t="inlineStr">
        <is>
          <t>NORRTÄLJE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190-2022</t>
        </is>
      </c>
      <c r="B1035" s="1" t="n">
        <v>44564</v>
      </c>
      <c r="C1035" s="1" t="n">
        <v>45345</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187-2022</t>
        </is>
      </c>
      <c r="B1036" s="1" t="n">
        <v>44564</v>
      </c>
      <c r="C1036" s="1" t="n">
        <v>45345</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77-2022</t>
        </is>
      </c>
      <c r="B1037" s="1" t="n">
        <v>44564</v>
      </c>
      <c r="C1037" s="1" t="n">
        <v>45345</v>
      </c>
      <c r="D1037" t="inlineStr">
        <is>
          <t>STOCKHOLMS LÄN</t>
        </is>
      </c>
      <c r="E1037" t="inlineStr">
        <is>
          <t>NORRTÄLJE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459-2022</t>
        </is>
      </c>
      <c r="B1038" s="1" t="n">
        <v>44565</v>
      </c>
      <c r="C1038" s="1" t="n">
        <v>45345</v>
      </c>
      <c r="D1038" t="inlineStr">
        <is>
          <t>STOCKHOLMS LÄN</t>
        </is>
      </c>
      <c r="E1038" t="inlineStr">
        <is>
          <t>NORRTÄLJE</t>
        </is>
      </c>
      <c r="F1038" t="inlineStr">
        <is>
          <t>Övriga Aktiebolag</t>
        </is>
      </c>
      <c r="G1038" t="n">
        <v>17.3</v>
      </c>
      <c r="H1038" t="n">
        <v>0</v>
      </c>
      <c r="I1038" t="n">
        <v>0</v>
      </c>
      <c r="J1038" t="n">
        <v>0</v>
      </c>
      <c r="K1038" t="n">
        <v>0</v>
      </c>
      <c r="L1038" t="n">
        <v>0</v>
      </c>
      <c r="M1038" t="n">
        <v>0</v>
      </c>
      <c r="N1038" t="n">
        <v>0</v>
      </c>
      <c r="O1038" t="n">
        <v>0</v>
      </c>
      <c r="P1038" t="n">
        <v>0</v>
      </c>
      <c r="Q1038" t="n">
        <v>0</v>
      </c>
      <c r="R1038" s="2" t="inlineStr"/>
    </row>
    <row r="1039" ht="15" customHeight="1">
      <c r="A1039" t="inlineStr">
        <is>
          <t>A 1058-2022</t>
        </is>
      </c>
      <c r="B1039" s="1" t="n">
        <v>44571</v>
      </c>
      <c r="C1039" s="1" t="n">
        <v>45345</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1051-2022</t>
        </is>
      </c>
      <c r="B1040" s="1" t="n">
        <v>44571</v>
      </c>
      <c r="C1040" s="1" t="n">
        <v>45345</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1054-2022</t>
        </is>
      </c>
      <c r="B1041" s="1" t="n">
        <v>44571</v>
      </c>
      <c r="C1041" s="1" t="n">
        <v>45345</v>
      </c>
      <c r="D1041" t="inlineStr">
        <is>
          <t>STOCKHOLMS LÄN</t>
        </is>
      </c>
      <c r="E1041" t="inlineStr">
        <is>
          <t>NORRTÄLJE</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1229-2022</t>
        </is>
      </c>
      <c r="B1042" s="1" t="n">
        <v>44572</v>
      </c>
      <c r="C1042" s="1" t="n">
        <v>45345</v>
      </c>
      <c r="D1042" t="inlineStr">
        <is>
          <t>STOCKHOLMS LÄN</t>
        </is>
      </c>
      <c r="E1042" t="inlineStr">
        <is>
          <t>NORRTÄLJE</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1704-2022</t>
        </is>
      </c>
      <c r="B1043" s="1" t="n">
        <v>44574</v>
      </c>
      <c r="C1043" s="1" t="n">
        <v>45345</v>
      </c>
      <c r="D1043" t="inlineStr">
        <is>
          <t>STOCKHOLMS LÄN</t>
        </is>
      </c>
      <c r="E1043" t="inlineStr">
        <is>
          <t>NORRTÄLJE</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1968-2022</t>
        </is>
      </c>
      <c r="B1044" s="1" t="n">
        <v>44575</v>
      </c>
      <c r="C1044" s="1" t="n">
        <v>45345</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2182-2022</t>
        </is>
      </c>
      <c r="B1045" s="1" t="n">
        <v>44578</v>
      </c>
      <c r="C1045" s="1" t="n">
        <v>45345</v>
      </c>
      <c r="D1045" t="inlineStr">
        <is>
          <t>STOCKHOLMS LÄN</t>
        </is>
      </c>
      <c r="E1045" t="inlineStr">
        <is>
          <t>NORRTÄLJE</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2549-2022</t>
        </is>
      </c>
      <c r="B1046" s="1" t="n">
        <v>44580</v>
      </c>
      <c r="C1046" s="1" t="n">
        <v>45345</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2732-2022</t>
        </is>
      </c>
      <c r="B1047" s="1" t="n">
        <v>44580</v>
      </c>
      <c r="C1047" s="1" t="n">
        <v>45345</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2888-2022</t>
        </is>
      </c>
      <c r="B1048" s="1" t="n">
        <v>44581</v>
      </c>
      <c r="C1048" s="1" t="n">
        <v>45345</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2977-2022</t>
        </is>
      </c>
      <c r="B1049" s="1" t="n">
        <v>44581</v>
      </c>
      <c r="C1049" s="1" t="n">
        <v>45345</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3300-2022</t>
        </is>
      </c>
      <c r="B1050" s="1" t="n">
        <v>44584</v>
      </c>
      <c r="C1050" s="1" t="n">
        <v>45345</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3310-2022</t>
        </is>
      </c>
      <c r="B1051" s="1" t="n">
        <v>44584</v>
      </c>
      <c r="C1051" s="1" t="n">
        <v>45345</v>
      </c>
      <c r="D1051" t="inlineStr">
        <is>
          <t>STOCKHOLMS LÄN</t>
        </is>
      </c>
      <c r="E1051" t="inlineStr">
        <is>
          <t>NORRTÄLJE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3396-2022</t>
        </is>
      </c>
      <c r="B1052" s="1" t="n">
        <v>44585</v>
      </c>
      <c r="C1052" s="1" t="n">
        <v>45345</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3509-2022</t>
        </is>
      </c>
      <c r="B1053" s="1" t="n">
        <v>44585</v>
      </c>
      <c r="C1053" s="1" t="n">
        <v>45345</v>
      </c>
      <c r="D1053" t="inlineStr">
        <is>
          <t>STOCKHOLMS LÄN</t>
        </is>
      </c>
      <c r="E1053" t="inlineStr">
        <is>
          <t>NORRTÄLJE</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4860-2022</t>
        </is>
      </c>
      <c r="B1054" s="1" t="n">
        <v>44592</v>
      </c>
      <c r="C1054" s="1" t="n">
        <v>45345</v>
      </c>
      <c r="D1054" t="inlineStr">
        <is>
          <t>STOCKHOLMS LÄN</t>
        </is>
      </c>
      <c r="E1054" t="inlineStr">
        <is>
          <t>NORRTÄLJE</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5351-2022</t>
        </is>
      </c>
      <c r="B1055" s="1" t="n">
        <v>44594</v>
      </c>
      <c r="C1055" s="1" t="n">
        <v>45345</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5513-2022</t>
        </is>
      </c>
      <c r="B1056" s="1" t="n">
        <v>44595</v>
      </c>
      <c r="C1056" s="1" t="n">
        <v>45345</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5611-2022</t>
        </is>
      </c>
      <c r="B1057" s="1" t="n">
        <v>44595</v>
      </c>
      <c r="C1057" s="1" t="n">
        <v>45345</v>
      </c>
      <c r="D1057" t="inlineStr">
        <is>
          <t>STOCKHOLMS LÄN</t>
        </is>
      </c>
      <c r="E1057" t="inlineStr">
        <is>
          <t>NORRTÄLJE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5831-2022</t>
        </is>
      </c>
      <c r="B1058" s="1" t="n">
        <v>44596</v>
      </c>
      <c r="C1058" s="1" t="n">
        <v>45345</v>
      </c>
      <c r="D1058" t="inlineStr">
        <is>
          <t>STOCKHOLMS LÄN</t>
        </is>
      </c>
      <c r="E1058" t="inlineStr">
        <is>
          <t>NORRTÄLJE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5867-2022</t>
        </is>
      </c>
      <c r="B1059" s="1" t="n">
        <v>44596</v>
      </c>
      <c r="C1059" s="1" t="n">
        <v>45345</v>
      </c>
      <c r="D1059" t="inlineStr">
        <is>
          <t>STOCKHOLMS LÄN</t>
        </is>
      </c>
      <c r="E1059" t="inlineStr">
        <is>
          <t>NORRTÄLJE</t>
        </is>
      </c>
      <c r="F1059" t="inlineStr">
        <is>
          <t>Naturvårdsverket</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6070-2022</t>
        </is>
      </c>
      <c r="B1060" s="1" t="n">
        <v>44599</v>
      </c>
      <c r="C1060" s="1" t="n">
        <v>45345</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6332-2022</t>
        </is>
      </c>
      <c r="B1061" s="1" t="n">
        <v>44600</v>
      </c>
      <c r="C1061" s="1" t="n">
        <v>45345</v>
      </c>
      <c r="D1061" t="inlineStr">
        <is>
          <t>STOCKHOLMS LÄN</t>
        </is>
      </c>
      <c r="E1061" t="inlineStr">
        <is>
          <t>NORRTÄLJE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7301-2022</t>
        </is>
      </c>
      <c r="B1062" s="1" t="n">
        <v>44606</v>
      </c>
      <c r="C1062" s="1" t="n">
        <v>45345</v>
      </c>
      <c r="D1062" t="inlineStr">
        <is>
          <t>STOCKHOLMS LÄN</t>
        </is>
      </c>
      <c r="E1062" t="inlineStr">
        <is>
          <t>NORRTÄLJE</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7565-2022</t>
        </is>
      </c>
      <c r="B1063" s="1" t="n">
        <v>44607</v>
      </c>
      <c r="C1063" s="1" t="n">
        <v>45345</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8024-2022</t>
        </is>
      </c>
      <c r="B1064" s="1" t="n">
        <v>44609</v>
      </c>
      <c r="C1064" s="1" t="n">
        <v>45345</v>
      </c>
      <c r="D1064" t="inlineStr">
        <is>
          <t>STOCKHOLMS LÄN</t>
        </is>
      </c>
      <c r="E1064" t="inlineStr">
        <is>
          <t>NORRTÄLJE</t>
        </is>
      </c>
      <c r="F1064" t="inlineStr">
        <is>
          <t>Kyrkan</t>
        </is>
      </c>
      <c r="G1064" t="n">
        <v>28.2</v>
      </c>
      <c r="H1064" t="n">
        <v>0</v>
      </c>
      <c r="I1064" t="n">
        <v>0</v>
      </c>
      <c r="J1064" t="n">
        <v>0</v>
      </c>
      <c r="K1064" t="n">
        <v>0</v>
      </c>
      <c r="L1064" t="n">
        <v>0</v>
      </c>
      <c r="M1064" t="n">
        <v>0</v>
      </c>
      <c r="N1064" t="n">
        <v>0</v>
      </c>
      <c r="O1064" t="n">
        <v>0</v>
      </c>
      <c r="P1064" t="n">
        <v>0</v>
      </c>
      <c r="Q1064" t="n">
        <v>0</v>
      </c>
      <c r="R1064" s="2" t="inlineStr"/>
    </row>
    <row r="1065" ht="15" customHeight="1">
      <c r="A1065" t="inlineStr">
        <is>
          <t>A 8049-2022</t>
        </is>
      </c>
      <c r="B1065" s="1" t="n">
        <v>44609</v>
      </c>
      <c r="C1065" s="1" t="n">
        <v>45345</v>
      </c>
      <c r="D1065" t="inlineStr">
        <is>
          <t>STOCKHOLMS LÄN</t>
        </is>
      </c>
      <c r="E1065" t="inlineStr">
        <is>
          <t>NORRTÄLJE</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8160-2022</t>
        </is>
      </c>
      <c r="B1066" s="1" t="n">
        <v>44609</v>
      </c>
      <c r="C1066" s="1" t="n">
        <v>45345</v>
      </c>
      <c r="D1066" t="inlineStr">
        <is>
          <t>STOCKHOLMS LÄN</t>
        </is>
      </c>
      <c r="E1066" t="inlineStr">
        <is>
          <t>NORRTÄLJE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8433-2022</t>
        </is>
      </c>
      <c r="B1067" s="1" t="n">
        <v>44611</v>
      </c>
      <c r="C1067" s="1" t="n">
        <v>45345</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9668-2022</t>
        </is>
      </c>
      <c r="B1068" s="1" t="n">
        <v>44617</v>
      </c>
      <c r="C1068" s="1" t="n">
        <v>45345</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9654-2022</t>
        </is>
      </c>
      <c r="B1069" s="1" t="n">
        <v>44617</v>
      </c>
      <c r="C1069" s="1" t="n">
        <v>45345</v>
      </c>
      <c r="D1069" t="inlineStr">
        <is>
          <t>STOCKHOLMS LÄN</t>
        </is>
      </c>
      <c r="E1069" t="inlineStr">
        <is>
          <t>NORRTÄLJE</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9749-2022</t>
        </is>
      </c>
      <c r="B1070" s="1" t="n">
        <v>44618</v>
      </c>
      <c r="C1070" s="1" t="n">
        <v>45345</v>
      </c>
      <c r="D1070" t="inlineStr">
        <is>
          <t>STOCKHOLMS LÄN</t>
        </is>
      </c>
      <c r="E1070" t="inlineStr">
        <is>
          <t>NORRTÄLJE</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9988-2022</t>
        </is>
      </c>
      <c r="B1071" s="1" t="n">
        <v>44621</v>
      </c>
      <c r="C1071" s="1" t="n">
        <v>45345</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10090-2022</t>
        </is>
      </c>
      <c r="B1072" s="1" t="n">
        <v>44621</v>
      </c>
      <c r="C1072" s="1" t="n">
        <v>45345</v>
      </c>
      <c r="D1072" t="inlineStr">
        <is>
          <t>STOCKHOLMS LÄN</t>
        </is>
      </c>
      <c r="E1072" t="inlineStr">
        <is>
          <t>NORRTÄLJE</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10098-2022</t>
        </is>
      </c>
      <c r="B1073" s="1" t="n">
        <v>44621</v>
      </c>
      <c r="C1073" s="1" t="n">
        <v>45345</v>
      </c>
      <c r="D1073" t="inlineStr">
        <is>
          <t>STOCKHOLMS LÄN</t>
        </is>
      </c>
      <c r="E1073" t="inlineStr">
        <is>
          <t>NORRTÄLJE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10521-2022</t>
        </is>
      </c>
      <c r="B1074" s="1" t="n">
        <v>44623</v>
      </c>
      <c r="C1074" s="1" t="n">
        <v>45345</v>
      </c>
      <c r="D1074" t="inlineStr">
        <is>
          <t>STOCKHOLMS LÄN</t>
        </is>
      </c>
      <c r="E1074" t="inlineStr">
        <is>
          <t>NORRTÄLJE</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10653-2022</t>
        </is>
      </c>
      <c r="B1075" s="1" t="n">
        <v>44624</v>
      </c>
      <c r="C1075" s="1" t="n">
        <v>45345</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10710-2022</t>
        </is>
      </c>
      <c r="B1076" s="1" t="n">
        <v>44626</v>
      </c>
      <c r="C1076" s="1" t="n">
        <v>45345</v>
      </c>
      <c r="D1076" t="inlineStr">
        <is>
          <t>STOCKHOLMS LÄN</t>
        </is>
      </c>
      <c r="E1076" t="inlineStr">
        <is>
          <t>NORRTÄLJE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10711-2022</t>
        </is>
      </c>
      <c r="B1077" s="1" t="n">
        <v>44626</v>
      </c>
      <c r="C1077" s="1" t="n">
        <v>45345</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11150-2022</t>
        </is>
      </c>
      <c r="B1078" s="1" t="n">
        <v>44629</v>
      </c>
      <c r="C1078" s="1" t="n">
        <v>45345</v>
      </c>
      <c r="D1078" t="inlineStr">
        <is>
          <t>STOCKHOLMS LÄN</t>
        </is>
      </c>
      <c r="E1078" t="inlineStr">
        <is>
          <t>NORRTÄLJE</t>
        </is>
      </c>
      <c r="F1078" t="inlineStr">
        <is>
          <t>Övriga Aktiebolag</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11229-2022</t>
        </is>
      </c>
      <c r="B1079" s="1" t="n">
        <v>44629</v>
      </c>
      <c r="C1079" s="1" t="n">
        <v>45345</v>
      </c>
      <c r="D1079" t="inlineStr">
        <is>
          <t>STOCKHOLMS LÄN</t>
        </is>
      </c>
      <c r="E1079" t="inlineStr">
        <is>
          <t>NORRTÄLJE</t>
        </is>
      </c>
      <c r="F1079" t="inlineStr">
        <is>
          <t>Övriga Aktiebolag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11533-2022</t>
        </is>
      </c>
      <c r="B1080" s="1" t="n">
        <v>44631</v>
      </c>
      <c r="C1080" s="1" t="n">
        <v>45345</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11821-2022</t>
        </is>
      </c>
      <c r="B1081" s="1" t="n">
        <v>44634</v>
      </c>
      <c r="C1081" s="1" t="n">
        <v>45345</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11900-2022</t>
        </is>
      </c>
      <c r="B1082" s="1" t="n">
        <v>44635</v>
      </c>
      <c r="C1082" s="1" t="n">
        <v>45345</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12355-2022</t>
        </is>
      </c>
      <c r="B1083" s="1" t="n">
        <v>44637</v>
      </c>
      <c r="C1083" s="1" t="n">
        <v>45345</v>
      </c>
      <c r="D1083" t="inlineStr">
        <is>
          <t>STOCKHOLMS LÄN</t>
        </is>
      </c>
      <c r="E1083" t="inlineStr">
        <is>
          <t>NORRTÄLJE</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12270-2022</t>
        </is>
      </c>
      <c r="B1084" s="1" t="n">
        <v>44637</v>
      </c>
      <c r="C1084" s="1" t="n">
        <v>45345</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12314-2022</t>
        </is>
      </c>
      <c r="B1085" s="1" t="n">
        <v>44637</v>
      </c>
      <c r="C1085" s="1" t="n">
        <v>45345</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12268-2022</t>
        </is>
      </c>
      <c r="B1086" s="1" t="n">
        <v>44637</v>
      </c>
      <c r="C1086" s="1" t="n">
        <v>45345</v>
      </c>
      <c r="D1086" t="inlineStr">
        <is>
          <t>STOCKHOLMS LÄN</t>
        </is>
      </c>
      <c r="E1086" t="inlineStr">
        <is>
          <t>NORRTÄLJE</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12357-2022</t>
        </is>
      </c>
      <c r="B1087" s="1" t="n">
        <v>44637</v>
      </c>
      <c r="C1087" s="1" t="n">
        <v>45345</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62765-2022</t>
        </is>
      </c>
      <c r="B1088" s="1" t="n">
        <v>44637</v>
      </c>
      <c r="C1088" s="1" t="n">
        <v>45345</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12874-2022</t>
        </is>
      </c>
      <c r="B1089" s="1" t="n">
        <v>44642</v>
      </c>
      <c r="C1089" s="1" t="n">
        <v>45345</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12816-2022</t>
        </is>
      </c>
      <c r="B1090" s="1" t="n">
        <v>44642</v>
      </c>
      <c r="C1090" s="1" t="n">
        <v>45345</v>
      </c>
      <c r="D1090" t="inlineStr">
        <is>
          <t>STOCKHOLMS LÄN</t>
        </is>
      </c>
      <c r="E1090" t="inlineStr">
        <is>
          <t>NORRTÄLJE</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12877-2022</t>
        </is>
      </c>
      <c r="B1091" s="1" t="n">
        <v>44642</v>
      </c>
      <c r="C1091" s="1" t="n">
        <v>45345</v>
      </c>
      <c r="D1091" t="inlineStr">
        <is>
          <t>STOCKHOLMS LÄN</t>
        </is>
      </c>
      <c r="E1091" t="inlineStr">
        <is>
          <t>NORRTÄLJE</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12875-2022</t>
        </is>
      </c>
      <c r="B1092" s="1" t="n">
        <v>44642</v>
      </c>
      <c r="C1092" s="1" t="n">
        <v>45345</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13077-2022</t>
        </is>
      </c>
      <c r="B1093" s="1" t="n">
        <v>44643</v>
      </c>
      <c r="C1093" s="1" t="n">
        <v>45345</v>
      </c>
      <c r="D1093" t="inlineStr">
        <is>
          <t>STOCKHOLMS LÄN</t>
        </is>
      </c>
      <c r="E1093" t="inlineStr">
        <is>
          <t>NORRTÄLJE</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13053-2022</t>
        </is>
      </c>
      <c r="B1094" s="1" t="n">
        <v>44643</v>
      </c>
      <c r="C1094" s="1" t="n">
        <v>45345</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13089-2022</t>
        </is>
      </c>
      <c r="B1095" s="1" t="n">
        <v>44643</v>
      </c>
      <c r="C1095" s="1" t="n">
        <v>45345</v>
      </c>
      <c r="D1095" t="inlineStr">
        <is>
          <t>STOCKHOLMS LÄN</t>
        </is>
      </c>
      <c r="E1095" t="inlineStr">
        <is>
          <t>NORRTÄLJE</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13106-2022</t>
        </is>
      </c>
      <c r="B1096" s="1" t="n">
        <v>44644</v>
      </c>
      <c r="C1096" s="1" t="n">
        <v>45345</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13278-2022</t>
        </is>
      </c>
      <c r="B1097" s="1" t="n">
        <v>44644</v>
      </c>
      <c r="C1097" s="1" t="n">
        <v>45345</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13276-2022</t>
        </is>
      </c>
      <c r="B1098" s="1" t="n">
        <v>44644</v>
      </c>
      <c r="C1098" s="1" t="n">
        <v>45345</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13395-2022</t>
        </is>
      </c>
      <c r="B1099" s="1" t="n">
        <v>44645</v>
      </c>
      <c r="C1099" s="1" t="n">
        <v>45345</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13696-2022</t>
        </is>
      </c>
      <c r="B1100" s="1" t="n">
        <v>44648</v>
      </c>
      <c r="C1100" s="1" t="n">
        <v>45345</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13701-2022</t>
        </is>
      </c>
      <c r="B1101" s="1" t="n">
        <v>44648</v>
      </c>
      <c r="C1101" s="1" t="n">
        <v>45345</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13718-2022</t>
        </is>
      </c>
      <c r="B1102" s="1" t="n">
        <v>44649</v>
      </c>
      <c r="C1102" s="1" t="n">
        <v>45345</v>
      </c>
      <c r="D1102" t="inlineStr">
        <is>
          <t>STOCKHOLMS LÄN</t>
        </is>
      </c>
      <c r="E1102" t="inlineStr">
        <is>
          <t>NORRTÄLJE</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14036-2022</t>
        </is>
      </c>
      <c r="B1103" s="1" t="n">
        <v>44650</v>
      </c>
      <c r="C1103" s="1" t="n">
        <v>45345</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14033-2022</t>
        </is>
      </c>
      <c r="B1104" s="1" t="n">
        <v>44650</v>
      </c>
      <c r="C1104" s="1" t="n">
        <v>45345</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14034-2022</t>
        </is>
      </c>
      <c r="B1105" s="1" t="n">
        <v>44650</v>
      </c>
      <c r="C1105" s="1" t="n">
        <v>45345</v>
      </c>
      <c r="D1105" t="inlineStr">
        <is>
          <t>STOCKHOLMS LÄN</t>
        </is>
      </c>
      <c r="E1105" t="inlineStr">
        <is>
          <t>NORRTÄLJE</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14051-2022</t>
        </is>
      </c>
      <c r="B1106" s="1" t="n">
        <v>44651</v>
      </c>
      <c r="C1106" s="1" t="n">
        <v>45345</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14166-2022</t>
        </is>
      </c>
      <c r="B1107" s="1" t="n">
        <v>44651</v>
      </c>
      <c r="C1107" s="1" t="n">
        <v>45345</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14543-2022</t>
        </is>
      </c>
      <c r="B1108" s="1" t="n">
        <v>44655</v>
      </c>
      <c r="C1108" s="1" t="n">
        <v>45345</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14724-2022</t>
        </is>
      </c>
      <c r="B1109" s="1" t="n">
        <v>44656</v>
      </c>
      <c r="C1109" s="1" t="n">
        <v>45345</v>
      </c>
      <c r="D1109" t="inlineStr">
        <is>
          <t>STOCKHOLMS LÄN</t>
        </is>
      </c>
      <c r="E1109" t="inlineStr">
        <is>
          <t>NORRTÄLJE</t>
        </is>
      </c>
      <c r="F1109" t="inlineStr">
        <is>
          <t>Sveaskog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14716-2022</t>
        </is>
      </c>
      <c r="B1110" s="1" t="n">
        <v>44656</v>
      </c>
      <c r="C1110" s="1" t="n">
        <v>45345</v>
      </c>
      <c r="D1110" t="inlineStr">
        <is>
          <t>STOCKHOLMS LÄN</t>
        </is>
      </c>
      <c r="E1110" t="inlineStr">
        <is>
          <t>NORRTÄLJE</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14869-2022</t>
        </is>
      </c>
      <c r="B1111" s="1" t="n">
        <v>44656</v>
      </c>
      <c r="C1111" s="1" t="n">
        <v>45345</v>
      </c>
      <c r="D1111" t="inlineStr">
        <is>
          <t>STOCKHOLMS LÄN</t>
        </is>
      </c>
      <c r="E1111" t="inlineStr">
        <is>
          <t>NORRTÄLJE</t>
        </is>
      </c>
      <c r="F1111" t="inlineStr">
        <is>
          <t>Holmen skog AB</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15225-2022</t>
        </is>
      </c>
      <c r="B1112" s="1" t="n">
        <v>44658</v>
      </c>
      <c r="C1112" s="1" t="n">
        <v>45345</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15226-2022</t>
        </is>
      </c>
      <c r="B1113" s="1" t="n">
        <v>44658</v>
      </c>
      <c r="C1113" s="1" t="n">
        <v>45345</v>
      </c>
      <c r="D1113" t="inlineStr">
        <is>
          <t>STOCKHOLMS LÄN</t>
        </is>
      </c>
      <c r="E1113" t="inlineStr">
        <is>
          <t>NORRTÄLJE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15861-2022</t>
        </is>
      </c>
      <c r="B1114" s="1" t="n">
        <v>44664</v>
      </c>
      <c r="C1114" s="1" t="n">
        <v>45345</v>
      </c>
      <c r="D1114" t="inlineStr">
        <is>
          <t>STOCKHOLMS LÄN</t>
        </is>
      </c>
      <c r="E1114" t="inlineStr">
        <is>
          <t>NORRTÄLJE</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16117-2022</t>
        </is>
      </c>
      <c r="B1115" s="1" t="n">
        <v>44665</v>
      </c>
      <c r="C1115" s="1" t="n">
        <v>45345</v>
      </c>
      <c r="D1115" t="inlineStr">
        <is>
          <t>STOCKHOLMS LÄN</t>
        </is>
      </c>
      <c r="E1115" t="inlineStr">
        <is>
          <t>NORRTÄLJE</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16119-2022</t>
        </is>
      </c>
      <c r="B1116" s="1" t="n">
        <v>44665</v>
      </c>
      <c r="C1116" s="1" t="n">
        <v>45345</v>
      </c>
      <c r="D1116" t="inlineStr">
        <is>
          <t>STOCKHOLMS LÄN</t>
        </is>
      </c>
      <c r="E1116" t="inlineStr">
        <is>
          <t>NORRTÄLJE</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16132-2022</t>
        </is>
      </c>
      <c r="B1117" s="1" t="n">
        <v>44665</v>
      </c>
      <c r="C1117" s="1" t="n">
        <v>45345</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16224-2022</t>
        </is>
      </c>
      <c r="B1118" s="1" t="n">
        <v>44670</v>
      </c>
      <c r="C1118" s="1" t="n">
        <v>45345</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16202-2022</t>
        </is>
      </c>
      <c r="B1119" s="1" t="n">
        <v>44670</v>
      </c>
      <c r="C1119" s="1" t="n">
        <v>45345</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16229-2022</t>
        </is>
      </c>
      <c r="B1120" s="1" t="n">
        <v>44670</v>
      </c>
      <c r="C1120" s="1" t="n">
        <v>45345</v>
      </c>
      <c r="D1120" t="inlineStr">
        <is>
          <t>STOCKHOLMS LÄN</t>
        </is>
      </c>
      <c r="E1120" t="inlineStr">
        <is>
          <t>NORRTÄLJE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16442-2022</t>
        </is>
      </c>
      <c r="B1121" s="1" t="n">
        <v>44671</v>
      </c>
      <c r="C1121" s="1" t="n">
        <v>45345</v>
      </c>
      <c r="D1121" t="inlineStr">
        <is>
          <t>STOCKHOLMS LÄN</t>
        </is>
      </c>
      <c r="E1121" t="inlineStr">
        <is>
          <t>NORRTÄLJE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16534-2022</t>
        </is>
      </c>
      <c r="B1122" s="1" t="n">
        <v>44672</v>
      </c>
      <c r="C1122" s="1" t="n">
        <v>45345</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16835-2022</t>
        </is>
      </c>
      <c r="B1123" s="1" t="n">
        <v>44673</v>
      </c>
      <c r="C1123" s="1" t="n">
        <v>45345</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17391-2022</t>
        </is>
      </c>
      <c r="B1124" s="1" t="n">
        <v>44678</v>
      </c>
      <c r="C1124" s="1" t="n">
        <v>45345</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17388-2022</t>
        </is>
      </c>
      <c r="B1125" s="1" t="n">
        <v>44678</v>
      </c>
      <c r="C1125" s="1" t="n">
        <v>45345</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17390-2022</t>
        </is>
      </c>
      <c r="B1126" s="1" t="n">
        <v>44678</v>
      </c>
      <c r="C1126" s="1" t="n">
        <v>45345</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17612-2022</t>
        </is>
      </c>
      <c r="B1127" s="1" t="n">
        <v>44680</v>
      </c>
      <c r="C1127" s="1" t="n">
        <v>45345</v>
      </c>
      <c r="D1127" t="inlineStr">
        <is>
          <t>STOCKHOLMS LÄN</t>
        </is>
      </c>
      <c r="E1127" t="inlineStr">
        <is>
          <t>NORRTÄLJE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17629-2022</t>
        </is>
      </c>
      <c r="B1128" s="1" t="n">
        <v>44680</v>
      </c>
      <c r="C1128" s="1" t="n">
        <v>45345</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17771-2022</t>
        </is>
      </c>
      <c r="B1129" s="1" t="n">
        <v>44682</v>
      </c>
      <c r="C1129" s="1" t="n">
        <v>45345</v>
      </c>
      <c r="D1129" t="inlineStr">
        <is>
          <t>STOCKHOLMS LÄN</t>
        </is>
      </c>
      <c r="E1129" t="inlineStr">
        <is>
          <t>NORRTÄLJE</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17775-2022</t>
        </is>
      </c>
      <c r="B1130" s="1" t="n">
        <v>44682</v>
      </c>
      <c r="C1130" s="1" t="n">
        <v>45345</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17773-2022</t>
        </is>
      </c>
      <c r="B1131" s="1" t="n">
        <v>44682</v>
      </c>
      <c r="C1131" s="1" t="n">
        <v>45345</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17772-2022</t>
        </is>
      </c>
      <c r="B1132" s="1" t="n">
        <v>44682</v>
      </c>
      <c r="C1132" s="1" t="n">
        <v>45345</v>
      </c>
      <c r="D1132" t="inlineStr">
        <is>
          <t>STOCKHOLMS LÄN</t>
        </is>
      </c>
      <c r="E1132" t="inlineStr">
        <is>
          <t>NORRTÄLJE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17777-2022</t>
        </is>
      </c>
      <c r="B1133" s="1" t="n">
        <v>44682</v>
      </c>
      <c r="C1133" s="1" t="n">
        <v>45345</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17803-2022</t>
        </is>
      </c>
      <c r="B1134" s="1" t="n">
        <v>44683</v>
      </c>
      <c r="C1134" s="1" t="n">
        <v>45345</v>
      </c>
      <c r="D1134" t="inlineStr">
        <is>
          <t>STOCKHOLMS LÄN</t>
        </is>
      </c>
      <c r="E1134" t="inlineStr">
        <is>
          <t>NORRTÄLJE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17952-2022</t>
        </is>
      </c>
      <c r="B1135" s="1" t="n">
        <v>44683</v>
      </c>
      <c r="C1135" s="1" t="n">
        <v>45345</v>
      </c>
      <c r="D1135" t="inlineStr">
        <is>
          <t>STOCKHOLMS LÄN</t>
        </is>
      </c>
      <c r="E1135" t="inlineStr">
        <is>
          <t>NORRTÄLJE</t>
        </is>
      </c>
      <c r="G1135" t="n">
        <v>51.1</v>
      </c>
      <c r="H1135" t="n">
        <v>0</v>
      </c>
      <c r="I1135" t="n">
        <v>0</v>
      </c>
      <c r="J1135" t="n">
        <v>0</v>
      </c>
      <c r="K1135" t="n">
        <v>0</v>
      </c>
      <c r="L1135" t="n">
        <v>0</v>
      </c>
      <c r="M1135" t="n">
        <v>0</v>
      </c>
      <c r="N1135" t="n">
        <v>0</v>
      </c>
      <c r="O1135" t="n">
        <v>0</v>
      </c>
      <c r="P1135" t="n">
        <v>0</v>
      </c>
      <c r="Q1135" t="n">
        <v>0</v>
      </c>
      <c r="R1135" s="2" t="inlineStr"/>
    </row>
    <row r="1136" ht="15" customHeight="1">
      <c r="A1136" t="inlineStr">
        <is>
          <t>A 18092-2022</t>
        </is>
      </c>
      <c r="B1136" s="1" t="n">
        <v>44684</v>
      </c>
      <c r="C1136" s="1" t="n">
        <v>45345</v>
      </c>
      <c r="D1136" t="inlineStr">
        <is>
          <t>STOCKHOLMS LÄN</t>
        </is>
      </c>
      <c r="E1136" t="inlineStr">
        <is>
          <t>NORRTÄLJE</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18103-2022</t>
        </is>
      </c>
      <c r="B1137" s="1" t="n">
        <v>44684</v>
      </c>
      <c r="C1137" s="1" t="n">
        <v>45345</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18350-2022</t>
        </is>
      </c>
      <c r="B1138" s="1" t="n">
        <v>44685</v>
      </c>
      <c r="C1138" s="1" t="n">
        <v>45345</v>
      </c>
      <c r="D1138" t="inlineStr">
        <is>
          <t>STOCKHOLMS LÄN</t>
        </is>
      </c>
      <c r="E1138" t="inlineStr">
        <is>
          <t>NORRTÄLJE</t>
        </is>
      </c>
      <c r="F1138" t="inlineStr">
        <is>
          <t>Holmen skog AB</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18546-2022</t>
        </is>
      </c>
      <c r="B1139" s="1" t="n">
        <v>44686</v>
      </c>
      <c r="C1139" s="1" t="n">
        <v>45345</v>
      </c>
      <c r="D1139" t="inlineStr">
        <is>
          <t>STOCKHOLMS LÄN</t>
        </is>
      </c>
      <c r="E1139" t="inlineStr">
        <is>
          <t>NORRTÄLJE</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18665-2022</t>
        </is>
      </c>
      <c r="B1140" s="1" t="n">
        <v>44687</v>
      </c>
      <c r="C1140" s="1" t="n">
        <v>45345</v>
      </c>
      <c r="D1140" t="inlineStr">
        <is>
          <t>STOCKHOLMS LÄN</t>
        </is>
      </c>
      <c r="E1140" t="inlineStr">
        <is>
          <t>NORRTÄLJE</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18787-2022</t>
        </is>
      </c>
      <c r="B1141" s="1" t="n">
        <v>44687</v>
      </c>
      <c r="C1141" s="1" t="n">
        <v>45345</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18846-2022</t>
        </is>
      </c>
      <c r="B1142" s="1" t="n">
        <v>44690</v>
      </c>
      <c r="C1142" s="1" t="n">
        <v>45345</v>
      </c>
      <c r="D1142" t="inlineStr">
        <is>
          <t>STOCKHOLMS LÄN</t>
        </is>
      </c>
      <c r="E1142" t="inlineStr">
        <is>
          <t>NORRTÄLJE</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18905-2022</t>
        </is>
      </c>
      <c r="B1143" s="1" t="n">
        <v>44690</v>
      </c>
      <c r="C1143" s="1" t="n">
        <v>45345</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18894-2022</t>
        </is>
      </c>
      <c r="B1144" s="1" t="n">
        <v>44690</v>
      </c>
      <c r="C1144" s="1" t="n">
        <v>45345</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19116-2022</t>
        </is>
      </c>
      <c r="B1145" s="1" t="n">
        <v>44691</v>
      </c>
      <c r="C1145" s="1" t="n">
        <v>45345</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19118-2022</t>
        </is>
      </c>
      <c r="B1146" s="1" t="n">
        <v>44691</v>
      </c>
      <c r="C1146" s="1" t="n">
        <v>45345</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19580-2022</t>
        </is>
      </c>
      <c r="B1147" s="1" t="n">
        <v>44693</v>
      </c>
      <c r="C1147" s="1" t="n">
        <v>45345</v>
      </c>
      <c r="D1147" t="inlineStr">
        <is>
          <t>STOCKHOLMS LÄN</t>
        </is>
      </c>
      <c r="E1147" t="inlineStr">
        <is>
          <t>NORRTÄLJE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19729-2022</t>
        </is>
      </c>
      <c r="B1148" s="1" t="n">
        <v>44694</v>
      </c>
      <c r="C1148" s="1" t="n">
        <v>45345</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19728-2022</t>
        </is>
      </c>
      <c r="B1149" s="1" t="n">
        <v>44694</v>
      </c>
      <c r="C1149" s="1" t="n">
        <v>45345</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19982-2022</t>
        </is>
      </c>
      <c r="B1150" s="1" t="n">
        <v>44697</v>
      </c>
      <c r="C1150" s="1" t="n">
        <v>45345</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19983-2022</t>
        </is>
      </c>
      <c r="B1151" s="1" t="n">
        <v>44697</v>
      </c>
      <c r="C1151" s="1" t="n">
        <v>45345</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20121-2022</t>
        </is>
      </c>
      <c r="B1152" s="1" t="n">
        <v>44698</v>
      </c>
      <c r="C1152" s="1" t="n">
        <v>45345</v>
      </c>
      <c r="D1152" t="inlineStr">
        <is>
          <t>STOCKHOLMS LÄN</t>
        </is>
      </c>
      <c r="E1152" t="inlineStr">
        <is>
          <t>NORRTÄLJE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20129-2022</t>
        </is>
      </c>
      <c r="B1153" s="1" t="n">
        <v>44698</v>
      </c>
      <c r="C1153" s="1" t="n">
        <v>45345</v>
      </c>
      <c r="D1153" t="inlineStr">
        <is>
          <t>STOCKHOLMS LÄN</t>
        </is>
      </c>
      <c r="E1153" t="inlineStr">
        <is>
          <t>NORRTÄLJE</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20291-2022</t>
        </is>
      </c>
      <c r="B1154" s="1" t="n">
        <v>44698</v>
      </c>
      <c r="C1154" s="1" t="n">
        <v>45345</v>
      </c>
      <c r="D1154" t="inlineStr">
        <is>
          <t>STOCKHOLMS LÄN</t>
        </is>
      </c>
      <c r="E1154" t="inlineStr">
        <is>
          <t>NORRTÄLJE</t>
        </is>
      </c>
      <c r="F1154" t="inlineStr">
        <is>
          <t>Naturvårdsverket</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20294-2022</t>
        </is>
      </c>
      <c r="B1155" s="1" t="n">
        <v>44698</v>
      </c>
      <c r="C1155" s="1" t="n">
        <v>45345</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20295-2022</t>
        </is>
      </c>
      <c r="B1156" s="1" t="n">
        <v>44698</v>
      </c>
      <c r="C1156" s="1" t="n">
        <v>45345</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20618-2022</t>
        </is>
      </c>
      <c r="B1157" s="1" t="n">
        <v>44700</v>
      </c>
      <c r="C1157" s="1" t="n">
        <v>45345</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21102-2022</t>
        </is>
      </c>
      <c r="B1158" s="1" t="n">
        <v>44704</v>
      </c>
      <c r="C1158" s="1" t="n">
        <v>45345</v>
      </c>
      <c r="D1158" t="inlineStr">
        <is>
          <t>STOCKHOLMS LÄN</t>
        </is>
      </c>
      <c r="E1158" t="inlineStr">
        <is>
          <t>NORRTÄLJE</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21158-2022</t>
        </is>
      </c>
      <c r="B1159" s="1" t="n">
        <v>44704</v>
      </c>
      <c r="C1159" s="1" t="n">
        <v>45345</v>
      </c>
      <c r="D1159" t="inlineStr">
        <is>
          <t>STOCKHOLMS LÄN</t>
        </is>
      </c>
      <c r="E1159" t="inlineStr">
        <is>
          <t>NORRTÄLJE</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21174-2022</t>
        </is>
      </c>
      <c r="B1160" s="1" t="n">
        <v>44704</v>
      </c>
      <c r="C1160" s="1" t="n">
        <v>45345</v>
      </c>
      <c r="D1160" t="inlineStr">
        <is>
          <t>STOCKHOLMS LÄN</t>
        </is>
      </c>
      <c r="E1160" t="inlineStr">
        <is>
          <t>NORRTÄLJE</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21480-2022</t>
        </is>
      </c>
      <c r="B1161" s="1" t="n">
        <v>44704</v>
      </c>
      <c r="C1161" s="1" t="n">
        <v>45345</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21178-2022</t>
        </is>
      </c>
      <c r="B1162" s="1" t="n">
        <v>44704</v>
      </c>
      <c r="C1162" s="1" t="n">
        <v>45345</v>
      </c>
      <c r="D1162" t="inlineStr">
        <is>
          <t>STOCKHOLMS LÄN</t>
        </is>
      </c>
      <c r="E1162" t="inlineStr">
        <is>
          <t>NORRTÄLJE</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21329-2022</t>
        </is>
      </c>
      <c r="B1163" s="1" t="n">
        <v>44705</v>
      </c>
      <c r="C1163" s="1" t="n">
        <v>45345</v>
      </c>
      <c r="D1163" t="inlineStr">
        <is>
          <t>STOCKHOLMS LÄN</t>
        </is>
      </c>
      <c r="E1163" t="inlineStr">
        <is>
          <t>NORRTÄLJE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21739-2022</t>
        </is>
      </c>
      <c r="B1164" s="1" t="n">
        <v>44708</v>
      </c>
      <c r="C1164" s="1" t="n">
        <v>45345</v>
      </c>
      <c r="D1164" t="inlineStr">
        <is>
          <t>STOCKHOLMS LÄN</t>
        </is>
      </c>
      <c r="E1164" t="inlineStr">
        <is>
          <t>NORRTÄLJE</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21723-2022</t>
        </is>
      </c>
      <c r="B1165" s="1" t="n">
        <v>44708</v>
      </c>
      <c r="C1165" s="1" t="n">
        <v>45345</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21726-2022</t>
        </is>
      </c>
      <c r="B1166" s="1" t="n">
        <v>44708</v>
      </c>
      <c r="C1166" s="1" t="n">
        <v>45345</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21803-2022</t>
        </is>
      </c>
      <c r="B1167" s="1" t="n">
        <v>44708</v>
      </c>
      <c r="C1167" s="1" t="n">
        <v>45345</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21970-2022</t>
        </is>
      </c>
      <c r="B1168" s="1" t="n">
        <v>44711</v>
      </c>
      <c r="C1168" s="1" t="n">
        <v>45345</v>
      </c>
      <c r="D1168" t="inlineStr">
        <is>
          <t>STOCKHOLMS LÄN</t>
        </is>
      </c>
      <c r="E1168" t="inlineStr">
        <is>
          <t>NORRTÄLJE</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22072-2022</t>
        </is>
      </c>
      <c r="B1169" s="1" t="n">
        <v>44711</v>
      </c>
      <c r="C1169" s="1" t="n">
        <v>45345</v>
      </c>
      <c r="D1169" t="inlineStr">
        <is>
          <t>STOCKHOLMS LÄN</t>
        </is>
      </c>
      <c r="E1169" t="inlineStr">
        <is>
          <t>NORRTÄLJE</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22071-2022</t>
        </is>
      </c>
      <c r="B1170" s="1" t="n">
        <v>44711</v>
      </c>
      <c r="C1170" s="1" t="n">
        <v>45345</v>
      </c>
      <c r="D1170" t="inlineStr">
        <is>
          <t>STOCKHOLMS LÄN</t>
        </is>
      </c>
      <c r="E1170" t="inlineStr">
        <is>
          <t>NORRTÄLJE</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22269-2022</t>
        </is>
      </c>
      <c r="B1171" s="1" t="n">
        <v>44712</v>
      </c>
      <c r="C1171" s="1" t="n">
        <v>45345</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22316-2022</t>
        </is>
      </c>
      <c r="B1172" s="1" t="n">
        <v>44712</v>
      </c>
      <c r="C1172" s="1" t="n">
        <v>45345</v>
      </c>
      <c r="D1172" t="inlineStr">
        <is>
          <t>STOCKHOLMS LÄN</t>
        </is>
      </c>
      <c r="E1172" t="inlineStr">
        <is>
          <t>NORRTÄLJE</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22503-2022</t>
        </is>
      </c>
      <c r="B1173" s="1" t="n">
        <v>44713</v>
      </c>
      <c r="C1173" s="1" t="n">
        <v>45345</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22697-2022</t>
        </is>
      </c>
      <c r="B1174" s="1" t="n">
        <v>44714</v>
      </c>
      <c r="C1174" s="1" t="n">
        <v>45345</v>
      </c>
      <c r="D1174" t="inlineStr">
        <is>
          <t>STOCKHOLMS LÄN</t>
        </is>
      </c>
      <c r="E1174" t="inlineStr">
        <is>
          <t>NORRTÄLJE</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22628-2022</t>
        </is>
      </c>
      <c r="B1175" s="1" t="n">
        <v>44714</v>
      </c>
      <c r="C1175" s="1" t="n">
        <v>45345</v>
      </c>
      <c r="D1175" t="inlineStr">
        <is>
          <t>STOCKHOLMS LÄN</t>
        </is>
      </c>
      <c r="E1175" t="inlineStr">
        <is>
          <t>NORRTÄLJE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22636-2022</t>
        </is>
      </c>
      <c r="B1176" s="1" t="n">
        <v>44714</v>
      </c>
      <c r="C1176" s="1" t="n">
        <v>45345</v>
      </c>
      <c r="D1176" t="inlineStr">
        <is>
          <t>STOCKHOLMS LÄN</t>
        </is>
      </c>
      <c r="E1176" t="inlineStr">
        <is>
          <t>NORRTÄLJE</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22716-2022</t>
        </is>
      </c>
      <c r="B1177" s="1" t="n">
        <v>44714</v>
      </c>
      <c r="C1177" s="1" t="n">
        <v>45345</v>
      </c>
      <c r="D1177" t="inlineStr">
        <is>
          <t>STOCKHOLMS LÄN</t>
        </is>
      </c>
      <c r="E1177" t="inlineStr">
        <is>
          <t>NORRTÄLJE</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22756-2022</t>
        </is>
      </c>
      <c r="B1178" s="1" t="n">
        <v>44715</v>
      </c>
      <c r="C1178" s="1" t="n">
        <v>45345</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23125-2022</t>
        </is>
      </c>
      <c r="B1179" s="1" t="n">
        <v>44719</v>
      </c>
      <c r="C1179" s="1" t="n">
        <v>45345</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23770-2022</t>
        </is>
      </c>
      <c r="B1180" s="1" t="n">
        <v>44722</v>
      </c>
      <c r="C1180" s="1" t="n">
        <v>45345</v>
      </c>
      <c r="D1180" t="inlineStr">
        <is>
          <t>STOCKHOLMS LÄN</t>
        </is>
      </c>
      <c r="E1180" t="inlineStr">
        <is>
          <t>NORRTÄLJE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23801-2022</t>
        </is>
      </c>
      <c r="B1181" s="1" t="n">
        <v>44722</v>
      </c>
      <c r="C1181" s="1" t="n">
        <v>45345</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24101-2022</t>
        </is>
      </c>
      <c r="B1182" s="1" t="n">
        <v>44725</v>
      </c>
      <c r="C1182" s="1" t="n">
        <v>45345</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24162-2022</t>
        </is>
      </c>
      <c r="B1183" s="1" t="n">
        <v>44725</v>
      </c>
      <c r="C1183" s="1" t="n">
        <v>45345</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24167-2022</t>
        </is>
      </c>
      <c r="B1184" s="1" t="n">
        <v>44725</v>
      </c>
      <c r="C1184" s="1" t="n">
        <v>45345</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24152-2022</t>
        </is>
      </c>
      <c r="B1185" s="1" t="n">
        <v>44725</v>
      </c>
      <c r="C1185" s="1" t="n">
        <v>45345</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24534-2022</t>
        </is>
      </c>
      <c r="B1186" s="1" t="n">
        <v>44727</v>
      </c>
      <c r="C1186" s="1" t="n">
        <v>45345</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24977-2022</t>
        </is>
      </c>
      <c r="B1187" s="1" t="n">
        <v>44728</v>
      </c>
      <c r="C1187" s="1" t="n">
        <v>45345</v>
      </c>
      <c r="D1187" t="inlineStr">
        <is>
          <t>STOCKHOLMS LÄN</t>
        </is>
      </c>
      <c r="E1187" t="inlineStr">
        <is>
          <t>NORRTÄLJE</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25525-2022</t>
        </is>
      </c>
      <c r="B1188" s="1" t="n">
        <v>44732</v>
      </c>
      <c r="C1188" s="1" t="n">
        <v>45345</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25621-2022</t>
        </is>
      </c>
      <c r="B1189" s="1" t="n">
        <v>44732</v>
      </c>
      <c r="C1189" s="1" t="n">
        <v>45345</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25619-2022</t>
        </is>
      </c>
      <c r="B1190" s="1" t="n">
        <v>44732</v>
      </c>
      <c r="C1190" s="1" t="n">
        <v>45345</v>
      </c>
      <c r="D1190" t="inlineStr">
        <is>
          <t>STOCKHOLMS LÄN</t>
        </is>
      </c>
      <c r="E1190" t="inlineStr">
        <is>
          <t>NORRTÄLJE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26328-2022</t>
        </is>
      </c>
      <c r="B1191" s="1" t="n">
        <v>44735</v>
      </c>
      <c r="C1191" s="1" t="n">
        <v>45345</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26335-2022</t>
        </is>
      </c>
      <c r="B1192" s="1" t="n">
        <v>44735</v>
      </c>
      <c r="C1192" s="1" t="n">
        <v>45345</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27538-2022</t>
        </is>
      </c>
      <c r="B1193" s="1" t="n">
        <v>44742</v>
      </c>
      <c r="C1193" s="1" t="n">
        <v>45345</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27715-2022</t>
        </is>
      </c>
      <c r="B1194" s="1" t="n">
        <v>44743</v>
      </c>
      <c r="C1194" s="1" t="n">
        <v>45345</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27827-2022</t>
        </is>
      </c>
      <c r="B1195" s="1" t="n">
        <v>44743</v>
      </c>
      <c r="C1195" s="1" t="n">
        <v>45345</v>
      </c>
      <c r="D1195" t="inlineStr">
        <is>
          <t>STOCKHOLMS LÄN</t>
        </is>
      </c>
      <c r="E1195" t="inlineStr">
        <is>
          <t>NORRTÄLJE</t>
        </is>
      </c>
      <c r="F1195" t="inlineStr">
        <is>
          <t>Holmen skog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27870-2022</t>
        </is>
      </c>
      <c r="B1196" s="1" t="n">
        <v>44743</v>
      </c>
      <c r="C1196" s="1" t="n">
        <v>45345</v>
      </c>
      <c r="D1196" t="inlineStr">
        <is>
          <t>STOCKHOLMS LÄN</t>
        </is>
      </c>
      <c r="E1196" t="inlineStr">
        <is>
          <t>NORRTÄLJE</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27828-2022</t>
        </is>
      </c>
      <c r="B1197" s="1" t="n">
        <v>44743</v>
      </c>
      <c r="C1197" s="1" t="n">
        <v>45345</v>
      </c>
      <c r="D1197" t="inlineStr">
        <is>
          <t>STOCKHOLMS LÄN</t>
        </is>
      </c>
      <c r="E1197" t="inlineStr">
        <is>
          <t>NORRTÄLJE</t>
        </is>
      </c>
      <c r="F1197" t="inlineStr">
        <is>
          <t>Kommuner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27824-2022</t>
        </is>
      </c>
      <c r="B1198" s="1" t="n">
        <v>44743</v>
      </c>
      <c r="C1198" s="1" t="n">
        <v>45345</v>
      </c>
      <c r="D1198" t="inlineStr">
        <is>
          <t>STOCKHOLMS LÄN</t>
        </is>
      </c>
      <c r="E1198" t="inlineStr">
        <is>
          <t>NORRTÄLJE</t>
        </is>
      </c>
      <c r="F1198" t="inlineStr">
        <is>
          <t>Kommuner</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27831-2022</t>
        </is>
      </c>
      <c r="B1199" s="1" t="n">
        <v>44743</v>
      </c>
      <c r="C1199" s="1" t="n">
        <v>45345</v>
      </c>
      <c r="D1199" t="inlineStr">
        <is>
          <t>STOCKHOLMS LÄN</t>
        </is>
      </c>
      <c r="E1199" t="inlineStr">
        <is>
          <t>NORRTÄLJE</t>
        </is>
      </c>
      <c r="F1199" t="inlineStr">
        <is>
          <t>Kommuner</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27885-2022</t>
        </is>
      </c>
      <c r="B1200" s="1" t="n">
        <v>44743</v>
      </c>
      <c r="C1200" s="1" t="n">
        <v>45345</v>
      </c>
      <c r="D1200" t="inlineStr">
        <is>
          <t>STOCKHOLMS LÄN</t>
        </is>
      </c>
      <c r="E1200" t="inlineStr">
        <is>
          <t>NORRTÄLJE</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27867-2022</t>
        </is>
      </c>
      <c r="B1201" s="1" t="n">
        <v>44743</v>
      </c>
      <c r="C1201" s="1" t="n">
        <v>45345</v>
      </c>
      <c r="D1201" t="inlineStr">
        <is>
          <t>STOCKHOLMS LÄN</t>
        </is>
      </c>
      <c r="E1201" t="inlineStr">
        <is>
          <t>NORRTÄLJE</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28042-2022</t>
        </is>
      </c>
      <c r="B1202" s="1" t="n">
        <v>44744</v>
      </c>
      <c r="C1202" s="1" t="n">
        <v>45345</v>
      </c>
      <c r="D1202" t="inlineStr">
        <is>
          <t>STOCKHOLMS LÄN</t>
        </is>
      </c>
      <c r="E1202" t="inlineStr">
        <is>
          <t>NORRTÄLJE</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28100-2022</t>
        </is>
      </c>
      <c r="B1203" s="1" t="n">
        <v>44746</v>
      </c>
      <c r="C1203" s="1" t="n">
        <v>45345</v>
      </c>
      <c r="D1203" t="inlineStr">
        <is>
          <t>STOCKHOLMS LÄN</t>
        </is>
      </c>
      <c r="E1203" t="inlineStr">
        <is>
          <t>NORRTÄLJE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28182-2022</t>
        </is>
      </c>
      <c r="B1204" s="1" t="n">
        <v>44746</v>
      </c>
      <c r="C1204" s="1" t="n">
        <v>45345</v>
      </c>
      <c r="D1204" t="inlineStr">
        <is>
          <t>STOCKHOLMS LÄN</t>
        </is>
      </c>
      <c r="E1204" t="inlineStr">
        <is>
          <t>NORRTÄLJE</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28209-2022</t>
        </is>
      </c>
      <c r="B1205" s="1" t="n">
        <v>44746</v>
      </c>
      <c r="C1205" s="1" t="n">
        <v>45345</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28365-2022</t>
        </is>
      </c>
      <c r="B1206" s="1" t="n">
        <v>44747</v>
      </c>
      <c r="C1206" s="1" t="n">
        <v>45345</v>
      </c>
      <c r="D1206" t="inlineStr">
        <is>
          <t>STOCKHOLMS LÄN</t>
        </is>
      </c>
      <c r="E1206" t="inlineStr">
        <is>
          <t>NORRTÄLJE</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28900-2022</t>
        </is>
      </c>
      <c r="B1207" s="1" t="n">
        <v>44749</v>
      </c>
      <c r="C1207" s="1" t="n">
        <v>45345</v>
      </c>
      <c r="D1207" t="inlineStr">
        <is>
          <t>STOCKHOLMS LÄN</t>
        </is>
      </c>
      <c r="E1207" t="inlineStr">
        <is>
          <t>NORRTÄLJE</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28959-2022</t>
        </is>
      </c>
      <c r="B1208" s="1" t="n">
        <v>44749</v>
      </c>
      <c r="C1208" s="1" t="n">
        <v>45345</v>
      </c>
      <c r="D1208" t="inlineStr">
        <is>
          <t>STOCKHOLMS LÄN</t>
        </is>
      </c>
      <c r="E1208" t="inlineStr">
        <is>
          <t>NORRTÄLJE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29070-2022</t>
        </is>
      </c>
      <c r="B1209" s="1" t="n">
        <v>44750</v>
      </c>
      <c r="C1209" s="1" t="n">
        <v>45345</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29266-2022</t>
        </is>
      </c>
      <c r="B1210" s="1" t="n">
        <v>44750</v>
      </c>
      <c r="C1210" s="1" t="n">
        <v>45345</v>
      </c>
      <c r="D1210" t="inlineStr">
        <is>
          <t>STOCKHOLMS LÄN</t>
        </is>
      </c>
      <c r="E1210" t="inlineStr">
        <is>
          <t>NORRTÄLJE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29278-2022</t>
        </is>
      </c>
      <c r="B1211" s="1" t="n">
        <v>44750</v>
      </c>
      <c r="C1211" s="1" t="n">
        <v>45345</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29362-2022</t>
        </is>
      </c>
      <c r="B1212" s="1" t="n">
        <v>44753</v>
      </c>
      <c r="C1212" s="1" t="n">
        <v>45345</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29395-2022</t>
        </is>
      </c>
      <c r="B1213" s="1" t="n">
        <v>44753</v>
      </c>
      <c r="C1213" s="1" t="n">
        <v>45345</v>
      </c>
      <c r="D1213" t="inlineStr">
        <is>
          <t>STOCKHOLMS LÄN</t>
        </is>
      </c>
      <c r="E1213" t="inlineStr">
        <is>
          <t>NORRTÄLJE</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29868-2022</t>
        </is>
      </c>
      <c r="B1214" s="1" t="n">
        <v>44756</v>
      </c>
      <c r="C1214" s="1" t="n">
        <v>45345</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30151-2022</t>
        </is>
      </c>
      <c r="B1215" s="1" t="n">
        <v>44757</v>
      </c>
      <c r="C1215" s="1" t="n">
        <v>45345</v>
      </c>
      <c r="D1215" t="inlineStr">
        <is>
          <t>STOCKHOLMS LÄN</t>
        </is>
      </c>
      <c r="E1215" t="inlineStr">
        <is>
          <t>NORRTÄLJE</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30164-2022</t>
        </is>
      </c>
      <c r="B1216" s="1" t="n">
        <v>44757</v>
      </c>
      <c r="C1216" s="1" t="n">
        <v>45345</v>
      </c>
      <c r="D1216" t="inlineStr">
        <is>
          <t>STOCKHOLMS LÄN</t>
        </is>
      </c>
      <c r="E1216" t="inlineStr">
        <is>
          <t>NORRTÄLJE</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30171-2022</t>
        </is>
      </c>
      <c r="B1217" s="1" t="n">
        <v>44757</v>
      </c>
      <c r="C1217" s="1" t="n">
        <v>45345</v>
      </c>
      <c r="D1217" t="inlineStr">
        <is>
          <t>STOCKHOLMS LÄN</t>
        </is>
      </c>
      <c r="E1217" t="inlineStr">
        <is>
          <t>NORRTÄLJE</t>
        </is>
      </c>
      <c r="F1217" t="inlineStr">
        <is>
          <t>Holmen skog AB</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30283-2022</t>
        </is>
      </c>
      <c r="B1218" s="1" t="n">
        <v>44760</v>
      </c>
      <c r="C1218" s="1" t="n">
        <v>45345</v>
      </c>
      <c r="D1218" t="inlineStr">
        <is>
          <t>STOCKHOLMS LÄN</t>
        </is>
      </c>
      <c r="E1218" t="inlineStr">
        <is>
          <t>NORRTÄLJE</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30338-2022</t>
        </is>
      </c>
      <c r="B1219" s="1" t="n">
        <v>44760</v>
      </c>
      <c r="C1219" s="1" t="n">
        <v>45345</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30286-2022</t>
        </is>
      </c>
      <c r="B1220" s="1" t="n">
        <v>44760</v>
      </c>
      <c r="C1220" s="1" t="n">
        <v>45345</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30290-2022</t>
        </is>
      </c>
      <c r="B1221" s="1" t="n">
        <v>44760</v>
      </c>
      <c r="C1221" s="1" t="n">
        <v>45345</v>
      </c>
      <c r="D1221" t="inlineStr">
        <is>
          <t>STOCKHOLMS LÄN</t>
        </is>
      </c>
      <c r="E1221" t="inlineStr">
        <is>
          <t>NORRTÄLJE</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30620-2022</t>
        </is>
      </c>
      <c r="B1222" s="1" t="n">
        <v>44763</v>
      </c>
      <c r="C1222" s="1" t="n">
        <v>45345</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30624-2022</t>
        </is>
      </c>
      <c r="B1223" s="1" t="n">
        <v>44763</v>
      </c>
      <c r="C1223" s="1" t="n">
        <v>45345</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30758-2022</t>
        </is>
      </c>
      <c r="B1224" s="1" t="n">
        <v>44764</v>
      </c>
      <c r="C1224" s="1" t="n">
        <v>45345</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30740-2022</t>
        </is>
      </c>
      <c r="B1225" s="1" t="n">
        <v>44764</v>
      </c>
      <c r="C1225" s="1" t="n">
        <v>45345</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30750-2022</t>
        </is>
      </c>
      <c r="B1226" s="1" t="n">
        <v>44764</v>
      </c>
      <c r="C1226" s="1" t="n">
        <v>45345</v>
      </c>
      <c r="D1226" t="inlineStr">
        <is>
          <t>STOCKHOLMS LÄN</t>
        </is>
      </c>
      <c r="E1226" t="inlineStr">
        <is>
          <t>NORRTÄLJE</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30802-2022</t>
        </is>
      </c>
      <c r="B1227" s="1" t="n">
        <v>44764</v>
      </c>
      <c r="C1227" s="1" t="n">
        <v>45345</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30886-2022</t>
        </is>
      </c>
      <c r="B1228" s="1" t="n">
        <v>44767</v>
      </c>
      <c r="C1228" s="1" t="n">
        <v>45345</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31102-2022</t>
        </is>
      </c>
      <c r="B1229" s="1" t="n">
        <v>44769</v>
      </c>
      <c r="C1229" s="1" t="n">
        <v>45345</v>
      </c>
      <c r="D1229" t="inlineStr">
        <is>
          <t>STOCKHOLMS LÄN</t>
        </is>
      </c>
      <c r="E1229" t="inlineStr">
        <is>
          <t>NORRTÄLJE</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31092-2022</t>
        </is>
      </c>
      <c r="B1230" s="1" t="n">
        <v>44769</v>
      </c>
      <c r="C1230" s="1" t="n">
        <v>45345</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31052-2022</t>
        </is>
      </c>
      <c r="B1231" s="1" t="n">
        <v>44769</v>
      </c>
      <c r="C1231" s="1" t="n">
        <v>45345</v>
      </c>
      <c r="D1231" t="inlineStr">
        <is>
          <t>STOCKHOLMS LÄN</t>
        </is>
      </c>
      <c r="E1231" t="inlineStr">
        <is>
          <t>NORRTÄLJE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31105-2022</t>
        </is>
      </c>
      <c r="B1232" s="1" t="n">
        <v>44769</v>
      </c>
      <c r="C1232" s="1" t="n">
        <v>45345</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31107-2022</t>
        </is>
      </c>
      <c r="B1233" s="1" t="n">
        <v>44769</v>
      </c>
      <c r="C1233" s="1" t="n">
        <v>45345</v>
      </c>
      <c r="D1233" t="inlineStr">
        <is>
          <t>STOCKHOLMS LÄN</t>
        </is>
      </c>
      <c r="E1233" t="inlineStr">
        <is>
          <t>NORRTÄLJE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31057-2022</t>
        </is>
      </c>
      <c r="B1234" s="1" t="n">
        <v>44769</v>
      </c>
      <c r="C1234" s="1" t="n">
        <v>45345</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31236-2022</t>
        </is>
      </c>
      <c r="B1235" s="1" t="n">
        <v>44771</v>
      </c>
      <c r="C1235" s="1" t="n">
        <v>45345</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31281-2022</t>
        </is>
      </c>
      <c r="B1236" s="1" t="n">
        <v>44771</v>
      </c>
      <c r="C1236" s="1" t="n">
        <v>45345</v>
      </c>
      <c r="D1236" t="inlineStr">
        <is>
          <t>STOCKHOLMS LÄN</t>
        </is>
      </c>
      <c r="E1236" t="inlineStr">
        <is>
          <t>NORRTÄLJE</t>
        </is>
      </c>
      <c r="F1236" t="inlineStr">
        <is>
          <t>Holmen skog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31283-2022</t>
        </is>
      </c>
      <c r="B1237" s="1" t="n">
        <v>44771</v>
      </c>
      <c r="C1237" s="1" t="n">
        <v>45345</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31559-2022</t>
        </is>
      </c>
      <c r="B1238" s="1" t="n">
        <v>44775</v>
      </c>
      <c r="C1238" s="1" t="n">
        <v>45345</v>
      </c>
      <c r="D1238" t="inlineStr">
        <is>
          <t>STOCKHOLMS LÄN</t>
        </is>
      </c>
      <c r="E1238" t="inlineStr">
        <is>
          <t>NORRTÄLJE</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31807-2022</t>
        </is>
      </c>
      <c r="B1239" s="1" t="n">
        <v>44776</v>
      </c>
      <c r="C1239" s="1" t="n">
        <v>45345</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31938-2022</t>
        </is>
      </c>
      <c r="B1240" s="1" t="n">
        <v>44777</v>
      </c>
      <c r="C1240" s="1" t="n">
        <v>45345</v>
      </c>
      <c r="D1240" t="inlineStr">
        <is>
          <t>STOCKHOLMS LÄN</t>
        </is>
      </c>
      <c r="E1240" t="inlineStr">
        <is>
          <t>NORRTÄLJE</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31936-2022</t>
        </is>
      </c>
      <c r="B1241" s="1" t="n">
        <v>44777</v>
      </c>
      <c r="C1241" s="1" t="n">
        <v>45345</v>
      </c>
      <c r="D1241" t="inlineStr">
        <is>
          <t>STOCKHOLMS LÄN</t>
        </is>
      </c>
      <c r="E1241" t="inlineStr">
        <is>
          <t>NORRTÄLJE</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31924-2022</t>
        </is>
      </c>
      <c r="B1242" s="1" t="n">
        <v>44777</v>
      </c>
      <c r="C1242" s="1" t="n">
        <v>45345</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31939-2022</t>
        </is>
      </c>
      <c r="B1243" s="1" t="n">
        <v>44777</v>
      </c>
      <c r="C1243" s="1" t="n">
        <v>45345</v>
      </c>
      <c r="D1243" t="inlineStr">
        <is>
          <t>STOCKHOLMS LÄN</t>
        </is>
      </c>
      <c r="E1243" t="inlineStr">
        <is>
          <t>NORRTÄLJE</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31926-2022</t>
        </is>
      </c>
      <c r="B1244" s="1" t="n">
        <v>44777</v>
      </c>
      <c r="C1244" s="1" t="n">
        <v>45345</v>
      </c>
      <c r="D1244" t="inlineStr">
        <is>
          <t>STOCKHOLMS LÄN</t>
        </is>
      </c>
      <c r="E1244" t="inlineStr">
        <is>
          <t>NORRTÄLJE</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31934-2022</t>
        </is>
      </c>
      <c r="B1245" s="1" t="n">
        <v>44777</v>
      </c>
      <c r="C1245" s="1" t="n">
        <v>45345</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32103-2022</t>
        </is>
      </c>
      <c r="B1246" s="1" t="n">
        <v>44778</v>
      </c>
      <c r="C1246" s="1" t="n">
        <v>45345</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32111-2022</t>
        </is>
      </c>
      <c r="B1247" s="1" t="n">
        <v>44779</v>
      </c>
      <c r="C1247" s="1" t="n">
        <v>45345</v>
      </c>
      <c r="D1247" t="inlineStr">
        <is>
          <t>STOCKHOLMS LÄN</t>
        </is>
      </c>
      <c r="E1247" t="inlineStr">
        <is>
          <t>NORRTÄLJE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32101-2022</t>
        </is>
      </c>
      <c r="B1248" s="1" t="n">
        <v>44778</v>
      </c>
      <c r="C1248" s="1" t="n">
        <v>45345</v>
      </c>
      <c r="D1248" t="inlineStr">
        <is>
          <t>STOCKHOLMS LÄN</t>
        </is>
      </c>
      <c r="E1248" t="inlineStr">
        <is>
          <t>NORRTÄLJE</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32100-2022</t>
        </is>
      </c>
      <c r="B1249" s="1" t="n">
        <v>44778</v>
      </c>
      <c r="C1249" s="1" t="n">
        <v>45345</v>
      </c>
      <c r="D1249" t="inlineStr">
        <is>
          <t>STOCKHOLMS LÄN</t>
        </is>
      </c>
      <c r="E1249" t="inlineStr">
        <is>
          <t>NORRTÄLJE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32102-2022</t>
        </is>
      </c>
      <c r="B1250" s="1" t="n">
        <v>44778</v>
      </c>
      <c r="C1250" s="1" t="n">
        <v>45345</v>
      </c>
      <c r="D1250" t="inlineStr">
        <is>
          <t>STOCKHOLMS LÄN</t>
        </is>
      </c>
      <c r="E1250" t="inlineStr">
        <is>
          <t>NORRTÄLJE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32514-2022</t>
        </is>
      </c>
      <c r="B1251" s="1" t="n">
        <v>44782</v>
      </c>
      <c r="C1251" s="1" t="n">
        <v>45345</v>
      </c>
      <c r="D1251" t="inlineStr">
        <is>
          <t>STOCKHOLMS LÄN</t>
        </is>
      </c>
      <c r="E1251" t="inlineStr">
        <is>
          <t>NORRTÄLJE</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32705-2022</t>
        </is>
      </c>
      <c r="B1252" s="1" t="n">
        <v>44783</v>
      </c>
      <c r="C1252" s="1" t="n">
        <v>45345</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33055-2022</t>
        </is>
      </c>
      <c r="B1253" s="1" t="n">
        <v>44785</v>
      </c>
      <c r="C1253" s="1" t="n">
        <v>45345</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33149-2022</t>
        </is>
      </c>
      <c r="B1254" s="1" t="n">
        <v>44785</v>
      </c>
      <c r="C1254" s="1" t="n">
        <v>45345</v>
      </c>
      <c r="D1254" t="inlineStr">
        <is>
          <t>STOCKHOLMS LÄN</t>
        </is>
      </c>
      <c r="E1254" t="inlineStr">
        <is>
          <t>NORRTÄLJE</t>
        </is>
      </c>
      <c r="F1254" t="inlineStr">
        <is>
          <t>Holmen skog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33445-2022</t>
        </is>
      </c>
      <c r="B1255" s="1" t="n">
        <v>44788</v>
      </c>
      <c r="C1255" s="1" t="n">
        <v>45345</v>
      </c>
      <c r="D1255" t="inlineStr">
        <is>
          <t>STOCKHOLMS LÄN</t>
        </is>
      </c>
      <c r="E1255" t="inlineStr">
        <is>
          <t>NORRTÄLJE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33793-2022</t>
        </is>
      </c>
      <c r="B1256" s="1" t="n">
        <v>44790</v>
      </c>
      <c r="C1256" s="1" t="n">
        <v>45345</v>
      </c>
      <c r="D1256" t="inlineStr">
        <is>
          <t>STOCKHOLMS LÄN</t>
        </is>
      </c>
      <c r="E1256" t="inlineStr">
        <is>
          <t>NORRTÄLJE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33895-2022</t>
        </is>
      </c>
      <c r="B1257" s="1" t="n">
        <v>44790</v>
      </c>
      <c r="C1257" s="1" t="n">
        <v>45345</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34773-2022</t>
        </is>
      </c>
      <c r="B1258" s="1" t="n">
        <v>44795</v>
      </c>
      <c r="C1258" s="1" t="n">
        <v>45345</v>
      </c>
      <c r="D1258" t="inlineStr">
        <is>
          <t>STOCKHOLMS LÄN</t>
        </is>
      </c>
      <c r="E1258" t="inlineStr">
        <is>
          <t>NORRTÄLJE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35121-2022</t>
        </is>
      </c>
      <c r="B1259" s="1" t="n">
        <v>44797</v>
      </c>
      <c r="C1259" s="1" t="n">
        <v>45345</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35161-2022</t>
        </is>
      </c>
      <c r="B1260" s="1" t="n">
        <v>44797</v>
      </c>
      <c r="C1260" s="1" t="n">
        <v>45345</v>
      </c>
      <c r="D1260" t="inlineStr">
        <is>
          <t>STOCKHOLMS LÄN</t>
        </is>
      </c>
      <c r="E1260" t="inlineStr">
        <is>
          <t>NORRTÄLJE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35156-2022</t>
        </is>
      </c>
      <c r="B1261" s="1" t="n">
        <v>44797</v>
      </c>
      <c r="C1261" s="1" t="n">
        <v>45345</v>
      </c>
      <c r="D1261" t="inlineStr">
        <is>
          <t>STOCKHOLMS LÄN</t>
        </is>
      </c>
      <c r="E1261" t="inlineStr">
        <is>
          <t>NORRTÄLJE</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35708-2022</t>
        </is>
      </c>
      <c r="B1262" s="1" t="n">
        <v>44799</v>
      </c>
      <c r="C1262" s="1" t="n">
        <v>45345</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36269-2022</t>
        </is>
      </c>
      <c r="B1263" s="1" t="n">
        <v>44803</v>
      </c>
      <c r="C1263" s="1" t="n">
        <v>45345</v>
      </c>
      <c r="D1263" t="inlineStr">
        <is>
          <t>STOCKHOLMS LÄN</t>
        </is>
      </c>
      <c r="E1263" t="inlineStr">
        <is>
          <t>NORRTÄLJE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36308-2022</t>
        </is>
      </c>
      <c r="B1264" s="1" t="n">
        <v>44803</v>
      </c>
      <c r="C1264" s="1" t="n">
        <v>45345</v>
      </c>
      <c r="D1264" t="inlineStr">
        <is>
          <t>STOCKHOLMS LÄN</t>
        </is>
      </c>
      <c r="E1264" t="inlineStr">
        <is>
          <t>NORRTÄLJE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36975-2022</t>
        </is>
      </c>
      <c r="B1265" s="1" t="n">
        <v>44806</v>
      </c>
      <c r="C1265" s="1" t="n">
        <v>45345</v>
      </c>
      <c r="D1265" t="inlineStr">
        <is>
          <t>STOCKHOLMS LÄN</t>
        </is>
      </c>
      <c r="E1265" t="inlineStr">
        <is>
          <t>NORRTÄLJE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37550-2022</t>
        </is>
      </c>
      <c r="B1266" s="1" t="n">
        <v>44809</v>
      </c>
      <c r="C1266" s="1" t="n">
        <v>45345</v>
      </c>
      <c r="D1266" t="inlineStr">
        <is>
          <t>STOCKHOLMS LÄN</t>
        </is>
      </c>
      <c r="E1266" t="inlineStr">
        <is>
          <t>NORRTÄLJE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37679-2022</t>
        </is>
      </c>
      <c r="B1267" s="1" t="n">
        <v>44810</v>
      </c>
      <c r="C1267" s="1" t="n">
        <v>45345</v>
      </c>
      <c r="D1267" t="inlineStr">
        <is>
          <t>STOCKHOLMS LÄN</t>
        </is>
      </c>
      <c r="E1267" t="inlineStr">
        <is>
          <t>NORRTÄLJE</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37815-2022</t>
        </is>
      </c>
      <c r="B1268" s="1" t="n">
        <v>44810</v>
      </c>
      <c r="C1268" s="1" t="n">
        <v>45345</v>
      </c>
      <c r="D1268" t="inlineStr">
        <is>
          <t>STOCKHOLMS LÄN</t>
        </is>
      </c>
      <c r="E1268" t="inlineStr">
        <is>
          <t>NORRTÄLJE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38449-2022</t>
        </is>
      </c>
      <c r="B1269" s="1" t="n">
        <v>44813</v>
      </c>
      <c r="C1269" s="1" t="n">
        <v>45345</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38612-2022</t>
        </is>
      </c>
      <c r="B1270" s="1" t="n">
        <v>44813</v>
      </c>
      <c r="C1270" s="1" t="n">
        <v>45345</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38590-2022</t>
        </is>
      </c>
      <c r="B1271" s="1" t="n">
        <v>44813</v>
      </c>
      <c r="C1271" s="1" t="n">
        <v>45345</v>
      </c>
      <c r="D1271" t="inlineStr">
        <is>
          <t>STOCKHOLMS LÄN</t>
        </is>
      </c>
      <c r="E1271" t="inlineStr">
        <is>
          <t>NORRTÄLJE</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38610-2022</t>
        </is>
      </c>
      <c r="B1272" s="1" t="n">
        <v>44813</v>
      </c>
      <c r="C1272" s="1" t="n">
        <v>45345</v>
      </c>
      <c r="D1272" t="inlineStr">
        <is>
          <t>STOCKHOLMS LÄN</t>
        </is>
      </c>
      <c r="E1272" t="inlineStr">
        <is>
          <t>NORRTÄLJE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38720-2022</t>
        </is>
      </c>
      <c r="B1273" s="1" t="n">
        <v>44815</v>
      </c>
      <c r="C1273" s="1" t="n">
        <v>45345</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38721-2022</t>
        </is>
      </c>
      <c r="B1274" s="1" t="n">
        <v>44815</v>
      </c>
      <c r="C1274" s="1" t="n">
        <v>45345</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38927-2022</t>
        </is>
      </c>
      <c r="B1275" s="1" t="n">
        <v>44816</v>
      </c>
      <c r="C1275" s="1" t="n">
        <v>45345</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38759-2022</t>
        </is>
      </c>
      <c r="B1276" s="1" t="n">
        <v>44816</v>
      </c>
      <c r="C1276" s="1" t="n">
        <v>45345</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38990-2022</t>
        </is>
      </c>
      <c r="B1277" s="1" t="n">
        <v>44816</v>
      </c>
      <c r="C1277" s="1" t="n">
        <v>45345</v>
      </c>
      <c r="D1277" t="inlineStr">
        <is>
          <t>STOCKHOLMS LÄN</t>
        </is>
      </c>
      <c r="E1277" t="inlineStr">
        <is>
          <t>NORRTÄLJE</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38991-2022</t>
        </is>
      </c>
      <c r="B1278" s="1" t="n">
        <v>44816</v>
      </c>
      <c r="C1278" s="1" t="n">
        <v>45345</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38985-2022</t>
        </is>
      </c>
      <c r="B1279" s="1" t="n">
        <v>44816</v>
      </c>
      <c r="C1279" s="1" t="n">
        <v>45345</v>
      </c>
      <c r="D1279" t="inlineStr">
        <is>
          <t>STOCKHOLMS LÄN</t>
        </is>
      </c>
      <c r="E1279" t="inlineStr">
        <is>
          <t>NORRTÄLJE</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38992-2022</t>
        </is>
      </c>
      <c r="B1280" s="1" t="n">
        <v>44817</v>
      </c>
      <c r="C1280" s="1" t="n">
        <v>45345</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39213-2022</t>
        </is>
      </c>
      <c r="B1281" s="1" t="n">
        <v>44817</v>
      </c>
      <c r="C1281" s="1" t="n">
        <v>45345</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39319-2022</t>
        </is>
      </c>
      <c r="B1282" s="1" t="n">
        <v>44817</v>
      </c>
      <c r="C1282" s="1" t="n">
        <v>45345</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39318-2022</t>
        </is>
      </c>
      <c r="B1283" s="1" t="n">
        <v>44817</v>
      </c>
      <c r="C1283" s="1" t="n">
        <v>45345</v>
      </c>
      <c r="D1283" t="inlineStr">
        <is>
          <t>STOCKHOLMS LÄN</t>
        </is>
      </c>
      <c r="E1283" t="inlineStr">
        <is>
          <t>NORRTÄLJE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39854-2022</t>
        </is>
      </c>
      <c r="B1284" s="1" t="n">
        <v>44819</v>
      </c>
      <c r="C1284" s="1" t="n">
        <v>45345</v>
      </c>
      <c r="D1284" t="inlineStr">
        <is>
          <t>STOCKHOLMS LÄN</t>
        </is>
      </c>
      <c r="E1284" t="inlineStr">
        <is>
          <t>NORRTÄLJE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39869-2022</t>
        </is>
      </c>
      <c r="B1285" s="1" t="n">
        <v>44819</v>
      </c>
      <c r="C1285" s="1" t="n">
        <v>45345</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39867-2022</t>
        </is>
      </c>
      <c r="B1286" s="1" t="n">
        <v>44819</v>
      </c>
      <c r="C1286" s="1" t="n">
        <v>45345</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40504-2022</t>
        </is>
      </c>
      <c r="B1287" s="1" t="n">
        <v>44823</v>
      </c>
      <c r="C1287" s="1" t="n">
        <v>45345</v>
      </c>
      <c r="D1287" t="inlineStr">
        <is>
          <t>STOCKHOLMS LÄN</t>
        </is>
      </c>
      <c r="E1287" t="inlineStr">
        <is>
          <t>NORRTÄLJE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40503-2022</t>
        </is>
      </c>
      <c r="B1288" s="1" t="n">
        <v>44823</v>
      </c>
      <c r="C1288" s="1" t="n">
        <v>45345</v>
      </c>
      <c r="D1288" t="inlineStr">
        <is>
          <t>STOCKHOLMS LÄN</t>
        </is>
      </c>
      <c r="E1288" t="inlineStr">
        <is>
          <t>NORRTÄLJE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40656-2022</t>
        </is>
      </c>
      <c r="B1289" s="1" t="n">
        <v>44824</v>
      </c>
      <c r="C1289" s="1" t="n">
        <v>45345</v>
      </c>
      <c r="D1289" t="inlineStr">
        <is>
          <t>STOCKHOLMS LÄN</t>
        </is>
      </c>
      <c r="E1289" t="inlineStr">
        <is>
          <t>NORRTÄLJE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40751-2022</t>
        </is>
      </c>
      <c r="B1290" s="1" t="n">
        <v>44824</v>
      </c>
      <c r="C1290" s="1" t="n">
        <v>45345</v>
      </c>
      <c r="D1290" t="inlineStr">
        <is>
          <t>STOCKHOLMS LÄN</t>
        </is>
      </c>
      <c r="E1290" t="inlineStr">
        <is>
          <t>NORRTÄLJE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41398-2022</t>
        </is>
      </c>
      <c r="B1291" s="1" t="n">
        <v>44826</v>
      </c>
      <c r="C1291" s="1" t="n">
        <v>45345</v>
      </c>
      <c r="D1291" t="inlineStr">
        <is>
          <t>STOCKHOLMS LÄN</t>
        </is>
      </c>
      <c r="E1291" t="inlineStr">
        <is>
          <t>NORRTÄLJE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41320-2022</t>
        </is>
      </c>
      <c r="B1292" s="1" t="n">
        <v>44826</v>
      </c>
      <c r="C1292" s="1" t="n">
        <v>45345</v>
      </c>
      <c r="D1292" t="inlineStr">
        <is>
          <t>STOCKHOLMS LÄN</t>
        </is>
      </c>
      <c r="E1292" t="inlineStr">
        <is>
          <t>NORRTÄLJE</t>
        </is>
      </c>
      <c r="F1292" t="inlineStr">
        <is>
          <t>Holmen skog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42087-2022</t>
        </is>
      </c>
      <c r="B1293" s="1" t="n">
        <v>44830</v>
      </c>
      <c r="C1293" s="1" t="n">
        <v>45345</v>
      </c>
      <c r="D1293" t="inlineStr">
        <is>
          <t>STOCKHOLMS LÄN</t>
        </is>
      </c>
      <c r="E1293" t="inlineStr">
        <is>
          <t>NORRTÄLJE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42112-2022</t>
        </is>
      </c>
      <c r="B1294" s="1" t="n">
        <v>44830</v>
      </c>
      <c r="C1294" s="1" t="n">
        <v>45345</v>
      </c>
      <c r="D1294" t="inlineStr">
        <is>
          <t>STOCKHOLMS LÄN</t>
        </is>
      </c>
      <c r="E1294" t="inlineStr">
        <is>
          <t>NORRTÄLJE</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42126-2022</t>
        </is>
      </c>
      <c r="B1295" s="1" t="n">
        <v>44830</v>
      </c>
      <c r="C1295" s="1" t="n">
        <v>45345</v>
      </c>
      <c r="D1295" t="inlineStr">
        <is>
          <t>STOCKHOLMS LÄN</t>
        </is>
      </c>
      <c r="E1295" t="inlineStr">
        <is>
          <t>NORRTÄLJE</t>
        </is>
      </c>
      <c r="F1295" t="inlineStr">
        <is>
          <t>Holmen skog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42867-2022</t>
        </is>
      </c>
      <c r="B1296" s="1" t="n">
        <v>44832</v>
      </c>
      <c r="C1296" s="1" t="n">
        <v>45345</v>
      </c>
      <c r="D1296" t="inlineStr">
        <is>
          <t>STOCKHOLMS LÄN</t>
        </is>
      </c>
      <c r="E1296" t="inlineStr">
        <is>
          <t>NORRTÄLJE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42955-2022</t>
        </is>
      </c>
      <c r="B1297" s="1" t="n">
        <v>44833</v>
      </c>
      <c r="C1297" s="1" t="n">
        <v>45345</v>
      </c>
      <c r="D1297" t="inlineStr">
        <is>
          <t>STOCKHOLMS LÄN</t>
        </is>
      </c>
      <c r="E1297" t="inlineStr">
        <is>
          <t>NORRTÄLJE</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43036-2022</t>
        </is>
      </c>
      <c r="B1298" s="1" t="n">
        <v>44833</v>
      </c>
      <c r="C1298" s="1" t="n">
        <v>45345</v>
      </c>
      <c r="D1298" t="inlineStr">
        <is>
          <t>STOCKHOLMS LÄN</t>
        </is>
      </c>
      <c r="E1298" t="inlineStr">
        <is>
          <t>NORRTÄLJE</t>
        </is>
      </c>
      <c r="F1298" t="inlineStr">
        <is>
          <t>Kyrkan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43212-2022</t>
        </is>
      </c>
      <c r="B1299" s="1" t="n">
        <v>44834</v>
      </c>
      <c r="C1299" s="1" t="n">
        <v>45345</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43374-2022</t>
        </is>
      </c>
      <c r="B1300" s="1" t="n">
        <v>44834</v>
      </c>
      <c r="C1300" s="1" t="n">
        <v>45345</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43972-2022</t>
        </is>
      </c>
      <c r="B1301" s="1" t="n">
        <v>44838</v>
      </c>
      <c r="C1301" s="1" t="n">
        <v>45345</v>
      </c>
      <c r="D1301" t="inlineStr">
        <is>
          <t>STOCKHOLMS LÄN</t>
        </is>
      </c>
      <c r="E1301" t="inlineStr">
        <is>
          <t>NORRTÄLJE</t>
        </is>
      </c>
      <c r="F1301" t="inlineStr">
        <is>
          <t>Holmen skog AB</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44349-2022</t>
        </is>
      </c>
      <c r="B1302" s="1" t="n">
        <v>44839</v>
      </c>
      <c r="C1302" s="1" t="n">
        <v>45345</v>
      </c>
      <c r="D1302" t="inlineStr">
        <is>
          <t>STOCKHOLMS LÄN</t>
        </is>
      </c>
      <c r="E1302" t="inlineStr">
        <is>
          <t>NORRTÄLJE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45255-2022</t>
        </is>
      </c>
      <c r="B1303" s="1" t="n">
        <v>44840</v>
      </c>
      <c r="C1303" s="1" t="n">
        <v>45345</v>
      </c>
      <c r="D1303" t="inlineStr">
        <is>
          <t>STOCKHOLMS LÄN</t>
        </is>
      </c>
      <c r="E1303" t="inlineStr">
        <is>
          <t>NORRTÄLJE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44917-2022</t>
        </is>
      </c>
      <c r="B1304" s="1" t="n">
        <v>44841</v>
      </c>
      <c r="C1304" s="1" t="n">
        <v>45345</v>
      </c>
      <c r="D1304" t="inlineStr">
        <is>
          <t>STOCKHOLMS LÄN</t>
        </is>
      </c>
      <c r="E1304" t="inlineStr">
        <is>
          <t>NORRTÄLJE</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45541-2022</t>
        </is>
      </c>
      <c r="B1305" s="1" t="n">
        <v>44845</v>
      </c>
      <c r="C1305" s="1" t="n">
        <v>45345</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45539-2022</t>
        </is>
      </c>
      <c r="B1306" s="1" t="n">
        <v>44845</v>
      </c>
      <c r="C1306" s="1" t="n">
        <v>45345</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45549-2022</t>
        </is>
      </c>
      <c r="B1307" s="1" t="n">
        <v>44845</v>
      </c>
      <c r="C1307" s="1" t="n">
        <v>45345</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46914-2022</t>
        </is>
      </c>
      <c r="B1308" s="1" t="n">
        <v>44851</v>
      </c>
      <c r="C1308" s="1" t="n">
        <v>45345</v>
      </c>
      <c r="D1308" t="inlineStr">
        <is>
          <t>STOCKHOLMS LÄN</t>
        </is>
      </c>
      <c r="E1308" t="inlineStr">
        <is>
          <t>NORRTÄLJE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47076-2022</t>
        </is>
      </c>
      <c r="B1309" s="1" t="n">
        <v>44852</v>
      </c>
      <c r="C1309" s="1" t="n">
        <v>45345</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47079-2022</t>
        </is>
      </c>
      <c r="B1310" s="1" t="n">
        <v>44852</v>
      </c>
      <c r="C1310" s="1" t="n">
        <v>45345</v>
      </c>
      <c r="D1310" t="inlineStr">
        <is>
          <t>STOCKHOLMS LÄN</t>
        </is>
      </c>
      <c r="E1310" t="inlineStr">
        <is>
          <t>NORRTÄLJE</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47626-2022</t>
        </is>
      </c>
      <c r="B1311" s="1" t="n">
        <v>44854</v>
      </c>
      <c r="C1311" s="1" t="n">
        <v>45345</v>
      </c>
      <c r="D1311" t="inlineStr">
        <is>
          <t>STOCKHOLMS LÄN</t>
        </is>
      </c>
      <c r="E1311" t="inlineStr">
        <is>
          <t>NORRTÄLJE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48316-2022</t>
        </is>
      </c>
      <c r="B1312" s="1" t="n">
        <v>44854</v>
      </c>
      <c r="C1312" s="1" t="n">
        <v>45345</v>
      </c>
      <c r="D1312" t="inlineStr">
        <is>
          <t>STOCKHOLMS LÄN</t>
        </is>
      </c>
      <c r="E1312" t="inlineStr">
        <is>
          <t>NORRTÄLJE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47929-2022</t>
        </is>
      </c>
      <c r="B1313" s="1" t="n">
        <v>44855</v>
      </c>
      <c r="C1313" s="1" t="n">
        <v>45345</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48490-2022</t>
        </is>
      </c>
      <c r="B1314" s="1" t="n">
        <v>44858</v>
      </c>
      <c r="C1314" s="1" t="n">
        <v>45345</v>
      </c>
      <c r="D1314" t="inlineStr">
        <is>
          <t>STOCKHOLMS LÄN</t>
        </is>
      </c>
      <c r="E1314" t="inlineStr">
        <is>
          <t>NORRTÄLJE</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48161-2022</t>
        </is>
      </c>
      <c r="B1315" s="1" t="n">
        <v>44858</v>
      </c>
      <c r="C1315" s="1" t="n">
        <v>45345</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48453-2022</t>
        </is>
      </c>
      <c r="B1316" s="1" t="n">
        <v>44858</v>
      </c>
      <c r="C1316" s="1" t="n">
        <v>45345</v>
      </c>
      <c r="D1316" t="inlineStr">
        <is>
          <t>STOCKHOLMS LÄN</t>
        </is>
      </c>
      <c r="E1316" t="inlineStr">
        <is>
          <t>NORRTÄLJE</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48492-2022</t>
        </is>
      </c>
      <c r="B1317" s="1" t="n">
        <v>44858</v>
      </c>
      <c r="C1317" s="1" t="n">
        <v>45345</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50065-2022</t>
        </is>
      </c>
      <c r="B1318" s="1" t="n">
        <v>44865</v>
      </c>
      <c r="C1318" s="1" t="n">
        <v>45345</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50469-2022</t>
        </is>
      </c>
      <c r="B1319" s="1" t="n">
        <v>44866</v>
      </c>
      <c r="C1319" s="1" t="n">
        <v>45345</v>
      </c>
      <c r="D1319" t="inlineStr">
        <is>
          <t>STOCKHOLMS LÄN</t>
        </is>
      </c>
      <c r="E1319" t="inlineStr">
        <is>
          <t>NORRTÄLJE</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50481-2022</t>
        </is>
      </c>
      <c r="B1320" s="1" t="n">
        <v>44866</v>
      </c>
      <c r="C1320" s="1" t="n">
        <v>45345</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50465-2022</t>
        </is>
      </c>
      <c r="B1321" s="1" t="n">
        <v>44866</v>
      </c>
      <c r="C1321" s="1" t="n">
        <v>45345</v>
      </c>
      <c r="D1321" t="inlineStr">
        <is>
          <t>STOCKHOLMS LÄN</t>
        </is>
      </c>
      <c r="E1321" t="inlineStr">
        <is>
          <t>NORRTÄLJE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50488-2022</t>
        </is>
      </c>
      <c r="B1322" s="1" t="n">
        <v>44866</v>
      </c>
      <c r="C1322" s="1" t="n">
        <v>45345</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50563-2022</t>
        </is>
      </c>
      <c r="B1323" s="1" t="n">
        <v>44866</v>
      </c>
      <c r="C1323" s="1" t="n">
        <v>45345</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50569-2022</t>
        </is>
      </c>
      <c r="B1324" s="1" t="n">
        <v>44866</v>
      </c>
      <c r="C1324" s="1" t="n">
        <v>45345</v>
      </c>
      <c r="D1324" t="inlineStr">
        <is>
          <t>STOCKHOLMS LÄN</t>
        </is>
      </c>
      <c r="E1324" t="inlineStr">
        <is>
          <t>NORRTÄLJE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50484-2022</t>
        </is>
      </c>
      <c r="B1325" s="1" t="n">
        <v>44866</v>
      </c>
      <c r="C1325" s="1" t="n">
        <v>45345</v>
      </c>
      <c r="D1325" t="inlineStr">
        <is>
          <t>STOCKHOLMS LÄN</t>
        </is>
      </c>
      <c r="E1325" t="inlineStr">
        <is>
          <t>NORRTÄLJE</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50970-2022</t>
        </is>
      </c>
      <c r="B1326" s="1" t="n">
        <v>44867</v>
      </c>
      <c r="C1326" s="1" t="n">
        <v>45345</v>
      </c>
      <c r="D1326" t="inlineStr">
        <is>
          <t>STOCKHOLMS LÄN</t>
        </is>
      </c>
      <c r="E1326" t="inlineStr">
        <is>
          <t>NORRTÄLJE</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50983-2022</t>
        </is>
      </c>
      <c r="B1327" s="1" t="n">
        <v>44867</v>
      </c>
      <c r="C1327" s="1" t="n">
        <v>45345</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50907-2022</t>
        </is>
      </c>
      <c r="B1328" s="1" t="n">
        <v>44867</v>
      </c>
      <c r="C1328" s="1" t="n">
        <v>45345</v>
      </c>
      <c r="D1328" t="inlineStr">
        <is>
          <t>STOCKHOLMS LÄN</t>
        </is>
      </c>
      <c r="E1328" t="inlineStr">
        <is>
          <t>NORRTÄLJE</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51653-2022</t>
        </is>
      </c>
      <c r="B1329" s="1" t="n">
        <v>44867</v>
      </c>
      <c r="C1329" s="1" t="n">
        <v>45345</v>
      </c>
      <c r="D1329" t="inlineStr">
        <is>
          <t>STOCKHOLMS LÄN</t>
        </is>
      </c>
      <c r="E1329" t="inlineStr">
        <is>
          <t>NORRTÄLJE</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51116-2022</t>
        </is>
      </c>
      <c r="B1330" s="1" t="n">
        <v>44868</v>
      </c>
      <c r="C1330" s="1" t="n">
        <v>45345</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51265-2022</t>
        </is>
      </c>
      <c r="B1331" s="1" t="n">
        <v>44868</v>
      </c>
      <c r="C1331" s="1" t="n">
        <v>45345</v>
      </c>
      <c r="D1331" t="inlineStr">
        <is>
          <t>STOCKHOLMS LÄN</t>
        </is>
      </c>
      <c r="E1331" t="inlineStr">
        <is>
          <t>NORRTÄLJE</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52139-2022</t>
        </is>
      </c>
      <c r="B1332" s="1" t="n">
        <v>44868</v>
      </c>
      <c r="C1332" s="1" t="n">
        <v>45345</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52133-2022</t>
        </is>
      </c>
      <c r="B1333" s="1" t="n">
        <v>44868</v>
      </c>
      <c r="C1333" s="1" t="n">
        <v>45345</v>
      </c>
      <c r="D1333" t="inlineStr">
        <is>
          <t>STOCKHOLMS LÄN</t>
        </is>
      </c>
      <c r="E1333" t="inlineStr">
        <is>
          <t>NORRTÄLJE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52260-2022</t>
        </is>
      </c>
      <c r="B1334" s="1" t="n">
        <v>44869</v>
      </c>
      <c r="C1334" s="1" t="n">
        <v>45345</v>
      </c>
      <c r="D1334" t="inlineStr">
        <is>
          <t>STOCKHOLMS LÄN</t>
        </is>
      </c>
      <c r="E1334" t="inlineStr">
        <is>
          <t>NORRTÄLJE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51984-2022</t>
        </is>
      </c>
      <c r="B1335" s="1" t="n">
        <v>44872</v>
      </c>
      <c r="C1335" s="1" t="n">
        <v>45345</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52322-2022</t>
        </is>
      </c>
      <c r="B1336" s="1" t="n">
        <v>44873</v>
      </c>
      <c r="C1336" s="1" t="n">
        <v>45345</v>
      </c>
      <c r="D1336" t="inlineStr">
        <is>
          <t>STOCKHOLMS LÄN</t>
        </is>
      </c>
      <c r="E1336" t="inlineStr">
        <is>
          <t>NORRTÄLJE</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53461-2022</t>
        </is>
      </c>
      <c r="B1337" s="1" t="n">
        <v>44879</v>
      </c>
      <c r="C1337" s="1" t="n">
        <v>45345</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53600-2022</t>
        </is>
      </c>
      <c r="B1338" s="1" t="n">
        <v>44879</v>
      </c>
      <c r="C1338" s="1" t="n">
        <v>45345</v>
      </c>
      <c r="D1338" t="inlineStr">
        <is>
          <t>STOCKHOLMS LÄN</t>
        </is>
      </c>
      <c r="E1338" t="inlineStr">
        <is>
          <t>NORRTÄLJE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53459-2022</t>
        </is>
      </c>
      <c r="B1339" s="1" t="n">
        <v>44879</v>
      </c>
      <c r="C1339" s="1" t="n">
        <v>45345</v>
      </c>
      <c r="D1339" t="inlineStr">
        <is>
          <t>STOCKHOLMS LÄN</t>
        </is>
      </c>
      <c r="E1339" t="inlineStr">
        <is>
          <t>NORRTÄLJE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53884-2022</t>
        </is>
      </c>
      <c r="B1340" s="1" t="n">
        <v>44880</v>
      </c>
      <c r="C1340" s="1" t="n">
        <v>45345</v>
      </c>
      <c r="D1340" t="inlineStr">
        <is>
          <t>STOCKHOLMS LÄN</t>
        </is>
      </c>
      <c r="E1340" t="inlineStr">
        <is>
          <t>NORRTÄLJE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54169-2022</t>
        </is>
      </c>
      <c r="B1341" s="1" t="n">
        <v>44881</v>
      </c>
      <c r="C1341" s="1" t="n">
        <v>45345</v>
      </c>
      <c r="D1341" t="inlineStr">
        <is>
          <t>STOCKHOLMS LÄN</t>
        </is>
      </c>
      <c r="E1341" t="inlineStr">
        <is>
          <t>NORRTÄLJE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54175-2022</t>
        </is>
      </c>
      <c r="B1342" s="1" t="n">
        <v>44881</v>
      </c>
      <c r="C1342" s="1" t="n">
        <v>45345</v>
      </c>
      <c r="D1342" t="inlineStr">
        <is>
          <t>STOCKHOLMS LÄN</t>
        </is>
      </c>
      <c r="E1342" t="inlineStr">
        <is>
          <t>NORRTÄLJE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54355-2022</t>
        </is>
      </c>
      <c r="B1343" s="1" t="n">
        <v>44882</v>
      </c>
      <c r="C1343" s="1" t="n">
        <v>45345</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54427-2022</t>
        </is>
      </c>
      <c r="B1344" s="1" t="n">
        <v>44882</v>
      </c>
      <c r="C1344" s="1" t="n">
        <v>45345</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54340-2022</t>
        </is>
      </c>
      <c r="B1345" s="1" t="n">
        <v>44882</v>
      </c>
      <c r="C1345" s="1" t="n">
        <v>45345</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54358-2022</t>
        </is>
      </c>
      <c r="B1346" s="1" t="n">
        <v>44882</v>
      </c>
      <c r="C1346" s="1" t="n">
        <v>45345</v>
      </c>
      <c r="D1346" t="inlineStr">
        <is>
          <t>STOCKHOLMS LÄN</t>
        </is>
      </c>
      <c r="E1346" t="inlineStr">
        <is>
          <t>NORRTÄLJE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54354-2022</t>
        </is>
      </c>
      <c r="B1347" s="1" t="n">
        <v>44882</v>
      </c>
      <c r="C1347" s="1" t="n">
        <v>45345</v>
      </c>
      <c r="D1347" t="inlineStr">
        <is>
          <t>STOCKHOLMS LÄN</t>
        </is>
      </c>
      <c r="E1347" t="inlineStr">
        <is>
          <t>NORRTÄLJE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55047-2022</t>
        </is>
      </c>
      <c r="B1348" s="1" t="n">
        <v>44886</v>
      </c>
      <c r="C1348" s="1" t="n">
        <v>45345</v>
      </c>
      <c r="D1348" t="inlineStr">
        <is>
          <t>STOCKHOLMS LÄN</t>
        </is>
      </c>
      <c r="E1348" t="inlineStr">
        <is>
          <t>NORRTÄLJE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55696-2022</t>
        </is>
      </c>
      <c r="B1349" s="1" t="n">
        <v>44888</v>
      </c>
      <c r="C1349" s="1" t="n">
        <v>45345</v>
      </c>
      <c r="D1349" t="inlineStr">
        <is>
          <t>STOCKHOLMS LÄN</t>
        </is>
      </c>
      <c r="E1349" t="inlineStr">
        <is>
          <t>NORRTÄLJE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57037-2022</t>
        </is>
      </c>
      <c r="B1350" s="1" t="n">
        <v>44895</v>
      </c>
      <c r="C1350" s="1" t="n">
        <v>45345</v>
      </c>
      <c r="D1350" t="inlineStr">
        <is>
          <t>STOCKHOLMS LÄN</t>
        </is>
      </c>
      <c r="E1350" t="inlineStr">
        <is>
          <t>NORRTÄLJE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59767-2022</t>
        </is>
      </c>
      <c r="B1351" s="1" t="n">
        <v>44900</v>
      </c>
      <c r="C1351" s="1" t="n">
        <v>45345</v>
      </c>
      <c r="D1351" t="inlineStr">
        <is>
          <t>STOCKHOLMS LÄN</t>
        </is>
      </c>
      <c r="E1351" t="inlineStr">
        <is>
          <t>NORRTÄLJE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58302-2022</t>
        </is>
      </c>
      <c r="B1352" s="1" t="n">
        <v>44901</v>
      </c>
      <c r="C1352" s="1" t="n">
        <v>45345</v>
      </c>
      <c r="D1352" t="inlineStr">
        <is>
          <t>STOCKHOLMS LÄN</t>
        </is>
      </c>
      <c r="E1352" t="inlineStr">
        <is>
          <t>NORRTÄLJE</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58492-2022</t>
        </is>
      </c>
      <c r="B1353" s="1" t="n">
        <v>44902</v>
      </c>
      <c r="C1353" s="1" t="n">
        <v>45345</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58543-2022</t>
        </is>
      </c>
      <c r="B1354" s="1" t="n">
        <v>44902</v>
      </c>
      <c r="C1354" s="1" t="n">
        <v>45345</v>
      </c>
      <c r="D1354" t="inlineStr">
        <is>
          <t>STOCKHOLMS LÄN</t>
        </is>
      </c>
      <c r="E1354" t="inlineStr">
        <is>
          <t>NORRTÄLJE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58993-2022</t>
        </is>
      </c>
      <c r="B1355" s="1" t="n">
        <v>44903</v>
      </c>
      <c r="C1355" s="1" t="n">
        <v>45345</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60525-2022</t>
        </is>
      </c>
      <c r="B1356" s="1" t="n">
        <v>44904</v>
      </c>
      <c r="C1356" s="1" t="n">
        <v>45345</v>
      </c>
      <c r="D1356" t="inlineStr">
        <is>
          <t>STOCKHOLMS LÄN</t>
        </is>
      </c>
      <c r="E1356" t="inlineStr">
        <is>
          <t>NORRTÄLJE</t>
        </is>
      </c>
      <c r="G1356" t="n">
        <v>13.4</v>
      </c>
      <c r="H1356" t="n">
        <v>0</v>
      </c>
      <c r="I1356" t="n">
        <v>0</v>
      </c>
      <c r="J1356" t="n">
        <v>0</v>
      </c>
      <c r="K1356" t="n">
        <v>0</v>
      </c>
      <c r="L1356" t="n">
        <v>0</v>
      </c>
      <c r="M1356" t="n">
        <v>0</v>
      </c>
      <c r="N1356" t="n">
        <v>0</v>
      </c>
      <c r="O1356" t="n">
        <v>0</v>
      </c>
      <c r="P1356" t="n">
        <v>0</v>
      </c>
      <c r="Q1356" t="n">
        <v>0</v>
      </c>
      <c r="R1356" s="2" t="inlineStr"/>
    </row>
    <row r="1357" ht="15" customHeight="1">
      <c r="A1357" t="inlineStr">
        <is>
          <t>A 59717-2022</t>
        </is>
      </c>
      <c r="B1357" s="1" t="n">
        <v>44908</v>
      </c>
      <c r="C1357" s="1" t="n">
        <v>45345</v>
      </c>
      <c r="D1357" t="inlineStr">
        <is>
          <t>STOCKHOLMS LÄN</t>
        </is>
      </c>
      <c r="E1357" t="inlineStr">
        <is>
          <t>NORRTÄLJE</t>
        </is>
      </c>
      <c r="F1357" t="inlineStr">
        <is>
          <t>Holmen skog AB</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59893-2022</t>
        </is>
      </c>
      <c r="B1358" s="1" t="n">
        <v>44908</v>
      </c>
      <c r="C1358" s="1" t="n">
        <v>45345</v>
      </c>
      <c r="D1358" t="inlineStr">
        <is>
          <t>STOCKHOLMS LÄN</t>
        </is>
      </c>
      <c r="E1358" t="inlineStr">
        <is>
          <t>NORRTÄLJE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59892-2022</t>
        </is>
      </c>
      <c r="B1359" s="1" t="n">
        <v>44908</v>
      </c>
      <c r="C1359" s="1" t="n">
        <v>45345</v>
      </c>
      <c r="D1359" t="inlineStr">
        <is>
          <t>STOCKHOLMS LÄN</t>
        </is>
      </c>
      <c r="E1359" t="inlineStr">
        <is>
          <t>NORRTÄLJE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60840-2022</t>
        </is>
      </c>
      <c r="B1360" s="1" t="n">
        <v>44914</v>
      </c>
      <c r="C1360" s="1" t="n">
        <v>45345</v>
      </c>
      <c r="D1360" t="inlineStr">
        <is>
          <t>STOCKHOLMS LÄN</t>
        </is>
      </c>
      <c r="E1360" t="inlineStr">
        <is>
          <t>NORRTÄLJE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61016-2022</t>
        </is>
      </c>
      <c r="B1361" s="1" t="n">
        <v>44914</v>
      </c>
      <c r="C1361" s="1" t="n">
        <v>45345</v>
      </c>
      <c r="D1361" t="inlineStr">
        <is>
          <t>STOCKHOLMS LÄN</t>
        </is>
      </c>
      <c r="E1361" t="inlineStr">
        <is>
          <t>NORRTÄLJE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62206-2022</t>
        </is>
      </c>
      <c r="B1362" s="1" t="n">
        <v>44922</v>
      </c>
      <c r="C1362" s="1" t="n">
        <v>45345</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62398-2022</t>
        </is>
      </c>
      <c r="B1363" s="1" t="n">
        <v>44923</v>
      </c>
      <c r="C1363" s="1" t="n">
        <v>45345</v>
      </c>
      <c r="D1363" t="inlineStr">
        <is>
          <t>STOCKHOLMS LÄN</t>
        </is>
      </c>
      <c r="E1363" t="inlineStr">
        <is>
          <t>NORRTÄLJE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62593-2022</t>
        </is>
      </c>
      <c r="B1364" s="1" t="n">
        <v>44925</v>
      </c>
      <c r="C1364" s="1" t="n">
        <v>45345</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576-2023</t>
        </is>
      </c>
      <c r="B1365" s="1" t="n">
        <v>44925</v>
      </c>
      <c r="C1365" s="1" t="n">
        <v>45345</v>
      </c>
      <c r="D1365" t="inlineStr">
        <is>
          <t>STOCKHOLMS LÄN</t>
        </is>
      </c>
      <c r="E1365" t="inlineStr">
        <is>
          <t>NORRTÄLJE</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574-2023</t>
        </is>
      </c>
      <c r="B1366" s="1" t="n">
        <v>44925</v>
      </c>
      <c r="C1366" s="1" t="n">
        <v>45345</v>
      </c>
      <c r="D1366" t="inlineStr">
        <is>
          <t>STOCKHOLMS LÄN</t>
        </is>
      </c>
      <c r="E1366" t="inlineStr">
        <is>
          <t>NORRTÄLJE</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755-2023</t>
        </is>
      </c>
      <c r="B1367" s="1" t="n">
        <v>44931</v>
      </c>
      <c r="C1367" s="1" t="n">
        <v>45345</v>
      </c>
      <c r="D1367" t="inlineStr">
        <is>
          <t>STOCKHOLMS LÄN</t>
        </is>
      </c>
      <c r="E1367" t="inlineStr">
        <is>
          <t>NORRTÄLJE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875-2023</t>
        </is>
      </c>
      <c r="B1368" s="1" t="n">
        <v>44931</v>
      </c>
      <c r="C1368" s="1" t="n">
        <v>45345</v>
      </c>
      <c r="D1368" t="inlineStr">
        <is>
          <t>STOCKHOLMS LÄN</t>
        </is>
      </c>
      <c r="E1368" t="inlineStr">
        <is>
          <t>NORRTÄLJE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951-2023</t>
        </is>
      </c>
      <c r="B1369" s="1" t="n">
        <v>44934</v>
      </c>
      <c r="C1369" s="1" t="n">
        <v>45345</v>
      </c>
      <c r="D1369" t="inlineStr">
        <is>
          <t>STOCKHOLMS LÄN</t>
        </is>
      </c>
      <c r="E1369" t="inlineStr">
        <is>
          <t>NORRTÄLJE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1183-2023</t>
        </is>
      </c>
      <c r="B1370" s="1" t="n">
        <v>44935</v>
      </c>
      <c r="C1370" s="1" t="n">
        <v>45345</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1335-2023</t>
        </is>
      </c>
      <c r="B1371" s="1" t="n">
        <v>44936</v>
      </c>
      <c r="C1371" s="1" t="n">
        <v>45345</v>
      </c>
      <c r="D1371" t="inlineStr">
        <is>
          <t>STOCKHOLMS LÄN</t>
        </is>
      </c>
      <c r="E1371" t="inlineStr">
        <is>
          <t>NORRTÄLJE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1373-2023</t>
        </is>
      </c>
      <c r="B1372" s="1" t="n">
        <v>44936</v>
      </c>
      <c r="C1372" s="1" t="n">
        <v>45345</v>
      </c>
      <c r="D1372" t="inlineStr">
        <is>
          <t>STOCKHOLMS LÄN</t>
        </is>
      </c>
      <c r="E1372" t="inlineStr">
        <is>
          <t>NORRTÄLJE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1448-2023</t>
        </is>
      </c>
      <c r="B1373" s="1" t="n">
        <v>44937</v>
      </c>
      <c r="C1373" s="1" t="n">
        <v>45345</v>
      </c>
      <c r="D1373" t="inlineStr">
        <is>
          <t>STOCKHOLMS LÄN</t>
        </is>
      </c>
      <c r="E1373" t="inlineStr">
        <is>
          <t>NORRTÄLJE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1740-2023</t>
        </is>
      </c>
      <c r="B1374" s="1" t="n">
        <v>44938</v>
      </c>
      <c r="C1374" s="1" t="n">
        <v>45345</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1847-2023</t>
        </is>
      </c>
      <c r="B1375" s="1" t="n">
        <v>44938</v>
      </c>
      <c r="C1375" s="1" t="n">
        <v>45345</v>
      </c>
      <c r="D1375" t="inlineStr">
        <is>
          <t>STOCKHOLMS LÄN</t>
        </is>
      </c>
      <c r="E1375" t="inlineStr">
        <is>
          <t>NORRTÄLJE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2103-2023</t>
        </is>
      </c>
      <c r="B1376" s="1" t="n">
        <v>44939</v>
      </c>
      <c r="C1376" s="1" t="n">
        <v>45345</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2976-2023</t>
        </is>
      </c>
      <c r="B1377" s="1" t="n">
        <v>44945</v>
      </c>
      <c r="C1377" s="1" t="n">
        <v>45345</v>
      </c>
      <c r="D1377" t="inlineStr">
        <is>
          <t>STOCKHOLMS LÄN</t>
        </is>
      </c>
      <c r="E1377" t="inlineStr">
        <is>
          <t>NORRTÄLJE</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2890-2023</t>
        </is>
      </c>
      <c r="B1378" s="1" t="n">
        <v>44945</v>
      </c>
      <c r="C1378" s="1" t="n">
        <v>45345</v>
      </c>
      <c r="D1378" t="inlineStr">
        <is>
          <t>STOCKHOLMS LÄN</t>
        </is>
      </c>
      <c r="E1378" t="inlineStr">
        <is>
          <t>NORRTÄLJE</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2982-2023</t>
        </is>
      </c>
      <c r="B1379" s="1" t="n">
        <v>44945</v>
      </c>
      <c r="C1379" s="1" t="n">
        <v>45345</v>
      </c>
      <c r="D1379" t="inlineStr">
        <is>
          <t>STOCKHOLMS LÄN</t>
        </is>
      </c>
      <c r="E1379" t="inlineStr">
        <is>
          <t>NORRTÄLJE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3383-2023</t>
        </is>
      </c>
      <c r="B1380" s="1" t="n">
        <v>44949</v>
      </c>
      <c r="C1380" s="1" t="n">
        <v>45345</v>
      </c>
      <c r="D1380" t="inlineStr">
        <is>
          <t>STOCKHOLMS LÄN</t>
        </is>
      </c>
      <c r="E1380" t="inlineStr">
        <is>
          <t>NORRTÄLJE</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3444-2023</t>
        </is>
      </c>
      <c r="B1381" s="1" t="n">
        <v>44949</v>
      </c>
      <c r="C1381" s="1" t="n">
        <v>45345</v>
      </c>
      <c r="D1381" t="inlineStr">
        <is>
          <t>STOCKHOLMS LÄN</t>
        </is>
      </c>
      <c r="E1381" t="inlineStr">
        <is>
          <t>NORRTÄLJE</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4035-2023</t>
        </is>
      </c>
      <c r="B1382" s="1" t="n">
        <v>44952</v>
      </c>
      <c r="C1382" s="1" t="n">
        <v>45345</v>
      </c>
      <c r="D1382" t="inlineStr">
        <is>
          <t>STOCKHOLMS LÄN</t>
        </is>
      </c>
      <c r="E1382" t="inlineStr">
        <is>
          <t>NORRTÄLJE</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4058-2023</t>
        </is>
      </c>
      <c r="B1383" s="1" t="n">
        <v>44952</v>
      </c>
      <c r="C1383" s="1" t="n">
        <v>45345</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4194-2023</t>
        </is>
      </c>
      <c r="B1384" s="1" t="n">
        <v>44953</v>
      </c>
      <c r="C1384" s="1" t="n">
        <v>45345</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4168-2023</t>
        </is>
      </c>
      <c r="B1385" s="1" t="n">
        <v>44953</v>
      </c>
      <c r="C1385" s="1" t="n">
        <v>45345</v>
      </c>
      <c r="D1385" t="inlineStr">
        <is>
          <t>STOCKHOLMS LÄN</t>
        </is>
      </c>
      <c r="E1385" t="inlineStr">
        <is>
          <t>NORRTÄLJE</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4316-2023</t>
        </is>
      </c>
      <c r="B1386" s="1" t="n">
        <v>44953</v>
      </c>
      <c r="C1386" s="1" t="n">
        <v>45345</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4326-2023</t>
        </is>
      </c>
      <c r="B1387" s="1" t="n">
        <v>44953</v>
      </c>
      <c r="C1387" s="1" t="n">
        <v>45345</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4322-2023</t>
        </is>
      </c>
      <c r="B1388" s="1" t="n">
        <v>44953</v>
      </c>
      <c r="C1388" s="1" t="n">
        <v>45345</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4364-2023</t>
        </is>
      </c>
      <c r="B1389" s="1" t="n">
        <v>44954</v>
      </c>
      <c r="C1389" s="1" t="n">
        <v>45345</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4385-2023</t>
        </is>
      </c>
      <c r="B1390" s="1" t="n">
        <v>44955</v>
      </c>
      <c r="C1390" s="1" t="n">
        <v>45345</v>
      </c>
      <c r="D1390" t="inlineStr">
        <is>
          <t>STOCKHOLMS LÄN</t>
        </is>
      </c>
      <c r="E1390" t="inlineStr">
        <is>
          <t>NORRTÄLJE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4395-2023</t>
        </is>
      </c>
      <c r="B1391" s="1" t="n">
        <v>44956</v>
      </c>
      <c r="C1391" s="1" t="n">
        <v>45345</v>
      </c>
      <c r="D1391" t="inlineStr">
        <is>
          <t>STOCKHOLMS LÄN</t>
        </is>
      </c>
      <c r="E1391" t="inlineStr">
        <is>
          <t>NORRTÄLJE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4438-2023</t>
        </is>
      </c>
      <c r="B1392" s="1" t="n">
        <v>44956</v>
      </c>
      <c r="C1392" s="1" t="n">
        <v>45345</v>
      </c>
      <c r="D1392" t="inlineStr">
        <is>
          <t>STOCKHOLMS LÄN</t>
        </is>
      </c>
      <c r="E1392" t="inlineStr">
        <is>
          <t>NORRTÄLJE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4593-2023</t>
        </is>
      </c>
      <c r="B1393" s="1" t="n">
        <v>44956</v>
      </c>
      <c r="C1393" s="1" t="n">
        <v>45345</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4596-2023</t>
        </is>
      </c>
      <c r="B1394" s="1" t="n">
        <v>44956</v>
      </c>
      <c r="C1394" s="1" t="n">
        <v>45345</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4553-2023</t>
        </is>
      </c>
      <c r="B1395" s="1" t="n">
        <v>44956</v>
      </c>
      <c r="C1395" s="1" t="n">
        <v>45345</v>
      </c>
      <c r="D1395" t="inlineStr">
        <is>
          <t>STOCKHOLMS LÄN</t>
        </is>
      </c>
      <c r="E1395" t="inlineStr">
        <is>
          <t>NORRTÄLJE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5137-2023</t>
        </is>
      </c>
      <c r="B1396" s="1" t="n">
        <v>44958</v>
      </c>
      <c r="C1396" s="1" t="n">
        <v>45345</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5207-2023</t>
        </is>
      </c>
      <c r="B1397" s="1" t="n">
        <v>44959</v>
      </c>
      <c r="C1397" s="1" t="n">
        <v>45345</v>
      </c>
      <c r="D1397" t="inlineStr">
        <is>
          <t>STOCKHOLMS LÄN</t>
        </is>
      </c>
      <c r="E1397" t="inlineStr">
        <is>
          <t>NORRTÄLJE</t>
        </is>
      </c>
      <c r="F1397" t="inlineStr">
        <is>
          <t>Holmen skog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5422-2023</t>
        </is>
      </c>
      <c r="B1398" s="1" t="n">
        <v>44959</v>
      </c>
      <c r="C1398" s="1" t="n">
        <v>45345</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5244-2023</t>
        </is>
      </c>
      <c r="B1399" s="1" t="n">
        <v>44959</v>
      </c>
      <c r="C1399" s="1" t="n">
        <v>45345</v>
      </c>
      <c r="D1399" t="inlineStr">
        <is>
          <t>STOCKHOLMS LÄN</t>
        </is>
      </c>
      <c r="E1399" t="inlineStr">
        <is>
          <t>NORRTÄLJE</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5423-2023</t>
        </is>
      </c>
      <c r="B1400" s="1" t="n">
        <v>44959</v>
      </c>
      <c r="C1400" s="1" t="n">
        <v>45345</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6312-2023</t>
        </is>
      </c>
      <c r="B1401" s="1" t="n">
        <v>44959</v>
      </c>
      <c r="C1401" s="1" t="n">
        <v>45345</v>
      </c>
      <c r="D1401" t="inlineStr">
        <is>
          <t>STOCKHOLMS LÄN</t>
        </is>
      </c>
      <c r="E1401" t="inlineStr">
        <is>
          <t>NORRTÄLJE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5645-2023</t>
        </is>
      </c>
      <c r="B1402" s="1" t="n">
        <v>44960</v>
      </c>
      <c r="C1402" s="1" t="n">
        <v>45345</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5501-2023</t>
        </is>
      </c>
      <c r="B1403" s="1" t="n">
        <v>44960</v>
      </c>
      <c r="C1403" s="1" t="n">
        <v>45345</v>
      </c>
      <c r="D1403" t="inlineStr">
        <is>
          <t>STOCKHOLMS LÄN</t>
        </is>
      </c>
      <c r="E1403" t="inlineStr">
        <is>
          <t>NORRTÄLJE</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6496-2023</t>
        </is>
      </c>
      <c r="B1404" s="1" t="n">
        <v>44960</v>
      </c>
      <c r="C1404" s="1" t="n">
        <v>45345</v>
      </c>
      <c r="D1404" t="inlineStr">
        <is>
          <t>STOCKHOLMS LÄN</t>
        </is>
      </c>
      <c r="E1404" t="inlineStr">
        <is>
          <t>NORRTÄLJE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5732-2023</t>
        </is>
      </c>
      <c r="B1405" s="1" t="n">
        <v>44962</v>
      </c>
      <c r="C1405" s="1" t="n">
        <v>45345</v>
      </c>
      <c r="D1405" t="inlineStr">
        <is>
          <t>STOCKHOLMS LÄN</t>
        </is>
      </c>
      <c r="E1405" t="inlineStr">
        <is>
          <t>NORRTÄLJE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5823-2023</t>
        </is>
      </c>
      <c r="B1406" s="1" t="n">
        <v>44963</v>
      </c>
      <c r="C1406" s="1" t="n">
        <v>45345</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5839-2023</t>
        </is>
      </c>
      <c r="B1407" s="1" t="n">
        <v>44963</v>
      </c>
      <c r="C1407" s="1" t="n">
        <v>45345</v>
      </c>
      <c r="D1407" t="inlineStr">
        <is>
          <t>STOCKHOLMS LÄN</t>
        </is>
      </c>
      <c r="E1407" t="inlineStr">
        <is>
          <t>NORRTÄLJE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6433-2023</t>
        </is>
      </c>
      <c r="B1408" s="1" t="n">
        <v>44965</v>
      </c>
      <c r="C1408" s="1" t="n">
        <v>45345</v>
      </c>
      <c r="D1408" t="inlineStr">
        <is>
          <t>STOCKHOLMS LÄN</t>
        </is>
      </c>
      <c r="E1408" t="inlineStr">
        <is>
          <t>NORRTÄLJE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7230-2023</t>
        </is>
      </c>
      <c r="B1409" s="1" t="n">
        <v>44965</v>
      </c>
      <c r="C1409" s="1" t="n">
        <v>45345</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6437-2023</t>
        </is>
      </c>
      <c r="B1410" s="1" t="n">
        <v>44965</v>
      </c>
      <c r="C1410" s="1" t="n">
        <v>45345</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7093-2023</t>
        </is>
      </c>
      <c r="B1411" s="1" t="n">
        <v>44970</v>
      </c>
      <c r="C1411" s="1" t="n">
        <v>45345</v>
      </c>
      <c r="D1411" t="inlineStr">
        <is>
          <t>STOCKHOLMS LÄN</t>
        </is>
      </c>
      <c r="E1411" t="inlineStr">
        <is>
          <t>NORRTÄLJE</t>
        </is>
      </c>
      <c r="F1411" t="inlineStr">
        <is>
          <t>Sveaskog</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7190-2023</t>
        </is>
      </c>
      <c r="B1412" s="1" t="n">
        <v>44970</v>
      </c>
      <c r="C1412" s="1" t="n">
        <v>45345</v>
      </c>
      <c r="D1412" t="inlineStr">
        <is>
          <t>STOCKHOLMS LÄN</t>
        </is>
      </c>
      <c r="E1412" t="inlineStr">
        <is>
          <t>NORRTÄLJE</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7120-2023</t>
        </is>
      </c>
      <c r="B1413" s="1" t="n">
        <v>44970</v>
      </c>
      <c r="C1413" s="1" t="n">
        <v>45345</v>
      </c>
      <c r="D1413" t="inlineStr">
        <is>
          <t>STOCKHOLMS LÄN</t>
        </is>
      </c>
      <c r="E1413" t="inlineStr">
        <is>
          <t>NORRTÄLJE</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7638-2023</t>
        </is>
      </c>
      <c r="B1414" s="1" t="n">
        <v>44972</v>
      </c>
      <c r="C1414" s="1" t="n">
        <v>45345</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7966-2023</t>
        </is>
      </c>
      <c r="B1415" s="1" t="n">
        <v>44973</v>
      </c>
      <c r="C1415" s="1" t="n">
        <v>45345</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7974-2023</t>
        </is>
      </c>
      <c r="B1416" s="1" t="n">
        <v>44973</v>
      </c>
      <c r="C1416" s="1" t="n">
        <v>45345</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8296-2023</t>
        </is>
      </c>
      <c r="B1417" s="1" t="n">
        <v>44974</v>
      </c>
      <c r="C1417" s="1" t="n">
        <v>45345</v>
      </c>
      <c r="D1417" t="inlineStr">
        <is>
          <t>STOCKHOLMS LÄN</t>
        </is>
      </c>
      <c r="E1417" t="inlineStr">
        <is>
          <t>NORRTÄLJE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8586-2023</t>
        </is>
      </c>
      <c r="B1418" s="1" t="n">
        <v>44977</v>
      </c>
      <c r="C1418" s="1" t="n">
        <v>45345</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9401-2023</t>
        </is>
      </c>
      <c r="B1419" s="1" t="n">
        <v>44977</v>
      </c>
      <c r="C1419" s="1" t="n">
        <v>45345</v>
      </c>
      <c r="D1419" t="inlineStr">
        <is>
          <t>STOCKHOLMS LÄN</t>
        </is>
      </c>
      <c r="E1419" t="inlineStr">
        <is>
          <t>NORRTÄLJE</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8730-2023</t>
        </is>
      </c>
      <c r="B1420" s="1" t="n">
        <v>44978</v>
      </c>
      <c r="C1420" s="1" t="n">
        <v>45345</v>
      </c>
      <c r="D1420" t="inlineStr">
        <is>
          <t>STOCKHOLMS LÄN</t>
        </is>
      </c>
      <c r="E1420" t="inlineStr">
        <is>
          <t>NORRTÄLJE</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8762-2023</t>
        </is>
      </c>
      <c r="B1421" s="1" t="n">
        <v>44978</v>
      </c>
      <c r="C1421" s="1" t="n">
        <v>45345</v>
      </c>
      <c r="D1421" t="inlineStr">
        <is>
          <t>STOCKHOLMS LÄN</t>
        </is>
      </c>
      <c r="E1421" t="inlineStr">
        <is>
          <t>NORRTÄLJE</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8899-2023</t>
        </is>
      </c>
      <c r="B1422" s="1" t="n">
        <v>44979</v>
      </c>
      <c r="C1422" s="1" t="n">
        <v>45345</v>
      </c>
      <c r="D1422" t="inlineStr">
        <is>
          <t>STOCKHOLMS LÄN</t>
        </is>
      </c>
      <c r="E1422" t="inlineStr">
        <is>
          <t>NORRTÄLJE</t>
        </is>
      </c>
      <c r="F1422" t="inlineStr">
        <is>
          <t>Naturvårdsverket</t>
        </is>
      </c>
      <c r="G1422" t="n">
        <v>14.9</v>
      </c>
      <c r="H1422" t="n">
        <v>0</v>
      </c>
      <c r="I1422" t="n">
        <v>0</v>
      </c>
      <c r="J1422" t="n">
        <v>0</v>
      </c>
      <c r="K1422" t="n">
        <v>0</v>
      </c>
      <c r="L1422" t="n">
        <v>0</v>
      </c>
      <c r="M1422" t="n">
        <v>0</v>
      </c>
      <c r="N1422" t="n">
        <v>0</v>
      </c>
      <c r="O1422" t="n">
        <v>0</v>
      </c>
      <c r="P1422" t="n">
        <v>0</v>
      </c>
      <c r="Q1422" t="n">
        <v>0</v>
      </c>
      <c r="R1422" s="2" t="inlineStr"/>
    </row>
    <row r="1423" ht="15" customHeight="1">
      <c r="A1423" t="inlineStr">
        <is>
          <t>A 9189-2023</t>
        </is>
      </c>
      <c r="B1423" s="1" t="n">
        <v>44980</v>
      </c>
      <c r="C1423" s="1" t="n">
        <v>45345</v>
      </c>
      <c r="D1423" t="inlineStr">
        <is>
          <t>STOCKHOLMS LÄN</t>
        </is>
      </c>
      <c r="E1423" t="inlineStr">
        <is>
          <t>NORRTÄLJE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9184-2023</t>
        </is>
      </c>
      <c r="B1424" s="1" t="n">
        <v>44980</v>
      </c>
      <c r="C1424" s="1" t="n">
        <v>45345</v>
      </c>
      <c r="D1424" t="inlineStr">
        <is>
          <t>STOCKHOLMS LÄN</t>
        </is>
      </c>
      <c r="E1424" t="inlineStr">
        <is>
          <t>NORRTÄLJE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9255-2023</t>
        </is>
      </c>
      <c r="B1425" s="1" t="n">
        <v>44980</v>
      </c>
      <c r="C1425" s="1" t="n">
        <v>45345</v>
      </c>
      <c r="D1425" t="inlineStr">
        <is>
          <t>STOCKHOLMS LÄN</t>
        </is>
      </c>
      <c r="E1425" t="inlineStr">
        <is>
          <t>NORRTÄLJE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9329-2023</t>
        </is>
      </c>
      <c r="B1426" s="1" t="n">
        <v>44980</v>
      </c>
      <c r="C1426" s="1" t="n">
        <v>45345</v>
      </c>
      <c r="D1426" t="inlineStr">
        <is>
          <t>STOCKHOLMS LÄN</t>
        </is>
      </c>
      <c r="E1426" t="inlineStr">
        <is>
          <t>NORRTÄLJE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9793-2023</t>
        </is>
      </c>
      <c r="B1427" s="1" t="n">
        <v>44984</v>
      </c>
      <c r="C1427" s="1" t="n">
        <v>45345</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9914-2023</t>
        </is>
      </c>
      <c r="B1428" s="1" t="n">
        <v>44985</v>
      </c>
      <c r="C1428" s="1" t="n">
        <v>45345</v>
      </c>
      <c r="D1428" t="inlineStr">
        <is>
          <t>STOCKHOLMS LÄN</t>
        </is>
      </c>
      <c r="E1428" t="inlineStr">
        <is>
          <t>NORRTÄLJE</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9965-2023</t>
        </is>
      </c>
      <c r="B1429" s="1" t="n">
        <v>44985</v>
      </c>
      <c r="C1429" s="1" t="n">
        <v>45345</v>
      </c>
      <c r="D1429" t="inlineStr">
        <is>
          <t>STOCKHOLMS LÄN</t>
        </is>
      </c>
      <c r="E1429" t="inlineStr">
        <is>
          <t>NORRTÄLJE</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9995-2023</t>
        </is>
      </c>
      <c r="B1430" s="1" t="n">
        <v>44985</v>
      </c>
      <c r="C1430" s="1" t="n">
        <v>45345</v>
      </c>
      <c r="D1430" t="inlineStr">
        <is>
          <t>STOCKHOLMS LÄN</t>
        </is>
      </c>
      <c r="E1430" t="inlineStr">
        <is>
          <t>NORRTÄLJE</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10036-2023</t>
        </is>
      </c>
      <c r="B1431" s="1" t="n">
        <v>44985</v>
      </c>
      <c r="C1431" s="1" t="n">
        <v>45345</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10039-2023</t>
        </is>
      </c>
      <c r="B1432" s="1" t="n">
        <v>44985</v>
      </c>
      <c r="C1432" s="1" t="n">
        <v>45345</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9945-2023</t>
        </is>
      </c>
      <c r="B1433" s="1" t="n">
        <v>44985</v>
      </c>
      <c r="C1433" s="1" t="n">
        <v>45345</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10105-2023</t>
        </is>
      </c>
      <c r="B1434" s="1" t="n">
        <v>44986</v>
      </c>
      <c r="C1434" s="1" t="n">
        <v>45345</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10215-2023</t>
        </is>
      </c>
      <c r="B1435" s="1" t="n">
        <v>44986</v>
      </c>
      <c r="C1435" s="1" t="n">
        <v>45345</v>
      </c>
      <c r="D1435" t="inlineStr">
        <is>
          <t>STOCKHOLMS LÄN</t>
        </is>
      </c>
      <c r="E1435" t="inlineStr">
        <is>
          <t>NORRTÄLJE</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11280-2023</t>
        </is>
      </c>
      <c r="B1436" s="1" t="n">
        <v>44992</v>
      </c>
      <c r="C1436" s="1" t="n">
        <v>45345</v>
      </c>
      <c r="D1436" t="inlineStr">
        <is>
          <t>STOCKHOLMS LÄN</t>
        </is>
      </c>
      <c r="E1436" t="inlineStr">
        <is>
          <t>NORRTÄLJE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11499-2023</t>
        </is>
      </c>
      <c r="B1437" s="1" t="n">
        <v>44993</v>
      </c>
      <c r="C1437" s="1" t="n">
        <v>45345</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11844-2023</t>
        </is>
      </c>
      <c r="B1438" s="1" t="n">
        <v>44995</v>
      </c>
      <c r="C1438" s="1" t="n">
        <v>45345</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11940-2023</t>
        </is>
      </c>
      <c r="B1439" s="1" t="n">
        <v>44995</v>
      </c>
      <c r="C1439" s="1" t="n">
        <v>45345</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11852-2023</t>
        </is>
      </c>
      <c r="B1440" s="1" t="n">
        <v>44995</v>
      </c>
      <c r="C1440" s="1" t="n">
        <v>45345</v>
      </c>
      <c r="D1440" t="inlineStr">
        <is>
          <t>STOCKHOLMS LÄN</t>
        </is>
      </c>
      <c r="E1440" t="inlineStr">
        <is>
          <t>NORRTÄLJE</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12609-2023</t>
        </is>
      </c>
      <c r="B1441" s="1" t="n">
        <v>45000</v>
      </c>
      <c r="C1441" s="1" t="n">
        <v>45345</v>
      </c>
      <c r="D1441" t="inlineStr">
        <is>
          <t>STOCKHOLMS LÄN</t>
        </is>
      </c>
      <c r="E1441" t="inlineStr">
        <is>
          <t>NORRTÄLJE</t>
        </is>
      </c>
      <c r="F1441" t="inlineStr">
        <is>
          <t>Holmen skog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12756-2023</t>
        </is>
      </c>
      <c r="B1442" s="1" t="n">
        <v>45000</v>
      </c>
      <c r="C1442" s="1" t="n">
        <v>45345</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13072-2023</t>
        </is>
      </c>
      <c r="B1443" s="1" t="n">
        <v>45002</v>
      </c>
      <c r="C1443" s="1" t="n">
        <v>45345</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13354-2023</t>
        </is>
      </c>
      <c r="B1444" s="1" t="n">
        <v>45005</v>
      </c>
      <c r="C1444" s="1" t="n">
        <v>45345</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13360-2023</t>
        </is>
      </c>
      <c r="B1445" s="1" t="n">
        <v>45005</v>
      </c>
      <c r="C1445" s="1" t="n">
        <v>45345</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13860-2023</t>
        </is>
      </c>
      <c r="B1446" s="1" t="n">
        <v>45007</v>
      </c>
      <c r="C1446" s="1" t="n">
        <v>45345</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13957-2023</t>
        </is>
      </c>
      <c r="B1447" s="1" t="n">
        <v>45008</v>
      </c>
      <c r="C1447" s="1" t="n">
        <v>45345</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13947-2023</t>
        </is>
      </c>
      <c r="B1448" s="1" t="n">
        <v>45008</v>
      </c>
      <c r="C1448" s="1" t="n">
        <v>45345</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13977-2023</t>
        </is>
      </c>
      <c r="B1449" s="1" t="n">
        <v>45008</v>
      </c>
      <c r="C1449" s="1" t="n">
        <v>45345</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14135-2023</t>
        </is>
      </c>
      <c r="B1450" s="1" t="n">
        <v>45009</v>
      </c>
      <c r="C1450" s="1" t="n">
        <v>45345</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15217-2023</t>
        </is>
      </c>
      <c r="B1451" s="1" t="n">
        <v>45019</v>
      </c>
      <c r="C1451" s="1" t="n">
        <v>45345</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15256-2023</t>
        </is>
      </c>
      <c r="B1452" s="1" t="n">
        <v>45019</v>
      </c>
      <c r="C1452" s="1" t="n">
        <v>45345</v>
      </c>
      <c r="D1452" t="inlineStr">
        <is>
          <t>STOCKHOLMS LÄN</t>
        </is>
      </c>
      <c r="E1452" t="inlineStr">
        <is>
          <t>NORRTÄLJE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15447-2023</t>
        </is>
      </c>
      <c r="B1453" s="1" t="n">
        <v>45020</v>
      </c>
      <c r="C1453" s="1" t="n">
        <v>45345</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15459-2023</t>
        </is>
      </c>
      <c r="B1454" s="1" t="n">
        <v>45020</v>
      </c>
      <c r="C1454" s="1" t="n">
        <v>45345</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15655-2023</t>
        </is>
      </c>
      <c r="B1455" s="1" t="n">
        <v>45021</v>
      </c>
      <c r="C1455" s="1" t="n">
        <v>45345</v>
      </c>
      <c r="D1455" t="inlineStr">
        <is>
          <t>STOCKHOLMS LÄN</t>
        </is>
      </c>
      <c r="E1455" t="inlineStr">
        <is>
          <t>NORRTÄLJE</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15905-2023</t>
        </is>
      </c>
      <c r="B1456" s="1" t="n">
        <v>45022</v>
      </c>
      <c r="C1456" s="1" t="n">
        <v>45345</v>
      </c>
      <c r="D1456" t="inlineStr">
        <is>
          <t>STOCKHOLMS LÄN</t>
        </is>
      </c>
      <c r="E1456" t="inlineStr">
        <is>
          <t>NORRTÄLJE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15915-2023</t>
        </is>
      </c>
      <c r="B1457" s="1" t="n">
        <v>45022</v>
      </c>
      <c r="C1457" s="1" t="n">
        <v>45345</v>
      </c>
      <c r="D1457" t="inlineStr">
        <is>
          <t>STOCKHOLMS LÄN</t>
        </is>
      </c>
      <c r="E1457" t="inlineStr">
        <is>
          <t>NORRTÄLJE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15956-2023</t>
        </is>
      </c>
      <c r="B1458" s="1" t="n">
        <v>45022</v>
      </c>
      <c r="C1458" s="1" t="n">
        <v>45345</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15954-2023</t>
        </is>
      </c>
      <c r="B1459" s="1" t="n">
        <v>45022</v>
      </c>
      <c r="C1459" s="1" t="n">
        <v>45345</v>
      </c>
      <c r="D1459" t="inlineStr">
        <is>
          <t>STOCKHOLMS LÄN</t>
        </is>
      </c>
      <c r="E1459" t="inlineStr">
        <is>
          <t>NORRTÄLJE</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16006-2023</t>
        </is>
      </c>
      <c r="B1460" s="1" t="n">
        <v>45025</v>
      </c>
      <c r="C1460" s="1" t="n">
        <v>45345</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16980-2023</t>
        </is>
      </c>
      <c r="B1461" s="1" t="n">
        <v>45033</v>
      </c>
      <c r="C1461" s="1" t="n">
        <v>45345</v>
      </c>
      <c r="D1461" t="inlineStr">
        <is>
          <t>STOCKHOLMS LÄN</t>
        </is>
      </c>
      <c r="E1461" t="inlineStr">
        <is>
          <t>NORRTÄLJE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16977-2023</t>
        </is>
      </c>
      <c r="B1462" s="1" t="n">
        <v>45033</v>
      </c>
      <c r="C1462" s="1" t="n">
        <v>45345</v>
      </c>
      <c r="D1462" t="inlineStr">
        <is>
          <t>STOCKHOLMS LÄN</t>
        </is>
      </c>
      <c r="E1462" t="inlineStr">
        <is>
          <t>NORRTÄLJE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17140-2023</t>
        </is>
      </c>
      <c r="B1463" s="1" t="n">
        <v>45034</v>
      </c>
      <c r="C1463" s="1" t="n">
        <v>45345</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17133-2023</t>
        </is>
      </c>
      <c r="B1464" s="1" t="n">
        <v>45034</v>
      </c>
      <c r="C1464" s="1" t="n">
        <v>45345</v>
      </c>
      <c r="D1464" t="inlineStr">
        <is>
          <t>STOCKHOLMS LÄN</t>
        </is>
      </c>
      <c r="E1464" t="inlineStr">
        <is>
          <t>NORRTÄLJE</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17919-2023</t>
        </is>
      </c>
      <c r="B1465" s="1" t="n">
        <v>45040</v>
      </c>
      <c r="C1465" s="1" t="n">
        <v>45345</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17939-2023</t>
        </is>
      </c>
      <c r="B1466" s="1" t="n">
        <v>45040</v>
      </c>
      <c r="C1466" s="1" t="n">
        <v>45345</v>
      </c>
      <c r="D1466" t="inlineStr">
        <is>
          <t>STOCKHOLMS LÄN</t>
        </is>
      </c>
      <c r="E1466" t="inlineStr">
        <is>
          <t>NORRTÄLJE</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17930-2023</t>
        </is>
      </c>
      <c r="B1467" s="1" t="n">
        <v>45040</v>
      </c>
      <c r="C1467" s="1" t="n">
        <v>45345</v>
      </c>
      <c r="D1467" t="inlineStr">
        <is>
          <t>STOCKHOLMS LÄN</t>
        </is>
      </c>
      <c r="E1467" t="inlineStr">
        <is>
          <t>NORRTÄLJE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17984-2023</t>
        </is>
      </c>
      <c r="B1468" s="1" t="n">
        <v>45040</v>
      </c>
      <c r="C1468" s="1" t="n">
        <v>45345</v>
      </c>
      <c r="D1468" t="inlineStr">
        <is>
          <t>STOCKHOLMS LÄN</t>
        </is>
      </c>
      <c r="E1468" t="inlineStr">
        <is>
          <t>NORRTÄLJE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18023-2023</t>
        </is>
      </c>
      <c r="B1469" s="1" t="n">
        <v>45040</v>
      </c>
      <c r="C1469" s="1" t="n">
        <v>45345</v>
      </c>
      <c r="D1469" t="inlineStr">
        <is>
          <t>STOCKHOLMS LÄN</t>
        </is>
      </c>
      <c r="E1469" t="inlineStr">
        <is>
          <t>NORRTÄLJE</t>
        </is>
      </c>
      <c r="F1469" t="inlineStr">
        <is>
          <t>Sveaskog</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18541-2023</t>
        </is>
      </c>
      <c r="B1470" s="1" t="n">
        <v>45042</v>
      </c>
      <c r="C1470" s="1" t="n">
        <v>45345</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18540-2023</t>
        </is>
      </c>
      <c r="B1471" s="1" t="n">
        <v>45042</v>
      </c>
      <c r="C1471" s="1" t="n">
        <v>45345</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18895-2023</t>
        </is>
      </c>
      <c r="B1472" s="1" t="n">
        <v>45044</v>
      </c>
      <c r="C1472" s="1" t="n">
        <v>45345</v>
      </c>
      <c r="D1472" t="inlineStr">
        <is>
          <t>STOCKHOLMS LÄN</t>
        </is>
      </c>
      <c r="E1472" t="inlineStr">
        <is>
          <t>NORRTÄLJE</t>
        </is>
      </c>
      <c r="F1472" t="inlineStr">
        <is>
          <t>Kommuner</t>
        </is>
      </c>
      <c r="G1472" t="n">
        <v>12.7</v>
      </c>
      <c r="H1472" t="n">
        <v>0</v>
      </c>
      <c r="I1472" t="n">
        <v>0</v>
      </c>
      <c r="J1472" t="n">
        <v>0</v>
      </c>
      <c r="K1472" t="n">
        <v>0</v>
      </c>
      <c r="L1472" t="n">
        <v>0</v>
      </c>
      <c r="M1472" t="n">
        <v>0</v>
      </c>
      <c r="N1472" t="n">
        <v>0</v>
      </c>
      <c r="O1472" t="n">
        <v>0</v>
      </c>
      <c r="P1472" t="n">
        <v>0</v>
      </c>
      <c r="Q1472" t="n">
        <v>0</v>
      </c>
      <c r="R1472" s="2" t="inlineStr"/>
    </row>
    <row r="1473" ht="15" customHeight="1">
      <c r="A1473" t="inlineStr">
        <is>
          <t>A 19074-2023</t>
        </is>
      </c>
      <c r="B1473" s="1" t="n">
        <v>45048</v>
      </c>
      <c r="C1473" s="1" t="n">
        <v>45345</v>
      </c>
      <c r="D1473" t="inlineStr">
        <is>
          <t>STOCKHOLMS LÄN</t>
        </is>
      </c>
      <c r="E1473" t="inlineStr">
        <is>
          <t>NORRTÄLJE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19058-2023</t>
        </is>
      </c>
      <c r="B1474" s="1" t="n">
        <v>45048</v>
      </c>
      <c r="C1474" s="1" t="n">
        <v>45345</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19702-2023</t>
        </is>
      </c>
      <c r="B1475" s="1" t="n">
        <v>45051</v>
      </c>
      <c r="C1475" s="1" t="n">
        <v>45345</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19706-2023</t>
        </is>
      </c>
      <c r="B1476" s="1" t="n">
        <v>45051</v>
      </c>
      <c r="C1476" s="1" t="n">
        <v>45345</v>
      </c>
      <c r="D1476" t="inlineStr">
        <is>
          <t>STOCKHOLMS LÄN</t>
        </is>
      </c>
      <c r="E1476" t="inlineStr">
        <is>
          <t>NORRTÄLJE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19719-2023</t>
        </is>
      </c>
      <c r="B1477" s="1" t="n">
        <v>45051</v>
      </c>
      <c r="C1477" s="1" t="n">
        <v>45345</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19951-2023</t>
        </is>
      </c>
      <c r="B1478" s="1" t="n">
        <v>45054</v>
      </c>
      <c r="C1478" s="1" t="n">
        <v>45345</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19971-2023</t>
        </is>
      </c>
      <c r="B1479" s="1" t="n">
        <v>45054</v>
      </c>
      <c r="C1479" s="1" t="n">
        <v>45345</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19994-2023</t>
        </is>
      </c>
      <c r="B1480" s="1" t="n">
        <v>45054</v>
      </c>
      <c r="C1480" s="1" t="n">
        <v>45345</v>
      </c>
      <c r="D1480" t="inlineStr">
        <is>
          <t>STOCKHOLMS LÄN</t>
        </is>
      </c>
      <c r="E1480" t="inlineStr">
        <is>
          <t>NORRTÄLJE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19952-2023</t>
        </is>
      </c>
      <c r="B1481" s="1" t="n">
        <v>45054</v>
      </c>
      <c r="C1481" s="1" t="n">
        <v>45345</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20004-2023</t>
        </is>
      </c>
      <c r="B1482" s="1" t="n">
        <v>45054</v>
      </c>
      <c r="C1482" s="1" t="n">
        <v>45345</v>
      </c>
      <c r="D1482" t="inlineStr">
        <is>
          <t>STOCKHOLMS LÄN</t>
        </is>
      </c>
      <c r="E1482" t="inlineStr">
        <is>
          <t>NORRTÄLJE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20015-2023</t>
        </is>
      </c>
      <c r="B1483" s="1" t="n">
        <v>45054</v>
      </c>
      <c r="C1483" s="1" t="n">
        <v>45345</v>
      </c>
      <c r="D1483" t="inlineStr">
        <is>
          <t>STOCKHOLMS LÄN</t>
        </is>
      </c>
      <c r="E1483" t="inlineStr">
        <is>
          <t>NORRTÄLJE</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20144-2023</t>
        </is>
      </c>
      <c r="B1484" s="1" t="n">
        <v>45055</v>
      </c>
      <c r="C1484" s="1" t="n">
        <v>45345</v>
      </c>
      <c r="D1484" t="inlineStr">
        <is>
          <t>STOCKHOLMS LÄN</t>
        </is>
      </c>
      <c r="E1484" t="inlineStr">
        <is>
          <t>NORRTÄLJE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20304-2023</t>
        </is>
      </c>
      <c r="B1485" s="1" t="n">
        <v>45056</v>
      </c>
      <c r="C1485" s="1" t="n">
        <v>45345</v>
      </c>
      <c r="D1485" t="inlineStr">
        <is>
          <t>STOCKHOLMS LÄN</t>
        </is>
      </c>
      <c r="E1485" t="inlineStr">
        <is>
          <t>NORRTÄLJE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20535-2023</t>
        </is>
      </c>
      <c r="B1486" s="1" t="n">
        <v>45057</v>
      </c>
      <c r="C1486" s="1" t="n">
        <v>45345</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20852-2023</t>
        </is>
      </c>
      <c r="B1487" s="1" t="n">
        <v>45058</v>
      </c>
      <c r="C1487" s="1" t="n">
        <v>45345</v>
      </c>
      <c r="D1487" t="inlineStr">
        <is>
          <t>STOCKHOLMS LÄN</t>
        </is>
      </c>
      <c r="E1487" t="inlineStr">
        <is>
          <t>NORRTÄLJE</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21237-2023</t>
        </is>
      </c>
      <c r="B1488" s="1" t="n">
        <v>45062</v>
      </c>
      <c r="C1488" s="1" t="n">
        <v>45345</v>
      </c>
      <c r="D1488" t="inlineStr">
        <is>
          <t>STOCKHOLMS LÄN</t>
        </is>
      </c>
      <c r="E1488" t="inlineStr">
        <is>
          <t>NORRTÄLJE</t>
        </is>
      </c>
      <c r="F1488" t="inlineStr">
        <is>
          <t>Övriga Aktiebolag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21386-2023</t>
        </is>
      </c>
      <c r="B1489" s="1" t="n">
        <v>45063</v>
      </c>
      <c r="C1489" s="1" t="n">
        <v>45345</v>
      </c>
      <c r="D1489" t="inlineStr">
        <is>
          <t>STOCKHOLMS LÄN</t>
        </is>
      </c>
      <c r="E1489" t="inlineStr">
        <is>
          <t>NORRTÄLJE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21435-2023</t>
        </is>
      </c>
      <c r="B1490" s="1" t="n">
        <v>45063</v>
      </c>
      <c r="C1490" s="1" t="n">
        <v>45345</v>
      </c>
      <c r="D1490" t="inlineStr">
        <is>
          <t>STOCKHOLMS LÄN</t>
        </is>
      </c>
      <c r="E1490" t="inlineStr">
        <is>
          <t>NORRTÄLJE</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21732-2023</t>
        </is>
      </c>
      <c r="B1491" s="1" t="n">
        <v>45063</v>
      </c>
      <c r="C1491" s="1" t="n">
        <v>45345</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21733-2023</t>
        </is>
      </c>
      <c r="B1492" s="1" t="n">
        <v>45063</v>
      </c>
      <c r="C1492" s="1" t="n">
        <v>45345</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21731-2023</t>
        </is>
      </c>
      <c r="B1493" s="1" t="n">
        <v>45063</v>
      </c>
      <c r="C1493" s="1" t="n">
        <v>45345</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21718-2023</t>
        </is>
      </c>
      <c r="B1494" s="1" t="n">
        <v>45065</v>
      </c>
      <c r="C1494" s="1" t="n">
        <v>45345</v>
      </c>
      <c r="D1494" t="inlineStr">
        <is>
          <t>STOCKHOLMS LÄN</t>
        </is>
      </c>
      <c r="E1494" t="inlineStr">
        <is>
          <t>NORRTÄLJE</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21719-2023</t>
        </is>
      </c>
      <c r="B1495" s="1" t="n">
        <v>45065</v>
      </c>
      <c r="C1495" s="1" t="n">
        <v>45345</v>
      </c>
      <c r="D1495" t="inlineStr">
        <is>
          <t>STOCKHOLMS LÄN</t>
        </is>
      </c>
      <c r="E1495" t="inlineStr">
        <is>
          <t>NORRTÄLJE</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21745-2023</t>
        </is>
      </c>
      <c r="B1496" s="1" t="n">
        <v>45065</v>
      </c>
      <c r="C1496" s="1" t="n">
        <v>45345</v>
      </c>
      <c r="D1496" t="inlineStr">
        <is>
          <t>STOCKHOLMS LÄN</t>
        </is>
      </c>
      <c r="E1496" t="inlineStr">
        <is>
          <t>NORRTÄLJE</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21720-2023</t>
        </is>
      </c>
      <c r="B1497" s="1" t="n">
        <v>45065</v>
      </c>
      <c r="C1497" s="1" t="n">
        <v>45345</v>
      </c>
      <c r="D1497" t="inlineStr">
        <is>
          <t>STOCKHOLMS LÄN</t>
        </is>
      </c>
      <c r="E1497" t="inlineStr">
        <is>
          <t>NORRTÄLJE</t>
        </is>
      </c>
      <c r="G1497" t="n">
        <v>13.6</v>
      </c>
      <c r="H1497" t="n">
        <v>0</v>
      </c>
      <c r="I1497" t="n">
        <v>0</v>
      </c>
      <c r="J1497" t="n">
        <v>0</v>
      </c>
      <c r="K1497" t="n">
        <v>0</v>
      </c>
      <c r="L1497" t="n">
        <v>0</v>
      </c>
      <c r="M1497" t="n">
        <v>0</v>
      </c>
      <c r="N1497" t="n">
        <v>0</v>
      </c>
      <c r="O1497" t="n">
        <v>0</v>
      </c>
      <c r="P1497" t="n">
        <v>0</v>
      </c>
      <c r="Q1497" t="n">
        <v>0</v>
      </c>
      <c r="R1497" s="2" t="inlineStr"/>
    </row>
    <row r="1498" ht="15" customHeight="1">
      <c r="A1498" t="inlineStr">
        <is>
          <t>A 21716-2023</t>
        </is>
      </c>
      <c r="B1498" s="1" t="n">
        <v>45065</v>
      </c>
      <c r="C1498" s="1" t="n">
        <v>45345</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21894-2023</t>
        </is>
      </c>
      <c r="B1499" s="1" t="n">
        <v>45068</v>
      </c>
      <c r="C1499" s="1" t="n">
        <v>45345</v>
      </c>
      <c r="D1499" t="inlineStr">
        <is>
          <t>STOCKHOLMS LÄN</t>
        </is>
      </c>
      <c r="E1499" t="inlineStr">
        <is>
          <t>NORRTÄLJE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21832-2023</t>
        </is>
      </c>
      <c r="B1500" s="1" t="n">
        <v>45068</v>
      </c>
      <c r="C1500" s="1" t="n">
        <v>45345</v>
      </c>
      <c r="D1500" t="inlineStr">
        <is>
          <t>STOCKHOLMS LÄN</t>
        </is>
      </c>
      <c r="E1500" t="inlineStr">
        <is>
          <t>NORRTÄLJE</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21825-2023</t>
        </is>
      </c>
      <c r="B1501" s="1" t="n">
        <v>45068</v>
      </c>
      <c r="C1501" s="1" t="n">
        <v>45345</v>
      </c>
      <c r="D1501" t="inlineStr">
        <is>
          <t>STOCKHOLMS LÄN</t>
        </is>
      </c>
      <c r="E1501" t="inlineStr">
        <is>
          <t>NORRTÄLJE</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21897-2023</t>
        </is>
      </c>
      <c r="B1502" s="1" t="n">
        <v>45068</v>
      </c>
      <c r="C1502" s="1" t="n">
        <v>45345</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21993-2023</t>
        </is>
      </c>
      <c r="B1503" s="1" t="n">
        <v>45068</v>
      </c>
      <c r="C1503" s="1" t="n">
        <v>45345</v>
      </c>
      <c r="D1503" t="inlineStr">
        <is>
          <t>STOCKHOLMS LÄN</t>
        </is>
      </c>
      <c r="E1503" t="inlineStr">
        <is>
          <t>NORRTÄLJE</t>
        </is>
      </c>
      <c r="G1503" t="n">
        <v>17.2</v>
      </c>
      <c r="H1503" t="n">
        <v>0</v>
      </c>
      <c r="I1503" t="n">
        <v>0</v>
      </c>
      <c r="J1503" t="n">
        <v>0</v>
      </c>
      <c r="K1503" t="n">
        <v>0</v>
      </c>
      <c r="L1503" t="n">
        <v>0</v>
      </c>
      <c r="M1503" t="n">
        <v>0</v>
      </c>
      <c r="N1503" t="n">
        <v>0</v>
      </c>
      <c r="O1503" t="n">
        <v>0</v>
      </c>
      <c r="P1503" t="n">
        <v>0</v>
      </c>
      <c r="Q1503" t="n">
        <v>0</v>
      </c>
      <c r="R1503" s="2" t="inlineStr"/>
    </row>
    <row r="1504" ht="15" customHeight="1">
      <c r="A1504" t="inlineStr">
        <is>
          <t>A 21961-2023</t>
        </is>
      </c>
      <c r="B1504" s="1" t="n">
        <v>45068</v>
      </c>
      <c r="C1504" s="1" t="n">
        <v>45345</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22157-2023</t>
        </is>
      </c>
      <c r="B1505" s="1" t="n">
        <v>45069</v>
      </c>
      <c r="C1505" s="1" t="n">
        <v>45345</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c r="U1505">
        <f>HYPERLINK("https://klasma.github.io/Logging_0188/knärot/A 22157-2023 karta knärot.png", "A 22157-2023")</f>
        <v/>
      </c>
      <c r="V1505">
        <f>HYPERLINK("https://klasma.github.io/Logging_0188/klagomål/A 22157-2023 FSC-klagomål.docx", "A 22157-2023")</f>
        <v/>
      </c>
      <c r="W1505">
        <f>HYPERLINK("https://klasma.github.io/Logging_0188/klagomålsmail/A 22157-2023 FSC-klagomål mail.docx", "A 22157-2023")</f>
        <v/>
      </c>
      <c r="X1505">
        <f>HYPERLINK("https://klasma.github.io/Logging_0188/tillsyn/A 22157-2023 tillsynsbegäran.docx", "A 22157-2023")</f>
        <v/>
      </c>
      <c r="Y1505">
        <f>HYPERLINK("https://klasma.github.io/Logging_0188/tillsynsmail/A 22157-2023 tillsynsbegäran mail.docx", "A 22157-2023")</f>
        <v/>
      </c>
    </row>
    <row r="1506" ht="15" customHeight="1">
      <c r="A1506" t="inlineStr">
        <is>
          <t>A 22175-2023</t>
        </is>
      </c>
      <c r="B1506" s="1" t="n">
        <v>45069</v>
      </c>
      <c r="C1506" s="1" t="n">
        <v>45345</v>
      </c>
      <c r="D1506" t="inlineStr">
        <is>
          <t>STOCKHOLMS LÄN</t>
        </is>
      </c>
      <c r="E1506" t="inlineStr">
        <is>
          <t>NORRTÄLJE</t>
        </is>
      </c>
      <c r="G1506" t="n">
        <v>32.7</v>
      </c>
      <c r="H1506" t="n">
        <v>0</v>
      </c>
      <c r="I1506" t="n">
        <v>0</v>
      </c>
      <c r="J1506" t="n">
        <v>0</v>
      </c>
      <c r="K1506" t="n">
        <v>0</v>
      </c>
      <c r="L1506" t="n">
        <v>0</v>
      </c>
      <c r="M1506" t="n">
        <v>0</v>
      </c>
      <c r="N1506" t="n">
        <v>0</v>
      </c>
      <c r="O1506" t="n">
        <v>0</v>
      </c>
      <c r="P1506" t="n">
        <v>0</v>
      </c>
      <c r="Q1506" t="n">
        <v>0</v>
      </c>
      <c r="R1506" s="2" t="inlineStr"/>
    </row>
    <row r="1507" ht="15" customHeight="1">
      <c r="A1507" t="inlineStr">
        <is>
          <t>A 22249-2023</t>
        </is>
      </c>
      <c r="B1507" s="1" t="n">
        <v>45070</v>
      </c>
      <c r="C1507" s="1" t="n">
        <v>45345</v>
      </c>
      <c r="D1507" t="inlineStr">
        <is>
          <t>STOCKHOLMS LÄN</t>
        </is>
      </c>
      <c r="E1507" t="inlineStr">
        <is>
          <t>NORRTÄLJE</t>
        </is>
      </c>
      <c r="F1507" t="inlineStr">
        <is>
          <t>Övriga Aktiebolag</t>
        </is>
      </c>
      <c r="G1507" t="n">
        <v>17.7</v>
      </c>
      <c r="H1507" t="n">
        <v>0</v>
      </c>
      <c r="I1507" t="n">
        <v>0</v>
      </c>
      <c r="J1507" t="n">
        <v>0</v>
      </c>
      <c r="K1507" t="n">
        <v>0</v>
      </c>
      <c r="L1507" t="n">
        <v>0</v>
      </c>
      <c r="M1507" t="n">
        <v>0</v>
      </c>
      <c r="N1507" t="n">
        <v>0</v>
      </c>
      <c r="O1507" t="n">
        <v>0</v>
      </c>
      <c r="P1507" t="n">
        <v>0</v>
      </c>
      <c r="Q1507" t="n">
        <v>0</v>
      </c>
      <c r="R1507" s="2" t="inlineStr"/>
    </row>
    <row r="1508" ht="15" customHeight="1">
      <c r="A1508" t="inlineStr">
        <is>
          <t>A 22398-2023</t>
        </is>
      </c>
      <c r="B1508" s="1" t="n">
        <v>45070</v>
      </c>
      <c r="C1508" s="1" t="n">
        <v>45345</v>
      </c>
      <c r="D1508" t="inlineStr">
        <is>
          <t>STOCKHOLMS LÄN</t>
        </is>
      </c>
      <c r="E1508" t="inlineStr">
        <is>
          <t>NORRTÄLJE</t>
        </is>
      </c>
      <c r="F1508" t="inlineStr">
        <is>
          <t>Övriga Aktiebolag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22376-2023</t>
        </is>
      </c>
      <c r="B1509" s="1" t="n">
        <v>45070</v>
      </c>
      <c r="C1509" s="1" t="n">
        <v>45345</v>
      </c>
      <c r="D1509" t="inlineStr">
        <is>
          <t>STOCKHOLMS LÄN</t>
        </is>
      </c>
      <c r="E1509" t="inlineStr">
        <is>
          <t>NORRTÄLJE</t>
        </is>
      </c>
      <c r="F1509" t="inlineStr">
        <is>
          <t>Kommuner</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22456-2023</t>
        </is>
      </c>
      <c r="B1510" s="1" t="n">
        <v>45070</v>
      </c>
      <c r="C1510" s="1" t="n">
        <v>45345</v>
      </c>
      <c r="D1510" t="inlineStr">
        <is>
          <t>STOCKHOLMS LÄN</t>
        </is>
      </c>
      <c r="E1510" t="inlineStr">
        <is>
          <t>NORRTÄLJE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22378-2023</t>
        </is>
      </c>
      <c r="B1511" s="1" t="n">
        <v>45070</v>
      </c>
      <c r="C1511" s="1" t="n">
        <v>45345</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22406-2023</t>
        </is>
      </c>
      <c r="B1512" s="1" t="n">
        <v>45070</v>
      </c>
      <c r="C1512" s="1" t="n">
        <v>45345</v>
      </c>
      <c r="D1512" t="inlineStr">
        <is>
          <t>STOCKHOLMS LÄN</t>
        </is>
      </c>
      <c r="E1512" t="inlineStr">
        <is>
          <t>NORRTÄLJE</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22553-2023</t>
        </is>
      </c>
      <c r="B1513" s="1" t="n">
        <v>45071</v>
      </c>
      <c r="C1513" s="1" t="n">
        <v>45345</v>
      </c>
      <c r="D1513" t="inlineStr">
        <is>
          <t>STOCKHOLMS LÄN</t>
        </is>
      </c>
      <c r="E1513" t="inlineStr">
        <is>
          <t>NORRTÄLJE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22962-2023</t>
        </is>
      </c>
      <c r="B1514" s="1" t="n">
        <v>45072</v>
      </c>
      <c r="C1514" s="1" t="n">
        <v>45345</v>
      </c>
      <c r="D1514" t="inlineStr">
        <is>
          <t>STOCKHOLMS LÄN</t>
        </is>
      </c>
      <c r="E1514" t="inlineStr">
        <is>
          <t>NORRTÄLJE</t>
        </is>
      </c>
      <c r="F1514" t="inlineStr">
        <is>
          <t>Holmen skog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23056-2023</t>
        </is>
      </c>
      <c r="B1515" s="1" t="n">
        <v>45075</v>
      </c>
      <c r="C1515" s="1" t="n">
        <v>45345</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23060-2023</t>
        </is>
      </c>
      <c r="B1516" s="1" t="n">
        <v>45075</v>
      </c>
      <c r="C1516" s="1" t="n">
        <v>45345</v>
      </c>
      <c r="D1516" t="inlineStr">
        <is>
          <t>STOCKHOLMS LÄN</t>
        </is>
      </c>
      <c r="E1516" t="inlineStr">
        <is>
          <t>NORRTÄLJE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23070-2023</t>
        </is>
      </c>
      <c r="B1517" s="1" t="n">
        <v>45075</v>
      </c>
      <c r="C1517" s="1" t="n">
        <v>45345</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23130-2023</t>
        </is>
      </c>
      <c r="B1518" s="1" t="n">
        <v>45075</v>
      </c>
      <c r="C1518" s="1" t="n">
        <v>45345</v>
      </c>
      <c r="D1518" t="inlineStr">
        <is>
          <t>STOCKHOLMS LÄN</t>
        </is>
      </c>
      <c r="E1518" t="inlineStr">
        <is>
          <t>NORRTÄLJE</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23265-2023</t>
        </is>
      </c>
      <c r="B1519" s="1" t="n">
        <v>45075</v>
      </c>
      <c r="C1519" s="1" t="n">
        <v>45345</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23269-2023</t>
        </is>
      </c>
      <c r="B1520" s="1" t="n">
        <v>45075</v>
      </c>
      <c r="C1520" s="1" t="n">
        <v>45345</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23273-2023</t>
        </is>
      </c>
      <c r="B1521" s="1" t="n">
        <v>45076</v>
      </c>
      <c r="C1521" s="1" t="n">
        <v>45345</v>
      </c>
      <c r="D1521" t="inlineStr">
        <is>
          <t>STOCKHOLMS LÄN</t>
        </is>
      </c>
      <c r="E1521" t="inlineStr">
        <is>
          <t>NORRTÄLJE</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23134-2023</t>
        </is>
      </c>
      <c r="B1522" s="1" t="n">
        <v>45075</v>
      </c>
      <c r="C1522" s="1" t="n">
        <v>45345</v>
      </c>
      <c r="D1522" t="inlineStr">
        <is>
          <t>STOCKHOLMS LÄN</t>
        </is>
      </c>
      <c r="E1522" t="inlineStr">
        <is>
          <t>NORRTÄLJE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23263-2023</t>
        </is>
      </c>
      <c r="B1523" s="1" t="n">
        <v>45075</v>
      </c>
      <c r="C1523" s="1" t="n">
        <v>45345</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23267-2023</t>
        </is>
      </c>
      <c r="B1524" s="1" t="n">
        <v>45075</v>
      </c>
      <c r="C1524" s="1" t="n">
        <v>45345</v>
      </c>
      <c r="D1524" t="inlineStr">
        <is>
          <t>STOCKHOLMS LÄN</t>
        </is>
      </c>
      <c r="E1524" t="inlineStr">
        <is>
          <t>NORRTÄLJE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23271-2023</t>
        </is>
      </c>
      <c r="B1525" s="1" t="n">
        <v>45075</v>
      </c>
      <c r="C1525" s="1" t="n">
        <v>45345</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23264-2023</t>
        </is>
      </c>
      <c r="B1526" s="1" t="n">
        <v>45075</v>
      </c>
      <c r="C1526" s="1" t="n">
        <v>45345</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23268-2023</t>
        </is>
      </c>
      <c r="B1527" s="1" t="n">
        <v>45075</v>
      </c>
      <c r="C1527" s="1" t="n">
        <v>45345</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23272-2023</t>
        </is>
      </c>
      <c r="B1528" s="1" t="n">
        <v>45075</v>
      </c>
      <c r="C1528" s="1" t="n">
        <v>45345</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23262-2023</t>
        </is>
      </c>
      <c r="B1529" s="1" t="n">
        <v>45075</v>
      </c>
      <c r="C1529" s="1" t="n">
        <v>45345</v>
      </c>
      <c r="D1529" t="inlineStr">
        <is>
          <t>STOCKHOLMS LÄN</t>
        </is>
      </c>
      <c r="E1529" t="inlineStr">
        <is>
          <t>NORRTÄLJE</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23266-2023</t>
        </is>
      </c>
      <c r="B1530" s="1" t="n">
        <v>45075</v>
      </c>
      <c r="C1530" s="1" t="n">
        <v>45345</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23270-2023</t>
        </is>
      </c>
      <c r="B1531" s="1" t="n">
        <v>45075</v>
      </c>
      <c r="C1531" s="1" t="n">
        <v>45345</v>
      </c>
      <c r="D1531" t="inlineStr">
        <is>
          <t>STOCKHOLMS LÄN</t>
        </is>
      </c>
      <c r="E1531" t="inlineStr">
        <is>
          <t>NORRTÄLJE</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23274-2023</t>
        </is>
      </c>
      <c r="B1532" s="1" t="n">
        <v>45076</v>
      </c>
      <c r="C1532" s="1" t="n">
        <v>45345</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23699-2023</t>
        </is>
      </c>
      <c r="B1533" s="1" t="n">
        <v>45077</v>
      </c>
      <c r="C1533" s="1" t="n">
        <v>45345</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24129-2023</t>
        </is>
      </c>
      <c r="B1534" s="1" t="n">
        <v>45079</v>
      </c>
      <c r="C1534" s="1" t="n">
        <v>45345</v>
      </c>
      <c r="D1534" t="inlineStr">
        <is>
          <t>STOCKHOLMS LÄN</t>
        </is>
      </c>
      <c r="E1534" t="inlineStr">
        <is>
          <t>NORRTÄLJE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24330-2023</t>
        </is>
      </c>
      <c r="B1535" s="1" t="n">
        <v>45081</v>
      </c>
      <c r="C1535" s="1" t="n">
        <v>45345</v>
      </c>
      <c r="D1535" t="inlineStr">
        <is>
          <t>STOCKHOLMS LÄN</t>
        </is>
      </c>
      <c r="E1535" t="inlineStr">
        <is>
          <t>NORRTÄLJE</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24520-2023</t>
        </is>
      </c>
      <c r="B1536" s="1" t="n">
        <v>45082</v>
      </c>
      <c r="C1536" s="1" t="n">
        <v>45345</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24501-2023</t>
        </is>
      </c>
      <c r="B1537" s="1" t="n">
        <v>45082</v>
      </c>
      <c r="C1537" s="1" t="n">
        <v>45345</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24522-2023</t>
        </is>
      </c>
      <c r="B1538" s="1" t="n">
        <v>45082</v>
      </c>
      <c r="C1538" s="1" t="n">
        <v>45345</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24705-2023</t>
        </is>
      </c>
      <c r="B1539" s="1" t="n">
        <v>45084</v>
      </c>
      <c r="C1539" s="1" t="n">
        <v>45345</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24727-2023</t>
        </is>
      </c>
      <c r="B1540" s="1" t="n">
        <v>45084</v>
      </c>
      <c r="C1540" s="1" t="n">
        <v>45345</v>
      </c>
      <c r="D1540" t="inlineStr">
        <is>
          <t>STOCKHOLMS LÄN</t>
        </is>
      </c>
      <c r="E1540" t="inlineStr">
        <is>
          <t>NORRTÄLJE</t>
        </is>
      </c>
      <c r="F1540" t="inlineStr">
        <is>
          <t>Holmen skog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24788-2023</t>
        </is>
      </c>
      <c r="B1541" s="1" t="n">
        <v>45084</v>
      </c>
      <c r="C1541" s="1" t="n">
        <v>45345</v>
      </c>
      <c r="D1541" t="inlineStr">
        <is>
          <t>STOCKHOLMS LÄN</t>
        </is>
      </c>
      <c r="E1541" t="inlineStr">
        <is>
          <t>NORRTÄLJE</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24789-2023</t>
        </is>
      </c>
      <c r="B1542" s="1" t="n">
        <v>45084</v>
      </c>
      <c r="C1542" s="1" t="n">
        <v>45345</v>
      </c>
      <c r="D1542" t="inlineStr">
        <is>
          <t>STOCKHOLMS LÄN</t>
        </is>
      </c>
      <c r="E1542" t="inlineStr">
        <is>
          <t>NORRTÄLJE</t>
        </is>
      </c>
      <c r="F1542" t="inlineStr">
        <is>
          <t>Sveaskog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24887-2023</t>
        </is>
      </c>
      <c r="B1543" s="1" t="n">
        <v>45085</v>
      </c>
      <c r="C1543" s="1" t="n">
        <v>45345</v>
      </c>
      <c r="D1543" t="inlineStr">
        <is>
          <t>STOCKHOLMS LÄN</t>
        </is>
      </c>
      <c r="E1543" t="inlineStr">
        <is>
          <t>NORRTÄLJE</t>
        </is>
      </c>
      <c r="G1543" t="n">
        <v>13.9</v>
      </c>
      <c r="H1543" t="n">
        <v>0</v>
      </c>
      <c r="I1543" t="n">
        <v>0</v>
      </c>
      <c r="J1543" t="n">
        <v>0</v>
      </c>
      <c r="K1543" t="n">
        <v>0</v>
      </c>
      <c r="L1543" t="n">
        <v>0</v>
      </c>
      <c r="M1543" t="n">
        <v>0</v>
      </c>
      <c r="N1543" t="n">
        <v>0</v>
      </c>
      <c r="O1543" t="n">
        <v>0</v>
      </c>
      <c r="P1543" t="n">
        <v>0</v>
      </c>
      <c r="Q1543" t="n">
        <v>0</v>
      </c>
      <c r="R1543" s="2" t="inlineStr"/>
    </row>
    <row r="1544" ht="15" customHeight="1">
      <c r="A1544" t="inlineStr">
        <is>
          <t>A 24933-2023</t>
        </is>
      </c>
      <c r="B1544" s="1" t="n">
        <v>45085</v>
      </c>
      <c r="C1544" s="1" t="n">
        <v>45345</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25174-2023</t>
        </is>
      </c>
      <c r="B1545" s="1" t="n">
        <v>45086</v>
      </c>
      <c r="C1545" s="1" t="n">
        <v>45345</v>
      </c>
      <c r="D1545" t="inlineStr">
        <is>
          <t>STOCKHOLMS LÄN</t>
        </is>
      </c>
      <c r="E1545" t="inlineStr">
        <is>
          <t>NORRTÄLJE</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25094-2023</t>
        </is>
      </c>
      <c r="B1546" s="1" t="n">
        <v>45086</v>
      </c>
      <c r="C1546" s="1" t="n">
        <v>45345</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25257-2023</t>
        </is>
      </c>
      <c r="B1547" s="1" t="n">
        <v>45086</v>
      </c>
      <c r="C1547" s="1" t="n">
        <v>45345</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25614-2023</t>
        </is>
      </c>
      <c r="B1548" s="1" t="n">
        <v>45089</v>
      </c>
      <c r="C1548" s="1" t="n">
        <v>45345</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25625-2023</t>
        </is>
      </c>
      <c r="B1549" s="1" t="n">
        <v>45089</v>
      </c>
      <c r="C1549" s="1" t="n">
        <v>45345</v>
      </c>
      <c r="D1549" t="inlineStr">
        <is>
          <t>STOCKHOLMS LÄN</t>
        </is>
      </c>
      <c r="E1549" t="inlineStr">
        <is>
          <t>NORRTÄLJE</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25557-2023</t>
        </is>
      </c>
      <c r="B1550" s="1" t="n">
        <v>45089</v>
      </c>
      <c r="C1550" s="1" t="n">
        <v>45345</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25609-2023</t>
        </is>
      </c>
      <c r="B1551" s="1" t="n">
        <v>45089</v>
      </c>
      <c r="C1551" s="1" t="n">
        <v>45345</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25618-2023</t>
        </is>
      </c>
      <c r="B1552" s="1" t="n">
        <v>45089</v>
      </c>
      <c r="C1552" s="1" t="n">
        <v>45345</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25656-2023</t>
        </is>
      </c>
      <c r="B1553" s="1" t="n">
        <v>45089</v>
      </c>
      <c r="C1553" s="1" t="n">
        <v>45345</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25654-2023</t>
        </is>
      </c>
      <c r="B1554" s="1" t="n">
        <v>45089</v>
      </c>
      <c r="C1554" s="1" t="n">
        <v>45345</v>
      </c>
      <c r="D1554" t="inlineStr">
        <is>
          <t>STOCKHOLMS LÄN</t>
        </is>
      </c>
      <c r="E1554" t="inlineStr">
        <is>
          <t>NORRTÄLJE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25831-2023</t>
        </is>
      </c>
      <c r="B1555" s="1" t="n">
        <v>45090</v>
      </c>
      <c r="C1555" s="1" t="n">
        <v>45345</v>
      </c>
      <c r="D1555" t="inlineStr">
        <is>
          <t>STOCKHOLMS LÄN</t>
        </is>
      </c>
      <c r="E1555" t="inlineStr">
        <is>
          <t>NORRTÄLJE</t>
        </is>
      </c>
      <c r="F1555" t="inlineStr">
        <is>
          <t>Övriga Aktiebolag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25915-2023</t>
        </is>
      </c>
      <c r="B1556" s="1" t="n">
        <v>45090</v>
      </c>
      <c r="C1556" s="1" t="n">
        <v>45345</v>
      </c>
      <c r="D1556" t="inlineStr">
        <is>
          <t>STOCKHOLMS LÄN</t>
        </is>
      </c>
      <c r="E1556" t="inlineStr">
        <is>
          <t>NORRTÄLJE</t>
        </is>
      </c>
      <c r="F1556" t="inlineStr">
        <is>
          <t>Naturvårdsverket</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26065-2023</t>
        </is>
      </c>
      <c r="B1557" s="1" t="n">
        <v>45091</v>
      </c>
      <c r="C1557" s="1" t="n">
        <v>45345</v>
      </c>
      <c r="D1557" t="inlineStr">
        <is>
          <t>STOCKHOLMS LÄN</t>
        </is>
      </c>
      <c r="E1557" t="inlineStr">
        <is>
          <t>NORRTÄLJE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26315-2023</t>
        </is>
      </c>
      <c r="B1558" s="1" t="n">
        <v>45091</v>
      </c>
      <c r="C1558" s="1" t="n">
        <v>45345</v>
      </c>
      <c r="D1558" t="inlineStr">
        <is>
          <t>STOCKHOLMS LÄN</t>
        </is>
      </c>
      <c r="E1558" t="inlineStr">
        <is>
          <t>NORRTÄLJE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26570-2023</t>
        </is>
      </c>
      <c r="B1559" s="1" t="n">
        <v>45092</v>
      </c>
      <c r="C1559" s="1" t="n">
        <v>45345</v>
      </c>
      <c r="D1559" t="inlineStr">
        <is>
          <t>STOCKHOLMS LÄN</t>
        </is>
      </c>
      <c r="E1559" t="inlineStr">
        <is>
          <t>NORRTÄLJE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26636-2023</t>
        </is>
      </c>
      <c r="B1560" s="1" t="n">
        <v>45092</v>
      </c>
      <c r="C1560" s="1" t="n">
        <v>45345</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26640-2023</t>
        </is>
      </c>
      <c r="B1561" s="1" t="n">
        <v>45092</v>
      </c>
      <c r="C1561" s="1" t="n">
        <v>45345</v>
      </c>
      <c r="D1561" t="inlineStr">
        <is>
          <t>STOCKHOLMS LÄN</t>
        </is>
      </c>
      <c r="E1561" t="inlineStr">
        <is>
          <t>NORRTÄLJE</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26637-2023</t>
        </is>
      </c>
      <c r="B1562" s="1" t="n">
        <v>45092</v>
      </c>
      <c r="C1562" s="1" t="n">
        <v>45345</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26639-2023</t>
        </is>
      </c>
      <c r="B1563" s="1" t="n">
        <v>45092</v>
      </c>
      <c r="C1563" s="1" t="n">
        <v>45345</v>
      </c>
      <c r="D1563" t="inlineStr">
        <is>
          <t>STOCKHOLMS LÄN</t>
        </is>
      </c>
      <c r="E1563" t="inlineStr">
        <is>
          <t>NORRTÄLJE</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27651-2023</t>
        </is>
      </c>
      <c r="B1564" s="1" t="n">
        <v>45097</v>
      </c>
      <c r="C1564" s="1" t="n">
        <v>45345</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28281-2023</t>
        </is>
      </c>
      <c r="B1565" s="1" t="n">
        <v>45099</v>
      </c>
      <c r="C1565" s="1" t="n">
        <v>45345</v>
      </c>
      <c r="D1565" t="inlineStr">
        <is>
          <t>STOCKHOLMS LÄN</t>
        </is>
      </c>
      <c r="E1565" t="inlineStr">
        <is>
          <t>NORRTÄLJE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28820-2023</t>
        </is>
      </c>
      <c r="B1566" s="1" t="n">
        <v>45104</v>
      </c>
      <c r="C1566" s="1" t="n">
        <v>45345</v>
      </c>
      <c r="D1566" t="inlineStr">
        <is>
          <t>STOCKHOLMS LÄN</t>
        </is>
      </c>
      <c r="E1566" t="inlineStr">
        <is>
          <t>NORRTÄLJE</t>
        </is>
      </c>
      <c r="F1566" t="inlineStr">
        <is>
          <t>Kommuner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28813-2023</t>
        </is>
      </c>
      <c r="B1567" s="1" t="n">
        <v>45104</v>
      </c>
      <c r="C1567" s="1" t="n">
        <v>45345</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29003-2023</t>
        </is>
      </c>
      <c r="B1568" s="1" t="n">
        <v>45104</v>
      </c>
      <c r="C1568" s="1" t="n">
        <v>45345</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28816-2023</t>
        </is>
      </c>
      <c r="B1569" s="1" t="n">
        <v>45104</v>
      </c>
      <c r="C1569" s="1" t="n">
        <v>45345</v>
      </c>
      <c r="D1569" t="inlineStr">
        <is>
          <t>STOCKHOLMS LÄN</t>
        </is>
      </c>
      <c r="E1569" t="inlineStr">
        <is>
          <t>NORRTÄLJE</t>
        </is>
      </c>
      <c r="F1569" t="inlineStr">
        <is>
          <t>Kommuner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28809-2023</t>
        </is>
      </c>
      <c r="B1570" s="1" t="n">
        <v>45104</v>
      </c>
      <c r="C1570" s="1" t="n">
        <v>45345</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29254-2023</t>
        </is>
      </c>
      <c r="B1571" s="1" t="n">
        <v>45105</v>
      </c>
      <c r="C1571" s="1" t="n">
        <v>45345</v>
      </c>
      <c r="D1571" t="inlineStr">
        <is>
          <t>STOCKHOLMS LÄN</t>
        </is>
      </c>
      <c r="E1571" t="inlineStr">
        <is>
          <t>NORRTÄLJE</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29433-2023</t>
        </is>
      </c>
      <c r="B1572" s="1" t="n">
        <v>45106</v>
      </c>
      <c r="C1572" s="1" t="n">
        <v>45345</v>
      </c>
      <c r="D1572" t="inlineStr">
        <is>
          <t>STOCKHOLMS LÄN</t>
        </is>
      </c>
      <c r="E1572" t="inlineStr">
        <is>
          <t>NORRTÄLJE</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29681-2023</t>
        </is>
      </c>
      <c r="B1573" s="1" t="n">
        <v>45107</v>
      </c>
      <c r="C1573" s="1" t="n">
        <v>45345</v>
      </c>
      <c r="D1573" t="inlineStr">
        <is>
          <t>STOCKHOLMS LÄN</t>
        </is>
      </c>
      <c r="E1573" t="inlineStr">
        <is>
          <t>NORRTÄLJE</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29710-2023</t>
        </is>
      </c>
      <c r="B1574" s="1" t="n">
        <v>45107</v>
      </c>
      <c r="C1574" s="1" t="n">
        <v>45345</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29714-2023</t>
        </is>
      </c>
      <c r="B1575" s="1" t="n">
        <v>45107</v>
      </c>
      <c r="C1575" s="1" t="n">
        <v>45345</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30116-2023</t>
        </is>
      </c>
      <c r="B1576" s="1" t="n">
        <v>45110</v>
      </c>
      <c r="C1576" s="1" t="n">
        <v>45345</v>
      </c>
      <c r="D1576" t="inlineStr">
        <is>
          <t>STOCKHOLMS LÄN</t>
        </is>
      </c>
      <c r="E1576" t="inlineStr">
        <is>
          <t>NORRTÄLJE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30281-2023</t>
        </is>
      </c>
      <c r="B1577" s="1" t="n">
        <v>45110</v>
      </c>
      <c r="C1577" s="1" t="n">
        <v>45345</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30508-2023</t>
        </is>
      </c>
      <c r="B1578" s="1" t="n">
        <v>45111</v>
      </c>
      <c r="C1578" s="1" t="n">
        <v>45345</v>
      </c>
      <c r="D1578" t="inlineStr">
        <is>
          <t>STOCKHOLMS LÄN</t>
        </is>
      </c>
      <c r="E1578" t="inlineStr">
        <is>
          <t>NORRTÄLJE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30496-2023</t>
        </is>
      </c>
      <c r="B1579" s="1" t="n">
        <v>45111</v>
      </c>
      <c r="C1579" s="1" t="n">
        <v>45345</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30516-2023</t>
        </is>
      </c>
      <c r="B1580" s="1" t="n">
        <v>45111</v>
      </c>
      <c r="C1580" s="1" t="n">
        <v>45345</v>
      </c>
      <c r="D1580" t="inlineStr">
        <is>
          <t>STOCKHOLMS LÄN</t>
        </is>
      </c>
      <c r="E1580" t="inlineStr">
        <is>
          <t>NORRTÄLJE</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30525-2023</t>
        </is>
      </c>
      <c r="B1581" s="1" t="n">
        <v>45111</v>
      </c>
      <c r="C1581" s="1" t="n">
        <v>45345</v>
      </c>
      <c r="D1581" t="inlineStr">
        <is>
          <t>STOCKHOLMS LÄN</t>
        </is>
      </c>
      <c r="E1581" t="inlineStr">
        <is>
          <t>NORRTÄLJE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30424-2023</t>
        </is>
      </c>
      <c r="B1582" s="1" t="n">
        <v>45111</v>
      </c>
      <c r="C1582" s="1" t="n">
        <v>45345</v>
      </c>
      <c r="D1582" t="inlineStr">
        <is>
          <t>STOCKHOLMS LÄN</t>
        </is>
      </c>
      <c r="E1582" t="inlineStr">
        <is>
          <t>NORRTÄLJE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30425-2023</t>
        </is>
      </c>
      <c r="B1583" s="1" t="n">
        <v>45111</v>
      </c>
      <c r="C1583" s="1" t="n">
        <v>45345</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30731-2023</t>
        </is>
      </c>
      <c r="B1584" s="1" t="n">
        <v>45112</v>
      </c>
      <c r="C1584" s="1" t="n">
        <v>45345</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30663-2023</t>
        </is>
      </c>
      <c r="B1585" s="1" t="n">
        <v>45112</v>
      </c>
      <c r="C1585" s="1" t="n">
        <v>45345</v>
      </c>
      <c r="D1585" t="inlineStr">
        <is>
          <t>STOCKHOLMS LÄN</t>
        </is>
      </c>
      <c r="E1585" t="inlineStr">
        <is>
          <t>NORRTÄLJE</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30780-2023</t>
        </is>
      </c>
      <c r="B1586" s="1" t="n">
        <v>45112</v>
      </c>
      <c r="C1586" s="1" t="n">
        <v>45345</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30773-2023</t>
        </is>
      </c>
      <c r="B1587" s="1" t="n">
        <v>45112</v>
      </c>
      <c r="C1587" s="1" t="n">
        <v>45345</v>
      </c>
      <c r="D1587" t="inlineStr">
        <is>
          <t>STOCKHOLMS LÄN</t>
        </is>
      </c>
      <c r="E1587" t="inlineStr">
        <is>
          <t>NORRTÄLJE</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30924-2023</t>
        </is>
      </c>
      <c r="B1588" s="1" t="n">
        <v>45113</v>
      </c>
      <c r="C1588" s="1" t="n">
        <v>45345</v>
      </c>
      <c r="D1588" t="inlineStr">
        <is>
          <t>STOCKHOLMS LÄN</t>
        </is>
      </c>
      <c r="E1588" t="inlineStr">
        <is>
          <t>NORRTÄLJE</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30923-2023</t>
        </is>
      </c>
      <c r="B1589" s="1" t="n">
        <v>45113</v>
      </c>
      <c r="C1589" s="1" t="n">
        <v>45345</v>
      </c>
      <c r="D1589" t="inlineStr">
        <is>
          <t>STOCKHOLMS LÄN</t>
        </is>
      </c>
      <c r="E1589" t="inlineStr">
        <is>
          <t>NORRTÄLJE</t>
        </is>
      </c>
      <c r="F1589" t="inlineStr">
        <is>
          <t>Sveaskog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31140-2023</t>
        </is>
      </c>
      <c r="B1590" s="1" t="n">
        <v>45113</v>
      </c>
      <c r="C1590" s="1" t="n">
        <v>45345</v>
      </c>
      <c r="D1590" t="inlineStr">
        <is>
          <t>STOCKHOLMS LÄN</t>
        </is>
      </c>
      <c r="E1590" t="inlineStr">
        <is>
          <t>NORRTÄLJE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30921-2023</t>
        </is>
      </c>
      <c r="B1591" s="1" t="n">
        <v>45113</v>
      </c>
      <c r="C1591" s="1" t="n">
        <v>45345</v>
      </c>
      <c r="D1591" t="inlineStr">
        <is>
          <t>STOCKHOLMS LÄN</t>
        </is>
      </c>
      <c r="E1591" t="inlineStr">
        <is>
          <t>NORRTÄLJE</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31149-2023</t>
        </is>
      </c>
      <c r="B1592" s="1" t="n">
        <v>45113</v>
      </c>
      <c r="C1592" s="1" t="n">
        <v>45345</v>
      </c>
      <c r="D1592" t="inlineStr">
        <is>
          <t>STOCKHOLMS LÄN</t>
        </is>
      </c>
      <c r="E1592" t="inlineStr">
        <is>
          <t>NORRTÄLJE</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31153-2023</t>
        </is>
      </c>
      <c r="B1593" s="1" t="n">
        <v>45113</v>
      </c>
      <c r="C1593" s="1" t="n">
        <v>45345</v>
      </c>
      <c r="D1593" t="inlineStr">
        <is>
          <t>STOCKHOLMS LÄN</t>
        </is>
      </c>
      <c r="E1593" t="inlineStr">
        <is>
          <t>NORRTÄLJE</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31827-2023</t>
        </is>
      </c>
      <c r="B1594" s="1" t="n">
        <v>45118</v>
      </c>
      <c r="C1594" s="1" t="n">
        <v>45345</v>
      </c>
      <c r="D1594" t="inlineStr">
        <is>
          <t>STOCKHOLMS LÄN</t>
        </is>
      </c>
      <c r="E1594" t="inlineStr">
        <is>
          <t>NORRTÄLJE</t>
        </is>
      </c>
      <c r="F1594" t="inlineStr">
        <is>
          <t>Kyrkan</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31832-2023</t>
        </is>
      </c>
      <c r="B1595" s="1" t="n">
        <v>45118</v>
      </c>
      <c r="C1595" s="1" t="n">
        <v>45345</v>
      </c>
      <c r="D1595" t="inlineStr">
        <is>
          <t>STOCKHOLMS LÄN</t>
        </is>
      </c>
      <c r="E1595" t="inlineStr">
        <is>
          <t>NORRTÄLJE</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32071-2023</t>
        </is>
      </c>
      <c r="B1596" s="1" t="n">
        <v>45119</v>
      </c>
      <c r="C1596" s="1" t="n">
        <v>45345</v>
      </c>
      <c r="D1596" t="inlineStr">
        <is>
          <t>STOCKHOLMS LÄN</t>
        </is>
      </c>
      <c r="E1596" t="inlineStr">
        <is>
          <t>NORRTÄLJE</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32621-2023</t>
        </is>
      </c>
      <c r="B1597" s="1" t="n">
        <v>45121</v>
      </c>
      <c r="C1597" s="1" t="n">
        <v>45345</v>
      </c>
      <c r="D1597" t="inlineStr">
        <is>
          <t>STOCKHOLMS LÄN</t>
        </is>
      </c>
      <c r="E1597" t="inlineStr">
        <is>
          <t>NORRTÄLJE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32595-2023</t>
        </is>
      </c>
      <c r="B1598" s="1" t="n">
        <v>45121</v>
      </c>
      <c r="C1598" s="1" t="n">
        <v>45345</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32948-2023</t>
        </is>
      </c>
      <c r="B1599" s="1" t="n">
        <v>45125</v>
      </c>
      <c r="C1599" s="1" t="n">
        <v>45345</v>
      </c>
      <c r="D1599" t="inlineStr">
        <is>
          <t>STOCKHOLMS LÄN</t>
        </is>
      </c>
      <c r="E1599" t="inlineStr">
        <is>
          <t>NORRTÄLJE</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33025-2023</t>
        </is>
      </c>
      <c r="B1600" s="1" t="n">
        <v>45125</v>
      </c>
      <c r="C1600" s="1" t="n">
        <v>45345</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33130-2023</t>
        </is>
      </c>
      <c r="B1601" s="1" t="n">
        <v>45126</v>
      </c>
      <c r="C1601" s="1" t="n">
        <v>45345</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33295-2023</t>
        </is>
      </c>
      <c r="B1602" s="1" t="n">
        <v>45127</v>
      </c>
      <c r="C1602" s="1" t="n">
        <v>45345</v>
      </c>
      <c r="D1602" t="inlineStr">
        <is>
          <t>STOCKHOLMS LÄN</t>
        </is>
      </c>
      <c r="E1602" t="inlineStr">
        <is>
          <t>NORRTÄLJE</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33270-2023</t>
        </is>
      </c>
      <c r="B1603" s="1" t="n">
        <v>45127</v>
      </c>
      <c r="C1603" s="1" t="n">
        <v>45345</v>
      </c>
      <c r="D1603" t="inlineStr">
        <is>
          <t>STOCKHOLMS LÄN</t>
        </is>
      </c>
      <c r="E1603" t="inlineStr">
        <is>
          <t>NORRTÄLJE</t>
        </is>
      </c>
      <c r="F1603" t="inlineStr">
        <is>
          <t>Holmen skog AB</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33226-2023</t>
        </is>
      </c>
      <c r="B1604" s="1" t="n">
        <v>45127</v>
      </c>
      <c r="C1604" s="1" t="n">
        <v>45345</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33243-2023</t>
        </is>
      </c>
      <c r="B1605" s="1" t="n">
        <v>45127</v>
      </c>
      <c r="C1605" s="1" t="n">
        <v>45345</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33291-2023</t>
        </is>
      </c>
      <c r="B1606" s="1" t="n">
        <v>45127</v>
      </c>
      <c r="C1606" s="1" t="n">
        <v>45345</v>
      </c>
      <c r="D1606" t="inlineStr">
        <is>
          <t>STOCKHOLMS LÄN</t>
        </is>
      </c>
      <c r="E1606" t="inlineStr">
        <is>
          <t>NORRTÄLJE</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33353-2023</t>
        </is>
      </c>
      <c r="B1607" s="1" t="n">
        <v>45128</v>
      </c>
      <c r="C1607" s="1" t="n">
        <v>45345</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33569-2023</t>
        </is>
      </c>
      <c r="B1608" s="1" t="n">
        <v>45131</v>
      </c>
      <c r="C1608" s="1" t="n">
        <v>45345</v>
      </c>
      <c r="D1608" t="inlineStr">
        <is>
          <t>STOCKHOLMS LÄN</t>
        </is>
      </c>
      <c r="E1608" t="inlineStr">
        <is>
          <t>NORRTÄLJE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33646-2023</t>
        </is>
      </c>
      <c r="B1609" s="1" t="n">
        <v>45132</v>
      </c>
      <c r="C1609" s="1" t="n">
        <v>45345</v>
      </c>
      <c r="D1609" t="inlineStr">
        <is>
          <t>STOCKHOLMS LÄN</t>
        </is>
      </c>
      <c r="E1609" t="inlineStr">
        <is>
          <t>NORRTÄLJE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33641-2023</t>
        </is>
      </c>
      <c r="B1610" s="1" t="n">
        <v>45132</v>
      </c>
      <c r="C1610" s="1" t="n">
        <v>45345</v>
      </c>
      <c r="D1610" t="inlineStr">
        <is>
          <t>STOCKHOLMS LÄN</t>
        </is>
      </c>
      <c r="E1610" t="inlineStr">
        <is>
          <t>NORRTÄLJE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34085-2023</t>
        </is>
      </c>
      <c r="B1611" s="1" t="n">
        <v>45135</v>
      </c>
      <c r="C1611" s="1" t="n">
        <v>45345</v>
      </c>
      <c r="D1611" t="inlineStr">
        <is>
          <t>STOCKHOLMS LÄN</t>
        </is>
      </c>
      <c r="E1611" t="inlineStr">
        <is>
          <t>NORRTÄLJE</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34084-2023</t>
        </is>
      </c>
      <c r="B1612" s="1" t="n">
        <v>45135</v>
      </c>
      <c r="C1612" s="1" t="n">
        <v>45345</v>
      </c>
      <c r="D1612" t="inlineStr">
        <is>
          <t>STOCKHOLMS LÄN</t>
        </is>
      </c>
      <c r="E1612" t="inlineStr">
        <is>
          <t>NORRTÄLJE</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34132-2023</t>
        </is>
      </c>
      <c r="B1613" s="1" t="n">
        <v>45135</v>
      </c>
      <c r="C1613" s="1" t="n">
        <v>45345</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34391-2023</t>
        </is>
      </c>
      <c r="B1614" s="1" t="n">
        <v>45139</v>
      </c>
      <c r="C1614" s="1" t="n">
        <v>45345</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34461-2023</t>
        </is>
      </c>
      <c r="B1615" s="1" t="n">
        <v>45139</v>
      </c>
      <c r="C1615" s="1" t="n">
        <v>45345</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34462-2023</t>
        </is>
      </c>
      <c r="B1616" s="1" t="n">
        <v>45139</v>
      </c>
      <c r="C1616" s="1" t="n">
        <v>45345</v>
      </c>
      <c r="D1616" t="inlineStr">
        <is>
          <t>STOCKHOLMS LÄN</t>
        </is>
      </c>
      <c r="E1616" t="inlineStr">
        <is>
          <t>NORRTÄLJE</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34825-2023</t>
        </is>
      </c>
      <c r="B1617" s="1" t="n">
        <v>45141</v>
      </c>
      <c r="C1617" s="1" t="n">
        <v>45345</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35215-2023</t>
        </is>
      </c>
      <c r="B1618" s="1" t="n">
        <v>45145</v>
      </c>
      <c r="C1618" s="1" t="n">
        <v>45345</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35219-2023</t>
        </is>
      </c>
      <c r="B1619" s="1" t="n">
        <v>45145</v>
      </c>
      <c r="C1619" s="1" t="n">
        <v>45345</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35127-2023</t>
        </is>
      </c>
      <c r="B1620" s="1" t="n">
        <v>45145</v>
      </c>
      <c r="C1620" s="1" t="n">
        <v>45345</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35131-2023</t>
        </is>
      </c>
      <c r="B1621" s="1" t="n">
        <v>45145</v>
      </c>
      <c r="C1621" s="1" t="n">
        <v>45345</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35128-2023</t>
        </is>
      </c>
      <c r="B1622" s="1" t="n">
        <v>45145</v>
      </c>
      <c r="C1622" s="1" t="n">
        <v>45345</v>
      </c>
      <c r="D1622" t="inlineStr">
        <is>
          <t>STOCKHOLMS LÄN</t>
        </is>
      </c>
      <c r="E1622" t="inlineStr">
        <is>
          <t>NORRTÄLJE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35210-2023</t>
        </is>
      </c>
      <c r="B1623" s="1" t="n">
        <v>45145</v>
      </c>
      <c r="C1623" s="1" t="n">
        <v>45345</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35438-2023</t>
        </is>
      </c>
      <c r="B1624" s="1" t="n">
        <v>45146</v>
      </c>
      <c r="C1624" s="1" t="n">
        <v>45345</v>
      </c>
      <c r="D1624" t="inlineStr">
        <is>
          <t>STOCKHOLMS LÄN</t>
        </is>
      </c>
      <c r="E1624" t="inlineStr">
        <is>
          <t>NORRTÄLJE</t>
        </is>
      </c>
      <c r="F1624" t="inlineStr">
        <is>
          <t>Kommuner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35698-2023</t>
        </is>
      </c>
      <c r="B1625" s="1" t="n">
        <v>45147</v>
      </c>
      <c r="C1625" s="1" t="n">
        <v>45345</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35702-2023</t>
        </is>
      </c>
      <c r="B1626" s="1" t="n">
        <v>45147</v>
      </c>
      <c r="C1626" s="1" t="n">
        <v>45345</v>
      </c>
      <c r="D1626" t="inlineStr">
        <is>
          <t>STOCKHOLMS LÄN</t>
        </is>
      </c>
      <c r="E1626" t="inlineStr">
        <is>
          <t>NORRTÄLJE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35691-2023</t>
        </is>
      </c>
      <c r="B1627" s="1" t="n">
        <v>45147</v>
      </c>
      <c r="C1627" s="1" t="n">
        <v>45345</v>
      </c>
      <c r="D1627" t="inlineStr">
        <is>
          <t>STOCKHOLMS LÄN</t>
        </is>
      </c>
      <c r="E1627" t="inlineStr">
        <is>
          <t>NORRTÄLJE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35695-2023</t>
        </is>
      </c>
      <c r="B1628" s="1" t="n">
        <v>45147</v>
      </c>
      <c r="C1628" s="1" t="n">
        <v>45345</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35696-2023</t>
        </is>
      </c>
      <c r="B1629" s="1" t="n">
        <v>45147</v>
      </c>
      <c r="C1629" s="1" t="n">
        <v>45345</v>
      </c>
      <c r="D1629" t="inlineStr">
        <is>
          <t>STOCKHOLMS LÄN</t>
        </is>
      </c>
      <c r="E1629" t="inlineStr">
        <is>
          <t>NORRTÄLJE</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35700-2023</t>
        </is>
      </c>
      <c r="B1630" s="1" t="n">
        <v>45147</v>
      </c>
      <c r="C1630" s="1" t="n">
        <v>45345</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35704-2023</t>
        </is>
      </c>
      <c r="B1631" s="1" t="n">
        <v>45147</v>
      </c>
      <c r="C1631" s="1" t="n">
        <v>45345</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35693-2023</t>
        </is>
      </c>
      <c r="B1632" s="1" t="n">
        <v>45147</v>
      </c>
      <c r="C1632" s="1" t="n">
        <v>45345</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35701-2023</t>
        </is>
      </c>
      <c r="B1633" s="1" t="n">
        <v>45147</v>
      </c>
      <c r="C1633" s="1" t="n">
        <v>45345</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35823-2023</t>
        </is>
      </c>
      <c r="B1634" s="1" t="n">
        <v>45148</v>
      </c>
      <c r="C1634" s="1" t="n">
        <v>45345</v>
      </c>
      <c r="D1634" t="inlineStr">
        <is>
          <t>STOCKHOLMS LÄN</t>
        </is>
      </c>
      <c r="E1634" t="inlineStr">
        <is>
          <t>NORRTÄLJE</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36253-2023</t>
        </is>
      </c>
      <c r="B1635" s="1" t="n">
        <v>45151</v>
      </c>
      <c r="C1635" s="1" t="n">
        <v>45345</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36257-2023</t>
        </is>
      </c>
      <c r="B1636" s="1" t="n">
        <v>45151</v>
      </c>
      <c r="C1636" s="1" t="n">
        <v>45345</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36259-2023</t>
        </is>
      </c>
      <c r="B1637" s="1" t="n">
        <v>45151</v>
      </c>
      <c r="C1637" s="1" t="n">
        <v>45345</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36254-2023</t>
        </is>
      </c>
      <c r="B1638" s="1" t="n">
        <v>45151</v>
      </c>
      <c r="C1638" s="1" t="n">
        <v>45345</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36258-2023</t>
        </is>
      </c>
      <c r="B1639" s="1" t="n">
        <v>45151</v>
      </c>
      <c r="C1639" s="1" t="n">
        <v>45345</v>
      </c>
      <c r="D1639" t="inlineStr">
        <is>
          <t>STOCKHOLMS LÄN</t>
        </is>
      </c>
      <c r="E1639" t="inlineStr">
        <is>
          <t>NORRTÄLJE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36689-2023</t>
        </is>
      </c>
      <c r="B1640" s="1" t="n">
        <v>45152</v>
      </c>
      <c r="C1640" s="1" t="n">
        <v>45345</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36865-2023</t>
        </is>
      </c>
      <c r="B1641" s="1" t="n">
        <v>45154</v>
      </c>
      <c r="C1641" s="1" t="n">
        <v>45345</v>
      </c>
      <c r="D1641" t="inlineStr">
        <is>
          <t>STOCKHOLMS LÄN</t>
        </is>
      </c>
      <c r="E1641" t="inlineStr">
        <is>
          <t>NORRTÄLJE</t>
        </is>
      </c>
      <c r="F1641" t="inlineStr">
        <is>
          <t>Kyrkan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37139-2023</t>
        </is>
      </c>
      <c r="B1642" s="1" t="n">
        <v>45155</v>
      </c>
      <c r="C1642" s="1" t="n">
        <v>45345</v>
      </c>
      <c r="D1642" t="inlineStr">
        <is>
          <t>STOCKHOLMS LÄN</t>
        </is>
      </c>
      <c r="E1642" t="inlineStr">
        <is>
          <t>NORRTÄLJE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37136-2023</t>
        </is>
      </c>
      <c r="B1643" s="1" t="n">
        <v>45155</v>
      </c>
      <c r="C1643" s="1" t="n">
        <v>45345</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37147-2023</t>
        </is>
      </c>
      <c r="B1644" s="1" t="n">
        <v>45155</v>
      </c>
      <c r="C1644" s="1" t="n">
        <v>45345</v>
      </c>
      <c r="D1644" t="inlineStr">
        <is>
          <t>STOCKHOLMS LÄN</t>
        </is>
      </c>
      <c r="E1644" t="inlineStr">
        <is>
          <t>NORRTÄLJE</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37670-2023</t>
        </is>
      </c>
      <c r="B1645" s="1" t="n">
        <v>45159</v>
      </c>
      <c r="C1645" s="1" t="n">
        <v>45345</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38049-2023</t>
        </is>
      </c>
      <c r="B1646" s="1" t="n">
        <v>45159</v>
      </c>
      <c r="C1646" s="1" t="n">
        <v>45345</v>
      </c>
      <c r="D1646" t="inlineStr">
        <is>
          <t>STOCKHOLMS LÄN</t>
        </is>
      </c>
      <c r="E1646" t="inlineStr">
        <is>
          <t>NORRTÄLJE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38022-2023</t>
        </is>
      </c>
      <c r="B1647" s="1" t="n">
        <v>45160</v>
      </c>
      <c r="C1647" s="1" t="n">
        <v>45345</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38482-2023</t>
        </is>
      </c>
      <c r="B1648" s="1" t="n">
        <v>45162</v>
      </c>
      <c r="C1648" s="1" t="n">
        <v>45345</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38487-2023</t>
        </is>
      </c>
      <c r="B1649" s="1" t="n">
        <v>45162</v>
      </c>
      <c r="C1649" s="1" t="n">
        <v>45345</v>
      </c>
      <c r="D1649" t="inlineStr">
        <is>
          <t>STOCKHOLMS LÄN</t>
        </is>
      </c>
      <c r="E1649" t="inlineStr">
        <is>
          <t>NORRTÄLJE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38591-2023</t>
        </is>
      </c>
      <c r="B1650" s="1" t="n">
        <v>45162</v>
      </c>
      <c r="C1650" s="1" t="n">
        <v>45345</v>
      </c>
      <c r="D1650" t="inlineStr">
        <is>
          <t>STOCKHOLMS LÄN</t>
        </is>
      </c>
      <c r="E1650" t="inlineStr">
        <is>
          <t>NORRTÄLJE</t>
        </is>
      </c>
      <c r="F1650" t="inlineStr">
        <is>
          <t>Övriga Aktiebolag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39229-2023</t>
        </is>
      </c>
      <c r="B1651" s="1" t="n">
        <v>45166</v>
      </c>
      <c r="C1651" s="1" t="n">
        <v>45345</v>
      </c>
      <c r="D1651" t="inlineStr">
        <is>
          <t>STOCKHOLMS LÄN</t>
        </is>
      </c>
      <c r="E1651" t="inlineStr">
        <is>
          <t>NORRTÄLJE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39879-2023</t>
        </is>
      </c>
      <c r="B1652" s="1" t="n">
        <v>45168</v>
      </c>
      <c r="C1652" s="1" t="n">
        <v>45345</v>
      </c>
      <c r="D1652" t="inlineStr">
        <is>
          <t>STOCKHOLMS LÄN</t>
        </is>
      </c>
      <c r="E1652" t="inlineStr">
        <is>
          <t>NORRTÄLJE</t>
        </is>
      </c>
      <c r="F1652" t="inlineStr">
        <is>
          <t>Holmen skog AB</t>
        </is>
      </c>
      <c r="G1652" t="n">
        <v>10.9</v>
      </c>
      <c r="H1652" t="n">
        <v>0</v>
      </c>
      <c r="I1652" t="n">
        <v>0</v>
      </c>
      <c r="J1652" t="n">
        <v>0</v>
      </c>
      <c r="K1652" t="n">
        <v>0</v>
      </c>
      <c r="L1652" t="n">
        <v>0</v>
      </c>
      <c r="M1652" t="n">
        <v>0</v>
      </c>
      <c r="N1652" t="n">
        <v>0</v>
      </c>
      <c r="O1652" t="n">
        <v>0</v>
      </c>
      <c r="P1652" t="n">
        <v>0</v>
      </c>
      <c r="Q1652" t="n">
        <v>0</v>
      </c>
      <c r="R1652" s="2" t="inlineStr"/>
    </row>
    <row r="1653" ht="15" customHeight="1">
      <c r="A1653" t="inlineStr">
        <is>
          <t>A 39905-2023</t>
        </is>
      </c>
      <c r="B1653" s="1" t="n">
        <v>45168</v>
      </c>
      <c r="C1653" s="1" t="n">
        <v>45345</v>
      </c>
      <c r="D1653" t="inlineStr">
        <is>
          <t>STOCKHOLMS LÄN</t>
        </is>
      </c>
      <c r="E1653" t="inlineStr">
        <is>
          <t>NORRTÄLJE</t>
        </is>
      </c>
      <c r="F1653" t="inlineStr">
        <is>
          <t>Holmen skog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40139-2023</t>
        </is>
      </c>
      <c r="B1654" s="1" t="n">
        <v>45169</v>
      </c>
      <c r="C1654" s="1" t="n">
        <v>45345</v>
      </c>
      <c r="D1654" t="inlineStr">
        <is>
          <t>STOCKHOLMS LÄN</t>
        </is>
      </c>
      <c r="E1654" t="inlineStr">
        <is>
          <t>NORRTÄLJE</t>
        </is>
      </c>
      <c r="F1654" t="inlineStr">
        <is>
          <t>Kyrkan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40192-2023</t>
        </is>
      </c>
      <c r="B1655" s="1" t="n">
        <v>45169</v>
      </c>
      <c r="C1655" s="1" t="n">
        <v>45345</v>
      </c>
      <c r="D1655" t="inlineStr">
        <is>
          <t>STOCKHOLMS LÄN</t>
        </is>
      </c>
      <c r="E1655" t="inlineStr">
        <is>
          <t>NORRTÄLJE</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40161-2023</t>
        </is>
      </c>
      <c r="B1656" s="1" t="n">
        <v>45169</v>
      </c>
      <c r="C1656" s="1" t="n">
        <v>45345</v>
      </c>
      <c r="D1656" t="inlineStr">
        <is>
          <t>STOCKHOLMS LÄN</t>
        </is>
      </c>
      <c r="E1656" t="inlineStr">
        <is>
          <t>NORRTÄLJE</t>
        </is>
      </c>
      <c r="F1656" t="inlineStr">
        <is>
          <t>Kyrkan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40190-2023</t>
        </is>
      </c>
      <c r="B1657" s="1" t="n">
        <v>45169</v>
      </c>
      <c r="C1657" s="1" t="n">
        <v>45345</v>
      </c>
      <c r="D1657" t="inlineStr">
        <is>
          <t>STOCKHOLMS LÄN</t>
        </is>
      </c>
      <c r="E1657" t="inlineStr">
        <is>
          <t>NORRTÄLJE</t>
        </is>
      </c>
      <c r="F1657" t="inlineStr">
        <is>
          <t>Kyrkan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40379-2023</t>
        </is>
      </c>
      <c r="B1658" s="1" t="n">
        <v>45169</v>
      </c>
      <c r="C1658" s="1" t="n">
        <v>45345</v>
      </c>
      <c r="D1658" t="inlineStr">
        <is>
          <t>STOCKHOLMS LÄN</t>
        </is>
      </c>
      <c r="E1658" t="inlineStr">
        <is>
          <t>NORRTÄLJE</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41172-2023</t>
        </is>
      </c>
      <c r="B1659" s="1" t="n">
        <v>45170</v>
      </c>
      <c r="C1659" s="1" t="n">
        <v>45345</v>
      </c>
      <c r="D1659" t="inlineStr">
        <is>
          <t>STOCKHOLMS LÄN</t>
        </is>
      </c>
      <c r="E1659" t="inlineStr">
        <is>
          <t>NORRTÄLJE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40995-2023</t>
        </is>
      </c>
      <c r="B1660" s="1" t="n">
        <v>45173</v>
      </c>
      <c r="C1660" s="1" t="n">
        <v>45345</v>
      </c>
      <c r="D1660" t="inlineStr">
        <is>
          <t>STOCKHOLMS LÄN</t>
        </is>
      </c>
      <c r="E1660" t="inlineStr">
        <is>
          <t>NORRTÄLJE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41335-2023</t>
        </is>
      </c>
      <c r="B1661" s="1" t="n">
        <v>45174</v>
      </c>
      <c r="C1661" s="1" t="n">
        <v>45345</v>
      </c>
      <c r="D1661" t="inlineStr">
        <is>
          <t>STOCKHOLMS LÄN</t>
        </is>
      </c>
      <c r="E1661" t="inlineStr">
        <is>
          <t>NORRTÄLJE</t>
        </is>
      </c>
      <c r="F1661" t="inlineStr">
        <is>
          <t>Holmen skog AB</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41587-2023</t>
        </is>
      </c>
      <c r="B1662" s="1" t="n">
        <v>45175</v>
      </c>
      <c r="C1662" s="1" t="n">
        <v>45345</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41716-2023</t>
        </is>
      </c>
      <c r="B1663" s="1" t="n">
        <v>45176</v>
      </c>
      <c r="C1663" s="1" t="n">
        <v>45345</v>
      </c>
      <c r="D1663" t="inlineStr">
        <is>
          <t>STOCKHOLMS LÄN</t>
        </is>
      </c>
      <c r="E1663" t="inlineStr">
        <is>
          <t>NORRTÄLJE</t>
        </is>
      </c>
      <c r="F1663" t="inlineStr">
        <is>
          <t>Kyrkan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41715-2023</t>
        </is>
      </c>
      <c r="B1664" s="1" t="n">
        <v>45176</v>
      </c>
      <c r="C1664" s="1" t="n">
        <v>45345</v>
      </c>
      <c r="D1664" t="inlineStr">
        <is>
          <t>STOCKHOLMS LÄN</t>
        </is>
      </c>
      <c r="E1664" t="inlineStr">
        <is>
          <t>NORRTÄLJE</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41880-2023</t>
        </is>
      </c>
      <c r="B1665" s="1" t="n">
        <v>45176</v>
      </c>
      <c r="C1665" s="1" t="n">
        <v>45345</v>
      </c>
      <c r="D1665" t="inlineStr">
        <is>
          <t>STOCKHOLMS LÄN</t>
        </is>
      </c>
      <c r="E1665" t="inlineStr">
        <is>
          <t>NORRTÄLJE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42094-2023</t>
        </is>
      </c>
      <c r="B1666" s="1" t="n">
        <v>45177</v>
      </c>
      <c r="C1666" s="1" t="n">
        <v>45345</v>
      </c>
      <c r="D1666" t="inlineStr">
        <is>
          <t>STOCKHOLMS LÄN</t>
        </is>
      </c>
      <c r="E1666" t="inlineStr">
        <is>
          <t>NORRTÄLJE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42075-2023</t>
        </is>
      </c>
      <c r="B1667" s="1" t="n">
        <v>45177</v>
      </c>
      <c r="C1667" s="1" t="n">
        <v>45345</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42199-2023</t>
        </is>
      </c>
      <c r="B1668" s="1" t="n">
        <v>45179</v>
      </c>
      <c r="C1668" s="1" t="n">
        <v>45345</v>
      </c>
      <c r="D1668" t="inlineStr">
        <is>
          <t>STOCKHOLMS LÄN</t>
        </is>
      </c>
      <c r="E1668" t="inlineStr">
        <is>
          <t>NORRTÄLJE</t>
        </is>
      </c>
      <c r="F1668" t="inlineStr">
        <is>
          <t>Sveaskog</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42200-2023</t>
        </is>
      </c>
      <c r="B1669" s="1" t="n">
        <v>45179</v>
      </c>
      <c r="C1669" s="1" t="n">
        <v>45345</v>
      </c>
      <c r="D1669" t="inlineStr">
        <is>
          <t>STOCKHOLMS LÄN</t>
        </is>
      </c>
      <c r="E1669" t="inlineStr">
        <is>
          <t>NORRTÄLJE</t>
        </is>
      </c>
      <c r="F1669" t="inlineStr">
        <is>
          <t>Sveaskog</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42765-2023</t>
        </is>
      </c>
      <c r="B1670" s="1" t="n">
        <v>45181</v>
      </c>
      <c r="C1670" s="1" t="n">
        <v>45345</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42775-2023</t>
        </is>
      </c>
      <c r="B1671" s="1" t="n">
        <v>45181</v>
      </c>
      <c r="C1671" s="1" t="n">
        <v>45345</v>
      </c>
      <c r="D1671" t="inlineStr">
        <is>
          <t>STOCKHOLMS LÄN</t>
        </is>
      </c>
      <c r="E1671" t="inlineStr">
        <is>
          <t>NORRTÄLJE</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42948-2023</t>
        </is>
      </c>
      <c r="B1672" s="1" t="n">
        <v>45182</v>
      </c>
      <c r="C1672" s="1" t="n">
        <v>45345</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42977-2023</t>
        </is>
      </c>
      <c r="B1673" s="1" t="n">
        <v>45182</v>
      </c>
      <c r="C1673" s="1" t="n">
        <v>45345</v>
      </c>
      <c r="D1673" t="inlineStr">
        <is>
          <t>STOCKHOLMS LÄN</t>
        </is>
      </c>
      <c r="E1673" t="inlineStr">
        <is>
          <t>NORRTÄLJE</t>
        </is>
      </c>
      <c r="F1673" t="inlineStr">
        <is>
          <t>Sveaskog</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43140-2023</t>
        </is>
      </c>
      <c r="B1674" s="1" t="n">
        <v>45183</v>
      </c>
      <c r="C1674" s="1" t="n">
        <v>45345</v>
      </c>
      <c r="D1674" t="inlineStr">
        <is>
          <t>STOCKHOLMS LÄN</t>
        </is>
      </c>
      <c r="E1674" t="inlineStr">
        <is>
          <t>NORRTÄLJE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43207-2023</t>
        </is>
      </c>
      <c r="B1675" s="1" t="n">
        <v>45183</v>
      </c>
      <c r="C1675" s="1" t="n">
        <v>45345</v>
      </c>
      <c r="D1675" t="inlineStr">
        <is>
          <t>STOCKHOLMS LÄN</t>
        </is>
      </c>
      <c r="E1675" t="inlineStr">
        <is>
          <t>NORRTÄLJE</t>
        </is>
      </c>
      <c r="F1675" t="inlineStr">
        <is>
          <t>Kyrkan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43150-2023</t>
        </is>
      </c>
      <c r="B1676" s="1" t="n">
        <v>45183</v>
      </c>
      <c r="C1676" s="1" t="n">
        <v>45345</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43170-2023</t>
        </is>
      </c>
      <c r="B1677" s="1" t="n">
        <v>45183</v>
      </c>
      <c r="C1677" s="1" t="n">
        <v>45345</v>
      </c>
      <c r="D1677" t="inlineStr">
        <is>
          <t>STOCKHOLMS LÄN</t>
        </is>
      </c>
      <c r="E1677" t="inlineStr">
        <is>
          <t>NORRTÄLJE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43289-2023</t>
        </is>
      </c>
      <c r="B1678" s="1" t="n">
        <v>45183</v>
      </c>
      <c r="C1678" s="1" t="n">
        <v>45345</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43300-2023</t>
        </is>
      </c>
      <c r="B1679" s="1" t="n">
        <v>45183</v>
      </c>
      <c r="C1679" s="1" t="n">
        <v>45345</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43638-2023</t>
        </is>
      </c>
      <c r="B1680" s="1" t="n">
        <v>45186</v>
      </c>
      <c r="C1680" s="1" t="n">
        <v>45345</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43684-2023</t>
        </is>
      </c>
      <c r="B1681" s="1" t="n">
        <v>45187</v>
      </c>
      <c r="C1681" s="1" t="n">
        <v>45345</v>
      </c>
      <c r="D1681" t="inlineStr">
        <is>
          <t>STOCKHOLMS LÄN</t>
        </is>
      </c>
      <c r="E1681" t="inlineStr">
        <is>
          <t>NORRTÄLJE</t>
        </is>
      </c>
      <c r="F1681" t="inlineStr">
        <is>
          <t>Holmen skog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43836-2023</t>
        </is>
      </c>
      <c r="B1682" s="1" t="n">
        <v>45187</v>
      </c>
      <c r="C1682" s="1" t="n">
        <v>45345</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43710-2023</t>
        </is>
      </c>
      <c r="B1683" s="1" t="n">
        <v>45187</v>
      </c>
      <c r="C1683" s="1" t="n">
        <v>45345</v>
      </c>
      <c r="D1683" t="inlineStr">
        <is>
          <t>STOCKHOLMS LÄN</t>
        </is>
      </c>
      <c r="E1683" t="inlineStr">
        <is>
          <t>NORRTÄLJE</t>
        </is>
      </c>
      <c r="F1683" t="inlineStr">
        <is>
          <t>Holmen skog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44891-2023</t>
        </is>
      </c>
      <c r="B1684" s="1" t="n">
        <v>45187</v>
      </c>
      <c r="C1684" s="1" t="n">
        <v>45345</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44885-2023</t>
        </is>
      </c>
      <c r="B1685" s="1" t="n">
        <v>45187</v>
      </c>
      <c r="C1685" s="1" t="n">
        <v>45345</v>
      </c>
      <c r="D1685" t="inlineStr">
        <is>
          <t>STOCKHOLMS LÄN</t>
        </is>
      </c>
      <c r="E1685" t="inlineStr">
        <is>
          <t>NORRTÄLJE</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44075-2023</t>
        </is>
      </c>
      <c r="B1686" s="1" t="n">
        <v>45188</v>
      </c>
      <c r="C1686" s="1" t="n">
        <v>45345</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44154-2023</t>
        </is>
      </c>
      <c r="B1687" s="1" t="n">
        <v>45188</v>
      </c>
      <c r="C1687" s="1" t="n">
        <v>45345</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44571-2023</t>
        </is>
      </c>
      <c r="B1688" s="1" t="n">
        <v>45189</v>
      </c>
      <c r="C1688" s="1" t="n">
        <v>45345</v>
      </c>
      <c r="D1688" t="inlineStr">
        <is>
          <t>STOCKHOLMS LÄN</t>
        </is>
      </c>
      <c r="E1688" t="inlineStr">
        <is>
          <t>NORRTÄLJE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44836-2023</t>
        </is>
      </c>
      <c r="B1689" s="1" t="n">
        <v>45190</v>
      </c>
      <c r="C1689" s="1" t="n">
        <v>45345</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45173-2023</t>
        </is>
      </c>
      <c r="B1690" s="1" t="n">
        <v>45191</v>
      </c>
      <c r="C1690" s="1" t="n">
        <v>45345</v>
      </c>
      <c r="D1690" t="inlineStr">
        <is>
          <t>STOCKHOLMS LÄN</t>
        </is>
      </c>
      <c r="E1690" t="inlineStr">
        <is>
          <t>NORRTÄLJE</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45174-2023</t>
        </is>
      </c>
      <c r="B1691" s="1" t="n">
        <v>45191</v>
      </c>
      <c r="C1691" s="1" t="n">
        <v>45345</v>
      </c>
      <c r="D1691" t="inlineStr">
        <is>
          <t>STOCKHOLMS LÄN</t>
        </is>
      </c>
      <c r="E1691" t="inlineStr">
        <is>
          <t>NORRTÄLJE</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46161-2023</t>
        </is>
      </c>
      <c r="B1692" s="1" t="n">
        <v>45196</v>
      </c>
      <c r="C1692" s="1" t="n">
        <v>45345</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46155-2023</t>
        </is>
      </c>
      <c r="B1693" s="1" t="n">
        <v>45196</v>
      </c>
      <c r="C1693" s="1" t="n">
        <v>45345</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46621-2023</t>
        </is>
      </c>
      <c r="B1694" s="1" t="n">
        <v>45198</v>
      </c>
      <c r="C1694" s="1" t="n">
        <v>45345</v>
      </c>
      <c r="D1694" t="inlineStr">
        <is>
          <t>STOCKHOLMS LÄN</t>
        </is>
      </c>
      <c r="E1694" t="inlineStr">
        <is>
          <t>NORRTÄLJE</t>
        </is>
      </c>
      <c r="F1694" t="inlineStr">
        <is>
          <t>Holmen skog AB</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47419-2023</t>
        </is>
      </c>
      <c r="B1695" s="1" t="n">
        <v>45202</v>
      </c>
      <c r="C1695" s="1" t="n">
        <v>45345</v>
      </c>
      <c r="D1695" t="inlineStr">
        <is>
          <t>STOCKHOLMS LÄN</t>
        </is>
      </c>
      <c r="E1695" t="inlineStr">
        <is>
          <t>NORRTÄLJE</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47431-2023</t>
        </is>
      </c>
      <c r="B1696" s="1" t="n">
        <v>45202</v>
      </c>
      <c r="C1696" s="1" t="n">
        <v>45345</v>
      </c>
      <c r="D1696" t="inlineStr">
        <is>
          <t>STOCKHOLMS LÄN</t>
        </is>
      </c>
      <c r="E1696" t="inlineStr">
        <is>
          <t>NORRTÄLJE</t>
        </is>
      </c>
      <c r="F1696" t="inlineStr">
        <is>
          <t>Naturvårdsverket</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47325-2023</t>
        </is>
      </c>
      <c r="B1697" s="1" t="n">
        <v>45202</v>
      </c>
      <c r="C1697" s="1" t="n">
        <v>45345</v>
      </c>
      <c r="D1697" t="inlineStr">
        <is>
          <t>STOCKHOLMS LÄN</t>
        </is>
      </c>
      <c r="E1697" t="inlineStr">
        <is>
          <t>NORRTÄLJE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47433-2023</t>
        </is>
      </c>
      <c r="B1698" s="1" t="n">
        <v>45202</v>
      </c>
      <c r="C1698" s="1" t="n">
        <v>45345</v>
      </c>
      <c r="D1698" t="inlineStr">
        <is>
          <t>STOCKHOLMS LÄN</t>
        </is>
      </c>
      <c r="E1698" t="inlineStr">
        <is>
          <t>NORRTÄLJE</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47388-2023</t>
        </is>
      </c>
      <c r="B1699" s="1" t="n">
        <v>45202</v>
      </c>
      <c r="C1699" s="1" t="n">
        <v>45345</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47430-2023</t>
        </is>
      </c>
      <c r="B1700" s="1" t="n">
        <v>45202</v>
      </c>
      <c r="C1700" s="1" t="n">
        <v>45345</v>
      </c>
      <c r="D1700" t="inlineStr">
        <is>
          <t>STOCKHOLMS LÄN</t>
        </is>
      </c>
      <c r="E1700" t="inlineStr">
        <is>
          <t>NORRTÄLJE</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49775-2023</t>
        </is>
      </c>
      <c r="B1701" s="1" t="n">
        <v>45202</v>
      </c>
      <c r="C1701" s="1" t="n">
        <v>45345</v>
      </c>
      <c r="D1701" t="inlineStr">
        <is>
          <t>STOCKHOLMS LÄN</t>
        </is>
      </c>
      <c r="E1701" t="inlineStr">
        <is>
          <t>NORRTÄLJE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48578-2023</t>
        </is>
      </c>
      <c r="B1702" s="1" t="n">
        <v>45202</v>
      </c>
      <c r="C1702" s="1" t="n">
        <v>45345</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49774-2023</t>
        </is>
      </c>
      <c r="B1703" s="1" t="n">
        <v>45202</v>
      </c>
      <c r="C1703" s="1" t="n">
        <v>45345</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47672-2023</t>
        </is>
      </c>
      <c r="B1704" s="1" t="n">
        <v>45203</v>
      </c>
      <c r="C1704" s="1" t="n">
        <v>45345</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47694-2023</t>
        </is>
      </c>
      <c r="B1705" s="1" t="n">
        <v>45203</v>
      </c>
      <c r="C1705" s="1" t="n">
        <v>45345</v>
      </c>
      <c r="D1705" t="inlineStr">
        <is>
          <t>STOCKHOLMS LÄN</t>
        </is>
      </c>
      <c r="E1705" t="inlineStr">
        <is>
          <t>NORRTÄLJE</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47708-2023</t>
        </is>
      </c>
      <c r="B1706" s="1" t="n">
        <v>45203</v>
      </c>
      <c r="C1706" s="1" t="n">
        <v>45345</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47758-2023</t>
        </is>
      </c>
      <c r="B1707" s="1" t="n">
        <v>45203</v>
      </c>
      <c r="C1707" s="1" t="n">
        <v>45345</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47699-2023</t>
        </is>
      </c>
      <c r="B1708" s="1" t="n">
        <v>45203</v>
      </c>
      <c r="C1708" s="1" t="n">
        <v>45345</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47735-2023</t>
        </is>
      </c>
      <c r="B1709" s="1" t="n">
        <v>45203</v>
      </c>
      <c r="C1709" s="1" t="n">
        <v>45345</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48167-2023</t>
        </is>
      </c>
      <c r="B1710" s="1" t="n">
        <v>45205</v>
      </c>
      <c r="C1710" s="1" t="n">
        <v>45345</v>
      </c>
      <c r="D1710" t="inlineStr">
        <is>
          <t>STOCKHOLMS LÄN</t>
        </is>
      </c>
      <c r="E1710" t="inlineStr">
        <is>
          <t>NORRTÄLJE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48180-2023</t>
        </is>
      </c>
      <c r="B1711" s="1" t="n">
        <v>45205</v>
      </c>
      <c r="C1711" s="1" t="n">
        <v>45345</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48185-2023</t>
        </is>
      </c>
      <c r="B1712" s="1" t="n">
        <v>45205</v>
      </c>
      <c r="C1712" s="1" t="n">
        <v>45345</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48302-2023</t>
        </is>
      </c>
      <c r="B1713" s="1" t="n">
        <v>45205</v>
      </c>
      <c r="C1713" s="1" t="n">
        <v>45345</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48333-2023</t>
        </is>
      </c>
      <c r="B1714" s="1" t="n">
        <v>45205</v>
      </c>
      <c r="C1714" s="1" t="n">
        <v>45345</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48541-2023</t>
        </is>
      </c>
      <c r="B1715" s="1" t="n">
        <v>45208</v>
      </c>
      <c r="C1715" s="1" t="n">
        <v>45345</v>
      </c>
      <c r="D1715" t="inlineStr">
        <is>
          <t>STOCKHOLMS LÄN</t>
        </is>
      </c>
      <c r="E1715" t="inlineStr">
        <is>
          <t>NORRTÄLJE</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48552-2023</t>
        </is>
      </c>
      <c r="B1716" s="1" t="n">
        <v>45208</v>
      </c>
      <c r="C1716" s="1" t="n">
        <v>45345</v>
      </c>
      <c r="D1716" t="inlineStr">
        <is>
          <t>STOCKHOLMS LÄN</t>
        </is>
      </c>
      <c r="E1716" t="inlineStr">
        <is>
          <t>NORRTÄLJE</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48587-2023</t>
        </is>
      </c>
      <c r="B1717" s="1" t="n">
        <v>45208</v>
      </c>
      <c r="C1717" s="1" t="n">
        <v>45345</v>
      </c>
      <c r="D1717" t="inlineStr">
        <is>
          <t>STOCKHOLMS LÄN</t>
        </is>
      </c>
      <c r="E1717" t="inlineStr">
        <is>
          <t>NORRTÄLJE</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48633-2023</t>
        </is>
      </c>
      <c r="B1718" s="1" t="n">
        <v>45208</v>
      </c>
      <c r="C1718" s="1" t="n">
        <v>45345</v>
      </c>
      <c r="D1718" t="inlineStr">
        <is>
          <t>STOCKHOLMS LÄN</t>
        </is>
      </c>
      <c r="E1718" t="inlineStr">
        <is>
          <t>NORRTÄLJE</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48641-2023</t>
        </is>
      </c>
      <c r="B1719" s="1" t="n">
        <v>45208</v>
      </c>
      <c r="C1719" s="1" t="n">
        <v>45345</v>
      </c>
      <c r="D1719" t="inlineStr">
        <is>
          <t>STOCKHOLMS LÄN</t>
        </is>
      </c>
      <c r="E1719" t="inlineStr">
        <is>
          <t>NORRTÄLJE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48686-2023</t>
        </is>
      </c>
      <c r="B1720" s="1" t="n">
        <v>45208</v>
      </c>
      <c r="C1720" s="1" t="n">
        <v>45345</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48629-2023</t>
        </is>
      </c>
      <c r="B1721" s="1" t="n">
        <v>45208</v>
      </c>
      <c r="C1721" s="1" t="n">
        <v>45345</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48668-2023</t>
        </is>
      </c>
      <c r="B1722" s="1" t="n">
        <v>45208</v>
      </c>
      <c r="C1722" s="1" t="n">
        <v>45345</v>
      </c>
      <c r="D1722" t="inlineStr">
        <is>
          <t>STOCKHOLMS LÄN</t>
        </is>
      </c>
      <c r="E1722" t="inlineStr">
        <is>
          <t>NORRTÄLJE</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48685-2023</t>
        </is>
      </c>
      <c r="B1723" s="1" t="n">
        <v>45208</v>
      </c>
      <c r="C1723" s="1" t="n">
        <v>45345</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48691-2023</t>
        </is>
      </c>
      <c r="B1724" s="1" t="n">
        <v>45208</v>
      </c>
      <c r="C1724" s="1" t="n">
        <v>45345</v>
      </c>
      <c r="D1724" t="inlineStr">
        <is>
          <t>STOCKHOLMS LÄN</t>
        </is>
      </c>
      <c r="E1724" t="inlineStr">
        <is>
          <t>NORRTÄLJE</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48701-2023</t>
        </is>
      </c>
      <c r="B1725" s="1" t="n">
        <v>45208</v>
      </c>
      <c r="C1725" s="1" t="n">
        <v>45345</v>
      </c>
      <c r="D1725" t="inlineStr">
        <is>
          <t>STOCKHOLMS LÄN</t>
        </is>
      </c>
      <c r="E1725" t="inlineStr">
        <is>
          <t>NORRTÄLJE</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48716-2023</t>
        </is>
      </c>
      <c r="B1726" s="1" t="n">
        <v>45208</v>
      </c>
      <c r="C1726" s="1" t="n">
        <v>45345</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48709-2023</t>
        </is>
      </c>
      <c r="B1727" s="1" t="n">
        <v>45208</v>
      </c>
      <c r="C1727" s="1" t="n">
        <v>45345</v>
      </c>
      <c r="D1727" t="inlineStr">
        <is>
          <t>STOCKHOLMS LÄN</t>
        </is>
      </c>
      <c r="E1727" t="inlineStr">
        <is>
          <t>NORRTÄLJE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48722-2023</t>
        </is>
      </c>
      <c r="B1728" s="1" t="n">
        <v>45208</v>
      </c>
      <c r="C1728" s="1" t="n">
        <v>45345</v>
      </c>
      <c r="D1728" t="inlineStr">
        <is>
          <t>STOCKHOLMS LÄN</t>
        </is>
      </c>
      <c r="E1728" t="inlineStr">
        <is>
          <t>NORRTÄLJE</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48726-2023</t>
        </is>
      </c>
      <c r="B1729" s="1" t="n">
        <v>45208</v>
      </c>
      <c r="C1729" s="1" t="n">
        <v>45345</v>
      </c>
      <c r="D1729" t="inlineStr">
        <is>
          <t>STOCKHOLMS LÄN</t>
        </is>
      </c>
      <c r="E1729" t="inlineStr">
        <is>
          <t>NORRTÄLJE</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49169-2023</t>
        </is>
      </c>
      <c r="B1730" s="1" t="n">
        <v>45210</v>
      </c>
      <c r="C1730" s="1" t="n">
        <v>45345</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49176-2023</t>
        </is>
      </c>
      <c r="B1731" s="1" t="n">
        <v>45210</v>
      </c>
      <c r="C1731" s="1" t="n">
        <v>45345</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49224-2023</t>
        </is>
      </c>
      <c r="B1732" s="1" t="n">
        <v>45210</v>
      </c>
      <c r="C1732" s="1" t="n">
        <v>45345</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49696-2023</t>
        </is>
      </c>
      <c r="B1733" s="1" t="n">
        <v>45212</v>
      </c>
      <c r="C1733" s="1" t="n">
        <v>45345</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49700-2023</t>
        </is>
      </c>
      <c r="B1734" s="1" t="n">
        <v>45212</v>
      </c>
      <c r="C1734" s="1" t="n">
        <v>45345</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49694-2023</t>
        </is>
      </c>
      <c r="B1735" s="1" t="n">
        <v>45212</v>
      </c>
      <c r="C1735" s="1" t="n">
        <v>45345</v>
      </c>
      <c r="D1735" t="inlineStr">
        <is>
          <t>STOCKHOLMS LÄN</t>
        </is>
      </c>
      <c r="E1735" t="inlineStr">
        <is>
          <t>NORRTÄLJE</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50143-2023</t>
        </is>
      </c>
      <c r="B1736" s="1" t="n">
        <v>45215</v>
      </c>
      <c r="C1736" s="1" t="n">
        <v>45345</v>
      </c>
      <c r="D1736" t="inlineStr">
        <is>
          <t>STOCKHOLMS LÄN</t>
        </is>
      </c>
      <c r="E1736" t="inlineStr">
        <is>
          <t>NORRTÄLJE</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50107-2023</t>
        </is>
      </c>
      <c r="B1737" s="1" t="n">
        <v>45215</v>
      </c>
      <c r="C1737" s="1" t="n">
        <v>45345</v>
      </c>
      <c r="D1737" t="inlineStr">
        <is>
          <t>STOCKHOLMS LÄN</t>
        </is>
      </c>
      <c r="E1737" t="inlineStr">
        <is>
          <t>NORRTÄLJE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50033-2023</t>
        </is>
      </c>
      <c r="B1738" s="1" t="n">
        <v>45215</v>
      </c>
      <c r="C1738" s="1" t="n">
        <v>45345</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50136-2023</t>
        </is>
      </c>
      <c r="B1739" s="1" t="n">
        <v>45215</v>
      </c>
      <c r="C1739" s="1" t="n">
        <v>45345</v>
      </c>
      <c r="D1739" t="inlineStr">
        <is>
          <t>STOCKHOLMS LÄN</t>
        </is>
      </c>
      <c r="E1739" t="inlineStr">
        <is>
          <t>NORRTÄLJE</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50150-2023</t>
        </is>
      </c>
      <c r="B1740" s="1" t="n">
        <v>45215</v>
      </c>
      <c r="C1740" s="1" t="n">
        <v>45345</v>
      </c>
      <c r="D1740" t="inlineStr">
        <is>
          <t>STOCKHOLMS LÄN</t>
        </is>
      </c>
      <c r="E1740" t="inlineStr">
        <is>
          <t>NORRTÄLJE</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50289-2023</t>
        </is>
      </c>
      <c r="B1741" s="1" t="n">
        <v>45216</v>
      </c>
      <c r="C1741" s="1" t="n">
        <v>45345</v>
      </c>
      <c r="D1741" t="inlineStr">
        <is>
          <t>STOCKHOLMS LÄN</t>
        </is>
      </c>
      <c r="E1741" t="inlineStr">
        <is>
          <t>NORRTÄLJE</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50436-2023</t>
        </is>
      </c>
      <c r="B1742" s="1" t="n">
        <v>45216</v>
      </c>
      <c r="C1742" s="1" t="n">
        <v>45345</v>
      </c>
      <c r="D1742" t="inlineStr">
        <is>
          <t>STOCKHOLMS LÄN</t>
        </is>
      </c>
      <c r="E1742" t="inlineStr">
        <is>
          <t>NORRTÄLJE</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50690-2023</t>
        </is>
      </c>
      <c r="B1743" s="1" t="n">
        <v>45217</v>
      </c>
      <c r="C1743" s="1" t="n">
        <v>45345</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51049-2023</t>
        </is>
      </c>
      <c r="B1744" s="1" t="n">
        <v>45218</v>
      </c>
      <c r="C1744" s="1" t="n">
        <v>45345</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51063-2023</t>
        </is>
      </c>
      <c r="B1745" s="1" t="n">
        <v>45218</v>
      </c>
      <c r="C1745" s="1" t="n">
        <v>45345</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50880-2023</t>
        </is>
      </c>
      <c r="B1746" s="1" t="n">
        <v>45218</v>
      </c>
      <c r="C1746" s="1" t="n">
        <v>45345</v>
      </c>
      <c r="D1746" t="inlineStr">
        <is>
          <t>STOCKHOLMS LÄN</t>
        </is>
      </c>
      <c r="E1746" t="inlineStr">
        <is>
          <t>NORRTÄLJE</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51046-2023</t>
        </is>
      </c>
      <c r="B1747" s="1" t="n">
        <v>45218</v>
      </c>
      <c r="C1747" s="1" t="n">
        <v>45345</v>
      </c>
      <c r="D1747" t="inlineStr">
        <is>
          <t>STOCKHOLMS LÄN</t>
        </is>
      </c>
      <c r="E1747" t="inlineStr">
        <is>
          <t>NORRTÄLJE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51043-2023</t>
        </is>
      </c>
      <c r="B1748" s="1" t="n">
        <v>45218</v>
      </c>
      <c r="C1748" s="1" t="n">
        <v>45345</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51061-2023</t>
        </is>
      </c>
      <c r="B1749" s="1" t="n">
        <v>45218</v>
      </c>
      <c r="C1749" s="1" t="n">
        <v>45345</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51325-2023</t>
        </is>
      </c>
      <c r="B1750" s="1" t="n">
        <v>45219</v>
      </c>
      <c r="C1750" s="1" t="n">
        <v>45345</v>
      </c>
      <c r="D1750" t="inlineStr">
        <is>
          <t>STOCKHOLMS LÄN</t>
        </is>
      </c>
      <c r="E1750" t="inlineStr">
        <is>
          <t>NORRTÄLJE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51312-2023</t>
        </is>
      </c>
      <c r="B1751" s="1" t="n">
        <v>45219</v>
      </c>
      <c r="C1751" s="1" t="n">
        <v>45345</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51597-2023</t>
        </is>
      </c>
      <c r="B1752" s="1" t="n">
        <v>45222</v>
      </c>
      <c r="C1752" s="1" t="n">
        <v>45345</v>
      </c>
      <c r="D1752" t="inlineStr">
        <is>
          <t>STOCKHOLMS LÄN</t>
        </is>
      </c>
      <c r="E1752" t="inlineStr">
        <is>
          <t>NORRTÄLJE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51657-2023</t>
        </is>
      </c>
      <c r="B1753" s="1" t="n">
        <v>45222</v>
      </c>
      <c r="C1753" s="1" t="n">
        <v>45345</v>
      </c>
      <c r="D1753" t="inlineStr">
        <is>
          <t>STOCKHOLMS LÄN</t>
        </is>
      </c>
      <c r="E1753" t="inlineStr">
        <is>
          <t>NORRTÄLJE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51903-2023</t>
        </is>
      </c>
      <c r="B1754" s="1" t="n">
        <v>45223</v>
      </c>
      <c r="C1754" s="1" t="n">
        <v>45345</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52095-2023</t>
        </is>
      </c>
      <c r="B1755" s="1" t="n">
        <v>45223</v>
      </c>
      <c r="C1755" s="1" t="n">
        <v>45345</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51978-2023</t>
        </is>
      </c>
      <c r="B1756" s="1" t="n">
        <v>45223</v>
      </c>
      <c r="C1756" s="1" t="n">
        <v>45345</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52011-2023</t>
        </is>
      </c>
      <c r="B1757" s="1" t="n">
        <v>45223</v>
      </c>
      <c r="C1757" s="1" t="n">
        <v>45345</v>
      </c>
      <c r="D1757" t="inlineStr">
        <is>
          <t>STOCKHOLMS LÄN</t>
        </is>
      </c>
      <c r="E1757" t="inlineStr">
        <is>
          <t>NORRTÄLJE</t>
        </is>
      </c>
      <c r="F1757" t="inlineStr">
        <is>
          <t>Övriga Aktiebolag</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45345</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45345</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45345</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45345</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45345</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45345</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45345</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45345</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45345</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45345</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45345</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45345</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45345</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45345</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45345</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45345</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45345</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45345</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45345</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45345</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45345</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45345</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45345</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45345</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45345</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45345</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45345</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45345</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45345</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45345</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45345</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45345</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45345</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45345</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45345</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45345</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45345</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45345</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45345</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45345</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45345</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45345</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45345</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45345</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45345</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45345</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45345</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45345</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45345</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45345</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45345</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45345</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45345</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45345</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45345</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45345</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45345</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45345</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45345</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45345</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45345</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45345</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45345</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45345</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45345</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45345</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45345</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45345</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45345</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45345</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45345</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45345</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45345</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45345</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45345</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45345</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45345</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45345</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45345</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45345</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45345</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45345</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45345</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45345</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45345</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45345</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45345</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45345</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45345</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45345</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45345</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45345</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45345</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45345</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45345</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45345</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45345</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45345</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45345</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45345</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45345</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45345</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45345</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45345</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5664-2024</t>
        </is>
      </c>
      <c r="B1862" s="1" t="n">
        <v>45334</v>
      </c>
      <c r="C1862" s="1" t="n">
        <v>45345</v>
      </c>
      <c r="D1862" t="inlineStr">
        <is>
          <t>STOCKHOLMS LÄN</t>
        </is>
      </c>
      <c r="E1862" t="inlineStr">
        <is>
          <t>NORRTÄLJE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45345</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5670-2024</t>
        </is>
      </c>
      <c r="B1864" s="1" t="n">
        <v>45334</v>
      </c>
      <c r="C1864" s="1" t="n">
        <v>45345</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45345</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5862-2024</t>
        </is>
      </c>
      <c r="B1866" s="1" t="n">
        <v>45335</v>
      </c>
      <c r="C1866" s="1" t="n">
        <v>45345</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45345</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45345</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45345</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c r="A1870" t="inlineStr">
        <is>
          <t>A 7009-2024</t>
        </is>
      </c>
      <c r="B1870" s="1" t="n">
        <v>45343</v>
      </c>
      <c r="C1870" s="1" t="n">
        <v>45345</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2024-02-23T06:50:11Z</dcterms:created>
  <dcterms:modified xmlns:dcterms="http://purl.org/dc/terms/" xmlns:xsi="http://www.w3.org/2001/XMLSchema-instance" xsi:type="dcterms:W3CDTF">2024-02-23T06:50:13Z</dcterms:modified>
</cp:coreProperties>
</file>