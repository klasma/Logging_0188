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45910</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45910</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45910</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60019-2022</t>
        </is>
      </c>
      <c r="B6" s="1" t="n">
        <v>44909</v>
      </c>
      <c r="C6" s="1" t="n">
        <v>45910</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45910</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45910</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45910</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45910</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45910</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45910</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45910</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45910</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45910</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52815-2021</t>
        </is>
      </c>
      <c r="B16" s="1" t="n">
        <v>44467</v>
      </c>
      <c r="C16" s="1" t="n">
        <v>45910</v>
      </c>
      <c r="D16" t="inlineStr">
        <is>
          <t>STOCKHOLMS LÄN</t>
        </is>
      </c>
      <c r="E16" t="inlineStr">
        <is>
          <t>NORRTÄLJE</t>
        </is>
      </c>
      <c r="G16" t="n">
        <v>2.8</v>
      </c>
      <c r="H16" t="n">
        <v>0</v>
      </c>
      <c r="I16" t="n">
        <v>2</v>
      </c>
      <c r="J16" t="n">
        <v>2</v>
      </c>
      <c r="K16" t="n">
        <v>4</v>
      </c>
      <c r="L16" t="n">
        <v>1</v>
      </c>
      <c r="M16" t="n">
        <v>0</v>
      </c>
      <c r="N16" t="n">
        <v>0</v>
      </c>
      <c r="O16" t="n">
        <v>7</v>
      </c>
      <c r="P16" t="n">
        <v>5</v>
      </c>
      <c r="Q16" t="n">
        <v>9</v>
      </c>
      <c r="R16" s="2" t="inlineStr">
        <is>
          <t>Raggtaggsvamp
Gul lammticka
Koppartaggsvamp
Spricktaggsvamp
Svartfjällig musseron
Bittermusseron
Flattoppad klubbsvamp
Diskvaxskivling
Fjällig taggsvamp s.str.</t>
        </is>
      </c>
      <c r="S16">
        <f>HYPERLINK("https://klasma.github.io/Logging_0188/artfynd/A 52815-2021 artfynd.xlsx", "A 52815-2021")</f>
        <v/>
      </c>
      <c r="T16">
        <f>HYPERLINK("https://klasma.github.io/Logging_0188/kartor/A 52815-2021 karta.png", "A 52815-2021")</f>
        <v/>
      </c>
      <c r="V16">
        <f>HYPERLINK("https://klasma.github.io/Logging_0188/klagomål/A 52815-2021 FSC-klagomål.docx", "A 52815-2021")</f>
        <v/>
      </c>
      <c r="W16">
        <f>HYPERLINK("https://klasma.github.io/Logging_0188/klagomålsmail/A 52815-2021 FSC-klagomål mail.docx", "A 52815-2021")</f>
        <v/>
      </c>
      <c r="X16">
        <f>HYPERLINK("https://klasma.github.io/Logging_0188/tillsyn/A 52815-2021 tillsynsbegäran.docx", "A 52815-2021")</f>
        <v/>
      </c>
      <c r="Y16">
        <f>HYPERLINK("https://klasma.github.io/Logging_0188/tillsynsmail/A 52815-2021 tillsynsbegäran mail.docx", "A 52815-2021")</f>
        <v/>
      </c>
    </row>
    <row r="17" ht="15" customHeight="1">
      <c r="A17" t="inlineStr">
        <is>
          <t>A 50326-2024</t>
        </is>
      </c>
      <c r="B17" s="1" t="n">
        <v>45600</v>
      </c>
      <c r="C17" s="1" t="n">
        <v>45910</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47274-2024</t>
        </is>
      </c>
      <c r="B18" s="1" t="n">
        <v>45586.88145833334</v>
      </c>
      <c r="C18" s="1" t="n">
        <v>45910</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45910</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4705-2025</t>
        </is>
      </c>
      <c r="B20" s="1" t="n">
        <v>45688.38224537037</v>
      </c>
      <c r="C20" s="1" t="n">
        <v>45910</v>
      </c>
      <c r="D20" t="inlineStr">
        <is>
          <t>STOCKHOLMS LÄN</t>
        </is>
      </c>
      <c r="E20" t="inlineStr">
        <is>
          <t>NORRTÄLJE</t>
        </is>
      </c>
      <c r="G20" t="n">
        <v>5.7</v>
      </c>
      <c r="H20" t="n">
        <v>0</v>
      </c>
      <c r="I20" t="n">
        <v>5</v>
      </c>
      <c r="J20" t="n">
        <v>3</v>
      </c>
      <c r="K20" t="n">
        <v>0</v>
      </c>
      <c r="L20" t="n">
        <v>0</v>
      </c>
      <c r="M20" t="n">
        <v>0</v>
      </c>
      <c r="N20" t="n">
        <v>0</v>
      </c>
      <c r="O20" t="n">
        <v>3</v>
      </c>
      <c r="P20" t="n">
        <v>0</v>
      </c>
      <c r="Q20" t="n">
        <v>8</v>
      </c>
      <c r="R20" s="2" t="inlineStr">
        <is>
          <t>Dofttaggsvamp
Granticka
Ullticka
Fjällig taggsvamp s.str.
Skarp dropptaggsvamp
Sårläka
Thomsons trägnagare
Tibast</t>
        </is>
      </c>
      <c r="S20">
        <f>HYPERLINK("https://klasma.github.io/Logging_0188/artfynd/A 4705-2025 artfynd.xlsx", "A 4705-2025")</f>
        <v/>
      </c>
      <c r="T20">
        <f>HYPERLINK("https://klasma.github.io/Logging_0188/kartor/A 4705-2025 karta.png", "A 4705-2025")</f>
        <v/>
      </c>
      <c r="V20">
        <f>HYPERLINK("https://klasma.github.io/Logging_0188/klagomål/A 4705-2025 FSC-klagomål.docx", "A 4705-2025")</f>
        <v/>
      </c>
      <c r="W20">
        <f>HYPERLINK("https://klasma.github.io/Logging_0188/klagomålsmail/A 4705-2025 FSC-klagomål mail.docx", "A 4705-2025")</f>
        <v/>
      </c>
      <c r="X20">
        <f>HYPERLINK("https://klasma.github.io/Logging_0188/tillsyn/A 4705-2025 tillsynsbegäran.docx", "A 4705-2025")</f>
        <v/>
      </c>
      <c r="Y20">
        <f>HYPERLINK("https://klasma.github.io/Logging_0188/tillsynsmail/A 4705-2025 tillsynsbegäran mail.docx", "A 4705-2025")</f>
        <v/>
      </c>
    </row>
    <row r="21" ht="15" customHeight="1">
      <c r="A21" t="inlineStr">
        <is>
          <t>A 59582-2024</t>
        </is>
      </c>
      <c r="B21" s="1" t="n">
        <v>45638</v>
      </c>
      <c r="C21" s="1" t="n">
        <v>45910</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45811-2022</t>
        </is>
      </c>
      <c r="B22" s="1" t="n">
        <v>44846</v>
      </c>
      <c r="C22" s="1" t="n">
        <v>45910</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45910</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45910</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45910</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45910</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34528-2025</t>
        </is>
      </c>
      <c r="B27" s="1" t="n">
        <v>45847.48436342592</v>
      </c>
      <c r="C27" s="1" t="n">
        <v>45910</v>
      </c>
      <c r="D27" t="inlineStr">
        <is>
          <t>STOCKHOLMS LÄN</t>
        </is>
      </c>
      <c r="E27" t="inlineStr">
        <is>
          <t>NORRTÄLJE</t>
        </is>
      </c>
      <c r="G27" t="n">
        <v>1</v>
      </c>
      <c r="H27" t="n">
        <v>1</v>
      </c>
      <c r="I27" t="n">
        <v>2</v>
      </c>
      <c r="J27" t="n">
        <v>3</v>
      </c>
      <c r="K27" t="n">
        <v>1</v>
      </c>
      <c r="L27" t="n">
        <v>0</v>
      </c>
      <c r="M27" t="n">
        <v>0</v>
      </c>
      <c r="N27" t="n">
        <v>0</v>
      </c>
      <c r="O27" t="n">
        <v>4</v>
      </c>
      <c r="P27" t="n">
        <v>1</v>
      </c>
      <c r="Q27" t="n">
        <v>6</v>
      </c>
      <c r="R27" s="2" t="inlineStr">
        <is>
          <t>Gyllenfingersvamp
Gammelgransskål
Motaggsvamp
Spillkråka
Fjällig taggsvamp s.str.
Svavelriska</t>
        </is>
      </c>
      <c r="S27">
        <f>HYPERLINK("https://klasma.github.io/Logging_0188/artfynd/A 34528-2025 artfynd.xlsx", "A 34528-2025")</f>
        <v/>
      </c>
      <c r="T27">
        <f>HYPERLINK("https://klasma.github.io/Logging_0188/kartor/A 34528-2025 karta.png", "A 34528-2025")</f>
        <v/>
      </c>
      <c r="V27">
        <f>HYPERLINK("https://klasma.github.io/Logging_0188/klagomål/A 34528-2025 FSC-klagomål.docx", "A 34528-2025")</f>
        <v/>
      </c>
      <c r="W27">
        <f>HYPERLINK("https://klasma.github.io/Logging_0188/klagomålsmail/A 34528-2025 FSC-klagomål mail.docx", "A 34528-2025")</f>
        <v/>
      </c>
      <c r="X27">
        <f>HYPERLINK("https://klasma.github.io/Logging_0188/tillsyn/A 34528-2025 tillsynsbegäran.docx", "A 34528-2025")</f>
        <v/>
      </c>
      <c r="Y27">
        <f>HYPERLINK("https://klasma.github.io/Logging_0188/tillsynsmail/A 34528-2025 tillsynsbegäran mail.docx", "A 34528-2025")</f>
        <v/>
      </c>
      <c r="Z27">
        <f>HYPERLINK("https://klasma.github.io/Logging_0188/fåglar/A 34528-2025 prioriterade fågelarter.docx", "A 34528-2025")</f>
        <v/>
      </c>
    </row>
    <row r="28" ht="15" customHeight="1">
      <c r="A28" t="inlineStr">
        <is>
          <t>A 25732-2025</t>
        </is>
      </c>
      <c r="B28" s="1" t="n">
        <v>45800</v>
      </c>
      <c r="C28" s="1" t="n">
        <v>45910</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30687-2025</t>
        </is>
      </c>
      <c r="B29" s="1" t="n">
        <v>45831.53390046296</v>
      </c>
      <c r="C29" s="1" t="n">
        <v>45910</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21922-2023</t>
        </is>
      </c>
      <c r="B30" s="1" t="n">
        <v>45068</v>
      </c>
      <c r="C30" s="1" t="n">
        <v>45910</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72111-2021</t>
        </is>
      </c>
      <c r="B31" s="1" t="n">
        <v>44544</v>
      </c>
      <c r="C31" s="1" t="n">
        <v>45910</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15804-2025</t>
        </is>
      </c>
      <c r="B32" s="1" t="n">
        <v>45748.6521875</v>
      </c>
      <c r="C32" s="1" t="n">
        <v>45910</v>
      </c>
      <c r="D32" t="inlineStr">
        <is>
          <t>STOCKHOLMS LÄN</t>
        </is>
      </c>
      <c r="E32" t="inlineStr">
        <is>
          <t>NORRTÄLJE</t>
        </is>
      </c>
      <c r="F32" t="inlineStr">
        <is>
          <t>Holmen skog AB</t>
        </is>
      </c>
      <c r="G32" t="n">
        <v>1.7</v>
      </c>
      <c r="H32" t="n">
        <v>1</v>
      </c>
      <c r="I32" t="n">
        <v>1</v>
      </c>
      <c r="J32" t="n">
        <v>3</v>
      </c>
      <c r="K32" t="n">
        <v>0</v>
      </c>
      <c r="L32" t="n">
        <v>1</v>
      </c>
      <c r="M32" t="n">
        <v>0</v>
      </c>
      <c r="N32" t="n">
        <v>0</v>
      </c>
      <c r="O32" t="n">
        <v>4</v>
      </c>
      <c r="P32" t="n">
        <v>1</v>
      </c>
      <c r="Q32" t="n">
        <v>5</v>
      </c>
      <c r="R32" s="2" t="inlineStr">
        <is>
          <t>Asknätfjäril
Gullklöver
Skogsklocka
Slåtterfibbla
Spetsvaxing</t>
        </is>
      </c>
      <c r="S32">
        <f>HYPERLINK("https://klasma.github.io/Logging_0188/artfynd/A 15804-2025 artfynd.xlsx", "A 15804-2025")</f>
        <v/>
      </c>
      <c r="T32">
        <f>HYPERLINK("https://klasma.github.io/Logging_0188/kartor/A 15804-2025 karta.png", "A 15804-2025")</f>
        <v/>
      </c>
      <c r="V32">
        <f>HYPERLINK("https://klasma.github.io/Logging_0188/klagomål/A 15804-2025 FSC-klagomål.docx", "A 15804-2025")</f>
        <v/>
      </c>
      <c r="W32">
        <f>HYPERLINK("https://klasma.github.io/Logging_0188/klagomålsmail/A 15804-2025 FSC-klagomål mail.docx", "A 15804-2025")</f>
        <v/>
      </c>
      <c r="X32">
        <f>HYPERLINK("https://klasma.github.io/Logging_0188/tillsyn/A 15804-2025 tillsynsbegäran.docx", "A 15804-2025")</f>
        <v/>
      </c>
      <c r="Y32">
        <f>HYPERLINK("https://klasma.github.io/Logging_0188/tillsynsmail/A 15804-2025 tillsynsbegäran mail.docx", "A 15804-2025")</f>
        <v/>
      </c>
    </row>
    <row r="33" ht="15" customHeight="1">
      <c r="A33" t="inlineStr">
        <is>
          <t>A 22071-2022</t>
        </is>
      </c>
      <c r="B33" s="1" t="n">
        <v>44711</v>
      </c>
      <c r="C33" s="1" t="n">
        <v>45910</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21730-2025</t>
        </is>
      </c>
      <c r="B34" s="1" t="n">
        <v>45783.58123842593</v>
      </c>
      <c r="C34" s="1" t="n">
        <v>45910</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21837-2025</t>
        </is>
      </c>
      <c r="B35" s="1" t="n">
        <v>45784.32179398148</v>
      </c>
      <c r="C35" s="1" t="n">
        <v>45910</v>
      </c>
      <c r="D35" t="inlineStr">
        <is>
          <t>STOCKHOLMS LÄN</t>
        </is>
      </c>
      <c r="E35" t="inlineStr">
        <is>
          <t>NORRTÄLJE</t>
        </is>
      </c>
      <c r="G35" t="n">
        <v>6.4</v>
      </c>
      <c r="H35" t="n">
        <v>2</v>
      </c>
      <c r="I35" t="n">
        <v>2</v>
      </c>
      <c r="J35" t="n">
        <v>1</v>
      </c>
      <c r="K35" t="n">
        <v>0</v>
      </c>
      <c r="L35" t="n">
        <v>0</v>
      </c>
      <c r="M35" t="n">
        <v>0</v>
      </c>
      <c r="N35" t="n">
        <v>0</v>
      </c>
      <c r="O35" t="n">
        <v>1</v>
      </c>
      <c r="P35" t="n">
        <v>0</v>
      </c>
      <c r="Q35" t="n">
        <v>4</v>
      </c>
      <c r="R35" s="2" t="inlineStr">
        <is>
          <t>Granticka
Brandticka
Nästrot
Blåsippa</t>
        </is>
      </c>
      <c r="S35">
        <f>HYPERLINK("https://klasma.github.io/Logging_0188/artfynd/A 21837-2025 artfynd.xlsx", "A 21837-2025")</f>
        <v/>
      </c>
      <c r="T35">
        <f>HYPERLINK("https://klasma.github.io/Logging_0188/kartor/A 21837-2025 karta.png", "A 21837-2025")</f>
        <v/>
      </c>
      <c r="V35">
        <f>HYPERLINK("https://klasma.github.io/Logging_0188/klagomål/A 21837-2025 FSC-klagomål.docx", "A 21837-2025")</f>
        <v/>
      </c>
      <c r="W35">
        <f>HYPERLINK("https://klasma.github.io/Logging_0188/klagomålsmail/A 21837-2025 FSC-klagomål mail.docx", "A 21837-2025")</f>
        <v/>
      </c>
      <c r="X35">
        <f>HYPERLINK("https://klasma.github.io/Logging_0188/tillsyn/A 21837-2025 tillsynsbegäran.docx", "A 21837-2025")</f>
        <v/>
      </c>
      <c r="Y35">
        <f>HYPERLINK("https://klasma.github.io/Logging_0188/tillsynsmail/A 21837-2025 tillsynsbegäran mail.docx", "A 21837-2025")</f>
        <v/>
      </c>
    </row>
    <row r="36" ht="15" customHeight="1">
      <c r="A36" t="inlineStr">
        <is>
          <t>A 24052-2021</t>
        </is>
      </c>
      <c r="B36" s="1" t="n">
        <v>44336</v>
      </c>
      <c r="C36" s="1" t="n">
        <v>45910</v>
      </c>
      <c r="D36" t="inlineStr">
        <is>
          <t>STOCKHOLMS LÄN</t>
        </is>
      </c>
      <c r="E36" t="inlineStr">
        <is>
          <t>NORRTÄLJE</t>
        </is>
      </c>
      <c r="G36" t="n">
        <v>8.6</v>
      </c>
      <c r="H36" t="n">
        <v>4</v>
      </c>
      <c r="I36" t="n">
        <v>0</v>
      </c>
      <c r="J36" t="n">
        <v>2</v>
      </c>
      <c r="K36" t="n">
        <v>0</v>
      </c>
      <c r="L36" t="n">
        <v>0</v>
      </c>
      <c r="M36" t="n">
        <v>0</v>
      </c>
      <c r="N36" t="n">
        <v>0</v>
      </c>
      <c r="O36" t="n">
        <v>2</v>
      </c>
      <c r="P36" t="n">
        <v>0</v>
      </c>
      <c r="Q36" t="n">
        <v>4</v>
      </c>
      <c r="R36" s="2" t="inlineStr">
        <is>
          <t>Brunlångöra
Nordfladdermus
Dvärgpipistrell
Större brunfladdermus</t>
        </is>
      </c>
      <c r="S36">
        <f>HYPERLINK("https://klasma.github.io/Logging_0188/artfynd/A 24052-2021 artfynd.xlsx", "A 24052-2021")</f>
        <v/>
      </c>
      <c r="T36">
        <f>HYPERLINK("https://klasma.github.io/Logging_0188/kartor/A 24052-2021 karta.png", "A 24052-2021")</f>
        <v/>
      </c>
      <c r="V36">
        <f>HYPERLINK("https://klasma.github.io/Logging_0188/klagomål/A 24052-2021 FSC-klagomål.docx", "A 24052-2021")</f>
        <v/>
      </c>
      <c r="W36">
        <f>HYPERLINK("https://klasma.github.io/Logging_0188/klagomålsmail/A 24052-2021 FSC-klagomål mail.docx", "A 24052-2021")</f>
        <v/>
      </c>
      <c r="X36">
        <f>HYPERLINK("https://klasma.github.io/Logging_0188/tillsyn/A 24052-2021 tillsynsbegäran.docx", "A 24052-2021")</f>
        <v/>
      </c>
      <c r="Y36">
        <f>HYPERLINK("https://klasma.github.io/Logging_0188/tillsynsmail/A 24052-2021 tillsynsbegäran mail.docx", "A 24052-2021")</f>
        <v/>
      </c>
    </row>
    <row r="37" ht="15" customHeight="1">
      <c r="A37" t="inlineStr">
        <is>
          <t>A 10876-2025</t>
        </is>
      </c>
      <c r="B37" s="1" t="n">
        <v>45722</v>
      </c>
      <c r="C37" s="1" t="n">
        <v>45910</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72305-2021</t>
        </is>
      </c>
      <c r="B38" s="1" t="n">
        <v>44545</v>
      </c>
      <c r="C38" s="1" t="n">
        <v>45910</v>
      </c>
      <c r="D38" t="inlineStr">
        <is>
          <t>STOCKHOLMS LÄN</t>
        </is>
      </c>
      <c r="E38" t="inlineStr">
        <is>
          <t>NORRTÄLJE</t>
        </is>
      </c>
      <c r="G38" t="n">
        <v>1.5</v>
      </c>
      <c r="H38" t="n">
        <v>1</v>
      </c>
      <c r="I38" t="n">
        <v>3</v>
      </c>
      <c r="J38" t="n">
        <v>0</v>
      </c>
      <c r="K38" t="n">
        <v>0</v>
      </c>
      <c r="L38" t="n">
        <v>0</v>
      </c>
      <c r="M38" t="n">
        <v>0</v>
      </c>
      <c r="N38" t="n">
        <v>0</v>
      </c>
      <c r="O38" t="n">
        <v>0</v>
      </c>
      <c r="P38" t="n">
        <v>0</v>
      </c>
      <c r="Q38" t="n">
        <v>4</v>
      </c>
      <c r="R38" s="2" t="inlineStr">
        <is>
          <t>Svart trolldruva
Sårläka
Vårärt
Blåsippa</t>
        </is>
      </c>
      <c r="S38">
        <f>HYPERLINK("https://klasma.github.io/Logging_0188/artfynd/A 72305-2021 artfynd.xlsx", "A 72305-2021")</f>
        <v/>
      </c>
      <c r="T38">
        <f>HYPERLINK("https://klasma.github.io/Logging_0188/kartor/A 72305-2021 karta.png", "A 72305-2021")</f>
        <v/>
      </c>
      <c r="V38">
        <f>HYPERLINK("https://klasma.github.io/Logging_0188/klagomål/A 72305-2021 FSC-klagomål.docx", "A 72305-2021")</f>
        <v/>
      </c>
      <c r="W38">
        <f>HYPERLINK("https://klasma.github.io/Logging_0188/klagomålsmail/A 72305-2021 FSC-klagomål mail.docx", "A 72305-2021")</f>
        <v/>
      </c>
      <c r="X38">
        <f>HYPERLINK("https://klasma.github.io/Logging_0188/tillsyn/A 72305-2021 tillsynsbegäran.docx", "A 72305-2021")</f>
        <v/>
      </c>
      <c r="Y38">
        <f>HYPERLINK("https://klasma.github.io/Logging_0188/tillsynsmail/A 72305-2021 tillsynsbegäran mail.docx", "A 72305-2021")</f>
        <v/>
      </c>
    </row>
    <row r="39" ht="15" customHeight="1">
      <c r="A39" t="inlineStr">
        <is>
          <t>A 44709-2022</t>
        </is>
      </c>
      <c r="B39" s="1" t="n">
        <v>44839</v>
      </c>
      <c r="C39" s="1" t="n">
        <v>45910</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45910</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45910</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17673-2021</t>
        </is>
      </c>
      <c r="B42" s="1" t="n">
        <v>44300</v>
      </c>
      <c r="C42" s="1" t="n">
        <v>45910</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45910</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45910</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45910</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53065-2024</t>
        </is>
      </c>
      <c r="B46" s="1" t="n">
        <v>45611.47233796296</v>
      </c>
      <c r="C46" s="1" t="n">
        <v>45910</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54110-2024</t>
        </is>
      </c>
      <c r="B47" s="1" t="n">
        <v>45616.54866898148</v>
      </c>
      <c r="C47" s="1" t="n">
        <v>45910</v>
      </c>
      <c r="D47" t="inlineStr">
        <is>
          <t>STOCKHOLMS LÄN</t>
        </is>
      </c>
      <c r="E47" t="inlineStr">
        <is>
          <t>NORRTÄLJE</t>
        </is>
      </c>
      <c r="G47" t="n">
        <v>6.7</v>
      </c>
      <c r="H47" t="n">
        <v>2</v>
      </c>
      <c r="I47" t="n">
        <v>0</v>
      </c>
      <c r="J47" t="n">
        <v>1</v>
      </c>
      <c r="K47" t="n">
        <v>0</v>
      </c>
      <c r="L47" t="n">
        <v>0</v>
      </c>
      <c r="M47" t="n">
        <v>0</v>
      </c>
      <c r="N47" t="n">
        <v>0</v>
      </c>
      <c r="O47" t="n">
        <v>1</v>
      </c>
      <c r="P47" t="n">
        <v>0</v>
      </c>
      <c r="Q47" t="n">
        <v>3</v>
      </c>
      <c r="R47" s="2" t="inlineStr">
        <is>
          <t>Klasefibbla
Nattviol
Gullviva</t>
        </is>
      </c>
      <c r="S47">
        <f>HYPERLINK("https://klasma.github.io/Logging_0188/artfynd/A 54110-2024 artfynd.xlsx", "A 54110-2024")</f>
        <v/>
      </c>
      <c r="T47">
        <f>HYPERLINK("https://klasma.github.io/Logging_0188/kartor/A 54110-2024 karta.png", "A 54110-2024")</f>
        <v/>
      </c>
      <c r="V47">
        <f>HYPERLINK("https://klasma.github.io/Logging_0188/klagomål/A 54110-2024 FSC-klagomål.docx", "A 54110-2024")</f>
        <v/>
      </c>
      <c r="W47">
        <f>HYPERLINK("https://klasma.github.io/Logging_0188/klagomålsmail/A 54110-2024 FSC-klagomål mail.docx", "A 54110-2024")</f>
        <v/>
      </c>
      <c r="X47">
        <f>HYPERLINK("https://klasma.github.io/Logging_0188/tillsyn/A 54110-2024 tillsynsbegäran.docx", "A 54110-2024")</f>
        <v/>
      </c>
      <c r="Y47">
        <f>HYPERLINK("https://klasma.github.io/Logging_0188/tillsynsmail/A 54110-2024 tillsynsbegäran mail.docx", "A 54110-2024")</f>
        <v/>
      </c>
    </row>
    <row r="48" ht="15" customHeight="1">
      <c r="A48" t="inlineStr">
        <is>
          <t>A 29185-2025</t>
        </is>
      </c>
      <c r="B48" s="1" t="n">
        <v>45821</v>
      </c>
      <c r="C48" s="1" t="n">
        <v>45910</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2851-2023</t>
        </is>
      </c>
      <c r="B49" s="1" t="n">
        <v>44945</v>
      </c>
      <c r="C49" s="1" t="n">
        <v>45910</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34524-2025</t>
        </is>
      </c>
      <c r="B50" s="1" t="n">
        <v>45847.47685185185</v>
      </c>
      <c r="C50" s="1" t="n">
        <v>45910</v>
      </c>
      <c r="D50" t="inlineStr">
        <is>
          <t>STOCKHOLMS LÄN</t>
        </is>
      </c>
      <c r="E50" t="inlineStr">
        <is>
          <t>NORRTÄLJE</t>
        </is>
      </c>
      <c r="G50" t="n">
        <v>3.3</v>
      </c>
      <c r="H50" t="n">
        <v>0</v>
      </c>
      <c r="I50" t="n">
        <v>1</v>
      </c>
      <c r="J50" t="n">
        <v>2</v>
      </c>
      <c r="K50" t="n">
        <v>0</v>
      </c>
      <c r="L50" t="n">
        <v>0</v>
      </c>
      <c r="M50" t="n">
        <v>0</v>
      </c>
      <c r="N50" t="n">
        <v>0</v>
      </c>
      <c r="O50" t="n">
        <v>2</v>
      </c>
      <c r="P50" t="n">
        <v>0</v>
      </c>
      <c r="Q50" t="n">
        <v>3</v>
      </c>
      <c r="R50" s="2" t="inlineStr">
        <is>
          <t>Tallticka
Vedtrappmossa
Kornknutmossa</t>
        </is>
      </c>
      <c r="S50">
        <f>HYPERLINK("https://klasma.github.io/Logging_0188/artfynd/A 34524-2025 artfynd.xlsx", "A 34524-2025")</f>
        <v/>
      </c>
      <c r="T50">
        <f>HYPERLINK("https://klasma.github.io/Logging_0188/kartor/A 34524-2025 karta.png", "A 34524-2025")</f>
        <v/>
      </c>
      <c r="V50">
        <f>HYPERLINK("https://klasma.github.io/Logging_0188/klagomål/A 34524-2025 FSC-klagomål.docx", "A 34524-2025")</f>
        <v/>
      </c>
      <c r="W50">
        <f>HYPERLINK("https://klasma.github.io/Logging_0188/klagomålsmail/A 34524-2025 FSC-klagomål mail.docx", "A 34524-2025")</f>
        <v/>
      </c>
      <c r="X50">
        <f>HYPERLINK("https://klasma.github.io/Logging_0188/tillsyn/A 34524-2025 tillsynsbegäran.docx", "A 34524-2025")</f>
        <v/>
      </c>
      <c r="Y50">
        <f>HYPERLINK("https://klasma.github.io/Logging_0188/tillsynsmail/A 34524-2025 tillsynsbegäran mail.docx", "A 34524-2025")</f>
        <v/>
      </c>
    </row>
    <row r="51" ht="15" customHeight="1">
      <c r="A51" t="inlineStr">
        <is>
          <t>A 20185-2022</t>
        </is>
      </c>
      <c r="B51" s="1" t="n">
        <v>44698</v>
      </c>
      <c r="C51" s="1" t="n">
        <v>45910</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27870-2022</t>
        </is>
      </c>
      <c r="B52" s="1" t="n">
        <v>44743.64592592593</v>
      </c>
      <c r="C52" s="1" t="n">
        <v>45910</v>
      </c>
      <c r="D52" t="inlineStr">
        <is>
          <t>STOCKHOLMS LÄN</t>
        </is>
      </c>
      <c r="E52" t="inlineStr">
        <is>
          <t>NORRTÄLJE</t>
        </is>
      </c>
      <c r="F52" t="inlineStr">
        <is>
          <t>Holmen skog AB</t>
        </is>
      </c>
      <c r="G52" t="n">
        <v>1.8</v>
      </c>
      <c r="H52" t="n">
        <v>3</v>
      </c>
      <c r="I52" t="n">
        <v>0</v>
      </c>
      <c r="J52" t="n">
        <v>1</v>
      </c>
      <c r="K52" t="n">
        <v>0</v>
      </c>
      <c r="L52" t="n">
        <v>0</v>
      </c>
      <c r="M52" t="n">
        <v>0</v>
      </c>
      <c r="N52" t="n">
        <v>0</v>
      </c>
      <c r="O52" t="n">
        <v>1</v>
      </c>
      <c r="P52" t="n">
        <v>0</v>
      </c>
      <c r="Q52" t="n">
        <v>3</v>
      </c>
      <c r="R52" s="2" t="inlineStr">
        <is>
          <t>Nordfladdermus
Dvärgpipistrell
Större brunfladdermus</t>
        </is>
      </c>
      <c r="S52">
        <f>HYPERLINK("https://klasma.github.io/Logging_0188/artfynd/A 27870-2022 artfynd.xlsx", "A 27870-2022")</f>
        <v/>
      </c>
      <c r="T52">
        <f>HYPERLINK("https://klasma.github.io/Logging_0188/kartor/A 27870-2022 karta.png", "A 27870-2022")</f>
        <v/>
      </c>
      <c r="V52">
        <f>HYPERLINK("https://klasma.github.io/Logging_0188/klagomål/A 27870-2022 FSC-klagomål.docx", "A 27870-2022")</f>
        <v/>
      </c>
      <c r="W52">
        <f>HYPERLINK("https://klasma.github.io/Logging_0188/klagomålsmail/A 27870-2022 FSC-klagomål mail.docx", "A 27870-2022")</f>
        <v/>
      </c>
      <c r="X52">
        <f>HYPERLINK("https://klasma.github.io/Logging_0188/tillsyn/A 27870-2022 tillsynsbegäran.docx", "A 27870-2022")</f>
        <v/>
      </c>
      <c r="Y52">
        <f>HYPERLINK("https://klasma.github.io/Logging_0188/tillsynsmail/A 27870-2022 tillsynsbegäran mail.docx", "A 27870-2022")</f>
        <v/>
      </c>
    </row>
    <row r="53" ht="15" customHeight="1">
      <c r="A53" t="inlineStr">
        <is>
          <t>A 50618-2022</t>
        </is>
      </c>
      <c r="B53" s="1" t="n">
        <v>44866</v>
      </c>
      <c r="C53" s="1" t="n">
        <v>45910</v>
      </c>
      <c r="D53" t="inlineStr">
        <is>
          <t>STOCKHOLMS LÄN</t>
        </is>
      </c>
      <c r="E53" t="inlineStr">
        <is>
          <t>NORRTÄLJE</t>
        </is>
      </c>
      <c r="G53" t="n">
        <v>7.8</v>
      </c>
      <c r="H53" t="n">
        <v>2</v>
      </c>
      <c r="I53" t="n">
        <v>2</v>
      </c>
      <c r="J53" t="n">
        <v>0</v>
      </c>
      <c r="K53" t="n">
        <v>0</v>
      </c>
      <c r="L53" t="n">
        <v>0</v>
      </c>
      <c r="M53" t="n">
        <v>0</v>
      </c>
      <c r="N53" t="n">
        <v>0</v>
      </c>
      <c r="O53" t="n">
        <v>0</v>
      </c>
      <c r="P53" t="n">
        <v>0</v>
      </c>
      <c r="Q53" t="n">
        <v>3</v>
      </c>
      <c r="R53" s="2" t="inlineStr">
        <is>
          <t>Skogsknipprot
Vårärt
Blåsippa</t>
        </is>
      </c>
      <c r="S53">
        <f>HYPERLINK("https://klasma.github.io/Logging_0188/artfynd/A 50618-2022 artfynd.xlsx", "A 50618-2022")</f>
        <v/>
      </c>
      <c r="T53">
        <f>HYPERLINK("https://klasma.github.io/Logging_0188/kartor/A 50618-2022 karta.png", "A 50618-2022")</f>
        <v/>
      </c>
      <c r="V53">
        <f>HYPERLINK("https://klasma.github.io/Logging_0188/klagomål/A 50618-2022 FSC-klagomål.docx", "A 50618-2022")</f>
        <v/>
      </c>
      <c r="W53">
        <f>HYPERLINK("https://klasma.github.io/Logging_0188/klagomålsmail/A 50618-2022 FSC-klagomål mail.docx", "A 50618-2022")</f>
        <v/>
      </c>
      <c r="X53">
        <f>HYPERLINK("https://klasma.github.io/Logging_0188/tillsyn/A 50618-2022 tillsynsbegäran.docx", "A 50618-2022")</f>
        <v/>
      </c>
      <c r="Y53">
        <f>HYPERLINK("https://klasma.github.io/Logging_0188/tillsynsmail/A 50618-2022 tillsynsbegäran mail.docx", "A 50618-2022")</f>
        <v/>
      </c>
    </row>
    <row r="54" ht="15" customHeight="1">
      <c r="A54" t="inlineStr">
        <is>
          <t>A 31803-2021</t>
        </is>
      </c>
      <c r="B54" s="1" t="n">
        <v>44370</v>
      </c>
      <c r="C54" s="1" t="n">
        <v>45910</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45910</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45910</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45910</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52124-2022</t>
        </is>
      </c>
      <c r="B58" s="1" t="n">
        <v>44868</v>
      </c>
      <c r="C58" s="1" t="n">
        <v>45910</v>
      </c>
      <c r="D58" t="inlineStr">
        <is>
          <t>STOCKHOLMS LÄN</t>
        </is>
      </c>
      <c r="E58" t="inlineStr">
        <is>
          <t>NORRTÄLJE</t>
        </is>
      </c>
      <c r="G58" t="n">
        <v>4.8</v>
      </c>
      <c r="H58" t="n">
        <v>1</v>
      </c>
      <c r="I58" t="n">
        <v>0</v>
      </c>
      <c r="J58" t="n">
        <v>1</v>
      </c>
      <c r="K58" t="n">
        <v>0</v>
      </c>
      <c r="L58" t="n">
        <v>0</v>
      </c>
      <c r="M58" t="n">
        <v>0</v>
      </c>
      <c r="N58" t="n">
        <v>0</v>
      </c>
      <c r="O58" t="n">
        <v>1</v>
      </c>
      <c r="P58" t="n">
        <v>0</v>
      </c>
      <c r="Q58" t="n">
        <v>2</v>
      </c>
      <c r="R58" s="2" t="inlineStr">
        <is>
          <t>Kandelabersvamp
Blåsippa</t>
        </is>
      </c>
      <c r="S58">
        <f>HYPERLINK("https://klasma.github.io/Logging_0188/artfynd/A 52124-2022 artfynd.xlsx", "A 52124-2022")</f>
        <v/>
      </c>
      <c r="T58">
        <f>HYPERLINK("https://klasma.github.io/Logging_0188/kartor/A 52124-2022 karta.png", "A 52124-2022")</f>
        <v/>
      </c>
      <c r="V58">
        <f>HYPERLINK("https://klasma.github.io/Logging_0188/klagomål/A 52124-2022 FSC-klagomål.docx", "A 52124-2022")</f>
        <v/>
      </c>
      <c r="W58">
        <f>HYPERLINK("https://klasma.github.io/Logging_0188/klagomålsmail/A 52124-2022 FSC-klagomål mail.docx", "A 52124-2022")</f>
        <v/>
      </c>
      <c r="X58">
        <f>HYPERLINK("https://klasma.github.io/Logging_0188/tillsyn/A 52124-2022 tillsynsbegäran.docx", "A 52124-2022")</f>
        <v/>
      </c>
      <c r="Y58">
        <f>HYPERLINK("https://klasma.github.io/Logging_0188/tillsynsmail/A 52124-2022 tillsynsbegäran mail.docx", "A 52124-2022")</f>
        <v/>
      </c>
    </row>
    <row r="59" ht="15" customHeight="1">
      <c r="A59" t="inlineStr">
        <is>
          <t>A 52825-2023</t>
        </is>
      </c>
      <c r="B59" s="1" t="n">
        <v>45226</v>
      </c>
      <c r="C59" s="1" t="n">
        <v>45910</v>
      </c>
      <c r="D59" t="inlineStr">
        <is>
          <t>STOCKHOLMS LÄN</t>
        </is>
      </c>
      <c r="E59" t="inlineStr">
        <is>
          <t>NORRTÄLJE</t>
        </is>
      </c>
      <c r="G59" t="n">
        <v>1</v>
      </c>
      <c r="H59" t="n">
        <v>0</v>
      </c>
      <c r="I59" t="n">
        <v>2</v>
      </c>
      <c r="J59" t="n">
        <v>0</v>
      </c>
      <c r="K59" t="n">
        <v>0</v>
      </c>
      <c r="L59" t="n">
        <v>0</v>
      </c>
      <c r="M59" t="n">
        <v>0</v>
      </c>
      <c r="N59" t="n">
        <v>0</v>
      </c>
      <c r="O59" t="n">
        <v>0</v>
      </c>
      <c r="P59" t="n">
        <v>0</v>
      </c>
      <c r="Q59" t="n">
        <v>2</v>
      </c>
      <c r="R59" s="2" t="inlineStr">
        <is>
          <t>Fjällig taggsvamp s.str.
Strimspindling</t>
        </is>
      </c>
      <c r="S59">
        <f>HYPERLINK("https://klasma.github.io/Logging_0188/artfynd/A 52825-2023 artfynd.xlsx", "A 52825-2023")</f>
        <v/>
      </c>
      <c r="T59">
        <f>HYPERLINK("https://klasma.github.io/Logging_0188/kartor/A 52825-2023 karta.png", "A 52825-2023")</f>
        <v/>
      </c>
      <c r="V59">
        <f>HYPERLINK("https://klasma.github.io/Logging_0188/klagomål/A 52825-2023 FSC-klagomål.docx", "A 52825-2023")</f>
        <v/>
      </c>
      <c r="W59">
        <f>HYPERLINK("https://klasma.github.io/Logging_0188/klagomålsmail/A 52825-2023 FSC-klagomål mail.docx", "A 52825-2023")</f>
        <v/>
      </c>
      <c r="X59">
        <f>HYPERLINK("https://klasma.github.io/Logging_0188/tillsyn/A 52825-2023 tillsynsbegäran.docx", "A 52825-2023")</f>
        <v/>
      </c>
      <c r="Y59">
        <f>HYPERLINK("https://klasma.github.io/Logging_0188/tillsynsmail/A 52825-2023 tillsynsbegäran mail.docx", "A 52825-2023")</f>
        <v/>
      </c>
    </row>
    <row r="60" ht="15" customHeight="1">
      <c r="A60" t="inlineStr">
        <is>
          <t>A 16260-2022</t>
        </is>
      </c>
      <c r="B60" s="1" t="n">
        <v>44670</v>
      </c>
      <c r="C60" s="1" t="n">
        <v>45910</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11031-2025</t>
        </is>
      </c>
      <c r="B61" s="1" t="n">
        <v>45723</v>
      </c>
      <c r="C61" s="1" t="n">
        <v>45910</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52360-2024</t>
        </is>
      </c>
      <c r="B62" s="1" t="n">
        <v>45609.37094907407</v>
      </c>
      <c r="C62" s="1" t="n">
        <v>45910</v>
      </c>
      <c r="D62" t="inlineStr">
        <is>
          <t>STOCKHOLMS LÄN</t>
        </is>
      </c>
      <c r="E62" t="inlineStr">
        <is>
          <t>NORRTÄLJE</t>
        </is>
      </c>
      <c r="G62" t="n">
        <v>2.2</v>
      </c>
      <c r="H62" t="n">
        <v>1</v>
      </c>
      <c r="I62" t="n">
        <v>1</v>
      </c>
      <c r="J62" t="n">
        <v>0</v>
      </c>
      <c r="K62" t="n">
        <v>0</v>
      </c>
      <c r="L62" t="n">
        <v>0</v>
      </c>
      <c r="M62" t="n">
        <v>0</v>
      </c>
      <c r="N62" t="n">
        <v>0</v>
      </c>
      <c r="O62" t="n">
        <v>0</v>
      </c>
      <c r="P62" t="n">
        <v>0</v>
      </c>
      <c r="Q62" t="n">
        <v>2</v>
      </c>
      <c r="R62" s="2" t="inlineStr">
        <is>
          <t>Brandticka
Blåsippa</t>
        </is>
      </c>
      <c r="S62">
        <f>HYPERLINK("https://klasma.github.io/Logging_0188/artfynd/A 52360-2024 artfynd.xlsx", "A 52360-2024")</f>
        <v/>
      </c>
      <c r="T62">
        <f>HYPERLINK("https://klasma.github.io/Logging_0188/kartor/A 52360-2024 karta.png", "A 52360-2024")</f>
        <v/>
      </c>
      <c r="V62">
        <f>HYPERLINK("https://klasma.github.io/Logging_0188/klagomål/A 52360-2024 FSC-klagomål.docx", "A 52360-2024")</f>
        <v/>
      </c>
      <c r="W62">
        <f>HYPERLINK("https://klasma.github.io/Logging_0188/klagomålsmail/A 52360-2024 FSC-klagomål mail.docx", "A 52360-2024")</f>
        <v/>
      </c>
      <c r="X62">
        <f>HYPERLINK("https://klasma.github.io/Logging_0188/tillsyn/A 52360-2024 tillsynsbegäran.docx", "A 52360-2024")</f>
        <v/>
      </c>
      <c r="Y62">
        <f>HYPERLINK("https://klasma.github.io/Logging_0188/tillsynsmail/A 52360-2024 tillsynsbegäran mail.docx", "A 52360-2024")</f>
        <v/>
      </c>
    </row>
    <row r="63" ht="15" customHeight="1">
      <c r="A63" t="inlineStr">
        <is>
          <t>A 20012-2025</t>
        </is>
      </c>
      <c r="B63" s="1" t="n">
        <v>45772.30234953704</v>
      </c>
      <c r="C63" s="1" t="n">
        <v>45910</v>
      </c>
      <c r="D63" t="inlineStr">
        <is>
          <t>STOCKHOLMS LÄN</t>
        </is>
      </c>
      <c r="E63" t="inlineStr">
        <is>
          <t>NORRTÄLJE</t>
        </is>
      </c>
      <c r="G63" t="n">
        <v>3.8</v>
      </c>
      <c r="H63" t="n">
        <v>0</v>
      </c>
      <c r="I63" t="n">
        <v>2</v>
      </c>
      <c r="J63" t="n">
        <v>0</v>
      </c>
      <c r="K63" t="n">
        <v>0</v>
      </c>
      <c r="L63" t="n">
        <v>0</v>
      </c>
      <c r="M63" t="n">
        <v>0</v>
      </c>
      <c r="N63" t="n">
        <v>0</v>
      </c>
      <c r="O63" t="n">
        <v>0</v>
      </c>
      <c r="P63" t="n">
        <v>0</v>
      </c>
      <c r="Q63" t="n">
        <v>2</v>
      </c>
      <c r="R63" s="2" t="inlineStr">
        <is>
          <t>Barkticka
Stor aspticka</t>
        </is>
      </c>
      <c r="S63">
        <f>HYPERLINK("https://klasma.github.io/Logging_0188/artfynd/A 20012-2025 artfynd.xlsx", "A 20012-2025")</f>
        <v/>
      </c>
      <c r="T63">
        <f>HYPERLINK("https://klasma.github.io/Logging_0188/kartor/A 20012-2025 karta.png", "A 20012-2025")</f>
        <v/>
      </c>
      <c r="V63">
        <f>HYPERLINK("https://klasma.github.io/Logging_0188/klagomål/A 20012-2025 FSC-klagomål.docx", "A 20012-2025")</f>
        <v/>
      </c>
      <c r="W63">
        <f>HYPERLINK("https://klasma.github.io/Logging_0188/klagomålsmail/A 20012-2025 FSC-klagomål mail.docx", "A 20012-2025")</f>
        <v/>
      </c>
      <c r="X63">
        <f>HYPERLINK("https://klasma.github.io/Logging_0188/tillsyn/A 20012-2025 tillsynsbegäran.docx", "A 20012-2025")</f>
        <v/>
      </c>
      <c r="Y63">
        <f>HYPERLINK("https://klasma.github.io/Logging_0188/tillsynsmail/A 20012-2025 tillsynsbegäran mail.docx", "A 20012-2025")</f>
        <v/>
      </c>
    </row>
    <row r="64" ht="15" customHeight="1">
      <c r="A64" t="inlineStr">
        <is>
          <t>A 22190-2024</t>
        </is>
      </c>
      <c r="B64" s="1" t="n">
        <v>45446.35888888889</v>
      </c>
      <c r="C64" s="1" t="n">
        <v>45910</v>
      </c>
      <c r="D64" t="inlineStr">
        <is>
          <t>STOCKHOLMS LÄN</t>
        </is>
      </c>
      <c r="E64" t="inlineStr">
        <is>
          <t>NORRTÄLJE</t>
        </is>
      </c>
      <c r="G64" t="n">
        <v>2.8</v>
      </c>
      <c r="H64" t="n">
        <v>2</v>
      </c>
      <c r="I64" t="n">
        <v>1</v>
      </c>
      <c r="J64" t="n">
        <v>0</v>
      </c>
      <c r="K64" t="n">
        <v>0</v>
      </c>
      <c r="L64" t="n">
        <v>0</v>
      </c>
      <c r="M64" t="n">
        <v>0</v>
      </c>
      <c r="N64" t="n">
        <v>0</v>
      </c>
      <c r="O64" t="n">
        <v>0</v>
      </c>
      <c r="P64" t="n">
        <v>0</v>
      </c>
      <c r="Q64" t="n">
        <v>2</v>
      </c>
      <c r="R64" s="2" t="inlineStr">
        <is>
          <t>Skogsknipprot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25731-2025</t>
        </is>
      </c>
      <c r="B65" s="1" t="n">
        <v>45800</v>
      </c>
      <c r="C65" s="1" t="n">
        <v>45910</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51980-2022</t>
        </is>
      </c>
      <c r="B66" s="1" t="n">
        <v>44872</v>
      </c>
      <c r="C66" s="1" t="n">
        <v>45910</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45910</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45910</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45910</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45910</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45910</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45910</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45910</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11429-2023</t>
        </is>
      </c>
      <c r="B74" s="1" t="n">
        <v>44993</v>
      </c>
      <c r="C74" s="1" t="n">
        <v>45910</v>
      </c>
      <c r="D74" t="inlineStr">
        <is>
          <t>STOCKHOLMS LÄN</t>
        </is>
      </c>
      <c r="E74" t="inlineStr">
        <is>
          <t>NORRTÄLJE</t>
        </is>
      </c>
      <c r="G74" t="n">
        <v>2</v>
      </c>
      <c r="H74" t="n">
        <v>0</v>
      </c>
      <c r="I74" t="n">
        <v>0</v>
      </c>
      <c r="J74" t="n">
        <v>1</v>
      </c>
      <c r="K74" t="n">
        <v>0</v>
      </c>
      <c r="L74" t="n">
        <v>0</v>
      </c>
      <c r="M74" t="n">
        <v>0</v>
      </c>
      <c r="N74" t="n">
        <v>0</v>
      </c>
      <c r="O74" t="n">
        <v>1</v>
      </c>
      <c r="P74" t="n">
        <v>0</v>
      </c>
      <c r="Q74" t="n">
        <v>1</v>
      </c>
      <c r="R74" s="2" t="inlineStr">
        <is>
          <t>Skogsklocka</t>
        </is>
      </c>
      <c r="S74">
        <f>HYPERLINK("https://klasma.github.io/Logging_0188/artfynd/A 11429-2023 artfynd.xlsx", "A 11429-2023")</f>
        <v/>
      </c>
      <c r="T74">
        <f>HYPERLINK("https://klasma.github.io/Logging_0188/kartor/A 11429-2023 karta.png", "A 11429-2023")</f>
        <v/>
      </c>
      <c r="V74">
        <f>HYPERLINK("https://klasma.github.io/Logging_0188/klagomål/A 11429-2023 FSC-klagomål.docx", "A 11429-2023")</f>
        <v/>
      </c>
      <c r="W74">
        <f>HYPERLINK("https://klasma.github.io/Logging_0188/klagomålsmail/A 11429-2023 FSC-klagomål mail.docx", "A 11429-2023")</f>
        <v/>
      </c>
      <c r="X74">
        <f>HYPERLINK("https://klasma.github.io/Logging_0188/tillsyn/A 11429-2023 tillsynsbegäran.docx", "A 11429-2023")</f>
        <v/>
      </c>
      <c r="Y74">
        <f>HYPERLINK("https://klasma.github.io/Logging_0188/tillsynsmail/A 11429-2023 tillsynsbegäran mail.docx", "A 11429-2023")</f>
        <v/>
      </c>
    </row>
    <row r="75" ht="15" customHeight="1">
      <c r="A75" t="inlineStr">
        <is>
          <t>A 58888-2021</t>
        </is>
      </c>
      <c r="B75" s="1" t="n">
        <v>44489</v>
      </c>
      <c r="C75" s="1" t="n">
        <v>45910</v>
      </c>
      <c r="D75" t="inlineStr">
        <is>
          <t>STOCKHOLMS LÄN</t>
        </is>
      </c>
      <c r="E75" t="inlineStr">
        <is>
          <t>NORRTÄLJE</t>
        </is>
      </c>
      <c r="F75" t="inlineStr">
        <is>
          <t>Holmen skog AB</t>
        </is>
      </c>
      <c r="G75" t="n">
        <v>2.5</v>
      </c>
      <c r="H75" t="n">
        <v>1</v>
      </c>
      <c r="I75" t="n">
        <v>0</v>
      </c>
      <c r="J75" t="n">
        <v>0</v>
      </c>
      <c r="K75" t="n">
        <v>0</v>
      </c>
      <c r="L75" t="n">
        <v>1</v>
      </c>
      <c r="M75" t="n">
        <v>0</v>
      </c>
      <c r="N75" t="n">
        <v>0</v>
      </c>
      <c r="O75" t="n">
        <v>1</v>
      </c>
      <c r="P75" t="n">
        <v>1</v>
      </c>
      <c r="Q75" t="n">
        <v>1</v>
      </c>
      <c r="R75" s="2" t="inlineStr">
        <is>
          <t>Asknätfjäril</t>
        </is>
      </c>
      <c r="S75">
        <f>HYPERLINK("https://klasma.github.io/Logging_0188/artfynd/A 58888-2021 artfynd.xlsx", "A 58888-2021")</f>
        <v/>
      </c>
      <c r="T75">
        <f>HYPERLINK("https://klasma.github.io/Logging_0188/kartor/A 58888-2021 karta.png", "A 58888-2021")</f>
        <v/>
      </c>
      <c r="V75">
        <f>HYPERLINK("https://klasma.github.io/Logging_0188/klagomål/A 58888-2021 FSC-klagomål.docx", "A 58888-2021")</f>
        <v/>
      </c>
      <c r="W75">
        <f>HYPERLINK("https://klasma.github.io/Logging_0188/klagomålsmail/A 58888-2021 FSC-klagomål mail.docx", "A 58888-2021")</f>
        <v/>
      </c>
      <c r="X75">
        <f>HYPERLINK("https://klasma.github.io/Logging_0188/tillsyn/A 58888-2021 tillsynsbegäran.docx", "A 58888-2021")</f>
        <v/>
      </c>
      <c r="Y75">
        <f>HYPERLINK("https://klasma.github.io/Logging_0188/tillsynsmail/A 58888-2021 tillsynsbegäran mail.docx", "A 58888-2021")</f>
        <v/>
      </c>
    </row>
    <row r="76" ht="15" customHeight="1">
      <c r="A76" t="inlineStr">
        <is>
          <t>A 47898-2022</t>
        </is>
      </c>
      <c r="B76" s="1" t="n">
        <v>44855</v>
      </c>
      <c r="C76" s="1" t="n">
        <v>45910</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21927-2025</t>
        </is>
      </c>
      <c r="B77" s="1" t="n">
        <v>45784.54878472222</v>
      </c>
      <c r="C77" s="1" t="n">
        <v>45910</v>
      </c>
      <c r="D77" t="inlineStr">
        <is>
          <t>STOCKHOLMS LÄN</t>
        </is>
      </c>
      <c r="E77" t="inlineStr">
        <is>
          <t>NORRTÄLJE</t>
        </is>
      </c>
      <c r="G77" t="n">
        <v>3.4</v>
      </c>
      <c r="H77" t="n">
        <v>1</v>
      </c>
      <c r="I77" t="n">
        <v>1</v>
      </c>
      <c r="J77" t="n">
        <v>0</v>
      </c>
      <c r="K77" t="n">
        <v>0</v>
      </c>
      <c r="L77" t="n">
        <v>0</v>
      </c>
      <c r="M77" t="n">
        <v>0</v>
      </c>
      <c r="N77" t="n">
        <v>0</v>
      </c>
      <c r="O77" t="n">
        <v>0</v>
      </c>
      <c r="P77" t="n">
        <v>0</v>
      </c>
      <c r="Q77" t="n">
        <v>1</v>
      </c>
      <c r="R77" s="2" t="inlineStr">
        <is>
          <t>Nästrot</t>
        </is>
      </c>
      <c r="S77">
        <f>HYPERLINK("https://klasma.github.io/Logging_0188/artfynd/A 21927-2025 artfynd.xlsx", "A 21927-2025")</f>
        <v/>
      </c>
      <c r="T77">
        <f>HYPERLINK("https://klasma.github.io/Logging_0188/kartor/A 21927-2025 karta.png", "A 21927-2025")</f>
        <v/>
      </c>
      <c r="V77">
        <f>HYPERLINK("https://klasma.github.io/Logging_0188/klagomål/A 21927-2025 FSC-klagomål.docx", "A 21927-2025")</f>
        <v/>
      </c>
      <c r="W77">
        <f>HYPERLINK("https://klasma.github.io/Logging_0188/klagomålsmail/A 21927-2025 FSC-klagomål mail.docx", "A 21927-2025")</f>
        <v/>
      </c>
      <c r="X77">
        <f>HYPERLINK("https://klasma.github.io/Logging_0188/tillsyn/A 21927-2025 tillsynsbegäran.docx", "A 21927-2025")</f>
        <v/>
      </c>
      <c r="Y77">
        <f>HYPERLINK("https://klasma.github.io/Logging_0188/tillsynsmail/A 21927-2025 tillsynsbegäran mail.docx", "A 21927-2025")</f>
        <v/>
      </c>
    </row>
    <row r="78" ht="15" customHeight="1">
      <c r="A78" t="inlineStr">
        <is>
          <t>A 16870-2025</t>
        </is>
      </c>
      <c r="B78" s="1" t="n">
        <v>45754</v>
      </c>
      <c r="C78" s="1" t="n">
        <v>45910</v>
      </c>
      <c r="D78" t="inlineStr">
        <is>
          <t>STOCKHOLMS LÄN</t>
        </is>
      </c>
      <c r="E78" t="inlineStr">
        <is>
          <t>NORRTÄLJE</t>
        </is>
      </c>
      <c r="G78" t="n">
        <v>24.6</v>
      </c>
      <c r="H78" t="n">
        <v>1</v>
      </c>
      <c r="I78" t="n">
        <v>0</v>
      </c>
      <c r="J78" t="n">
        <v>0</v>
      </c>
      <c r="K78" t="n">
        <v>0</v>
      </c>
      <c r="L78" t="n">
        <v>0</v>
      </c>
      <c r="M78" t="n">
        <v>0</v>
      </c>
      <c r="N78" t="n">
        <v>0</v>
      </c>
      <c r="O78" t="n">
        <v>0</v>
      </c>
      <c r="P78" t="n">
        <v>0</v>
      </c>
      <c r="Q78" t="n">
        <v>1</v>
      </c>
      <c r="R78" s="2" t="inlineStr">
        <is>
          <t>Vanlig groda</t>
        </is>
      </c>
      <c r="S78">
        <f>HYPERLINK("https://klasma.github.io/Logging_0188/artfynd/A 16870-2025 artfynd.xlsx", "A 16870-2025")</f>
        <v/>
      </c>
      <c r="T78">
        <f>HYPERLINK("https://klasma.github.io/Logging_0188/kartor/A 16870-2025 karta.png", "A 16870-2025")</f>
        <v/>
      </c>
      <c r="V78">
        <f>HYPERLINK("https://klasma.github.io/Logging_0188/klagomål/A 16870-2025 FSC-klagomål.docx", "A 16870-2025")</f>
        <v/>
      </c>
      <c r="W78">
        <f>HYPERLINK("https://klasma.github.io/Logging_0188/klagomålsmail/A 16870-2025 FSC-klagomål mail.docx", "A 16870-2025")</f>
        <v/>
      </c>
      <c r="X78">
        <f>HYPERLINK("https://klasma.github.io/Logging_0188/tillsyn/A 16870-2025 tillsynsbegäran.docx", "A 16870-2025")</f>
        <v/>
      </c>
      <c r="Y78">
        <f>HYPERLINK("https://klasma.github.io/Logging_0188/tillsynsmail/A 16870-2025 tillsynsbegäran mail.docx", "A 16870-2025")</f>
        <v/>
      </c>
    </row>
    <row r="79" ht="15" customHeight="1">
      <c r="A79" t="inlineStr">
        <is>
          <t>A 9955-2022</t>
        </is>
      </c>
      <c r="B79" s="1" t="n">
        <v>44620</v>
      </c>
      <c r="C79" s="1" t="n">
        <v>45910</v>
      </c>
      <c r="D79" t="inlineStr">
        <is>
          <t>STOCKHOLMS LÄN</t>
        </is>
      </c>
      <c r="E79" t="inlineStr">
        <is>
          <t>NORRTÄLJE</t>
        </is>
      </c>
      <c r="G79" t="n">
        <v>7.8</v>
      </c>
      <c r="H79" t="n">
        <v>1</v>
      </c>
      <c r="I79" t="n">
        <v>0</v>
      </c>
      <c r="J79" t="n">
        <v>0</v>
      </c>
      <c r="K79" t="n">
        <v>0</v>
      </c>
      <c r="L79" t="n">
        <v>0</v>
      </c>
      <c r="M79" t="n">
        <v>0</v>
      </c>
      <c r="N79" t="n">
        <v>0</v>
      </c>
      <c r="O79" t="n">
        <v>0</v>
      </c>
      <c r="P79" t="n">
        <v>0</v>
      </c>
      <c r="Q79" t="n">
        <v>1</v>
      </c>
      <c r="R79" s="2" t="inlineStr">
        <is>
          <t>Åkergroda</t>
        </is>
      </c>
      <c r="S79">
        <f>HYPERLINK("https://klasma.github.io/Logging_0188/artfynd/A 9955-2022 artfynd.xlsx", "A 9955-2022")</f>
        <v/>
      </c>
      <c r="T79">
        <f>HYPERLINK("https://klasma.github.io/Logging_0188/kartor/A 9955-2022 karta.png", "A 9955-2022")</f>
        <v/>
      </c>
      <c r="V79">
        <f>HYPERLINK("https://klasma.github.io/Logging_0188/klagomål/A 9955-2022 FSC-klagomål.docx", "A 9955-2022")</f>
        <v/>
      </c>
      <c r="W79">
        <f>HYPERLINK("https://klasma.github.io/Logging_0188/klagomålsmail/A 9955-2022 FSC-klagomål mail.docx", "A 9955-2022")</f>
        <v/>
      </c>
      <c r="X79">
        <f>HYPERLINK("https://klasma.github.io/Logging_0188/tillsyn/A 9955-2022 tillsynsbegäran.docx", "A 9955-2022")</f>
        <v/>
      </c>
      <c r="Y79">
        <f>HYPERLINK("https://klasma.github.io/Logging_0188/tillsynsmail/A 9955-2022 tillsynsbegäran mail.docx", "A 9955-2022")</f>
        <v/>
      </c>
    </row>
    <row r="80" ht="15" customHeight="1">
      <c r="A80" t="inlineStr">
        <is>
          <t>A 4595-2023</t>
        </is>
      </c>
      <c r="B80" s="1" t="n">
        <v>44956</v>
      </c>
      <c r="C80" s="1" t="n">
        <v>45910</v>
      </c>
      <c r="D80" t="inlineStr">
        <is>
          <t>STOCKHOLMS LÄN</t>
        </is>
      </c>
      <c r="E80" t="inlineStr">
        <is>
          <t>NORRTÄLJE</t>
        </is>
      </c>
      <c r="G80" t="n">
        <v>0.6</v>
      </c>
      <c r="H80" t="n">
        <v>1</v>
      </c>
      <c r="I80" t="n">
        <v>0</v>
      </c>
      <c r="J80" t="n">
        <v>0</v>
      </c>
      <c r="K80" t="n">
        <v>0</v>
      </c>
      <c r="L80" t="n">
        <v>0</v>
      </c>
      <c r="M80" t="n">
        <v>0</v>
      </c>
      <c r="N80" t="n">
        <v>0</v>
      </c>
      <c r="O80" t="n">
        <v>0</v>
      </c>
      <c r="P80" t="n">
        <v>0</v>
      </c>
      <c r="Q80" t="n">
        <v>1</v>
      </c>
      <c r="R80" s="2" t="inlineStr">
        <is>
          <t>Blåsippa</t>
        </is>
      </c>
      <c r="S80">
        <f>HYPERLINK("https://klasma.github.io/Logging_0188/artfynd/A 4595-2023 artfynd.xlsx", "A 4595-2023")</f>
        <v/>
      </c>
      <c r="T80">
        <f>HYPERLINK("https://klasma.github.io/Logging_0188/kartor/A 4595-2023 karta.png", "A 4595-2023")</f>
        <v/>
      </c>
      <c r="V80">
        <f>HYPERLINK("https://klasma.github.io/Logging_0188/klagomål/A 4595-2023 FSC-klagomål.docx", "A 4595-2023")</f>
        <v/>
      </c>
      <c r="W80">
        <f>HYPERLINK("https://klasma.github.io/Logging_0188/klagomålsmail/A 4595-2023 FSC-klagomål mail.docx", "A 4595-2023")</f>
        <v/>
      </c>
      <c r="X80">
        <f>HYPERLINK("https://klasma.github.io/Logging_0188/tillsyn/A 4595-2023 tillsynsbegäran.docx", "A 4595-2023")</f>
        <v/>
      </c>
      <c r="Y80">
        <f>HYPERLINK("https://klasma.github.io/Logging_0188/tillsynsmail/A 4595-2023 tillsynsbegäran mail.docx", "A 4595-2023")</f>
        <v/>
      </c>
    </row>
    <row r="81" ht="15" customHeight="1">
      <c r="A81" t="inlineStr">
        <is>
          <t>A 14365-2025</t>
        </is>
      </c>
      <c r="B81" s="1" t="n">
        <v>45741.38688657407</v>
      </c>
      <c r="C81" s="1" t="n">
        <v>45910</v>
      </c>
      <c r="D81" t="inlineStr">
        <is>
          <t>STOCKHOLMS LÄN</t>
        </is>
      </c>
      <c r="E81" t="inlineStr">
        <is>
          <t>NORRTÄLJE</t>
        </is>
      </c>
      <c r="G81" t="n">
        <v>2.4</v>
      </c>
      <c r="H81" t="n">
        <v>0</v>
      </c>
      <c r="I81" t="n">
        <v>0</v>
      </c>
      <c r="J81" t="n">
        <v>1</v>
      </c>
      <c r="K81" t="n">
        <v>0</v>
      </c>
      <c r="L81" t="n">
        <v>0</v>
      </c>
      <c r="M81" t="n">
        <v>0</v>
      </c>
      <c r="N81" t="n">
        <v>0</v>
      </c>
      <c r="O81" t="n">
        <v>1</v>
      </c>
      <c r="P81" t="n">
        <v>0</v>
      </c>
      <c r="Q81" t="n">
        <v>1</v>
      </c>
      <c r="R81" s="2" t="inlineStr">
        <is>
          <t>Granticka</t>
        </is>
      </c>
      <c r="S81">
        <f>HYPERLINK("https://klasma.github.io/Logging_0188/artfynd/A 14365-2025 artfynd.xlsx", "A 14365-2025")</f>
        <v/>
      </c>
      <c r="T81">
        <f>HYPERLINK("https://klasma.github.io/Logging_0188/kartor/A 14365-2025 karta.png", "A 14365-2025")</f>
        <v/>
      </c>
      <c r="V81">
        <f>HYPERLINK("https://klasma.github.io/Logging_0188/klagomål/A 14365-2025 FSC-klagomål.docx", "A 14365-2025")</f>
        <v/>
      </c>
      <c r="W81">
        <f>HYPERLINK("https://klasma.github.io/Logging_0188/klagomålsmail/A 14365-2025 FSC-klagomål mail.docx", "A 14365-2025")</f>
        <v/>
      </c>
      <c r="X81">
        <f>HYPERLINK("https://klasma.github.io/Logging_0188/tillsyn/A 14365-2025 tillsynsbegäran.docx", "A 14365-2025")</f>
        <v/>
      </c>
      <c r="Y81">
        <f>HYPERLINK("https://klasma.github.io/Logging_0188/tillsynsmail/A 14365-2025 tillsynsbegäran mail.docx", "A 14365-2025")</f>
        <v/>
      </c>
    </row>
    <row r="82" ht="15" customHeight="1">
      <c r="A82" t="inlineStr">
        <is>
          <t>A 32111-2022</t>
        </is>
      </c>
      <c r="B82" s="1" t="n">
        <v>44778.92797453704</v>
      </c>
      <c r="C82" s="1" t="n">
        <v>45910</v>
      </c>
      <c r="D82" t="inlineStr">
        <is>
          <t>STOCKHOLMS LÄN</t>
        </is>
      </c>
      <c r="E82" t="inlineStr">
        <is>
          <t>NORRTÄLJE</t>
        </is>
      </c>
      <c r="G82" t="n">
        <v>3.1</v>
      </c>
      <c r="H82" t="n">
        <v>0</v>
      </c>
      <c r="I82" t="n">
        <v>0</v>
      </c>
      <c r="J82" t="n">
        <v>1</v>
      </c>
      <c r="K82" t="n">
        <v>0</v>
      </c>
      <c r="L82" t="n">
        <v>0</v>
      </c>
      <c r="M82" t="n">
        <v>0</v>
      </c>
      <c r="N82" t="n">
        <v>0</v>
      </c>
      <c r="O82" t="n">
        <v>1</v>
      </c>
      <c r="P82" t="n">
        <v>0</v>
      </c>
      <c r="Q82" t="n">
        <v>1</v>
      </c>
      <c r="R82" s="2" t="inlineStr">
        <is>
          <t>Orange taggsvamp</t>
        </is>
      </c>
      <c r="S82">
        <f>HYPERLINK("https://klasma.github.io/Logging_0188/artfynd/A 32111-2022 artfynd.xlsx", "A 32111-2022")</f>
        <v/>
      </c>
      <c r="T82">
        <f>HYPERLINK("https://klasma.github.io/Logging_0188/kartor/A 32111-2022 karta.png", "A 32111-2022")</f>
        <v/>
      </c>
      <c r="V82">
        <f>HYPERLINK("https://klasma.github.io/Logging_0188/klagomål/A 32111-2022 FSC-klagomål.docx", "A 32111-2022")</f>
        <v/>
      </c>
      <c r="W82">
        <f>HYPERLINK("https://klasma.github.io/Logging_0188/klagomålsmail/A 32111-2022 FSC-klagomål mail.docx", "A 32111-2022")</f>
        <v/>
      </c>
      <c r="X82">
        <f>HYPERLINK("https://klasma.github.io/Logging_0188/tillsyn/A 32111-2022 tillsynsbegäran.docx", "A 32111-2022")</f>
        <v/>
      </c>
      <c r="Y82">
        <f>HYPERLINK("https://klasma.github.io/Logging_0188/tillsynsmail/A 32111-2022 tillsynsbegäran mail.docx", "A 32111-2022")</f>
        <v/>
      </c>
    </row>
    <row r="83" ht="15" customHeight="1">
      <c r="A83" t="inlineStr">
        <is>
          <t>A 24535-2023</t>
        </is>
      </c>
      <c r="B83" s="1" t="n">
        <v>45082</v>
      </c>
      <c r="C83" s="1" t="n">
        <v>45910</v>
      </c>
      <c r="D83" t="inlineStr">
        <is>
          <t>STOCKHOLMS LÄN</t>
        </is>
      </c>
      <c r="E83" t="inlineStr">
        <is>
          <t>NORRTÄLJE</t>
        </is>
      </c>
      <c r="F83" t="inlineStr">
        <is>
          <t>Kommuner</t>
        </is>
      </c>
      <c r="G83" t="n">
        <v>2</v>
      </c>
      <c r="H83" t="n">
        <v>1</v>
      </c>
      <c r="I83" t="n">
        <v>0</v>
      </c>
      <c r="J83" t="n">
        <v>0</v>
      </c>
      <c r="K83" t="n">
        <v>0</v>
      </c>
      <c r="L83" t="n">
        <v>0</v>
      </c>
      <c r="M83" t="n">
        <v>0</v>
      </c>
      <c r="N83" t="n">
        <v>0</v>
      </c>
      <c r="O83" t="n">
        <v>0</v>
      </c>
      <c r="P83" t="n">
        <v>0</v>
      </c>
      <c r="Q83" t="n">
        <v>1</v>
      </c>
      <c r="R83" s="2" t="inlineStr">
        <is>
          <t>Blåsippa</t>
        </is>
      </c>
      <c r="S83">
        <f>HYPERLINK("https://klasma.github.io/Logging_0188/artfynd/A 24535-2023 artfynd.xlsx", "A 24535-2023")</f>
        <v/>
      </c>
      <c r="T83">
        <f>HYPERLINK("https://klasma.github.io/Logging_0188/kartor/A 24535-2023 karta.png", "A 24535-2023")</f>
        <v/>
      </c>
      <c r="V83">
        <f>HYPERLINK("https://klasma.github.io/Logging_0188/klagomål/A 24535-2023 FSC-klagomål.docx", "A 24535-2023")</f>
        <v/>
      </c>
      <c r="W83">
        <f>HYPERLINK("https://klasma.github.io/Logging_0188/klagomålsmail/A 24535-2023 FSC-klagomål mail.docx", "A 24535-2023")</f>
        <v/>
      </c>
      <c r="X83">
        <f>HYPERLINK("https://klasma.github.io/Logging_0188/tillsyn/A 24535-2023 tillsynsbegäran.docx", "A 24535-2023")</f>
        <v/>
      </c>
      <c r="Y83">
        <f>HYPERLINK("https://klasma.github.io/Logging_0188/tillsynsmail/A 24535-2023 tillsynsbegäran mail.docx", "A 24535-2023")</f>
        <v/>
      </c>
    </row>
    <row r="84" ht="15" customHeight="1">
      <c r="A84" t="inlineStr">
        <is>
          <t>A 23905-2025</t>
        </is>
      </c>
      <c r="B84" s="1" t="n">
        <v>45794.63298611111</v>
      </c>
      <c r="C84" s="1" t="n">
        <v>45910</v>
      </c>
      <c r="D84" t="inlineStr">
        <is>
          <t>STOCKHOLMS LÄN</t>
        </is>
      </c>
      <c r="E84" t="inlineStr">
        <is>
          <t>NORRTÄLJE</t>
        </is>
      </c>
      <c r="G84" t="n">
        <v>8.4</v>
      </c>
      <c r="H84" t="n">
        <v>1</v>
      </c>
      <c r="I84" t="n">
        <v>0</v>
      </c>
      <c r="J84" t="n">
        <v>0</v>
      </c>
      <c r="K84" t="n">
        <v>0</v>
      </c>
      <c r="L84" t="n">
        <v>0</v>
      </c>
      <c r="M84" t="n">
        <v>0</v>
      </c>
      <c r="N84" t="n">
        <v>0</v>
      </c>
      <c r="O84" t="n">
        <v>0</v>
      </c>
      <c r="P84" t="n">
        <v>0</v>
      </c>
      <c r="Q84" t="n">
        <v>1</v>
      </c>
      <c r="R84" s="2" t="inlineStr">
        <is>
          <t>Blåsippa</t>
        </is>
      </c>
      <c r="S84">
        <f>HYPERLINK("https://klasma.github.io/Logging_0188/artfynd/A 23905-2025 artfynd.xlsx", "A 23905-2025")</f>
        <v/>
      </c>
      <c r="T84">
        <f>HYPERLINK("https://klasma.github.io/Logging_0188/kartor/A 23905-2025 karta.png", "A 23905-2025")</f>
        <v/>
      </c>
      <c r="V84">
        <f>HYPERLINK("https://klasma.github.io/Logging_0188/klagomål/A 23905-2025 FSC-klagomål.docx", "A 23905-2025")</f>
        <v/>
      </c>
      <c r="W84">
        <f>HYPERLINK("https://klasma.github.io/Logging_0188/klagomålsmail/A 23905-2025 FSC-klagomål mail.docx", "A 23905-2025")</f>
        <v/>
      </c>
      <c r="X84">
        <f>HYPERLINK("https://klasma.github.io/Logging_0188/tillsyn/A 23905-2025 tillsynsbegäran.docx", "A 23905-2025")</f>
        <v/>
      </c>
      <c r="Y84">
        <f>HYPERLINK("https://klasma.github.io/Logging_0188/tillsynsmail/A 23905-2025 tillsynsbegäran mail.docx", "A 23905-2025")</f>
        <v/>
      </c>
    </row>
    <row r="85" ht="15" customHeight="1">
      <c r="A85" t="inlineStr">
        <is>
          <t>A 4385-2023</t>
        </is>
      </c>
      <c r="B85" s="1" t="n">
        <v>44955.71322916666</v>
      </c>
      <c r="C85" s="1" t="n">
        <v>45910</v>
      </c>
      <c r="D85" t="inlineStr">
        <is>
          <t>STOCKHOLMS LÄN</t>
        </is>
      </c>
      <c r="E85" t="inlineStr">
        <is>
          <t>NORRTÄLJE</t>
        </is>
      </c>
      <c r="G85" t="n">
        <v>7.8</v>
      </c>
      <c r="H85" t="n">
        <v>1</v>
      </c>
      <c r="I85" t="n">
        <v>1</v>
      </c>
      <c r="J85" t="n">
        <v>0</v>
      </c>
      <c r="K85" t="n">
        <v>0</v>
      </c>
      <c r="L85" t="n">
        <v>0</v>
      </c>
      <c r="M85" t="n">
        <v>0</v>
      </c>
      <c r="N85" t="n">
        <v>0</v>
      </c>
      <c r="O85" t="n">
        <v>0</v>
      </c>
      <c r="P85" t="n">
        <v>0</v>
      </c>
      <c r="Q85" t="n">
        <v>1</v>
      </c>
      <c r="R85" s="2" t="inlineStr">
        <is>
          <t>Skogsknipprot</t>
        </is>
      </c>
      <c r="S85">
        <f>HYPERLINK("https://klasma.github.io/Logging_0188/artfynd/A 4385-2023 artfynd.xlsx", "A 4385-2023")</f>
        <v/>
      </c>
      <c r="T85">
        <f>HYPERLINK("https://klasma.github.io/Logging_0188/kartor/A 4385-2023 karta.png", "A 4385-2023")</f>
        <v/>
      </c>
      <c r="V85">
        <f>HYPERLINK("https://klasma.github.io/Logging_0188/klagomål/A 4385-2023 FSC-klagomål.docx", "A 4385-2023")</f>
        <v/>
      </c>
      <c r="W85">
        <f>HYPERLINK("https://klasma.github.io/Logging_0188/klagomålsmail/A 4385-2023 FSC-klagomål mail.docx", "A 4385-2023")</f>
        <v/>
      </c>
      <c r="X85">
        <f>HYPERLINK("https://klasma.github.io/Logging_0188/tillsyn/A 4385-2023 tillsynsbegäran.docx", "A 4385-2023")</f>
        <v/>
      </c>
      <c r="Y85">
        <f>HYPERLINK("https://klasma.github.io/Logging_0188/tillsynsmail/A 4385-2023 tillsynsbegäran mail.docx", "A 4385-2023")</f>
        <v/>
      </c>
    </row>
    <row r="86" ht="15" customHeight="1">
      <c r="A86" t="inlineStr">
        <is>
          <t>A 25669-2025</t>
        </is>
      </c>
      <c r="B86" s="1" t="n">
        <v>45803.62766203703</v>
      </c>
      <c r="C86" s="1" t="n">
        <v>45910</v>
      </c>
      <c r="D86" t="inlineStr">
        <is>
          <t>STOCKHOLMS LÄN</t>
        </is>
      </c>
      <c r="E86" t="inlineStr">
        <is>
          <t>NORRTÄLJE</t>
        </is>
      </c>
      <c r="F86" t="inlineStr">
        <is>
          <t>Holmen skog AB</t>
        </is>
      </c>
      <c r="G86" t="n">
        <v>3.1</v>
      </c>
      <c r="H86" t="n">
        <v>1</v>
      </c>
      <c r="I86" t="n">
        <v>0</v>
      </c>
      <c r="J86" t="n">
        <v>0</v>
      </c>
      <c r="K86" t="n">
        <v>0</v>
      </c>
      <c r="L86" t="n">
        <v>0</v>
      </c>
      <c r="M86" t="n">
        <v>0</v>
      </c>
      <c r="N86" t="n">
        <v>0</v>
      </c>
      <c r="O86" t="n">
        <v>0</v>
      </c>
      <c r="P86" t="n">
        <v>0</v>
      </c>
      <c r="Q86" t="n">
        <v>1</v>
      </c>
      <c r="R86" s="2" t="inlineStr">
        <is>
          <t>Tjäder</t>
        </is>
      </c>
      <c r="S86">
        <f>HYPERLINK("https://klasma.github.io/Logging_0188/artfynd/A 25669-2025 artfynd.xlsx", "A 25669-2025")</f>
        <v/>
      </c>
      <c r="T86">
        <f>HYPERLINK("https://klasma.github.io/Logging_0188/kartor/A 25669-2025 karta.png", "A 25669-2025")</f>
        <v/>
      </c>
      <c r="V86">
        <f>HYPERLINK("https://klasma.github.io/Logging_0188/klagomål/A 25669-2025 FSC-klagomål.docx", "A 25669-2025")</f>
        <v/>
      </c>
      <c r="W86">
        <f>HYPERLINK("https://klasma.github.io/Logging_0188/klagomålsmail/A 25669-2025 FSC-klagomål mail.docx", "A 25669-2025")</f>
        <v/>
      </c>
      <c r="X86">
        <f>HYPERLINK("https://klasma.github.io/Logging_0188/tillsyn/A 25669-2025 tillsynsbegäran.docx", "A 25669-2025")</f>
        <v/>
      </c>
      <c r="Y86">
        <f>HYPERLINK("https://klasma.github.io/Logging_0188/tillsynsmail/A 25669-2025 tillsynsbegäran mail.docx", "A 25669-2025")</f>
        <v/>
      </c>
      <c r="Z86">
        <f>HYPERLINK("https://klasma.github.io/Logging_0188/fåglar/A 25669-2025 prioriterade fågelarter.docx", "A 25669-2025")</f>
        <v/>
      </c>
    </row>
    <row r="87" ht="15" customHeight="1">
      <c r="A87" t="inlineStr">
        <is>
          <t>A 35764-2024</t>
        </is>
      </c>
      <c r="B87" s="1" t="n">
        <v>45532</v>
      </c>
      <c r="C87" s="1" t="n">
        <v>45910</v>
      </c>
      <c r="D87" t="inlineStr">
        <is>
          <t>STOCKHOLMS LÄN</t>
        </is>
      </c>
      <c r="E87" t="inlineStr">
        <is>
          <t>NORRTÄLJE</t>
        </is>
      </c>
      <c r="G87" t="n">
        <v>14.2</v>
      </c>
      <c r="H87" t="n">
        <v>1</v>
      </c>
      <c r="I87" t="n">
        <v>0</v>
      </c>
      <c r="J87" t="n">
        <v>0</v>
      </c>
      <c r="K87" t="n">
        <v>1</v>
      </c>
      <c r="L87" t="n">
        <v>0</v>
      </c>
      <c r="M87" t="n">
        <v>0</v>
      </c>
      <c r="N87" t="n">
        <v>0</v>
      </c>
      <c r="O87" t="n">
        <v>1</v>
      </c>
      <c r="P87" t="n">
        <v>1</v>
      </c>
      <c r="Q87" t="n">
        <v>1</v>
      </c>
      <c r="R87" s="2" t="inlineStr">
        <is>
          <t>Knärot</t>
        </is>
      </c>
      <c r="S87">
        <f>HYPERLINK("https://klasma.github.io/Logging_0188/artfynd/A 35764-2024 artfynd.xlsx", "A 35764-2024")</f>
        <v/>
      </c>
      <c r="T87">
        <f>HYPERLINK("https://klasma.github.io/Logging_0188/kartor/A 35764-2024 karta.png", "A 35764-2024")</f>
        <v/>
      </c>
      <c r="U87">
        <f>HYPERLINK("https://klasma.github.io/Logging_0188/knärot/A 35764-2024 karta knärot.png", "A 35764-2024")</f>
        <v/>
      </c>
      <c r="V87">
        <f>HYPERLINK("https://klasma.github.io/Logging_0188/klagomål/A 35764-2024 FSC-klagomål.docx", "A 35764-2024")</f>
        <v/>
      </c>
      <c r="W87">
        <f>HYPERLINK("https://klasma.github.io/Logging_0188/klagomålsmail/A 35764-2024 FSC-klagomål mail.docx", "A 35764-2024")</f>
        <v/>
      </c>
      <c r="X87">
        <f>HYPERLINK("https://klasma.github.io/Logging_0188/tillsyn/A 35764-2024 tillsynsbegäran.docx", "A 35764-2024")</f>
        <v/>
      </c>
      <c r="Y87">
        <f>HYPERLINK("https://klasma.github.io/Logging_0188/tillsynsmail/A 35764-2024 tillsynsbegäran mail.docx", "A 35764-2024")</f>
        <v/>
      </c>
    </row>
    <row r="88" ht="15" customHeight="1">
      <c r="A88" t="inlineStr">
        <is>
          <t>A 25687-2025</t>
        </is>
      </c>
      <c r="B88" s="1" t="n">
        <v>45800</v>
      </c>
      <c r="C88" s="1" t="n">
        <v>45910</v>
      </c>
      <c r="D88" t="inlineStr">
        <is>
          <t>STOCKHOLMS LÄN</t>
        </is>
      </c>
      <c r="E88" t="inlineStr">
        <is>
          <t>NORRTÄLJE</t>
        </is>
      </c>
      <c r="G88" t="n">
        <v>15.7</v>
      </c>
      <c r="H88" t="n">
        <v>0</v>
      </c>
      <c r="I88" t="n">
        <v>1</v>
      </c>
      <c r="J88" t="n">
        <v>0</v>
      </c>
      <c r="K88" t="n">
        <v>0</v>
      </c>
      <c r="L88" t="n">
        <v>0</v>
      </c>
      <c r="M88" t="n">
        <v>0</v>
      </c>
      <c r="N88" t="n">
        <v>0</v>
      </c>
      <c r="O88" t="n">
        <v>0</v>
      </c>
      <c r="P88" t="n">
        <v>0</v>
      </c>
      <c r="Q88" t="n">
        <v>1</v>
      </c>
      <c r="R88" s="2" t="inlineStr">
        <is>
          <t>Grönpyrola</t>
        </is>
      </c>
      <c r="S88">
        <f>HYPERLINK("https://klasma.github.io/Logging_0188/artfynd/A 25687-2025 artfynd.xlsx", "A 25687-2025")</f>
        <v/>
      </c>
      <c r="T88">
        <f>HYPERLINK("https://klasma.github.io/Logging_0188/kartor/A 25687-2025 karta.png", "A 25687-2025")</f>
        <v/>
      </c>
      <c r="V88">
        <f>HYPERLINK("https://klasma.github.io/Logging_0188/klagomål/A 25687-2025 FSC-klagomål.docx", "A 25687-2025")</f>
        <v/>
      </c>
      <c r="W88">
        <f>HYPERLINK("https://klasma.github.io/Logging_0188/klagomålsmail/A 25687-2025 FSC-klagomål mail.docx", "A 25687-2025")</f>
        <v/>
      </c>
      <c r="X88">
        <f>HYPERLINK("https://klasma.github.io/Logging_0188/tillsyn/A 25687-2025 tillsynsbegäran.docx", "A 25687-2025")</f>
        <v/>
      </c>
      <c r="Y88">
        <f>HYPERLINK("https://klasma.github.io/Logging_0188/tillsynsmail/A 25687-2025 tillsynsbegäran mail.docx", "A 25687-2025")</f>
        <v/>
      </c>
    </row>
    <row r="89" ht="15" customHeight="1">
      <c r="A89" t="inlineStr">
        <is>
          <t>A 19829-2022</t>
        </is>
      </c>
      <c r="B89" s="1" t="n">
        <v>44695.43527777777</v>
      </c>
      <c r="C89" s="1" t="n">
        <v>45910</v>
      </c>
      <c r="D89" t="inlineStr">
        <is>
          <t>STOCKHOLMS LÄN</t>
        </is>
      </c>
      <c r="E89" t="inlineStr">
        <is>
          <t>NORRTÄLJE</t>
        </is>
      </c>
      <c r="G89" t="n">
        <v>2</v>
      </c>
      <c r="H89" t="n">
        <v>1</v>
      </c>
      <c r="I89" t="n">
        <v>1</v>
      </c>
      <c r="J89" t="n">
        <v>0</v>
      </c>
      <c r="K89" t="n">
        <v>0</v>
      </c>
      <c r="L89" t="n">
        <v>0</v>
      </c>
      <c r="M89" t="n">
        <v>0</v>
      </c>
      <c r="N89" t="n">
        <v>0</v>
      </c>
      <c r="O89" t="n">
        <v>0</v>
      </c>
      <c r="P89" t="n">
        <v>0</v>
      </c>
      <c r="Q89" t="n">
        <v>1</v>
      </c>
      <c r="R89" s="2" t="inlineStr">
        <is>
          <t>Guckusko</t>
        </is>
      </c>
      <c r="S89">
        <f>HYPERLINK("https://klasma.github.io/Logging_0188/artfynd/A 19829-2022 artfynd.xlsx", "A 19829-2022")</f>
        <v/>
      </c>
      <c r="T89">
        <f>HYPERLINK("https://klasma.github.io/Logging_0188/kartor/A 19829-2022 karta.png", "A 19829-2022")</f>
        <v/>
      </c>
      <c r="V89">
        <f>HYPERLINK("https://klasma.github.io/Logging_0188/klagomål/A 19829-2022 FSC-klagomål.docx", "A 19829-2022")</f>
        <v/>
      </c>
      <c r="W89">
        <f>HYPERLINK("https://klasma.github.io/Logging_0188/klagomålsmail/A 19829-2022 FSC-klagomål mail.docx", "A 19829-2022")</f>
        <v/>
      </c>
      <c r="X89">
        <f>HYPERLINK("https://klasma.github.io/Logging_0188/tillsyn/A 19829-2022 tillsynsbegäran.docx", "A 19829-2022")</f>
        <v/>
      </c>
      <c r="Y89">
        <f>HYPERLINK("https://klasma.github.io/Logging_0188/tillsynsmail/A 19829-2022 tillsynsbegäran mail.docx", "A 19829-2022")</f>
        <v/>
      </c>
    </row>
    <row r="90" ht="15" customHeight="1">
      <c r="A90" t="inlineStr">
        <is>
          <t>A 4532-2025</t>
        </is>
      </c>
      <c r="B90" s="1" t="n">
        <v>45687.34177083334</v>
      </c>
      <c r="C90" s="1" t="n">
        <v>45910</v>
      </c>
      <c r="D90" t="inlineStr">
        <is>
          <t>STOCKHOLMS LÄN</t>
        </is>
      </c>
      <c r="E90" t="inlineStr">
        <is>
          <t>NORRTÄLJE</t>
        </is>
      </c>
      <c r="F90" t="inlineStr">
        <is>
          <t>Holmen skog AB</t>
        </is>
      </c>
      <c r="G90" t="n">
        <v>6.4</v>
      </c>
      <c r="H90" t="n">
        <v>1</v>
      </c>
      <c r="I90" t="n">
        <v>0</v>
      </c>
      <c r="J90" t="n">
        <v>0</v>
      </c>
      <c r="K90" t="n">
        <v>0</v>
      </c>
      <c r="L90" t="n">
        <v>1</v>
      </c>
      <c r="M90" t="n">
        <v>0</v>
      </c>
      <c r="N90" t="n">
        <v>0</v>
      </c>
      <c r="O90" t="n">
        <v>1</v>
      </c>
      <c r="P90" t="n">
        <v>1</v>
      </c>
      <c r="Q90" t="n">
        <v>1</v>
      </c>
      <c r="R90" s="2" t="inlineStr">
        <is>
          <t>Asknätfjäril</t>
        </is>
      </c>
      <c r="S90">
        <f>HYPERLINK("https://klasma.github.io/Logging_0188/artfynd/A 4532-2025 artfynd.xlsx", "A 4532-2025")</f>
        <v/>
      </c>
      <c r="T90">
        <f>HYPERLINK("https://klasma.github.io/Logging_0188/kartor/A 4532-2025 karta.png", "A 4532-2025")</f>
        <v/>
      </c>
      <c r="V90">
        <f>HYPERLINK("https://klasma.github.io/Logging_0188/klagomål/A 4532-2025 FSC-klagomål.docx", "A 4532-2025")</f>
        <v/>
      </c>
      <c r="W90">
        <f>HYPERLINK("https://klasma.github.io/Logging_0188/klagomålsmail/A 4532-2025 FSC-klagomål mail.docx", "A 4532-2025")</f>
        <v/>
      </c>
      <c r="X90">
        <f>HYPERLINK("https://klasma.github.io/Logging_0188/tillsyn/A 4532-2025 tillsynsbegäran.docx", "A 4532-2025")</f>
        <v/>
      </c>
      <c r="Y90">
        <f>HYPERLINK("https://klasma.github.io/Logging_0188/tillsynsmail/A 4532-2025 tillsynsbegäran mail.docx", "A 4532-2025")</f>
        <v/>
      </c>
    </row>
    <row r="91" ht="15" customHeight="1">
      <c r="A91" t="inlineStr">
        <is>
          <t>A 35649-2023</t>
        </is>
      </c>
      <c r="B91" s="1" t="n">
        <v>45146</v>
      </c>
      <c r="C91" s="1" t="n">
        <v>45910</v>
      </c>
      <c r="D91" t="inlineStr">
        <is>
          <t>STOCKHOLMS LÄN</t>
        </is>
      </c>
      <c r="E91" t="inlineStr">
        <is>
          <t>NORRTÄLJE</t>
        </is>
      </c>
      <c r="G91" t="n">
        <v>25.1</v>
      </c>
      <c r="H91" t="n">
        <v>0</v>
      </c>
      <c r="I91" t="n">
        <v>0</v>
      </c>
      <c r="J91" t="n">
        <v>1</v>
      </c>
      <c r="K91" t="n">
        <v>0</v>
      </c>
      <c r="L91" t="n">
        <v>0</v>
      </c>
      <c r="M91" t="n">
        <v>0</v>
      </c>
      <c r="N91" t="n">
        <v>0</v>
      </c>
      <c r="O91" t="n">
        <v>1</v>
      </c>
      <c r="P91" t="n">
        <v>0</v>
      </c>
      <c r="Q91" t="n">
        <v>1</v>
      </c>
      <c r="R91" s="2" t="inlineStr">
        <is>
          <t>Månlåsbräken</t>
        </is>
      </c>
      <c r="S91">
        <f>HYPERLINK("https://klasma.github.io/Logging_0188/artfynd/A 35649-2023 artfynd.xlsx", "A 35649-2023")</f>
        <v/>
      </c>
      <c r="T91">
        <f>HYPERLINK("https://klasma.github.io/Logging_0188/kartor/A 35649-2023 karta.png", "A 35649-2023")</f>
        <v/>
      </c>
      <c r="V91">
        <f>HYPERLINK("https://klasma.github.io/Logging_0188/klagomål/A 35649-2023 FSC-klagomål.docx", "A 35649-2023")</f>
        <v/>
      </c>
      <c r="W91">
        <f>HYPERLINK("https://klasma.github.io/Logging_0188/klagomålsmail/A 35649-2023 FSC-klagomål mail.docx", "A 35649-2023")</f>
        <v/>
      </c>
      <c r="X91">
        <f>HYPERLINK("https://klasma.github.io/Logging_0188/tillsyn/A 35649-2023 tillsynsbegäran.docx", "A 35649-2023")</f>
        <v/>
      </c>
      <c r="Y91">
        <f>HYPERLINK("https://klasma.github.io/Logging_0188/tillsynsmail/A 35649-2023 tillsynsbegäran mail.docx", "A 35649-2023")</f>
        <v/>
      </c>
    </row>
    <row r="92" ht="15" customHeight="1">
      <c r="A92" t="inlineStr">
        <is>
          <t>A 50854-2022</t>
        </is>
      </c>
      <c r="B92" s="1" t="n">
        <v>44863</v>
      </c>
      <c r="C92" s="1" t="n">
        <v>45910</v>
      </c>
      <c r="D92" t="inlineStr">
        <is>
          <t>STOCKHOLMS LÄN</t>
        </is>
      </c>
      <c r="E92" t="inlineStr">
        <is>
          <t>NORRTÄLJE</t>
        </is>
      </c>
      <c r="G92" t="n">
        <v>2.9</v>
      </c>
      <c r="H92" t="n">
        <v>0</v>
      </c>
      <c r="I92" t="n">
        <v>1</v>
      </c>
      <c r="J92" t="n">
        <v>0</v>
      </c>
      <c r="K92" t="n">
        <v>0</v>
      </c>
      <c r="L92" t="n">
        <v>0</v>
      </c>
      <c r="M92" t="n">
        <v>0</v>
      </c>
      <c r="N92" t="n">
        <v>0</v>
      </c>
      <c r="O92" t="n">
        <v>0</v>
      </c>
      <c r="P92" t="n">
        <v>0</v>
      </c>
      <c r="Q92" t="n">
        <v>1</v>
      </c>
      <c r="R92" s="2" t="inlineStr">
        <is>
          <t>Tibast</t>
        </is>
      </c>
      <c r="S92">
        <f>HYPERLINK("https://klasma.github.io/Logging_0188/artfynd/A 50854-2022 artfynd.xlsx", "A 50854-2022")</f>
        <v/>
      </c>
      <c r="T92">
        <f>HYPERLINK("https://klasma.github.io/Logging_0188/kartor/A 50854-2022 karta.png", "A 50854-2022")</f>
        <v/>
      </c>
      <c r="V92">
        <f>HYPERLINK("https://klasma.github.io/Logging_0188/klagomål/A 50854-2022 FSC-klagomål.docx", "A 50854-2022")</f>
        <v/>
      </c>
      <c r="W92">
        <f>HYPERLINK("https://klasma.github.io/Logging_0188/klagomålsmail/A 50854-2022 FSC-klagomål mail.docx", "A 50854-2022")</f>
        <v/>
      </c>
      <c r="X92">
        <f>HYPERLINK("https://klasma.github.io/Logging_0188/tillsyn/A 50854-2022 tillsynsbegäran.docx", "A 50854-2022")</f>
        <v/>
      </c>
      <c r="Y92">
        <f>HYPERLINK("https://klasma.github.io/Logging_0188/tillsynsmail/A 50854-2022 tillsynsbegäran mail.docx", "A 50854-2022")</f>
        <v/>
      </c>
    </row>
    <row r="93" ht="15" customHeight="1">
      <c r="A93" t="inlineStr">
        <is>
          <t>A 6381-2023</t>
        </is>
      </c>
      <c r="B93" s="1" t="n">
        <v>44965</v>
      </c>
      <c r="C93" s="1" t="n">
        <v>45910</v>
      </c>
      <c r="D93" t="inlineStr">
        <is>
          <t>STOCKHOLMS LÄN</t>
        </is>
      </c>
      <c r="E93" t="inlineStr">
        <is>
          <t>NORRTÄLJE</t>
        </is>
      </c>
      <c r="G93" t="n">
        <v>3.5</v>
      </c>
      <c r="H93" t="n">
        <v>1</v>
      </c>
      <c r="I93" t="n">
        <v>1</v>
      </c>
      <c r="J93" t="n">
        <v>0</v>
      </c>
      <c r="K93" t="n">
        <v>0</v>
      </c>
      <c r="L93" t="n">
        <v>0</v>
      </c>
      <c r="M93" t="n">
        <v>0</v>
      </c>
      <c r="N93" t="n">
        <v>0</v>
      </c>
      <c r="O93" t="n">
        <v>0</v>
      </c>
      <c r="P93" t="n">
        <v>0</v>
      </c>
      <c r="Q93" t="n">
        <v>1</v>
      </c>
      <c r="R93" s="2" t="inlineStr">
        <is>
          <t>Guckusko</t>
        </is>
      </c>
      <c r="S93">
        <f>HYPERLINK("https://klasma.github.io/Logging_0188/artfynd/A 6381-2023 artfynd.xlsx", "A 6381-2023")</f>
        <v/>
      </c>
      <c r="T93">
        <f>HYPERLINK("https://klasma.github.io/Logging_0188/kartor/A 6381-2023 karta.png", "A 6381-2023")</f>
        <v/>
      </c>
      <c r="V93">
        <f>HYPERLINK("https://klasma.github.io/Logging_0188/klagomål/A 6381-2023 FSC-klagomål.docx", "A 6381-2023")</f>
        <v/>
      </c>
      <c r="W93">
        <f>HYPERLINK("https://klasma.github.io/Logging_0188/klagomålsmail/A 6381-2023 FSC-klagomål mail.docx", "A 6381-2023")</f>
        <v/>
      </c>
      <c r="X93">
        <f>HYPERLINK("https://klasma.github.io/Logging_0188/tillsyn/A 6381-2023 tillsynsbegäran.docx", "A 6381-2023")</f>
        <v/>
      </c>
      <c r="Y93">
        <f>HYPERLINK("https://klasma.github.io/Logging_0188/tillsynsmail/A 6381-2023 tillsynsbegäran mail.docx", "A 6381-2023")</f>
        <v/>
      </c>
    </row>
    <row r="94" ht="15" customHeight="1">
      <c r="A94" t="inlineStr">
        <is>
          <t>A 29946-2025</t>
        </is>
      </c>
      <c r="B94" s="1" t="n">
        <v>45826.46392361111</v>
      </c>
      <c r="C94" s="1" t="n">
        <v>45910</v>
      </c>
      <c r="D94" t="inlineStr">
        <is>
          <t>STOCKHOLMS LÄN</t>
        </is>
      </c>
      <c r="E94" t="inlineStr">
        <is>
          <t>NORRTÄLJE</t>
        </is>
      </c>
      <c r="F94" t="inlineStr">
        <is>
          <t>Holmen skog AB</t>
        </is>
      </c>
      <c r="G94" t="n">
        <v>3.6</v>
      </c>
      <c r="H94" t="n">
        <v>1</v>
      </c>
      <c r="I94" t="n">
        <v>0</v>
      </c>
      <c r="J94" t="n">
        <v>0</v>
      </c>
      <c r="K94" t="n">
        <v>0</v>
      </c>
      <c r="L94" t="n">
        <v>1</v>
      </c>
      <c r="M94" t="n">
        <v>0</v>
      </c>
      <c r="N94" t="n">
        <v>0</v>
      </c>
      <c r="O94" t="n">
        <v>1</v>
      </c>
      <c r="P94" t="n">
        <v>1</v>
      </c>
      <c r="Q94" t="n">
        <v>1</v>
      </c>
      <c r="R94" s="2" t="inlineStr">
        <is>
          <t>Asknätfjäril</t>
        </is>
      </c>
      <c r="S94">
        <f>HYPERLINK("https://klasma.github.io/Logging_0188/artfynd/A 29946-2025 artfynd.xlsx", "A 29946-2025")</f>
        <v/>
      </c>
      <c r="T94">
        <f>HYPERLINK("https://klasma.github.io/Logging_0188/kartor/A 29946-2025 karta.png", "A 29946-2025")</f>
        <v/>
      </c>
      <c r="V94">
        <f>HYPERLINK("https://klasma.github.io/Logging_0188/klagomål/A 29946-2025 FSC-klagomål.docx", "A 29946-2025")</f>
        <v/>
      </c>
      <c r="W94">
        <f>HYPERLINK("https://klasma.github.io/Logging_0188/klagomålsmail/A 29946-2025 FSC-klagomål mail.docx", "A 29946-2025")</f>
        <v/>
      </c>
      <c r="X94">
        <f>HYPERLINK("https://klasma.github.io/Logging_0188/tillsyn/A 29946-2025 tillsynsbegäran.docx", "A 29946-2025")</f>
        <v/>
      </c>
      <c r="Y94">
        <f>HYPERLINK("https://klasma.github.io/Logging_0188/tillsynsmail/A 29946-2025 tillsynsbegäran mail.docx", "A 29946-2025")</f>
        <v/>
      </c>
    </row>
    <row r="95" ht="15" customHeight="1">
      <c r="A95" t="inlineStr">
        <is>
          <t>A 8371-2025</t>
        </is>
      </c>
      <c r="B95" s="1" t="n">
        <v>45708</v>
      </c>
      <c r="C95" s="1" t="n">
        <v>45910</v>
      </c>
      <c r="D95" t="inlineStr">
        <is>
          <t>STOCKHOLMS LÄN</t>
        </is>
      </c>
      <c r="E95" t="inlineStr">
        <is>
          <t>NORRTÄLJE</t>
        </is>
      </c>
      <c r="F95" t="inlineStr">
        <is>
          <t>Övriga Aktiebolag</t>
        </is>
      </c>
      <c r="G95" t="n">
        <v>2.9</v>
      </c>
      <c r="H95" t="n">
        <v>1</v>
      </c>
      <c r="I95" t="n">
        <v>0</v>
      </c>
      <c r="J95" t="n">
        <v>1</v>
      </c>
      <c r="K95" t="n">
        <v>0</v>
      </c>
      <c r="L95" t="n">
        <v>0</v>
      </c>
      <c r="M95" t="n">
        <v>0</v>
      </c>
      <c r="N95" t="n">
        <v>0</v>
      </c>
      <c r="O95" t="n">
        <v>1</v>
      </c>
      <c r="P95" t="n">
        <v>0</v>
      </c>
      <c r="Q95" t="n">
        <v>1</v>
      </c>
      <c r="R95" s="2" t="inlineStr">
        <is>
          <t>Spillkråka</t>
        </is>
      </c>
      <c r="S95">
        <f>HYPERLINK("https://klasma.github.io/Logging_0188/artfynd/A 8371-2025 artfynd.xlsx", "A 8371-2025")</f>
        <v/>
      </c>
      <c r="T95">
        <f>HYPERLINK("https://klasma.github.io/Logging_0188/kartor/A 8371-2025 karta.png", "A 8371-2025")</f>
        <v/>
      </c>
      <c r="V95">
        <f>HYPERLINK("https://klasma.github.io/Logging_0188/klagomål/A 8371-2025 FSC-klagomål.docx", "A 8371-2025")</f>
        <v/>
      </c>
      <c r="W95">
        <f>HYPERLINK("https://klasma.github.io/Logging_0188/klagomålsmail/A 8371-2025 FSC-klagomål mail.docx", "A 8371-2025")</f>
        <v/>
      </c>
      <c r="X95">
        <f>HYPERLINK("https://klasma.github.io/Logging_0188/tillsyn/A 8371-2025 tillsynsbegäran.docx", "A 8371-2025")</f>
        <v/>
      </c>
      <c r="Y95">
        <f>HYPERLINK("https://klasma.github.io/Logging_0188/tillsynsmail/A 8371-2025 tillsynsbegäran mail.docx", "A 8371-2025")</f>
        <v/>
      </c>
      <c r="Z95">
        <f>HYPERLINK("https://klasma.github.io/Logging_0188/fåglar/A 8371-2025 prioriterade fågelarter.docx", "A 8371-2025")</f>
        <v/>
      </c>
    </row>
    <row r="96" ht="15" customHeight="1">
      <c r="A96" t="inlineStr">
        <is>
          <t>A 26120-2024</t>
        </is>
      </c>
      <c r="B96" s="1" t="n">
        <v>45468.45995370371</v>
      </c>
      <c r="C96" s="1" t="n">
        <v>45910</v>
      </c>
      <c r="D96" t="inlineStr">
        <is>
          <t>STOCKHOLMS LÄN</t>
        </is>
      </c>
      <c r="E96" t="inlineStr">
        <is>
          <t>NORRTÄLJE</t>
        </is>
      </c>
      <c r="G96" t="n">
        <v>1.8</v>
      </c>
      <c r="H96" t="n">
        <v>0</v>
      </c>
      <c r="I96" t="n">
        <v>0</v>
      </c>
      <c r="J96" t="n">
        <v>1</v>
      </c>
      <c r="K96" t="n">
        <v>0</v>
      </c>
      <c r="L96" t="n">
        <v>0</v>
      </c>
      <c r="M96" t="n">
        <v>0</v>
      </c>
      <c r="N96" t="n">
        <v>0</v>
      </c>
      <c r="O96" t="n">
        <v>1</v>
      </c>
      <c r="P96" t="n">
        <v>0</v>
      </c>
      <c r="Q96" t="n">
        <v>1</v>
      </c>
      <c r="R96" s="2" t="inlineStr">
        <is>
          <t>Majviva</t>
        </is>
      </c>
      <c r="S96">
        <f>HYPERLINK("https://klasma.github.io/Logging_0188/artfynd/A 26120-2024 artfynd.xlsx", "A 26120-2024")</f>
        <v/>
      </c>
      <c r="T96">
        <f>HYPERLINK("https://klasma.github.io/Logging_0188/kartor/A 26120-2024 karta.png", "A 26120-2024")</f>
        <v/>
      </c>
      <c r="V96">
        <f>HYPERLINK("https://klasma.github.io/Logging_0188/klagomål/A 26120-2024 FSC-klagomål.docx", "A 26120-2024")</f>
        <v/>
      </c>
      <c r="W96">
        <f>HYPERLINK("https://klasma.github.io/Logging_0188/klagomålsmail/A 26120-2024 FSC-klagomål mail.docx", "A 26120-2024")</f>
        <v/>
      </c>
      <c r="X96">
        <f>HYPERLINK("https://klasma.github.io/Logging_0188/tillsyn/A 26120-2024 tillsynsbegäran.docx", "A 26120-2024")</f>
        <v/>
      </c>
      <c r="Y96">
        <f>HYPERLINK("https://klasma.github.io/Logging_0188/tillsynsmail/A 26120-2024 tillsynsbegäran mail.docx", "A 26120-2024")</f>
        <v/>
      </c>
    </row>
    <row r="97" ht="15" customHeight="1">
      <c r="A97" t="inlineStr">
        <is>
          <t>A 24692-2025</t>
        </is>
      </c>
      <c r="B97" s="1" t="n">
        <v>45798</v>
      </c>
      <c r="C97" s="1" t="n">
        <v>45910</v>
      </c>
      <c r="D97" t="inlineStr">
        <is>
          <t>STOCKHOLMS LÄN</t>
        </is>
      </c>
      <c r="E97" t="inlineStr">
        <is>
          <t>NORRTÄLJE</t>
        </is>
      </c>
      <c r="G97" t="n">
        <v>26.3</v>
      </c>
      <c r="H97" t="n">
        <v>1</v>
      </c>
      <c r="I97" t="n">
        <v>0</v>
      </c>
      <c r="J97" t="n">
        <v>0</v>
      </c>
      <c r="K97" t="n">
        <v>0</v>
      </c>
      <c r="L97" t="n">
        <v>1</v>
      </c>
      <c r="M97" t="n">
        <v>0</v>
      </c>
      <c r="N97" t="n">
        <v>0</v>
      </c>
      <c r="O97" t="n">
        <v>1</v>
      </c>
      <c r="P97" t="n">
        <v>1</v>
      </c>
      <c r="Q97" t="n">
        <v>1</v>
      </c>
      <c r="R97" s="2" t="inlineStr">
        <is>
          <t>Asknätfjäril</t>
        </is>
      </c>
      <c r="S97">
        <f>HYPERLINK("https://klasma.github.io/Logging_0188/artfynd/A 24692-2025 artfynd.xlsx", "A 24692-2025")</f>
        <v/>
      </c>
      <c r="T97">
        <f>HYPERLINK("https://klasma.github.io/Logging_0188/kartor/A 24692-2025 karta.png", "A 24692-2025")</f>
        <v/>
      </c>
      <c r="V97">
        <f>HYPERLINK("https://klasma.github.io/Logging_0188/klagomål/A 24692-2025 FSC-klagomål.docx", "A 24692-2025")</f>
        <v/>
      </c>
      <c r="W97">
        <f>HYPERLINK("https://klasma.github.io/Logging_0188/klagomålsmail/A 24692-2025 FSC-klagomål mail.docx", "A 24692-2025")</f>
        <v/>
      </c>
      <c r="X97">
        <f>HYPERLINK("https://klasma.github.io/Logging_0188/tillsyn/A 24692-2025 tillsynsbegäran.docx", "A 24692-2025")</f>
        <v/>
      </c>
      <c r="Y97">
        <f>HYPERLINK("https://klasma.github.io/Logging_0188/tillsynsmail/A 24692-2025 tillsynsbegäran mail.docx", "A 24692-2025")</f>
        <v/>
      </c>
    </row>
    <row r="98" ht="15" customHeight="1">
      <c r="A98" t="inlineStr">
        <is>
          <t>A 33548-2025</t>
        </is>
      </c>
      <c r="B98" s="1" t="n">
        <v>45841.5721875</v>
      </c>
      <c r="C98" s="1" t="n">
        <v>45910</v>
      </c>
      <c r="D98" t="inlineStr">
        <is>
          <t>STOCKHOLMS LÄN</t>
        </is>
      </c>
      <c r="E98" t="inlineStr">
        <is>
          <t>NORRTÄLJE</t>
        </is>
      </c>
      <c r="G98" t="n">
        <v>12.2</v>
      </c>
      <c r="H98" t="n">
        <v>0</v>
      </c>
      <c r="I98" t="n">
        <v>0</v>
      </c>
      <c r="J98" t="n">
        <v>1</v>
      </c>
      <c r="K98" t="n">
        <v>0</v>
      </c>
      <c r="L98" t="n">
        <v>0</v>
      </c>
      <c r="M98" t="n">
        <v>0</v>
      </c>
      <c r="N98" t="n">
        <v>0</v>
      </c>
      <c r="O98" t="n">
        <v>1</v>
      </c>
      <c r="P98" t="n">
        <v>0</v>
      </c>
      <c r="Q98" t="n">
        <v>1</v>
      </c>
      <c r="R98" s="2" t="inlineStr">
        <is>
          <t>Dofttaggsvamp</t>
        </is>
      </c>
      <c r="S98">
        <f>HYPERLINK("https://klasma.github.io/Logging_0188/artfynd/A 33548-2025 artfynd.xlsx", "A 33548-2025")</f>
        <v/>
      </c>
      <c r="T98">
        <f>HYPERLINK("https://klasma.github.io/Logging_0188/kartor/A 33548-2025 karta.png", "A 33548-2025")</f>
        <v/>
      </c>
      <c r="V98">
        <f>HYPERLINK("https://klasma.github.io/Logging_0188/klagomål/A 33548-2025 FSC-klagomål.docx", "A 33548-2025")</f>
        <v/>
      </c>
      <c r="W98">
        <f>HYPERLINK("https://klasma.github.io/Logging_0188/klagomålsmail/A 33548-2025 FSC-klagomål mail.docx", "A 33548-2025")</f>
        <v/>
      </c>
      <c r="X98">
        <f>HYPERLINK("https://klasma.github.io/Logging_0188/tillsyn/A 33548-2025 tillsynsbegäran.docx", "A 33548-2025")</f>
        <v/>
      </c>
      <c r="Y98">
        <f>HYPERLINK("https://klasma.github.io/Logging_0188/tillsynsmail/A 33548-2025 tillsynsbegäran mail.docx", "A 33548-2025")</f>
        <v/>
      </c>
    </row>
    <row r="99" ht="15" customHeight="1">
      <c r="A99" t="inlineStr">
        <is>
          <t>A 33546-2025</t>
        </is>
      </c>
      <c r="B99" s="1" t="n">
        <v>45841.56996527778</v>
      </c>
      <c r="C99" s="1" t="n">
        <v>45910</v>
      </c>
      <c r="D99" t="inlineStr">
        <is>
          <t>STOCKHOLMS LÄN</t>
        </is>
      </c>
      <c r="E99" t="inlineStr">
        <is>
          <t>NORRTÄLJE</t>
        </is>
      </c>
      <c r="G99" t="n">
        <v>7.2</v>
      </c>
      <c r="H99" t="n">
        <v>1</v>
      </c>
      <c r="I99" t="n">
        <v>1</v>
      </c>
      <c r="J99" t="n">
        <v>0</v>
      </c>
      <c r="K99" t="n">
        <v>0</v>
      </c>
      <c r="L99" t="n">
        <v>0</v>
      </c>
      <c r="M99" t="n">
        <v>0</v>
      </c>
      <c r="N99" t="n">
        <v>0</v>
      </c>
      <c r="O99" t="n">
        <v>0</v>
      </c>
      <c r="P99" t="n">
        <v>0</v>
      </c>
      <c r="Q99" t="n">
        <v>1</v>
      </c>
      <c r="R99" s="2" t="inlineStr">
        <is>
          <t>Nästrot</t>
        </is>
      </c>
      <c r="S99">
        <f>HYPERLINK("https://klasma.github.io/Logging_0188/artfynd/A 33546-2025 artfynd.xlsx", "A 33546-2025")</f>
        <v/>
      </c>
      <c r="T99">
        <f>HYPERLINK("https://klasma.github.io/Logging_0188/kartor/A 33546-2025 karta.png", "A 33546-2025")</f>
        <v/>
      </c>
      <c r="V99">
        <f>HYPERLINK("https://klasma.github.io/Logging_0188/klagomål/A 33546-2025 FSC-klagomål.docx", "A 33546-2025")</f>
        <v/>
      </c>
      <c r="W99">
        <f>HYPERLINK("https://klasma.github.io/Logging_0188/klagomålsmail/A 33546-2025 FSC-klagomål mail.docx", "A 33546-2025")</f>
        <v/>
      </c>
      <c r="X99">
        <f>HYPERLINK("https://klasma.github.io/Logging_0188/tillsyn/A 33546-2025 tillsynsbegäran.docx", "A 33546-2025")</f>
        <v/>
      </c>
      <c r="Y99">
        <f>HYPERLINK("https://klasma.github.io/Logging_0188/tillsynsmail/A 33546-2025 tillsynsbegäran mail.docx", "A 33546-2025")</f>
        <v/>
      </c>
    </row>
    <row r="100" ht="15" customHeight="1">
      <c r="A100" t="inlineStr">
        <is>
          <t>A 64456-2023</t>
        </is>
      </c>
      <c r="B100" s="1" t="n">
        <v>45280</v>
      </c>
      <c r="C100" s="1" t="n">
        <v>45910</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52508-2023</t>
        </is>
      </c>
      <c r="B101" s="1" t="n">
        <v>45225</v>
      </c>
      <c r="C101" s="1" t="n">
        <v>45910</v>
      </c>
      <c r="D101" t="inlineStr">
        <is>
          <t>STOCKHOLMS LÄN</t>
        </is>
      </c>
      <c r="E101" t="inlineStr">
        <is>
          <t>NORRTÄLJE</t>
        </is>
      </c>
      <c r="G101" t="n">
        <v>19.7</v>
      </c>
      <c r="H101" t="n">
        <v>1</v>
      </c>
      <c r="I101" t="n">
        <v>0</v>
      </c>
      <c r="J101" t="n">
        <v>0</v>
      </c>
      <c r="K101" t="n">
        <v>1</v>
      </c>
      <c r="L101" t="n">
        <v>0</v>
      </c>
      <c r="M101" t="n">
        <v>0</v>
      </c>
      <c r="N101" t="n">
        <v>0</v>
      </c>
      <c r="O101" t="n">
        <v>1</v>
      </c>
      <c r="P101" t="n">
        <v>1</v>
      </c>
      <c r="Q101" t="n">
        <v>1</v>
      </c>
      <c r="R101" s="2" t="inlineStr">
        <is>
          <t>Svärta</t>
        </is>
      </c>
      <c r="S101">
        <f>HYPERLINK("https://klasma.github.io/Logging_0188/artfynd/A 52508-2023 artfynd.xlsx", "A 52508-2023")</f>
        <v/>
      </c>
      <c r="T101">
        <f>HYPERLINK("https://klasma.github.io/Logging_0188/kartor/A 52508-2023 karta.png", "A 52508-2023")</f>
        <v/>
      </c>
      <c r="V101">
        <f>HYPERLINK("https://klasma.github.io/Logging_0188/klagomål/A 52508-2023 FSC-klagomål.docx", "A 52508-2023")</f>
        <v/>
      </c>
      <c r="W101">
        <f>HYPERLINK("https://klasma.github.io/Logging_0188/klagomålsmail/A 52508-2023 FSC-klagomål mail.docx", "A 52508-2023")</f>
        <v/>
      </c>
      <c r="X101">
        <f>HYPERLINK("https://klasma.github.io/Logging_0188/tillsyn/A 52508-2023 tillsynsbegäran.docx", "A 52508-2023")</f>
        <v/>
      </c>
      <c r="Y101">
        <f>HYPERLINK("https://klasma.github.io/Logging_0188/tillsynsmail/A 52508-2023 tillsynsbegäran mail.docx", "A 52508-2023")</f>
        <v/>
      </c>
    </row>
    <row r="102" ht="15" customHeight="1">
      <c r="A102" t="inlineStr">
        <is>
          <t>A 39158-2025</t>
        </is>
      </c>
      <c r="B102" s="1" t="n">
        <v>45888.62712962963</v>
      </c>
      <c r="C102" s="1" t="n">
        <v>45910</v>
      </c>
      <c r="D102" t="inlineStr">
        <is>
          <t>STOCKHOLMS LÄN</t>
        </is>
      </c>
      <c r="E102" t="inlineStr">
        <is>
          <t>NORRTÄLJE</t>
        </is>
      </c>
      <c r="G102" t="n">
        <v>1.5</v>
      </c>
      <c r="H102" t="n">
        <v>1</v>
      </c>
      <c r="I102" t="n">
        <v>0</v>
      </c>
      <c r="J102" t="n">
        <v>0</v>
      </c>
      <c r="K102" t="n">
        <v>0</v>
      </c>
      <c r="L102" t="n">
        <v>0</v>
      </c>
      <c r="M102" t="n">
        <v>0</v>
      </c>
      <c r="N102" t="n">
        <v>0</v>
      </c>
      <c r="O102" t="n">
        <v>0</v>
      </c>
      <c r="P102" t="n">
        <v>0</v>
      </c>
      <c r="Q102" t="n">
        <v>1</v>
      </c>
      <c r="R102" s="2" t="inlineStr">
        <is>
          <t>Blåsippa</t>
        </is>
      </c>
      <c r="S102">
        <f>HYPERLINK("https://klasma.github.io/Logging_0188/artfynd/A 39158-2025 artfynd.xlsx", "A 39158-2025")</f>
        <v/>
      </c>
      <c r="T102">
        <f>HYPERLINK("https://klasma.github.io/Logging_0188/kartor/A 39158-2025 karta.png", "A 39158-2025")</f>
        <v/>
      </c>
      <c r="V102">
        <f>HYPERLINK("https://klasma.github.io/Logging_0188/klagomål/A 39158-2025 FSC-klagomål.docx", "A 39158-2025")</f>
        <v/>
      </c>
      <c r="W102">
        <f>HYPERLINK("https://klasma.github.io/Logging_0188/klagomålsmail/A 39158-2025 FSC-klagomål mail.docx", "A 39158-2025")</f>
        <v/>
      </c>
      <c r="X102">
        <f>HYPERLINK("https://klasma.github.io/Logging_0188/tillsyn/A 39158-2025 tillsynsbegäran.docx", "A 39158-2025")</f>
        <v/>
      </c>
      <c r="Y102">
        <f>HYPERLINK("https://klasma.github.io/Logging_0188/tillsynsmail/A 39158-2025 tillsynsbegäran mail.docx", "A 39158-2025")</f>
        <v/>
      </c>
    </row>
    <row r="103" ht="15" customHeight="1">
      <c r="A103" t="inlineStr">
        <is>
          <t>A 40861-2025</t>
        </is>
      </c>
      <c r="B103" s="1" t="n">
        <v>45897.56356481482</v>
      </c>
      <c r="C103" s="1" t="n">
        <v>45910</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24330-2023</t>
        </is>
      </c>
      <c r="B104" s="1" t="n">
        <v>45081</v>
      </c>
      <c r="C104" s="1" t="n">
        <v>45910</v>
      </c>
      <c r="D104" t="inlineStr">
        <is>
          <t>STOCKHOLMS LÄN</t>
        </is>
      </c>
      <c r="E104" t="inlineStr">
        <is>
          <t>NORRTÄLJE</t>
        </is>
      </c>
      <c r="G104" t="n">
        <v>5</v>
      </c>
      <c r="H104" t="n">
        <v>1</v>
      </c>
      <c r="I104" t="n">
        <v>0</v>
      </c>
      <c r="J104" t="n">
        <v>1</v>
      </c>
      <c r="K104" t="n">
        <v>0</v>
      </c>
      <c r="L104" t="n">
        <v>0</v>
      </c>
      <c r="M104" t="n">
        <v>0</v>
      </c>
      <c r="N104" t="n">
        <v>0</v>
      </c>
      <c r="O104" t="n">
        <v>1</v>
      </c>
      <c r="P104" t="n">
        <v>0</v>
      </c>
      <c r="Q104" t="n">
        <v>1</v>
      </c>
      <c r="R104" s="2" t="inlineStr">
        <is>
          <t>Mindre hackspett</t>
        </is>
      </c>
      <c r="S104">
        <f>HYPERLINK("https://klasma.github.io/Logging_0188/artfynd/A 24330-2023 artfynd.xlsx", "A 24330-2023")</f>
        <v/>
      </c>
      <c r="T104">
        <f>HYPERLINK("https://klasma.github.io/Logging_0188/kartor/A 24330-2023 karta.png", "A 24330-2023")</f>
        <v/>
      </c>
      <c r="V104">
        <f>HYPERLINK("https://klasma.github.io/Logging_0188/klagomål/A 24330-2023 FSC-klagomål.docx", "A 24330-2023")</f>
        <v/>
      </c>
      <c r="W104">
        <f>HYPERLINK("https://klasma.github.io/Logging_0188/klagomålsmail/A 24330-2023 FSC-klagomål mail.docx", "A 24330-2023")</f>
        <v/>
      </c>
      <c r="X104">
        <f>HYPERLINK("https://klasma.github.io/Logging_0188/tillsyn/A 24330-2023 tillsynsbegäran.docx", "A 24330-2023")</f>
        <v/>
      </c>
      <c r="Y104">
        <f>HYPERLINK("https://klasma.github.io/Logging_0188/tillsynsmail/A 24330-2023 tillsynsbegäran mail.docx", "A 24330-2023")</f>
        <v/>
      </c>
      <c r="Z104">
        <f>HYPERLINK("https://klasma.github.io/Logging_0188/fåglar/A 24330-2023 prioriterade fågelarter.docx", "A 24330-2023")</f>
        <v/>
      </c>
    </row>
    <row r="105" ht="15" customHeight="1">
      <c r="A105" t="inlineStr">
        <is>
          <t>A 21744-2023</t>
        </is>
      </c>
      <c r="B105" s="1" t="n">
        <v>45065</v>
      </c>
      <c r="C105" s="1" t="n">
        <v>45910</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42313-2025</t>
        </is>
      </c>
      <c r="B106" s="1" t="n">
        <v>45904.6575</v>
      </c>
      <c r="C106" s="1" t="n">
        <v>45910</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1162-2021</t>
        </is>
      </c>
      <c r="B107" s="1" t="n">
        <v>44207</v>
      </c>
      <c r="C107" s="1" t="n">
        <v>45910</v>
      </c>
      <c r="D107" t="inlineStr">
        <is>
          <t>STOCKHOLMS LÄN</t>
        </is>
      </c>
      <c r="E107" t="inlineStr">
        <is>
          <t>NORRTÄLJE</t>
        </is>
      </c>
      <c r="G107" t="n">
        <v>2.2</v>
      </c>
      <c r="H107" t="n">
        <v>1</v>
      </c>
      <c r="I107" t="n">
        <v>0</v>
      </c>
      <c r="J107" t="n">
        <v>0</v>
      </c>
      <c r="K107" t="n">
        <v>1</v>
      </c>
      <c r="L107" t="n">
        <v>0</v>
      </c>
      <c r="M107" t="n">
        <v>0</v>
      </c>
      <c r="N107" t="n">
        <v>0</v>
      </c>
      <c r="O107" t="n">
        <v>1</v>
      </c>
      <c r="P107" t="n">
        <v>1</v>
      </c>
      <c r="Q107" t="n">
        <v>1</v>
      </c>
      <c r="R107" s="2" t="inlineStr">
        <is>
          <t>Hällebräcka</t>
        </is>
      </c>
      <c r="S107">
        <f>HYPERLINK("https://klasma.github.io/Logging_0188/artfynd/A 1162-2021 artfynd.xlsx", "A 1162-2021")</f>
        <v/>
      </c>
      <c r="T107">
        <f>HYPERLINK("https://klasma.github.io/Logging_0188/kartor/A 1162-2021 karta.png", "A 1162-2021")</f>
        <v/>
      </c>
      <c r="V107">
        <f>HYPERLINK("https://klasma.github.io/Logging_0188/klagomål/A 1162-2021 FSC-klagomål.docx", "A 1162-2021")</f>
        <v/>
      </c>
      <c r="W107">
        <f>HYPERLINK("https://klasma.github.io/Logging_0188/klagomålsmail/A 1162-2021 FSC-klagomål mail.docx", "A 1162-2021")</f>
        <v/>
      </c>
      <c r="X107">
        <f>HYPERLINK("https://klasma.github.io/Logging_0188/tillsyn/A 1162-2021 tillsynsbegäran.docx", "A 1162-2021")</f>
        <v/>
      </c>
      <c r="Y107">
        <f>HYPERLINK("https://klasma.github.io/Logging_0188/tillsynsmail/A 1162-2021 tillsynsbegäran mail.docx", "A 1162-2021")</f>
        <v/>
      </c>
    </row>
    <row r="108" ht="15" customHeight="1">
      <c r="A108" t="inlineStr">
        <is>
          <t>A 27827-2022</t>
        </is>
      </c>
      <c r="B108" s="1" t="n">
        <v>44743.59504629629</v>
      </c>
      <c r="C108" s="1" t="n">
        <v>45910</v>
      </c>
      <c r="D108" t="inlineStr">
        <is>
          <t>STOCKHOLMS LÄN</t>
        </is>
      </c>
      <c r="E108" t="inlineStr">
        <is>
          <t>NORRTÄLJE</t>
        </is>
      </c>
      <c r="F108" t="inlineStr">
        <is>
          <t>Holmen skog AB</t>
        </is>
      </c>
      <c r="G108" t="n">
        <v>4.7</v>
      </c>
      <c r="H108" t="n">
        <v>1</v>
      </c>
      <c r="I108" t="n">
        <v>0</v>
      </c>
      <c r="J108" t="n">
        <v>1</v>
      </c>
      <c r="K108" t="n">
        <v>0</v>
      </c>
      <c r="L108" t="n">
        <v>0</v>
      </c>
      <c r="M108" t="n">
        <v>0</v>
      </c>
      <c r="N108" t="n">
        <v>0</v>
      </c>
      <c r="O108" t="n">
        <v>1</v>
      </c>
      <c r="P108" t="n">
        <v>0</v>
      </c>
      <c r="Q108" t="n">
        <v>1</v>
      </c>
      <c r="R108" s="2" t="inlineStr">
        <is>
          <t>Nordfladdermus</t>
        </is>
      </c>
      <c r="S108">
        <f>HYPERLINK("https://klasma.github.io/Logging_0188/artfynd/A 27827-2022 artfynd.xlsx", "A 27827-2022")</f>
        <v/>
      </c>
      <c r="T108">
        <f>HYPERLINK("https://klasma.github.io/Logging_0188/kartor/A 27827-2022 karta.png", "A 27827-2022")</f>
        <v/>
      </c>
      <c r="V108">
        <f>HYPERLINK("https://klasma.github.io/Logging_0188/klagomål/A 27827-2022 FSC-klagomål.docx", "A 27827-2022")</f>
        <v/>
      </c>
      <c r="W108">
        <f>HYPERLINK("https://klasma.github.io/Logging_0188/klagomålsmail/A 27827-2022 FSC-klagomål mail.docx", "A 27827-2022")</f>
        <v/>
      </c>
      <c r="X108">
        <f>HYPERLINK("https://klasma.github.io/Logging_0188/tillsyn/A 27827-2022 tillsynsbegäran.docx", "A 27827-2022")</f>
        <v/>
      </c>
      <c r="Y108">
        <f>HYPERLINK("https://klasma.github.io/Logging_0188/tillsynsmail/A 27827-2022 tillsynsbegäran mail.docx", "A 27827-2022")</f>
        <v/>
      </c>
    </row>
    <row r="109" ht="15" customHeight="1">
      <c r="A109" t="inlineStr">
        <is>
          <t>A 52611-2024</t>
        </is>
      </c>
      <c r="B109" s="1" t="n">
        <v>45609.83747685186</v>
      </c>
      <c r="C109" s="1" t="n">
        <v>45910</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17952-2022</t>
        </is>
      </c>
      <c r="B110" s="1" t="n">
        <v>44683</v>
      </c>
      <c r="C110" s="1" t="n">
        <v>45910</v>
      </c>
      <c r="D110" t="inlineStr">
        <is>
          <t>STOCKHOLMS LÄN</t>
        </is>
      </c>
      <c r="E110" t="inlineStr">
        <is>
          <t>NORRTÄLJE</t>
        </is>
      </c>
      <c r="G110" t="n">
        <v>51.1</v>
      </c>
      <c r="H110" t="n">
        <v>0</v>
      </c>
      <c r="I110" t="n">
        <v>0</v>
      </c>
      <c r="J110" t="n">
        <v>0</v>
      </c>
      <c r="K110" t="n">
        <v>1</v>
      </c>
      <c r="L110" t="n">
        <v>0</v>
      </c>
      <c r="M110" t="n">
        <v>0</v>
      </c>
      <c r="N110" t="n">
        <v>0</v>
      </c>
      <c r="O110" t="n">
        <v>1</v>
      </c>
      <c r="P110" t="n">
        <v>1</v>
      </c>
      <c r="Q110" t="n">
        <v>1</v>
      </c>
      <c r="R110" s="2" t="inlineStr">
        <is>
          <t>Kattunvisslare</t>
        </is>
      </c>
      <c r="S110">
        <f>HYPERLINK("https://klasma.github.io/Logging_0188/artfynd/A 17952-2022 artfynd.xlsx", "A 17952-2022")</f>
        <v/>
      </c>
      <c r="T110">
        <f>HYPERLINK("https://klasma.github.io/Logging_0188/kartor/A 17952-2022 karta.png", "A 17952-2022")</f>
        <v/>
      </c>
      <c r="V110">
        <f>HYPERLINK("https://klasma.github.io/Logging_0188/klagomål/A 17952-2022 FSC-klagomål.docx", "A 17952-2022")</f>
        <v/>
      </c>
      <c r="W110">
        <f>HYPERLINK("https://klasma.github.io/Logging_0188/klagomålsmail/A 17952-2022 FSC-klagomål mail.docx", "A 17952-2022")</f>
        <v/>
      </c>
      <c r="X110">
        <f>HYPERLINK("https://klasma.github.io/Logging_0188/tillsyn/A 17952-2022 tillsynsbegäran.docx", "A 17952-2022")</f>
        <v/>
      </c>
      <c r="Y110">
        <f>HYPERLINK("https://klasma.github.io/Logging_0188/tillsynsmail/A 17952-2022 tillsynsbegäran mail.docx", "A 17952-2022")</f>
        <v/>
      </c>
    </row>
    <row r="111" ht="15" customHeight="1">
      <c r="A111" t="inlineStr">
        <is>
          <t>A 13271-2025</t>
        </is>
      </c>
      <c r="B111" s="1" t="n">
        <v>45735.54510416667</v>
      </c>
      <c r="C111" s="1" t="n">
        <v>45910</v>
      </c>
      <c r="D111" t="inlineStr">
        <is>
          <t>STOCKHOLMS LÄN</t>
        </is>
      </c>
      <c r="E111" t="inlineStr">
        <is>
          <t>NORRTÄLJE</t>
        </is>
      </c>
      <c r="G111" t="n">
        <v>7.2</v>
      </c>
      <c r="H111" t="n">
        <v>1</v>
      </c>
      <c r="I111" t="n">
        <v>0</v>
      </c>
      <c r="J111" t="n">
        <v>0</v>
      </c>
      <c r="K111" t="n">
        <v>0</v>
      </c>
      <c r="L111" t="n">
        <v>1</v>
      </c>
      <c r="M111" t="n">
        <v>0</v>
      </c>
      <c r="N111" t="n">
        <v>0</v>
      </c>
      <c r="O111" t="n">
        <v>1</v>
      </c>
      <c r="P111" t="n">
        <v>1</v>
      </c>
      <c r="Q111" t="n">
        <v>1</v>
      </c>
      <c r="R111" s="2" t="inlineStr">
        <is>
          <t>Asknätfjäril</t>
        </is>
      </c>
      <c r="S111">
        <f>HYPERLINK("https://klasma.github.io/Logging_0188/artfynd/A 13271-2025 artfynd.xlsx", "A 13271-2025")</f>
        <v/>
      </c>
      <c r="T111">
        <f>HYPERLINK("https://klasma.github.io/Logging_0188/kartor/A 13271-2025 karta.png", "A 13271-2025")</f>
        <v/>
      </c>
      <c r="V111">
        <f>HYPERLINK("https://klasma.github.io/Logging_0188/klagomål/A 13271-2025 FSC-klagomål.docx", "A 13271-2025")</f>
        <v/>
      </c>
      <c r="W111">
        <f>HYPERLINK("https://klasma.github.io/Logging_0188/klagomålsmail/A 13271-2025 FSC-klagomål mail.docx", "A 13271-2025")</f>
        <v/>
      </c>
      <c r="X111">
        <f>HYPERLINK("https://klasma.github.io/Logging_0188/tillsyn/A 13271-2025 tillsynsbegäran.docx", "A 13271-2025")</f>
        <v/>
      </c>
      <c r="Y111">
        <f>HYPERLINK("https://klasma.github.io/Logging_0188/tillsynsmail/A 13271-2025 tillsynsbegäran mail.docx", "A 13271-2025")</f>
        <v/>
      </c>
    </row>
    <row r="112" ht="15" customHeight="1">
      <c r="A112" t="inlineStr">
        <is>
          <t>A 23146-2024</t>
        </is>
      </c>
      <c r="B112" s="1" t="n">
        <v>45450.63958333333</v>
      </c>
      <c r="C112" s="1" t="n">
        <v>45910</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27538-2024</t>
        </is>
      </c>
      <c r="B113" s="1" t="n">
        <v>45474</v>
      </c>
      <c r="C113" s="1" t="n">
        <v>45910</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48131-2023</t>
        </is>
      </c>
      <c r="B114" s="1" t="n">
        <v>45205</v>
      </c>
      <c r="C114" s="1" t="n">
        <v>45910</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26635-2023</t>
        </is>
      </c>
      <c r="B115" s="1" t="n">
        <v>45092</v>
      </c>
      <c r="C115" s="1" t="n">
        <v>45910</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21150-2022</t>
        </is>
      </c>
      <c r="B116" s="1" t="n">
        <v>44704</v>
      </c>
      <c r="C116" s="1" t="n">
        <v>45910</v>
      </c>
      <c r="D116" t="inlineStr">
        <is>
          <t>STOCKHOLMS LÄN</t>
        </is>
      </c>
      <c r="E116" t="inlineStr">
        <is>
          <t>NORRTÄLJE</t>
        </is>
      </c>
      <c r="G116" t="n">
        <v>12.5</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21150-2022 artfynd.xlsx", "A 21150-2022")</f>
        <v/>
      </c>
      <c r="T116">
        <f>HYPERLINK("https://klasma.github.io/Logging_0188/kartor/A 21150-2022 karta.png", "A 21150-2022")</f>
        <v/>
      </c>
      <c r="V116">
        <f>HYPERLINK("https://klasma.github.io/Logging_0188/klagomål/A 21150-2022 FSC-klagomål.docx", "A 21150-2022")</f>
        <v/>
      </c>
      <c r="W116">
        <f>HYPERLINK("https://klasma.github.io/Logging_0188/klagomålsmail/A 21150-2022 FSC-klagomål mail.docx", "A 21150-2022")</f>
        <v/>
      </c>
      <c r="X116">
        <f>HYPERLINK("https://klasma.github.io/Logging_0188/tillsyn/A 21150-2022 tillsynsbegäran.docx", "A 21150-2022")</f>
        <v/>
      </c>
      <c r="Y116">
        <f>HYPERLINK("https://klasma.github.io/Logging_0188/tillsynsmail/A 21150-2022 tillsynsbegäran mail.docx", "A 21150-2022")</f>
        <v/>
      </c>
    </row>
    <row r="117" ht="15" customHeight="1">
      <c r="A117" t="inlineStr">
        <is>
          <t>A 1970-2021</t>
        </is>
      </c>
      <c r="B117" s="1" t="n">
        <v>44210</v>
      </c>
      <c r="C117" s="1" t="n">
        <v>45910</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45910</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45910</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71543-2021</t>
        </is>
      </c>
      <c r="B120" s="1" t="n">
        <v>44540</v>
      </c>
      <c r="C120" s="1" t="n">
        <v>45910</v>
      </c>
      <c r="D120" t="inlineStr">
        <is>
          <t>STOCKHOLMS LÄN</t>
        </is>
      </c>
      <c r="E120" t="inlineStr">
        <is>
          <t>NORRTÄLJE</t>
        </is>
      </c>
      <c r="G120" t="n">
        <v>1.8</v>
      </c>
      <c r="H120" t="n">
        <v>0</v>
      </c>
      <c r="I120" t="n">
        <v>0</v>
      </c>
      <c r="J120" t="n">
        <v>0</v>
      </c>
      <c r="K120" t="n">
        <v>0</v>
      </c>
      <c r="L120" t="n">
        <v>0</v>
      </c>
      <c r="M120" t="n">
        <v>0</v>
      </c>
      <c r="N120" t="n">
        <v>0</v>
      </c>
      <c r="O120" t="n">
        <v>0</v>
      </c>
      <c r="P120" t="n">
        <v>0</v>
      </c>
      <c r="Q120" t="n">
        <v>0</v>
      </c>
      <c r="R120" s="2" t="inlineStr"/>
    </row>
    <row r="121" ht="15" customHeight="1">
      <c r="A121" t="inlineStr">
        <is>
          <t>A 12877-2022</t>
        </is>
      </c>
      <c r="B121" s="1" t="n">
        <v>44642</v>
      </c>
      <c r="C121" s="1" t="n">
        <v>45910</v>
      </c>
      <c r="D121" t="inlineStr">
        <is>
          <t>STOCKHOLMS LÄN</t>
        </is>
      </c>
      <c r="E121" t="inlineStr">
        <is>
          <t>NORRTÄLJE</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45910</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45910</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45910</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45910</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45910</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45910</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45910</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47291-2020</t>
        </is>
      </c>
      <c r="B129" s="1" t="n">
        <v>44097</v>
      </c>
      <c r="C129" s="1" t="n">
        <v>45910</v>
      </c>
      <c r="D129" t="inlineStr">
        <is>
          <t>STOCKHOLMS LÄN</t>
        </is>
      </c>
      <c r="E129" t="inlineStr">
        <is>
          <t>NORRTÄLJE</t>
        </is>
      </c>
      <c r="F129" t="inlineStr">
        <is>
          <t>Holmen skog AB</t>
        </is>
      </c>
      <c r="G129" t="n">
        <v>0.8</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45910</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45910</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37815-2022</t>
        </is>
      </c>
      <c r="B132" s="1" t="n">
        <v>44810.85092592592</v>
      </c>
      <c r="C132" s="1" t="n">
        <v>45910</v>
      </c>
      <c r="D132" t="inlineStr">
        <is>
          <t>STOCKHOLMS LÄN</t>
        </is>
      </c>
      <c r="E132" t="inlineStr">
        <is>
          <t>NORRTÄLJE</t>
        </is>
      </c>
      <c r="G132" t="n">
        <v>1.3</v>
      </c>
      <c r="H132" t="n">
        <v>0</v>
      </c>
      <c r="I132" t="n">
        <v>0</v>
      </c>
      <c r="J132" t="n">
        <v>0</v>
      </c>
      <c r="K132" t="n">
        <v>0</v>
      </c>
      <c r="L132" t="n">
        <v>0</v>
      </c>
      <c r="M132" t="n">
        <v>0</v>
      </c>
      <c r="N132" t="n">
        <v>0</v>
      </c>
      <c r="O132" t="n">
        <v>0</v>
      </c>
      <c r="P132" t="n">
        <v>0</v>
      </c>
      <c r="Q132" t="n">
        <v>0</v>
      </c>
      <c r="R132" s="2" t="inlineStr"/>
    </row>
    <row r="133" ht="15" customHeight="1">
      <c r="A133" t="inlineStr">
        <is>
          <t>A 74468-2021</t>
        </is>
      </c>
      <c r="B133" s="1" t="n">
        <v>44560</v>
      </c>
      <c r="C133" s="1" t="n">
        <v>45910</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45910</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45910</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45910</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54272-2021</t>
        </is>
      </c>
      <c r="B137" s="1" t="n">
        <v>44470.72148148148</v>
      </c>
      <c r="C137" s="1" t="n">
        <v>45910</v>
      </c>
      <c r="D137" t="inlineStr">
        <is>
          <t>STOCKHOLMS LÄN</t>
        </is>
      </c>
      <c r="E137" t="inlineStr">
        <is>
          <t>NORRTÄLJE</t>
        </is>
      </c>
      <c r="G137" t="n">
        <v>5.8</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45910</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45910</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31283-2022</t>
        </is>
      </c>
      <c r="B140" s="1" t="n">
        <v>44771</v>
      </c>
      <c r="C140" s="1" t="n">
        <v>45910</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34436-2021</t>
        </is>
      </c>
      <c r="B141" s="1" t="n">
        <v>44380</v>
      </c>
      <c r="C141" s="1" t="n">
        <v>45910</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67525-2021</t>
        </is>
      </c>
      <c r="B142" s="1" t="n">
        <v>44524</v>
      </c>
      <c r="C142" s="1" t="n">
        <v>45910</v>
      </c>
      <c r="D142" t="inlineStr">
        <is>
          <t>STOCKHOLMS LÄN</t>
        </is>
      </c>
      <c r="E142" t="inlineStr">
        <is>
          <t>NORRTÄLJE</t>
        </is>
      </c>
      <c r="G142" t="n">
        <v>0.8</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45910</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45910</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48496-2020</t>
        </is>
      </c>
      <c r="B145" s="1" t="n">
        <v>44103</v>
      </c>
      <c r="C145" s="1" t="n">
        <v>45910</v>
      </c>
      <c r="D145" t="inlineStr">
        <is>
          <t>STOCKHOLMS LÄN</t>
        </is>
      </c>
      <c r="E145" t="inlineStr">
        <is>
          <t>NORRTÄLJE</t>
        </is>
      </c>
      <c r="F145" t="inlineStr">
        <is>
          <t>Holmen skog AB</t>
        </is>
      </c>
      <c r="G145" t="n">
        <v>1.5</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45910</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45910</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43374-2022</t>
        </is>
      </c>
      <c r="B148" s="1" t="n">
        <v>44834</v>
      </c>
      <c r="C148" s="1" t="n">
        <v>45910</v>
      </c>
      <c r="D148" t="inlineStr">
        <is>
          <t>STOCKHOLMS LÄN</t>
        </is>
      </c>
      <c r="E148" t="inlineStr">
        <is>
          <t>NORRTÄLJE</t>
        </is>
      </c>
      <c r="G148" t="n">
        <v>0.7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45910</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62854-2020</t>
        </is>
      </c>
      <c r="B150" s="1" t="n">
        <v>44161</v>
      </c>
      <c r="C150" s="1" t="n">
        <v>45910</v>
      </c>
      <c r="D150" t="inlineStr">
        <is>
          <t>STOCKHOLMS LÄN</t>
        </is>
      </c>
      <c r="E150" t="inlineStr">
        <is>
          <t>NORRTÄLJE</t>
        </is>
      </c>
      <c r="G150" t="n">
        <v>4.7</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45910</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45910</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60822-2021</t>
        </is>
      </c>
      <c r="B153" s="1" t="n">
        <v>44496</v>
      </c>
      <c r="C153" s="1" t="n">
        <v>45910</v>
      </c>
      <c r="D153" t="inlineStr">
        <is>
          <t>STOCKHOLMS LÄN</t>
        </is>
      </c>
      <c r="E153" t="inlineStr">
        <is>
          <t>NORRTÄLJE</t>
        </is>
      </c>
      <c r="G153" t="n">
        <v>7.6</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45910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18905-2022</t>
        </is>
      </c>
      <c r="B155" s="1" t="n">
        <v>44690</v>
      </c>
      <c r="C155" s="1" t="n">
        <v>45910</v>
      </c>
      <c r="D155" t="inlineStr">
        <is>
          <t>STOCKHOLMS LÄN</t>
        </is>
      </c>
      <c r="E155" t="inlineStr">
        <is>
          <t>NORRTÄLJE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17777-2022</t>
        </is>
      </c>
      <c r="B156" s="1" t="n">
        <v>44682.79203703703</v>
      </c>
      <c r="C156" s="1" t="n">
        <v>45910</v>
      </c>
      <c r="D156" t="inlineStr">
        <is>
          <t>STOCKHOLMS LÄN</t>
        </is>
      </c>
      <c r="E156" t="inlineStr">
        <is>
          <t>NORRTÄLJE</t>
        </is>
      </c>
      <c r="G156" t="n">
        <v>3.7</v>
      </c>
      <c r="H156" t="n">
        <v>0</v>
      </c>
      <c r="I156" t="n">
        <v>0</v>
      </c>
      <c r="J156" t="n">
        <v>0</v>
      </c>
      <c r="K156" t="n">
        <v>0</v>
      </c>
      <c r="L156" t="n">
        <v>0</v>
      </c>
      <c r="M156" t="n">
        <v>0</v>
      </c>
      <c r="N156" t="n">
        <v>0</v>
      </c>
      <c r="O156" t="n">
        <v>0</v>
      </c>
      <c r="P156" t="n">
        <v>0</v>
      </c>
      <c r="Q156" t="n">
        <v>0</v>
      </c>
      <c r="R156" s="2" t="inlineStr"/>
    </row>
    <row r="157" ht="15" customHeight="1">
      <c r="A157" t="inlineStr">
        <is>
          <t>A 48492-2022</t>
        </is>
      </c>
      <c r="B157" s="1" t="n">
        <v>44858</v>
      </c>
      <c r="C157" s="1" t="n">
        <v>45910</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8338-2021</t>
        </is>
      </c>
      <c r="B158" s="1" t="n">
        <v>44244</v>
      </c>
      <c r="C158" s="1" t="n">
        <v>45910</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45910</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45910</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45910</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48522-2020</t>
        </is>
      </c>
      <c r="B162" s="1" t="n">
        <v>44103</v>
      </c>
      <c r="C162" s="1" t="n">
        <v>45910</v>
      </c>
      <c r="D162" t="inlineStr">
        <is>
          <t>STOCKHOLMS LÄN</t>
        </is>
      </c>
      <c r="E162" t="inlineStr">
        <is>
          <t>NORRTÄLJE</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45910</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45910</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2447-2021</t>
        </is>
      </c>
      <c r="B165" s="1" t="n">
        <v>44214</v>
      </c>
      <c r="C165" s="1" t="n">
        <v>45910</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18609-2021</t>
        </is>
      </c>
      <c r="B166" s="1" t="n">
        <v>44306</v>
      </c>
      <c r="C166" s="1" t="n">
        <v>45910</v>
      </c>
      <c r="D166" t="inlineStr">
        <is>
          <t>STOCKHOLMS LÄN</t>
        </is>
      </c>
      <c r="E166" t="inlineStr">
        <is>
          <t>NORRTÄLJE</t>
        </is>
      </c>
      <c r="G166" t="n">
        <v>9.5</v>
      </c>
      <c r="H166" t="n">
        <v>0</v>
      </c>
      <c r="I166" t="n">
        <v>0</v>
      </c>
      <c r="J166" t="n">
        <v>0</v>
      </c>
      <c r="K166" t="n">
        <v>0</v>
      </c>
      <c r="L166" t="n">
        <v>0</v>
      </c>
      <c r="M166" t="n">
        <v>0</v>
      </c>
      <c r="N166" t="n">
        <v>0</v>
      </c>
      <c r="O166" t="n">
        <v>0</v>
      </c>
      <c r="P166" t="n">
        <v>0</v>
      </c>
      <c r="Q166" t="n">
        <v>0</v>
      </c>
      <c r="R166" s="2" t="inlineStr"/>
    </row>
    <row r="167" ht="15" customHeight="1">
      <c r="A167" t="inlineStr">
        <is>
          <t>A 24534-2022</t>
        </is>
      </c>
      <c r="B167" s="1" t="n">
        <v>44727</v>
      </c>
      <c r="C167" s="1" t="n">
        <v>45910</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45539-2022</t>
        </is>
      </c>
      <c r="B168" s="1" t="n">
        <v>44845.47585648148</v>
      </c>
      <c r="C168" s="1" t="n">
        <v>45910</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45910</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45910</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60186-2021</t>
        </is>
      </c>
      <c r="B171" s="1" t="n">
        <v>44495</v>
      </c>
      <c r="C171" s="1" t="n">
        <v>45910</v>
      </c>
      <c r="D171" t="inlineStr">
        <is>
          <t>STOCKHOLMS LÄN</t>
        </is>
      </c>
      <c r="E171" t="inlineStr">
        <is>
          <t>NORRTÄLJE</t>
        </is>
      </c>
      <c r="G171" t="n">
        <v>1.7</v>
      </c>
      <c r="H171" t="n">
        <v>0</v>
      </c>
      <c r="I171" t="n">
        <v>0</v>
      </c>
      <c r="J171" t="n">
        <v>0</v>
      </c>
      <c r="K171" t="n">
        <v>0</v>
      </c>
      <c r="L171" t="n">
        <v>0</v>
      </c>
      <c r="M171" t="n">
        <v>0</v>
      </c>
      <c r="N171" t="n">
        <v>0</v>
      </c>
      <c r="O171" t="n">
        <v>0</v>
      </c>
      <c r="P171" t="n">
        <v>0</v>
      </c>
      <c r="Q171" t="n">
        <v>0</v>
      </c>
      <c r="R171" s="2" t="inlineStr"/>
    </row>
    <row r="172" ht="15" customHeight="1">
      <c r="A172" t="inlineStr">
        <is>
          <t>A 28959-2022</t>
        </is>
      </c>
      <c r="B172" s="1" t="n">
        <v>44749.61980324074</v>
      </c>
      <c r="C172" s="1" t="n">
        <v>45910</v>
      </c>
      <c r="D172" t="inlineStr">
        <is>
          <t>STOCKHOLMS LÄN</t>
        </is>
      </c>
      <c r="E172" t="inlineStr">
        <is>
          <t>NORRTÄLJE</t>
        </is>
      </c>
      <c r="G172" t="n">
        <v>5.2</v>
      </c>
      <c r="H172" t="n">
        <v>0</v>
      </c>
      <c r="I172" t="n">
        <v>0</v>
      </c>
      <c r="J172" t="n">
        <v>0</v>
      </c>
      <c r="K172" t="n">
        <v>0</v>
      </c>
      <c r="L172" t="n">
        <v>0</v>
      </c>
      <c r="M172" t="n">
        <v>0</v>
      </c>
      <c r="N172" t="n">
        <v>0</v>
      </c>
      <c r="O172" t="n">
        <v>0</v>
      </c>
      <c r="P172" t="n">
        <v>0</v>
      </c>
      <c r="Q172" t="n">
        <v>0</v>
      </c>
      <c r="R172" s="2" t="inlineStr"/>
    </row>
    <row r="173" ht="15" customHeight="1">
      <c r="A173" t="inlineStr">
        <is>
          <t>A 54340-2022</t>
        </is>
      </c>
      <c r="B173" s="1" t="n">
        <v>44882.44732638889</v>
      </c>
      <c r="C173" s="1" t="n">
        <v>45910</v>
      </c>
      <c r="D173" t="inlineStr">
        <is>
          <t>STOCKHOLMS LÄN</t>
        </is>
      </c>
      <c r="E173" t="inlineStr">
        <is>
          <t>NORRTÄLJE</t>
        </is>
      </c>
      <c r="G173" t="n">
        <v>6.7</v>
      </c>
      <c r="H173" t="n">
        <v>0</v>
      </c>
      <c r="I173" t="n">
        <v>0</v>
      </c>
      <c r="J173" t="n">
        <v>0</v>
      </c>
      <c r="K173" t="n">
        <v>0</v>
      </c>
      <c r="L173" t="n">
        <v>0</v>
      </c>
      <c r="M173" t="n">
        <v>0</v>
      </c>
      <c r="N173" t="n">
        <v>0</v>
      </c>
      <c r="O173" t="n">
        <v>0</v>
      </c>
      <c r="P173" t="n">
        <v>0</v>
      </c>
      <c r="Q173" t="n">
        <v>0</v>
      </c>
      <c r="R173" s="2" t="inlineStr"/>
    </row>
    <row r="174" ht="15" customHeight="1">
      <c r="A174" t="inlineStr">
        <is>
          <t>A 54355-2022</t>
        </is>
      </c>
      <c r="B174" s="1" t="n">
        <v>44882</v>
      </c>
      <c r="C174" s="1" t="n">
        <v>45910</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45910</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45910</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45910</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45910</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45910</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45910</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45910</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45910</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45910</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45910</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45910</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45910</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45910</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45910</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45910</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45910</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45910</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45910</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45910</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45910</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45910</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45910</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45910</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45910</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45910</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45910</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45910</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45910</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45910</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45910</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45910</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45910</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45910</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45910</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45910</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45910</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45910</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45910</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9467-2021</t>
        </is>
      </c>
      <c r="B213" s="1" t="n">
        <v>44251.43971064815</v>
      </c>
      <c r="C213" s="1" t="n">
        <v>45910</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1229-2022</t>
        </is>
      </c>
      <c r="B214" s="1" t="n">
        <v>44572</v>
      </c>
      <c r="C214" s="1" t="n">
        <v>45910</v>
      </c>
      <c r="D214" t="inlineStr">
        <is>
          <t>STOCKHOLMS LÄN</t>
        </is>
      </c>
      <c r="E214" t="inlineStr">
        <is>
          <t>NORRTÄLJE</t>
        </is>
      </c>
      <c r="G214" t="n">
        <v>11.5</v>
      </c>
      <c r="H214" t="n">
        <v>0</v>
      </c>
      <c r="I214" t="n">
        <v>0</v>
      </c>
      <c r="J214" t="n">
        <v>0</v>
      </c>
      <c r="K214" t="n">
        <v>0</v>
      </c>
      <c r="L214" t="n">
        <v>0</v>
      </c>
      <c r="M214" t="n">
        <v>0</v>
      </c>
      <c r="N214" t="n">
        <v>0</v>
      </c>
      <c r="O214" t="n">
        <v>0</v>
      </c>
      <c r="P214" t="n">
        <v>0</v>
      </c>
      <c r="Q214" t="n">
        <v>0</v>
      </c>
      <c r="R214" s="2" t="inlineStr"/>
    </row>
    <row r="215" ht="15" customHeight="1">
      <c r="A215" t="inlineStr">
        <is>
          <t>A 37415-2021</t>
        </is>
      </c>
      <c r="B215" s="1" t="n">
        <v>44397</v>
      </c>
      <c r="C215" s="1" t="n">
        <v>45910</v>
      </c>
      <c r="D215" t="inlineStr">
        <is>
          <t>STOCKHOLMS LÄN</t>
        </is>
      </c>
      <c r="E215" t="inlineStr">
        <is>
          <t>NORRTÄLJE</t>
        </is>
      </c>
      <c r="F215" t="inlineStr">
        <is>
          <t>Övriga Aktiebolag</t>
        </is>
      </c>
      <c r="G215" t="n">
        <v>3</v>
      </c>
      <c r="H215" t="n">
        <v>0</v>
      </c>
      <c r="I215" t="n">
        <v>0</v>
      </c>
      <c r="J215" t="n">
        <v>0</v>
      </c>
      <c r="K215" t="n">
        <v>0</v>
      </c>
      <c r="L215" t="n">
        <v>0</v>
      </c>
      <c r="M215" t="n">
        <v>0</v>
      </c>
      <c r="N215" t="n">
        <v>0</v>
      </c>
      <c r="O215" t="n">
        <v>0</v>
      </c>
      <c r="P215" t="n">
        <v>0</v>
      </c>
      <c r="Q215" t="n">
        <v>0</v>
      </c>
      <c r="R215" s="2" t="inlineStr"/>
    </row>
    <row r="216" ht="15" customHeight="1">
      <c r="A216" t="inlineStr">
        <is>
          <t>A 45541-2022</t>
        </is>
      </c>
      <c r="B216" s="1" t="n">
        <v>44845.47672453704</v>
      </c>
      <c r="C216" s="1" t="n">
        <v>45910</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12779-2021</t>
        </is>
      </c>
      <c r="B217" s="1" t="n">
        <v>44270</v>
      </c>
      <c r="C217" s="1" t="n">
        <v>45910</v>
      </c>
      <c r="D217" t="inlineStr">
        <is>
          <t>STOCKHOLMS LÄN</t>
        </is>
      </c>
      <c r="E217" t="inlineStr">
        <is>
          <t>NORRTÄLJE</t>
        </is>
      </c>
      <c r="G217" t="n">
        <v>10.8</v>
      </c>
      <c r="H217" t="n">
        <v>0</v>
      </c>
      <c r="I217" t="n">
        <v>0</v>
      </c>
      <c r="J217" t="n">
        <v>0</v>
      </c>
      <c r="K217" t="n">
        <v>0</v>
      </c>
      <c r="L217" t="n">
        <v>0</v>
      </c>
      <c r="M217" t="n">
        <v>0</v>
      </c>
      <c r="N217" t="n">
        <v>0</v>
      </c>
      <c r="O217" t="n">
        <v>0</v>
      </c>
      <c r="P217" t="n">
        <v>0</v>
      </c>
      <c r="Q217" t="n">
        <v>0</v>
      </c>
      <c r="R217" s="2" t="inlineStr"/>
    </row>
    <row r="218" ht="15" customHeight="1">
      <c r="A218" t="inlineStr">
        <is>
          <t>A 12782-2021</t>
        </is>
      </c>
      <c r="B218" s="1" t="n">
        <v>44270</v>
      </c>
      <c r="C218" s="1" t="n">
        <v>45910</v>
      </c>
      <c r="D218" t="inlineStr">
        <is>
          <t>STOCKHOLMS LÄN</t>
        </is>
      </c>
      <c r="E218" t="inlineStr">
        <is>
          <t>NORRTÄLJE</t>
        </is>
      </c>
      <c r="G218" t="n">
        <v>3.8</v>
      </c>
      <c r="H218" t="n">
        <v>0</v>
      </c>
      <c r="I218" t="n">
        <v>0</v>
      </c>
      <c r="J218" t="n">
        <v>0</v>
      </c>
      <c r="K218" t="n">
        <v>0</v>
      </c>
      <c r="L218" t="n">
        <v>0</v>
      </c>
      <c r="M218" t="n">
        <v>0</v>
      </c>
      <c r="N218" t="n">
        <v>0</v>
      </c>
      <c r="O218" t="n">
        <v>0</v>
      </c>
      <c r="P218" t="n">
        <v>0</v>
      </c>
      <c r="Q218" t="n">
        <v>0</v>
      </c>
      <c r="R218" s="2" t="inlineStr"/>
    </row>
    <row r="219" ht="15" customHeight="1">
      <c r="A219" t="inlineStr">
        <is>
          <t>A 14051-2022</t>
        </is>
      </c>
      <c r="B219" s="1" t="n">
        <v>44650.92714120371</v>
      </c>
      <c r="C219" s="1" t="n">
        <v>45910</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45910</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45910</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45910</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8160-2022</t>
        </is>
      </c>
      <c r="B223" s="1" t="n">
        <v>44609</v>
      </c>
      <c r="C223" s="1" t="n">
        <v>45910</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68273-2021</t>
        </is>
      </c>
      <c r="B224" s="1" t="n">
        <v>44526</v>
      </c>
      <c r="C224" s="1" t="n">
        <v>45910</v>
      </c>
      <c r="D224" t="inlineStr">
        <is>
          <t>STOCKHOLMS LÄN</t>
        </is>
      </c>
      <c r="E224" t="inlineStr">
        <is>
          <t>NORRTÄLJE</t>
        </is>
      </c>
      <c r="G224" t="n">
        <v>5.3</v>
      </c>
      <c r="H224" t="n">
        <v>0</v>
      </c>
      <c r="I224" t="n">
        <v>0</v>
      </c>
      <c r="J224" t="n">
        <v>0</v>
      </c>
      <c r="K224" t="n">
        <v>0</v>
      </c>
      <c r="L224" t="n">
        <v>0</v>
      </c>
      <c r="M224" t="n">
        <v>0</v>
      </c>
      <c r="N224" t="n">
        <v>0</v>
      </c>
      <c r="O224" t="n">
        <v>0</v>
      </c>
      <c r="P224" t="n">
        <v>0</v>
      </c>
      <c r="Q224" t="n">
        <v>0</v>
      </c>
      <c r="R224" s="2" t="inlineStr"/>
    </row>
    <row r="225" ht="15" customHeight="1">
      <c r="A225" t="inlineStr">
        <is>
          <t>A 39319-2022</t>
        </is>
      </c>
      <c r="B225" s="1" t="n">
        <v>44817.70516203704</v>
      </c>
      <c r="C225" s="1" t="n">
        <v>45910</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72355-2021</t>
        </is>
      </c>
      <c r="B226" s="1" t="n">
        <v>44545</v>
      </c>
      <c r="C226" s="1" t="n">
        <v>45910</v>
      </c>
      <c r="D226" t="inlineStr">
        <is>
          <t>STOCKHOLMS LÄN</t>
        </is>
      </c>
      <c r="E226" t="inlineStr">
        <is>
          <t>NORRTÄLJE</t>
        </is>
      </c>
      <c r="G226" t="n">
        <v>3.6</v>
      </c>
      <c r="H226" t="n">
        <v>0</v>
      </c>
      <c r="I226" t="n">
        <v>0</v>
      </c>
      <c r="J226" t="n">
        <v>0</v>
      </c>
      <c r="K226" t="n">
        <v>0</v>
      </c>
      <c r="L226" t="n">
        <v>0</v>
      </c>
      <c r="M226" t="n">
        <v>0</v>
      </c>
      <c r="N226" t="n">
        <v>0</v>
      </c>
      <c r="O226" t="n">
        <v>0</v>
      </c>
      <c r="P226" t="n">
        <v>0</v>
      </c>
      <c r="Q226" t="n">
        <v>0</v>
      </c>
      <c r="R226" s="2" t="inlineStr"/>
    </row>
    <row r="227" ht="15" customHeight="1">
      <c r="A227" t="inlineStr">
        <is>
          <t>A 72357-2021</t>
        </is>
      </c>
      <c r="B227" s="1" t="n">
        <v>44545</v>
      </c>
      <c r="C227" s="1" t="n">
        <v>45910</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56219-2021</t>
        </is>
      </c>
      <c r="B228" s="1" t="n">
        <v>44477</v>
      </c>
      <c r="C228" s="1" t="n">
        <v>45910</v>
      </c>
      <c r="D228" t="inlineStr">
        <is>
          <t>STOCKHOLMS LÄN</t>
        </is>
      </c>
      <c r="E228" t="inlineStr">
        <is>
          <t>NORRTÄLJE</t>
        </is>
      </c>
      <c r="F228" t="inlineStr">
        <is>
          <t>Kommuner</t>
        </is>
      </c>
      <c r="G228" t="n">
        <v>2.3</v>
      </c>
      <c r="H228" t="n">
        <v>0</v>
      </c>
      <c r="I228" t="n">
        <v>0</v>
      </c>
      <c r="J228" t="n">
        <v>0</v>
      </c>
      <c r="K228" t="n">
        <v>0</v>
      </c>
      <c r="L228" t="n">
        <v>0</v>
      </c>
      <c r="M228" t="n">
        <v>0</v>
      </c>
      <c r="N228" t="n">
        <v>0</v>
      </c>
      <c r="O228" t="n">
        <v>0</v>
      </c>
      <c r="P228" t="n">
        <v>0</v>
      </c>
      <c r="Q228" t="n">
        <v>0</v>
      </c>
      <c r="R228" s="2" t="inlineStr"/>
    </row>
    <row r="229" ht="15" customHeight="1">
      <c r="A229" t="inlineStr">
        <is>
          <t>A 24167-2022</t>
        </is>
      </c>
      <c r="B229" s="1" t="n">
        <v>44725.49491898148</v>
      </c>
      <c r="C229" s="1" t="n">
        <v>45910</v>
      </c>
      <c r="D229" t="inlineStr">
        <is>
          <t>STOCKHOLMS LÄN</t>
        </is>
      </c>
      <c r="E229" t="inlineStr">
        <is>
          <t>NORRTÄLJE</t>
        </is>
      </c>
      <c r="G229" t="n">
        <v>3.4</v>
      </c>
      <c r="H229" t="n">
        <v>0</v>
      </c>
      <c r="I229" t="n">
        <v>0</v>
      </c>
      <c r="J229" t="n">
        <v>0</v>
      </c>
      <c r="K229" t="n">
        <v>0</v>
      </c>
      <c r="L229" t="n">
        <v>0</v>
      </c>
      <c r="M229" t="n">
        <v>0</v>
      </c>
      <c r="N229" t="n">
        <v>0</v>
      </c>
      <c r="O229" t="n">
        <v>0</v>
      </c>
      <c r="P229" t="n">
        <v>0</v>
      </c>
      <c r="Q229" t="n">
        <v>0</v>
      </c>
      <c r="R229" s="2" t="inlineStr"/>
    </row>
    <row r="230" ht="15" customHeight="1">
      <c r="A230" t="inlineStr">
        <is>
          <t>A 42396-2021</t>
        </is>
      </c>
      <c r="B230" s="1" t="n">
        <v>44427</v>
      </c>
      <c r="C230" s="1" t="n">
        <v>45910</v>
      </c>
      <c r="D230" t="inlineStr">
        <is>
          <t>STOCKHOLMS LÄN</t>
        </is>
      </c>
      <c r="E230" t="inlineStr">
        <is>
          <t>NORRTÄLJE</t>
        </is>
      </c>
      <c r="G230" t="n">
        <v>2</v>
      </c>
      <c r="H230" t="n">
        <v>0</v>
      </c>
      <c r="I230" t="n">
        <v>0</v>
      </c>
      <c r="J230" t="n">
        <v>0</v>
      </c>
      <c r="K230" t="n">
        <v>0</v>
      </c>
      <c r="L230" t="n">
        <v>0</v>
      </c>
      <c r="M230" t="n">
        <v>0</v>
      </c>
      <c r="N230" t="n">
        <v>0</v>
      </c>
      <c r="O230" t="n">
        <v>0</v>
      </c>
      <c r="P230" t="n">
        <v>0</v>
      </c>
      <c r="Q230" t="n">
        <v>0</v>
      </c>
      <c r="R230" s="2" t="inlineStr"/>
    </row>
    <row r="231" ht="15" customHeight="1">
      <c r="A231" t="inlineStr">
        <is>
          <t>A 5562-2021</t>
        </is>
      </c>
      <c r="B231" s="1" t="n">
        <v>44230</v>
      </c>
      <c r="C231" s="1" t="n">
        <v>45910</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5566-2021</t>
        </is>
      </c>
      <c r="B232" s="1" t="n">
        <v>44230</v>
      </c>
      <c r="C232" s="1" t="n">
        <v>45910</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9988-2022</t>
        </is>
      </c>
      <c r="B233" s="1" t="n">
        <v>44621</v>
      </c>
      <c r="C233" s="1" t="n">
        <v>45910</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60733-2021</t>
        </is>
      </c>
      <c r="B234" s="1" t="n">
        <v>44496.77542824074</v>
      </c>
      <c r="C234" s="1" t="n">
        <v>45910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45910</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15226-2022</t>
        </is>
      </c>
      <c r="B236" s="1" t="n">
        <v>44658</v>
      </c>
      <c r="C236" s="1" t="n">
        <v>45910</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48071-2020</t>
        </is>
      </c>
      <c r="B237" s="1" t="n">
        <v>44100</v>
      </c>
      <c r="C237" s="1" t="n">
        <v>45910</v>
      </c>
      <c r="D237" t="inlineStr">
        <is>
          <t>STOCKHOLMS LÄN</t>
        </is>
      </c>
      <c r="E237" t="inlineStr">
        <is>
          <t>NORRTÄLJE</t>
        </is>
      </c>
      <c r="G237" t="n">
        <v>6.8</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45910</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3300-2022</t>
        </is>
      </c>
      <c r="B239" s="1" t="n">
        <v>44584.91538194445</v>
      </c>
      <c r="C239" s="1" t="n">
        <v>45910</v>
      </c>
      <c r="D239" t="inlineStr">
        <is>
          <t>STOCKHOLMS LÄN</t>
        </is>
      </c>
      <c r="E239" t="inlineStr">
        <is>
          <t>NORRTÄLJE</t>
        </is>
      </c>
      <c r="G239" t="n">
        <v>0.4</v>
      </c>
      <c r="H239" t="n">
        <v>0</v>
      </c>
      <c r="I239" t="n">
        <v>0</v>
      </c>
      <c r="J239" t="n">
        <v>0</v>
      </c>
      <c r="K239" t="n">
        <v>0</v>
      </c>
      <c r="L239" t="n">
        <v>0</v>
      </c>
      <c r="M239" t="n">
        <v>0</v>
      </c>
      <c r="N239" t="n">
        <v>0</v>
      </c>
      <c r="O239" t="n">
        <v>0</v>
      </c>
      <c r="P239" t="n">
        <v>0</v>
      </c>
      <c r="Q239" t="n">
        <v>0</v>
      </c>
      <c r="R239" s="2" t="inlineStr"/>
    </row>
    <row r="240" ht="15" customHeight="1">
      <c r="A240" t="inlineStr">
        <is>
          <t>A 17388-2022</t>
        </is>
      </c>
      <c r="B240" s="1" t="n">
        <v>44678</v>
      </c>
      <c r="C240" s="1" t="n">
        <v>45910</v>
      </c>
      <c r="D240" t="inlineStr">
        <is>
          <t>STOCKHOLMS LÄN</t>
        </is>
      </c>
      <c r="E240" t="inlineStr">
        <is>
          <t>NORRTÄLJE</t>
        </is>
      </c>
      <c r="G240" t="n">
        <v>2.4</v>
      </c>
      <c r="H240" t="n">
        <v>0</v>
      </c>
      <c r="I240" t="n">
        <v>0</v>
      </c>
      <c r="J240" t="n">
        <v>0</v>
      </c>
      <c r="K240" t="n">
        <v>0</v>
      </c>
      <c r="L240" t="n">
        <v>0</v>
      </c>
      <c r="M240" t="n">
        <v>0</v>
      </c>
      <c r="N240" t="n">
        <v>0</v>
      </c>
      <c r="O240" t="n">
        <v>0</v>
      </c>
      <c r="P240" t="n">
        <v>0</v>
      </c>
      <c r="Q240" t="n">
        <v>0</v>
      </c>
      <c r="R240" s="2" t="inlineStr"/>
    </row>
    <row r="241" ht="15" customHeight="1">
      <c r="A241" t="inlineStr">
        <is>
          <t>A 52139-2022</t>
        </is>
      </c>
      <c r="B241" s="1" t="n">
        <v>44868</v>
      </c>
      <c r="C241" s="1" t="n">
        <v>45910</v>
      </c>
      <c r="D241" t="inlineStr">
        <is>
          <t>STOCKHOLMS LÄN</t>
        </is>
      </c>
      <c r="E241" t="inlineStr">
        <is>
          <t>NORRTÄLJE</t>
        </is>
      </c>
      <c r="G241" t="n">
        <v>3.2</v>
      </c>
      <c r="H241" t="n">
        <v>0</v>
      </c>
      <c r="I241" t="n">
        <v>0</v>
      </c>
      <c r="J241" t="n">
        <v>0</v>
      </c>
      <c r="K241" t="n">
        <v>0</v>
      </c>
      <c r="L241" t="n">
        <v>0</v>
      </c>
      <c r="M241" t="n">
        <v>0</v>
      </c>
      <c r="N241" t="n">
        <v>0</v>
      </c>
      <c r="O241" t="n">
        <v>0</v>
      </c>
      <c r="P241" t="n">
        <v>0</v>
      </c>
      <c r="Q241" t="n">
        <v>0</v>
      </c>
      <c r="R241" s="2" t="inlineStr"/>
    </row>
    <row r="242" ht="15" customHeight="1">
      <c r="A242" t="inlineStr">
        <is>
          <t>A 31924-2022</t>
        </is>
      </c>
      <c r="B242" s="1" t="n">
        <v>44777</v>
      </c>
      <c r="C242" s="1" t="n">
        <v>45910</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9446-2021</t>
        </is>
      </c>
      <c r="B243" s="1" t="n">
        <v>44251</v>
      </c>
      <c r="C243" s="1" t="n">
        <v>45910</v>
      </c>
      <c r="D243" t="inlineStr">
        <is>
          <t>STOCKHOLMS LÄN</t>
        </is>
      </c>
      <c r="E243" t="inlineStr">
        <is>
          <t>NORRTÄLJE</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38991-2022</t>
        </is>
      </c>
      <c r="B244" s="1" t="n">
        <v>44816.89569444444</v>
      </c>
      <c r="C244" s="1" t="n">
        <v>45910</v>
      </c>
      <c r="D244" t="inlineStr">
        <is>
          <t>STOCKHOLMS LÄN</t>
        </is>
      </c>
      <c r="E244" t="inlineStr">
        <is>
          <t>NORRTÄLJE</t>
        </is>
      </c>
      <c r="G244" t="n">
        <v>1.9</v>
      </c>
      <c r="H244" t="n">
        <v>0</v>
      </c>
      <c r="I244" t="n">
        <v>0</v>
      </c>
      <c r="J244" t="n">
        <v>0</v>
      </c>
      <c r="K244" t="n">
        <v>0</v>
      </c>
      <c r="L244" t="n">
        <v>0</v>
      </c>
      <c r="M244" t="n">
        <v>0</v>
      </c>
      <c r="N244" t="n">
        <v>0</v>
      </c>
      <c r="O244" t="n">
        <v>0</v>
      </c>
      <c r="P244" t="n">
        <v>0</v>
      </c>
      <c r="Q244" t="n">
        <v>0</v>
      </c>
      <c r="R244" s="2" t="inlineStr"/>
    </row>
    <row r="245" ht="15" customHeight="1">
      <c r="A245" t="inlineStr">
        <is>
          <t>A 53884-2022</t>
        </is>
      </c>
      <c r="B245" s="1" t="n">
        <v>44880.68423611111</v>
      </c>
      <c r="C245" s="1" t="n">
        <v>45910</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17771-2022</t>
        </is>
      </c>
      <c r="B246" s="1" t="n">
        <v>44682.75924768519</v>
      </c>
      <c r="C246" s="1" t="n">
        <v>45910</v>
      </c>
      <c r="D246" t="inlineStr">
        <is>
          <t>STOCKHOLMS LÄN</t>
        </is>
      </c>
      <c r="E246" t="inlineStr">
        <is>
          <t>NORRTÄLJE</t>
        </is>
      </c>
      <c r="G246" t="n">
        <v>13.3</v>
      </c>
      <c r="H246" t="n">
        <v>0</v>
      </c>
      <c r="I246" t="n">
        <v>0</v>
      </c>
      <c r="J246" t="n">
        <v>0</v>
      </c>
      <c r="K246" t="n">
        <v>0</v>
      </c>
      <c r="L246" t="n">
        <v>0</v>
      </c>
      <c r="M246" t="n">
        <v>0</v>
      </c>
      <c r="N246" t="n">
        <v>0</v>
      </c>
      <c r="O246" t="n">
        <v>0</v>
      </c>
      <c r="P246" t="n">
        <v>0</v>
      </c>
      <c r="Q246" t="n">
        <v>0</v>
      </c>
      <c r="R246" s="2" t="inlineStr"/>
    </row>
    <row r="247" ht="15" customHeight="1">
      <c r="A247" t="inlineStr">
        <is>
          <t>A 17773-2022</t>
        </is>
      </c>
      <c r="B247" s="1" t="n">
        <v>44682.77616898148</v>
      </c>
      <c r="C247" s="1" t="n">
        <v>45910</v>
      </c>
      <c r="D247" t="inlineStr">
        <is>
          <t>STOCKHOLMS LÄN</t>
        </is>
      </c>
      <c r="E247" t="inlineStr">
        <is>
          <t>NORRTÄLJE</t>
        </is>
      </c>
      <c r="G247" t="n">
        <v>10.8</v>
      </c>
      <c r="H247" t="n">
        <v>0</v>
      </c>
      <c r="I247" t="n">
        <v>0</v>
      </c>
      <c r="J247" t="n">
        <v>0</v>
      </c>
      <c r="K247" t="n">
        <v>0</v>
      </c>
      <c r="L247" t="n">
        <v>0</v>
      </c>
      <c r="M247" t="n">
        <v>0</v>
      </c>
      <c r="N247" t="n">
        <v>0</v>
      </c>
      <c r="O247" t="n">
        <v>0</v>
      </c>
      <c r="P247" t="n">
        <v>0</v>
      </c>
      <c r="Q247" t="n">
        <v>0</v>
      </c>
      <c r="R247" s="2" t="inlineStr"/>
    </row>
    <row r="248" ht="15" customHeight="1">
      <c r="A248" t="inlineStr">
        <is>
          <t>A 12357-2022</t>
        </is>
      </c>
      <c r="B248" s="1" t="n">
        <v>44637</v>
      </c>
      <c r="C248" s="1" t="n">
        <v>45910</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26335-2022</t>
        </is>
      </c>
      <c r="B249" s="1" t="n">
        <v>44735</v>
      </c>
      <c r="C249" s="1" t="n">
        <v>45910</v>
      </c>
      <c r="D249" t="inlineStr">
        <is>
          <t>STOCKHOLMS LÄN</t>
        </is>
      </c>
      <c r="E249" t="inlineStr">
        <is>
          <t>NORRTÄLJE</t>
        </is>
      </c>
      <c r="G249" t="n">
        <v>3.3</v>
      </c>
      <c r="H249" t="n">
        <v>0</v>
      </c>
      <c r="I249" t="n">
        <v>0</v>
      </c>
      <c r="J249" t="n">
        <v>0</v>
      </c>
      <c r="K249" t="n">
        <v>0</v>
      </c>
      <c r="L249" t="n">
        <v>0</v>
      </c>
      <c r="M249" t="n">
        <v>0</v>
      </c>
      <c r="N249" t="n">
        <v>0</v>
      </c>
      <c r="O249" t="n">
        <v>0</v>
      </c>
      <c r="P249" t="n">
        <v>0</v>
      </c>
      <c r="Q249" t="n">
        <v>0</v>
      </c>
      <c r="R249" s="2" t="inlineStr"/>
    </row>
    <row r="250" ht="15" customHeight="1">
      <c r="A250" t="inlineStr">
        <is>
          <t>A 10521-2022</t>
        </is>
      </c>
      <c r="B250" s="1" t="n">
        <v>44623</v>
      </c>
      <c r="C250" s="1" t="n">
        <v>45910</v>
      </c>
      <c r="D250" t="inlineStr">
        <is>
          <t>STOCKHOLMS LÄN</t>
        </is>
      </c>
      <c r="E250" t="inlineStr">
        <is>
          <t>NORRTÄLJE</t>
        </is>
      </c>
      <c r="G250" t="n">
        <v>2.9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45910</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45910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45910</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17673-2021</t>
        </is>
      </c>
      <c r="B254" s="1" t="n">
        <v>44300</v>
      </c>
      <c r="C254" s="1" t="n">
        <v>45910</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49334-2020</t>
        </is>
      </c>
      <c r="B255" s="1" t="n">
        <v>44105</v>
      </c>
      <c r="C255" s="1" t="n">
        <v>45910</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55982-2020</t>
        </is>
      </c>
      <c r="B256" s="1" t="n">
        <v>44132</v>
      </c>
      <c r="C256" s="1" t="n">
        <v>45910</v>
      </c>
      <c r="D256" t="inlineStr">
        <is>
          <t>STOCKHOLMS LÄN</t>
        </is>
      </c>
      <c r="E256" t="inlineStr">
        <is>
          <t>NORRTÄLJE</t>
        </is>
      </c>
      <c r="G256" t="n">
        <v>11.3</v>
      </c>
      <c r="H256" t="n">
        <v>0</v>
      </c>
      <c r="I256" t="n">
        <v>0</v>
      </c>
      <c r="J256" t="n">
        <v>0</v>
      </c>
      <c r="K256" t="n">
        <v>0</v>
      </c>
      <c r="L256" t="n">
        <v>0</v>
      </c>
      <c r="M256" t="n">
        <v>0</v>
      </c>
      <c r="N256" t="n">
        <v>0</v>
      </c>
      <c r="O256" t="n">
        <v>0</v>
      </c>
      <c r="P256" t="n">
        <v>0</v>
      </c>
      <c r="Q256" t="n">
        <v>0</v>
      </c>
      <c r="R256" s="2" t="inlineStr"/>
    </row>
    <row r="257" ht="15" customHeight="1">
      <c r="A257" t="inlineStr">
        <is>
          <t>A 16117-2022</t>
        </is>
      </c>
      <c r="B257" s="1" t="n">
        <v>44665.65474537037</v>
      </c>
      <c r="C257" s="1" t="n">
        <v>45910</v>
      </c>
      <c r="D257" t="inlineStr">
        <is>
          <t>STOCKHOLMS LÄN</t>
        </is>
      </c>
      <c r="E257" t="inlineStr">
        <is>
          <t>NORRTÄLJE</t>
        </is>
      </c>
      <c r="G257" t="n">
        <v>8.1</v>
      </c>
      <c r="H257" t="n">
        <v>0</v>
      </c>
      <c r="I257" t="n">
        <v>0</v>
      </c>
      <c r="J257" t="n">
        <v>0</v>
      </c>
      <c r="K257" t="n">
        <v>0</v>
      </c>
      <c r="L257" t="n">
        <v>0</v>
      </c>
      <c r="M257" t="n">
        <v>0</v>
      </c>
      <c r="N257" t="n">
        <v>0</v>
      </c>
      <c r="O257" t="n">
        <v>0</v>
      </c>
      <c r="P257" t="n">
        <v>0</v>
      </c>
      <c r="Q257" t="n">
        <v>0</v>
      </c>
      <c r="R257" s="2" t="inlineStr"/>
    </row>
    <row r="258" ht="15" customHeight="1">
      <c r="A258" t="inlineStr">
        <is>
          <t>A 16132-2022</t>
        </is>
      </c>
      <c r="B258" s="1" t="n">
        <v>44665.78351851852</v>
      </c>
      <c r="C258" s="1" t="n">
        <v>45910</v>
      </c>
      <c r="D258" t="inlineStr">
        <is>
          <t>STOCKHOLMS LÄN</t>
        </is>
      </c>
      <c r="E258" t="inlineStr">
        <is>
          <t>NORRTÄLJE</t>
        </is>
      </c>
      <c r="G258" t="n">
        <v>4.4</v>
      </c>
      <c r="H258" t="n">
        <v>0</v>
      </c>
      <c r="I258" t="n">
        <v>0</v>
      </c>
      <c r="J258" t="n">
        <v>0</v>
      </c>
      <c r="K258" t="n">
        <v>0</v>
      </c>
      <c r="L258" t="n">
        <v>0</v>
      </c>
      <c r="M258" t="n">
        <v>0</v>
      </c>
      <c r="N258" t="n">
        <v>0</v>
      </c>
      <c r="O258" t="n">
        <v>0</v>
      </c>
      <c r="P258" t="n">
        <v>0</v>
      </c>
      <c r="Q258" t="n">
        <v>0</v>
      </c>
      <c r="R258" s="2" t="inlineStr"/>
    </row>
    <row r="259" ht="15" customHeight="1">
      <c r="A259" t="inlineStr">
        <is>
          <t>A 27217-2021</t>
        </is>
      </c>
      <c r="B259" s="1" t="n">
        <v>44350</v>
      </c>
      <c r="C259" s="1" t="n">
        <v>45910</v>
      </c>
      <c r="D259" t="inlineStr">
        <is>
          <t>STOCKHOLMS LÄN</t>
        </is>
      </c>
      <c r="E259" t="inlineStr">
        <is>
          <t>NORRTÄLJE</t>
        </is>
      </c>
      <c r="G259" t="n">
        <v>5.5</v>
      </c>
      <c r="H259" t="n">
        <v>0</v>
      </c>
      <c r="I259" t="n">
        <v>0</v>
      </c>
      <c r="J259" t="n">
        <v>0</v>
      </c>
      <c r="K259" t="n">
        <v>0</v>
      </c>
      <c r="L259" t="n">
        <v>0</v>
      </c>
      <c r="M259" t="n">
        <v>0</v>
      </c>
      <c r="N259" t="n">
        <v>0</v>
      </c>
      <c r="O259" t="n">
        <v>0</v>
      </c>
      <c r="P259" t="n">
        <v>0</v>
      </c>
      <c r="Q259" t="n">
        <v>0</v>
      </c>
      <c r="R259" s="2" t="inlineStr"/>
    </row>
    <row r="260" ht="15" customHeight="1">
      <c r="A260" t="inlineStr">
        <is>
          <t>A 57957-2020</t>
        </is>
      </c>
      <c r="B260" s="1" t="n">
        <v>44143</v>
      </c>
      <c r="C260" s="1" t="n">
        <v>45910</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45910</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70170-2021</t>
        </is>
      </c>
      <c r="B262" s="1" t="n">
        <v>44533</v>
      </c>
      <c r="C262" s="1" t="n">
        <v>45910</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62030-2021</t>
        </is>
      </c>
      <c r="B263" s="1" t="n">
        <v>44502</v>
      </c>
      <c r="C263" s="1" t="n">
        <v>45910</v>
      </c>
      <c r="D263" t="inlineStr">
        <is>
          <t>STOCKHOLMS LÄN</t>
        </is>
      </c>
      <c r="E263" t="inlineStr">
        <is>
          <t>NORRTÄLJE</t>
        </is>
      </c>
      <c r="G263" t="n">
        <v>4.7</v>
      </c>
      <c r="H263" t="n">
        <v>0</v>
      </c>
      <c r="I263" t="n">
        <v>0</v>
      </c>
      <c r="J263" t="n">
        <v>0</v>
      </c>
      <c r="K263" t="n">
        <v>0</v>
      </c>
      <c r="L263" t="n">
        <v>0</v>
      </c>
      <c r="M263" t="n">
        <v>0</v>
      </c>
      <c r="N263" t="n">
        <v>0</v>
      </c>
      <c r="O263" t="n">
        <v>0</v>
      </c>
      <c r="P263" t="n">
        <v>0</v>
      </c>
      <c r="Q263" t="n">
        <v>0</v>
      </c>
      <c r="R263" s="2" t="inlineStr"/>
    </row>
    <row r="264" ht="15" customHeight="1">
      <c r="A264" t="inlineStr">
        <is>
          <t>A 33046-2021</t>
        </is>
      </c>
      <c r="B264" s="1" t="n">
        <v>44376</v>
      </c>
      <c r="C264" s="1" t="n">
        <v>45910</v>
      </c>
      <c r="D264" t="inlineStr">
        <is>
          <t>STOCKHOLMS LÄN</t>
        </is>
      </c>
      <c r="E264" t="inlineStr">
        <is>
          <t>NORRTÄLJE</t>
        </is>
      </c>
      <c r="G264" t="n">
        <v>2.1</v>
      </c>
      <c r="H264" t="n">
        <v>0</v>
      </c>
      <c r="I264" t="n">
        <v>0</v>
      </c>
      <c r="J264" t="n">
        <v>0</v>
      </c>
      <c r="K264" t="n">
        <v>0</v>
      </c>
      <c r="L264" t="n">
        <v>0</v>
      </c>
      <c r="M264" t="n">
        <v>0</v>
      </c>
      <c r="N264" t="n">
        <v>0</v>
      </c>
      <c r="O264" t="n">
        <v>0</v>
      </c>
      <c r="P264" t="n">
        <v>0</v>
      </c>
      <c r="Q264" t="n">
        <v>0</v>
      </c>
      <c r="R264" s="2" t="inlineStr"/>
    </row>
    <row r="265" ht="15" customHeight="1">
      <c r="A265" t="inlineStr">
        <is>
          <t>A 5513-2022</t>
        </is>
      </c>
      <c r="B265" s="1" t="n">
        <v>44595</v>
      </c>
      <c r="C265" s="1" t="n">
        <v>45910</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25463-2021</t>
        </is>
      </c>
      <c r="B266" s="1" t="n">
        <v>44342</v>
      </c>
      <c r="C266" s="1" t="n">
        <v>45910</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21102-2022</t>
        </is>
      </c>
      <c r="B267" s="1" t="n">
        <v>44704</v>
      </c>
      <c r="C267" s="1" t="n">
        <v>45910</v>
      </c>
      <c r="D267" t="inlineStr">
        <is>
          <t>STOCKHOLMS LÄN</t>
        </is>
      </c>
      <c r="E267" t="inlineStr">
        <is>
          <t>NORRTÄLJE</t>
        </is>
      </c>
      <c r="G267" t="n">
        <v>0.2</v>
      </c>
      <c r="H267" t="n">
        <v>0</v>
      </c>
      <c r="I267" t="n">
        <v>0</v>
      </c>
      <c r="J267" t="n">
        <v>0</v>
      </c>
      <c r="K267" t="n">
        <v>0</v>
      </c>
      <c r="L267" t="n">
        <v>0</v>
      </c>
      <c r="M267" t="n">
        <v>0</v>
      </c>
      <c r="N267" t="n">
        <v>0</v>
      </c>
      <c r="O267" t="n">
        <v>0</v>
      </c>
      <c r="P267" t="n">
        <v>0</v>
      </c>
      <c r="Q267" t="n">
        <v>0</v>
      </c>
      <c r="R267" s="2" t="inlineStr"/>
    </row>
    <row r="268" ht="15" customHeight="1">
      <c r="A268" t="inlineStr">
        <is>
          <t>A 26328-2022</t>
        </is>
      </c>
      <c r="B268" s="1" t="n">
        <v>44735</v>
      </c>
      <c r="C268" s="1" t="n">
        <v>45910</v>
      </c>
      <c r="D268" t="inlineStr">
        <is>
          <t>STOCKHOLMS LÄN</t>
        </is>
      </c>
      <c r="E268" t="inlineStr">
        <is>
          <t>NORRTÄLJE</t>
        </is>
      </c>
      <c r="G268" t="n">
        <v>2.8</v>
      </c>
      <c r="H268" t="n">
        <v>0</v>
      </c>
      <c r="I268" t="n">
        <v>0</v>
      </c>
      <c r="J268" t="n">
        <v>0</v>
      </c>
      <c r="K268" t="n">
        <v>0</v>
      </c>
      <c r="L268" t="n">
        <v>0</v>
      </c>
      <c r="M268" t="n">
        <v>0</v>
      </c>
      <c r="N268" t="n">
        <v>0</v>
      </c>
      <c r="O268" t="n">
        <v>0</v>
      </c>
      <c r="P268" t="n">
        <v>0</v>
      </c>
      <c r="Q268" t="n">
        <v>0</v>
      </c>
      <c r="R268" s="2" t="inlineStr"/>
    </row>
    <row r="269" ht="15" customHeight="1">
      <c r="A269" t="inlineStr">
        <is>
          <t>A 66372-2020</t>
        </is>
      </c>
      <c r="B269" s="1" t="n">
        <v>44176</v>
      </c>
      <c r="C269" s="1" t="n">
        <v>45910</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71880-2021</t>
        </is>
      </c>
      <c r="B270" s="1" t="n">
        <v>44543</v>
      </c>
      <c r="C270" s="1" t="n">
        <v>45910</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45910</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12875-2022</t>
        </is>
      </c>
      <c r="B272" s="1" t="n">
        <v>44642.55565972222</v>
      </c>
      <c r="C272" s="1" t="n">
        <v>45910</v>
      </c>
      <c r="D272" t="inlineStr">
        <is>
          <t>STOCKHOLMS LÄN</t>
        </is>
      </c>
      <c r="E272" t="inlineStr">
        <is>
          <t>NORRTÄLJE</t>
        </is>
      </c>
      <c r="G272" t="n">
        <v>1.6</v>
      </c>
      <c r="H272" t="n">
        <v>0</v>
      </c>
      <c r="I272" t="n">
        <v>0</v>
      </c>
      <c r="J272" t="n">
        <v>0</v>
      </c>
      <c r="K272" t="n">
        <v>0</v>
      </c>
      <c r="L272" t="n">
        <v>0</v>
      </c>
      <c r="M272" t="n">
        <v>0</v>
      </c>
      <c r="N272" t="n">
        <v>0</v>
      </c>
      <c r="O272" t="n">
        <v>0</v>
      </c>
      <c r="P272" t="n">
        <v>0</v>
      </c>
      <c r="Q272" t="n">
        <v>0</v>
      </c>
      <c r="R272" s="2" t="inlineStr"/>
    </row>
    <row r="273" ht="15" customHeight="1">
      <c r="A273" t="inlineStr">
        <is>
          <t>A 60542-2020</t>
        </is>
      </c>
      <c r="B273" s="1" t="n">
        <v>44153</v>
      </c>
      <c r="C273" s="1" t="n">
        <v>45910</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45910</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45910</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45910</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24101-2022</t>
        </is>
      </c>
      <c r="B277" s="1" t="n">
        <v>44725</v>
      </c>
      <c r="C277" s="1" t="n">
        <v>45910</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28042-2022</t>
        </is>
      </c>
      <c r="B278" s="1" t="n">
        <v>44744</v>
      </c>
      <c r="C278" s="1" t="n">
        <v>45910</v>
      </c>
      <c r="D278" t="inlineStr">
        <is>
          <t>STOCKHOLMS LÄN</t>
        </is>
      </c>
      <c r="E278" t="inlineStr">
        <is>
          <t>NORRTÄLJE</t>
        </is>
      </c>
      <c r="G278" t="n">
        <v>0.2</v>
      </c>
      <c r="H278" t="n">
        <v>0</v>
      </c>
      <c r="I278" t="n">
        <v>0</v>
      </c>
      <c r="J278" t="n">
        <v>0</v>
      </c>
      <c r="K278" t="n">
        <v>0</v>
      </c>
      <c r="L278" t="n">
        <v>0</v>
      </c>
      <c r="M278" t="n">
        <v>0</v>
      </c>
      <c r="N278" t="n">
        <v>0</v>
      </c>
      <c r="O278" t="n">
        <v>0</v>
      </c>
      <c r="P278" t="n">
        <v>0</v>
      </c>
      <c r="Q278" t="n">
        <v>0</v>
      </c>
      <c r="R278" s="2" t="inlineStr"/>
    </row>
    <row r="279" ht="15" customHeight="1">
      <c r="A279" t="inlineStr">
        <is>
          <t>A 15441-2021</t>
        </is>
      </c>
      <c r="B279" s="1" t="n">
        <v>44284</v>
      </c>
      <c r="C279" s="1" t="n">
        <v>45910</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23453-2021</t>
        </is>
      </c>
      <c r="B280" s="1" t="n">
        <v>44333</v>
      </c>
      <c r="C280" s="1" t="n">
        <v>45910</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38721-2022</t>
        </is>
      </c>
      <c r="B281" s="1" t="n">
        <v>44815</v>
      </c>
      <c r="C281" s="1" t="n">
        <v>45910</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60184-2021</t>
        </is>
      </c>
      <c r="B282" s="1" t="n">
        <v>44495</v>
      </c>
      <c r="C282" s="1" t="n">
        <v>45910</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41398-2022</t>
        </is>
      </c>
      <c r="B283" s="1" t="n">
        <v>44826</v>
      </c>
      <c r="C283" s="1" t="n">
        <v>45910</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22369-2021</t>
        </is>
      </c>
      <c r="B284" s="1" t="n">
        <v>44326</v>
      </c>
      <c r="C284" s="1" t="n">
        <v>45910</v>
      </c>
      <c r="D284" t="inlineStr">
        <is>
          <t>STOCKHOLMS LÄN</t>
        </is>
      </c>
      <c r="E284" t="inlineStr">
        <is>
          <t>NORRTÄLJE</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67598-2021</t>
        </is>
      </c>
      <c r="B285" s="1" t="n">
        <v>44524</v>
      </c>
      <c r="C285" s="1" t="n">
        <v>45910</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27214-2021</t>
        </is>
      </c>
      <c r="B286" s="1" t="n">
        <v>44350</v>
      </c>
      <c r="C286" s="1" t="n">
        <v>45910</v>
      </c>
      <c r="D286" t="inlineStr">
        <is>
          <t>STOCKHOLMS LÄN</t>
        </is>
      </c>
      <c r="E286" t="inlineStr">
        <is>
          <t>NORRTÄLJE</t>
        </is>
      </c>
      <c r="G286" t="n">
        <v>1</v>
      </c>
      <c r="H286" t="n">
        <v>0</v>
      </c>
      <c r="I286" t="n">
        <v>0</v>
      </c>
      <c r="J286" t="n">
        <v>0</v>
      </c>
      <c r="K286" t="n">
        <v>0</v>
      </c>
      <c r="L286" t="n">
        <v>0</v>
      </c>
      <c r="M286" t="n">
        <v>0</v>
      </c>
      <c r="N286" t="n">
        <v>0</v>
      </c>
      <c r="O286" t="n">
        <v>0</v>
      </c>
      <c r="P286" t="n">
        <v>0</v>
      </c>
      <c r="Q286" t="n">
        <v>0</v>
      </c>
      <c r="R286" s="2" t="inlineStr"/>
    </row>
    <row r="287" ht="15" customHeight="1">
      <c r="A287" t="inlineStr">
        <is>
          <t>A 12355-2022</t>
        </is>
      </c>
      <c r="B287" s="1" t="n">
        <v>44637</v>
      </c>
      <c r="C287" s="1" t="n">
        <v>45910</v>
      </c>
      <c r="D287" t="inlineStr">
        <is>
          <t>STOCKHOLMS LÄN</t>
        </is>
      </c>
      <c r="E287" t="inlineStr">
        <is>
          <t>NORRTÄLJE</t>
        </is>
      </c>
      <c r="G287" t="n">
        <v>10.4</v>
      </c>
      <c r="H287" t="n">
        <v>0</v>
      </c>
      <c r="I287" t="n">
        <v>0</v>
      </c>
      <c r="J287" t="n">
        <v>0</v>
      </c>
      <c r="K287" t="n">
        <v>0</v>
      </c>
      <c r="L287" t="n">
        <v>0</v>
      </c>
      <c r="M287" t="n">
        <v>0</v>
      </c>
      <c r="N287" t="n">
        <v>0</v>
      </c>
      <c r="O287" t="n">
        <v>0</v>
      </c>
      <c r="P287" t="n">
        <v>0</v>
      </c>
      <c r="Q287" t="n">
        <v>0</v>
      </c>
      <c r="R287" s="2" t="inlineStr"/>
    </row>
    <row r="288" ht="15" customHeight="1">
      <c r="A288" t="inlineStr">
        <is>
          <t>A 34520-2021</t>
        </is>
      </c>
      <c r="B288" s="1" t="n">
        <v>44379</v>
      </c>
      <c r="C288" s="1" t="n">
        <v>45910</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7565-2022</t>
        </is>
      </c>
      <c r="B289" s="1" t="n">
        <v>44607</v>
      </c>
      <c r="C289" s="1" t="n">
        <v>45910</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27828-2022</t>
        </is>
      </c>
      <c r="B290" s="1" t="n">
        <v>44743.59765046297</v>
      </c>
      <c r="C290" s="1" t="n">
        <v>45910</v>
      </c>
      <c r="D290" t="inlineStr">
        <is>
          <t>STOCKHOLMS LÄN</t>
        </is>
      </c>
      <c r="E290" t="inlineStr">
        <is>
          <t>NORRTÄLJE</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41822-2021</t>
        </is>
      </c>
      <c r="B291" s="1" t="n">
        <v>44425</v>
      </c>
      <c r="C291" s="1" t="n">
        <v>45910</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41823-2021</t>
        </is>
      </c>
      <c r="B292" s="1" t="n">
        <v>44425</v>
      </c>
      <c r="C292" s="1" t="n">
        <v>45910</v>
      </c>
      <c r="D292" t="inlineStr">
        <is>
          <t>STOCKHOLMS LÄN</t>
        </is>
      </c>
      <c r="E292" t="inlineStr">
        <is>
          <t>NORRTÄLJE</t>
        </is>
      </c>
      <c r="G292" t="n">
        <v>2.4</v>
      </c>
      <c r="H292" t="n">
        <v>0</v>
      </c>
      <c r="I292" t="n">
        <v>0</v>
      </c>
      <c r="J292" t="n">
        <v>0</v>
      </c>
      <c r="K292" t="n">
        <v>0</v>
      </c>
      <c r="L292" t="n">
        <v>0</v>
      </c>
      <c r="M292" t="n">
        <v>0</v>
      </c>
      <c r="N292" t="n">
        <v>0</v>
      </c>
      <c r="O292" t="n">
        <v>0</v>
      </c>
      <c r="P292" t="n">
        <v>0</v>
      </c>
      <c r="Q292" t="n">
        <v>0</v>
      </c>
      <c r="R292" s="2" t="inlineStr"/>
    </row>
    <row r="293" ht="15" customHeight="1">
      <c r="A293" t="inlineStr">
        <is>
          <t>A 16229-2022</t>
        </is>
      </c>
      <c r="B293" s="1" t="n">
        <v>44670.4190162037</v>
      </c>
      <c r="C293" s="1" t="n">
        <v>45910</v>
      </c>
      <c r="D293" t="inlineStr">
        <is>
          <t>STOCKHOLMS LÄN</t>
        </is>
      </c>
      <c r="E293" t="inlineStr">
        <is>
          <t>NORRTÄLJE</t>
        </is>
      </c>
      <c r="G293" t="n">
        <v>7.4</v>
      </c>
      <c r="H293" t="n">
        <v>0</v>
      </c>
      <c r="I293" t="n">
        <v>0</v>
      </c>
      <c r="J293" t="n">
        <v>0</v>
      </c>
      <c r="K293" t="n">
        <v>0</v>
      </c>
      <c r="L293" t="n">
        <v>0</v>
      </c>
      <c r="M293" t="n">
        <v>0</v>
      </c>
      <c r="N293" t="n">
        <v>0</v>
      </c>
      <c r="O293" t="n">
        <v>0</v>
      </c>
      <c r="P293" t="n">
        <v>0</v>
      </c>
      <c r="Q293" t="n">
        <v>0</v>
      </c>
      <c r="R293" s="2" t="inlineStr"/>
    </row>
    <row r="294" ht="15" customHeight="1">
      <c r="A294" t="inlineStr">
        <is>
          <t>A 19398-2021</t>
        </is>
      </c>
      <c r="B294" s="1" t="n">
        <v>44309</v>
      </c>
      <c r="C294" s="1" t="n">
        <v>45910</v>
      </c>
      <c r="D294" t="inlineStr">
        <is>
          <t>STOCKHOLMS LÄN</t>
        </is>
      </c>
      <c r="E294" t="inlineStr">
        <is>
          <t>NORRTÄLJE</t>
        </is>
      </c>
      <c r="F294" t="inlineStr">
        <is>
          <t>Kommuner</t>
        </is>
      </c>
      <c r="G294" t="n">
        <v>2.1</v>
      </c>
      <c r="H294" t="n">
        <v>0</v>
      </c>
      <c r="I294" t="n">
        <v>0</v>
      </c>
      <c r="J294" t="n">
        <v>0</v>
      </c>
      <c r="K294" t="n">
        <v>0</v>
      </c>
      <c r="L294" t="n">
        <v>0</v>
      </c>
      <c r="M294" t="n">
        <v>0</v>
      </c>
      <c r="N294" t="n">
        <v>0</v>
      </c>
      <c r="O294" t="n">
        <v>0</v>
      </c>
      <c r="P294" t="n">
        <v>0</v>
      </c>
      <c r="Q294" t="n">
        <v>0</v>
      </c>
      <c r="R294" s="2" t="inlineStr"/>
    </row>
    <row r="295" ht="15" customHeight="1">
      <c r="A295" t="inlineStr">
        <is>
          <t>A 33226-2024</t>
        </is>
      </c>
      <c r="B295" s="1" t="n">
        <v>45518</v>
      </c>
      <c r="C295" s="1" t="n">
        <v>45910</v>
      </c>
      <c r="D295" t="inlineStr">
        <is>
          <t>STOCKHOLMS LÄN</t>
        </is>
      </c>
      <c r="E295" t="inlineStr">
        <is>
          <t>NORRTÄLJE</t>
        </is>
      </c>
      <c r="G295" t="n">
        <v>13.8</v>
      </c>
      <c r="H295" t="n">
        <v>0</v>
      </c>
      <c r="I295" t="n">
        <v>0</v>
      </c>
      <c r="J295" t="n">
        <v>0</v>
      </c>
      <c r="K295" t="n">
        <v>0</v>
      </c>
      <c r="L295" t="n">
        <v>0</v>
      </c>
      <c r="M295" t="n">
        <v>0</v>
      </c>
      <c r="N295" t="n">
        <v>0</v>
      </c>
      <c r="O295" t="n">
        <v>0</v>
      </c>
      <c r="P295" t="n">
        <v>0</v>
      </c>
      <c r="Q295" t="n">
        <v>0</v>
      </c>
      <c r="R295" s="2" t="inlineStr"/>
    </row>
    <row r="296" ht="15" customHeight="1">
      <c r="A296" t="inlineStr">
        <is>
          <t>A 22008-2024</t>
        </is>
      </c>
      <c r="B296" s="1" t="n">
        <v>45443</v>
      </c>
      <c r="C296" s="1" t="n">
        <v>45910</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55243-2023</t>
        </is>
      </c>
      <c r="B297" s="1" t="n">
        <v>45237</v>
      </c>
      <c r="C297" s="1" t="n">
        <v>45910</v>
      </c>
      <c r="D297" t="inlineStr">
        <is>
          <t>STOCKHOLMS LÄN</t>
        </is>
      </c>
      <c r="E297" t="inlineStr">
        <is>
          <t>NORRTÄLJE</t>
        </is>
      </c>
      <c r="G297" t="n">
        <v>6.5</v>
      </c>
      <c r="H297" t="n">
        <v>0</v>
      </c>
      <c r="I297" t="n">
        <v>0</v>
      </c>
      <c r="J297" t="n">
        <v>0</v>
      </c>
      <c r="K297" t="n">
        <v>0</v>
      </c>
      <c r="L297" t="n">
        <v>0</v>
      </c>
      <c r="M297" t="n">
        <v>0</v>
      </c>
      <c r="N297" t="n">
        <v>0</v>
      </c>
      <c r="O297" t="n">
        <v>0</v>
      </c>
      <c r="P297" t="n">
        <v>0</v>
      </c>
      <c r="Q297" t="n">
        <v>0</v>
      </c>
      <c r="R297" s="2" t="inlineStr"/>
    </row>
    <row r="298" ht="15" customHeight="1">
      <c r="A298" t="inlineStr">
        <is>
          <t>A 1968-2022</t>
        </is>
      </c>
      <c r="B298" s="1" t="n">
        <v>44575.52831018518</v>
      </c>
      <c r="C298" s="1" t="n">
        <v>45910</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52260-2022</t>
        </is>
      </c>
      <c r="B299" s="1" t="n">
        <v>44869</v>
      </c>
      <c r="C299" s="1" t="n">
        <v>45910</v>
      </c>
      <c r="D299" t="inlineStr">
        <is>
          <t>STOCKHOLMS LÄN</t>
        </is>
      </c>
      <c r="E299" t="inlineStr">
        <is>
          <t>NORRTÄLJE</t>
        </is>
      </c>
      <c r="G299" t="n">
        <v>3.1</v>
      </c>
      <c r="H299" t="n">
        <v>0</v>
      </c>
      <c r="I299" t="n">
        <v>0</v>
      </c>
      <c r="J299" t="n">
        <v>0</v>
      </c>
      <c r="K299" t="n">
        <v>0</v>
      </c>
      <c r="L299" t="n">
        <v>0</v>
      </c>
      <c r="M299" t="n">
        <v>0</v>
      </c>
      <c r="N299" t="n">
        <v>0</v>
      </c>
      <c r="O299" t="n">
        <v>0</v>
      </c>
      <c r="P299" t="n">
        <v>0</v>
      </c>
      <c r="Q299" t="n">
        <v>0</v>
      </c>
      <c r="R299" s="2" t="inlineStr"/>
    </row>
    <row r="300" ht="15" customHeight="1">
      <c r="A300" t="inlineStr">
        <is>
          <t>A 25557-2023</t>
        </is>
      </c>
      <c r="B300" s="1" t="n">
        <v>45089</v>
      </c>
      <c r="C300" s="1" t="n">
        <v>45910</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45910</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12268-2022</t>
        </is>
      </c>
      <c r="B302" s="1" t="n">
        <v>44637</v>
      </c>
      <c r="C302" s="1" t="n">
        <v>45910</v>
      </c>
      <c r="D302" t="inlineStr">
        <is>
          <t>STOCKHOLMS LÄN</t>
        </is>
      </c>
      <c r="E302" t="inlineStr">
        <is>
          <t>NORRTÄLJE</t>
        </is>
      </c>
      <c r="F302" t="inlineStr">
        <is>
          <t>Sveaskog</t>
        </is>
      </c>
      <c r="G302" t="n">
        <v>0.8</v>
      </c>
      <c r="H302" t="n">
        <v>0</v>
      </c>
      <c r="I302" t="n">
        <v>0</v>
      </c>
      <c r="J302" t="n">
        <v>0</v>
      </c>
      <c r="K302" t="n">
        <v>0</v>
      </c>
      <c r="L302" t="n">
        <v>0</v>
      </c>
      <c r="M302" t="n">
        <v>0</v>
      </c>
      <c r="N302" t="n">
        <v>0</v>
      </c>
      <c r="O302" t="n">
        <v>0</v>
      </c>
      <c r="P302" t="n">
        <v>0</v>
      </c>
      <c r="Q302" t="n">
        <v>0</v>
      </c>
      <c r="R302" s="2" t="inlineStr"/>
    </row>
    <row r="303" ht="15" customHeight="1">
      <c r="A303" t="inlineStr">
        <is>
          <t>A 20015-2023</t>
        </is>
      </c>
      <c r="B303" s="1" t="n">
        <v>45054</v>
      </c>
      <c r="C303" s="1" t="n">
        <v>45910</v>
      </c>
      <c r="D303" t="inlineStr">
        <is>
          <t>STOCKHOLMS LÄN</t>
        </is>
      </c>
      <c r="E303" t="inlineStr">
        <is>
          <t>NORRTÄLJE</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3273-2025</t>
        </is>
      </c>
      <c r="B304" s="1" t="n">
        <v>45679</v>
      </c>
      <c r="C304" s="1" t="n">
        <v>45910</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24245-2024</t>
        </is>
      </c>
      <c r="B305" s="1" t="n">
        <v>45457</v>
      </c>
      <c r="C305" s="1" t="n">
        <v>45910</v>
      </c>
      <c r="D305" t="inlineStr">
        <is>
          <t>STOCKHOLMS LÄN</t>
        </is>
      </c>
      <c r="E305" t="inlineStr">
        <is>
          <t>NORRTÄLJE</t>
        </is>
      </c>
      <c r="F305" t="inlineStr">
        <is>
          <t>Holmen skog AB</t>
        </is>
      </c>
      <c r="G305" t="n">
        <v>3.4</v>
      </c>
      <c r="H305" t="n">
        <v>0</v>
      </c>
      <c r="I305" t="n">
        <v>0</v>
      </c>
      <c r="J305" t="n">
        <v>0</v>
      </c>
      <c r="K305" t="n">
        <v>0</v>
      </c>
      <c r="L305" t="n">
        <v>0</v>
      </c>
      <c r="M305" t="n">
        <v>0</v>
      </c>
      <c r="N305" t="n">
        <v>0</v>
      </c>
      <c r="O305" t="n">
        <v>0</v>
      </c>
      <c r="P305" t="n">
        <v>0</v>
      </c>
      <c r="Q305" t="n">
        <v>0</v>
      </c>
      <c r="R305" s="2" t="inlineStr"/>
    </row>
    <row r="306" ht="15" customHeight="1">
      <c r="A306" t="inlineStr">
        <is>
          <t>A 21291-2021</t>
        </is>
      </c>
      <c r="B306" s="1" t="n">
        <v>44319</v>
      </c>
      <c r="C306" s="1" t="n">
        <v>45910</v>
      </c>
      <c r="D306" t="inlineStr">
        <is>
          <t>STOCKHOLMS LÄN</t>
        </is>
      </c>
      <c r="E306" t="inlineStr">
        <is>
          <t>NORRTÄLJE</t>
        </is>
      </c>
      <c r="G306" t="n">
        <v>12.7</v>
      </c>
      <c r="H306" t="n">
        <v>0</v>
      </c>
      <c r="I306" t="n">
        <v>0</v>
      </c>
      <c r="J306" t="n">
        <v>0</v>
      </c>
      <c r="K306" t="n">
        <v>0</v>
      </c>
      <c r="L306" t="n">
        <v>0</v>
      </c>
      <c r="M306" t="n">
        <v>0</v>
      </c>
      <c r="N306" t="n">
        <v>0</v>
      </c>
      <c r="O306" t="n">
        <v>0</v>
      </c>
      <c r="P306" t="n">
        <v>0</v>
      </c>
      <c r="Q306" t="n">
        <v>0</v>
      </c>
      <c r="R306" s="2" t="inlineStr"/>
    </row>
    <row r="307" ht="15" customHeight="1">
      <c r="A307" t="inlineStr">
        <is>
          <t>A 31926-2022</t>
        </is>
      </c>
      <c r="B307" s="1" t="n">
        <v>44777</v>
      </c>
      <c r="C307" s="1" t="n">
        <v>45910</v>
      </c>
      <c r="D307" t="inlineStr">
        <is>
          <t>STOCKHOLMS LÄN</t>
        </is>
      </c>
      <c r="E307" t="inlineStr">
        <is>
          <t>NORRTÄLJE</t>
        </is>
      </c>
      <c r="G307" t="n">
        <v>5.2</v>
      </c>
      <c r="H307" t="n">
        <v>0</v>
      </c>
      <c r="I307" t="n">
        <v>0</v>
      </c>
      <c r="J307" t="n">
        <v>0</v>
      </c>
      <c r="K307" t="n">
        <v>0</v>
      </c>
      <c r="L307" t="n">
        <v>0</v>
      </c>
      <c r="M307" t="n">
        <v>0</v>
      </c>
      <c r="N307" t="n">
        <v>0</v>
      </c>
      <c r="O307" t="n">
        <v>0</v>
      </c>
      <c r="P307" t="n">
        <v>0</v>
      </c>
      <c r="Q307" t="n">
        <v>0</v>
      </c>
      <c r="R307" s="2" t="inlineStr"/>
    </row>
    <row r="308" ht="15" customHeight="1">
      <c r="A308" t="inlineStr">
        <is>
          <t>A 15256-2023</t>
        </is>
      </c>
      <c r="B308" s="1" t="n">
        <v>45019.3959837963</v>
      </c>
      <c r="C308" s="1" t="n">
        <v>45910</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55696-2022</t>
        </is>
      </c>
      <c r="B309" s="1" t="n">
        <v>44888</v>
      </c>
      <c r="C309" s="1" t="n">
        <v>45910</v>
      </c>
      <c r="D309" t="inlineStr">
        <is>
          <t>STOCKHOLMS LÄN</t>
        </is>
      </c>
      <c r="E309" t="inlineStr">
        <is>
          <t>NORRTÄLJE</t>
        </is>
      </c>
      <c r="G309" t="n">
        <v>2.2</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45910</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22412-2021</t>
        </is>
      </c>
      <c r="B311" s="1" t="n">
        <v>44326.61967592593</v>
      </c>
      <c r="C311" s="1" t="n">
        <v>45910</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13053-2022</t>
        </is>
      </c>
      <c r="B312" s="1" t="n">
        <v>44643</v>
      </c>
      <c r="C312" s="1" t="n">
        <v>45910</v>
      </c>
      <c r="D312" t="inlineStr">
        <is>
          <t>STOCKHOLMS LÄN</t>
        </is>
      </c>
      <c r="E312" t="inlineStr">
        <is>
          <t>NORRTÄLJE</t>
        </is>
      </c>
      <c r="G312" t="n">
        <v>2.8</v>
      </c>
      <c r="H312" t="n">
        <v>0</v>
      </c>
      <c r="I312" t="n">
        <v>0</v>
      </c>
      <c r="J312" t="n">
        <v>0</v>
      </c>
      <c r="K312" t="n">
        <v>0</v>
      </c>
      <c r="L312" t="n">
        <v>0</v>
      </c>
      <c r="M312" t="n">
        <v>0</v>
      </c>
      <c r="N312" t="n">
        <v>0</v>
      </c>
      <c r="O312" t="n">
        <v>0</v>
      </c>
      <c r="P312" t="n">
        <v>0</v>
      </c>
      <c r="Q312" t="n">
        <v>0</v>
      </c>
      <c r="R312" s="2" t="inlineStr"/>
    </row>
    <row r="313" ht="15" customHeight="1">
      <c r="A313" t="inlineStr">
        <is>
          <t>A 15915-2023</t>
        </is>
      </c>
      <c r="B313" s="1" t="n">
        <v>45022</v>
      </c>
      <c r="C313" s="1" t="n">
        <v>45910</v>
      </c>
      <c r="D313" t="inlineStr">
        <is>
          <t>STOCKHOLMS LÄN</t>
        </is>
      </c>
      <c r="E313" t="inlineStr">
        <is>
          <t>NORRTÄLJE</t>
        </is>
      </c>
      <c r="G313" t="n">
        <v>2.9</v>
      </c>
      <c r="H313" t="n">
        <v>0</v>
      </c>
      <c r="I313" t="n">
        <v>0</v>
      </c>
      <c r="J313" t="n">
        <v>0</v>
      </c>
      <c r="K313" t="n">
        <v>0</v>
      </c>
      <c r="L313" t="n">
        <v>0</v>
      </c>
      <c r="M313" t="n">
        <v>0</v>
      </c>
      <c r="N313" t="n">
        <v>0</v>
      </c>
      <c r="O313" t="n">
        <v>0</v>
      </c>
      <c r="P313" t="n">
        <v>0</v>
      </c>
      <c r="Q313" t="n">
        <v>0</v>
      </c>
      <c r="R313" s="2" t="inlineStr"/>
    </row>
    <row r="314" ht="15" customHeight="1">
      <c r="A314" t="inlineStr">
        <is>
          <t>A 13172-2025</t>
        </is>
      </c>
      <c r="B314" s="1" t="n">
        <v>45735.36873842592</v>
      </c>
      <c r="C314" s="1" t="n">
        <v>45910</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7571-2024</t>
        </is>
      </c>
      <c r="B315" s="1" t="n">
        <v>45348.46300925926</v>
      </c>
      <c r="C315" s="1" t="n">
        <v>45910</v>
      </c>
      <c r="D315" t="inlineStr">
        <is>
          <t>STOCKHOLMS LÄN</t>
        </is>
      </c>
      <c r="E315" t="inlineStr">
        <is>
          <t>NORRTÄLJE</t>
        </is>
      </c>
      <c r="F315" t="inlineStr">
        <is>
          <t>Holmen skog AB</t>
        </is>
      </c>
      <c r="G315" t="n">
        <v>1.8</v>
      </c>
      <c r="H315" t="n">
        <v>0</v>
      </c>
      <c r="I315" t="n">
        <v>0</v>
      </c>
      <c r="J315" t="n">
        <v>0</v>
      </c>
      <c r="K315" t="n">
        <v>0</v>
      </c>
      <c r="L315" t="n">
        <v>0</v>
      </c>
      <c r="M315" t="n">
        <v>0</v>
      </c>
      <c r="N315" t="n">
        <v>0</v>
      </c>
      <c r="O315" t="n">
        <v>0</v>
      </c>
      <c r="P315" t="n">
        <v>0</v>
      </c>
      <c r="Q315" t="n">
        <v>0</v>
      </c>
      <c r="R315" s="2" t="inlineStr"/>
    </row>
    <row r="316" ht="15" customHeight="1">
      <c r="A316" t="inlineStr">
        <is>
          <t>A 21480-2022</t>
        </is>
      </c>
      <c r="B316" s="1" t="n">
        <v>44704</v>
      </c>
      <c r="C316" s="1" t="n">
        <v>45910</v>
      </c>
      <c r="D316" t="inlineStr">
        <is>
          <t>STOCKHOLMS LÄN</t>
        </is>
      </c>
      <c r="E316" t="inlineStr">
        <is>
          <t>NORRTÄLJE</t>
        </is>
      </c>
      <c r="G316" t="n">
        <v>2.8</v>
      </c>
      <c r="H316" t="n">
        <v>0</v>
      </c>
      <c r="I316" t="n">
        <v>0</v>
      </c>
      <c r="J316" t="n">
        <v>0</v>
      </c>
      <c r="K316" t="n">
        <v>0</v>
      </c>
      <c r="L316" t="n">
        <v>0</v>
      </c>
      <c r="M316" t="n">
        <v>0</v>
      </c>
      <c r="N316" t="n">
        <v>0</v>
      </c>
      <c r="O316" t="n">
        <v>0</v>
      </c>
      <c r="P316" t="n">
        <v>0</v>
      </c>
      <c r="Q316" t="n">
        <v>0</v>
      </c>
      <c r="R316" s="2" t="inlineStr"/>
    </row>
    <row r="317" ht="15" customHeight="1">
      <c r="A317" t="inlineStr">
        <is>
          <t>A 11041-2025</t>
        </is>
      </c>
      <c r="B317" s="1" t="n">
        <v>45723</v>
      </c>
      <c r="C317" s="1" t="n">
        <v>45910</v>
      </c>
      <c r="D317" t="inlineStr">
        <is>
          <t>STOCKHOLMS LÄN</t>
        </is>
      </c>
      <c r="E317" t="inlineStr">
        <is>
          <t>NORRTÄLJE</t>
        </is>
      </c>
      <c r="F317" t="inlineStr">
        <is>
          <t>Övriga Aktiebolag</t>
        </is>
      </c>
      <c r="G317" t="n">
        <v>1.8</v>
      </c>
      <c r="H317" t="n">
        <v>0</v>
      </c>
      <c r="I317" t="n">
        <v>0</v>
      </c>
      <c r="J317" t="n">
        <v>0</v>
      </c>
      <c r="K317" t="n">
        <v>0</v>
      </c>
      <c r="L317" t="n">
        <v>0</v>
      </c>
      <c r="M317" t="n">
        <v>0</v>
      </c>
      <c r="N317" t="n">
        <v>0</v>
      </c>
      <c r="O317" t="n">
        <v>0</v>
      </c>
      <c r="P317" t="n">
        <v>0</v>
      </c>
      <c r="Q317" t="n">
        <v>0</v>
      </c>
      <c r="R317" s="2" t="inlineStr"/>
    </row>
    <row r="318" ht="15" customHeight="1">
      <c r="A318" t="inlineStr">
        <is>
          <t>A 10511-2025</t>
        </is>
      </c>
      <c r="B318" s="1" t="n">
        <v>45721.40780092592</v>
      </c>
      <c r="C318" s="1" t="n">
        <v>45910</v>
      </c>
      <c r="D318" t="inlineStr">
        <is>
          <t>STOCKHOLMS LÄN</t>
        </is>
      </c>
      <c r="E318" t="inlineStr">
        <is>
          <t>NORRTÄLJE</t>
        </is>
      </c>
      <c r="G318" t="n">
        <v>2.6</v>
      </c>
      <c r="H318" t="n">
        <v>0</v>
      </c>
      <c r="I318" t="n">
        <v>0</v>
      </c>
      <c r="J318" t="n">
        <v>0</v>
      </c>
      <c r="K318" t="n">
        <v>0</v>
      </c>
      <c r="L318" t="n">
        <v>0</v>
      </c>
      <c r="M318" t="n">
        <v>0</v>
      </c>
      <c r="N318" t="n">
        <v>0</v>
      </c>
      <c r="O318" t="n">
        <v>0</v>
      </c>
      <c r="P318" t="n">
        <v>0</v>
      </c>
      <c r="Q318" t="n">
        <v>0</v>
      </c>
      <c r="R318" s="2" t="inlineStr"/>
    </row>
    <row r="319" ht="15" customHeight="1">
      <c r="A319" t="inlineStr">
        <is>
          <t>A 9469-2021</t>
        </is>
      </c>
      <c r="B319" s="1" t="n">
        <v>44251</v>
      </c>
      <c r="C319" s="1" t="n">
        <v>45910</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24024-2024</t>
        </is>
      </c>
      <c r="B320" s="1" t="n">
        <v>45456</v>
      </c>
      <c r="C320" s="1" t="n">
        <v>45910</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28809-2023</t>
        </is>
      </c>
      <c r="B321" s="1" t="n">
        <v>45104</v>
      </c>
      <c r="C321" s="1" t="n">
        <v>45910</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28813-2023</t>
        </is>
      </c>
      <c r="B322" s="1" t="n">
        <v>45104</v>
      </c>
      <c r="C322" s="1" t="n">
        <v>45910</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40656-2022</t>
        </is>
      </c>
      <c r="B323" s="1" t="n">
        <v>44824.36069444445</v>
      </c>
      <c r="C323" s="1" t="n">
        <v>45910</v>
      </c>
      <c r="D323" t="inlineStr">
        <is>
          <t>STOCKHOLMS LÄN</t>
        </is>
      </c>
      <c r="E323" t="inlineStr">
        <is>
          <t>NORRTÄLJE</t>
        </is>
      </c>
      <c r="G323" t="n">
        <v>2.7</v>
      </c>
      <c r="H323" t="n">
        <v>0</v>
      </c>
      <c r="I323" t="n">
        <v>0</v>
      </c>
      <c r="J323" t="n">
        <v>0</v>
      </c>
      <c r="K323" t="n">
        <v>0</v>
      </c>
      <c r="L323" t="n">
        <v>0</v>
      </c>
      <c r="M323" t="n">
        <v>0</v>
      </c>
      <c r="N323" t="n">
        <v>0</v>
      </c>
      <c r="O323" t="n">
        <v>0</v>
      </c>
      <c r="P323" t="n">
        <v>0</v>
      </c>
      <c r="Q323" t="n">
        <v>0</v>
      </c>
      <c r="R323" s="2" t="inlineStr"/>
    </row>
    <row r="324" ht="15" customHeight="1">
      <c r="A324" t="inlineStr">
        <is>
          <t>A 11849-2025</t>
        </is>
      </c>
      <c r="B324" s="1" t="n">
        <v>45728.38409722222</v>
      </c>
      <c r="C324" s="1" t="n">
        <v>45910</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40425-2021</t>
        </is>
      </c>
      <c r="B325" s="1" t="n">
        <v>44419</v>
      </c>
      <c r="C325" s="1" t="n">
        <v>45910</v>
      </c>
      <c r="D325" t="inlineStr">
        <is>
          <t>STOCKHOLMS LÄN</t>
        </is>
      </c>
      <c r="E325" t="inlineStr">
        <is>
          <t>NORRTÄLJE</t>
        </is>
      </c>
      <c r="G325" t="n">
        <v>5</v>
      </c>
      <c r="H325" t="n">
        <v>0</v>
      </c>
      <c r="I325" t="n">
        <v>0</v>
      </c>
      <c r="J325" t="n">
        <v>0</v>
      </c>
      <c r="K325" t="n">
        <v>0</v>
      </c>
      <c r="L325" t="n">
        <v>0</v>
      </c>
      <c r="M325" t="n">
        <v>0</v>
      </c>
      <c r="N325" t="n">
        <v>0</v>
      </c>
      <c r="O325" t="n">
        <v>0</v>
      </c>
      <c r="P325" t="n">
        <v>0</v>
      </c>
      <c r="Q325" t="n">
        <v>0</v>
      </c>
      <c r="R325" s="2" t="inlineStr"/>
    </row>
    <row r="326" ht="15" customHeight="1">
      <c r="A326" t="inlineStr">
        <is>
          <t>A 58990-2021</t>
        </is>
      </c>
      <c r="B326" s="1" t="n">
        <v>44490.03621527777</v>
      </c>
      <c r="C326" s="1" t="n">
        <v>45910</v>
      </c>
      <c r="D326" t="inlineStr">
        <is>
          <t>STOCKHOLMS LÄN</t>
        </is>
      </c>
      <c r="E326" t="inlineStr">
        <is>
          <t>NORRTÄLJE</t>
        </is>
      </c>
      <c r="G326" t="n">
        <v>4.2</v>
      </c>
      <c r="H326" t="n">
        <v>0</v>
      </c>
      <c r="I326" t="n">
        <v>0</v>
      </c>
      <c r="J326" t="n">
        <v>0</v>
      </c>
      <c r="K326" t="n">
        <v>0</v>
      </c>
      <c r="L326" t="n">
        <v>0</v>
      </c>
      <c r="M326" t="n">
        <v>0</v>
      </c>
      <c r="N326" t="n">
        <v>0</v>
      </c>
      <c r="O326" t="n">
        <v>0</v>
      </c>
      <c r="P326" t="n">
        <v>0</v>
      </c>
      <c r="Q326" t="n">
        <v>0</v>
      </c>
      <c r="R326" s="2" t="inlineStr"/>
    </row>
    <row r="327" ht="15" customHeight="1">
      <c r="A327" t="inlineStr">
        <is>
          <t>A 29972-2024</t>
        </is>
      </c>
      <c r="B327" s="1" t="n">
        <v>45485</v>
      </c>
      <c r="C327" s="1" t="n">
        <v>45910</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60694-2024</t>
        </is>
      </c>
      <c r="B328" s="1" t="n">
        <v>45644.47878472223</v>
      </c>
      <c r="C328" s="1" t="n">
        <v>45910</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48716-2023</t>
        </is>
      </c>
      <c r="B329" s="1" t="n">
        <v>45208.69671296296</v>
      </c>
      <c r="C329" s="1" t="n">
        <v>45910</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58661-2020</t>
        </is>
      </c>
      <c r="B330" s="1" t="n">
        <v>44145</v>
      </c>
      <c r="C330" s="1" t="n">
        <v>45910</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5027-2025</t>
        </is>
      </c>
      <c r="B331" s="1" t="n">
        <v>45691.41101851852</v>
      </c>
      <c r="C331" s="1" t="n">
        <v>45910</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20692-2025</t>
        </is>
      </c>
      <c r="B332" s="1" t="n">
        <v>45776.46369212963</v>
      </c>
      <c r="C332" s="1" t="n">
        <v>45910</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64145-2021</t>
        </is>
      </c>
      <c r="B333" s="1" t="n">
        <v>44510</v>
      </c>
      <c r="C333" s="1" t="n">
        <v>45910</v>
      </c>
      <c r="D333" t="inlineStr">
        <is>
          <t>STOCKHOLMS LÄN</t>
        </is>
      </c>
      <c r="E333" t="inlineStr">
        <is>
          <t>NORRTÄLJE</t>
        </is>
      </c>
      <c r="F333" t="inlineStr">
        <is>
          <t>Holmen skog AB</t>
        </is>
      </c>
      <c r="G333" t="n">
        <v>1.5</v>
      </c>
      <c r="H333" t="n">
        <v>0</v>
      </c>
      <c r="I333" t="n">
        <v>0</v>
      </c>
      <c r="J333" t="n">
        <v>0</v>
      </c>
      <c r="K333" t="n">
        <v>0</v>
      </c>
      <c r="L333" t="n">
        <v>0</v>
      </c>
      <c r="M333" t="n">
        <v>0</v>
      </c>
      <c r="N333" t="n">
        <v>0</v>
      </c>
      <c r="O333" t="n">
        <v>0</v>
      </c>
      <c r="P333" t="n">
        <v>0</v>
      </c>
      <c r="Q333" t="n">
        <v>0</v>
      </c>
      <c r="R333" s="2" t="inlineStr"/>
    </row>
    <row r="334" ht="15" customHeight="1">
      <c r="A334" t="inlineStr">
        <is>
          <t>A 1740-2023</t>
        </is>
      </c>
      <c r="B334" s="1" t="n">
        <v>44938</v>
      </c>
      <c r="C334" s="1" t="n">
        <v>45910</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4596-2023</t>
        </is>
      </c>
      <c r="B335" s="1" t="n">
        <v>44956</v>
      </c>
      <c r="C335" s="1" t="n">
        <v>45910</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19450-2025</t>
        </is>
      </c>
      <c r="B336" s="1" t="n">
        <v>45770</v>
      </c>
      <c r="C336" s="1" t="n">
        <v>45910</v>
      </c>
      <c r="D336" t="inlineStr">
        <is>
          <t>STOCKHOLMS LÄN</t>
        </is>
      </c>
      <c r="E336" t="inlineStr">
        <is>
          <t>NORRTÄLJE</t>
        </is>
      </c>
      <c r="G336" t="n">
        <v>5.3</v>
      </c>
      <c r="H336" t="n">
        <v>0</v>
      </c>
      <c r="I336" t="n">
        <v>0</v>
      </c>
      <c r="J336" t="n">
        <v>0</v>
      </c>
      <c r="K336" t="n">
        <v>0</v>
      </c>
      <c r="L336" t="n">
        <v>0</v>
      </c>
      <c r="M336" t="n">
        <v>0</v>
      </c>
      <c r="N336" t="n">
        <v>0</v>
      </c>
      <c r="O336" t="n">
        <v>0</v>
      </c>
      <c r="P336" t="n">
        <v>0</v>
      </c>
      <c r="Q336" t="n">
        <v>0</v>
      </c>
      <c r="R336" s="2" t="inlineStr"/>
    </row>
    <row r="337" ht="15" customHeight="1">
      <c r="A337" t="inlineStr">
        <is>
          <t>A 10676-2025</t>
        </is>
      </c>
      <c r="B337" s="1" t="n">
        <v>45721.88684027778</v>
      </c>
      <c r="C337" s="1" t="n">
        <v>45910</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20790-2025</t>
        </is>
      </c>
      <c r="B338" s="1" t="n">
        <v>45776.62563657408</v>
      </c>
      <c r="C338" s="1" t="n">
        <v>45910</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20852-2023</t>
        </is>
      </c>
      <c r="B339" s="1" t="n">
        <v>45058.78607638889</v>
      </c>
      <c r="C339" s="1" t="n">
        <v>45910</v>
      </c>
      <c r="D339" t="inlineStr">
        <is>
          <t>STOCKHOLMS LÄN</t>
        </is>
      </c>
      <c r="E339" t="inlineStr">
        <is>
          <t>NORRTÄLJE</t>
        </is>
      </c>
      <c r="G339" t="n">
        <v>3.5</v>
      </c>
      <c r="H339" t="n">
        <v>0</v>
      </c>
      <c r="I339" t="n">
        <v>0</v>
      </c>
      <c r="J339" t="n">
        <v>0</v>
      </c>
      <c r="K339" t="n">
        <v>0</v>
      </c>
      <c r="L339" t="n">
        <v>0</v>
      </c>
      <c r="M339" t="n">
        <v>0</v>
      </c>
      <c r="N339" t="n">
        <v>0</v>
      </c>
      <c r="O339" t="n">
        <v>0</v>
      </c>
      <c r="P339" t="n">
        <v>0</v>
      </c>
      <c r="Q339" t="n">
        <v>0</v>
      </c>
      <c r="R339" s="2" t="inlineStr"/>
    </row>
    <row r="340" ht="15" customHeight="1">
      <c r="A340" t="inlineStr">
        <is>
          <t>A 20699-2025</t>
        </is>
      </c>
      <c r="B340" s="1" t="n">
        <v>45776.47346064815</v>
      </c>
      <c r="C340" s="1" t="n">
        <v>45910</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3152-2024</t>
        </is>
      </c>
      <c r="B341" s="1" t="n">
        <v>45316.60306712963</v>
      </c>
      <c r="C341" s="1" t="n">
        <v>45910</v>
      </c>
      <c r="D341" t="inlineStr">
        <is>
          <t>STOCKHOLMS LÄN</t>
        </is>
      </c>
      <c r="E341" t="inlineStr">
        <is>
          <t>NORRTÄLJE</t>
        </is>
      </c>
      <c r="G341" t="n">
        <v>7.9</v>
      </c>
      <c r="H341" t="n">
        <v>0</v>
      </c>
      <c r="I341" t="n">
        <v>0</v>
      </c>
      <c r="J341" t="n">
        <v>0</v>
      </c>
      <c r="K341" t="n">
        <v>0</v>
      </c>
      <c r="L341" t="n">
        <v>0</v>
      </c>
      <c r="M341" t="n">
        <v>0</v>
      </c>
      <c r="N341" t="n">
        <v>0</v>
      </c>
      <c r="O341" t="n">
        <v>0</v>
      </c>
      <c r="P341" t="n">
        <v>0</v>
      </c>
      <c r="Q341" t="n">
        <v>0</v>
      </c>
      <c r="R341" s="2" t="inlineStr"/>
    </row>
    <row r="342" ht="15" customHeight="1">
      <c r="A342" t="inlineStr">
        <is>
          <t>A 64137-2021</t>
        </is>
      </c>
      <c r="B342" s="1" t="n">
        <v>44510.51422453704</v>
      </c>
      <c r="C342" s="1" t="n">
        <v>45910</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59326-2023</t>
        </is>
      </c>
      <c r="B343" s="1" t="n">
        <v>45253.63089120371</v>
      </c>
      <c r="C343" s="1" t="n">
        <v>45910</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44836-2023</t>
        </is>
      </c>
      <c r="B344" s="1" t="n">
        <v>45190.55609953704</v>
      </c>
      <c r="C344" s="1" t="n">
        <v>45910</v>
      </c>
      <c r="D344" t="inlineStr">
        <is>
          <t>STOCKHOLMS LÄN</t>
        </is>
      </c>
      <c r="E344" t="inlineStr">
        <is>
          <t>NORRTÄLJE</t>
        </is>
      </c>
      <c r="G344" t="n">
        <v>2.3</v>
      </c>
      <c r="H344" t="n">
        <v>0</v>
      </c>
      <c r="I344" t="n">
        <v>0</v>
      </c>
      <c r="J344" t="n">
        <v>0</v>
      </c>
      <c r="K344" t="n">
        <v>0</v>
      </c>
      <c r="L344" t="n">
        <v>0</v>
      </c>
      <c r="M344" t="n">
        <v>0</v>
      </c>
      <c r="N344" t="n">
        <v>0</v>
      </c>
      <c r="O344" t="n">
        <v>0</v>
      </c>
      <c r="P344" t="n">
        <v>0</v>
      </c>
      <c r="Q344" t="n">
        <v>0</v>
      </c>
      <c r="R344" s="2" t="inlineStr"/>
    </row>
    <row r="345" ht="15" customHeight="1">
      <c r="A345" t="inlineStr">
        <is>
          <t>A 20779-2025</t>
        </is>
      </c>
      <c r="B345" s="1" t="n">
        <v>45776.59871527777</v>
      </c>
      <c r="C345" s="1" t="n">
        <v>45910</v>
      </c>
      <c r="D345" t="inlineStr">
        <is>
          <t>STOCKHOLMS LÄN</t>
        </is>
      </c>
      <c r="E345" t="inlineStr">
        <is>
          <t>NORRTÄLJE</t>
        </is>
      </c>
      <c r="G345" t="n">
        <v>6.9</v>
      </c>
      <c r="H345" t="n">
        <v>0</v>
      </c>
      <c r="I345" t="n">
        <v>0</v>
      </c>
      <c r="J345" t="n">
        <v>0</v>
      </c>
      <c r="K345" t="n">
        <v>0</v>
      </c>
      <c r="L345" t="n">
        <v>0</v>
      </c>
      <c r="M345" t="n">
        <v>0</v>
      </c>
      <c r="N345" t="n">
        <v>0</v>
      </c>
      <c r="O345" t="n">
        <v>0</v>
      </c>
      <c r="P345" t="n">
        <v>0</v>
      </c>
      <c r="Q345" t="n">
        <v>0</v>
      </c>
      <c r="R345" s="2" t="inlineStr"/>
    </row>
    <row r="346" ht="15" customHeight="1">
      <c r="A346" t="inlineStr">
        <is>
          <t>A 22456-2023</t>
        </is>
      </c>
      <c r="B346" s="1" t="n">
        <v>45070</v>
      </c>
      <c r="C346" s="1" t="n">
        <v>45910</v>
      </c>
      <c r="D346" t="inlineStr">
        <is>
          <t>STOCKHOLMS LÄN</t>
        </is>
      </c>
      <c r="E346" t="inlineStr">
        <is>
          <t>NORRTÄLJE</t>
        </is>
      </c>
      <c r="G346" t="n">
        <v>3.1</v>
      </c>
      <c r="H346" t="n">
        <v>0</v>
      </c>
      <c r="I346" t="n">
        <v>0</v>
      </c>
      <c r="J346" t="n">
        <v>0</v>
      </c>
      <c r="K346" t="n">
        <v>0</v>
      </c>
      <c r="L346" t="n">
        <v>0</v>
      </c>
      <c r="M346" t="n">
        <v>0</v>
      </c>
      <c r="N346" t="n">
        <v>0</v>
      </c>
      <c r="O346" t="n">
        <v>0</v>
      </c>
      <c r="P346" t="n">
        <v>0</v>
      </c>
      <c r="Q346" t="n">
        <v>0</v>
      </c>
      <c r="R346" s="2" t="inlineStr"/>
    </row>
    <row r="347" ht="15" customHeight="1">
      <c r="A347" t="inlineStr">
        <is>
          <t>A 17785-2024</t>
        </is>
      </c>
      <c r="B347" s="1" t="n">
        <v>45418.6968287037</v>
      </c>
      <c r="C347" s="1" t="n">
        <v>45910</v>
      </c>
      <c r="D347" t="inlineStr">
        <is>
          <t>STOCKHOLMS LÄN</t>
        </is>
      </c>
      <c r="E347" t="inlineStr">
        <is>
          <t>NORRTÄLJE</t>
        </is>
      </c>
      <c r="G347" t="n">
        <v>1</v>
      </c>
      <c r="H347" t="n">
        <v>0</v>
      </c>
      <c r="I347" t="n">
        <v>0</v>
      </c>
      <c r="J347" t="n">
        <v>0</v>
      </c>
      <c r="K347" t="n">
        <v>0</v>
      </c>
      <c r="L347" t="n">
        <v>0</v>
      </c>
      <c r="M347" t="n">
        <v>0</v>
      </c>
      <c r="N347" t="n">
        <v>0</v>
      </c>
      <c r="O347" t="n">
        <v>0</v>
      </c>
      <c r="P347" t="n">
        <v>0</v>
      </c>
      <c r="Q347" t="n">
        <v>0</v>
      </c>
      <c r="R347" s="2" t="inlineStr"/>
    </row>
    <row r="348" ht="15" customHeight="1">
      <c r="A348" t="inlineStr">
        <is>
          <t>A 11122-2021</t>
        </is>
      </c>
      <c r="B348" s="1" t="n">
        <v>44260</v>
      </c>
      <c r="C348" s="1" t="n">
        <v>45910</v>
      </c>
      <c r="D348" t="inlineStr">
        <is>
          <t>STOCKHOLMS LÄN</t>
        </is>
      </c>
      <c r="E348" t="inlineStr">
        <is>
          <t>NORRTÄLJE</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6678-2025</t>
        </is>
      </c>
      <c r="B349" s="1" t="n">
        <v>45700</v>
      </c>
      <c r="C349" s="1" t="n">
        <v>45910</v>
      </c>
      <c r="D349" t="inlineStr">
        <is>
          <t>STOCKHOLMS LÄN</t>
        </is>
      </c>
      <c r="E349" t="inlineStr">
        <is>
          <t>NORRTÄLJE</t>
        </is>
      </c>
      <c r="F349" t="inlineStr">
        <is>
          <t>Övriga Aktiebolag</t>
        </is>
      </c>
      <c r="G349" t="n">
        <v>6.6</v>
      </c>
      <c r="H349" t="n">
        <v>0</v>
      </c>
      <c r="I349" t="n">
        <v>0</v>
      </c>
      <c r="J349" t="n">
        <v>0</v>
      </c>
      <c r="K349" t="n">
        <v>0</v>
      </c>
      <c r="L349" t="n">
        <v>0</v>
      </c>
      <c r="M349" t="n">
        <v>0</v>
      </c>
      <c r="N349" t="n">
        <v>0</v>
      </c>
      <c r="O349" t="n">
        <v>0</v>
      </c>
      <c r="P349" t="n">
        <v>0</v>
      </c>
      <c r="Q349" t="n">
        <v>0</v>
      </c>
      <c r="R349" s="2" t="inlineStr"/>
    </row>
    <row r="350" ht="15" customHeight="1">
      <c r="A350" t="inlineStr">
        <is>
          <t>A 21771-2025</t>
        </is>
      </c>
      <c r="B350" s="1" t="n">
        <v>45783</v>
      </c>
      <c r="C350" s="1" t="n">
        <v>45910</v>
      </c>
      <c r="D350" t="inlineStr">
        <is>
          <t>STOCKHOLMS LÄN</t>
        </is>
      </c>
      <c r="E350" t="inlineStr">
        <is>
          <t>NORRTÄLJE</t>
        </is>
      </c>
      <c r="G350" t="n">
        <v>0.7</v>
      </c>
      <c r="H350" t="n">
        <v>0</v>
      </c>
      <c r="I350" t="n">
        <v>0</v>
      </c>
      <c r="J350" t="n">
        <v>0</v>
      </c>
      <c r="K350" t="n">
        <v>0</v>
      </c>
      <c r="L350" t="n">
        <v>0</v>
      </c>
      <c r="M350" t="n">
        <v>0</v>
      </c>
      <c r="N350" t="n">
        <v>0</v>
      </c>
      <c r="O350" t="n">
        <v>0</v>
      </c>
      <c r="P350" t="n">
        <v>0</v>
      </c>
      <c r="Q350" t="n">
        <v>0</v>
      </c>
      <c r="R350" s="2" t="inlineStr"/>
    </row>
    <row r="351" ht="15" customHeight="1">
      <c r="A351" t="inlineStr">
        <is>
          <t>A 33353-2023</t>
        </is>
      </c>
      <c r="B351" s="1" t="n">
        <v>45128</v>
      </c>
      <c r="C351" s="1" t="n">
        <v>45910</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21778-2025</t>
        </is>
      </c>
      <c r="B352" s="1" t="n">
        <v>45783.66429398148</v>
      </c>
      <c r="C352" s="1" t="n">
        <v>45910</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19982-2022</t>
        </is>
      </c>
      <c r="B353" s="1" t="n">
        <v>44697</v>
      </c>
      <c r="C353" s="1" t="n">
        <v>45910</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3966-2024</t>
        </is>
      </c>
      <c r="B354" s="1" t="n">
        <v>45322</v>
      </c>
      <c r="C354" s="1" t="n">
        <v>45910</v>
      </c>
      <c r="D354" t="inlineStr">
        <is>
          <t>STOCKHOLMS LÄN</t>
        </is>
      </c>
      <c r="E354" t="inlineStr">
        <is>
          <t>NORRTÄLJE</t>
        </is>
      </c>
      <c r="G354" t="n">
        <v>5.3</v>
      </c>
      <c r="H354" t="n">
        <v>0</v>
      </c>
      <c r="I354" t="n">
        <v>0</v>
      </c>
      <c r="J354" t="n">
        <v>0</v>
      </c>
      <c r="K354" t="n">
        <v>0</v>
      </c>
      <c r="L354" t="n">
        <v>0</v>
      </c>
      <c r="M354" t="n">
        <v>0</v>
      </c>
      <c r="N354" t="n">
        <v>0</v>
      </c>
      <c r="O354" t="n">
        <v>0</v>
      </c>
      <c r="P354" t="n">
        <v>0</v>
      </c>
      <c r="Q354" t="n">
        <v>0</v>
      </c>
      <c r="R354" s="2" t="inlineStr"/>
    </row>
    <row r="355" ht="15" customHeight="1">
      <c r="A355" t="inlineStr">
        <is>
          <t>A 42075-2023</t>
        </is>
      </c>
      <c r="B355" s="1" t="n">
        <v>45177</v>
      </c>
      <c r="C355" s="1" t="n">
        <v>45910</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50108-2021</t>
        </is>
      </c>
      <c r="B356" s="1" t="n">
        <v>44456</v>
      </c>
      <c r="C356" s="1" t="n">
        <v>45910</v>
      </c>
      <c r="D356" t="inlineStr">
        <is>
          <t>STOCKHOLMS LÄN</t>
        </is>
      </c>
      <c r="E356" t="inlineStr">
        <is>
          <t>NORRTÄLJE</t>
        </is>
      </c>
      <c r="G356" t="n">
        <v>0.7</v>
      </c>
      <c r="H356" t="n">
        <v>0</v>
      </c>
      <c r="I356" t="n">
        <v>0</v>
      </c>
      <c r="J356" t="n">
        <v>0</v>
      </c>
      <c r="K356" t="n">
        <v>0</v>
      </c>
      <c r="L356" t="n">
        <v>0</v>
      </c>
      <c r="M356" t="n">
        <v>0</v>
      </c>
      <c r="N356" t="n">
        <v>0</v>
      </c>
      <c r="O356" t="n">
        <v>0</v>
      </c>
      <c r="P356" t="n">
        <v>0</v>
      </c>
      <c r="Q356" t="n">
        <v>0</v>
      </c>
      <c r="R356" s="2" t="inlineStr"/>
    </row>
    <row r="357" ht="15" customHeight="1">
      <c r="A357" t="inlineStr">
        <is>
          <t>A 50355-2024</t>
        </is>
      </c>
      <c r="B357" s="1" t="n">
        <v>45600.86128472222</v>
      </c>
      <c r="C357" s="1" t="n">
        <v>45910</v>
      </c>
      <c r="D357" t="inlineStr">
        <is>
          <t>STOCKHOLMS LÄN</t>
        </is>
      </c>
      <c r="E357" t="inlineStr">
        <is>
          <t>NORRTÄLJE</t>
        </is>
      </c>
      <c r="F357" t="inlineStr">
        <is>
          <t>Kommuner</t>
        </is>
      </c>
      <c r="G357" t="n">
        <v>1</v>
      </c>
      <c r="H357" t="n">
        <v>0</v>
      </c>
      <c r="I357" t="n">
        <v>0</v>
      </c>
      <c r="J357" t="n">
        <v>0</v>
      </c>
      <c r="K357" t="n">
        <v>0</v>
      </c>
      <c r="L357" t="n">
        <v>0</v>
      </c>
      <c r="M357" t="n">
        <v>0</v>
      </c>
      <c r="N357" t="n">
        <v>0</v>
      </c>
      <c r="O357" t="n">
        <v>0</v>
      </c>
      <c r="P357" t="n">
        <v>0</v>
      </c>
      <c r="Q357" t="n">
        <v>0</v>
      </c>
      <c r="R357" s="2" t="inlineStr"/>
    </row>
    <row r="358" ht="15" customHeight="1">
      <c r="A358" t="inlineStr">
        <is>
          <t>A 68081-2020</t>
        </is>
      </c>
      <c r="B358" s="1" t="n">
        <v>44183</v>
      </c>
      <c r="C358" s="1" t="n">
        <v>45910</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44917-2022</t>
        </is>
      </c>
      <c r="B359" s="1" t="n">
        <v>44841.52804398148</v>
      </c>
      <c r="C359" s="1" t="n">
        <v>45910</v>
      </c>
      <c r="D359" t="inlineStr">
        <is>
          <t>STOCKHOLMS LÄN</t>
        </is>
      </c>
      <c r="E359" t="inlineStr">
        <is>
          <t>NORRTÄLJE</t>
        </is>
      </c>
      <c r="F359" t="inlineStr">
        <is>
          <t>Holmen skog AB</t>
        </is>
      </c>
      <c r="G359" t="n">
        <v>3.3</v>
      </c>
      <c r="H359" t="n">
        <v>0</v>
      </c>
      <c r="I359" t="n">
        <v>0</v>
      </c>
      <c r="J359" t="n">
        <v>0</v>
      </c>
      <c r="K359" t="n">
        <v>0</v>
      </c>
      <c r="L359" t="n">
        <v>0</v>
      </c>
      <c r="M359" t="n">
        <v>0</v>
      </c>
      <c r="N359" t="n">
        <v>0</v>
      </c>
      <c r="O359" t="n">
        <v>0</v>
      </c>
      <c r="P359" t="n">
        <v>0</v>
      </c>
      <c r="Q359" t="n">
        <v>0</v>
      </c>
      <c r="R359" s="2" t="inlineStr"/>
    </row>
    <row r="360" ht="15" customHeight="1">
      <c r="A360" t="inlineStr">
        <is>
          <t>A 23262-2023</t>
        </is>
      </c>
      <c r="B360" s="1" t="n">
        <v>45075.90270833333</v>
      </c>
      <c r="C360" s="1" t="n">
        <v>45910</v>
      </c>
      <c r="D360" t="inlineStr">
        <is>
          <t>STOCKHOLMS LÄN</t>
        </is>
      </c>
      <c r="E360" t="inlineStr">
        <is>
          <t>NORRTÄLJE</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23268-2023</t>
        </is>
      </c>
      <c r="B361" s="1" t="n">
        <v>45075.91042824074</v>
      </c>
      <c r="C361" s="1" t="n">
        <v>45910</v>
      </c>
      <c r="D361" t="inlineStr">
        <is>
          <t>STOCKHOLMS LÄN</t>
        </is>
      </c>
      <c r="E361" t="inlineStr">
        <is>
          <t>NORRTÄLJE</t>
        </is>
      </c>
      <c r="G361" t="n">
        <v>3.3</v>
      </c>
      <c r="H361" t="n">
        <v>0</v>
      </c>
      <c r="I361" t="n">
        <v>0</v>
      </c>
      <c r="J361" t="n">
        <v>0</v>
      </c>
      <c r="K361" t="n">
        <v>0</v>
      </c>
      <c r="L361" t="n">
        <v>0</v>
      </c>
      <c r="M361" t="n">
        <v>0</v>
      </c>
      <c r="N361" t="n">
        <v>0</v>
      </c>
      <c r="O361" t="n">
        <v>0</v>
      </c>
      <c r="P361" t="n">
        <v>0</v>
      </c>
      <c r="Q361" t="n">
        <v>0</v>
      </c>
      <c r="R361" s="2" t="inlineStr"/>
    </row>
    <row r="362" ht="15" customHeight="1">
      <c r="A362" t="inlineStr">
        <is>
          <t>A 23270-2023</t>
        </is>
      </c>
      <c r="B362" s="1" t="n">
        <v>45075.91265046296</v>
      </c>
      <c r="C362" s="1" t="n">
        <v>45910</v>
      </c>
      <c r="D362" t="inlineStr">
        <is>
          <t>STOCKHOLMS LÄN</t>
        </is>
      </c>
      <c r="E362" t="inlineStr">
        <is>
          <t>NORRTÄLJE</t>
        </is>
      </c>
      <c r="G362" t="n">
        <v>12.3</v>
      </c>
      <c r="H362" t="n">
        <v>0</v>
      </c>
      <c r="I362" t="n">
        <v>0</v>
      </c>
      <c r="J362" t="n">
        <v>0</v>
      </c>
      <c r="K362" t="n">
        <v>0</v>
      </c>
      <c r="L362" t="n">
        <v>0</v>
      </c>
      <c r="M362" t="n">
        <v>0</v>
      </c>
      <c r="N362" t="n">
        <v>0</v>
      </c>
      <c r="O362" t="n">
        <v>0</v>
      </c>
      <c r="P362" t="n">
        <v>0</v>
      </c>
      <c r="Q362" t="n">
        <v>0</v>
      </c>
      <c r="R362" s="2" t="inlineStr"/>
    </row>
    <row r="363" ht="15" customHeight="1">
      <c r="A363" t="inlineStr">
        <is>
          <t>A 23274-2023</t>
        </is>
      </c>
      <c r="B363" s="1" t="n">
        <v>45075.92153935185</v>
      </c>
      <c r="C363" s="1" t="n">
        <v>45910</v>
      </c>
      <c r="D363" t="inlineStr">
        <is>
          <t>STOCKHOLMS LÄN</t>
        </is>
      </c>
      <c r="E363" t="inlineStr">
        <is>
          <t>NORRTÄLJE</t>
        </is>
      </c>
      <c r="G363" t="n">
        <v>1.2</v>
      </c>
      <c r="H363" t="n">
        <v>0</v>
      </c>
      <c r="I363" t="n">
        <v>0</v>
      </c>
      <c r="J363" t="n">
        <v>0</v>
      </c>
      <c r="K363" t="n">
        <v>0</v>
      </c>
      <c r="L363" t="n">
        <v>0</v>
      </c>
      <c r="M363" t="n">
        <v>0</v>
      </c>
      <c r="N363" t="n">
        <v>0</v>
      </c>
      <c r="O363" t="n">
        <v>0</v>
      </c>
      <c r="P363" t="n">
        <v>0</v>
      </c>
      <c r="Q363" t="n">
        <v>0</v>
      </c>
      <c r="R363" s="2" t="inlineStr"/>
    </row>
    <row r="364" ht="15" customHeight="1">
      <c r="A364" t="inlineStr">
        <is>
          <t>A 22202-2025</t>
        </is>
      </c>
      <c r="B364" s="1" t="n">
        <v>45785.65300925926</v>
      </c>
      <c r="C364" s="1" t="n">
        <v>45910</v>
      </c>
      <c r="D364" t="inlineStr">
        <is>
          <t>STOCKHOLMS LÄN</t>
        </is>
      </c>
      <c r="E364" t="inlineStr">
        <is>
          <t>NORRTÄLJE</t>
        </is>
      </c>
      <c r="G364" t="n">
        <v>10.2</v>
      </c>
      <c r="H364" t="n">
        <v>0</v>
      </c>
      <c r="I364" t="n">
        <v>0</v>
      </c>
      <c r="J364" t="n">
        <v>0</v>
      </c>
      <c r="K364" t="n">
        <v>0</v>
      </c>
      <c r="L364" t="n">
        <v>0</v>
      </c>
      <c r="M364" t="n">
        <v>0</v>
      </c>
      <c r="N364" t="n">
        <v>0</v>
      </c>
      <c r="O364" t="n">
        <v>0</v>
      </c>
      <c r="P364" t="n">
        <v>0</v>
      </c>
      <c r="Q364" t="n">
        <v>0</v>
      </c>
      <c r="R364" s="2" t="inlineStr"/>
    </row>
    <row r="365" ht="15" customHeight="1">
      <c r="A365" t="inlineStr">
        <is>
          <t>A 55058-2021</t>
        </is>
      </c>
      <c r="B365" s="1" t="n">
        <v>44474.62141203704</v>
      </c>
      <c r="C365" s="1" t="n">
        <v>45910</v>
      </c>
      <c r="D365" t="inlineStr">
        <is>
          <t>STOCKHOLMS LÄN</t>
        </is>
      </c>
      <c r="E365" t="inlineStr">
        <is>
          <t>NORRTÄLJE</t>
        </is>
      </c>
      <c r="G365" t="n">
        <v>1.9</v>
      </c>
      <c r="H365" t="n">
        <v>0</v>
      </c>
      <c r="I365" t="n">
        <v>0</v>
      </c>
      <c r="J365" t="n">
        <v>0</v>
      </c>
      <c r="K365" t="n">
        <v>0</v>
      </c>
      <c r="L365" t="n">
        <v>0</v>
      </c>
      <c r="M365" t="n">
        <v>0</v>
      </c>
      <c r="N365" t="n">
        <v>0</v>
      </c>
      <c r="O365" t="n">
        <v>0</v>
      </c>
      <c r="P365" t="n">
        <v>0</v>
      </c>
      <c r="Q365" t="n">
        <v>0</v>
      </c>
      <c r="R365" s="2" t="inlineStr"/>
    </row>
    <row r="366" ht="15" customHeight="1">
      <c r="A366" t="inlineStr">
        <is>
          <t>A 17843-2024</t>
        </is>
      </c>
      <c r="B366" s="1" t="n">
        <v>45418</v>
      </c>
      <c r="C366" s="1" t="n">
        <v>45910</v>
      </c>
      <c r="D366" t="inlineStr">
        <is>
          <t>STOCKHOLMS LÄN</t>
        </is>
      </c>
      <c r="E366" t="inlineStr">
        <is>
          <t>NORRTÄLJE</t>
        </is>
      </c>
      <c r="G366" t="n">
        <v>5.4</v>
      </c>
      <c r="H366" t="n">
        <v>0</v>
      </c>
      <c r="I366" t="n">
        <v>0</v>
      </c>
      <c r="J366" t="n">
        <v>0</v>
      </c>
      <c r="K366" t="n">
        <v>0</v>
      </c>
      <c r="L366" t="n">
        <v>0</v>
      </c>
      <c r="M366" t="n">
        <v>0</v>
      </c>
      <c r="N366" t="n">
        <v>0</v>
      </c>
      <c r="O366" t="n">
        <v>0</v>
      </c>
      <c r="P366" t="n">
        <v>0</v>
      </c>
      <c r="Q366" t="n">
        <v>0</v>
      </c>
      <c r="R366" s="2" t="inlineStr"/>
    </row>
    <row r="367" ht="15" customHeight="1">
      <c r="A367" t="inlineStr">
        <is>
          <t>A 19058-2024</t>
        </is>
      </c>
      <c r="B367" s="1" t="n">
        <v>45427.89121527778</v>
      </c>
      <c r="C367" s="1" t="n">
        <v>45910</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26636-2023</t>
        </is>
      </c>
      <c r="B368" s="1" t="n">
        <v>45092</v>
      </c>
      <c r="C368" s="1" t="n">
        <v>45910</v>
      </c>
      <c r="D368" t="inlineStr">
        <is>
          <t>STOCKHOLMS LÄN</t>
        </is>
      </c>
      <c r="E368" t="inlineStr">
        <is>
          <t>NORRTÄLJE</t>
        </is>
      </c>
      <c r="G368" t="n">
        <v>1.7</v>
      </c>
      <c r="H368" t="n">
        <v>0</v>
      </c>
      <c r="I368" t="n">
        <v>0</v>
      </c>
      <c r="J368" t="n">
        <v>0</v>
      </c>
      <c r="K368" t="n">
        <v>0</v>
      </c>
      <c r="L368" t="n">
        <v>0</v>
      </c>
      <c r="M368" t="n">
        <v>0</v>
      </c>
      <c r="N368" t="n">
        <v>0</v>
      </c>
      <c r="O368" t="n">
        <v>0</v>
      </c>
      <c r="P368" t="n">
        <v>0</v>
      </c>
      <c r="Q368" t="n">
        <v>0</v>
      </c>
      <c r="R368" s="2" t="inlineStr"/>
    </row>
    <row r="369" ht="15" customHeight="1">
      <c r="A369" t="inlineStr">
        <is>
          <t>A 26637-2023</t>
        </is>
      </c>
      <c r="B369" s="1" t="n">
        <v>45092</v>
      </c>
      <c r="C369" s="1" t="n">
        <v>45910</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16620-2024</t>
        </is>
      </c>
      <c r="B370" s="1" t="n">
        <v>45408.57707175926</v>
      </c>
      <c r="C370" s="1" t="n">
        <v>45910</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30719-2025</t>
        </is>
      </c>
      <c r="B371" s="1" t="n">
        <v>45831.56521990741</v>
      </c>
      <c r="C371" s="1" t="n">
        <v>45910</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55012-2024</t>
        </is>
      </c>
      <c r="B372" s="1" t="n">
        <v>45621.34813657407</v>
      </c>
      <c r="C372" s="1" t="n">
        <v>45910</v>
      </c>
      <c r="D372" t="inlineStr">
        <is>
          <t>STOCKHOLMS LÄN</t>
        </is>
      </c>
      <c r="E372" t="inlineStr">
        <is>
          <t>NORRTÄLJE</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22416-2025</t>
        </is>
      </c>
      <c r="B373" s="1" t="n">
        <v>45786.55645833333</v>
      </c>
      <c r="C373" s="1" t="n">
        <v>45910</v>
      </c>
      <c r="D373" t="inlineStr">
        <is>
          <t>STOCKHOLMS LÄN</t>
        </is>
      </c>
      <c r="E373" t="inlineStr">
        <is>
          <t>NORRTÄLJE</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72704-2021</t>
        </is>
      </c>
      <c r="B374" s="1" t="n">
        <v>44546</v>
      </c>
      <c r="C374" s="1" t="n">
        <v>45910</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52743-2024</t>
        </is>
      </c>
      <c r="B375" s="1" t="n">
        <v>45610.47414351852</v>
      </c>
      <c r="C375" s="1" t="n">
        <v>45910</v>
      </c>
      <c r="D375" t="inlineStr">
        <is>
          <t>STOCKHOLMS LÄN</t>
        </is>
      </c>
      <c r="E375" t="inlineStr">
        <is>
          <t>NORRTÄLJE</t>
        </is>
      </c>
      <c r="G375" t="n">
        <v>1.5</v>
      </c>
      <c r="H375" t="n">
        <v>0</v>
      </c>
      <c r="I375" t="n">
        <v>0</v>
      </c>
      <c r="J375" t="n">
        <v>0</v>
      </c>
      <c r="K375" t="n">
        <v>0</v>
      </c>
      <c r="L375" t="n">
        <v>0</v>
      </c>
      <c r="M375" t="n">
        <v>0</v>
      </c>
      <c r="N375" t="n">
        <v>0</v>
      </c>
      <c r="O375" t="n">
        <v>0</v>
      </c>
      <c r="P375" t="n">
        <v>0</v>
      </c>
      <c r="Q375" t="n">
        <v>0</v>
      </c>
      <c r="R375" s="2" t="inlineStr"/>
    </row>
    <row r="376" ht="15" customHeight="1">
      <c r="A376" t="inlineStr">
        <is>
          <t>A 16852-2024</t>
        </is>
      </c>
      <c r="B376" s="1" t="n">
        <v>45411.54768518519</v>
      </c>
      <c r="C376" s="1" t="n">
        <v>45910</v>
      </c>
      <c r="D376" t="inlineStr">
        <is>
          <t>STOCKHOLMS LÄN</t>
        </is>
      </c>
      <c r="E376" t="inlineStr">
        <is>
          <t>NORRTÄLJE</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58785-2024</t>
        </is>
      </c>
      <c r="B377" s="1" t="n">
        <v>45635.88849537037</v>
      </c>
      <c r="C377" s="1" t="n">
        <v>45910</v>
      </c>
      <c r="D377" t="inlineStr">
        <is>
          <t>STOCKHOLMS LÄN</t>
        </is>
      </c>
      <c r="E377" t="inlineStr">
        <is>
          <t>NORRTÄLJE</t>
        </is>
      </c>
      <c r="G377" t="n">
        <v>3.3</v>
      </c>
      <c r="H377" t="n">
        <v>0</v>
      </c>
      <c r="I377" t="n">
        <v>0</v>
      </c>
      <c r="J377" t="n">
        <v>0</v>
      </c>
      <c r="K377" t="n">
        <v>0</v>
      </c>
      <c r="L377" t="n">
        <v>0</v>
      </c>
      <c r="M377" t="n">
        <v>0</v>
      </c>
      <c r="N377" t="n">
        <v>0</v>
      </c>
      <c r="O377" t="n">
        <v>0</v>
      </c>
      <c r="P377" t="n">
        <v>0</v>
      </c>
      <c r="Q377" t="n">
        <v>0</v>
      </c>
      <c r="R377" s="2" t="inlineStr"/>
    </row>
    <row r="378" ht="15" customHeight="1">
      <c r="A378" t="inlineStr">
        <is>
          <t>A 50497-2020</t>
        </is>
      </c>
      <c r="B378" s="1" t="n">
        <v>44110</v>
      </c>
      <c r="C378" s="1" t="n">
        <v>45910</v>
      </c>
      <c r="D378" t="inlineStr">
        <is>
          <t>STOCKHOLMS LÄN</t>
        </is>
      </c>
      <c r="E378" t="inlineStr">
        <is>
          <t>NORRTÄLJE</t>
        </is>
      </c>
      <c r="F378" t="inlineStr">
        <is>
          <t>Holmen skog AB</t>
        </is>
      </c>
      <c r="G378" t="n">
        <v>4.3</v>
      </c>
      <c r="H378" t="n">
        <v>0</v>
      </c>
      <c r="I378" t="n">
        <v>0</v>
      </c>
      <c r="J378" t="n">
        <v>0</v>
      </c>
      <c r="K378" t="n">
        <v>0</v>
      </c>
      <c r="L378" t="n">
        <v>0</v>
      </c>
      <c r="M378" t="n">
        <v>0</v>
      </c>
      <c r="N378" t="n">
        <v>0</v>
      </c>
      <c r="O378" t="n">
        <v>0</v>
      </c>
      <c r="P378" t="n">
        <v>0</v>
      </c>
      <c r="Q378" t="n">
        <v>0</v>
      </c>
      <c r="R378" s="2" t="inlineStr"/>
    </row>
    <row r="379" ht="15" customHeight="1">
      <c r="A379" t="inlineStr">
        <is>
          <t>A 2182-2022</t>
        </is>
      </c>
      <c r="B379" s="1" t="n">
        <v>44578</v>
      </c>
      <c r="C379" s="1" t="n">
        <v>45910</v>
      </c>
      <c r="D379" t="inlineStr">
        <is>
          <t>STOCKHOLMS LÄN</t>
        </is>
      </c>
      <c r="E379" t="inlineStr">
        <is>
          <t>NORRTÄLJE</t>
        </is>
      </c>
      <c r="G379" t="n">
        <v>7.2</v>
      </c>
      <c r="H379" t="n">
        <v>0</v>
      </c>
      <c r="I379" t="n">
        <v>0</v>
      </c>
      <c r="J379" t="n">
        <v>0</v>
      </c>
      <c r="K379" t="n">
        <v>0</v>
      </c>
      <c r="L379" t="n">
        <v>0</v>
      </c>
      <c r="M379" t="n">
        <v>0</v>
      </c>
      <c r="N379" t="n">
        <v>0</v>
      </c>
      <c r="O379" t="n">
        <v>0</v>
      </c>
      <c r="P379" t="n">
        <v>0</v>
      </c>
      <c r="Q379" t="n">
        <v>0</v>
      </c>
      <c r="R379" s="2" t="inlineStr"/>
    </row>
    <row r="380" ht="15" customHeight="1">
      <c r="A380" t="inlineStr">
        <is>
          <t>A 13268-2025</t>
        </is>
      </c>
      <c r="B380" s="1" t="n">
        <v>45735</v>
      </c>
      <c r="C380" s="1" t="n">
        <v>45910</v>
      </c>
      <c r="D380" t="inlineStr">
        <is>
          <t>STOCKHOLMS LÄN</t>
        </is>
      </c>
      <c r="E380" t="inlineStr">
        <is>
          <t>NORRTÄLJE</t>
        </is>
      </c>
      <c r="G380" t="n">
        <v>11.4</v>
      </c>
      <c r="H380" t="n">
        <v>0</v>
      </c>
      <c r="I380" t="n">
        <v>0</v>
      </c>
      <c r="J380" t="n">
        <v>0</v>
      </c>
      <c r="K380" t="n">
        <v>0</v>
      </c>
      <c r="L380" t="n">
        <v>0</v>
      </c>
      <c r="M380" t="n">
        <v>0</v>
      </c>
      <c r="N380" t="n">
        <v>0</v>
      </c>
      <c r="O380" t="n">
        <v>0</v>
      </c>
      <c r="P380" t="n">
        <v>0</v>
      </c>
      <c r="Q380" t="n">
        <v>0</v>
      </c>
      <c r="R380" s="2" t="inlineStr"/>
    </row>
    <row r="381" ht="15" customHeight="1">
      <c r="A381" t="inlineStr">
        <is>
          <t>A 58493-2020</t>
        </is>
      </c>
      <c r="B381" s="1" t="n">
        <v>44145</v>
      </c>
      <c r="C381" s="1" t="n">
        <v>45910</v>
      </c>
      <c r="D381" t="inlineStr">
        <is>
          <t>STOCKHOLMS LÄN</t>
        </is>
      </c>
      <c r="E381" t="inlineStr">
        <is>
          <t>NORRTÄLJE</t>
        </is>
      </c>
      <c r="G381" t="n">
        <v>2.8</v>
      </c>
      <c r="H381" t="n">
        <v>0</v>
      </c>
      <c r="I381" t="n">
        <v>0</v>
      </c>
      <c r="J381" t="n">
        <v>0</v>
      </c>
      <c r="K381" t="n">
        <v>0</v>
      </c>
      <c r="L381" t="n">
        <v>0</v>
      </c>
      <c r="M381" t="n">
        <v>0</v>
      </c>
      <c r="N381" t="n">
        <v>0</v>
      </c>
      <c r="O381" t="n">
        <v>0</v>
      </c>
      <c r="P381" t="n">
        <v>0</v>
      </c>
      <c r="Q381" t="n">
        <v>0</v>
      </c>
      <c r="R381" s="2" t="inlineStr"/>
    </row>
    <row r="382" ht="15" customHeight="1">
      <c r="A382" t="inlineStr">
        <is>
          <t>A 8414-2025</t>
        </is>
      </c>
      <c r="B382" s="1" t="n">
        <v>45709.39361111111</v>
      </c>
      <c r="C382" s="1" t="n">
        <v>45910</v>
      </c>
      <c r="D382" t="inlineStr">
        <is>
          <t>STOCKHOLMS LÄN</t>
        </is>
      </c>
      <c r="E382" t="inlineStr">
        <is>
          <t>NORRTÄLJE</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55755-2023</t>
        </is>
      </c>
      <c r="B383" s="1" t="n">
        <v>45239</v>
      </c>
      <c r="C383" s="1" t="n">
        <v>45910</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7413-2024</t>
        </is>
      </c>
      <c r="B384" s="1" t="n">
        <v>45345.6059837963</v>
      </c>
      <c r="C384" s="1" t="n">
        <v>45910</v>
      </c>
      <c r="D384" t="inlineStr">
        <is>
          <t>STOCKHOLMS LÄN</t>
        </is>
      </c>
      <c r="E384" t="inlineStr">
        <is>
          <t>NORRTÄLJE</t>
        </is>
      </c>
      <c r="G384" t="n">
        <v>1.8</v>
      </c>
      <c r="H384" t="n">
        <v>0</v>
      </c>
      <c r="I384" t="n">
        <v>0</v>
      </c>
      <c r="J384" t="n">
        <v>0</v>
      </c>
      <c r="K384" t="n">
        <v>0</v>
      </c>
      <c r="L384" t="n">
        <v>0</v>
      </c>
      <c r="M384" t="n">
        <v>0</v>
      </c>
      <c r="N384" t="n">
        <v>0</v>
      </c>
      <c r="O384" t="n">
        <v>0</v>
      </c>
      <c r="P384" t="n">
        <v>0</v>
      </c>
      <c r="Q384" t="n">
        <v>0</v>
      </c>
      <c r="R384" s="2" t="inlineStr"/>
    </row>
    <row r="385" ht="15" customHeight="1">
      <c r="A385" t="inlineStr">
        <is>
          <t>A 12251-2025</t>
        </is>
      </c>
      <c r="B385" s="1" t="n">
        <v>45729.60859953704</v>
      </c>
      <c r="C385" s="1" t="n">
        <v>45910</v>
      </c>
      <c r="D385" t="inlineStr">
        <is>
          <t>STOCKHOLMS LÄN</t>
        </is>
      </c>
      <c r="E385" t="inlineStr">
        <is>
          <t>NORRTÄLJE</t>
        </is>
      </c>
      <c r="F385" t="inlineStr">
        <is>
          <t>Holmen skog AB</t>
        </is>
      </c>
      <c r="G385" t="n">
        <v>5.9</v>
      </c>
      <c r="H385" t="n">
        <v>0</v>
      </c>
      <c r="I385" t="n">
        <v>0</v>
      </c>
      <c r="J385" t="n">
        <v>0</v>
      </c>
      <c r="K385" t="n">
        <v>0</v>
      </c>
      <c r="L385" t="n">
        <v>0</v>
      </c>
      <c r="M385" t="n">
        <v>0</v>
      </c>
      <c r="N385" t="n">
        <v>0</v>
      </c>
      <c r="O385" t="n">
        <v>0</v>
      </c>
      <c r="P385" t="n">
        <v>0</v>
      </c>
      <c r="Q385" t="n">
        <v>0</v>
      </c>
      <c r="R385" s="2" t="inlineStr"/>
    </row>
    <row r="386" ht="15" customHeight="1">
      <c r="A386" t="inlineStr">
        <is>
          <t>A 36625-2024</t>
        </is>
      </c>
      <c r="B386" s="1" t="n">
        <v>45537</v>
      </c>
      <c r="C386" s="1" t="n">
        <v>45910</v>
      </c>
      <c r="D386" t="inlineStr">
        <is>
          <t>STOCKHOLMS LÄN</t>
        </is>
      </c>
      <c r="E386" t="inlineStr">
        <is>
          <t>NORRTÄLJE</t>
        </is>
      </c>
      <c r="G386" t="n">
        <v>3.8</v>
      </c>
      <c r="H386" t="n">
        <v>0</v>
      </c>
      <c r="I386" t="n">
        <v>0</v>
      </c>
      <c r="J386" t="n">
        <v>0</v>
      </c>
      <c r="K386" t="n">
        <v>0</v>
      </c>
      <c r="L386" t="n">
        <v>0</v>
      </c>
      <c r="M386" t="n">
        <v>0</v>
      </c>
      <c r="N386" t="n">
        <v>0</v>
      </c>
      <c r="O386" t="n">
        <v>0</v>
      </c>
      <c r="P386" t="n">
        <v>0</v>
      </c>
      <c r="Q386" t="n">
        <v>0</v>
      </c>
      <c r="R386" s="2" t="inlineStr"/>
    </row>
    <row r="387" ht="15" customHeight="1">
      <c r="A387" t="inlineStr">
        <is>
          <t>A 58863-2024</t>
        </is>
      </c>
      <c r="B387" s="1" t="n">
        <v>45636.41572916666</v>
      </c>
      <c r="C387" s="1" t="n">
        <v>45910</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44891-2023</t>
        </is>
      </c>
      <c r="B388" s="1" t="n">
        <v>45187</v>
      </c>
      <c r="C388" s="1" t="n">
        <v>45910</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12902-2024</t>
        </is>
      </c>
      <c r="B389" s="1" t="n">
        <v>45385.38146990741</v>
      </c>
      <c r="C389" s="1" t="n">
        <v>45910</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44032-2024</t>
        </is>
      </c>
      <c r="B390" s="1" t="n">
        <v>45572.57828703704</v>
      </c>
      <c r="C390" s="1" t="n">
        <v>45910</v>
      </c>
      <c r="D390" t="inlineStr">
        <is>
          <t>STOCKHOLMS LÄN</t>
        </is>
      </c>
      <c r="E390" t="inlineStr">
        <is>
          <t>NORRTÄLJE</t>
        </is>
      </c>
      <c r="G390" t="n">
        <v>8.6</v>
      </c>
      <c r="H390" t="n">
        <v>0</v>
      </c>
      <c r="I390" t="n">
        <v>0</v>
      </c>
      <c r="J390" t="n">
        <v>0</v>
      </c>
      <c r="K390" t="n">
        <v>0</v>
      </c>
      <c r="L390" t="n">
        <v>0</v>
      </c>
      <c r="M390" t="n">
        <v>0</v>
      </c>
      <c r="N390" t="n">
        <v>0</v>
      </c>
      <c r="O390" t="n">
        <v>0</v>
      </c>
      <c r="P390" t="n">
        <v>0</v>
      </c>
      <c r="Q390" t="n">
        <v>0</v>
      </c>
      <c r="R390" s="2" t="inlineStr"/>
    </row>
    <row r="391" ht="15" customHeight="1">
      <c r="A391" t="inlineStr">
        <is>
          <t>A 24563-2024</t>
        </is>
      </c>
      <c r="B391" s="1" t="n">
        <v>45460.44347222222</v>
      </c>
      <c r="C391" s="1" t="n">
        <v>45910</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39237-2024</t>
        </is>
      </c>
      <c r="B392" s="1" t="n">
        <v>45549</v>
      </c>
      <c r="C392" s="1" t="n">
        <v>45910</v>
      </c>
      <c r="D392" t="inlineStr">
        <is>
          <t>STOCKHOLMS LÄN</t>
        </is>
      </c>
      <c r="E392" t="inlineStr">
        <is>
          <t>NORRTÄLJE</t>
        </is>
      </c>
      <c r="G392" t="n">
        <v>13.3</v>
      </c>
      <c r="H392" t="n">
        <v>0</v>
      </c>
      <c r="I392" t="n">
        <v>0</v>
      </c>
      <c r="J392" t="n">
        <v>0</v>
      </c>
      <c r="K392" t="n">
        <v>0</v>
      </c>
      <c r="L392" t="n">
        <v>0</v>
      </c>
      <c r="M392" t="n">
        <v>0</v>
      </c>
      <c r="N392" t="n">
        <v>0</v>
      </c>
      <c r="O392" t="n">
        <v>0</v>
      </c>
      <c r="P392" t="n">
        <v>0</v>
      </c>
      <c r="Q392" t="n">
        <v>0</v>
      </c>
      <c r="R392" s="2" t="inlineStr"/>
    </row>
    <row r="393" ht="15" customHeight="1">
      <c r="A393" t="inlineStr">
        <is>
          <t>A 50154-2024</t>
        </is>
      </c>
      <c r="B393" s="1" t="n">
        <v>45600.4558912037</v>
      </c>
      <c r="C393" s="1" t="n">
        <v>45910</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17348-2024</t>
        </is>
      </c>
      <c r="B394" s="1" t="n">
        <v>45414.58650462963</v>
      </c>
      <c r="C394" s="1" t="n">
        <v>45910</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45746-2024</t>
        </is>
      </c>
      <c r="B395" s="1" t="n">
        <v>45579</v>
      </c>
      <c r="C395" s="1" t="n">
        <v>45910</v>
      </c>
      <c r="D395" t="inlineStr">
        <is>
          <t>STOCKHOLMS LÄN</t>
        </is>
      </c>
      <c r="E395" t="inlineStr">
        <is>
          <t>NORRTÄLJE</t>
        </is>
      </c>
      <c r="G395" t="n">
        <v>3.3</v>
      </c>
      <c r="H395" t="n">
        <v>0</v>
      </c>
      <c r="I395" t="n">
        <v>0</v>
      </c>
      <c r="J395" t="n">
        <v>0</v>
      </c>
      <c r="K395" t="n">
        <v>0</v>
      </c>
      <c r="L395" t="n">
        <v>0</v>
      </c>
      <c r="M395" t="n">
        <v>0</v>
      </c>
      <c r="N395" t="n">
        <v>0</v>
      </c>
      <c r="O395" t="n">
        <v>0</v>
      </c>
      <c r="P395" t="n">
        <v>0</v>
      </c>
      <c r="Q395" t="n">
        <v>0</v>
      </c>
      <c r="R395" s="2" t="inlineStr"/>
    </row>
    <row r="396" ht="15" customHeight="1">
      <c r="A396" t="inlineStr">
        <is>
          <t>A 8400-2024</t>
        </is>
      </c>
      <c r="B396" s="1" t="n">
        <v>45352.74090277778</v>
      </c>
      <c r="C396" s="1" t="n">
        <v>45910</v>
      </c>
      <c r="D396" t="inlineStr">
        <is>
          <t>STOCKHOLMS LÄN</t>
        </is>
      </c>
      <c r="E396" t="inlineStr">
        <is>
          <t>NORRTÄLJE</t>
        </is>
      </c>
      <c r="G396" t="n">
        <v>4.7</v>
      </c>
      <c r="H396" t="n">
        <v>0</v>
      </c>
      <c r="I396" t="n">
        <v>0</v>
      </c>
      <c r="J396" t="n">
        <v>0</v>
      </c>
      <c r="K396" t="n">
        <v>0</v>
      </c>
      <c r="L396" t="n">
        <v>0</v>
      </c>
      <c r="M396" t="n">
        <v>0</v>
      </c>
      <c r="N396" t="n">
        <v>0</v>
      </c>
      <c r="O396" t="n">
        <v>0</v>
      </c>
      <c r="P396" t="n">
        <v>0</v>
      </c>
      <c r="Q396" t="n">
        <v>0</v>
      </c>
      <c r="R396" s="2" t="inlineStr"/>
    </row>
    <row r="397" ht="15" customHeight="1">
      <c r="A397" t="inlineStr">
        <is>
          <t>A 11900-2024</t>
        </is>
      </c>
      <c r="B397" s="1" t="n">
        <v>45376.55484953704</v>
      </c>
      <c r="C397" s="1" t="n">
        <v>45910</v>
      </c>
      <c r="D397" t="inlineStr">
        <is>
          <t>STOCKHOLMS LÄN</t>
        </is>
      </c>
      <c r="E397" t="inlineStr">
        <is>
          <t>NORRTÄLJE</t>
        </is>
      </c>
      <c r="G397" t="n">
        <v>4.2</v>
      </c>
      <c r="H397" t="n">
        <v>0</v>
      </c>
      <c r="I397" t="n">
        <v>0</v>
      </c>
      <c r="J397" t="n">
        <v>0</v>
      </c>
      <c r="K397" t="n">
        <v>0</v>
      </c>
      <c r="L397" t="n">
        <v>0</v>
      </c>
      <c r="M397" t="n">
        <v>0</v>
      </c>
      <c r="N397" t="n">
        <v>0</v>
      </c>
      <c r="O397" t="n">
        <v>0</v>
      </c>
      <c r="P397" t="n">
        <v>0</v>
      </c>
      <c r="Q397" t="n">
        <v>0</v>
      </c>
      <c r="R397" s="2" t="inlineStr"/>
    </row>
    <row r="398" ht="15" customHeight="1">
      <c r="A398" t="inlineStr">
        <is>
          <t>A 13089-2022</t>
        </is>
      </c>
      <c r="B398" s="1" t="n">
        <v>44643</v>
      </c>
      <c r="C398" s="1" t="n">
        <v>45910</v>
      </c>
      <c r="D398" t="inlineStr">
        <is>
          <t>STOCKHOLMS LÄN</t>
        </is>
      </c>
      <c r="E398" t="inlineStr">
        <is>
          <t>NORRTÄLJE</t>
        </is>
      </c>
      <c r="G398" t="n">
        <v>4.5</v>
      </c>
      <c r="H398" t="n">
        <v>0</v>
      </c>
      <c r="I398" t="n">
        <v>0</v>
      </c>
      <c r="J398" t="n">
        <v>0</v>
      </c>
      <c r="K398" t="n">
        <v>0</v>
      </c>
      <c r="L398" t="n">
        <v>0</v>
      </c>
      <c r="M398" t="n">
        <v>0</v>
      </c>
      <c r="N398" t="n">
        <v>0</v>
      </c>
      <c r="O398" t="n">
        <v>0</v>
      </c>
      <c r="P398" t="n">
        <v>0</v>
      </c>
      <c r="Q398" t="n">
        <v>0</v>
      </c>
      <c r="R398" s="2" t="inlineStr"/>
    </row>
    <row r="399" ht="15" customHeight="1">
      <c r="A399" t="inlineStr">
        <is>
          <t>A 42867-2022</t>
        </is>
      </c>
      <c r="B399" s="1" t="n">
        <v>44832</v>
      </c>
      <c r="C399" s="1" t="n">
        <v>45910</v>
      </c>
      <c r="D399" t="inlineStr">
        <is>
          <t>STOCKHOLMS LÄN</t>
        </is>
      </c>
      <c r="E399" t="inlineStr">
        <is>
          <t>NORRTÄLJE</t>
        </is>
      </c>
      <c r="G399" t="n">
        <v>6.4</v>
      </c>
      <c r="H399" t="n">
        <v>0</v>
      </c>
      <c r="I399" t="n">
        <v>0</v>
      </c>
      <c r="J399" t="n">
        <v>0</v>
      </c>
      <c r="K399" t="n">
        <v>0</v>
      </c>
      <c r="L399" t="n">
        <v>0</v>
      </c>
      <c r="M399" t="n">
        <v>0</v>
      </c>
      <c r="N399" t="n">
        <v>0</v>
      </c>
      <c r="O399" t="n">
        <v>0</v>
      </c>
      <c r="P399" t="n">
        <v>0</v>
      </c>
      <c r="Q399" t="n">
        <v>0</v>
      </c>
      <c r="R399" s="2" t="inlineStr"/>
    </row>
    <row r="400" ht="15" customHeight="1">
      <c r="A400" t="inlineStr">
        <is>
          <t>A 48145-2024</t>
        </is>
      </c>
      <c r="B400" s="1" t="n">
        <v>45589.6756712963</v>
      </c>
      <c r="C400" s="1" t="n">
        <v>45910</v>
      </c>
      <c r="D400" t="inlineStr">
        <is>
          <t>STOCKHOLMS LÄN</t>
        </is>
      </c>
      <c r="E400" t="inlineStr">
        <is>
          <t>NORRTÄLJE</t>
        </is>
      </c>
      <c r="G400" t="n">
        <v>3.4</v>
      </c>
      <c r="H400" t="n">
        <v>0</v>
      </c>
      <c r="I400" t="n">
        <v>0</v>
      </c>
      <c r="J400" t="n">
        <v>0</v>
      </c>
      <c r="K400" t="n">
        <v>0</v>
      </c>
      <c r="L400" t="n">
        <v>0</v>
      </c>
      <c r="M400" t="n">
        <v>0</v>
      </c>
      <c r="N400" t="n">
        <v>0</v>
      </c>
      <c r="O400" t="n">
        <v>0</v>
      </c>
      <c r="P400" t="n">
        <v>0</v>
      </c>
      <c r="Q400" t="n">
        <v>0</v>
      </c>
      <c r="R400" s="2" t="inlineStr"/>
    </row>
    <row r="401" ht="15" customHeight="1">
      <c r="A401" t="inlineStr">
        <is>
          <t>A 23998-2024</t>
        </is>
      </c>
      <c r="B401" s="1" t="n">
        <v>45456</v>
      </c>
      <c r="C401" s="1" t="n">
        <v>45910</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23749-2024</t>
        </is>
      </c>
      <c r="B402" s="1" t="n">
        <v>45455.33037037037</v>
      </c>
      <c r="C402" s="1" t="n">
        <v>45910</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15447-2023</t>
        </is>
      </c>
      <c r="B403" s="1" t="n">
        <v>45020</v>
      </c>
      <c r="C403" s="1" t="n">
        <v>45910</v>
      </c>
      <c r="D403" t="inlineStr">
        <is>
          <t>STOCKHOLMS LÄN</t>
        </is>
      </c>
      <c r="E403" t="inlineStr">
        <is>
          <t>NORRTÄLJE</t>
        </is>
      </c>
      <c r="G403" t="n">
        <v>0.6</v>
      </c>
      <c r="H403" t="n">
        <v>0</v>
      </c>
      <c r="I403" t="n">
        <v>0</v>
      </c>
      <c r="J403" t="n">
        <v>0</v>
      </c>
      <c r="K403" t="n">
        <v>0</v>
      </c>
      <c r="L403" t="n">
        <v>0</v>
      </c>
      <c r="M403" t="n">
        <v>0</v>
      </c>
      <c r="N403" t="n">
        <v>0</v>
      </c>
      <c r="O403" t="n">
        <v>0</v>
      </c>
      <c r="P403" t="n">
        <v>0</v>
      </c>
      <c r="Q403" t="n">
        <v>0</v>
      </c>
      <c r="R403" s="2" t="inlineStr"/>
    </row>
    <row r="404" ht="15" customHeight="1">
      <c r="A404" t="inlineStr">
        <is>
          <t>A 58277-2023</t>
        </is>
      </c>
      <c r="B404" s="1" t="n">
        <v>45245</v>
      </c>
      <c r="C404" s="1" t="n">
        <v>45910</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32705-2022</t>
        </is>
      </c>
      <c r="B405" s="1" t="n">
        <v>44783</v>
      </c>
      <c r="C405" s="1" t="n">
        <v>45910</v>
      </c>
      <c r="D405" t="inlineStr">
        <is>
          <t>STOCKHOLMS LÄN</t>
        </is>
      </c>
      <c r="E405" t="inlineStr">
        <is>
          <t>NORRTÄLJE</t>
        </is>
      </c>
      <c r="G405" t="n">
        <v>0.6</v>
      </c>
      <c r="H405" t="n">
        <v>0</v>
      </c>
      <c r="I405" t="n">
        <v>0</v>
      </c>
      <c r="J405" t="n">
        <v>0</v>
      </c>
      <c r="K405" t="n">
        <v>0</v>
      </c>
      <c r="L405" t="n">
        <v>0</v>
      </c>
      <c r="M405" t="n">
        <v>0</v>
      </c>
      <c r="N405" t="n">
        <v>0</v>
      </c>
      <c r="O405" t="n">
        <v>0</v>
      </c>
      <c r="P405" t="n">
        <v>0</v>
      </c>
      <c r="Q405" t="n">
        <v>0</v>
      </c>
      <c r="R405" s="2" t="inlineStr"/>
    </row>
    <row r="406" ht="15" customHeight="1">
      <c r="A406" t="inlineStr">
        <is>
          <t>A 54358-2022</t>
        </is>
      </c>
      <c r="B406" s="1" t="n">
        <v>44882</v>
      </c>
      <c r="C406" s="1" t="n">
        <v>45910</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47481-2024</t>
        </is>
      </c>
      <c r="B407" s="1" t="n">
        <v>45587</v>
      </c>
      <c r="C407" s="1" t="n">
        <v>45910</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23263-2023</t>
        </is>
      </c>
      <c r="B408" s="1" t="n">
        <v>45075</v>
      </c>
      <c r="C408" s="1" t="n">
        <v>45910</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23264-2023</t>
        </is>
      </c>
      <c r="B409" s="1" t="n">
        <v>45075</v>
      </c>
      <c r="C409" s="1" t="n">
        <v>45910</v>
      </c>
      <c r="D409" t="inlineStr">
        <is>
          <t>STOCKHOLMS LÄN</t>
        </is>
      </c>
      <c r="E409" t="inlineStr">
        <is>
          <t>NORRTÄLJE</t>
        </is>
      </c>
      <c r="G409" t="n">
        <v>2.9</v>
      </c>
      <c r="H409" t="n">
        <v>0</v>
      </c>
      <c r="I409" t="n">
        <v>0</v>
      </c>
      <c r="J409" t="n">
        <v>0</v>
      </c>
      <c r="K409" t="n">
        <v>0</v>
      </c>
      <c r="L409" t="n">
        <v>0</v>
      </c>
      <c r="M409" t="n">
        <v>0</v>
      </c>
      <c r="N409" t="n">
        <v>0</v>
      </c>
      <c r="O409" t="n">
        <v>0</v>
      </c>
      <c r="P409" t="n">
        <v>0</v>
      </c>
      <c r="Q409" t="n">
        <v>0</v>
      </c>
      <c r="R409" s="2" t="inlineStr"/>
    </row>
    <row r="410" ht="15" customHeight="1">
      <c r="A410" t="inlineStr">
        <is>
          <t>A 23267-2023</t>
        </is>
      </c>
      <c r="B410" s="1" t="n">
        <v>45075.90934027778</v>
      </c>
      <c r="C410" s="1" t="n">
        <v>45910</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23269-2023</t>
        </is>
      </c>
      <c r="B411" s="1" t="n">
        <v>45075.91148148148</v>
      </c>
      <c r="C411" s="1" t="n">
        <v>45910</v>
      </c>
      <c r="D411" t="inlineStr">
        <is>
          <t>STOCKHOLMS LÄN</t>
        </is>
      </c>
      <c r="E411" t="inlineStr">
        <is>
          <t>NORRTÄLJE</t>
        </is>
      </c>
      <c r="G411" t="n">
        <v>0.7</v>
      </c>
      <c r="H411" t="n">
        <v>0</v>
      </c>
      <c r="I411" t="n">
        <v>0</v>
      </c>
      <c r="J411" t="n">
        <v>0</v>
      </c>
      <c r="K411" t="n">
        <v>0</v>
      </c>
      <c r="L411" t="n">
        <v>0</v>
      </c>
      <c r="M411" t="n">
        <v>0</v>
      </c>
      <c r="N411" t="n">
        <v>0</v>
      </c>
      <c r="O411" t="n">
        <v>0</v>
      </c>
      <c r="P411" t="n">
        <v>0</v>
      </c>
      <c r="Q411" t="n">
        <v>0</v>
      </c>
      <c r="R411" s="2" t="inlineStr"/>
    </row>
    <row r="412" ht="15" customHeight="1">
      <c r="A412" t="inlineStr">
        <is>
          <t>A 57037-2022</t>
        </is>
      </c>
      <c r="B412" s="1" t="n">
        <v>44895</v>
      </c>
      <c r="C412" s="1" t="n">
        <v>45910</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11940-2023</t>
        </is>
      </c>
      <c r="B413" s="1" t="n">
        <v>44995</v>
      </c>
      <c r="C413" s="1" t="n">
        <v>45910</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19911-2025</t>
        </is>
      </c>
      <c r="B414" s="1" t="n">
        <v>45771</v>
      </c>
      <c r="C414" s="1" t="n">
        <v>45910</v>
      </c>
      <c r="D414" t="inlineStr">
        <is>
          <t>STOCKHOLMS LÄN</t>
        </is>
      </c>
      <c r="E414" t="inlineStr">
        <is>
          <t>NORRTÄLJE</t>
        </is>
      </c>
      <c r="G414" t="n">
        <v>1.4</v>
      </c>
      <c r="H414" t="n">
        <v>0</v>
      </c>
      <c r="I414" t="n">
        <v>0</v>
      </c>
      <c r="J414" t="n">
        <v>0</v>
      </c>
      <c r="K414" t="n">
        <v>0</v>
      </c>
      <c r="L414" t="n">
        <v>0</v>
      </c>
      <c r="M414" t="n">
        <v>0</v>
      </c>
      <c r="N414" t="n">
        <v>0</v>
      </c>
      <c r="O414" t="n">
        <v>0</v>
      </c>
      <c r="P414" t="n">
        <v>0</v>
      </c>
      <c r="Q414" t="n">
        <v>0</v>
      </c>
      <c r="R414" s="2" t="inlineStr"/>
    </row>
    <row r="415" ht="15" customHeight="1">
      <c r="A415" t="inlineStr">
        <is>
          <t>A 5831-2022</t>
        </is>
      </c>
      <c r="B415" s="1" t="n">
        <v>44596</v>
      </c>
      <c r="C415" s="1" t="n">
        <v>45910</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5867-2022</t>
        </is>
      </c>
      <c r="B416" s="1" t="n">
        <v>44596.66335648148</v>
      </c>
      <c r="C416" s="1" t="n">
        <v>45910</v>
      </c>
      <c r="D416" t="inlineStr">
        <is>
          <t>STOCKHOLMS LÄN</t>
        </is>
      </c>
      <c r="E416" t="inlineStr">
        <is>
          <t>NORRTÄLJE</t>
        </is>
      </c>
      <c r="F416" t="inlineStr">
        <is>
          <t>Naturvårdsverket</t>
        </is>
      </c>
      <c r="G416" t="n">
        <v>1.6</v>
      </c>
      <c r="H416" t="n">
        <v>0</v>
      </c>
      <c r="I416" t="n">
        <v>0</v>
      </c>
      <c r="J416" t="n">
        <v>0</v>
      </c>
      <c r="K416" t="n">
        <v>0</v>
      </c>
      <c r="L416" t="n">
        <v>0</v>
      </c>
      <c r="M416" t="n">
        <v>0</v>
      </c>
      <c r="N416" t="n">
        <v>0</v>
      </c>
      <c r="O416" t="n">
        <v>0</v>
      </c>
      <c r="P416" t="n">
        <v>0</v>
      </c>
      <c r="Q416" t="n">
        <v>0</v>
      </c>
      <c r="R416" s="2" t="inlineStr"/>
    </row>
    <row r="417" ht="15" customHeight="1">
      <c r="A417" t="inlineStr">
        <is>
          <t>A 2281-2024</t>
        </is>
      </c>
      <c r="B417" s="1" t="n">
        <v>45310.40628472222</v>
      </c>
      <c r="C417" s="1" t="n">
        <v>45910</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60525-2022</t>
        </is>
      </c>
      <c r="B418" s="1" t="n">
        <v>44904</v>
      </c>
      <c r="C418" s="1" t="n">
        <v>45910</v>
      </c>
      <c r="D418" t="inlineStr">
        <is>
          <t>STOCKHOLMS LÄN</t>
        </is>
      </c>
      <c r="E418" t="inlineStr">
        <is>
          <t>NORRTÄLJE</t>
        </is>
      </c>
      <c r="G418" t="n">
        <v>13.4</v>
      </c>
      <c r="H418" t="n">
        <v>0</v>
      </c>
      <c r="I418" t="n">
        <v>0</v>
      </c>
      <c r="J418" t="n">
        <v>0</v>
      </c>
      <c r="K418" t="n">
        <v>0</v>
      </c>
      <c r="L418" t="n">
        <v>0</v>
      </c>
      <c r="M418" t="n">
        <v>0</v>
      </c>
      <c r="N418" t="n">
        <v>0</v>
      </c>
      <c r="O418" t="n">
        <v>0</v>
      </c>
      <c r="P418" t="n">
        <v>0</v>
      </c>
      <c r="Q418" t="n">
        <v>0</v>
      </c>
      <c r="R418" s="2" t="inlineStr"/>
    </row>
    <row r="419" ht="15" customHeight="1">
      <c r="A419" t="inlineStr">
        <is>
          <t>A 20244-2025</t>
        </is>
      </c>
      <c r="B419" s="1" t="n">
        <v>45772.71221064815</v>
      </c>
      <c r="C419" s="1" t="n">
        <v>45910</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48633-2023</t>
        </is>
      </c>
      <c r="B420" s="1" t="n">
        <v>45208.58004629629</v>
      </c>
      <c r="C420" s="1" t="n">
        <v>45910</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7903-2021</t>
        </is>
      </c>
      <c r="B421" s="1" t="n">
        <v>44243.33587962963</v>
      </c>
      <c r="C421" s="1" t="n">
        <v>45910</v>
      </c>
      <c r="D421" t="inlineStr">
        <is>
          <t>STOCKHOLMS LÄN</t>
        </is>
      </c>
      <c r="E421" t="inlineStr">
        <is>
          <t>NORRTÄLJE</t>
        </is>
      </c>
      <c r="G421" t="n">
        <v>3.5</v>
      </c>
      <c r="H421" t="n">
        <v>0</v>
      </c>
      <c r="I421" t="n">
        <v>0</v>
      </c>
      <c r="J421" t="n">
        <v>0</v>
      </c>
      <c r="K421" t="n">
        <v>0</v>
      </c>
      <c r="L421" t="n">
        <v>0</v>
      </c>
      <c r="M421" t="n">
        <v>0</v>
      </c>
      <c r="N421" t="n">
        <v>0</v>
      </c>
      <c r="O421" t="n">
        <v>0</v>
      </c>
      <c r="P421" t="n">
        <v>0</v>
      </c>
      <c r="Q421" t="n">
        <v>0</v>
      </c>
      <c r="R421" s="2" t="inlineStr"/>
    </row>
    <row r="422" ht="15" customHeight="1">
      <c r="A422" t="inlineStr">
        <is>
          <t>A 39213-2022</t>
        </is>
      </c>
      <c r="B422" s="1" t="n">
        <v>44817.56120370371</v>
      </c>
      <c r="C422" s="1" t="n">
        <v>45910</v>
      </c>
      <c r="D422" t="inlineStr">
        <is>
          <t>STOCKHOLMS LÄN</t>
        </is>
      </c>
      <c r="E422" t="inlineStr">
        <is>
          <t>NORRTÄLJE</t>
        </is>
      </c>
      <c r="G422" t="n">
        <v>3.4</v>
      </c>
      <c r="H422" t="n">
        <v>0</v>
      </c>
      <c r="I422" t="n">
        <v>0</v>
      </c>
      <c r="J422" t="n">
        <v>0</v>
      </c>
      <c r="K422" t="n">
        <v>0</v>
      </c>
      <c r="L422" t="n">
        <v>0</v>
      </c>
      <c r="M422" t="n">
        <v>0</v>
      </c>
      <c r="N422" t="n">
        <v>0</v>
      </c>
      <c r="O422" t="n">
        <v>0</v>
      </c>
      <c r="P422" t="n">
        <v>0</v>
      </c>
      <c r="Q422" t="n">
        <v>0</v>
      </c>
      <c r="R422" s="2" t="inlineStr"/>
    </row>
    <row r="423" ht="15" customHeight="1">
      <c r="A423" t="inlineStr">
        <is>
          <t>A 39669-2024</t>
        </is>
      </c>
      <c r="B423" s="1" t="n">
        <v>45552.52827546297</v>
      </c>
      <c r="C423" s="1" t="n">
        <v>45910</v>
      </c>
      <c r="D423" t="inlineStr">
        <is>
          <t>STOCKHOLMS LÄN</t>
        </is>
      </c>
      <c r="E423" t="inlineStr">
        <is>
          <t>NORRTÄLJE</t>
        </is>
      </c>
      <c r="G423" t="n">
        <v>0.6</v>
      </c>
      <c r="H423" t="n">
        <v>0</v>
      </c>
      <c r="I423" t="n">
        <v>0</v>
      </c>
      <c r="J423" t="n">
        <v>0</v>
      </c>
      <c r="K423" t="n">
        <v>0</v>
      </c>
      <c r="L423" t="n">
        <v>0</v>
      </c>
      <c r="M423" t="n">
        <v>0</v>
      </c>
      <c r="N423" t="n">
        <v>0</v>
      </c>
      <c r="O423" t="n">
        <v>0</v>
      </c>
      <c r="P423" t="n">
        <v>0</v>
      </c>
      <c r="Q423" t="n">
        <v>0</v>
      </c>
      <c r="R423" s="2" t="inlineStr"/>
    </row>
    <row r="424" ht="15" customHeight="1">
      <c r="A424" t="inlineStr">
        <is>
          <t>A 41976-2024</t>
        </is>
      </c>
      <c r="B424" s="1" t="n">
        <v>45561.62141203704</v>
      </c>
      <c r="C424" s="1" t="n">
        <v>45910</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51325-2023</t>
        </is>
      </c>
      <c r="B425" s="1" t="n">
        <v>45219</v>
      </c>
      <c r="C425" s="1" t="n">
        <v>45910</v>
      </c>
      <c r="D425" t="inlineStr">
        <is>
          <t>STOCKHOLMS LÄN</t>
        </is>
      </c>
      <c r="E425" t="inlineStr">
        <is>
          <t>NORRTÄLJE</t>
        </is>
      </c>
      <c r="G425" t="n">
        <v>2.2</v>
      </c>
      <c r="H425" t="n">
        <v>0</v>
      </c>
      <c r="I425" t="n">
        <v>0</v>
      </c>
      <c r="J425" t="n">
        <v>0</v>
      </c>
      <c r="K425" t="n">
        <v>0</v>
      </c>
      <c r="L425" t="n">
        <v>0</v>
      </c>
      <c r="M425" t="n">
        <v>0</v>
      </c>
      <c r="N425" t="n">
        <v>0</v>
      </c>
      <c r="O425" t="n">
        <v>0</v>
      </c>
      <c r="P425" t="n">
        <v>0</v>
      </c>
      <c r="Q425" t="n">
        <v>0</v>
      </c>
      <c r="R425" s="2" t="inlineStr"/>
    </row>
    <row r="426" ht="15" customHeight="1">
      <c r="A426" t="inlineStr">
        <is>
          <t>A 59534-2024</t>
        </is>
      </c>
      <c r="B426" s="1" t="n">
        <v>45638.5987037037</v>
      </c>
      <c r="C426" s="1" t="n">
        <v>45910</v>
      </c>
      <c r="D426" t="inlineStr">
        <is>
          <t>STOCKHOLMS LÄN</t>
        </is>
      </c>
      <c r="E426" t="inlineStr">
        <is>
          <t>NORRTÄLJE</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31107-2022</t>
        </is>
      </c>
      <c r="B427" s="1" t="n">
        <v>44769.66864583334</v>
      </c>
      <c r="C427" s="1" t="n">
        <v>45910</v>
      </c>
      <c r="D427" t="inlineStr">
        <is>
          <t>STOCKHOLMS LÄN</t>
        </is>
      </c>
      <c r="E427" t="inlineStr">
        <is>
          <t>NORRTÄLJE</t>
        </is>
      </c>
      <c r="G427" t="n">
        <v>3.8</v>
      </c>
      <c r="H427" t="n">
        <v>0</v>
      </c>
      <c r="I427" t="n">
        <v>0</v>
      </c>
      <c r="J427" t="n">
        <v>0</v>
      </c>
      <c r="K427" t="n">
        <v>0</v>
      </c>
      <c r="L427" t="n">
        <v>0</v>
      </c>
      <c r="M427" t="n">
        <v>0</v>
      </c>
      <c r="N427" t="n">
        <v>0</v>
      </c>
      <c r="O427" t="n">
        <v>0</v>
      </c>
      <c r="P427" t="n">
        <v>0</v>
      </c>
      <c r="Q427" t="n">
        <v>0</v>
      </c>
      <c r="R427" s="2" t="inlineStr"/>
    </row>
    <row r="428" ht="15" customHeight="1">
      <c r="A428" t="inlineStr">
        <is>
          <t>A 13860-2023</t>
        </is>
      </c>
      <c r="B428" s="1" t="n">
        <v>45007</v>
      </c>
      <c r="C428" s="1" t="n">
        <v>45910</v>
      </c>
      <c r="D428" t="inlineStr">
        <is>
          <t>STOCKHOLMS LÄN</t>
        </is>
      </c>
      <c r="E428" t="inlineStr">
        <is>
          <t>NORRTÄLJE</t>
        </is>
      </c>
      <c r="G428" t="n">
        <v>1.6</v>
      </c>
      <c r="H428" t="n">
        <v>0</v>
      </c>
      <c r="I428" t="n">
        <v>0</v>
      </c>
      <c r="J428" t="n">
        <v>0</v>
      </c>
      <c r="K428" t="n">
        <v>0</v>
      </c>
      <c r="L428" t="n">
        <v>0</v>
      </c>
      <c r="M428" t="n">
        <v>0</v>
      </c>
      <c r="N428" t="n">
        <v>0</v>
      </c>
      <c r="O428" t="n">
        <v>0</v>
      </c>
      <c r="P428" t="n">
        <v>0</v>
      </c>
      <c r="Q428" t="n">
        <v>0</v>
      </c>
      <c r="R428" s="2" t="inlineStr"/>
    </row>
    <row r="429" ht="15" customHeight="1">
      <c r="A429" t="inlineStr">
        <is>
          <t>A 6855-2025</t>
        </is>
      </c>
      <c r="B429" s="1" t="n">
        <v>45700</v>
      </c>
      <c r="C429" s="1" t="n">
        <v>45910</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62998-2023</t>
        </is>
      </c>
      <c r="B430" s="1" t="n">
        <v>45272.64479166667</v>
      </c>
      <c r="C430" s="1" t="n">
        <v>45910</v>
      </c>
      <c r="D430" t="inlineStr">
        <is>
          <t>STOCKHOLMS LÄN</t>
        </is>
      </c>
      <c r="E430" t="inlineStr">
        <is>
          <t>NORRTÄLJE</t>
        </is>
      </c>
      <c r="G430" t="n">
        <v>16.3</v>
      </c>
      <c r="H430" t="n">
        <v>0</v>
      </c>
      <c r="I430" t="n">
        <v>0</v>
      </c>
      <c r="J430" t="n">
        <v>0</v>
      </c>
      <c r="K430" t="n">
        <v>0</v>
      </c>
      <c r="L430" t="n">
        <v>0</v>
      </c>
      <c r="M430" t="n">
        <v>0</v>
      </c>
      <c r="N430" t="n">
        <v>0</v>
      </c>
      <c r="O430" t="n">
        <v>0</v>
      </c>
      <c r="P430" t="n">
        <v>0</v>
      </c>
      <c r="Q430" t="n">
        <v>0</v>
      </c>
      <c r="R430" s="2" t="inlineStr"/>
    </row>
    <row r="431" ht="15" customHeight="1">
      <c r="A431" t="inlineStr">
        <is>
          <t>A 63015-2023</t>
        </is>
      </c>
      <c r="B431" s="1" t="n">
        <v>45272</v>
      </c>
      <c r="C431" s="1" t="n">
        <v>45910</v>
      </c>
      <c r="D431" t="inlineStr">
        <is>
          <t>STOCKHOLMS LÄN</t>
        </is>
      </c>
      <c r="E431" t="inlineStr">
        <is>
          <t>NORRTÄLJE</t>
        </is>
      </c>
      <c r="G431" t="n">
        <v>13.1</v>
      </c>
      <c r="H431" t="n">
        <v>0</v>
      </c>
      <c r="I431" t="n">
        <v>0</v>
      </c>
      <c r="J431" t="n">
        <v>0</v>
      </c>
      <c r="K431" t="n">
        <v>0</v>
      </c>
      <c r="L431" t="n">
        <v>0</v>
      </c>
      <c r="M431" t="n">
        <v>0</v>
      </c>
      <c r="N431" t="n">
        <v>0</v>
      </c>
      <c r="O431" t="n">
        <v>0</v>
      </c>
      <c r="P431" t="n">
        <v>0</v>
      </c>
      <c r="Q431" t="n">
        <v>0</v>
      </c>
      <c r="R431" s="2" t="inlineStr"/>
    </row>
    <row r="432" ht="15" customHeight="1">
      <c r="A432" t="inlineStr">
        <is>
          <t>A 27831-2024</t>
        </is>
      </c>
      <c r="B432" s="1" t="n">
        <v>45475.61896990741</v>
      </c>
      <c r="C432" s="1" t="n">
        <v>45910</v>
      </c>
      <c r="D432" t="inlineStr">
        <is>
          <t>STOCKHOLMS LÄN</t>
        </is>
      </c>
      <c r="E432" t="inlineStr">
        <is>
          <t>NORRTÄLJE</t>
        </is>
      </c>
      <c r="G432" t="n">
        <v>3.8</v>
      </c>
      <c r="H432" t="n">
        <v>0</v>
      </c>
      <c r="I432" t="n">
        <v>0</v>
      </c>
      <c r="J432" t="n">
        <v>0</v>
      </c>
      <c r="K432" t="n">
        <v>0</v>
      </c>
      <c r="L432" t="n">
        <v>0</v>
      </c>
      <c r="M432" t="n">
        <v>0</v>
      </c>
      <c r="N432" t="n">
        <v>0</v>
      </c>
      <c r="O432" t="n">
        <v>0</v>
      </c>
      <c r="P432" t="n">
        <v>0</v>
      </c>
      <c r="Q432" t="n">
        <v>0</v>
      </c>
      <c r="R432" s="2" t="inlineStr"/>
    </row>
    <row r="433" ht="15" customHeight="1">
      <c r="A433" t="inlineStr">
        <is>
          <t>A 13314-2025</t>
        </is>
      </c>
      <c r="B433" s="1" t="n">
        <v>45735.59287037037</v>
      </c>
      <c r="C433" s="1" t="n">
        <v>45910</v>
      </c>
      <c r="D433" t="inlineStr">
        <is>
          <t>STOCKHOLMS LÄN</t>
        </is>
      </c>
      <c r="E433" t="inlineStr">
        <is>
          <t>NORRTÄLJE</t>
        </is>
      </c>
      <c r="G433" t="n">
        <v>2.4</v>
      </c>
      <c r="H433" t="n">
        <v>0</v>
      </c>
      <c r="I433" t="n">
        <v>0</v>
      </c>
      <c r="J433" t="n">
        <v>0</v>
      </c>
      <c r="K433" t="n">
        <v>0</v>
      </c>
      <c r="L433" t="n">
        <v>0</v>
      </c>
      <c r="M433" t="n">
        <v>0</v>
      </c>
      <c r="N433" t="n">
        <v>0</v>
      </c>
      <c r="O433" t="n">
        <v>0</v>
      </c>
      <c r="P433" t="n">
        <v>0</v>
      </c>
      <c r="Q433" t="n">
        <v>0</v>
      </c>
      <c r="R433" s="2" t="inlineStr"/>
    </row>
    <row r="434" ht="15" customHeight="1">
      <c r="A434" t="inlineStr">
        <is>
          <t>A 34432-2021</t>
        </is>
      </c>
      <c r="B434" s="1" t="n">
        <v>44380.77346064815</v>
      </c>
      <c r="C434" s="1" t="n">
        <v>45910</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43170-2023</t>
        </is>
      </c>
      <c r="B435" s="1" t="n">
        <v>45183</v>
      </c>
      <c r="C435" s="1" t="n">
        <v>45910</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9-2024</t>
        </is>
      </c>
      <c r="B436" s="1" t="n">
        <v>45293</v>
      </c>
      <c r="C436" s="1" t="n">
        <v>45910</v>
      </c>
      <c r="D436" t="inlineStr">
        <is>
          <t>STOCKHOLMS LÄN</t>
        </is>
      </c>
      <c r="E436" t="inlineStr">
        <is>
          <t>NORRTÄLJE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33175-2024</t>
        </is>
      </c>
      <c r="B437" s="1" t="n">
        <v>45518</v>
      </c>
      <c r="C437" s="1" t="n">
        <v>45910</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22832-2021</t>
        </is>
      </c>
      <c r="B438" s="1" t="n">
        <v>44325</v>
      </c>
      <c r="C438" s="1" t="n">
        <v>45910</v>
      </c>
      <c r="D438" t="inlineStr">
        <is>
          <t>STOCKHOLMS LÄN</t>
        </is>
      </c>
      <c r="E438" t="inlineStr">
        <is>
          <t>NORRTÄLJE</t>
        </is>
      </c>
      <c r="G438" t="n">
        <v>6.8</v>
      </c>
      <c r="H438" t="n">
        <v>0</v>
      </c>
      <c r="I438" t="n">
        <v>0</v>
      </c>
      <c r="J438" t="n">
        <v>0</v>
      </c>
      <c r="K438" t="n">
        <v>0</v>
      </c>
      <c r="L438" t="n">
        <v>0</v>
      </c>
      <c r="M438" t="n">
        <v>0</v>
      </c>
      <c r="N438" t="n">
        <v>0</v>
      </c>
      <c r="O438" t="n">
        <v>0</v>
      </c>
      <c r="P438" t="n">
        <v>0</v>
      </c>
      <c r="Q438" t="n">
        <v>0</v>
      </c>
      <c r="R438" s="2" t="inlineStr"/>
    </row>
    <row r="439" ht="15" customHeight="1">
      <c r="A439" t="inlineStr">
        <is>
          <t>A 16913-2025</t>
        </is>
      </c>
      <c r="B439" s="1" t="n">
        <v>45755.36583333334</v>
      </c>
      <c r="C439" s="1" t="n">
        <v>45910</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4035-2023</t>
        </is>
      </c>
      <c r="B440" s="1" t="n">
        <v>44952.57989583333</v>
      </c>
      <c r="C440" s="1" t="n">
        <v>45910</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21803-2022</t>
        </is>
      </c>
      <c r="B441" s="1" t="n">
        <v>44708.67822916667</v>
      </c>
      <c r="C441" s="1" t="n">
        <v>45910</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20730-2024</t>
        </is>
      </c>
      <c r="B442" s="1" t="n">
        <v>45436</v>
      </c>
      <c r="C442" s="1" t="n">
        <v>45910</v>
      </c>
      <c r="D442" t="inlineStr">
        <is>
          <t>STOCKHOLMS LÄN</t>
        </is>
      </c>
      <c r="E442" t="inlineStr">
        <is>
          <t>NORRTÄLJE</t>
        </is>
      </c>
      <c r="G442" t="n">
        <v>7.3</v>
      </c>
      <c r="H442" t="n">
        <v>0</v>
      </c>
      <c r="I442" t="n">
        <v>0</v>
      </c>
      <c r="J442" t="n">
        <v>0</v>
      </c>
      <c r="K442" t="n">
        <v>0</v>
      </c>
      <c r="L442" t="n">
        <v>0</v>
      </c>
      <c r="M442" t="n">
        <v>0</v>
      </c>
      <c r="N442" t="n">
        <v>0</v>
      </c>
      <c r="O442" t="n">
        <v>0</v>
      </c>
      <c r="P442" t="n">
        <v>0</v>
      </c>
      <c r="Q442" t="n">
        <v>0</v>
      </c>
      <c r="R442" s="2" t="inlineStr"/>
    </row>
    <row r="443" ht="15" customHeight="1">
      <c r="A443" t="inlineStr">
        <is>
          <t>A 23149-2024</t>
        </is>
      </c>
      <c r="B443" s="1" t="n">
        <v>45450.64208333333</v>
      </c>
      <c r="C443" s="1" t="n">
        <v>45910</v>
      </c>
      <c r="D443" t="inlineStr">
        <is>
          <t>STOCKHOLMS LÄN</t>
        </is>
      </c>
      <c r="E443" t="inlineStr">
        <is>
          <t>NORRTÄLJE</t>
        </is>
      </c>
      <c r="F443" t="inlineStr">
        <is>
          <t>Kommuner</t>
        </is>
      </c>
      <c r="G443" t="n">
        <v>1.3</v>
      </c>
      <c r="H443" t="n">
        <v>0</v>
      </c>
      <c r="I443" t="n">
        <v>0</v>
      </c>
      <c r="J443" t="n">
        <v>0</v>
      </c>
      <c r="K443" t="n">
        <v>0</v>
      </c>
      <c r="L443" t="n">
        <v>0</v>
      </c>
      <c r="M443" t="n">
        <v>0</v>
      </c>
      <c r="N443" t="n">
        <v>0</v>
      </c>
      <c r="O443" t="n">
        <v>0</v>
      </c>
      <c r="P443" t="n">
        <v>0</v>
      </c>
      <c r="Q443" t="n">
        <v>0</v>
      </c>
      <c r="R443" s="2" t="inlineStr"/>
    </row>
    <row r="444" ht="15" customHeight="1">
      <c r="A444" t="inlineStr">
        <is>
          <t>A 23151-2024</t>
        </is>
      </c>
      <c r="B444" s="1" t="n">
        <v>45450</v>
      </c>
      <c r="C444" s="1" t="n">
        <v>45910</v>
      </c>
      <c r="D444" t="inlineStr">
        <is>
          <t>STOCKHOLMS LÄN</t>
        </is>
      </c>
      <c r="E444" t="inlineStr">
        <is>
          <t>NORRTÄLJE</t>
        </is>
      </c>
      <c r="F444" t="inlineStr">
        <is>
          <t>Kommuner</t>
        </is>
      </c>
      <c r="G444" t="n">
        <v>1.2</v>
      </c>
      <c r="H444" t="n">
        <v>0</v>
      </c>
      <c r="I444" t="n">
        <v>0</v>
      </c>
      <c r="J444" t="n">
        <v>0</v>
      </c>
      <c r="K444" t="n">
        <v>0</v>
      </c>
      <c r="L444" t="n">
        <v>0</v>
      </c>
      <c r="M444" t="n">
        <v>0</v>
      </c>
      <c r="N444" t="n">
        <v>0</v>
      </c>
      <c r="O444" t="n">
        <v>0</v>
      </c>
      <c r="P444" t="n">
        <v>0</v>
      </c>
      <c r="Q444" t="n">
        <v>0</v>
      </c>
      <c r="R444" s="2" t="inlineStr"/>
    </row>
    <row r="445" ht="15" customHeight="1">
      <c r="A445" t="inlineStr">
        <is>
          <t>A 33793-2022</t>
        </is>
      </c>
      <c r="B445" s="1" t="n">
        <v>44790</v>
      </c>
      <c r="C445" s="1" t="n">
        <v>45910</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53600-2022</t>
        </is>
      </c>
      <c r="B446" s="1" t="n">
        <v>44879.70518518519</v>
      </c>
      <c r="C446" s="1" t="n">
        <v>45910</v>
      </c>
      <c r="D446" t="inlineStr">
        <is>
          <t>STOCKHOLMS LÄN</t>
        </is>
      </c>
      <c r="E446" t="inlineStr">
        <is>
          <t>NORRTÄLJE</t>
        </is>
      </c>
      <c r="G446" t="n">
        <v>4.3</v>
      </c>
      <c r="H446" t="n">
        <v>0</v>
      </c>
      <c r="I446" t="n">
        <v>0</v>
      </c>
      <c r="J446" t="n">
        <v>0</v>
      </c>
      <c r="K446" t="n">
        <v>0</v>
      </c>
      <c r="L446" t="n">
        <v>0</v>
      </c>
      <c r="M446" t="n">
        <v>0</v>
      </c>
      <c r="N446" t="n">
        <v>0</v>
      </c>
      <c r="O446" t="n">
        <v>0</v>
      </c>
      <c r="P446" t="n">
        <v>0</v>
      </c>
      <c r="Q446" t="n">
        <v>0</v>
      </c>
      <c r="R446" s="2" t="inlineStr"/>
    </row>
    <row r="447" ht="15" customHeight="1">
      <c r="A447" t="inlineStr">
        <is>
          <t>A 7697-2025</t>
        </is>
      </c>
      <c r="B447" s="1" t="n">
        <v>45706.40086805556</v>
      </c>
      <c r="C447" s="1" t="n">
        <v>45910</v>
      </c>
      <c r="D447" t="inlineStr">
        <is>
          <t>STOCKHOLMS LÄN</t>
        </is>
      </c>
      <c r="E447" t="inlineStr">
        <is>
          <t>NORRTÄLJE</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22359-2025</t>
        </is>
      </c>
      <c r="B448" s="1" t="n">
        <v>45786</v>
      </c>
      <c r="C448" s="1" t="n">
        <v>45910</v>
      </c>
      <c r="D448" t="inlineStr">
        <is>
          <t>STOCKHOLMS LÄN</t>
        </is>
      </c>
      <c r="E448" t="inlineStr">
        <is>
          <t>NORRTÄLJE</t>
        </is>
      </c>
      <c r="G448" t="n">
        <v>5</v>
      </c>
      <c r="H448" t="n">
        <v>0</v>
      </c>
      <c r="I448" t="n">
        <v>0</v>
      </c>
      <c r="J448" t="n">
        <v>0</v>
      </c>
      <c r="K448" t="n">
        <v>0</v>
      </c>
      <c r="L448" t="n">
        <v>0</v>
      </c>
      <c r="M448" t="n">
        <v>0</v>
      </c>
      <c r="N448" t="n">
        <v>0</v>
      </c>
      <c r="O448" t="n">
        <v>0</v>
      </c>
      <c r="P448" t="n">
        <v>0</v>
      </c>
      <c r="Q448" t="n">
        <v>0</v>
      </c>
      <c r="R448" s="2" t="inlineStr"/>
    </row>
    <row r="449" ht="15" customHeight="1">
      <c r="A449" t="inlineStr">
        <is>
          <t>A 52001-2023</t>
        </is>
      </c>
      <c r="B449" s="1" t="n">
        <v>45223</v>
      </c>
      <c r="C449" s="1" t="n">
        <v>45910</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30221-2024</t>
        </is>
      </c>
      <c r="B450" s="1" t="n">
        <v>45490.45342592592</v>
      </c>
      <c r="C450" s="1" t="n">
        <v>45910</v>
      </c>
      <c r="D450" t="inlineStr">
        <is>
          <t>STOCKHOLMS LÄN</t>
        </is>
      </c>
      <c r="E450" t="inlineStr">
        <is>
          <t>NORRTÄLJE</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12901-2024</t>
        </is>
      </c>
      <c r="B451" s="1" t="n">
        <v>45385.37922453704</v>
      </c>
      <c r="C451" s="1" t="n">
        <v>45910</v>
      </c>
      <c r="D451" t="inlineStr">
        <is>
          <t>STOCKHOLMS LÄN</t>
        </is>
      </c>
      <c r="E451" t="inlineStr">
        <is>
          <t>NORRTÄLJE</t>
        </is>
      </c>
      <c r="G451" t="n">
        <v>2.7</v>
      </c>
      <c r="H451" t="n">
        <v>0</v>
      </c>
      <c r="I451" t="n">
        <v>0</v>
      </c>
      <c r="J451" t="n">
        <v>0</v>
      </c>
      <c r="K451" t="n">
        <v>0</v>
      </c>
      <c r="L451" t="n">
        <v>0</v>
      </c>
      <c r="M451" t="n">
        <v>0</v>
      </c>
      <c r="N451" t="n">
        <v>0</v>
      </c>
      <c r="O451" t="n">
        <v>0</v>
      </c>
      <c r="P451" t="n">
        <v>0</v>
      </c>
      <c r="Q451" t="n">
        <v>0</v>
      </c>
      <c r="R451" s="2" t="inlineStr"/>
    </row>
    <row r="452" ht="15" customHeight="1">
      <c r="A452" t="inlineStr">
        <is>
          <t>A 8950-2025</t>
        </is>
      </c>
      <c r="B452" s="1" t="n">
        <v>45713</v>
      </c>
      <c r="C452" s="1" t="n">
        <v>45910</v>
      </c>
      <c r="D452" t="inlineStr">
        <is>
          <t>STOCKHOLMS LÄN</t>
        </is>
      </c>
      <c r="E452" t="inlineStr">
        <is>
          <t>NORRTÄLJE</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60185-2024</t>
        </is>
      </c>
      <c r="B453" s="1" t="n">
        <v>45642.64634259259</v>
      </c>
      <c r="C453" s="1" t="n">
        <v>45910</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12301-2025</t>
        </is>
      </c>
      <c r="B454" s="1" t="n">
        <v>45729.7271875</v>
      </c>
      <c r="C454" s="1" t="n">
        <v>45910</v>
      </c>
      <c r="D454" t="inlineStr">
        <is>
          <t>STOCKHOLMS LÄN</t>
        </is>
      </c>
      <c r="E454" t="inlineStr">
        <is>
          <t>NORRTÄLJE</t>
        </is>
      </c>
      <c r="G454" t="n">
        <v>3.2</v>
      </c>
      <c r="H454" t="n">
        <v>0</v>
      </c>
      <c r="I454" t="n">
        <v>0</v>
      </c>
      <c r="J454" t="n">
        <v>0</v>
      </c>
      <c r="K454" t="n">
        <v>0</v>
      </c>
      <c r="L454" t="n">
        <v>0</v>
      </c>
      <c r="M454" t="n">
        <v>0</v>
      </c>
      <c r="N454" t="n">
        <v>0</v>
      </c>
      <c r="O454" t="n">
        <v>0</v>
      </c>
      <c r="P454" t="n">
        <v>0</v>
      </c>
      <c r="Q454" t="n">
        <v>0</v>
      </c>
      <c r="R454" s="2" t="inlineStr"/>
    </row>
    <row r="455" ht="15" customHeight="1">
      <c r="A455" t="inlineStr">
        <is>
          <t>A 48686-2023</t>
        </is>
      </c>
      <c r="B455" s="1" t="n">
        <v>45208</v>
      </c>
      <c r="C455" s="1" t="n">
        <v>45910</v>
      </c>
      <c r="D455" t="inlineStr">
        <is>
          <t>STOCKHOLMS LÄN</t>
        </is>
      </c>
      <c r="E455" t="inlineStr">
        <is>
          <t>NORRTÄLJE</t>
        </is>
      </c>
      <c r="G455" t="n">
        <v>6</v>
      </c>
      <c r="H455" t="n">
        <v>0</v>
      </c>
      <c r="I455" t="n">
        <v>0</v>
      </c>
      <c r="J455" t="n">
        <v>0</v>
      </c>
      <c r="K455" t="n">
        <v>0</v>
      </c>
      <c r="L455" t="n">
        <v>0</v>
      </c>
      <c r="M455" t="n">
        <v>0</v>
      </c>
      <c r="N455" t="n">
        <v>0</v>
      </c>
      <c r="O455" t="n">
        <v>0</v>
      </c>
      <c r="P455" t="n">
        <v>0</v>
      </c>
      <c r="Q455" t="n">
        <v>0</v>
      </c>
      <c r="R455" s="2" t="inlineStr"/>
    </row>
    <row r="456" ht="15" customHeight="1">
      <c r="A456" t="inlineStr">
        <is>
          <t>A 48691-2023</t>
        </is>
      </c>
      <c r="B456" s="1" t="n">
        <v>45208</v>
      </c>
      <c r="C456" s="1" t="n">
        <v>45910</v>
      </c>
      <c r="D456" t="inlineStr">
        <is>
          <t>STOCKHOLMS LÄN</t>
        </is>
      </c>
      <c r="E456" t="inlineStr">
        <is>
          <t>NORRTÄLJE</t>
        </is>
      </c>
      <c r="G456" t="n">
        <v>5.8</v>
      </c>
      <c r="H456" t="n">
        <v>0</v>
      </c>
      <c r="I456" t="n">
        <v>0</v>
      </c>
      <c r="J456" t="n">
        <v>0</v>
      </c>
      <c r="K456" t="n">
        <v>0</v>
      </c>
      <c r="L456" t="n">
        <v>0</v>
      </c>
      <c r="M456" t="n">
        <v>0</v>
      </c>
      <c r="N456" t="n">
        <v>0</v>
      </c>
      <c r="O456" t="n">
        <v>0</v>
      </c>
      <c r="P456" t="n">
        <v>0</v>
      </c>
      <c r="Q456" t="n">
        <v>0</v>
      </c>
      <c r="R456" s="2" t="inlineStr"/>
    </row>
    <row r="457" ht="15" customHeight="1">
      <c r="A457" t="inlineStr">
        <is>
          <t>A 24350-2025</t>
        </is>
      </c>
      <c r="B457" s="1" t="n">
        <v>45797.58350694444</v>
      </c>
      <c r="C457" s="1" t="n">
        <v>45910</v>
      </c>
      <c r="D457" t="inlineStr">
        <is>
          <t>STOCKHOLMS LÄN</t>
        </is>
      </c>
      <c r="E457" t="inlineStr">
        <is>
          <t>NORRTÄLJE</t>
        </is>
      </c>
      <c r="G457" t="n">
        <v>4.5</v>
      </c>
      <c r="H457" t="n">
        <v>0</v>
      </c>
      <c r="I457" t="n">
        <v>0</v>
      </c>
      <c r="J457" t="n">
        <v>0</v>
      </c>
      <c r="K457" t="n">
        <v>0</v>
      </c>
      <c r="L457" t="n">
        <v>0</v>
      </c>
      <c r="M457" t="n">
        <v>0</v>
      </c>
      <c r="N457" t="n">
        <v>0</v>
      </c>
      <c r="O457" t="n">
        <v>0</v>
      </c>
      <c r="P457" t="n">
        <v>0</v>
      </c>
      <c r="Q457" t="n">
        <v>0</v>
      </c>
      <c r="R457" s="2" t="inlineStr"/>
    </row>
    <row r="458" ht="15" customHeight="1">
      <c r="A458" t="inlineStr">
        <is>
          <t>A 24351-2025</t>
        </is>
      </c>
      <c r="B458" s="1" t="n">
        <v>45797.58399305555</v>
      </c>
      <c r="C458" s="1" t="n">
        <v>45910</v>
      </c>
      <c r="D458" t="inlineStr">
        <is>
          <t>STOCKHOLMS LÄN</t>
        </is>
      </c>
      <c r="E458" t="inlineStr">
        <is>
          <t>NORRTÄLJE</t>
        </is>
      </c>
      <c r="G458" t="n">
        <v>1.5</v>
      </c>
      <c r="H458" t="n">
        <v>0</v>
      </c>
      <c r="I458" t="n">
        <v>0</v>
      </c>
      <c r="J458" t="n">
        <v>0</v>
      </c>
      <c r="K458" t="n">
        <v>0</v>
      </c>
      <c r="L458" t="n">
        <v>0</v>
      </c>
      <c r="M458" t="n">
        <v>0</v>
      </c>
      <c r="N458" t="n">
        <v>0</v>
      </c>
      <c r="O458" t="n">
        <v>0</v>
      </c>
      <c r="P458" t="n">
        <v>0</v>
      </c>
      <c r="Q458" t="n">
        <v>0</v>
      </c>
      <c r="R458" s="2" t="inlineStr"/>
    </row>
    <row r="459" ht="15" customHeight="1">
      <c r="A459" t="inlineStr">
        <is>
          <t>A 13283-2025</t>
        </is>
      </c>
      <c r="B459" s="1" t="n">
        <v>45735</v>
      </c>
      <c r="C459" s="1" t="n">
        <v>45910</v>
      </c>
      <c r="D459" t="inlineStr">
        <is>
          <t>STOCKHOLMS LÄN</t>
        </is>
      </c>
      <c r="E459" t="inlineStr">
        <is>
          <t>NORRTÄLJE</t>
        </is>
      </c>
      <c r="G459" t="n">
        <v>4.9</v>
      </c>
      <c r="H459" t="n">
        <v>0</v>
      </c>
      <c r="I459" t="n">
        <v>0</v>
      </c>
      <c r="J459" t="n">
        <v>0</v>
      </c>
      <c r="K459" t="n">
        <v>0</v>
      </c>
      <c r="L459" t="n">
        <v>0</v>
      </c>
      <c r="M459" t="n">
        <v>0</v>
      </c>
      <c r="N459" t="n">
        <v>0</v>
      </c>
      <c r="O459" t="n">
        <v>0</v>
      </c>
      <c r="P459" t="n">
        <v>0</v>
      </c>
      <c r="Q459" t="n">
        <v>0</v>
      </c>
      <c r="R459" s="2" t="inlineStr"/>
    </row>
    <row r="460" ht="15" customHeight="1">
      <c r="A460" t="inlineStr">
        <is>
          <t>A 13-2024</t>
        </is>
      </c>
      <c r="B460" s="1" t="n">
        <v>45293.37263888889</v>
      </c>
      <c r="C460" s="1" t="n">
        <v>45910</v>
      </c>
      <c r="D460" t="inlineStr">
        <is>
          <t>STOCKHOLMS LÄN</t>
        </is>
      </c>
      <c r="E460" t="inlineStr">
        <is>
          <t>NORRTÄLJE</t>
        </is>
      </c>
      <c r="G460" t="n">
        <v>1.6</v>
      </c>
      <c r="H460" t="n">
        <v>0</v>
      </c>
      <c r="I460" t="n">
        <v>0</v>
      </c>
      <c r="J460" t="n">
        <v>0</v>
      </c>
      <c r="K460" t="n">
        <v>0</v>
      </c>
      <c r="L460" t="n">
        <v>0</v>
      </c>
      <c r="M460" t="n">
        <v>0</v>
      </c>
      <c r="N460" t="n">
        <v>0</v>
      </c>
      <c r="O460" t="n">
        <v>0</v>
      </c>
      <c r="P460" t="n">
        <v>0</v>
      </c>
      <c r="Q460" t="n">
        <v>0</v>
      </c>
      <c r="R460" s="2" t="inlineStr"/>
    </row>
    <row r="461" ht="15" customHeight="1">
      <c r="A461" t="inlineStr">
        <is>
          <t>A 19-2024</t>
        </is>
      </c>
      <c r="B461" s="1" t="n">
        <v>45293</v>
      </c>
      <c r="C461" s="1" t="n">
        <v>45910</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31559-2022</t>
        </is>
      </c>
      <c r="B462" s="1" t="n">
        <v>44775</v>
      </c>
      <c r="C462" s="1" t="n">
        <v>45910</v>
      </c>
      <c r="D462" t="inlineStr">
        <is>
          <t>STOCKHOLMS LÄN</t>
        </is>
      </c>
      <c r="E462" t="inlineStr">
        <is>
          <t>NORRTÄLJE</t>
        </is>
      </c>
      <c r="G462" t="n">
        <v>5.6</v>
      </c>
      <c r="H462" t="n">
        <v>0</v>
      </c>
      <c r="I462" t="n">
        <v>0</v>
      </c>
      <c r="J462" t="n">
        <v>0</v>
      </c>
      <c r="K462" t="n">
        <v>0</v>
      </c>
      <c r="L462" t="n">
        <v>0</v>
      </c>
      <c r="M462" t="n">
        <v>0</v>
      </c>
      <c r="N462" t="n">
        <v>0</v>
      </c>
      <c r="O462" t="n">
        <v>0</v>
      </c>
      <c r="P462" t="n">
        <v>0</v>
      </c>
      <c r="Q462" t="n">
        <v>0</v>
      </c>
      <c r="R462" s="2" t="inlineStr"/>
    </row>
    <row r="463" ht="15" customHeight="1">
      <c r="A463" t="inlineStr">
        <is>
          <t>A 8419-2025</t>
        </is>
      </c>
      <c r="B463" s="1" t="n">
        <v>45709.40231481481</v>
      </c>
      <c r="C463" s="1" t="n">
        <v>45910</v>
      </c>
      <c r="D463" t="inlineStr">
        <is>
          <t>STOCKHOLMS LÄN</t>
        </is>
      </c>
      <c r="E463" t="inlineStr">
        <is>
          <t>NORRTÄLJE</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21726-2022</t>
        </is>
      </c>
      <c r="B464" s="1" t="n">
        <v>44708</v>
      </c>
      <c r="C464" s="1" t="n">
        <v>45910</v>
      </c>
      <c r="D464" t="inlineStr">
        <is>
          <t>STOCKHOLMS LÄN</t>
        </is>
      </c>
      <c r="E464" t="inlineStr">
        <is>
          <t>NORRTÄLJE</t>
        </is>
      </c>
      <c r="G464" t="n">
        <v>0.2</v>
      </c>
      <c r="H464" t="n">
        <v>0</v>
      </c>
      <c r="I464" t="n">
        <v>0</v>
      </c>
      <c r="J464" t="n">
        <v>0</v>
      </c>
      <c r="K464" t="n">
        <v>0</v>
      </c>
      <c r="L464" t="n">
        <v>0</v>
      </c>
      <c r="M464" t="n">
        <v>0</v>
      </c>
      <c r="N464" t="n">
        <v>0</v>
      </c>
      <c r="O464" t="n">
        <v>0</v>
      </c>
      <c r="P464" t="n">
        <v>0</v>
      </c>
      <c r="Q464" t="n">
        <v>0</v>
      </c>
      <c r="R464" s="2" t="inlineStr"/>
    </row>
    <row r="465" ht="15" customHeight="1">
      <c r="A465" t="inlineStr">
        <is>
          <t>A 21739-2022</t>
        </is>
      </c>
      <c r="B465" s="1" t="n">
        <v>44708.36708333333</v>
      </c>
      <c r="C465" s="1" t="n">
        <v>45910</v>
      </c>
      <c r="D465" t="inlineStr">
        <is>
          <t>STOCKHOLMS LÄN</t>
        </is>
      </c>
      <c r="E465" t="inlineStr">
        <is>
          <t>NORRTÄLJE</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35210-2023</t>
        </is>
      </c>
      <c r="B466" s="1" t="n">
        <v>45145.63584490741</v>
      </c>
      <c r="C466" s="1" t="n">
        <v>45910</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24687-2025</t>
        </is>
      </c>
      <c r="B467" s="1" t="n">
        <v>45798.66767361111</v>
      </c>
      <c r="C467" s="1" t="n">
        <v>45910</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66662-2020</t>
        </is>
      </c>
      <c r="B468" s="1" t="n">
        <v>44179</v>
      </c>
      <c r="C468" s="1" t="n">
        <v>45910</v>
      </c>
      <c r="D468" t="inlineStr">
        <is>
          <t>STOCKHOLMS LÄN</t>
        </is>
      </c>
      <c r="E468" t="inlineStr">
        <is>
          <t>NORRTÄLJE</t>
        </is>
      </c>
      <c r="G468" t="n">
        <v>1.9</v>
      </c>
      <c r="H468" t="n">
        <v>0</v>
      </c>
      <c r="I468" t="n">
        <v>0</v>
      </c>
      <c r="J468" t="n">
        <v>0</v>
      </c>
      <c r="K468" t="n">
        <v>0</v>
      </c>
      <c r="L468" t="n">
        <v>0</v>
      </c>
      <c r="M468" t="n">
        <v>0</v>
      </c>
      <c r="N468" t="n">
        <v>0</v>
      </c>
      <c r="O468" t="n">
        <v>0</v>
      </c>
      <c r="P468" t="n">
        <v>0</v>
      </c>
      <c r="Q468" t="n">
        <v>0</v>
      </c>
      <c r="R468" s="2" t="inlineStr"/>
    </row>
    <row r="469" ht="15" customHeight="1">
      <c r="A469" t="inlineStr">
        <is>
          <t>A 35161-2022</t>
        </is>
      </c>
      <c r="B469" s="1" t="n">
        <v>44797</v>
      </c>
      <c r="C469" s="1" t="n">
        <v>45910</v>
      </c>
      <c r="D469" t="inlineStr">
        <is>
          <t>STOCKHOLMS LÄN</t>
        </is>
      </c>
      <c r="E469" t="inlineStr">
        <is>
          <t>NORRTÄLJE</t>
        </is>
      </c>
      <c r="G469" t="n">
        <v>6</v>
      </c>
      <c r="H469" t="n">
        <v>0</v>
      </c>
      <c r="I469" t="n">
        <v>0</v>
      </c>
      <c r="J469" t="n">
        <v>0</v>
      </c>
      <c r="K469" t="n">
        <v>0</v>
      </c>
      <c r="L469" t="n">
        <v>0</v>
      </c>
      <c r="M469" t="n">
        <v>0</v>
      </c>
      <c r="N469" t="n">
        <v>0</v>
      </c>
      <c r="O469" t="n">
        <v>0</v>
      </c>
      <c r="P469" t="n">
        <v>0</v>
      </c>
      <c r="Q469" t="n">
        <v>0</v>
      </c>
      <c r="R469" s="2" t="inlineStr"/>
    </row>
    <row r="470" ht="15" customHeight="1">
      <c r="A470" t="inlineStr">
        <is>
          <t>A 24683-2025</t>
        </is>
      </c>
      <c r="B470" s="1" t="n">
        <v>45798.66104166667</v>
      </c>
      <c r="C470" s="1" t="n">
        <v>45910</v>
      </c>
      <c r="D470" t="inlineStr">
        <is>
          <t>STOCKHOLMS LÄN</t>
        </is>
      </c>
      <c r="E470" t="inlineStr">
        <is>
          <t>NORRTÄLJE</t>
        </is>
      </c>
      <c r="G470" t="n">
        <v>7.9</v>
      </c>
      <c r="H470" t="n">
        <v>0</v>
      </c>
      <c r="I470" t="n">
        <v>0</v>
      </c>
      <c r="J470" t="n">
        <v>0</v>
      </c>
      <c r="K470" t="n">
        <v>0</v>
      </c>
      <c r="L470" t="n">
        <v>0</v>
      </c>
      <c r="M470" t="n">
        <v>0</v>
      </c>
      <c r="N470" t="n">
        <v>0</v>
      </c>
      <c r="O470" t="n">
        <v>0</v>
      </c>
      <c r="P470" t="n">
        <v>0</v>
      </c>
      <c r="Q470" t="n">
        <v>0</v>
      </c>
      <c r="R470" s="2" t="inlineStr"/>
    </row>
    <row r="471" ht="15" customHeight="1">
      <c r="A471" t="inlineStr">
        <is>
          <t>A 59767-2022</t>
        </is>
      </c>
      <c r="B471" s="1" t="n">
        <v>44900</v>
      </c>
      <c r="C471" s="1" t="n">
        <v>45910</v>
      </c>
      <c r="D471" t="inlineStr">
        <is>
          <t>STOCKHOLMS LÄN</t>
        </is>
      </c>
      <c r="E471" t="inlineStr">
        <is>
          <t>NORRTÄLJE</t>
        </is>
      </c>
      <c r="G471" t="n">
        <v>2.2</v>
      </c>
      <c r="H471" t="n">
        <v>0</v>
      </c>
      <c r="I471" t="n">
        <v>0</v>
      </c>
      <c r="J471" t="n">
        <v>0</v>
      </c>
      <c r="K471" t="n">
        <v>0</v>
      </c>
      <c r="L471" t="n">
        <v>0</v>
      </c>
      <c r="M471" t="n">
        <v>0</v>
      </c>
      <c r="N471" t="n">
        <v>0</v>
      </c>
      <c r="O471" t="n">
        <v>0</v>
      </c>
      <c r="P471" t="n">
        <v>0</v>
      </c>
      <c r="Q471" t="n">
        <v>0</v>
      </c>
      <c r="R471" s="2" t="inlineStr"/>
    </row>
    <row r="472" ht="15" customHeight="1">
      <c r="A472" t="inlineStr">
        <is>
          <t>A 5823-2023</t>
        </is>
      </c>
      <c r="B472" s="1" t="n">
        <v>44963</v>
      </c>
      <c r="C472" s="1" t="n">
        <v>45910</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19915-2024</t>
        </is>
      </c>
      <c r="B473" s="1" t="n">
        <v>45433.58431712963</v>
      </c>
      <c r="C473" s="1" t="n">
        <v>45910</v>
      </c>
      <c r="D473" t="inlineStr">
        <is>
          <t>STOCKHOLMS LÄN</t>
        </is>
      </c>
      <c r="E473" t="inlineStr">
        <is>
          <t>NORRTÄLJE</t>
        </is>
      </c>
      <c r="G473" t="n">
        <v>2</v>
      </c>
      <c r="H473" t="n">
        <v>0</v>
      </c>
      <c r="I473" t="n">
        <v>0</v>
      </c>
      <c r="J473" t="n">
        <v>0</v>
      </c>
      <c r="K473" t="n">
        <v>0</v>
      </c>
      <c r="L473" t="n">
        <v>0</v>
      </c>
      <c r="M473" t="n">
        <v>0</v>
      </c>
      <c r="N473" t="n">
        <v>0</v>
      </c>
      <c r="O473" t="n">
        <v>0</v>
      </c>
      <c r="P473" t="n">
        <v>0</v>
      </c>
      <c r="Q473" t="n">
        <v>0</v>
      </c>
      <c r="R473" s="2" t="inlineStr"/>
    </row>
    <row r="474" ht="15" customHeight="1">
      <c r="A474" t="inlineStr">
        <is>
          <t>A 15217-2023</t>
        </is>
      </c>
      <c r="B474" s="1" t="n">
        <v>45019.28847222222</v>
      </c>
      <c r="C474" s="1" t="n">
        <v>45910</v>
      </c>
      <c r="D474" t="inlineStr">
        <is>
          <t>STOCKHOLMS LÄN</t>
        </is>
      </c>
      <c r="E474" t="inlineStr">
        <is>
          <t>NORRTÄLJE</t>
        </is>
      </c>
      <c r="G474" t="n">
        <v>3.6</v>
      </c>
      <c r="H474" t="n">
        <v>0</v>
      </c>
      <c r="I474" t="n">
        <v>0</v>
      </c>
      <c r="J474" t="n">
        <v>0</v>
      </c>
      <c r="K474" t="n">
        <v>0</v>
      </c>
      <c r="L474" t="n">
        <v>0</v>
      </c>
      <c r="M474" t="n">
        <v>0</v>
      </c>
      <c r="N474" t="n">
        <v>0</v>
      </c>
      <c r="O474" t="n">
        <v>0</v>
      </c>
      <c r="P474" t="n">
        <v>0</v>
      </c>
      <c r="Q474" t="n">
        <v>0</v>
      </c>
      <c r="R474" s="2" t="inlineStr"/>
    </row>
    <row r="475" ht="15" customHeight="1">
      <c r="A475" t="inlineStr">
        <is>
          <t>A 58989-2021</t>
        </is>
      </c>
      <c r="B475" s="1" t="n">
        <v>44490.02482638889</v>
      </c>
      <c r="C475" s="1" t="n">
        <v>45910</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46988-2024</t>
        </is>
      </c>
      <c r="B476" s="1" t="n">
        <v>45586</v>
      </c>
      <c r="C476" s="1" t="n">
        <v>45910</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21529-2021</t>
        </is>
      </c>
      <c r="B477" s="1" t="n">
        <v>44321</v>
      </c>
      <c r="C477" s="1" t="n">
        <v>45910</v>
      </c>
      <c r="D477" t="inlineStr">
        <is>
          <t>STOCKHOLMS LÄN</t>
        </is>
      </c>
      <c r="E477" t="inlineStr">
        <is>
          <t>NORRTÄLJE</t>
        </is>
      </c>
      <c r="G477" t="n">
        <v>2.7</v>
      </c>
      <c r="H477" t="n">
        <v>0</v>
      </c>
      <c r="I477" t="n">
        <v>0</v>
      </c>
      <c r="J477" t="n">
        <v>0</v>
      </c>
      <c r="K477" t="n">
        <v>0</v>
      </c>
      <c r="L477" t="n">
        <v>0</v>
      </c>
      <c r="M477" t="n">
        <v>0</v>
      </c>
      <c r="N477" t="n">
        <v>0</v>
      </c>
      <c r="O477" t="n">
        <v>0</v>
      </c>
      <c r="P477" t="n">
        <v>0</v>
      </c>
      <c r="Q477" t="n">
        <v>0</v>
      </c>
      <c r="R477" s="2" t="inlineStr"/>
    </row>
    <row r="478" ht="15" customHeight="1">
      <c r="A478" t="inlineStr">
        <is>
          <t>A 24638-2025</t>
        </is>
      </c>
      <c r="B478" s="1" t="n">
        <v>45798</v>
      </c>
      <c r="C478" s="1" t="n">
        <v>45910</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13701-2022</t>
        </is>
      </c>
      <c r="B479" s="1" t="n">
        <v>44648</v>
      </c>
      <c r="C479" s="1" t="n">
        <v>45910</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50143-2023</t>
        </is>
      </c>
      <c r="B480" s="1" t="n">
        <v>45215</v>
      </c>
      <c r="C480" s="1" t="n">
        <v>45910</v>
      </c>
      <c r="D480" t="inlineStr">
        <is>
          <t>STOCKHOLMS LÄN</t>
        </is>
      </c>
      <c r="E480" t="inlineStr">
        <is>
          <t>NORRTÄLJE</t>
        </is>
      </c>
      <c r="G480" t="n">
        <v>10.3</v>
      </c>
      <c r="H480" t="n">
        <v>0</v>
      </c>
      <c r="I480" t="n">
        <v>0</v>
      </c>
      <c r="J480" t="n">
        <v>0</v>
      </c>
      <c r="K480" t="n">
        <v>0</v>
      </c>
      <c r="L480" t="n">
        <v>0</v>
      </c>
      <c r="M480" t="n">
        <v>0</v>
      </c>
      <c r="N480" t="n">
        <v>0</v>
      </c>
      <c r="O480" t="n">
        <v>0</v>
      </c>
      <c r="P480" t="n">
        <v>0</v>
      </c>
      <c r="Q480" t="n">
        <v>0</v>
      </c>
      <c r="R480" s="2" t="inlineStr"/>
    </row>
    <row r="481" ht="15" customHeight="1">
      <c r="A481" t="inlineStr">
        <is>
          <t>A 29176-2024</t>
        </is>
      </c>
      <c r="B481" s="1" t="n">
        <v>45482.53388888889</v>
      </c>
      <c r="C481" s="1" t="n">
        <v>45910</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36430-2024</t>
        </is>
      </c>
      <c r="B482" s="1" t="n">
        <v>45536</v>
      </c>
      <c r="C482" s="1" t="n">
        <v>45910</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48066-2020</t>
        </is>
      </c>
      <c r="B483" s="1" t="n">
        <v>44100</v>
      </c>
      <c r="C483" s="1" t="n">
        <v>45910</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51312-2023</t>
        </is>
      </c>
      <c r="B484" s="1" t="n">
        <v>45219.56697916667</v>
      </c>
      <c r="C484" s="1" t="n">
        <v>45910</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35640-2024</t>
        </is>
      </c>
      <c r="B485" s="1" t="n">
        <v>45531</v>
      </c>
      <c r="C485" s="1" t="n">
        <v>45910</v>
      </c>
      <c r="D485" t="inlineStr">
        <is>
          <t>STOCKHOLMS LÄN</t>
        </is>
      </c>
      <c r="E485" t="inlineStr">
        <is>
          <t>NORRTÄLJE</t>
        </is>
      </c>
      <c r="G485" t="n">
        <v>0.9</v>
      </c>
      <c r="H485" t="n">
        <v>0</v>
      </c>
      <c r="I485" t="n">
        <v>0</v>
      </c>
      <c r="J485" t="n">
        <v>0</v>
      </c>
      <c r="K485" t="n">
        <v>0</v>
      </c>
      <c r="L485" t="n">
        <v>0</v>
      </c>
      <c r="M485" t="n">
        <v>0</v>
      </c>
      <c r="N485" t="n">
        <v>0</v>
      </c>
      <c r="O485" t="n">
        <v>0</v>
      </c>
      <c r="P485" t="n">
        <v>0</v>
      </c>
      <c r="Q485" t="n">
        <v>0</v>
      </c>
      <c r="R485" s="2" t="inlineStr"/>
    </row>
    <row r="486" ht="15" customHeight="1">
      <c r="A486" t="inlineStr">
        <is>
          <t>A 35647-2024</t>
        </is>
      </c>
      <c r="B486" s="1" t="n">
        <v>45532</v>
      </c>
      <c r="C486" s="1" t="n">
        <v>45910</v>
      </c>
      <c r="D486" t="inlineStr">
        <is>
          <t>STOCKHOLMS LÄN</t>
        </is>
      </c>
      <c r="E486" t="inlineStr">
        <is>
          <t>NORRTÄLJE</t>
        </is>
      </c>
      <c r="G486" t="n">
        <v>5.3</v>
      </c>
      <c r="H486" t="n">
        <v>0</v>
      </c>
      <c r="I486" t="n">
        <v>0</v>
      </c>
      <c r="J486" t="n">
        <v>0</v>
      </c>
      <c r="K486" t="n">
        <v>0</v>
      </c>
      <c r="L486" t="n">
        <v>0</v>
      </c>
      <c r="M486" t="n">
        <v>0</v>
      </c>
      <c r="N486" t="n">
        <v>0</v>
      </c>
      <c r="O486" t="n">
        <v>0</v>
      </c>
      <c r="P486" t="n">
        <v>0</v>
      </c>
      <c r="Q486" t="n">
        <v>0</v>
      </c>
      <c r="R486" s="2" t="inlineStr"/>
    </row>
    <row r="487" ht="15" customHeight="1">
      <c r="A487" t="inlineStr">
        <is>
          <t>A 28603-2024</t>
        </is>
      </c>
      <c r="B487" s="1" t="n">
        <v>45478.42887731481</v>
      </c>
      <c r="C487" s="1" t="n">
        <v>45910</v>
      </c>
      <c r="D487" t="inlineStr">
        <is>
          <t>STOCKHOLMS LÄN</t>
        </is>
      </c>
      <c r="E487" t="inlineStr">
        <is>
          <t>NORRTÄLJE</t>
        </is>
      </c>
      <c r="G487" t="n">
        <v>5.6</v>
      </c>
      <c r="H487" t="n">
        <v>0</v>
      </c>
      <c r="I487" t="n">
        <v>0</v>
      </c>
      <c r="J487" t="n">
        <v>0</v>
      </c>
      <c r="K487" t="n">
        <v>0</v>
      </c>
      <c r="L487" t="n">
        <v>0</v>
      </c>
      <c r="M487" t="n">
        <v>0</v>
      </c>
      <c r="N487" t="n">
        <v>0</v>
      </c>
      <c r="O487" t="n">
        <v>0</v>
      </c>
      <c r="P487" t="n">
        <v>0</v>
      </c>
      <c r="Q487" t="n">
        <v>0</v>
      </c>
      <c r="R487" s="2" t="inlineStr"/>
    </row>
    <row r="488" ht="15" customHeight="1">
      <c r="A488" t="inlineStr">
        <is>
          <t>A 14132-2025</t>
        </is>
      </c>
      <c r="B488" s="1" t="n">
        <v>45740.47550925926</v>
      </c>
      <c r="C488" s="1" t="n">
        <v>45910</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14133-2025</t>
        </is>
      </c>
      <c r="B489" s="1" t="n">
        <v>45740.47724537037</v>
      </c>
      <c r="C489" s="1" t="n">
        <v>45910</v>
      </c>
      <c r="D489" t="inlineStr">
        <is>
          <t>STOCKHOLMS LÄN</t>
        </is>
      </c>
      <c r="E489" t="inlineStr">
        <is>
          <t>NORRTÄLJE</t>
        </is>
      </c>
      <c r="G489" t="n">
        <v>0.4</v>
      </c>
      <c r="H489" t="n">
        <v>0</v>
      </c>
      <c r="I489" t="n">
        <v>0</v>
      </c>
      <c r="J489" t="n">
        <v>0</v>
      </c>
      <c r="K489" t="n">
        <v>0</v>
      </c>
      <c r="L489" t="n">
        <v>0</v>
      </c>
      <c r="M489" t="n">
        <v>0</v>
      </c>
      <c r="N489" t="n">
        <v>0</v>
      </c>
      <c r="O489" t="n">
        <v>0</v>
      </c>
      <c r="P489" t="n">
        <v>0</v>
      </c>
      <c r="Q489" t="n">
        <v>0</v>
      </c>
      <c r="R489" s="2" t="inlineStr"/>
    </row>
    <row r="490" ht="15" customHeight="1">
      <c r="A490" t="inlineStr">
        <is>
          <t>A 8792-2025</t>
        </is>
      </c>
      <c r="B490" s="1" t="n">
        <v>45712</v>
      </c>
      <c r="C490" s="1" t="n">
        <v>45910</v>
      </c>
      <c r="D490" t="inlineStr">
        <is>
          <t>STOCKHOLMS LÄN</t>
        </is>
      </c>
      <c r="E490" t="inlineStr">
        <is>
          <t>NORRTÄLJE</t>
        </is>
      </c>
      <c r="F490" t="inlineStr">
        <is>
          <t>Övriga Aktiebolag</t>
        </is>
      </c>
      <c r="G490" t="n">
        <v>6.6</v>
      </c>
      <c r="H490" t="n">
        <v>0</v>
      </c>
      <c r="I490" t="n">
        <v>0</v>
      </c>
      <c r="J490" t="n">
        <v>0</v>
      </c>
      <c r="K490" t="n">
        <v>0</v>
      </c>
      <c r="L490" t="n">
        <v>0</v>
      </c>
      <c r="M490" t="n">
        <v>0</v>
      </c>
      <c r="N490" t="n">
        <v>0</v>
      </c>
      <c r="O490" t="n">
        <v>0</v>
      </c>
      <c r="P490" t="n">
        <v>0</v>
      </c>
      <c r="Q490" t="n">
        <v>0</v>
      </c>
      <c r="R490" s="2" t="inlineStr"/>
    </row>
    <row r="491" ht="15" customHeight="1">
      <c r="A491" t="inlineStr">
        <is>
          <t>A 24835-2025</t>
        </is>
      </c>
      <c r="B491" s="1" t="n">
        <v>45799</v>
      </c>
      <c r="C491" s="1" t="n">
        <v>45910</v>
      </c>
      <c r="D491" t="inlineStr">
        <is>
          <t>STOCKHOLMS LÄN</t>
        </is>
      </c>
      <c r="E491" t="inlineStr">
        <is>
          <t>NORRTÄLJE</t>
        </is>
      </c>
      <c r="G491" t="n">
        <v>2.5</v>
      </c>
      <c r="H491" t="n">
        <v>0</v>
      </c>
      <c r="I491" t="n">
        <v>0</v>
      </c>
      <c r="J491" t="n">
        <v>0</v>
      </c>
      <c r="K491" t="n">
        <v>0</v>
      </c>
      <c r="L491" t="n">
        <v>0</v>
      </c>
      <c r="M491" t="n">
        <v>0</v>
      </c>
      <c r="N491" t="n">
        <v>0</v>
      </c>
      <c r="O491" t="n">
        <v>0</v>
      </c>
      <c r="P491" t="n">
        <v>0</v>
      </c>
      <c r="Q491" t="n">
        <v>0</v>
      </c>
      <c r="R491" s="2" t="inlineStr"/>
    </row>
    <row r="492" ht="15" customHeight="1">
      <c r="A492" t="inlineStr">
        <is>
          <t>A 24887-2023</t>
        </is>
      </c>
      <c r="B492" s="1" t="n">
        <v>45085</v>
      </c>
      <c r="C492" s="1" t="n">
        <v>45910</v>
      </c>
      <c r="D492" t="inlineStr">
        <is>
          <t>STOCKHOLMS LÄN</t>
        </is>
      </c>
      <c r="E492" t="inlineStr">
        <is>
          <t>NORRTÄLJE</t>
        </is>
      </c>
      <c r="G492" t="n">
        <v>13.9</v>
      </c>
      <c r="H492" t="n">
        <v>0</v>
      </c>
      <c r="I492" t="n">
        <v>0</v>
      </c>
      <c r="J492" t="n">
        <v>0</v>
      </c>
      <c r="K492" t="n">
        <v>0</v>
      </c>
      <c r="L492" t="n">
        <v>0</v>
      </c>
      <c r="M492" t="n">
        <v>0</v>
      </c>
      <c r="N492" t="n">
        <v>0</v>
      </c>
      <c r="O492" t="n">
        <v>0</v>
      </c>
      <c r="P492" t="n">
        <v>0</v>
      </c>
      <c r="Q492" t="n">
        <v>0</v>
      </c>
      <c r="R492" s="2" t="inlineStr"/>
    </row>
    <row r="493" ht="15" customHeight="1">
      <c r="A493" t="inlineStr">
        <is>
          <t>A 43212-2022</t>
        </is>
      </c>
      <c r="B493" s="1" t="n">
        <v>44834.38636574074</v>
      </c>
      <c r="C493" s="1" t="n">
        <v>45910</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51653-2022</t>
        </is>
      </c>
      <c r="B494" s="1" t="n">
        <v>44867</v>
      </c>
      <c r="C494" s="1" t="n">
        <v>45910</v>
      </c>
      <c r="D494" t="inlineStr">
        <is>
          <t>STOCKHOLMS LÄN</t>
        </is>
      </c>
      <c r="E494" t="inlineStr">
        <is>
          <t>NORRTÄLJE</t>
        </is>
      </c>
      <c r="G494" t="n">
        <v>6.6</v>
      </c>
      <c r="H494" t="n">
        <v>0</v>
      </c>
      <c r="I494" t="n">
        <v>0</v>
      </c>
      <c r="J494" t="n">
        <v>0</v>
      </c>
      <c r="K494" t="n">
        <v>0</v>
      </c>
      <c r="L494" t="n">
        <v>0</v>
      </c>
      <c r="M494" t="n">
        <v>0</v>
      </c>
      <c r="N494" t="n">
        <v>0</v>
      </c>
      <c r="O494" t="n">
        <v>0</v>
      </c>
      <c r="P494" t="n">
        <v>0</v>
      </c>
      <c r="Q494" t="n">
        <v>0</v>
      </c>
      <c r="R494" s="2" t="inlineStr"/>
    </row>
    <row r="495" ht="15" customHeight="1">
      <c r="A495" t="inlineStr">
        <is>
          <t>A 4860-2022</t>
        </is>
      </c>
      <c r="B495" s="1" t="n">
        <v>44592</v>
      </c>
      <c r="C495" s="1" t="n">
        <v>45910</v>
      </c>
      <c r="D495" t="inlineStr">
        <is>
          <t>STOCKHOLMS LÄN</t>
        </is>
      </c>
      <c r="E495" t="inlineStr">
        <is>
          <t>NORRTÄLJE</t>
        </is>
      </c>
      <c r="G495" t="n">
        <v>22.3</v>
      </c>
      <c r="H495" t="n">
        <v>0</v>
      </c>
      <c r="I495" t="n">
        <v>0</v>
      </c>
      <c r="J495" t="n">
        <v>0</v>
      </c>
      <c r="K495" t="n">
        <v>0</v>
      </c>
      <c r="L495" t="n">
        <v>0</v>
      </c>
      <c r="M495" t="n">
        <v>0</v>
      </c>
      <c r="N495" t="n">
        <v>0</v>
      </c>
      <c r="O495" t="n">
        <v>0</v>
      </c>
      <c r="P495" t="n">
        <v>0</v>
      </c>
      <c r="Q495" t="n">
        <v>0</v>
      </c>
      <c r="R495" s="2" t="inlineStr"/>
    </row>
    <row r="496" ht="15" customHeight="1">
      <c r="A496" t="inlineStr">
        <is>
          <t>A 24690-2025</t>
        </is>
      </c>
      <c r="B496" s="1" t="n">
        <v>45798.67082175926</v>
      </c>
      <c r="C496" s="1" t="n">
        <v>45910</v>
      </c>
      <c r="D496" t="inlineStr">
        <is>
          <t>STOCKHOLMS LÄN</t>
        </is>
      </c>
      <c r="E496" t="inlineStr">
        <is>
          <t>NORRTÄLJE</t>
        </is>
      </c>
      <c r="G496" t="n">
        <v>1</v>
      </c>
      <c r="H496" t="n">
        <v>0</v>
      </c>
      <c r="I496" t="n">
        <v>0</v>
      </c>
      <c r="J496" t="n">
        <v>0</v>
      </c>
      <c r="K496" t="n">
        <v>0</v>
      </c>
      <c r="L496" t="n">
        <v>0</v>
      </c>
      <c r="M496" t="n">
        <v>0</v>
      </c>
      <c r="N496" t="n">
        <v>0</v>
      </c>
      <c r="O496" t="n">
        <v>0</v>
      </c>
      <c r="P496" t="n">
        <v>0</v>
      </c>
      <c r="Q496" t="n">
        <v>0</v>
      </c>
      <c r="R496" s="2" t="inlineStr"/>
    </row>
    <row r="497" ht="15" customHeight="1">
      <c r="A497" t="inlineStr">
        <is>
          <t>A 33279-2025</t>
        </is>
      </c>
      <c r="B497" s="1" t="n">
        <v>45840.70885416667</v>
      </c>
      <c r="C497" s="1" t="n">
        <v>45910</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47259-2024</t>
        </is>
      </c>
      <c r="B498" s="1" t="n">
        <v>45586</v>
      </c>
      <c r="C498" s="1" t="n">
        <v>45910</v>
      </c>
      <c r="D498" t="inlineStr">
        <is>
          <t>STOCKHOLMS LÄN</t>
        </is>
      </c>
      <c r="E498" t="inlineStr">
        <is>
          <t>NORRTÄLJE</t>
        </is>
      </c>
      <c r="G498" t="n">
        <v>1.8</v>
      </c>
      <c r="H498" t="n">
        <v>0</v>
      </c>
      <c r="I498" t="n">
        <v>0</v>
      </c>
      <c r="J498" t="n">
        <v>0</v>
      </c>
      <c r="K498" t="n">
        <v>0</v>
      </c>
      <c r="L498" t="n">
        <v>0</v>
      </c>
      <c r="M498" t="n">
        <v>0</v>
      </c>
      <c r="N498" t="n">
        <v>0</v>
      </c>
      <c r="O498" t="n">
        <v>0</v>
      </c>
      <c r="P498" t="n">
        <v>0</v>
      </c>
      <c r="Q498" t="n">
        <v>0</v>
      </c>
      <c r="R498" s="2" t="inlineStr"/>
    </row>
    <row r="499" ht="15" customHeight="1">
      <c r="A499" t="inlineStr">
        <is>
          <t>A 4322-2023</t>
        </is>
      </c>
      <c r="B499" s="1" t="n">
        <v>44953.69298611111</v>
      </c>
      <c r="C499" s="1" t="n">
        <v>45910</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38612-2022</t>
        </is>
      </c>
      <c r="B500" s="1" t="n">
        <v>44813</v>
      </c>
      <c r="C500" s="1" t="n">
        <v>45910</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4326-2023</t>
        </is>
      </c>
      <c r="B501" s="1" t="n">
        <v>44953.70481481482</v>
      </c>
      <c r="C501" s="1" t="n">
        <v>45910</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25702-2025</t>
        </is>
      </c>
      <c r="B502" s="1" t="n">
        <v>45800</v>
      </c>
      <c r="C502" s="1" t="n">
        <v>45910</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54504-2024</t>
        </is>
      </c>
      <c r="B503" s="1" t="n">
        <v>45617.58453703704</v>
      </c>
      <c r="C503" s="1" t="n">
        <v>45910</v>
      </c>
      <c r="D503" t="inlineStr">
        <is>
          <t>STOCKHOLMS LÄN</t>
        </is>
      </c>
      <c r="E503" t="inlineStr">
        <is>
          <t>NORRTÄLJE</t>
        </is>
      </c>
      <c r="G503" t="n">
        <v>3.4</v>
      </c>
      <c r="H503" t="n">
        <v>0</v>
      </c>
      <c r="I503" t="n">
        <v>0</v>
      </c>
      <c r="J503" t="n">
        <v>0</v>
      </c>
      <c r="K503" t="n">
        <v>0</v>
      </c>
      <c r="L503" t="n">
        <v>0</v>
      </c>
      <c r="M503" t="n">
        <v>0</v>
      </c>
      <c r="N503" t="n">
        <v>0</v>
      </c>
      <c r="O503" t="n">
        <v>0</v>
      </c>
      <c r="P503" t="n">
        <v>0</v>
      </c>
      <c r="Q503" t="n">
        <v>0</v>
      </c>
      <c r="R503" s="2" t="inlineStr"/>
    </row>
    <row r="504" ht="15" customHeight="1">
      <c r="A504" t="inlineStr">
        <is>
          <t>A 25712-2025</t>
        </is>
      </c>
      <c r="B504" s="1" t="n">
        <v>45803.69228009259</v>
      </c>
      <c r="C504" s="1" t="n">
        <v>45910</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25725-2025</t>
        </is>
      </c>
      <c r="B505" s="1" t="n">
        <v>45800</v>
      </c>
      <c r="C505" s="1" t="n">
        <v>45910</v>
      </c>
      <c r="D505" t="inlineStr">
        <is>
          <t>STOCKHOLMS LÄN</t>
        </is>
      </c>
      <c r="E505" t="inlineStr">
        <is>
          <t>NORRTÄLJE</t>
        </is>
      </c>
      <c r="G505" t="n">
        <v>5.2</v>
      </c>
      <c r="H505" t="n">
        <v>0</v>
      </c>
      <c r="I505" t="n">
        <v>0</v>
      </c>
      <c r="J505" t="n">
        <v>0</v>
      </c>
      <c r="K505" t="n">
        <v>0</v>
      </c>
      <c r="L505" t="n">
        <v>0</v>
      </c>
      <c r="M505" t="n">
        <v>0</v>
      </c>
      <c r="N505" t="n">
        <v>0</v>
      </c>
      <c r="O505" t="n">
        <v>0</v>
      </c>
      <c r="P505" t="n">
        <v>0</v>
      </c>
      <c r="Q505" t="n">
        <v>0</v>
      </c>
      <c r="R505" s="2" t="inlineStr"/>
    </row>
    <row r="506" ht="15" customHeight="1">
      <c r="A506" t="inlineStr">
        <is>
          <t>A 25733-2025</t>
        </is>
      </c>
      <c r="B506" s="1" t="n">
        <v>45800</v>
      </c>
      <c r="C506" s="1" t="n">
        <v>45910</v>
      </c>
      <c r="D506" t="inlineStr">
        <is>
          <t>STOCKHOLMS LÄN</t>
        </is>
      </c>
      <c r="E506" t="inlineStr">
        <is>
          <t>NORRTÄLJE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39238-2024</t>
        </is>
      </c>
      <c r="B507" s="1" t="n">
        <v>45549</v>
      </c>
      <c r="C507" s="1" t="n">
        <v>45910</v>
      </c>
      <c r="D507" t="inlineStr">
        <is>
          <t>STOCKHOLMS LÄN</t>
        </is>
      </c>
      <c r="E507" t="inlineStr">
        <is>
          <t>NORRTÄLJE</t>
        </is>
      </c>
      <c r="G507" t="n">
        <v>3.6</v>
      </c>
      <c r="H507" t="n">
        <v>0</v>
      </c>
      <c r="I507" t="n">
        <v>0</v>
      </c>
      <c r="J507" t="n">
        <v>0</v>
      </c>
      <c r="K507" t="n">
        <v>0</v>
      </c>
      <c r="L507" t="n">
        <v>0</v>
      </c>
      <c r="M507" t="n">
        <v>0</v>
      </c>
      <c r="N507" t="n">
        <v>0</v>
      </c>
      <c r="O507" t="n">
        <v>0</v>
      </c>
      <c r="P507" t="n">
        <v>0</v>
      </c>
      <c r="Q507" t="n">
        <v>0</v>
      </c>
      <c r="R507" s="2" t="inlineStr"/>
    </row>
    <row r="508" ht="15" customHeight="1">
      <c r="A508" t="inlineStr">
        <is>
          <t>A 25571-2025</t>
        </is>
      </c>
      <c r="B508" s="1" t="n">
        <v>45803.4675</v>
      </c>
      <c r="C508" s="1" t="n">
        <v>45910</v>
      </c>
      <c r="D508" t="inlineStr">
        <is>
          <t>STOCKHOLMS LÄN</t>
        </is>
      </c>
      <c r="E508" t="inlineStr">
        <is>
          <t>NORRTÄLJE</t>
        </is>
      </c>
      <c r="G508" t="n">
        <v>5.4</v>
      </c>
      <c r="H508" t="n">
        <v>0</v>
      </c>
      <c r="I508" t="n">
        <v>0</v>
      </c>
      <c r="J508" t="n">
        <v>0</v>
      </c>
      <c r="K508" t="n">
        <v>0</v>
      </c>
      <c r="L508" t="n">
        <v>0</v>
      </c>
      <c r="M508" t="n">
        <v>0</v>
      </c>
      <c r="N508" t="n">
        <v>0</v>
      </c>
      <c r="O508" t="n">
        <v>0</v>
      </c>
      <c r="P508" t="n">
        <v>0</v>
      </c>
      <c r="Q508" t="n">
        <v>0</v>
      </c>
      <c r="R508" s="2" t="inlineStr"/>
    </row>
    <row r="509" ht="15" customHeight="1">
      <c r="A509" t="inlineStr">
        <is>
          <t>A 25721-2025</t>
        </is>
      </c>
      <c r="B509" s="1" t="n">
        <v>45800</v>
      </c>
      <c r="C509" s="1" t="n">
        <v>45910</v>
      </c>
      <c r="D509" t="inlineStr">
        <is>
          <t>STOCKHOLMS LÄN</t>
        </is>
      </c>
      <c r="E509" t="inlineStr">
        <is>
          <t>NORRTÄLJE</t>
        </is>
      </c>
      <c r="G509" t="n">
        <v>6</v>
      </c>
      <c r="H509" t="n">
        <v>0</v>
      </c>
      <c r="I509" t="n">
        <v>0</v>
      </c>
      <c r="J509" t="n">
        <v>0</v>
      </c>
      <c r="K509" t="n">
        <v>0</v>
      </c>
      <c r="L509" t="n">
        <v>0</v>
      </c>
      <c r="M509" t="n">
        <v>0</v>
      </c>
      <c r="N509" t="n">
        <v>0</v>
      </c>
      <c r="O509" t="n">
        <v>0</v>
      </c>
      <c r="P509" t="n">
        <v>0</v>
      </c>
      <c r="Q509" t="n">
        <v>0</v>
      </c>
      <c r="R509" s="2" t="inlineStr"/>
    </row>
    <row r="510" ht="15" customHeight="1">
      <c r="A510" t="inlineStr">
        <is>
          <t>A 25697-2025</t>
        </is>
      </c>
      <c r="B510" s="1" t="n">
        <v>45803.66587962963</v>
      </c>
      <c r="C510" s="1" t="n">
        <v>45910</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41218-2024</t>
        </is>
      </c>
      <c r="B511" s="1" t="n">
        <v>45559.54706018518</v>
      </c>
      <c r="C511" s="1" t="n">
        <v>45910</v>
      </c>
      <c r="D511" t="inlineStr">
        <is>
          <t>STOCKHOLMS LÄN</t>
        </is>
      </c>
      <c r="E511" t="inlineStr">
        <is>
          <t>NORRTÄLJE</t>
        </is>
      </c>
      <c r="G511" t="n">
        <v>6</v>
      </c>
      <c r="H511" t="n">
        <v>0</v>
      </c>
      <c r="I511" t="n">
        <v>0</v>
      </c>
      <c r="J511" t="n">
        <v>0</v>
      </c>
      <c r="K511" t="n">
        <v>0</v>
      </c>
      <c r="L511" t="n">
        <v>0</v>
      </c>
      <c r="M511" t="n">
        <v>0</v>
      </c>
      <c r="N511" t="n">
        <v>0</v>
      </c>
      <c r="O511" t="n">
        <v>0</v>
      </c>
      <c r="P511" t="n">
        <v>0</v>
      </c>
      <c r="Q511" t="n">
        <v>0</v>
      </c>
      <c r="R511" s="2" t="inlineStr"/>
    </row>
    <row r="512" ht="15" customHeight="1">
      <c r="A512" t="inlineStr">
        <is>
          <t>A 21745-2023</t>
        </is>
      </c>
      <c r="B512" s="1" t="n">
        <v>45065.55917824074</v>
      </c>
      <c r="C512" s="1" t="n">
        <v>45910</v>
      </c>
      <c r="D512" t="inlineStr">
        <is>
          <t>STOCKHOLMS LÄN</t>
        </is>
      </c>
      <c r="E512" t="inlineStr">
        <is>
          <t>NORRTÄLJE</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25709-2025</t>
        </is>
      </c>
      <c r="B513" s="1" t="n">
        <v>45800</v>
      </c>
      <c r="C513" s="1" t="n">
        <v>45910</v>
      </c>
      <c r="D513" t="inlineStr">
        <is>
          <t>STOCKHOLMS LÄN</t>
        </is>
      </c>
      <c r="E513" t="inlineStr">
        <is>
          <t>NORRTÄLJE</t>
        </is>
      </c>
      <c r="G513" t="n">
        <v>4.6</v>
      </c>
      <c r="H513" t="n">
        <v>0</v>
      </c>
      <c r="I513" t="n">
        <v>0</v>
      </c>
      <c r="J513" t="n">
        <v>0</v>
      </c>
      <c r="K513" t="n">
        <v>0</v>
      </c>
      <c r="L513" t="n">
        <v>0</v>
      </c>
      <c r="M513" t="n">
        <v>0</v>
      </c>
      <c r="N513" t="n">
        <v>0</v>
      </c>
      <c r="O513" t="n">
        <v>0</v>
      </c>
      <c r="P513" t="n">
        <v>0</v>
      </c>
      <c r="Q513" t="n">
        <v>0</v>
      </c>
      <c r="R513" s="2" t="inlineStr"/>
    </row>
    <row r="514" ht="15" customHeight="1">
      <c r="A514" t="inlineStr">
        <is>
          <t>A 21894-2023</t>
        </is>
      </c>
      <c r="B514" s="1" t="n">
        <v>45068.51783564815</v>
      </c>
      <c r="C514" s="1" t="n">
        <v>45910</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25270-2025</t>
        </is>
      </c>
      <c r="B515" s="1" t="n">
        <v>45800</v>
      </c>
      <c r="C515" s="1" t="n">
        <v>45910</v>
      </c>
      <c r="D515" t="inlineStr">
        <is>
          <t>STOCKHOLMS LÄN</t>
        </is>
      </c>
      <c r="E515" t="inlineStr">
        <is>
          <t>NORRTÄLJE</t>
        </is>
      </c>
      <c r="F515" t="inlineStr">
        <is>
          <t>Övriga Aktiebolag</t>
        </is>
      </c>
      <c r="G515" t="n">
        <v>30</v>
      </c>
      <c r="H515" t="n">
        <v>0</v>
      </c>
      <c r="I515" t="n">
        <v>0</v>
      </c>
      <c r="J515" t="n">
        <v>0</v>
      </c>
      <c r="K515" t="n">
        <v>0</v>
      </c>
      <c r="L515" t="n">
        <v>0</v>
      </c>
      <c r="M515" t="n">
        <v>0</v>
      </c>
      <c r="N515" t="n">
        <v>0</v>
      </c>
      <c r="O515" t="n">
        <v>0</v>
      </c>
      <c r="P515" t="n">
        <v>0</v>
      </c>
      <c r="Q515" t="n">
        <v>0</v>
      </c>
      <c r="R515" s="2" t="inlineStr"/>
    </row>
    <row r="516" ht="15" customHeight="1">
      <c r="A516" t="inlineStr">
        <is>
          <t>A 13276-2022</t>
        </is>
      </c>
      <c r="B516" s="1" t="n">
        <v>44644</v>
      </c>
      <c r="C516" s="1" t="n">
        <v>45910</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38449-2022</t>
        </is>
      </c>
      <c r="B517" s="1" t="n">
        <v>44813</v>
      </c>
      <c r="C517" s="1" t="n">
        <v>45910</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38990-2022</t>
        </is>
      </c>
      <c r="B518" s="1" t="n">
        <v>44816</v>
      </c>
      <c r="C518" s="1" t="n">
        <v>45910</v>
      </c>
      <c r="D518" t="inlineStr">
        <is>
          <t>STOCKHOLMS LÄN</t>
        </is>
      </c>
      <c r="E518" t="inlineStr">
        <is>
          <t>NORRTÄLJE</t>
        </is>
      </c>
      <c r="G518" t="n">
        <v>5.7</v>
      </c>
      <c r="H518" t="n">
        <v>0</v>
      </c>
      <c r="I518" t="n">
        <v>0</v>
      </c>
      <c r="J518" t="n">
        <v>0</v>
      </c>
      <c r="K518" t="n">
        <v>0</v>
      </c>
      <c r="L518" t="n">
        <v>0</v>
      </c>
      <c r="M518" t="n">
        <v>0</v>
      </c>
      <c r="N518" t="n">
        <v>0</v>
      </c>
      <c r="O518" t="n">
        <v>0</v>
      </c>
      <c r="P518" t="n">
        <v>0</v>
      </c>
      <c r="Q518" t="n">
        <v>0</v>
      </c>
      <c r="R518" s="2" t="inlineStr"/>
    </row>
    <row r="519" ht="15" customHeight="1">
      <c r="A519" t="inlineStr">
        <is>
          <t>A 17956-2025</t>
        </is>
      </c>
      <c r="B519" s="1" t="n">
        <v>45760.91174768518</v>
      </c>
      <c r="C519" s="1" t="n">
        <v>45910</v>
      </c>
      <c r="D519" t="inlineStr">
        <is>
          <t>STOCKHOLMS LÄN</t>
        </is>
      </c>
      <c r="E519" t="inlineStr">
        <is>
          <t>NORRTÄLJE</t>
        </is>
      </c>
      <c r="G519" t="n">
        <v>4.3</v>
      </c>
      <c r="H519" t="n">
        <v>0</v>
      </c>
      <c r="I519" t="n">
        <v>0</v>
      </c>
      <c r="J519" t="n">
        <v>0</v>
      </c>
      <c r="K519" t="n">
        <v>0</v>
      </c>
      <c r="L519" t="n">
        <v>0</v>
      </c>
      <c r="M519" t="n">
        <v>0</v>
      </c>
      <c r="N519" t="n">
        <v>0</v>
      </c>
      <c r="O519" t="n">
        <v>0</v>
      </c>
      <c r="P519" t="n">
        <v>0</v>
      </c>
      <c r="Q519" t="n">
        <v>0</v>
      </c>
      <c r="R519" s="2" t="inlineStr"/>
    </row>
    <row r="520" ht="15" customHeight="1">
      <c r="A520" t="inlineStr">
        <is>
          <t>A 34478-2025</t>
        </is>
      </c>
      <c r="B520" s="1" t="n">
        <v>45847.37414351852</v>
      </c>
      <c r="C520" s="1" t="n">
        <v>45910</v>
      </c>
      <c r="D520" t="inlineStr">
        <is>
          <t>STOCKHOLMS LÄN</t>
        </is>
      </c>
      <c r="E520" t="inlineStr">
        <is>
          <t>NORRTÄLJE</t>
        </is>
      </c>
      <c r="F520" t="inlineStr">
        <is>
          <t>Övriga Aktiebolag</t>
        </is>
      </c>
      <c r="G520" t="n">
        <v>10.8</v>
      </c>
      <c r="H520" t="n">
        <v>0</v>
      </c>
      <c r="I520" t="n">
        <v>0</v>
      </c>
      <c r="J520" t="n">
        <v>0</v>
      </c>
      <c r="K520" t="n">
        <v>0</v>
      </c>
      <c r="L520" t="n">
        <v>0</v>
      </c>
      <c r="M520" t="n">
        <v>0</v>
      </c>
      <c r="N520" t="n">
        <v>0</v>
      </c>
      <c r="O520" t="n">
        <v>0</v>
      </c>
      <c r="P520" t="n">
        <v>0</v>
      </c>
      <c r="Q520" t="n">
        <v>0</v>
      </c>
      <c r="R520" s="2" t="inlineStr"/>
    </row>
    <row r="521" ht="15" customHeight="1">
      <c r="A521" t="inlineStr">
        <is>
          <t>A 875-2023</t>
        </is>
      </c>
      <c r="B521" s="1" t="n">
        <v>44931.65626157408</v>
      </c>
      <c r="C521" s="1" t="n">
        <v>45910</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31236-2022</t>
        </is>
      </c>
      <c r="B522" s="1" t="n">
        <v>44771</v>
      </c>
      <c r="C522" s="1" t="n">
        <v>45910</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8315-2025</t>
        </is>
      </c>
      <c r="B523" s="1" t="n">
        <v>45708.61761574074</v>
      </c>
      <c r="C523" s="1" t="n">
        <v>45910</v>
      </c>
      <c r="D523" t="inlineStr">
        <is>
          <t>STOCKHOLMS LÄN</t>
        </is>
      </c>
      <c r="E523" t="inlineStr">
        <is>
          <t>NORRTÄLJE</t>
        </is>
      </c>
      <c r="G523" t="n">
        <v>3.9</v>
      </c>
      <c r="H523" t="n">
        <v>0</v>
      </c>
      <c r="I523" t="n">
        <v>0</v>
      </c>
      <c r="J523" t="n">
        <v>0</v>
      </c>
      <c r="K523" t="n">
        <v>0</v>
      </c>
      <c r="L523" t="n">
        <v>0</v>
      </c>
      <c r="M523" t="n">
        <v>0</v>
      </c>
      <c r="N523" t="n">
        <v>0</v>
      </c>
      <c r="O523" t="n">
        <v>0</v>
      </c>
      <c r="P523" t="n">
        <v>0</v>
      </c>
      <c r="Q523" t="n">
        <v>0</v>
      </c>
      <c r="R523" s="2" t="inlineStr"/>
    </row>
    <row r="524" ht="15" customHeight="1">
      <c r="A524" t="inlineStr">
        <is>
          <t>A 31281-2022</t>
        </is>
      </c>
      <c r="B524" s="1" t="n">
        <v>44771</v>
      </c>
      <c r="C524" s="1" t="n">
        <v>45910</v>
      </c>
      <c r="D524" t="inlineStr">
        <is>
          <t>STOCKHOLMS LÄN</t>
        </is>
      </c>
      <c r="E524" t="inlineStr">
        <is>
          <t>NORRTÄLJE</t>
        </is>
      </c>
      <c r="F524" t="inlineStr">
        <is>
          <t>Holmen skog AB</t>
        </is>
      </c>
      <c r="G524" t="n">
        <v>5.2</v>
      </c>
      <c r="H524" t="n">
        <v>0</v>
      </c>
      <c r="I524" t="n">
        <v>0</v>
      </c>
      <c r="J524" t="n">
        <v>0</v>
      </c>
      <c r="K524" t="n">
        <v>0</v>
      </c>
      <c r="L524" t="n">
        <v>0</v>
      </c>
      <c r="M524" t="n">
        <v>0</v>
      </c>
      <c r="N524" t="n">
        <v>0</v>
      </c>
      <c r="O524" t="n">
        <v>0</v>
      </c>
      <c r="P524" t="n">
        <v>0</v>
      </c>
      <c r="Q524" t="n">
        <v>0</v>
      </c>
      <c r="R524" s="2" t="inlineStr"/>
    </row>
    <row r="525" ht="15" customHeight="1">
      <c r="A525" t="inlineStr">
        <is>
          <t>A 29841-2024</t>
        </is>
      </c>
      <c r="B525" s="1" t="n">
        <v>45485.60261574074</v>
      </c>
      <c r="C525" s="1" t="n">
        <v>45910</v>
      </c>
      <c r="D525" t="inlineStr">
        <is>
          <t>STOCKHOLMS LÄN</t>
        </is>
      </c>
      <c r="E525" t="inlineStr">
        <is>
          <t>NORRTÄLJE</t>
        </is>
      </c>
      <c r="G525" t="n">
        <v>15.9</v>
      </c>
      <c r="H525" t="n">
        <v>0</v>
      </c>
      <c r="I525" t="n">
        <v>0</v>
      </c>
      <c r="J525" t="n">
        <v>0</v>
      </c>
      <c r="K525" t="n">
        <v>0</v>
      </c>
      <c r="L525" t="n">
        <v>0</v>
      </c>
      <c r="M525" t="n">
        <v>0</v>
      </c>
      <c r="N525" t="n">
        <v>0</v>
      </c>
      <c r="O525" t="n">
        <v>0</v>
      </c>
      <c r="P525" t="n">
        <v>0</v>
      </c>
      <c r="Q525" t="n">
        <v>0</v>
      </c>
      <c r="R525" s="2" t="inlineStr"/>
    </row>
    <row r="526" ht="15" customHeight="1">
      <c r="A526" t="inlineStr">
        <is>
          <t>A 28182-2022</t>
        </is>
      </c>
      <c r="B526" s="1" t="n">
        <v>44746.58530092592</v>
      </c>
      <c r="C526" s="1" t="n">
        <v>45910</v>
      </c>
      <c r="D526" t="inlineStr">
        <is>
          <t>STOCKHOLMS LÄN</t>
        </is>
      </c>
      <c r="E526" t="inlineStr">
        <is>
          <t>NORRTÄLJE</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34461-2023</t>
        </is>
      </c>
      <c r="B527" s="1" t="n">
        <v>45139</v>
      </c>
      <c r="C527" s="1" t="n">
        <v>45910</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51046-2023</t>
        </is>
      </c>
      <c r="B528" s="1" t="n">
        <v>45218</v>
      </c>
      <c r="C528" s="1" t="n">
        <v>45910</v>
      </c>
      <c r="D528" t="inlineStr">
        <is>
          <t>STOCKHOLMS LÄN</t>
        </is>
      </c>
      <c r="E528" t="inlineStr">
        <is>
          <t>NORRTÄLJE</t>
        </is>
      </c>
      <c r="G528" t="n">
        <v>2.5</v>
      </c>
      <c r="H528" t="n">
        <v>0</v>
      </c>
      <c r="I528" t="n">
        <v>0</v>
      </c>
      <c r="J528" t="n">
        <v>0</v>
      </c>
      <c r="K528" t="n">
        <v>0</v>
      </c>
      <c r="L528" t="n">
        <v>0</v>
      </c>
      <c r="M528" t="n">
        <v>0</v>
      </c>
      <c r="N528" t="n">
        <v>0</v>
      </c>
      <c r="O528" t="n">
        <v>0</v>
      </c>
      <c r="P528" t="n">
        <v>0</v>
      </c>
      <c r="Q528" t="n">
        <v>0</v>
      </c>
      <c r="R528" s="2" t="inlineStr"/>
    </row>
    <row r="529" ht="15" customHeight="1">
      <c r="A529" t="inlineStr">
        <is>
          <t>A 18665-2022</t>
        </is>
      </c>
      <c r="B529" s="1" t="n">
        <v>44687</v>
      </c>
      <c r="C529" s="1" t="n">
        <v>45910</v>
      </c>
      <c r="D529" t="inlineStr">
        <is>
          <t>STOCKHOLMS LÄN</t>
        </is>
      </c>
      <c r="E529" t="inlineStr">
        <is>
          <t>NORRTÄLJE</t>
        </is>
      </c>
      <c r="F529" t="inlineStr">
        <is>
          <t>Kyrkan</t>
        </is>
      </c>
      <c r="G529" t="n">
        <v>1.1</v>
      </c>
      <c r="H529" t="n">
        <v>0</v>
      </c>
      <c r="I529" t="n">
        <v>0</v>
      </c>
      <c r="J529" t="n">
        <v>0</v>
      </c>
      <c r="K529" t="n">
        <v>0</v>
      </c>
      <c r="L529" t="n">
        <v>0</v>
      </c>
      <c r="M529" t="n">
        <v>0</v>
      </c>
      <c r="N529" t="n">
        <v>0</v>
      </c>
      <c r="O529" t="n">
        <v>0</v>
      </c>
      <c r="P529" t="n">
        <v>0</v>
      </c>
      <c r="Q529" t="n">
        <v>0</v>
      </c>
      <c r="R529" s="2" t="inlineStr"/>
    </row>
    <row r="530" ht="15" customHeight="1">
      <c r="A530" t="inlineStr">
        <is>
          <t>A 53561-2023</t>
        </is>
      </c>
      <c r="B530" s="1" t="n">
        <v>45224</v>
      </c>
      <c r="C530" s="1" t="n">
        <v>45910</v>
      </c>
      <c r="D530" t="inlineStr">
        <is>
          <t>STOCKHOLMS LÄN</t>
        </is>
      </c>
      <c r="E530" t="inlineStr">
        <is>
          <t>NORRTÄLJE</t>
        </is>
      </c>
      <c r="G530" t="n">
        <v>0.7</v>
      </c>
      <c r="H530" t="n">
        <v>0</v>
      </c>
      <c r="I530" t="n">
        <v>0</v>
      </c>
      <c r="J530" t="n">
        <v>0</v>
      </c>
      <c r="K530" t="n">
        <v>0</v>
      </c>
      <c r="L530" t="n">
        <v>0</v>
      </c>
      <c r="M530" t="n">
        <v>0</v>
      </c>
      <c r="N530" t="n">
        <v>0</v>
      </c>
      <c r="O530" t="n">
        <v>0</v>
      </c>
      <c r="P530" t="n">
        <v>0</v>
      </c>
      <c r="Q530" t="n">
        <v>0</v>
      </c>
      <c r="R530" s="2" t="inlineStr"/>
    </row>
    <row r="531" ht="15" customHeight="1">
      <c r="A531" t="inlineStr">
        <is>
          <t>A 58302-2022</t>
        </is>
      </c>
      <c r="B531" s="1" t="n">
        <v>44901</v>
      </c>
      <c r="C531" s="1" t="n">
        <v>45910</v>
      </c>
      <c r="D531" t="inlineStr">
        <is>
          <t>STOCKHOLMS LÄN</t>
        </is>
      </c>
      <c r="E531" t="inlineStr">
        <is>
          <t>NORRTÄLJE</t>
        </is>
      </c>
      <c r="G531" t="n">
        <v>3.9</v>
      </c>
      <c r="H531" t="n">
        <v>0</v>
      </c>
      <c r="I531" t="n">
        <v>0</v>
      </c>
      <c r="J531" t="n">
        <v>0</v>
      </c>
      <c r="K531" t="n">
        <v>0</v>
      </c>
      <c r="L531" t="n">
        <v>0</v>
      </c>
      <c r="M531" t="n">
        <v>0</v>
      </c>
      <c r="N531" t="n">
        <v>0</v>
      </c>
      <c r="O531" t="n">
        <v>0</v>
      </c>
      <c r="P531" t="n">
        <v>0</v>
      </c>
      <c r="Q531" t="n">
        <v>0</v>
      </c>
      <c r="R531" s="2" t="inlineStr"/>
    </row>
    <row r="532" ht="15" customHeight="1">
      <c r="A532" t="inlineStr">
        <is>
          <t>A 38591-2023</t>
        </is>
      </c>
      <c r="B532" s="1" t="n">
        <v>45162</v>
      </c>
      <c r="C532" s="1" t="n">
        <v>45910</v>
      </c>
      <c r="D532" t="inlineStr">
        <is>
          <t>STOCKHOLMS LÄN</t>
        </is>
      </c>
      <c r="E532" t="inlineStr">
        <is>
          <t>NORRTÄLJE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30338-2022</t>
        </is>
      </c>
      <c r="B533" s="1" t="n">
        <v>44760</v>
      </c>
      <c r="C533" s="1" t="n">
        <v>45910</v>
      </c>
      <c r="D533" t="inlineStr">
        <is>
          <t>STOCKHOLMS LÄN</t>
        </is>
      </c>
      <c r="E533" t="inlineStr">
        <is>
          <t>NORRTÄLJE</t>
        </is>
      </c>
      <c r="G533" t="n">
        <v>0.3</v>
      </c>
      <c r="H533" t="n">
        <v>0</v>
      </c>
      <c r="I533" t="n">
        <v>0</v>
      </c>
      <c r="J533" t="n">
        <v>0</v>
      </c>
      <c r="K533" t="n">
        <v>0</v>
      </c>
      <c r="L533" t="n">
        <v>0</v>
      </c>
      <c r="M533" t="n">
        <v>0</v>
      </c>
      <c r="N533" t="n">
        <v>0</v>
      </c>
      <c r="O533" t="n">
        <v>0</v>
      </c>
      <c r="P533" t="n">
        <v>0</v>
      </c>
      <c r="Q533" t="n">
        <v>0</v>
      </c>
      <c r="R533" s="2" t="inlineStr"/>
    </row>
    <row r="534" ht="15" customHeight="1">
      <c r="A534" t="inlineStr">
        <is>
          <t>A 55890-2020</t>
        </is>
      </c>
      <c r="B534" s="1" t="n">
        <v>44132</v>
      </c>
      <c r="C534" s="1" t="n">
        <v>45910</v>
      </c>
      <c r="D534" t="inlineStr">
        <is>
          <t>STOCKHOLMS LÄN</t>
        </is>
      </c>
      <c r="E534" t="inlineStr">
        <is>
          <t>NORRTÄLJE</t>
        </is>
      </c>
      <c r="G534" t="n">
        <v>1.2</v>
      </c>
      <c r="H534" t="n">
        <v>0</v>
      </c>
      <c r="I534" t="n">
        <v>0</v>
      </c>
      <c r="J534" t="n">
        <v>0</v>
      </c>
      <c r="K534" t="n">
        <v>0</v>
      </c>
      <c r="L534" t="n">
        <v>0</v>
      </c>
      <c r="M534" t="n">
        <v>0</v>
      </c>
      <c r="N534" t="n">
        <v>0</v>
      </c>
      <c r="O534" t="n">
        <v>0</v>
      </c>
      <c r="P534" t="n">
        <v>0</v>
      </c>
      <c r="Q534" t="n">
        <v>0</v>
      </c>
      <c r="R534" s="2" t="inlineStr"/>
    </row>
    <row r="535" ht="15" customHeight="1">
      <c r="A535" t="inlineStr">
        <is>
          <t>A 2888-2022</t>
        </is>
      </c>
      <c r="B535" s="1" t="n">
        <v>44581</v>
      </c>
      <c r="C535" s="1" t="n">
        <v>45910</v>
      </c>
      <c r="D535" t="inlineStr">
        <is>
          <t>STOCKHOLMS LÄN</t>
        </is>
      </c>
      <c r="E535" t="inlineStr">
        <is>
          <t>NORRTÄLJE</t>
        </is>
      </c>
      <c r="G535" t="n">
        <v>2.4</v>
      </c>
      <c r="H535" t="n">
        <v>0</v>
      </c>
      <c r="I535" t="n">
        <v>0</v>
      </c>
      <c r="J535" t="n">
        <v>0</v>
      </c>
      <c r="K535" t="n">
        <v>0</v>
      </c>
      <c r="L535" t="n">
        <v>0</v>
      </c>
      <c r="M535" t="n">
        <v>0</v>
      </c>
      <c r="N535" t="n">
        <v>0</v>
      </c>
      <c r="O535" t="n">
        <v>0</v>
      </c>
      <c r="P535" t="n">
        <v>0</v>
      </c>
      <c r="Q535" t="n">
        <v>0</v>
      </c>
      <c r="R535" s="2" t="inlineStr"/>
    </row>
    <row r="536" ht="15" customHeight="1">
      <c r="A536" t="inlineStr">
        <is>
          <t>A 26051-2025</t>
        </is>
      </c>
      <c r="B536" s="1" t="n">
        <v>45804.74479166666</v>
      </c>
      <c r="C536" s="1" t="n">
        <v>45910</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52686-2024</t>
        </is>
      </c>
      <c r="B537" s="1" t="n">
        <v>45610.39271990741</v>
      </c>
      <c r="C537" s="1" t="n">
        <v>45910</v>
      </c>
      <c r="D537" t="inlineStr">
        <is>
          <t>STOCKHOLMS LÄN</t>
        </is>
      </c>
      <c r="E537" t="inlineStr">
        <is>
          <t>NORRTÄLJE</t>
        </is>
      </c>
      <c r="G537" t="n">
        <v>5.7</v>
      </c>
      <c r="H537" t="n">
        <v>0</v>
      </c>
      <c r="I537" t="n">
        <v>0</v>
      </c>
      <c r="J537" t="n">
        <v>0</v>
      </c>
      <c r="K537" t="n">
        <v>0</v>
      </c>
      <c r="L537" t="n">
        <v>0</v>
      </c>
      <c r="M537" t="n">
        <v>0</v>
      </c>
      <c r="N537" t="n">
        <v>0</v>
      </c>
      <c r="O537" t="n">
        <v>0</v>
      </c>
      <c r="P537" t="n">
        <v>0</v>
      </c>
      <c r="Q537" t="n">
        <v>0</v>
      </c>
      <c r="R537" s="2" t="inlineStr"/>
    </row>
    <row r="538" ht="15" customHeight="1">
      <c r="A538" t="inlineStr">
        <is>
          <t>A 63824-2020</t>
        </is>
      </c>
      <c r="B538" s="1" t="n">
        <v>44162</v>
      </c>
      <c r="C538" s="1" t="n">
        <v>45910</v>
      </c>
      <c r="D538" t="inlineStr">
        <is>
          <t>STOCKHOLMS LÄN</t>
        </is>
      </c>
      <c r="E538" t="inlineStr">
        <is>
          <t>NORRTÄLJE</t>
        </is>
      </c>
      <c r="F538" t="inlineStr">
        <is>
          <t>Övriga Aktiebolag</t>
        </is>
      </c>
      <c r="G538" t="n">
        <v>1.9</v>
      </c>
      <c r="H538" t="n">
        <v>0</v>
      </c>
      <c r="I538" t="n">
        <v>0</v>
      </c>
      <c r="J538" t="n">
        <v>0</v>
      </c>
      <c r="K538" t="n">
        <v>0</v>
      </c>
      <c r="L538" t="n">
        <v>0</v>
      </c>
      <c r="M538" t="n">
        <v>0</v>
      </c>
      <c r="N538" t="n">
        <v>0</v>
      </c>
      <c r="O538" t="n">
        <v>0</v>
      </c>
      <c r="P538" t="n">
        <v>0</v>
      </c>
      <c r="Q538" t="n">
        <v>0</v>
      </c>
      <c r="R538" s="2" t="inlineStr"/>
    </row>
    <row r="539" ht="15" customHeight="1">
      <c r="A539" t="inlineStr">
        <is>
          <t>A 20343-2024</t>
        </is>
      </c>
      <c r="B539" s="1" t="n">
        <v>45435.43466435185</v>
      </c>
      <c r="C539" s="1" t="n">
        <v>45910</v>
      </c>
      <c r="D539" t="inlineStr">
        <is>
          <t>STOCKHOLMS LÄN</t>
        </is>
      </c>
      <c r="E539" t="inlineStr">
        <is>
          <t>NORRTÄLJE</t>
        </is>
      </c>
      <c r="G539" t="n">
        <v>2.8</v>
      </c>
      <c r="H539" t="n">
        <v>0</v>
      </c>
      <c r="I539" t="n">
        <v>0</v>
      </c>
      <c r="J539" t="n">
        <v>0</v>
      </c>
      <c r="K539" t="n">
        <v>0</v>
      </c>
      <c r="L539" t="n">
        <v>0</v>
      </c>
      <c r="M539" t="n">
        <v>0</v>
      </c>
      <c r="N539" t="n">
        <v>0</v>
      </c>
      <c r="O539" t="n">
        <v>0</v>
      </c>
      <c r="P539" t="n">
        <v>0</v>
      </c>
      <c r="Q539" t="n">
        <v>0</v>
      </c>
      <c r="R539" s="2" t="inlineStr"/>
    </row>
    <row r="540" ht="15" customHeight="1">
      <c r="A540" t="inlineStr">
        <is>
          <t>A 20345-2024</t>
        </is>
      </c>
      <c r="B540" s="1" t="n">
        <v>45435.43820601852</v>
      </c>
      <c r="C540" s="1" t="n">
        <v>45910</v>
      </c>
      <c r="D540" t="inlineStr">
        <is>
          <t>STOCKHOLMS LÄN</t>
        </is>
      </c>
      <c r="E540" t="inlineStr">
        <is>
          <t>NORRTÄLJE</t>
        </is>
      </c>
      <c r="G540" t="n">
        <v>3.8</v>
      </c>
      <c r="H540" t="n">
        <v>0</v>
      </c>
      <c r="I540" t="n">
        <v>0</v>
      </c>
      <c r="J540" t="n">
        <v>0</v>
      </c>
      <c r="K540" t="n">
        <v>0</v>
      </c>
      <c r="L540" t="n">
        <v>0</v>
      </c>
      <c r="M540" t="n">
        <v>0</v>
      </c>
      <c r="N540" t="n">
        <v>0</v>
      </c>
      <c r="O540" t="n">
        <v>0</v>
      </c>
      <c r="P540" t="n">
        <v>0</v>
      </c>
      <c r="Q540" t="n">
        <v>0</v>
      </c>
      <c r="R540" s="2" t="inlineStr"/>
    </row>
    <row r="541" ht="15" customHeight="1">
      <c r="A541" t="inlineStr">
        <is>
          <t>A 9765-2024</t>
        </is>
      </c>
      <c r="B541" s="1" t="n">
        <v>45362.62811342593</v>
      </c>
      <c r="C541" s="1" t="n">
        <v>45910</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29369-2024</t>
        </is>
      </c>
      <c r="B542" s="1" t="n">
        <v>45483.57244212963</v>
      </c>
      <c r="C542" s="1" t="n">
        <v>45910</v>
      </c>
      <c r="D542" t="inlineStr">
        <is>
          <t>STOCKHOLMS LÄN</t>
        </is>
      </c>
      <c r="E542" t="inlineStr">
        <is>
          <t>NORRTÄLJE</t>
        </is>
      </c>
      <c r="G542" t="n">
        <v>15.9</v>
      </c>
      <c r="H542" t="n">
        <v>0</v>
      </c>
      <c r="I542" t="n">
        <v>0</v>
      </c>
      <c r="J542" t="n">
        <v>0</v>
      </c>
      <c r="K542" t="n">
        <v>0</v>
      </c>
      <c r="L542" t="n">
        <v>0</v>
      </c>
      <c r="M542" t="n">
        <v>0</v>
      </c>
      <c r="N542" t="n">
        <v>0</v>
      </c>
      <c r="O542" t="n">
        <v>0</v>
      </c>
      <c r="P542" t="n">
        <v>0</v>
      </c>
      <c r="Q542" t="n">
        <v>0</v>
      </c>
      <c r="R542" s="2" t="inlineStr"/>
    </row>
    <row r="543" ht="15" customHeight="1">
      <c r="A543" t="inlineStr">
        <is>
          <t>A 17382-2024</t>
        </is>
      </c>
      <c r="B543" s="1" t="n">
        <v>45414.65855324074</v>
      </c>
      <c r="C543" s="1" t="n">
        <v>45910</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35691-2023</t>
        </is>
      </c>
      <c r="B544" s="1" t="n">
        <v>45147.65222222222</v>
      </c>
      <c r="C544" s="1" t="n">
        <v>45910</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35693-2023</t>
        </is>
      </c>
      <c r="B545" s="1" t="n">
        <v>45147.65311342593</v>
      </c>
      <c r="C545" s="1" t="n">
        <v>45910</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6070-2022</t>
        </is>
      </c>
      <c r="B546" s="1" t="n">
        <v>44599.58428240741</v>
      </c>
      <c r="C546" s="1" t="n">
        <v>45910</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17039-2024</t>
        </is>
      </c>
      <c r="B547" s="1" t="n">
        <v>45412.4104050926</v>
      </c>
      <c r="C547" s="1" t="n">
        <v>45910</v>
      </c>
      <c r="D547" t="inlineStr">
        <is>
          <t>STOCKHOLMS LÄN</t>
        </is>
      </c>
      <c r="E547" t="inlineStr">
        <is>
          <t>NORRTÄLJE</t>
        </is>
      </c>
      <c r="G547" t="n">
        <v>5.9</v>
      </c>
      <c r="H547" t="n">
        <v>0</v>
      </c>
      <c r="I547" t="n">
        <v>0</v>
      </c>
      <c r="J547" t="n">
        <v>0</v>
      </c>
      <c r="K547" t="n">
        <v>0</v>
      </c>
      <c r="L547" t="n">
        <v>0</v>
      </c>
      <c r="M547" t="n">
        <v>0</v>
      </c>
      <c r="N547" t="n">
        <v>0</v>
      </c>
      <c r="O547" t="n">
        <v>0</v>
      </c>
      <c r="P547" t="n">
        <v>0</v>
      </c>
      <c r="Q547" t="n">
        <v>0</v>
      </c>
      <c r="R547" s="2" t="inlineStr"/>
    </row>
    <row r="548" ht="15" customHeight="1">
      <c r="A548" t="inlineStr">
        <is>
          <t>A 59875-2024</t>
        </is>
      </c>
      <c r="B548" s="1" t="n">
        <v>45640.58716435185</v>
      </c>
      <c r="C548" s="1" t="n">
        <v>45910</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57216-2020</t>
        </is>
      </c>
      <c r="B549" s="1" t="n">
        <v>44139.54078703704</v>
      </c>
      <c r="C549" s="1" t="n">
        <v>45910</v>
      </c>
      <c r="D549" t="inlineStr">
        <is>
          <t>STOCKHOLMS LÄN</t>
        </is>
      </c>
      <c r="E549" t="inlineStr">
        <is>
          <t>NORRTÄLJE</t>
        </is>
      </c>
      <c r="G549" t="n">
        <v>0.8</v>
      </c>
      <c r="H549" t="n">
        <v>0</v>
      </c>
      <c r="I549" t="n">
        <v>0</v>
      </c>
      <c r="J549" t="n">
        <v>0</v>
      </c>
      <c r="K549" t="n">
        <v>0</v>
      </c>
      <c r="L549" t="n">
        <v>0</v>
      </c>
      <c r="M549" t="n">
        <v>0</v>
      </c>
      <c r="N549" t="n">
        <v>0</v>
      </c>
      <c r="O549" t="n">
        <v>0</v>
      </c>
      <c r="P549" t="n">
        <v>0</v>
      </c>
      <c r="Q549" t="n">
        <v>0</v>
      </c>
      <c r="R549" s="2" t="inlineStr"/>
    </row>
    <row r="550" ht="15" customHeight="1">
      <c r="A550" t="inlineStr">
        <is>
          <t>A 11-2024</t>
        </is>
      </c>
      <c r="B550" s="1" t="n">
        <v>45293</v>
      </c>
      <c r="C550" s="1" t="n">
        <v>45910</v>
      </c>
      <c r="D550" t="inlineStr">
        <is>
          <t>STOCKHOLMS LÄN</t>
        </is>
      </c>
      <c r="E550" t="inlineStr">
        <is>
          <t>NORRTÄLJE</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14559-2024</t>
        </is>
      </c>
      <c r="B551" s="1" t="n">
        <v>45394.72869212963</v>
      </c>
      <c r="C551" s="1" t="n">
        <v>45910</v>
      </c>
      <c r="D551" t="inlineStr">
        <is>
          <t>STOCKHOLMS LÄN</t>
        </is>
      </c>
      <c r="E551" t="inlineStr">
        <is>
          <t>NORRTÄLJE</t>
        </is>
      </c>
      <c r="G551" t="n">
        <v>4.2</v>
      </c>
      <c r="H551" t="n">
        <v>0</v>
      </c>
      <c r="I551" t="n">
        <v>0</v>
      </c>
      <c r="J551" t="n">
        <v>0</v>
      </c>
      <c r="K551" t="n">
        <v>0</v>
      </c>
      <c r="L551" t="n">
        <v>0</v>
      </c>
      <c r="M551" t="n">
        <v>0</v>
      </c>
      <c r="N551" t="n">
        <v>0</v>
      </c>
      <c r="O551" t="n">
        <v>0</v>
      </c>
      <c r="P551" t="n">
        <v>0</v>
      </c>
      <c r="Q551" t="n">
        <v>0</v>
      </c>
      <c r="R551" s="2" t="inlineStr"/>
    </row>
    <row r="552" ht="15" customHeight="1">
      <c r="A552" t="inlineStr">
        <is>
          <t>A 48180-2023</t>
        </is>
      </c>
      <c r="B552" s="1" t="n">
        <v>45205</v>
      </c>
      <c r="C552" s="1" t="n">
        <v>45910</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45910</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35695-2023</t>
        </is>
      </c>
      <c r="B554" s="1" t="n">
        <v>45147.65407407407</v>
      </c>
      <c r="C554" s="1" t="n">
        <v>45910</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45173-2023</t>
        </is>
      </c>
      <c r="B555" s="1" t="n">
        <v>45191</v>
      </c>
      <c r="C555" s="1" t="n">
        <v>45910</v>
      </c>
      <c r="D555" t="inlineStr">
        <is>
          <t>STOCKHOLMS LÄN</t>
        </is>
      </c>
      <c r="E555" t="inlineStr">
        <is>
          <t>NORRTÄLJE</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25525-2022</t>
        </is>
      </c>
      <c r="B556" s="1" t="n">
        <v>44732</v>
      </c>
      <c r="C556" s="1" t="n">
        <v>45910</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12302-2025</t>
        </is>
      </c>
      <c r="B557" s="1" t="n">
        <v>45729.72851851852</v>
      </c>
      <c r="C557" s="1" t="n">
        <v>45910</v>
      </c>
      <c r="D557" t="inlineStr">
        <is>
          <t>STOCKHOLMS LÄN</t>
        </is>
      </c>
      <c r="E557" t="inlineStr">
        <is>
          <t>NORRTÄLJE</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38889-2024</t>
        </is>
      </c>
      <c r="B558" s="1" t="n">
        <v>45547</v>
      </c>
      <c r="C558" s="1" t="n">
        <v>45910</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24705-2023</t>
        </is>
      </c>
      <c r="B559" s="1" t="n">
        <v>45084.54459490741</v>
      </c>
      <c r="C559" s="1" t="n">
        <v>45910</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45451-2024</t>
        </is>
      </c>
      <c r="B560" s="1" t="n">
        <v>45576</v>
      </c>
      <c r="C560" s="1" t="n">
        <v>45910</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26708-2025</t>
        </is>
      </c>
      <c r="B561" s="1" t="n">
        <v>45810.45633101852</v>
      </c>
      <c r="C561" s="1" t="n">
        <v>45910</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21696-2024</t>
        </is>
      </c>
      <c r="B562" s="1" t="n">
        <v>45442.45686342593</v>
      </c>
      <c r="C562" s="1" t="n">
        <v>45910</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56166-2020</t>
        </is>
      </c>
      <c r="B563" s="1" t="n">
        <v>44133</v>
      </c>
      <c r="C563" s="1" t="n">
        <v>45910</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67990-2021</t>
        </is>
      </c>
      <c r="B564" s="1" t="n">
        <v>44525</v>
      </c>
      <c r="C564" s="1" t="n">
        <v>45910</v>
      </c>
      <c r="D564" t="inlineStr">
        <is>
          <t>STOCKHOLMS LÄN</t>
        </is>
      </c>
      <c r="E564" t="inlineStr">
        <is>
          <t>NORRTÄLJE</t>
        </is>
      </c>
      <c r="F564" t="inlineStr">
        <is>
          <t>Sveaskog</t>
        </is>
      </c>
      <c r="G564" t="n">
        <v>7.8</v>
      </c>
      <c r="H564" t="n">
        <v>0</v>
      </c>
      <c r="I564" t="n">
        <v>0</v>
      </c>
      <c r="J564" t="n">
        <v>0</v>
      </c>
      <c r="K564" t="n">
        <v>0</v>
      </c>
      <c r="L564" t="n">
        <v>0</v>
      </c>
      <c r="M564" t="n">
        <v>0</v>
      </c>
      <c r="N564" t="n">
        <v>0</v>
      </c>
      <c r="O564" t="n">
        <v>0</v>
      </c>
      <c r="P564" t="n">
        <v>0</v>
      </c>
      <c r="Q564" t="n">
        <v>0</v>
      </c>
      <c r="R564" s="2" t="inlineStr"/>
    </row>
    <row r="565" ht="15" customHeight="1">
      <c r="A565" t="inlineStr">
        <is>
          <t>A 50738-2020</t>
        </is>
      </c>
      <c r="B565" s="1" t="n">
        <v>44111.44373842593</v>
      </c>
      <c r="C565" s="1" t="n">
        <v>45910</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71552-2021</t>
        </is>
      </c>
      <c r="B566" s="1" t="n">
        <v>44540</v>
      </c>
      <c r="C566" s="1" t="n">
        <v>45910</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26702-2025</t>
        </is>
      </c>
      <c r="B567" s="1" t="n">
        <v>45810.45236111111</v>
      </c>
      <c r="C567" s="1" t="n">
        <v>45910</v>
      </c>
      <c r="D567" t="inlineStr">
        <is>
          <t>STOCKHOLMS LÄN</t>
        </is>
      </c>
      <c r="E567" t="inlineStr">
        <is>
          <t>NORRTÄLJE</t>
        </is>
      </c>
      <c r="G567" t="n">
        <v>7.3</v>
      </c>
      <c r="H567" t="n">
        <v>0</v>
      </c>
      <c r="I567" t="n">
        <v>0</v>
      </c>
      <c r="J567" t="n">
        <v>0</v>
      </c>
      <c r="K567" t="n">
        <v>0</v>
      </c>
      <c r="L567" t="n">
        <v>0</v>
      </c>
      <c r="M567" t="n">
        <v>0</v>
      </c>
      <c r="N567" t="n">
        <v>0</v>
      </c>
      <c r="O567" t="n">
        <v>0</v>
      </c>
      <c r="P567" t="n">
        <v>0</v>
      </c>
      <c r="Q567" t="n">
        <v>0</v>
      </c>
      <c r="R567" s="2" t="inlineStr"/>
    </row>
    <row r="568" ht="15" customHeight="1">
      <c r="A568" t="inlineStr">
        <is>
          <t>A 26703-2025</t>
        </is>
      </c>
      <c r="B568" s="1" t="n">
        <v>45810.45263888889</v>
      </c>
      <c r="C568" s="1" t="n">
        <v>45910</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73992-2021</t>
        </is>
      </c>
      <c r="B569" s="1" t="n">
        <v>44556</v>
      </c>
      <c r="C569" s="1" t="n">
        <v>45910</v>
      </c>
      <c r="D569" t="inlineStr">
        <is>
          <t>STOCKHOLMS LÄN</t>
        </is>
      </c>
      <c r="E569" t="inlineStr">
        <is>
          <t>NORRTÄLJE</t>
        </is>
      </c>
      <c r="G569" t="n">
        <v>12.5</v>
      </c>
      <c r="H569" t="n">
        <v>0</v>
      </c>
      <c r="I569" t="n">
        <v>0</v>
      </c>
      <c r="J569" t="n">
        <v>0</v>
      </c>
      <c r="K569" t="n">
        <v>0</v>
      </c>
      <c r="L569" t="n">
        <v>0</v>
      </c>
      <c r="M569" t="n">
        <v>0</v>
      </c>
      <c r="N569" t="n">
        <v>0</v>
      </c>
      <c r="O569" t="n">
        <v>0</v>
      </c>
      <c r="P569" t="n">
        <v>0</v>
      </c>
      <c r="Q569" t="n">
        <v>0</v>
      </c>
      <c r="R569" s="2" t="inlineStr"/>
    </row>
    <row r="570" ht="15" customHeight="1">
      <c r="A570" t="inlineStr">
        <is>
          <t>A 23061-2025</t>
        </is>
      </c>
      <c r="B570" s="1" t="n">
        <v>45790.81410879629</v>
      </c>
      <c r="C570" s="1" t="n">
        <v>45910</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27040-2025</t>
        </is>
      </c>
      <c r="B571" s="1" t="n">
        <v>45811.60451388889</v>
      </c>
      <c r="C571" s="1" t="n">
        <v>45910</v>
      </c>
      <c r="D571" t="inlineStr">
        <is>
          <t>STOCKHOLMS LÄN</t>
        </is>
      </c>
      <c r="E571" t="inlineStr">
        <is>
          <t>NORRTÄLJE</t>
        </is>
      </c>
      <c r="G571" t="n">
        <v>4.3</v>
      </c>
      <c r="H571" t="n">
        <v>0</v>
      </c>
      <c r="I571" t="n">
        <v>0</v>
      </c>
      <c r="J571" t="n">
        <v>0</v>
      </c>
      <c r="K571" t="n">
        <v>0</v>
      </c>
      <c r="L571" t="n">
        <v>0</v>
      </c>
      <c r="M571" t="n">
        <v>0</v>
      </c>
      <c r="N571" t="n">
        <v>0</v>
      </c>
      <c r="O571" t="n">
        <v>0</v>
      </c>
      <c r="P571" t="n">
        <v>0</v>
      </c>
      <c r="Q571" t="n">
        <v>0</v>
      </c>
      <c r="R571" s="2" t="inlineStr"/>
    </row>
    <row r="572" ht="15" customHeight="1">
      <c r="A572" t="inlineStr">
        <is>
          <t>A 26644-2024</t>
        </is>
      </c>
      <c r="B572" s="1" t="n">
        <v>45469</v>
      </c>
      <c r="C572" s="1" t="n">
        <v>45910</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26747-2025</t>
        </is>
      </c>
      <c r="B573" s="1" t="n">
        <v>45810.5333912037</v>
      </c>
      <c r="C573" s="1" t="n">
        <v>45910</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26113-2024</t>
        </is>
      </c>
      <c r="B574" s="1" t="n">
        <v>45468.45541666666</v>
      </c>
      <c r="C574" s="1" t="n">
        <v>45910</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26116-2024</t>
        </is>
      </c>
      <c r="B575" s="1" t="n">
        <v>45468.45747685185</v>
      </c>
      <c r="C575" s="1" t="n">
        <v>45910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15978-2024</t>
        </is>
      </c>
      <c r="B576" s="1" t="n">
        <v>45405.57927083333</v>
      </c>
      <c r="C576" s="1" t="n">
        <v>45910</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11333-2025</t>
        </is>
      </c>
      <c r="B577" s="1" t="n">
        <v>45726.48377314815</v>
      </c>
      <c r="C577" s="1" t="n">
        <v>45910</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2982-2023</t>
        </is>
      </c>
      <c r="B578" s="1" t="n">
        <v>44945.67409722223</v>
      </c>
      <c r="C578" s="1" t="n">
        <v>45910</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12535-2025</t>
        </is>
      </c>
      <c r="B579" s="1" t="n">
        <v>45730.69502314815</v>
      </c>
      <c r="C579" s="1" t="n">
        <v>45910</v>
      </c>
      <c r="D579" t="inlineStr">
        <is>
          <t>STOCKHOLMS LÄN</t>
        </is>
      </c>
      <c r="E579" t="inlineStr">
        <is>
          <t>NORRTÄLJE</t>
        </is>
      </c>
      <c r="G579" t="n">
        <v>7.1</v>
      </c>
      <c r="H579" t="n">
        <v>0</v>
      </c>
      <c r="I579" t="n">
        <v>0</v>
      </c>
      <c r="J579" t="n">
        <v>0</v>
      </c>
      <c r="K579" t="n">
        <v>0</v>
      </c>
      <c r="L579" t="n">
        <v>0</v>
      </c>
      <c r="M579" t="n">
        <v>0</v>
      </c>
      <c r="N579" t="n">
        <v>0</v>
      </c>
      <c r="O579" t="n">
        <v>0</v>
      </c>
      <c r="P579" t="n">
        <v>0</v>
      </c>
      <c r="Q579" t="n">
        <v>0</v>
      </c>
      <c r="R579" s="2" t="inlineStr"/>
    </row>
    <row r="580" ht="15" customHeight="1">
      <c r="A580" t="inlineStr">
        <is>
          <t>A 37136-2023</t>
        </is>
      </c>
      <c r="B580" s="1" t="n">
        <v>45155</v>
      </c>
      <c r="C580" s="1" t="n">
        <v>45910</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18787-2022</t>
        </is>
      </c>
      <c r="B581" s="1" t="n">
        <v>44687</v>
      </c>
      <c r="C581" s="1" t="n">
        <v>45910</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13718-2022</t>
        </is>
      </c>
      <c r="B582" s="1" t="n">
        <v>44649</v>
      </c>
      <c r="C582" s="1" t="n">
        <v>45910</v>
      </c>
      <c r="D582" t="inlineStr">
        <is>
          <t>STOCKHOLMS LÄN</t>
        </is>
      </c>
      <c r="E582" t="inlineStr">
        <is>
          <t>NORRTÄLJE</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25621-2022</t>
        </is>
      </c>
      <c r="B583" s="1" t="n">
        <v>44732</v>
      </c>
      <c r="C583" s="1" t="n">
        <v>45910</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34391-2023</t>
        </is>
      </c>
      <c r="B584" s="1" t="n">
        <v>45139.51457175926</v>
      </c>
      <c r="C584" s="1" t="n">
        <v>45910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36269-2022</t>
        </is>
      </c>
      <c r="B585" s="1" t="n">
        <v>44803</v>
      </c>
      <c r="C585" s="1" t="n">
        <v>45910</v>
      </c>
      <c r="D585" t="inlineStr">
        <is>
          <t>STOCKHOLMS LÄN</t>
        </is>
      </c>
      <c r="E585" t="inlineStr">
        <is>
          <t>NORRTÄLJE</t>
        </is>
      </c>
      <c r="G585" t="n">
        <v>2.3</v>
      </c>
      <c r="H585" t="n">
        <v>0</v>
      </c>
      <c r="I585" t="n">
        <v>0</v>
      </c>
      <c r="J585" t="n">
        <v>0</v>
      </c>
      <c r="K585" t="n">
        <v>0</v>
      </c>
      <c r="L585" t="n">
        <v>0</v>
      </c>
      <c r="M585" t="n">
        <v>0</v>
      </c>
      <c r="N585" t="n">
        <v>0</v>
      </c>
      <c r="O585" t="n">
        <v>0</v>
      </c>
      <c r="P585" t="n">
        <v>0</v>
      </c>
      <c r="Q585" t="n">
        <v>0</v>
      </c>
      <c r="R585" s="2" t="inlineStr"/>
    </row>
    <row r="586" ht="15" customHeight="1">
      <c r="A586" t="inlineStr">
        <is>
          <t>A 36308-2022</t>
        </is>
      </c>
      <c r="B586" s="1" t="n">
        <v>44803</v>
      </c>
      <c r="C586" s="1" t="n">
        <v>45910</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26675-2025</t>
        </is>
      </c>
      <c r="B587" s="1" t="n">
        <v>45810.42393518519</v>
      </c>
      <c r="C587" s="1" t="n">
        <v>45910</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27554-2025</t>
        </is>
      </c>
      <c r="B588" s="1" t="n">
        <v>45813.4709375</v>
      </c>
      <c r="C588" s="1" t="n">
        <v>45910</v>
      </c>
      <c r="D588" t="inlineStr">
        <is>
          <t>STOCKHOLMS LÄN</t>
        </is>
      </c>
      <c r="E588" t="inlineStr">
        <is>
          <t>NORRTÄLJE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6919-2025</t>
        </is>
      </c>
      <c r="B589" s="1" t="n">
        <v>45701.44372685185</v>
      </c>
      <c r="C589" s="1" t="n">
        <v>45910</v>
      </c>
      <c r="D589" t="inlineStr">
        <is>
          <t>STOCKHOLMS LÄN</t>
        </is>
      </c>
      <c r="E589" t="inlineStr">
        <is>
          <t>NORRTÄLJE</t>
        </is>
      </c>
      <c r="G589" t="n">
        <v>3.5</v>
      </c>
      <c r="H589" t="n">
        <v>0</v>
      </c>
      <c r="I589" t="n">
        <v>0</v>
      </c>
      <c r="J589" t="n">
        <v>0</v>
      </c>
      <c r="K589" t="n">
        <v>0</v>
      </c>
      <c r="L589" t="n">
        <v>0</v>
      </c>
      <c r="M589" t="n">
        <v>0</v>
      </c>
      <c r="N589" t="n">
        <v>0</v>
      </c>
      <c r="O589" t="n">
        <v>0</v>
      </c>
      <c r="P589" t="n">
        <v>0</v>
      </c>
      <c r="Q589" t="n">
        <v>0</v>
      </c>
      <c r="R589" s="2" t="inlineStr"/>
    </row>
    <row r="590" ht="15" customHeight="1">
      <c r="A590" t="inlineStr">
        <is>
          <t>A 32100-2022</t>
        </is>
      </c>
      <c r="B590" s="1" t="n">
        <v>44778</v>
      </c>
      <c r="C590" s="1" t="n">
        <v>45910</v>
      </c>
      <c r="D590" t="inlineStr">
        <is>
          <t>STOCKHOLMS LÄN</t>
        </is>
      </c>
      <c r="E590" t="inlineStr">
        <is>
          <t>NORRTÄLJE</t>
        </is>
      </c>
      <c r="G590" t="n">
        <v>3.3</v>
      </c>
      <c r="H590" t="n">
        <v>0</v>
      </c>
      <c r="I590" t="n">
        <v>0</v>
      </c>
      <c r="J590" t="n">
        <v>0</v>
      </c>
      <c r="K590" t="n">
        <v>0</v>
      </c>
      <c r="L590" t="n">
        <v>0</v>
      </c>
      <c r="M590" t="n">
        <v>0</v>
      </c>
      <c r="N590" t="n">
        <v>0</v>
      </c>
      <c r="O590" t="n">
        <v>0</v>
      </c>
      <c r="P590" t="n">
        <v>0</v>
      </c>
      <c r="Q590" t="n">
        <v>0</v>
      </c>
      <c r="R590" s="2" t="inlineStr"/>
    </row>
    <row r="591" ht="15" customHeight="1">
      <c r="A591" t="inlineStr">
        <is>
          <t>A 27677-2025</t>
        </is>
      </c>
      <c r="B591" s="1" t="n">
        <v>45813.63650462963</v>
      </c>
      <c r="C591" s="1" t="n">
        <v>45910</v>
      </c>
      <c r="D591" t="inlineStr">
        <is>
          <t>STOCKHOLMS LÄN</t>
        </is>
      </c>
      <c r="E591" t="inlineStr">
        <is>
          <t>NORRTÄLJE</t>
        </is>
      </c>
      <c r="G591" t="n">
        <v>2</v>
      </c>
      <c r="H591" t="n">
        <v>0</v>
      </c>
      <c r="I591" t="n">
        <v>0</v>
      </c>
      <c r="J591" t="n">
        <v>0</v>
      </c>
      <c r="K591" t="n">
        <v>0</v>
      </c>
      <c r="L591" t="n">
        <v>0</v>
      </c>
      <c r="M591" t="n">
        <v>0</v>
      </c>
      <c r="N591" t="n">
        <v>0</v>
      </c>
      <c r="O591" t="n">
        <v>0</v>
      </c>
      <c r="P591" t="n">
        <v>0</v>
      </c>
      <c r="Q591" t="n">
        <v>0</v>
      </c>
      <c r="R591" s="2" t="inlineStr"/>
    </row>
    <row r="592" ht="15" customHeight="1">
      <c r="A592" t="inlineStr">
        <is>
          <t>A 67921-2021</t>
        </is>
      </c>
      <c r="B592" s="1" t="n">
        <v>44525</v>
      </c>
      <c r="C592" s="1" t="n">
        <v>45910</v>
      </c>
      <c r="D592" t="inlineStr">
        <is>
          <t>STOCKHOLMS LÄN</t>
        </is>
      </c>
      <c r="E592" t="inlineStr">
        <is>
          <t>NORRTÄLJE</t>
        </is>
      </c>
      <c r="G592" t="n">
        <v>6.3</v>
      </c>
      <c r="H592" t="n">
        <v>0</v>
      </c>
      <c r="I592" t="n">
        <v>0</v>
      </c>
      <c r="J592" t="n">
        <v>0</v>
      </c>
      <c r="K592" t="n">
        <v>0</v>
      </c>
      <c r="L592" t="n">
        <v>0</v>
      </c>
      <c r="M592" t="n">
        <v>0</v>
      </c>
      <c r="N592" t="n">
        <v>0</v>
      </c>
      <c r="O592" t="n">
        <v>0</v>
      </c>
      <c r="P592" t="n">
        <v>0</v>
      </c>
      <c r="Q592" t="n">
        <v>0</v>
      </c>
      <c r="R592" s="2" t="inlineStr"/>
    </row>
    <row r="593" ht="15" customHeight="1">
      <c r="A593" t="inlineStr">
        <is>
          <t>A 11332-2025</t>
        </is>
      </c>
      <c r="B593" s="1" t="n">
        <v>45726.48152777777</v>
      </c>
      <c r="C593" s="1" t="n">
        <v>45910</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25681-2024</t>
        </is>
      </c>
      <c r="B594" s="1" t="n">
        <v>45463.80486111111</v>
      </c>
      <c r="C594" s="1" t="n">
        <v>45910</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37444-2021</t>
        </is>
      </c>
      <c r="B595" s="1" t="n">
        <v>44398</v>
      </c>
      <c r="C595" s="1" t="n">
        <v>45910</v>
      </c>
      <c r="D595" t="inlineStr">
        <is>
          <t>STOCKHOLMS LÄN</t>
        </is>
      </c>
      <c r="E595" t="inlineStr">
        <is>
          <t>NORRTÄLJE</t>
        </is>
      </c>
      <c r="F595" t="inlineStr">
        <is>
          <t>Holmen skog AB</t>
        </is>
      </c>
      <c r="G595" t="n">
        <v>3.2</v>
      </c>
      <c r="H595" t="n">
        <v>0</v>
      </c>
      <c r="I595" t="n">
        <v>0</v>
      </c>
      <c r="J595" t="n">
        <v>0</v>
      </c>
      <c r="K595" t="n">
        <v>0</v>
      </c>
      <c r="L595" t="n">
        <v>0</v>
      </c>
      <c r="M595" t="n">
        <v>0</v>
      </c>
      <c r="N595" t="n">
        <v>0</v>
      </c>
      <c r="O595" t="n">
        <v>0</v>
      </c>
      <c r="P595" t="n">
        <v>0</v>
      </c>
      <c r="Q595" t="n">
        <v>0</v>
      </c>
      <c r="R595" s="2" t="inlineStr"/>
    </row>
    <row r="596" ht="15" customHeight="1">
      <c r="A596" t="inlineStr">
        <is>
          <t>A 30886-2022</t>
        </is>
      </c>
      <c r="B596" s="1" t="n">
        <v>44767.60601851852</v>
      </c>
      <c r="C596" s="1" t="n">
        <v>45910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27700-2025</t>
        </is>
      </c>
      <c r="B597" s="1" t="n">
        <v>45813.6799537037</v>
      </c>
      <c r="C597" s="1" t="n">
        <v>45910</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9654-2022</t>
        </is>
      </c>
      <c r="B598" s="1" t="n">
        <v>44617</v>
      </c>
      <c r="C598" s="1" t="n">
        <v>45910</v>
      </c>
      <c r="D598" t="inlineStr">
        <is>
          <t>STOCKHOLMS LÄN</t>
        </is>
      </c>
      <c r="E598" t="inlineStr">
        <is>
          <t>NORRTÄLJE</t>
        </is>
      </c>
      <c r="G598" t="n">
        <v>6.4</v>
      </c>
      <c r="H598" t="n">
        <v>0</v>
      </c>
      <c r="I598" t="n">
        <v>0</v>
      </c>
      <c r="J598" t="n">
        <v>0</v>
      </c>
      <c r="K598" t="n">
        <v>0</v>
      </c>
      <c r="L598" t="n">
        <v>0</v>
      </c>
      <c r="M598" t="n">
        <v>0</v>
      </c>
      <c r="N598" t="n">
        <v>0</v>
      </c>
      <c r="O598" t="n">
        <v>0</v>
      </c>
      <c r="P598" t="n">
        <v>0</v>
      </c>
      <c r="Q598" t="n">
        <v>0</v>
      </c>
      <c r="R598" s="2" t="inlineStr"/>
    </row>
    <row r="599" ht="15" customHeight="1">
      <c r="A599" t="inlineStr">
        <is>
          <t>A 27697-2025</t>
        </is>
      </c>
      <c r="B599" s="1" t="n">
        <v>45813.66961805556</v>
      </c>
      <c r="C599" s="1" t="n">
        <v>45910</v>
      </c>
      <c r="D599" t="inlineStr">
        <is>
          <t>STOCKHOLMS LÄN</t>
        </is>
      </c>
      <c r="E599" t="inlineStr">
        <is>
          <t>NORRTÄLJE</t>
        </is>
      </c>
      <c r="G599" t="n">
        <v>6.2</v>
      </c>
      <c r="H599" t="n">
        <v>0</v>
      </c>
      <c r="I599" t="n">
        <v>0</v>
      </c>
      <c r="J599" t="n">
        <v>0</v>
      </c>
      <c r="K599" t="n">
        <v>0</v>
      </c>
      <c r="L599" t="n">
        <v>0</v>
      </c>
      <c r="M599" t="n">
        <v>0</v>
      </c>
      <c r="N599" t="n">
        <v>0</v>
      </c>
      <c r="O599" t="n">
        <v>0</v>
      </c>
      <c r="P599" t="n">
        <v>0</v>
      </c>
      <c r="Q599" t="n">
        <v>0</v>
      </c>
      <c r="R599" s="2" t="inlineStr"/>
    </row>
    <row r="600" ht="15" customHeight="1">
      <c r="A600" t="inlineStr">
        <is>
          <t>A 57987-2020</t>
        </is>
      </c>
      <c r="B600" s="1" t="n">
        <v>44143</v>
      </c>
      <c r="C600" s="1" t="n">
        <v>45910</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58853-2024</t>
        </is>
      </c>
      <c r="B601" s="1" t="n">
        <v>45636.38974537037</v>
      </c>
      <c r="C601" s="1" t="n">
        <v>45910</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1453-2025</t>
        </is>
      </c>
      <c r="B602" s="1" t="n">
        <v>45670.3079050926</v>
      </c>
      <c r="C602" s="1" t="n">
        <v>45910</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27802-2025</t>
        </is>
      </c>
      <c r="B603" s="1" t="n">
        <v>45817.2565625</v>
      </c>
      <c r="C603" s="1" t="n">
        <v>45910</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27806-2025</t>
        </is>
      </c>
      <c r="B604" s="1" t="n">
        <v>45817.30329861111</v>
      </c>
      <c r="C604" s="1" t="n">
        <v>45910</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27808-2025</t>
        </is>
      </c>
      <c r="B605" s="1" t="n">
        <v>45817.31085648148</v>
      </c>
      <c r="C605" s="1" t="n">
        <v>45910</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27810-2025</t>
        </is>
      </c>
      <c r="B606" s="1" t="n">
        <v>45817.31708333334</v>
      </c>
      <c r="C606" s="1" t="n">
        <v>45910</v>
      </c>
      <c r="D606" t="inlineStr">
        <is>
          <t>STOCKHOLMS LÄN</t>
        </is>
      </c>
      <c r="E606" t="inlineStr">
        <is>
          <t>NORRTÄLJE</t>
        </is>
      </c>
      <c r="G606" t="n">
        <v>3.9</v>
      </c>
      <c r="H606" t="n">
        <v>0</v>
      </c>
      <c r="I606" t="n">
        <v>0</v>
      </c>
      <c r="J606" t="n">
        <v>0</v>
      </c>
      <c r="K606" t="n">
        <v>0</v>
      </c>
      <c r="L606" t="n">
        <v>0</v>
      </c>
      <c r="M606" t="n">
        <v>0</v>
      </c>
      <c r="N606" t="n">
        <v>0</v>
      </c>
      <c r="O606" t="n">
        <v>0</v>
      </c>
      <c r="P606" t="n">
        <v>0</v>
      </c>
      <c r="Q606" t="n">
        <v>0</v>
      </c>
      <c r="R606" s="2" t="inlineStr"/>
    </row>
    <row r="607" ht="15" customHeight="1">
      <c r="A607" t="inlineStr">
        <is>
          <t>A 27811-2025</t>
        </is>
      </c>
      <c r="B607" s="1" t="n">
        <v>45817.31986111111</v>
      </c>
      <c r="C607" s="1" t="n">
        <v>45910</v>
      </c>
      <c r="D607" t="inlineStr">
        <is>
          <t>STOCKHOLMS LÄN</t>
        </is>
      </c>
      <c r="E607" t="inlineStr">
        <is>
          <t>NORRTÄLJE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27818-2025</t>
        </is>
      </c>
      <c r="B608" s="1" t="n">
        <v>45817.33503472222</v>
      </c>
      <c r="C608" s="1" t="n">
        <v>45910</v>
      </c>
      <c r="D608" t="inlineStr">
        <is>
          <t>STOCKHOLMS LÄN</t>
        </is>
      </c>
      <c r="E608" t="inlineStr">
        <is>
          <t>NORRTÄLJE</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5804-2025</t>
        </is>
      </c>
      <c r="B609" s="1" t="n">
        <v>45694.68207175926</v>
      </c>
      <c r="C609" s="1" t="n">
        <v>45910</v>
      </c>
      <c r="D609" t="inlineStr">
        <is>
          <t>STOCKHOLMS LÄN</t>
        </is>
      </c>
      <c r="E609" t="inlineStr">
        <is>
          <t>NORRTÄLJE</t>
        </is>
      </c>
      <c r="F609" t="inlineStr">
        <is>
          <t>Holmen skog AB</t>
        </is>
      </c>
      <c r="G609" t="n">
        <v>2.6</v>
      </c>
      <c r="H609" t="n">
        <v>0</v>
      </c>
      <c r="I609" t="n">
        <v>0</v>
      </c>
      <c r="J609" t="n">
        <v>0</v>
      </c>
      <c r="K609" t="n">
        <v>0</v>
      </c>
      <c r="L609" t="n">
        <v>0</v>
      </c>
      <c r="M609" t="n">
        <v>0</v>
      </c>
      <c r="N609" t="n">
        <v>0</v>
      </c>
      <c r="O609" t="n">
        <v>0</v>
      </c>
      <c r="P609" t="n">
        <v>0</v>
      </c>
      <c r="Q609" t="n">
        <v>0</v>
      </c>
      <c r="R609" s="2" t="inlineStr"/>
    </row>
    <row r="610" ht="15" customHeight="1">
      <c r="A610" t="inlineStr">
        <is>
          <t>A 35438-2023</t>
        </is>
      </c>
      <c r="B610" s="1" t="n">
        <v>45146</v>
      </c>
      <c r="C610" s="1" t="n">
        <v>45910</v>
      </c>
      <c r="D610" t="inlineStr">
        <is>
          <t>STOCKHOLMS LÄN</t>
        </is>
      </c>
      <c r="E610" t="inlineStr">
        <is>
          <t>NORRTÄLJE</t>
        </is>
      </c>
      <c r="F610" t="inlineStr">
        <is>
          <t>Kommuner</t>
        </is>
      </c>
      <c r="G610" t="n">
        <v>1.9</v>
      </c>
      <c r="H610" t="n">
        <v>0</v>
      </c>
      <c r="I610" t="n">
        <v>0</v>
      </c>
      <c r="J610" t="n">
        <v>0</v>
      </c>
      <c r="K610" t="n">
        <v>0</v>
      </c>
      <c r="L610" t="n">
        <v>0</v>
      </c>
      <c r="M610" t="n">
        <v>0</v>
      </c>
      <c r="N610" t="n">
        <v>0</v>
      </c>
      <c r="O610" t="n">
        <v>0</v>
      </c>
      <c r="P610" t="n">
        <v>0</v>
      </c>
      <c r="Q610" t="n">
        <v>0</v>
      </c>
      <c r="R610" s="2" t="inlineStr"/>
    </row>
    <row r="611" ht="15" customHeight="1">
      <c r="A611" t="inlineStr">
        <is>
          <t>A 50907-2022</t>
        </is>
      </c>
      <c r="B611" s="1" t="n">
        <v>44867.62090277778</v>
      </c>
      <c r="C611" s="1" t="n">
        <v>45910</v>
      </c>
      <c r="D611" t="inlineStr">
        <is>
          <t>STOCKHOLMS LÄN</t>
        </is>
      </c>
      <c r="E611" t="inlineStr">
        <is>
          <t>NORRTÄLJE</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20291-2022</t>
        </is>
      </c>
      <c r="B612" s="1" t="n">
        <v>44698</v>
      </c>
      <c r="C612" s="1" t="n">
        <v>45910</v>
      </c>
      <c r="D612" t="inlineStr">
        <is>
          <t>STOCKHOLMS LÄN</t>
        </is>
      </c>
      <c r="E612" t="inlineStr">
        <is>
          <t>NORRTÄLJE</t>
        </is>
      </c>
      <c r="F612" t="inlineStr">
        <is>
          <t>Naturvårdsverket</t>
        </is>
      </c>
      <c r="G612" t="n">
        <v>2</v>
      </c>
      <c r="H612" t="n">
        <v>0</v>
      </c>
      <c r="I612" t="n">
        <v>0</v>
      </c>
      <c r="J612" t="n">
        <v>0</v>
      </c>
      <c r="K612" t="n">
        <v>0</v>
      </c>
      <c r="L612" t="n">
        <v>0</v>
      </c>
      <c r="M612" t="n">
        <v>0</v>
      </c>
      <c r="N612" t="n">
        <v>0</v>
      </c>
      <c r="O612" t="n">
        <v>0</v>
      </c>
      <c r="P612" t="n">
        <v>0</v>
      </c>
      <c r="Q612" t="n">
        <v>0</v>
      </c>
      <c r="R612" s="2" t="inlineStr"/>
    </row>
    <row r="613" ht="15" customHeight="1">
      <c r="A613" t="inlineStr">
        <is>
          <t>A 29003-2023</t>
        </is>
      </c>
      <c r="B613" s="1" t="n">
        <v>45104</v>
      </c>
      <c r="C613" s="1" t="n">
        <v>45910</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26115-2024</t>
        </is>
      </c>
      <c r="B614" s="1" t="n">
        <v>45468.45628472222</v>
      </c>
      <c r="C614" s="1" t="n">
        <v>45910</v>
      </c>
      <c r="D614" t="inlineStr">
        <is>
          <t>STOCKHOLMS LÄN</t>
        </is>
      </c>
      <c r="E614" t="inlineStr">
        <is>
          <t>NORRTÄLJE</t>
        </is>
      </c>
      <c r="G614" t="n">
        <v>0.3</v>
      </c>
      <c r="H614" t="n">
        <v>0</v>
      </c>
      <c r="I614" t="n">
        <v>0</v>
      </c>
      <c r="J614" t="n">
        <v>0</v>
      </c>
      <c r="K614" t="n">
        <v>0</v>
      </c>
      <c r="L614" t="n">
        <v>0</v>
      </c>
      <c r="M614" t="n">
        <v>0</v>
      </c>
      <c r="N614" t="n">
        <v>0</v>
      </c>
      <c r="O614" t="n">
        <v>0</v>
      </c>
      <c r="P614" t="n">
        <v>0</v>
      </c>
      <c r="Q614" t="n">
        <v>0</v>
      </c>
      <c r="R614" s="2" t="inlineStr"/>
    </row>
    <row r="615" ht="15" customHeight="1">
      <c r="A615" t="inlineStr">
        <is>
          <t>A 33295-2023</t>
        </is>
      </c>
      <c r="B615" s="1" t="n">
        <v>45127.69371527778</v>
      </c>
      <c r="C615" s="1" t="n">
        <v>45910</v>
      </c>
      <c r="D615" t="inlineStr">
        <is>
          <t>STOCKHOLMS LÄN</t>
        </is>
      </c>
      <c r="E615" t="inlineStr">
        <is>
          <t>NORRTÄLJE</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14127-2025</t>
        </is>
      </c>
      <c r="B616" s="1" t="n">
        <v>45740.47055555556</v>
      </c>
      <c r="C616" s="1" t="n">
        <v>45910</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16980-2023</t>
        </is>
      </c>
      <c r="B617" s="1" t="n">
        <v>45033</v>
      </c>
      <c r="C617" s="1" t="n">
        <v>45910</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27801-2025</t>
        </is>
      </c>
      <c r="B618" s="1" t="n">
        <v>45817.25471064815</v>
      </c>
      <c r="C618" s="1" t="n">
        <v>45910</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28816-2023</t>
        </is>
      </c>
      <c r="B619" s="1" t="n">
        <v>45104</v>
      </c>
      <c r="C619" s="1" t="n">
        <v>45910</v>
      </c>
      <c r="D619" t="inlineStr">
        <is>
          <t>STOCKHOLMS LÄN</t>
        </is>
      </c>
      <c r="E619" t="inlineStr">
        <is>
          <t>NORRTÄLJE</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27803-2025</t>
        </is>
      </c>
      <c r="B620" s="1" t="n">
        <v>45817.291875</v>
      </c>
      <c r="C620" s="1" t="n">
        <v>45910</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27813-2025</t>
        </is>
      </c>
      <c r="B621" s="1" t="n">
        <v>45817.32538194444</v>
      </c>
      <c r="C621" s="1" t="n">
        <v>45910</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27821-2025</t>
        </is>
      </c>
      <c r="B622" s="1" t="n">
        <v>45817.34083333334</v>
      </c>
      <c r="C622" s="1" t="n">
        <v>45910</v>
      </c>
      <c r="D622" t="inlineStr">
        <is>
          <t>STOCKHOLMS LÄN</t>
        </is>
      </c>
      <c r="E622" t="inlineStr">
        <is>
          <t>NORRTÄLJE</t>
        </is>
      </c>
      <c r="G622" t="n">
        <v>3.2</v>
      </c>
      <c r="H622" t="n">
        <v>0</v>
      </c>
      <c r="I622" t="n">
        <v>0</v>
      </c>
      <c r="J622" t="n">
        <v>0</v>
      </c>
      <c r="K622" t="n">
        <v>0</v>
      </c>
      <c r="L622" t="n">
        <v>0</v>
      </c>
      <c r="M622" t="n">
        <v>0</v>
      </c>
      <c r="N622" t="n">
        <v>0</v>
      </c>
      <c r="O622" t="n">
        <v>0</v>
      </c>
      <c r="P622" t="n">
        <v>0</v>
      </c>
      <c r="Q622" t="n">
        <v>0</v>
      </c>
      <c r="R622" s="2" t="inlineStr"/>
    </row>
    <row r="623" ht="15" customHeight="1">
      <c r="A623" t="inlineStr">
        <is>
          <t>A 32595-2023</t>
        </is>
      </c>
      <c r="B623" s="1" t="n">
        <v>45121</v>
      </c>
      <c r="C623" s="1" t="n">
        <v>45910</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19118-2022</t>
        </is>
      </c>
      <c r="B624" s="1" t="n">
        <v>44691.5652662037</v>
      </c>
      <c r="C624" s="1" t="n">
        <v>45910</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37550-2022</t>
        </is>
      </c>
      <c r="B625" s="1" t="n">
        <v>44809</v>
      </c>
      <c r="C625" s="1" t="n">
        <v>45910</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15528-2025</t>
        </is>
      </c>
      <c r="B626" s="1" t="n">
        <v>45747.63471064815</v>
      </c>
      <c r="C626" s="1" t="n">
        <v>45910</v>
      </c>
      <c r="D626" t="inlineStr">
        <is>
          <t>STOCKHOLMS LÄN</t>
        </is>
      </c>
      <c r="E626" t="inlineStr">
        <is>
          <t>NORRTÄLJE</t>
        </is>
      </c>
      <c r="G626" t="n">
        <v>10</v>
      </c>
      <c r="H626" t="n">
        <v>0</v>
      </c>
      <c r="I626" t="n">
        <v>0</v>
      </c>
      <c r="J626" t="n">
        <v>0</v>
      </c>
      <c r="K626" t="n">
        <v>0</v>
      </c>
      <c r="L626" t="n">
        <v>0</v>
      </c>
      <c r="M626" t="n">
        <v>0</v>
      </c>
      <c r="N626" t="n">
        <v>0</v>
      </c>
      <c r="O626" t="n">
        <v>0</v>
      </c>
      <c r="P626" t="n">
        <v>0</v>
      </c>
      <c r="Q626" t="n">
        <v>0</v>
      </c>
      <c r="R626" s="2" t="inlineStr"/>
    </row>
    <row r="627" ht="15" customHeight="1">
      <c r="A627" t="inlineStr">
        <is>
          <t>A 11901-2024</t>
        </is>
      </c>
      <c r="B627" s="1" t="n">
        <v>45376.55638888889</v>
      </c>
      <c r="C627" s="1" t="n">
        <v>45910</v>
      </c>
      <c r="D627" t="inlineStr">
        <is>
          <t>STOCKHOLMS LÄN</t>
        </is>
      </c>
      <c r="E627" t="inlineStr">
        <is>
          <t>NORRTÄLJE</t>
        </is>
      </c>
      <c r="F627" t="inlineStr">
        <is>
          <t>Holmen skog AB</t>
        </is>
      </c>
      <c r="G627" t="n">
        <v>3.5</v>
      </c>
      <c r="H627" t="n">
        <v>0</v>
      </c>
      <c r="I627" t="n">
        <v>0</v>
      </c>
      <c r="J627" t="n">
        <v>0</v>
      </c>
      <c r="K627" t="n">
        <v>0</v>
      </c>
      <c r="L627" t="n">
        <v>0</v>
      </c>
      <c r="M627" t="n">
        <v>0</v>
      </c>
      <c r="N627" t="n">
        <v>0</v>
      </c>
      <c r="O627" t="n">
        <v>0</v>
      </c>
      <c r="P627" t="n">
        <v>0</v>
      </c>
      <c r="Q627" t="n">
        <v>0</v>
      </c>
      <c r="R627" s="2" t="inlineStr"/>
    </row>
    <row r="628" ht="15" customHeight="1">
      <c r="A628" t="inlineStr">
        <is>
          <t>A 58888-2020</t>
        </is>
      </c>
      <c r="B628" s="1" t="n">
        <v>44146</v>
      </c>
      <c r="C628" s="1" t="n">
        <v>45910</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48161-2022</t>
        </is>
      </c>
      <c r="B629" s="1" t="n">
        <v>44858</v>
      </c>
      <c r="C629" s="1" t="n">
        <v>45910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8739-2024</t>
        </is>
      </c>
      <c r="B630" s="1" t="n">
        <v>45356.47784722222</v>
      </c>
      <c r="C630" s="1" t="n">
        <v>45910</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38759-2022</t>
        </is>
      </c>
      <c r="B631" s="1" t="n">
        <v>44816</v>
      </c>
      <c r="C631" s="1" t="n">
        <v>45910</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48798-2021</t>
        </is>
      </c>
      <c r="B632" s="1" t="n">
        <v>44452</v>
      </c>
      <c r="C632" s="1" t="n">
        <v>45910</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44075-2023</t>
        </is>
      </c>
      <c r="B633" s="1" t="n">
        <v>45188.41637731482</v>
      </c>
      <c r="C633" s="1" t="n">
        <v>45910</v>
      </c>
      <c r="D633" t="inlineStr">
        <is>
          <t>STOCKHOLMS LÄN</t>
        </is>
      </c>
      <c r="E633" t="inlineStr">
        <is>
          <t>NORRTÄLJE</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32857-2021</t>
        </is>
      </c>
      <c r="B634" s="1" t="n">
        <v>44375</v>
      </c>
      <c r="C634" s="1" t="n">
        <v>45910</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29714-2023</t>
        </is>
      </c>
      <c r="B635" s="1" t="n">
        <v>45107.42538194444</v>
      </c>
      <c r="C635" s="1" t="n">
        <v>45910</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12111-2021</t>
        </is>
      </c>
      <c r="B636" s="1" t="n">
        <v>44266</v>
      </c>
      <c r="C636" s="1" t="n">
        <v>45910</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23271-2023</t>
        </is>
      </c>
      <c r="B637" s="1" t="n">
        <v>45075.91362268518</v>
      </c>
      <c r="C637" s="1" t="n">
        <v>45910</v>
      </c>
      <c r="D637" t="inlineStr">
        <is>
          <t>STOCKHOLMS LÄN</t>
        </is>
      </c>
      <c r="E637" t="inlineStr">
        <is>
          <t>NORRTÄLJE</t>
        </is>
      </c>
      <c r="G637" t="n">
        <v>5.1</v>
      </c>
      <c r="H637" t="n">
        <v>0</v>
      </c>
      <c r="I637" t="n">
        <v>0</v>
      </c>
      <c r="J637" t="n">
        <v>0</v>
      </c>
      <c r="K637" t="n">
        <v>0</v>
      </c>
      <c r="L637" t="n">
        <v>0</v>
      </c>
      <c r="M637" t="n">
        <v>0</v>
      </c>
      <c r="N637" t="n">
        <v>0</v>
      </c>
      <c r="O637" t="n">
        <v>0</v>
      </c>
      <c r="P637" t="n">
        <v>0</v>
      </c>
      <c r="Q637" t="n">
        <v>0</v>
      </c>
      <c r="R637" s="2" t="inlineStr"/>
    </row>
    <row r="638" ht="15" customHeight="1">
      <c r="A638" t="inlineStr">
        <is>
          <t>A 23273-2023</t>
        </is>
      </c>
      <c r="B638" s="1" t="n">
        <v>45075.91971064815</v>
      </c>
      <c r="C638" s="1" t="n">
        <v>45910</v>
      </c>
      <c r="D638" t="inlineStr">
        <is>
          <t>STOCKHOLMS LÄN</t>
        </is>
      </c>
      <c r="E638" t="inlineStr">
        <is>
          <t>NORRTÄLJE</t>
        </is>
      </c>
      <c r="G638" t="n">
        <v>7.5</v>
      </c>
      <c r="H638" t="n">
        <v>0</v>
      </c>
      <c r="I638" t="n">
        <v>0</v>
      </c>
      <c r="J638" t="n">
        <v>0</v>
      </c>
      <c r="K638" t="n">
        <v>0</v>
      </c>
      <c r="L638" t="n">
        <v>0</v>
      </c>
      <c r="M638" t="n">
        <v>0</v>
      </c>
      <c r="N638" t="n">
        <v>0</v>
      </c>
      <c r="O638" t="n">
        <v>0</v>
      </c>
      <c r="P638" t="n">
        <v>0</v>
      </c>
      <c r="Q638" t="n">
        <v>0</v>
      </c>
      <c r="R638" s="2" t="inlineStr"/>
    </row>
    <row r="639" ht="15" customHeight="1">
      <c r="A639" t="inlineStr">
        <is>
          <t>A 54776-2023</t>
        </is>
      </c>
      <c r="B639" s="1" t="n">
        <v>45236.46369212963</v>
      </c>
      <c r="C639" s="1" t="n">
        <v>45910</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57442-2021</t>
        </is>
      </c>
      <c r="B640" s="1" t="n">
        <v>44483</v>
      </c>
      <c r="C640" s="1" t="n">
        <v>45910</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55952-2024</t>
        </is>
      </c>
      <c r="B641" s="1" t="n">
        <v>45623.62563657408</v>
      </c>
      <c r="C641" s="1" t="n">
        <v>45910</v>
      </c>
      <c r="D641" t="inlineStr">
        <is>
          <t>STOCKHOLMS LÄN</t>
        </is>
      </c>
      <c r="E641" t="inlineStr">
        <is>
          <t>NORRTÄLJE</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8135-2025</t>
        </is>
      </c>
      <c r="B642" s="1" t="n">
        <v>45707.84997685185</v>
      </c>
      <c r="C642" s="1" t="n">
        <v>45910</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3383-2023</t>
        </is>
      </c>
      <c r="B643" s="1" t="n">
        <v>44949</v>
      </c>
      <c r="C643" s="1" t="n">
        <v>45910</v>
      </c>
      <c r="D643" t="inlineStr">
        <is>
          <t>STOCKHOLMS LÄN</t>
        </is>
      </c>
      <c r="E643" t="inlineStr">
        <is>
          <t>NORRTÄLJE</t>
        </is>
      </c>
      <c r="G643" t="n">
        <v>14.6</v>
      </c>
      <c r="H643" t="n">
        <v>0</v>
      </c>
      <c r="I643" t="n">
        <v>0</v>
      </c>
      <c r="J643" t="n">
        <v>0</v>
      </c>
      <c r="K643" t="n">
        <v>0</v>
      </c>
      <c r="L643" t="n">
        <v>0</v>
      </c>
      <c r="M643" t="n">
        <v>0</v>
      </c>
      <c r="N643" t="n">
        <v>0</v>
      </c>
      <c r="O643" t="n">
        <v>0</v>
      </c>
      <c r="P643" t="n">
        <v>0</v>
      </c>
      <c r="Q643" t="n">
        <v>0</v>
      </c>
      <c r="R643" s="2" t="inlineStr"/>
    </row>
    <row r="644" ht="15" customHeight="1">
      <c r="A644" t="inlineStr">
        <is>
          <t>A 3444-2023</t>
        </is>
      </c>
      <c r="B644" s="1" t="n">
        <v>44949</v>
      </c>
      <c r="C644" s="1" t="n">
        <v>45910</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29250-2025</t>
        </is>
      </c>
      <c r="B645" s="1" t="n">
        <v>45824.37275462963</v>
      </c>
      <c r="C645" s="1" t="n">
        <v>45910</v>
      </c>
      <c r="D645" t="inlineStr">
        <is>
          <t>STOCKHOLMS LÄN</t>
        </is>
      </c>
      <c r="E645" t="inlineStr">
        <is>
          <t>NORRTÄLJE</t>
        </is>
      </c>
      <c r="F645" t="inlineStr">
        <is>
          <t>Sveaskog</t>
        </is>
      </c>
      <c r="G645" t="n">
        <v>6.4</v>
      </c>
      <c r="H645" t="n">
        <v>0</v>
      </c>
      <c r="I645" t="n">
        <v>0</v>
      </c>
      <c r="J645" t="n">
        <v>0</v>
      </c>
      <c r="K645" t="n">
        <v>0</v>
      </c>
      <c r="L645" t="n">
        <v>0</v>
      </c>
      <c r="M645" t="n">
        <v>0</v>
      </c>
      <c r="N645" t="n">
        <v>0</v>
      </c>
      <c r="O645" t="n">
        <v>0</v>
      </c>
      <c r="P645" t="n">
        <v>0</v>
      </c>
      <c r="Q645" t="n">
        <v>0</v>
      </c>
      <c r="R645" s="2" t="inlineStr"/>
    </row>
    <row r="646" ht="15" customHeight="1">
      <c r="A646" t="inlineStr">
        <is>
          <t>A 13148-2021</t>
        </is>
      </c>
      <c r="B646" s="1" t="n">
        <v>44272</v>
      </c>
      <c r="C646" s="1" t="n">
        <v>45910</v>
      </c>
      <c r="D646" t="inlineStr">
        <is>
          <t>STOCKHOLMS LÄN</t>
        </is>
      </c>
      <c r="E646" t="inlineStr">
        <is>
          <t>NORRTÄLJE</t>
        </is>
      </c>
      <c r="G646" t="n">
        <v>12.4</v>
      </c>
      <c r="H646" t="n">
        <v>0</v>
      </c>
      <c r="I646" t="n">
        <v>0</v>
      </c>
      <c r="J646" t="n">
        <v>0</v>
      </c>
      <c r="K646" t="n">
        <v>0</v>
      </c>
      <c r="L646" t="n">
        <v>0</v>
      </c>
      <c r="M646" t="n">
        <v>0</v>
      </c>
      <c r="N646" t="n">
        <v>0</v>
      </c>
      <c r="O646" t="n">
        <v>0</v>
      </c>
      <c r="P646" t="n">
        <v>0</v>
      </c>
      <c r="Q646" t="n">
        <v>0</v>
      </c>
      <c r="R646" s="2" t="inlineStr"/>
    </row>
    <row r="647" ht="15" customHeight="1">
      <c r="A647" t="inlineStr">
        <is>
          <t>A 21732-2023</t>
        </is>
      </c>
      <c r="B647" s="1" t="n">
        <v>45063</v>
      </c>
      <c r="C647" s="1" t="n">
        <v>45910</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23307-2024</t>
        </is>
      </c>
      <c r="B648" s="1" t="n">
        <v>45453</v>
      </c>
      <c r="C648" s="1" t="n">
        <v>45910</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7603-2025</t>
        </is>
      </c>
      <c r="B649" s="1" t="n">
        <v>45705.66126157407</v>
      </c>
      <c r="C649" s="1" t="n">
        <v>45910</v>
      </c>
      <c r="D649" t="inlineStr">
        <is>
          <t>STOCKHOLMS LÄN</t>
        </is>
      </c>
      <c r="E649" t="inlineStr">
        <is>
          <t>NORRTÄLJE</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36396-2025</t>
        </is>
      </c>
      <c r="B650" s="1" t="n">
        <v>45868.62267361111</v>
      </c>
      <c r="C650" s="1" t="n">
        <v>45910</v>
      </c>
      <c r="D650" t="inlineStr">
        <is>
          <t>STOCKHOLMS LÄN</t>
        </is>
      </c>
      <c r="E650" t="inlineStr">
        <is>
          <t>NORRTÄLJE</t>
        </is>
      </c>
      <c r="G650" t="n">
        <v>4.1</v>
      </c>
      <c r="H650" t="n">
        <v>0</v>
      </c>
      <c r="I650" t="n">
        <v>0</v>
      </c>
      <c r="J650" t="n">
        <v>0</v>
      </c>
      <c r="K650" t="n">
        <v>0</v>
      </c>
      <c r="L650" t="n">
        <v>0</v>
      </c>
      <c r="M650" t="n">
        <v>0</v>
      </c>
      <c r="N650" t="n">
        <v>0</v>
      </c>
      <c r="O650" t="n">
        <v>0</v>
      </c>
      <c r="P650" t="n">
        <v>0</v>
      </c>
      <c r="Q650" t="n">
        <v>0</v>
      </c>
      <c r="R650" s="2" t="inlineStr"/>
    </row>
    <row r="651" ht="15" customHeight="1">
      <c r="A651" t="inlineStr">
        <is>
          <t>A 3386-2021</t>
        </is>
      </c>
      <c r="B651" s="1" t="n">
        <v>44218</v>
      </c>
      <c r="C651" s="1" t="n">
        <v>45910</v>
      </c>
      <c r="D651" t="inlineStr">
        <is>
          <t>STOCKHOLMS LÄN</t>
        </is>
      </c>
      <c r="E651" t="inlineStr">
        <is>
          <t>NORRTÄLJE</t>
        </is>
      </c>
      <c r="G651" t="n">
        <v>8</v>
      </c>
      <c r="H651" t="n">
        <v>0</v>
      </c>
      <c r="I651" t="n">
        <v>0</v>
      </c>
      <c r="J651" t="n">
        <v>0</v>
      </c>
      <c r="K651" t="n">
        <v>0</v>
      </c>
      <c r="L651" t="n">
        <v>0</v>
      </c>
      <c r="M651" t="n">
        <v>0</v>
      </c>
      <c r="N651" t="n">
        <v>0</v>
      </c>
      <c r="O651" t="n">
        <v>0</v>
      </c>
      <c r="P651" t="n">
        <v>0</v>
      </c>
      <c r="Q651" t="n">
        <v>0</v>
      </c>
      <c r="R651" s="2" t="inlineStr"/>
    </row>
    <row r="652" ht="15" customHeight="1">
      <c r="A652" t="inlineStr">
        <is>
          <t>A 30799-2025</t>
        </is>
      </c>
      <c r="B652" s="1" t="n">
        <v>45831.65079861111</v>
      </c>
      <c r="C652" s="1" t="n">
        <v>45910</v>
      </c>
      <c r="D652" t="inlineStr">
        <is>
          <t>STOCKHOLMS LÄN</t>
        </is>
      </c>
      <c r="E652" t="inlineStr">
        <is>
          <t>NORRTÄLJE</t>
        </is>
      </c>
      <c r="F652" t="inlineStr">
        <is>
          <t>Holmen skog AB</t>
        </is>
      </c>
      <c r="G652" t="n">
        <v>7.9</v>
      </c>
      <c r="H652" t="n">
        <v>0</v>
      </c>
      <c r="I652" t="n">
        <v>0</v>
      </c>
      <c r="J652" t="n">
        <v>0</v>
      </c>
      <c r="K652" t="n">
        <v>0</v>
      </c>
      <c r="L652" t="n">
        <v>0</v>
      </c>
      <c r="M652" t="n">
        <v>0</v>
      </c>
      <c r="N652" t="n">
        <v>0</v>
      </c>
      <c r="O652" t="n">
        <v>0</v>
      </c>
      <c r="P652" t="n">
        <v>0</v>
      </c>
      <c r="Q652" t="n">
        <v>0</v>
      </c>
      <c r="R652" s="2" t="inlineStr"/>
    </row>
    <row r="653" ht="15" customHeight="1">
      <c r="A653" t="inlineStr">
        <is>
          <t>A 30699-2025</t>
        </is>
      </c>
      <c r="B653" s="1" t="n">
        <v>45831.54618055555</v>
      </c>
      <c r="C653" s="1" t="n">
        <v>45910</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37085-2021</t>
        </is>
      </c>
      <c r="B654" s="1" t="n">
        <v>44395</v>
      </c>
      <c r="C654" s="1" t="n">
        <v>45910</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56428-2023</t>
        </is>
      </c>
      <c r="B655" s="1" t="n">
        <v>45243.45289351852</v>
      </c>
      <c r="C655" s="1" t="n">
        <v>45910</v>
      </c>
      <c r="D655" t="inlineStr">
        <is>
          <t>STOCKHOLMS LÄN</t>
        </is>
      </c>
      <c r="E655" t="inlineStr">
        <is>
          <t>NORRTÄLJE</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17556-2025</t>
        </is>
      </c>
      <c r="B656" s="1" t="n">
        <v>45757.62482638889</v>
      </c>
      <c r="C656" s="1" t="n">
        <v>45910</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30639-2025</t>
        </is>
      </c>
      <c r="B657" s="1" t="n">
        <v>45831.4844212963</v>
      </c>
      <c r="C657" s="1" t="n">
        <v>45910</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30668-2025</t>
        </is>
      </c>
      <c r="B658" s="1" t="n">
        <v>45831.51659722222</v>
      </c>
      <c r="C658" s="1" t="n">
        <v>45910</v>
      </c>
      <c r="D658" t="inlineStr">
        <is>
          <t>STOCKHOLMS LÄN</t>
        </is>
      </c>
      <c r="E658" t="inlineStr">
        <is>
          <t>NORRTÄLJE</t>
        </is>
      </c>
      <c r="G658" t="n">
        <v>4.9</v>
      </c>
      <c r="H658" t="n">
        <v>0</v>
      </c>
      <c r="I658" t="n">
        <v>0</v>
      </c>
      <c r="J658" t="n">
        <v>0</v>
      </c>
      <c r="K658" t="n">
        <v>0</v>
      </c>
      <c r="L658" t="n">
        <v>0</v>
      </c>
      <c r="M658" t="n">
        <v>0</v>
      </c>
      <c r="N658" t="n">
        <v>0</v>
      </c>
      <c r="O658" t="n">
        <v>0</v>
      </c>
      <c r="P658" t="n">
        <v>0</v>
      </c>
      <c r="Q658" t="n">
        <v>0</v>
      </c>
      <c r="R658" s="2" t="inlineStr"/>
    </row>
    <row r="659" ht="15" customHeight="1">
      <c r="A659" t="inlineStr">
        <is>
          <t>A 42094-2023</t>
        </is>
      </c>
      <c r="B659" s="1" t="n">
        <v>45177.61498842593</v>
      </c>
      <c r="C659" s="1" t="n">
        <v>45910</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30802-2022</t>
        </is>
      </c>
      <c r="B660" s="1" t="n">
        <v>44764</v>
      </c>
      <c r="C660" s="1" t="n">
        <v>45910</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55369-2023</t>
        </is>
      </c>
      <c r="B661" s="1" t="n">
        <v>45238</v>
      </c>
      <c r="C661" s="1" t="n">
        <v>45910</v>
      </c>
      <c r="D661" t="inlineStr">
        <is>
          <t>STOCKHOLMS LÄN</t>
        </is>
      </c>
      <c r="E661" t="inlineStr">
        <is>
          <t>NORRTÄLJE</t>
        </is>
      </c>
      <c r="G661" t="n">
        <v>0.4</v>
      </c>
      <c r="H661" t="n">
        <v>0</v>
      </c>
      <c r="I661" t="n">
        <v>0</v>
      </c>
      <c r="J661" t="n">
        <v>0</v>
      </c>
      <c r="K661" t="n">
        <v>0</v>
      </c>
      <c r="L661" t="n">
        <v>0</v>
      </c>
      <c r="M661" t="n">
        <v>0</v>
      </c>
      <c r="N661" t="n">
        <v>0</v>
      </c>
      <c r="O661" t="n">
        <v>0</v>
      </c>
      <c r="P661" t="n">
        <v>0</v>
      </c>
      <c r="Q661" t="n">
        <v>0</v>
      </c>
      <c r="R661" s="2" t="inlineStr"/>
    </row>
    <row r="662" ht="15" customHeight="1">
      <c r="A662" t="inlineStr">
        <is>
          <t>A 61113-2023</t>
        </is>
      </c>
      <c r="B662" s="1" t="n">
        <v>45261</v>
      </c>
      <c r="C662" s="1" t="n">
        <v>45910</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3283-2025</t>
        </is>
      </c>
      <c r="B663" s="1" t="n">
        <v>45679</v>
      </c>
      <c r="C663" s="1" t="n">
        <v>45910</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34295-2024</t>
        </is>
      </c>
      <c r="B664" s="1" t="n">
        <v>45524</v>
      </c>
      <c r="C664" s="1" t="n">
        <v>45910</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8370-2025</t>
        </is>
      </c>
      <c r="B665" s="1" t="n">
        <v>45708</v>
      </c>
      <c r="C665" s="1" t="n">
        <v>45910</v>
      </c>
      <c r="D665" t="inlineStr">
        <is>
          <t>STOCKHOLMS LÄN</t>
        </is>
      </c>
      <c r="E665" t="inlineStr">
        <is>
          <t>NORRTÄLJE</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3299-2022</t>
        </is>
      </c>
      <c r="B666" s="1" t="n">
        <v>44584.91001157407</v>
      </c>
      <c r="C666" s="1" t="n">
        <v>45910</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58311-2023</t>
        </is>
      </c>
      <c r="B667" s="1" t="n">
        <v>45245</v>
      </c>
      <c r="C667" s="1" t="n">
        <v>45910</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23692-2024</t>
        </is>
      </c>
      <c r="B668" s="1" t="n">
        <v>45454.65774305556</v>
      </c>
      <c r="C668" s="1" t="n">
        <v>45910</v>
      </c>
      <c r="D668" t="inlineStr">
        <is>
          <t>STOCKHOLMS LÄN</t>
        </is>
      </c>
      <c r="E668" t="inlineStr">
        <is>
          <t>NORRTÄLJE</t>
        </is>
      </c>
      <c r="G668" t="n">
        <v>3.7</v>
      </c>
      <c r="H668" t="n">
        <v>0</v>
      </c>
      <c r="I668" t="n">
        <v>0</v>
      </c>
      <c r="J668" t="n">
        <v>0</v>
      </c>
      <c r="K668" t="n">
        <v>0</v>
      </c>
      <c r="L668" t="n">
        <v>0</v>
      </c>
      <c r="M668" t="n">
        <v>0</v>
      </c>
      <c r="N668" t="n">
        <v>0</v>
      </c>
      <c r="O668" t="n">
        <v>0</v>
      </c>
      <c r="P668" t="n">
        <v>0</v>
      </c>
      <c r="Q668" t="n">
        <v>0</v>
      </c>
      <c r="R668" s="2" t="inlineStr"/>
    </row>
    <row r="669" ht="15" customHeight="1">
      <c r="A669" t="inlineStr">
        <is>
          <t>A 12348-2025</t>
        </is>
      </c>
      <c r="B669" s="1" t="n">
        <v>45730.35026620371</v>
      </c>
      <c r="C669" s="1" t="n">
        <v>45910</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20473-2021</t>
        </is>
      </c>
      <c r="B670" s="1" t="n">
        <v>44315</v>
      </c>
      <c r="C670" s="1" t="n">
        <v>45910</v>
      </c>
      <c r="D670" t="inlineStr">
        <is>
          <t>STOCKHOLMS LÄN</t>
        </is>
      </c>
      <c r="E670" t="inlineStr">
        <is>
          <t>NORRTÄLJE</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31170-2025</t>
        </is>
      </c>
      <c r="B671" s="1" t="n">
        <v>45832.66385416667</v>
      </c>
      <c r="C671" s="1" t="n">
        <v>45910</v>
      </c>
      <c r="D671" t="inlineStr">
        <is>
          <t>STOCKHOLMS LÄN</t>
        </is>
      </c>
      <c r="E671" t="inlineStr">
        <is>
          <t>NORRTÄLJE</t>
        </is>
      </c>
      <c r="G671" t="n">
        <v>2.7</v>
      </c>
      <c r="H671" t="n">
        <v>0</v>
      </c>
      <c r="I671" t="n">
        <v>0</v>
      </c>
      <c r="J671" t="n">
        <v>0</v>
      </c>
      <c r="K671" t="n">
        <v>0</v>
      </c>
      <c r="L671" t="n">
        <v>0</v>
      </c>
      <c r="M671" t="n">
        <v>0</v>
      </c>
      <c r="N671" t="n">
        <v>0</v>
      </c>
      <c r="O671" t="n">
        <v>0</v>
      </c>
      <c r="P671" t="n">
        <v>0</v>
      </c>
      <c r="Q671" t="n">
        <v>0</v>
      </c>
      <c r="R671" s="2" t="inlineStr"/>
    </row>
    <row r="672" ht="15" customHeight="1">
      <c r="A672" t="inlineStr">
        <is>
          <t>A 17545-2025</t>
        </is>
      </c>
      <c r="B672" s="1" t="n">
        <v>45757.60658564815</v>
      </c>
      <c r="C672" s="1" t="n">
        <v>45910</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53652-2020</t>
        </is>
      </c>
      <c r="B673" s="1" t="n">
        <v>44124</v>
      </c>
      <c r="C673" s="1" t="n">
        <v>45910</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31880-2025</t>
        </is>
      </c>
      <c r="B674" s="1" t="n">
        <v>45834.65538194445</v>
      </c>
      <c r="C674" s="1" t="n">
        <v>45910</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25094-2023</t>
        </is>
      </c>
      <c r="B675" s="1" t="n">
        <v>45086.3629050926</v>
      </c>
      <c r="C675" s="1" t="n">
        <v>45910</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36157-2024</t>
        </is>
      </c>
      <c r="B676" s="1" t="n">
        <v>45534.38240740741</v>
      </c>
      <c r="C676" s="1" t="n">
        <v>45910</v>
      </c>
      <c r="D676" t="inlineStr">
        <is>
          <t>STOCKHOLMS LÄN</t>
        </is>
      </c>
      <c r="E676" t="inlineStr">
        <is>
          <t>NORRTÄLJE</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32122-2025</t>
        </is>
      </c>
      <c r="B677" s="1" t="n">
        <v>45835.4928125</v>
      </c>
      <c r="C677" s="1" t="n">
        <v>45910</v>
      </c>
      <c r="D677" t="inlineStr">
        <is>
          <t>STOCKHOLMS LÄN</t>
        </is>
      </c>
      <c r="E677" t="inlineStr">
        <is>
          <t>NORRTÄLJE</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31868-2025</t>
        </is>
      </c>
      <c r="B678" s="1" t="n">
        <v>45834.6447337963</v>
      </c>
      <c r="C678" s="1" t="n">
        <v>45910</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6413-2025</t>
        </is>
      </c>
      <c r="B679" s="1" t="n">
        <v>45699.46283564815</v>
      </c>
      <c r="C679" s="1" t="n">
        <v>45910</v>
      </c>
      <c r="D679" t="inlineStr">
        <is>
          <t>STOCKHOLMS LÄN</t>
        </is>
      </c>
      <c r="E679" t="inlineStr">
        <is>
          <t>NORRTÄLJE</t>
        </is>
      </c>
      <c r="G679" t="n">
        <v>3.6</v>
      </c>
      <c r="H679" t="n">
        <v>0</v>
      </c>
      <c r="I679" t="n">
        <v>0</v>
      </c>
      <c r="J679" t="n">
        <v>0</v>
      </c>
      <c r="K679" t="n">
        <v>0</v>
      </c>
      <c r="L679" t="n">
        <v>0</v>
      </c>
      <c r="M679" t="n">
        <v>0</v>
      </c>
      <c r="N679" t="n">
        <v>0</v>
      </c>
      <c r="O679" t="n">
        <v>0</v>
      </c>
      <c r="P679" t="n">
        <v>0</v>
      </c>
      <c r="Q679" t="n">
        <v>0</v>
      </c>
      <c r="R679" s="2" t="inlineStr"/>
    </row>
    <row r="680" ht="15" customHeight="1">
      <c r="A680" t="inlineStr">
        <is>
          <t>A 47694-2023</t>
        </is>
      </c>
      <c r="B680" s="1" t="n">
        <v>45203.63303240741</v>
      </c>
      <c r="C680" s="1" t="n">
        <v>45910</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35532-2024</t>
        </is>
      </c>
      <c r="B681" s="1" t="n">
        <v>45531</v>
      </c>
      <c r="C681" s="1" t="n">
        <v>45910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54273-2021</t>
        </is>
      </c>
      <c r="B682" s="1" t="n">
        <v>44470.72987268519</v>
      </c>
      <c r="C682" s="1" t="n">
        <v>45910</v>
      </c>
      <c r="D682" t="inlineStr">
        <is>
          <t>STOCKHOLMS LÄN</t>
        </is>
      </c>
      <c r="E682" t="inlineStr">
        <is>
          <t>NORRTÄLJE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1654-2025</t>
        </is>
      </c>
      <c r="B683" s="1" t="n">
        <v>45670.65921296296</v>
      </c>
      <c r="C683" s="1" t="n">
        <v>45910</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62644-2023</t>
        </is>
      </c>
      <c r="B684" s="1" t="n">
        <v>45271</v>
      </c>
      <c r="C684" s="1" t="n">
        <v>45910</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32016-2025</t>
        </is>
      </c>
      <c r="B685" s="1" t="n">
        <v>45835</v>
      </c>
      <c r="C685" s="1" t="n">
        <v>45910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32283-2025</t>
        </is>
      </c>
      <c r="B686" s="1" t="n">
        <v>45835.68076388889</v>
      </c>
      <c r="C686" s="1" t="n">
        <v>45910</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11229-2022</t>
        </is>
      </c>
      <c r="B687" s="1" t="n">
        <v>44629</v>
      </c>
      <c r="C687" s="1" t="n">
        <v>45910</v>
      </c>
      <c r="D687" t="inlineStr">
        <is>
          <t>STOCKHOLMS LÄN</t>
        </is>
      </c>
      <c r="E687" t="inlineStr">
        <is>
          <t>NORRTÄLJE</t>
        </is>
      </c>
      <c r="F687" t="inlineStr">
        <is>
          <t>Övriga Aktiebolag</t>
        </is>
      </c>
      <c r="G687" t="n">
        <v>4.1</v>
      </c>
      <c r="H687" t="n">
        <v>0</v>
      </c>
      <c r="I687" t="n">
        <v>0</v>
      </c>
      <c r="J687" t="n">
        <v>0</v>
      </c>
      <c r="K687" t="n">
        <v>0</v>
      </c>
      <c r="L687" t="n">
        <v>0</v>
      </c>
      <c r="M687" t="n">
        <v>0</v>
      </c>
      <c r="N687" t="n">
        <v>0</v>
      </c>
      <c r="O687" t="n">
        <v>0</v>
      </c>
      <c r="P687" t="n">
        <v>0</v>
      </c>
      <c r="Q687" t="n">
        <v>0</v>
      </c>
      <c r="R687" s="2" t="inlineStr"/>
    </row>
    <row r="688" ht="15" customHeight="1">
      <c r="A688" t="inlineStr">
        <is>
          <t>A 31874-2025</t>
        </is>
      </c>
      <c r="B688" s="1" t="n">
        <v>45834</v>
      </c>
      <c r="C688" s="1" t="n">
        <v>45910</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37261-2025</t>
        </is>
      </c>
      <c r="B689" s="1" t="n">
        <v>45876.45253472222</v>
      </c>
      <c r="C689" s="1" t="n">
        <v>45910</v>
      </c>
      <c r="D689" t="inlineStr">
        <is>
          <t>STOCKHOLMS LÄN</t>
        </is>
      </c>
      <c r="E689" t="inlineStr">
        <is>
          <t>NORRTÄLJE</t>
        </is>
      </c>
      <c r="F689" t="inlineStr">
        <is>
          <t>Kommuner</t>
        </is>
      </c>
      <c r="G689" t="n">
        <v>2.2</v>
      </c>
      <c r="H689" t="n">
        <v>0</v>
      </c>
      <c r="I689" t="n">
        <v>0</v>
      </c>
      <c r="J689" t="n">
        <v>0</v>
      </c>
      <c r="K689" t="n">
        <v>0</v>
      </c>
      <c r="L689" t="n">
        <v>0</v>
      </c>
      <c r="M689" t="n">
        <v>0</v>
      </c>
      <c r="N689" t="n">
        <v>0</v>
      </c>
      <c r="O689" t="n">
        <v>0</v>
      </c>
      <c r="P689" t="n">
        <v>0</v>
      </c>
      <c r="Q689" t="n">
        <v>0</v>
      </c>
      <c r="R689" s="2" t="inlineStr"/>
    </row>
    <row r="690" ht="15" customHeight="1">
      <c r="A690" t="inlineStr">
        <is>
          <t>A 32094-2025</t>
        </is>
      </c>
      <c r="B690" s="1" t="n">
        <v>45835.46034722222</v>
      </c>
      <c r="C690" s="1" t="n">
        <v>45910</v>
      </c>
      <c r="D690" t="inlineStr">
        <is>
          <t>STOCKHOLMS LÄN</t>
        </is>
      </c>
      <c r="E690" t="inlineStr">
        <is>
          <t>NORRTÄLJE</t>
        </is>
      </c>
      <c r="F690" t="inlineStr">
        <is>
          <t>Holmen skog AB</t>
        </is>
      </c>
      <c r="G690" t="n">
        <v>2.9</v>
      </c>
      <c r="H690" t="n">
        <v>0</v>
      </c>
      <c r="I690" t="n">
        <v>0</v>
      </c>
      <c r="J690" t="n">
        <v>0</v>
      </c>
      <c r="K690" t="n">
        <v>0</v>
      </c>
      <c r="L690" t="n">
        <v>0</v>
      </c>
      <c r="M690" t="n">
        <v>0</v>
      </c>
      <c r="N690" t="n">
        <v>0</v>
      </c>
      <c r="O690" t="n">
        <v>0</v>
      </c>
      <c r="P690" t="n">
        <v>0</v>
      </c>
      <c r="Q690" t="n">
        <v>0</v>
      </c>
      <c r="R690" s="2" t="inlineStr"/>
    </row>
    <row r="691" ht="15" customHeight="1">
      <c r="A691" t="inlineStr">
        <is>
          <t>A 7806-2025</t>
        </is>
      </c>
      <c r="B691" s="1" t="n">
        <v>45706.61178240741</v>
      </c>
      <c r="C691" s="1" t="n">
        <v>45910</v>
      </c>
      <c r="D691" t="inlineStr">
        <is>
          <t>STOCKHOLMS LÄN</t>
        </is>
      </c>
      <c r="E691" t="inlineStr">
        <is>
          <t>NORRTÄLJE</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57353-2024</t>
        </is>
      </c>
      <c r="B692" s="1" t="n">
        <v>45629.65143518519</v>
      </c>
      <c r="C692" s="1" t="n">
        <v>45910</v>
      </c>
      <c r="D692" t="inlineStr">
        <is>
          <t>STOCKHOLMS LÄN</t>
        </is>
      </c>
      <c r="E692" t="inlineStr">
        <is>
          <t>NORRTÄLJE</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48587-2023</t>
        </is>
      </c>
      <c r="B693" s="1" t="n">
        <v>45208</v>
      </c>
      <c r="C693" s="1" t="n">
        <v>45910</v>
      </c>
      <c r="D693" t="inlineStr">
        <is>
          <t>STOCKHOLMS LÄN</t>
        </is>
      </c>
      <c r="E693" t="inlineStr">
        <is>
          <t>NORRTÄLJE</t>
        </is>
      </c>
      <c r="G693" t="n">
        <v>7</v>
      </c>
      <c r="H693" t="n">
        <v>0</v>
      </c>
      <c r="I693" t="n">
        <v>0</v>
      </c>
      <c r="J693" t="n">
        <v>0</v>
      </c>
      <c r="K693" t="n">
        <v>0</v>
      </c>
      <c r="L693" t="n">
        <v>0</v>
      </c>
      <c r="M693" t="n">
        <v>0</v>
      </c>
      <c r="N693" t="n">
        <v>0</v>
      </c>
      <c r="O693" t="n">
        <v>0</v>
      </c>
      <c r="P693" t="n">
        <v>0</v>
      </c>
      <c r="Q693" t="n">
        <v>0</v>
      </c>
      <c r="R693" s="2" t="inlineStr"/>
    </row>
    <row r="694" ht="15" customHeight="1">
      <c r="A694" t="inlineStr">
        <is>
          <t>A 13291-2025</t>
        </is>
      </c>
      <c r="B694" s="1" t="n">
        <v>45735</v>
      </c>
      <c r="C694" s="1" t="n">
        <v>45910</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2549-2022</t>
        </is>
      </c>
      <c r="B695" s="1" t="n">
        <v>44580</v>
      </c>
      <c r="C695" s="1" t="n">
        <v>45910</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4438-2023</t>
        </is>
      </c>
      <c r="B696" s="1" t="n">
        <v>44956</v>
      </c>
      <c r="C696" s="1" t="n">
        <v>45910</v>
      </c>
      <c r="D696" t="inlineStr">
        <is>
          <t>STOCKHOLMS LÄN</t>
        </is>
      </c>
      <c r="E696" t="inlineStr">
        <is>
          <t>NORRTÄLJE</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49327-2020</t>
        </is>
      </c>
      <c r="B697" s="1" t="n">
        <v>44105</v>
      </c>
      <c r="C697" s="1" t="n">
        <v>45910</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32480-2025</t>
        </is>
      </c>
      <c r="B698" s="1" t="n">
        <v>45838.43261574074</v>
      </c>
      <c r="C698" s="1" t="n">
        <v>45910</v>
      </c>
      <c r="D698" t="inlineStr">
        <is>
          <t>STOCKHOLMS LÄN</t>
        </is>
      </c>
      <c r="E698" t="inlineStr">
        <is>
          <t>NORRTÄLJE</t>
        </is>
      </c>
      <c r="F698" t="inlineStr">
        <is>
          <t>Holmen skog AB</t>
        </is>
      </c>
      <c r="G698" t="n">
        <v>0.7</v>
      </c>
      <c r="H698" t="n">
        <v>0</v>
      </c>
      <c r="I698" t="n">
        <v>0</v>
      </c>
      <c r="J698" t="n">
        <v>0</v>
      </c>
      <c r="K698" t="n">
        <v>0</v>
      </c>
      <c r="L698" t="n">
        <v>0</v>
      </c>
      <c r="M698" t="n">
        <v>0</v>
      </c>
      <c r="N698" t="n">
        <v>0</v>
      </c>
      <c r="O698" t="n">
        <v>0</v>
      </c>
      <c r="P698" t="n">
        <v>0</v>
      </c>
      <c r="Q698" t="n">
        <v>0</v>
      </c>
      <c r="R698" s="2" t="inlineStr"/>
    </row>
    <row r="699" ht="15" customHeight="1">
      <c r="A699" t="inlineStr">
        <is>
          <t>A 53792-2023</t>
        </is>
      </c>
      <c r="B699" s="1" t="n">
        <v>45231.34144675926</v>
      </c>
      <c r="C699" s="1" t="n">
        <v>45910</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37632-2025</t>
        </is>
      </c>
      <c r="B700" s="1" t="n">
        <v>45880.46524305556</v>
      </c>
      <c r="C700" s="1" t="n">
        <v>45910</v>
      </c>
      <c r="D700" t="inlineStr">
        <is>
          <t>STOCKHOLMS LÄN</t>
        </is>
      </c>
      <c r="E700" t="inlineStr">
        <is>
          <t>NORRTÄLJE</t>
        </is>
      </c>
      <c r="F700" t="inlineStr">
        <is>
          <t>Sveaskog</t>
        </is>
      </c>
      <c r="G700" t="n">
        <v>6.4</v>
      </c>
      <c r="H700" t="n">
        <v>0</v>
      </c>
      <c r="I700" t="n">
        <v>0</v>
      </c>
      <c r="J700" t="n">
        <v>0</v>
      </c>
      <c r="K700" t="n">
        <v>0</v>
      </c>
      <c r="L700" t="n">
        <v>0</v>
      </c>
      <c r="M700" t="n">
        <v>0</v>
      </c>
      <c r="N700" t="n">
        <v>0</v>
      </c>
      <c r="O700" t="n">
        <v>0</v>
      </c>
      <c r="P700" t="n">
        <v>0</v>
      </c>
      <c r="Q700" t="n">
        <v>0</v>
      </c>
      <c r="R700" s="2" t="inlineStr"/>
    </row>
    <row r="701" ht="15" customHeight="1">
      <c r="A701" t="inlineStr">
        <is>
          <t>A 32872-2025</t>
        </is>
      </c>
      <c r="B701" s="1" t="n">
        <v>45839</v>
      </c>
      <c r="C701" s="1" t="n">
        <v>45910</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32903-2025</t>
        </is>
      </c>
      <c r="B702" s="1" t="n">
        <v>45839.62398148148</v>
      </c>
      <c r="C702" s="1" t="n">
        <v>45910</v>
      </c>
      <c r="D702" t="inlineStr">
        <is>
          <t>STOCKHOLMS LÄN</t>
        </is>
      </c>
      <c r="E702" t="inlineStr">
        <is>
          <t>NORRTÄLJE</t>
        </is>
      </c>
      <c r="G702" t="n">
        <v>0.7</v>
      </c>
      <c r="H702" t="n">
        <v>0</v>
      </c>
      <c r="I702" t="n">
        <v>0</v>
      </c>
      <c r="J702" t="n">
        <v>0</v>
      </c>
      <c r="K702" t="n">
        <v>0</v>
      </c>
      <c r="L702" t="n">
        <v>0</v>
      </c>
      <c r="M702" t="n">
        <v>0</v>
      </c>
      <c r="N702" t="n">
        <v>0</v>
      </c>
      <c r="O702" t="n">
        <v>0</v>
      </c>
      <c r="P702" t="n">
        <v>0</v>
      </c>
      <c r="Q702" t="n">
        <v>0</v>
      </c>
      <c r="R702" s="2" t="inlineStr"/>
    </row>
    <row r="703" ht="15" customHeight="1">
      <c r="A703" t="inlineStr">
        <is>
          <t>A 21329-2022</t>
        </is>
      </c>
      <c r="B703" s="1" t="n">
        <v>44705.60626157407</v>
      </c>
      <c r="C703" s="1" t="n">
        <v>45910</v>
      </c>
      <c r="D703" t="inlineStr">
        <is>
          <t>STOCKHOLMS LÄN</t>
        </is>
      </c>
      <c r="E703" t="inlineStr">
        <is>
          <t>NORRTÄLJE</t>
        </is>
      </c>
      <c r="G703" t="n">
        <v>4.1</v>
      </c>
      <c r="H703" t="n">
        <v>0</v>
      </c>
      <c r="I703" t="n">
        <v>0</v>
      </c>
      <c r="J703" t="n">
        <v>0</v>
      </c>
      <c r="K703" t="n">
        <v>0</v>
      </c>
      <c r="L703" t="n">
        <v>0</v>
      </c>
      <c r="M703" t="n">
        <v>0</v>
      </c>
      <c r="N703" t="n">
        <v>0</v>
      </c>
      <c r="O703" t="n">
        <v>0</v>
      </c>
      <c r="P703" t="n">
        <v>0</v>
      </c>
      <c r="Q703" t="n">
        <v>0</v>
      </c>
      <c r="R703" s="2" t="inlineStr"/>
    </row>
    <row r="704" ht="15" customHeight="1">
      <c r="A704" t="inlineStr">
        <is>
          <t>A 32395-2025</t>
        </is>
      </c>
      <c r="B704" s="1" t="n">
        <v>45837.93730324074</v>
      </c>
      <c r="C704" s="1" t="n">
        <v>45910</v>
      </c>
      <c r="D704" t="inlineStr">
        <is>
          <t>STOCKHOLMS LÄN</t>
        </is>
      </c>
      <c r="E704" t="inlineStr">
        <is>
          <t>NORRTÄLJE</t>
        </is>
      </c>
      <c r="G704" t="n">
        <v>2.2</v>
      </c>
      <c r="H704" t="n">
        <v>0</v>
      </c>
      <c r="I704" t="n">
        <v>0</v>
      </c>
      <c r="J704" t="n">
        <v>0</v>
      </c>
      <c r="K704" t="n">
        <v>0</v>
      </c>
      <c r="L704" t="n">
        <v>0</v>
      </c>
      <c r="M704" t="n">
        <v>0</v>
      </c>
      <c r="N704" t="n">
        <v>0</v>
      </c>
      <c r="O704" t="n">
        <v>0</v>
      </c>
      <c r="P704" t="n">
        <v>0</v>
      </c>
      <c r="Q704" t="n">
        <v>0</v>
      </c>
      <c r="R704" s="2" t="inlineStr"/>
    </row>
    <row r="705" ht="15" customHeight="1">
      <c r="A705" t="inlineStr">
        <is>
          <t>A 32396-2025</t>
        </is>
      </c>
      <c r="B705" s="1" t="n">
        <v>45837</v>
      </c>
      <c r="C705" s="1" t="n">
        <v>45910</v>
      </c>
      <c r="D705" t="inlineStr">
        <is>
          <t>STOCKHOLMS LÄN</t>
        </is>
      </c>
      <c r="E705" t="inlineStr">
        <is>
          <t>NORRTÄLJE</t>
        </is>
      </c>
      <c r="G705" t="n">
        <v>2</v>
      </c>
      <c r="H705" t="n">
        <v>0</v>
      </c>
      <c r="I705" t="n">
        <v>0</v>
      </c>
      <c r="J705" t="n">
        <v>0</v>
      </c>
      <c r="K705" t="n">
        <v>0</v>
      </c>
      <c r="L705" t="n">
        <v>0</v>
      </c>
      <c r="M705" t="n">
        <v>0</v>
      </c>
      <c r="N705" t="n">
        <v>0</v>
      </c>
      <c r="O705" t="n">
        <v>0</v>
      </c>
      <c r="P705" t="n">
        <v>0</v>
      </c>
      <c r="Q705" t="n">
        <v>0</v>
      </c>
      <c r="R705" s="2" t="inlineStr"/>
    </row>
    <row r="706" ht="15" customHeight="1">
      <c r="A706" t="inlineStr">
        <is>
          <t>A 32397-2025</t>
        </is>
      </c>
      <c r="B706" s="1" t="n">
        <v>45837.94081018519</v>
      </c>
      <c r="C706" s="1" t="n">
        <v>45910</v>
      </c>
      <c r="D706" t="inlineStr">
        <is>
          <t>STOCKHOLMS LÄN</t>
        </is>
      </c>
      <c r="E706" t="inlineStr">
        <is>
          <t>NORRTÄLJE</t>
        </is>
      </c>
      <c r="G706" t="n">
        <v>5.9</v>
      </c>
      <c r="H706" t="n">
        <v>0</v>
      </c>
      <c r="I706" t="n">
        <v>0</v>
      </c>
      <c r="J706" t="n">
        <v>0</v>
      </c>
      <c r="K706" t="n">
        <v>0</v>
      </c>
      <c r="L706" t="n">
        <v>0</v>
      </c>
      <c r="M706" t="n">
        <v>0</v>
      </c>
      <c r="N706" t="n">
        <v>0</v>
      </c>
      <c r="O706" t="n">
        <v>0</v>
      </c>
      <c r="P706" t="n">
        <v>0</v>
      </c>
      <c r="Q706" t="n">
        <v>0</v>
      </c>
      <c r="R706" s="2" t="inlineStr"/>
    </row>
    <row r="707" ht="15" customHeight="1">
      <c r="A707" t="inlineStr">
        <is>
          <t>A 47758-2023</t>
        </is>
      </c>
      <c r="B707" s="1" t="n">
        <v>45203.83891203703</v>
      </c>
      <c r="C707" s="1" t="n">
        <v>45910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50569-2022</t>
        </is>
      </c>
      <c r="B708" s="1" t="n">
        <v>44866.63775462963</v>
      </c>
      <c r="C708" s="1" t="n">
        <v>45910</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37628-2025</t>
        </is>
      </c>
      <c r="B709" s="1" t="n">
        <v>45880.46189814815</v>
      </c>
      <c r="C709" s="1" t="n">
        <v>45910</v>
      </c>
      <c r="D709" t="inlineStr">
        <is>
          <t>STOCKHOLMS LÄN</t>
        </is>
      </c>
      <c r="E709" t="inlineStr">
        <is>
          <t>NORRTÄLJE</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24501-2023</t>
        </is>
      </c>
      <c r="B710" s="1" t="n">
        <v>45082</v>
      </c>
      <c r="C710" s="1" t="n">
        <v>45910</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24520-2023</t>
        </is>
      </c>
      <c r="B711" s="1" t="n">
        <v>45082.68922453704</v>
      </c>
      <c r="C711" s="1" t="n">
        <v>45910</v>
      </c>
      <c r="D711" t="inlineStr">
        <is>
          <t>STOCKHOLMS LÄN</t>
        </is>
      </c>
      <c r="E711" t="inlineStr">
        <is>
          <t>NORRTÄLJE</t>
        </is>
      </c>
      <c r="G711" t="n">
        <v>4.3</v>
      </c>
      <c r="H711" t="n">
        <v>0</v>
      </c>
      <c r="I711" t="n">
        <v>0</v>
      </c>
      <c r="J711" t="n">
        <v>0</v>
      </c>
      <c r="K711" t="n">
        <v>0</v>
      </c>
      <c r="L711" t="n">
        <v>0</v>
      </c>
      <c r="M711" t="n">
        <v>0</v>
      </c>
      <c r="N711" t="n">
        <v>0</v>
      </c>
      <c r="O711" t="n">
        <v>0</v>
      </c>
      <c r="P711" t="n">
        <v>0</v>
      </c>
      <c r="Q711" t="n">
        <v>0</v>
      </c>
      <c r="R711" s="2" t="inlineStr"/>
    </row>
    <row r="712" ht="15" customHeight="1">
      <c r="A712" t="inlineStr">
        <is>
          <t>A 60654-2023</t>
        </is>
      </c>
      <c r="B712" s="1" t="n">
        <v>45260.43225694444</v>
      </c>
      <c r="C712" s="1" t="n">
        <v>45910</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60656-2023</t>
        </is>
      </c>
      <c r="B713" s="1" t="n">
        <v>45260.4333449074</v>
      </c>
      <c r="C713" s="1" t="n">
        <v>45910</v>
      </c>
      <c r="D713" t="inlineStr">
        <is>
          <t>STOCKHOLMS LÄN</t>
        </is>
      </c>
      <c r="E713" t="inlineStr">
        <is>
          <t>NORRTÄLJE</t>
        </is>
      </c>
      <c r="G713" t="n">
        <v>4.8</v>
      </c>
      <c r="H713" t="n">
        <v>0</v>
      </c>
      <c r="I713" t="n">
        <v>0</v>
      </c>
      <c r="J713" t="n">
        <v>0</v>
      </c>
      <c r="K713" t="n">
        <v>0</v>
      </c>
      <c r="L713" t="n">
        <v>0</v>
      </c>
      <c r="M713" t="n">
        <v>0</v>
      </c>
      <c r="N713" t="n">
        <v>0</v>
      </c>
      <c r="O713" t="n">
        <v>0</v>
      </c>
      <c r="P713" t="n">
        <v>0</v>
      </c>
      <c r="Q713" t="n">
        <v>0</v>
      </c>
      <c r="R713" s="2" t="inlineStr"/>
    </row>
    <row r="714" ht="15" customHeight="1">
      <c r="A714" t="inlineStr">
        <is>
          <t>A 51061-2023</t>
        </is>
      </c>
      <c r="B714" s="1" t="n">
        <v>45218.65849537037</v>
      </c>
      <c r="C714" s="1" t="n">
        <v>45910</v>
      </c>
      <c r="D714" t="inlineStr">
        <is>
          <t>STOCKHOLMS LÄN</t>
        </is>
      </c>
      <c r="E714" t="inlineStr">
        <is>
          <t>NORRTÄLJE</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54496-2024</t>
        </is>
      </c>
      <c r="B715" s="1" t="n">
        <v>45617.57439814815</v>
      </c>
      <c r="C715" s="1" t="n">
        <v>45910</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37630-2025</t>
        </is>
      </c>
      <c r="B716" s="1" t="n">
        <v>45880.46372685185</v>
      </c>
      <c r="C716" s="1" t="n">
        <v>45910</v>
      </c>
      <c r="D716" t="inlineStr">
        <is>
          <t>STOCKHOLMS LÄN</t>
        </is>
      </c>
      <c r="E716" t="inlineStr">
        <is>
          <t>NORRTÄLJE</t>
        </is>
      </c>
      <c r="F716" t="inlineStr">
        <is>
          <t>Sveaskog</t>
        </is>
      </c>
      <c r="G716" t="n">
        <v>12.9</v>
      </c>
      <c r="H716" t="n">
        <v>0</v>
      </c>
      <c r="I716" t="n">
        <v>0</v>
      </c>
      <c r="J716" t="n">
        <v>0</v>
      </c>
      <c r="K716" t="n">
        <v>0</v>
      </c>
      <c r="L716" t="n">
        <v>0</v>
      </c>
      <c r="M716" t="n">
        <v>0</v>
      </c>
      <c r="N716" t="n">
        <v>0</v>
      </c>
      <c r="O716" t="n">
        <v>0</v>
      </c>
      <c r="P716" t="n">
        <v>0</v>
      </c>
      <c r="Q716" t="n">
        <v>0</v>
      </c>
      <c r="R716" s="2" t="inlineStr"/>
    </row>
    <row r="717" ht="15" customHeight="1">
      <c r="A717" t="inlineStr">
        <is>
          <t>A 22697-2022</t>
        </is>
      </c>
      <c r="B717" s="1" t="n">
        <v>44714.56040509259</v>
      </c>
      <c r="C717" s="1" t="n">
        <v>45910</v>
      </c>
      <c r="D717" t="inlineStr">
        <is>
          <t>STOCKHOLMS LÄN</t>
        </is>
      </c>
      <c r="E717" t="inlineStr">
        <is>
          <t>NORRTÄLJE</t>
        </is>
      </c>
      <c r="G717" t="n">
        <v>5.6</v>
      </c>
      <c r="H717" t="n">
        <v>0</v>
      </c>
      <c r="I717" t="n">
        <v>0</v>
      </c>
      <c r="J717" t="n">
        <v>0</v>
      </c>
      <c r="K717" t="n">
        <v>0</v>
      </c>
      <c r="L717" t="n">
        <v>0</v>
      </c>
      <c r="M717" t="n">
        <v>0</v>
      </c>
      <c r="N717" t="n">
        <v>0</v>
      </c>
      <c r="O717" t="n">
        <v>0</v>
      </c>
      <c r="P717" t="n">
        <v>0</v>
      </c>
      <c r="Q717" t="n">
        <v>0</v>
      </c>
      <c r="R717" s="2" t="inlineStr"/>
    </row>
    <row r="718" ht="15" customHeight="1">
      <c r="A718" t="inlineStr">
        <is>
          <t>A 21386-2023</t>
        </is>
      </c>
      <c r="B718" s="1" t="n">
        <v>45063.35880787037</v>
      </c>
      <c r="C718" s="1" t="n">
        <v>45910</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45549-2022</t>
        </is>
      </c>
      <c r="B719" s="1" t="n">
        <v>44845.48064814815</v>
      </c>
      <c r="C719" s="1" t="n">
        <v>45910</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10642-2025</t>
        </is>
      </c>
      <c r="B720" s="1" t="n">
        <v>45721.65858796296</v>
      </c>
      <c r="C720" s="1" t="n">
        <v>45910</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54396-2021</t>
        </is>
      </c>
      <c r="B721" s="1" t="n">
        <v>44472</v>
      </c>
      <c r="C721" s="1" t="n">
        <v>45910</v>
      </c>
      <c r="D721" t="inlineStr">
        <is>
          <t>STOCKHOLMS LÄN</t>
        </is>
      </c>
      <c r="E721" t="inlineStr">
        <is>
          <t>NORRTÄLJE</t>
        </is>
      </c>
      <c r="G721" t="n">
        <v>2.6</v>
      </c>
      <c r="H721" t="n">
        <v>0</v>
      </c>
      <c r="I721" t="n">
        <v>0</v>
      </c>
      <c r="J721" t="n">
        <v>0</v>
      </c>
      <c r="K721" t="n">
        <v>0</v>
      </c>
      <c r="L721" t="n">
        <v>0</v>
      </c>
      <c r="M721" t="n">
        <v>0</v>
      </c>
      <c r="N721" t="n">
        <v>0</v>
      </c>
      <c r="O721" t="n">
        <v>0</v>
      </c>
      <c r="P721" t="n">
        <v>0</v>
      </c>
      <c r="Q721" t="n">
        <v>0</v>
      </c>
      <c r="R721" s="2" t="inlineStr"/>
    </row>
    <row r="722" ht="15" customHeight="1">
      <c r="A722" t="inlineStr">
        <is>
          <t>A 24727-2023</t>
        </is>
      </c>
      <c r="B722" s="1" t="n">
        <v>45084.57695601852</v>
      </c>
      <c r="C722" s="1" t="n">
        <v>45910</v>
      </c>
      <c r="D722" t="inlineStr">
        <is>
          <t>STOCKHOLMS LÄN</t>
        </is>
      </c>
      <c r="E722" t="inlineStr">
        <is>
          <t>NORRTÄLJE</t>
        </is>
      </c>
      <c r="F722" t="inlineStr">
        <is>
          <t>Holmen skog AB</t>
        </is>
      </c>
      <c r="G722" t="n">
        <v>2.2</v>
      </c>
      <c r="H722" t="n">
        <v>0</v>
      </c>
      <c r="I722" t="n">
        <v>0</v>
      </c>
      <c r="J722" t="n">
        <v>0</v>
      </c>
      <c r="K722" t="n">
        <v>0</v>
      </c>
      <c r="L722" t="n">
        <v>0</v>
      </c>
      <c r="M722" t="n">
        <v>0</v>
      </c>
      <c r="N722" t="n">
        <v>0</v>
      </c>
      <c r="O722" t="n">
        <v>0</v>
      </c>
      <c r="P722" t="n">
        <v>0</v>
      </c>
      <c r="Q722" t="n">
        <v>0</v>
      </c>
      <c r="R722" s="2" t="inlineStr"/>
    </row>
    <row r="723" ht="15" customHeight="1">
      <c r="A723" t="inlineStr">
        <is>
          <t>A 48722-2023</t>
        </is>
      </c>
      <c r="B723" s="1" t="n">
        <v>45208.70996527778</v>
      </c>
      <c r="C723" s="1" t="n">
        <v>45910</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35235-2024</t>
        </is>
      </c>
      <c r="B724" s="1" t="n">
        <v>45530</v>
      </c>
      <c r="C724" s="1" t="n">
        <v>45910</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1448-2023</t>
        </is>
      </c>
      <c r="B725" s="1" t="n">
        <v>44937</v>
      </c>
      <c r="C725" s="1" t="n">
        <v>45910</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20144-2023</t>
        </is>
      </c>
      <c r="B726" s="1" t="n">
        <v>45055.43509259259</v>
      </c>
      <c r="C726" s="1" t="n">
        <v>45910</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53312-2024</t>
        </is>
      </c>
      <c r="B727" s="1" t="n">
        <v>45614.39627314815</v>
      </c>
      <c r="C727" s="1" t="n">
        <v>45910</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33702-2025</t>
        </is>
      </c>
      <c r="B728" s="1" t="n">
        <v>45841.74596064815</v>
      </c>
      <c r="C728" s="1" t="n">
        <v>45910</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39202-2024</t>
        </is>
      </c>
      <c r="B729" s="1" t="n">
        <v>45548.72306712963</v>
      </c>
      <c r="C729" s="1" t="n">
        <v>45910</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33211-2025</t>
        </is>
      </c>
      <c r="B730" s="1" t="n">
        <v>45840.62755787037</v>
      </c>
      <c r="C730" s="1" t="n">
        <v>45910</v>
      </c>
      <c r="D730" t="inlineStr">
        <is>
          <t>STOCKHOLMS LÄN</t>
        </is>
      </c>
      <c r="E730" t="inlineStr">
        <is>
          <t>NORRTÄLJE</t>
        </is>
      </c>
      <c r="G730" t="n">
        <v>5.1</v>
      </c>
      <c r="H730" t="n">
        <v>0</v>
      </c>
      <c r="I730" t="n">
        <v>0</v>
      </c>
      <c r="J730" t="n">
        <v>0</v>
      </c>
      <c r="K730" t="n">
        <v>0</v>
      </c>
      <c r="L730" t="n">
        <v>0</v>
      </c>
      <c r="M730" t="n">
        <v>0</v>
      </c>
      <c r="N730" t="n">
        <v>0</v>
      </c>
      <c r="O730" t="n">
        <v>0</v>
      </c>
      <c r="P730" t="n">
        <v>0</v>
      </c>
      <c r="Q730" t="n">
        <v>0</v>
      </c>
      <c r="R730" s="2" t="inlineStr"/>
    </row>
    <row r="731" ht="15" customHeight="1">
      <c r="A731" t="inlineStr">
        <is>
          <t>A 22756-2022</t>
        </is>
      </c>
      <c r="B731" s="1" t="n">
        <v>44714.92253472222</v>
      </c>
      <c r="C731" s="1" t="n">
        <v>45910</v>
      </c>
      <c r="D731" t="inlineStr">
        <is>
          <t>STOCKHOLMS LÄN</t>
        </is>
      </c>
      <c r="E731" t="inlineStr">
        <is>
          <t>NORRTÄLJE</t>
        </is>
      </c>
      <c r="G731" t="n">
        <v>1</v>
      </c>
      <c r="H731" t="n">
        <v>0</v>
      </c>
      <c r="I731" t="n">
        <v>0</v>
      </c>
      <c r="J731" t="n">
        <v>0</v>
      </c>
      <c r="K731" t="n">
        <v>0</v>
      </c>
      <c r="L731" t="n">
        <v>0</v>
      </c>
      <c r="M731" t="n">
        <v>0</v>
      </c>
      <c r="N731" t="n">
        <v>0</v>
      </c>
      <c r="O731" t="n">
        <v>0</v>
      </c>
      <c r="P731" t="n">
        <v>0</v>
      </c>
      <c r="Q731" t="n">
        <v>0</v>
      </c>
      <c r="R731" s="2" t="inlineStr"/>
    </row>
    <row r="732" ht="15" customHeight="1">
      <c r="A732" t="inlineStr">
        <is>
          <t>A 4581-2025</t>
        </is>
      </c>
      <c r="B732" s="1" t="n">
        <v>45687</v>
      </c>
      <c r="C732" s="1" t="n">
        <v>45910</v>
      </c>
      <c r="D732" t="inlineStr">
        <is>
          <t>STOCKHOLMS LÄN</t>
        </is>
      </c>
      <c r="E732" t="inlineStr">
        <is>
          <t>NORRTÄLJE</t>
        </is>
      </c>
      <c r="F732" t="inlineStr">
        <is>
          <t>Holmen skog AB</t>
        </is>
      </c>
      <c r="G732" t="n">
        <v>2.8</v>
      </c>
      <c r="H732" t="n">
        <v>0</v>
      </c>
      <c r="I732" t="n">
        <v>0</v>
      </c>
      <c r="J732" t="n">
        <v>0</v>
      </c>
      <c r="K732" t="n">
        <v>0</v>
      </c>
      <c r="L732" t="n">
        <v>0</v>
      </c>
      <c r="M732" t="n">
        <v>0</v>
      </c>
      <c r="N732" t="n">
        <v>0</v>
      </c>
      <c r="O732" t="n">
        <v>0</v>
      </c>
      <c r="P732" t="n">
        <v>0</v>
      </c>
      <c r="Q732" t="n">
        <v>0</v>
      </c>
      <c r="R732" s="2" t="inlineStr"/>
    </row>
    <row r="733" ht="15" customHeight="1">
      <c r="A733" t="inlineStr">
        <is>
          <t>A 8736-2024</t>
        </is>
      </c>
      <c r="B733" s="1" t="n">
        <v>45356.4722800926</v>
      </c>
      <c r="C733" s="1" t="n">
        <v>45910</v>
      </c>
      <c r="D733" t="inlineStr">
        <is>
          <t>STOCKHOLMS LÄN</t>
        </is>
      </c>
      <c r="E733" t="inlineStr">
        <is>
          <t>NORRTÄLJE</t>
        </is>
      </c>
      <c r="G733" t="n">
        <v>8.9</v>
      </c>
      <c r="H733" t="n">
        <v>0</v>
      </c>
      <c r="I733" t="n">
        <v>0</v>
      </c>
      <c r="J733" t="n">
        <v>0</v>
      </c>
      <c r="K733" t="n">
        <v>0</v>
      </c>
      <c r="L733" t="n">
        <v>0</v>
      </c>
      <c r="M733" t="n">
        <v>0</v>
      </c>
      <c r="N733" t="n">
        <v>0</v>
      </c>
      <c r="O733" t="n">
        <v>0</v>
      </c>
      <c r="P733" t="n">
        <v>0</v>
      </c>
      <c r="Q733" t="n">
        <v>0</v>
      </c>
      <c r="R733" s="2" t="inlineStr"/>
    </row>
    <row r="734" ht="15" customHeight="1">
      <c r="A734" t="inlineStr">
        <is>
          <t>A 38153-2025</t>
        </is>
      </c>
      <c r="B734" s="1" t="n">
        <v>45882.59722222222</v>
      </c>
      <c r="C734" s="1" t="n">
        <v>45910</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33265-2025</t>
        </is>
      </c>
      <c r="B735" s="1" t="n">
        <v>45840.67829861111</v>
      </c>
      <c r="C735" s="1" t="n">
        <v>45910</v>
      </c>
      <c r="D735" t="inlineStr">
        <is>
          <t>STOCKHOLMS LÄN</t>
        </is>
      </c>
      <c r="E735" t="inlineStr">
        <is>
          <t>NORRTÄLJE</t>
        </is>
      </c>
      <c r="G735" t="n">
        <v>5.5</v>
      </c>
      <c r="H735" t="n">
        <v>0</v>
      </c>
      <c r="I735" t="n">
        <v>0</v>
      </c>
      <c r="J735" t="n">
        <v>0</v>
      </c>
      <c r="K735" t="n">
        <v>0</v>
      </c>
      <c r="L735" t="n">
        <v>0</v>
      </c>
      <c r="M735" t="n">
        <v>0</v>
      </c>
      <c r="N735" t="n">
        <v>0</v>
      </c>
      <c r="O735" t="n">
        <v>0</v>
      </c>
      <c r="P735" t="n">
        <v>0</v>
      </c>
      <c r="Q735" t="n">
        <v>0</v>
      </c>
      <c r="R735" s="2" t="inlineStr"/>
    </row>
    <row r="736" ht="15" customHeight="1">
      <c r="A736" t="inlineStr">
        <is>
          <t>A 33149-2022</t>
        </is>
      </c>
      <c r="B736" s="1" t="n">
        <v>44785</v>
      </c>
      <c r="C736" s="1" t="n">
        <v>45910</v>
      </c>
      <c r="D736" t="inlineStr">
        <is>
          <t>STOCKHOLMS LÄN</t>
        </is>
      </c>
      <c r="E736" t="inlineStr">
        <is>
          <t>NORRTÄLJE</t>
        </is>
      </c>
      <c r="F736" t="inlineStr">
        <is>
          <t>Holmen skog AB</t>
        </is>
      </c>
      <c r="G736" t="n">
        <v>4.4</v>
      </c>
      <c r="H736" t="n">
        <v>0</v>
      </c>
      <c r="I736" t="n">
        <v>0</v>
      </c>
      <c r="J736" t="n">
        <v>0</v>
      </c>
      <c r="K736" t="n">
        <v>0</v>
      </c>
      <c r="L736" t="n">
        <v>0</v>
      </c>
      <c r="M736" t="n">
        <v>0</v>
      </c>
      <c r="N736" t="n">
        <v>0</v>
      </c>
      <c r="O736" t="n">
        <v>0</v>
      </c>
      <c r="P736" t="n">
        <v>0</v>
      </c>
      <c r="Q736" t="n">
        <v>0</v>
      </c>
      <c r="R736" s="2" t="inlineStr"/>
    </row>
    <row r="737" ht="15" customHeight="1">
      <c r="A737" t="inlineStr">
        <is>
          <t>A 33552-2025</t>
        </is>
      </c>
      <c r="B737" s="1" t="n">
        <v>45841.5737962963</v>
      </c>
      <c r="C737" s="1" t="n">
        <v>45910</v>
      </c>
      <c r="D737" t="inlineStr">
        <is>
          <t>STOCKHOLMS LÄN</t>
        </is>
      </c>
      <c r="E737" t="inlineStr">
        <is>
          <t>NORRTÄLJE</t>
        </is>
      </c>
      <c r="G737" t="n">
        <v>8.9</v>
      </c>
      <c r="H737" t="n">
        <v>0</v>
      </c>
      <c r="I737" t="n">
        <v>0</v>
      </c>
      <c r="J737" t="n">
        <v>0</v>
      </c>
      <c r="K737" t="n">
        <v>0</v>
      </c>
      <c r="L737" t="n">
        <v>0</v>
      </c>
      <c r="M737" t="n">
        <v>0</v>
      </c>
      <c r="N737" t="n">
        <v>0</v>
      </c>
      <c r="O737" t="n">
        <v>0</v>
      </c>
      <c r="P737" t="n">
        <v>0</v>
      </c>
      <c r="Q737" t="n">
        <v>0</v>
      </c>
      <c r="R737" s="2" t="inlineStr"/>
    </row>
    <row r="738" ht="15" customHeight="1">
      <c r="A738" t="inlineStr">
        <is>
          <t>A 33336-2025</t>
        </is>
      </c>
      <c r="B738" s="1" t="n">
        <v>45841.35611111111</v>
      </c>
      <c r="C738" s="1" t="n">
        <v>45910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33824-2025</t>
        </is>
      </c>
      <c r="B739" s="1" t="n">
        <v>45842.46885416667</v>
      </c>
      <c r="C739" s="1" t="n">
        <v>45910</v>
      </c>
      <c r="D739" t="inlineStr">
        <is>
          <t>STOCKHOLMS LÄN</t>
        </is>
      </c>
      <c r="E739" t="inlineStr">
        <is>
          <t>NORRTÄLJE</t>
        </is>
      </c>
      <c r="G739" t="n">
        <v>1.9</v>
      </c>
      <c r="H739" t="n">
        <v>0</v>
      </c>
      <c r="I739" t="n">
        <v>0</v>
      </c>
      <c r="J739" t="n">
        <v>0</v>
      </c>
      <c r="K739" t="n">
        <v>0</v>
      </c>
      <c r="L739" t="n">
        <v>0</v>
      </c>
      <c r="M739" t="n">
        <v>0</v>
      </c>
      <c r="N739" t="n">
        <v>0</v>
      </c>
      <c r="O739" t="n">
        <v>0</v>
      </c>
      <c r="P739" t="n">
        <v>0</v>
      </c>
      <c r="Q739" t="n">
        <v>0</v>
      </c>
      <c r="R739" s="2" t="inlineStr"/>
    </row>
    <row r="740" ht="15" customHeight="1">
      <c r="A740" t="inlineStr">
        <is>
          <t>A 60765-2023</t>
        </is>
      </c>
      <c r="B740" s="1" t="n">
        <v>45260</v>
      </c>
      <c r="C740" s="1" t="n">
        <v>45910</v>
      </c>
      <c r="D740" t="inlineStr">
        <is>
          <t>STOCKHOLMS LÄN</t>
        </is>
      </c>
      <c r="E740" t="inlineStr">
        <is>
          <t>NORRTÄLJE</t>
        </is>
      </c>
      <c r="G740" t="n">
        <v>3.7</v>
      </c>
      <c r="H740" t="n">
        <v>0</v>
      </c>
      <c r="I740" t="n">
        <v>0</v>
      </c>
      <c r="J740" t="n">
        <v>0</v>
      </c>
      <c r="K740" t="n">
        <v>0</v>
      </c>
      <c r="L740" t="n">
        <v>0</v>
      </c>
      <c r="M740" t="n">
        <v>0</v>
      </c>
      <c r="N740" t="n">
        <v>0</v>
      </c>
      <c r="O740" t="n">
        <v>0</v>
      </c>
      <c r="P740" t="n">
        <v>0</v>
      </c>
      <c r="Q740" t="n">
        <v>0</v>
      </c>
      <c r="R740" s="2" t="inlineStr"/>
    </row>
    <row r="741" ht="15" customHeight="1">
      <c r="A741" t="inlineStr">
        <is>
          <t>A 23801-2022</t>
        </is>
      </c>
      <c r="B741" s="1" t="n">
        <v>44722</v>
      </c>
      <c r="C741" s="1" t="n">
        <v>45910</v>
      </c>
      <c r="D741" t="inlineStr">
        <is>
          <t>STOCKHOLMS LÄN</t>
        </is>
      </c>
      <c r="E741" t="inlineStr">
        <is>
          <t>NORRTÄLJE</t>
        </is>
      </c>
      <c r="G741" t="n">
        <v>6.8</v>
      </c>
      <c r="H741" t="n">
        <v>0</v>
      </c>
      <c r="I741" t="n">
        <v>0</v>
      </c>
      <c r="J741" t="n">
        <v>0</v>
      </c>
      <c r="K741" t="n">
        <v>0</v>
      </c>
      <c r="L741" t="n">
        <v>0</v>
      </c>
      <c r="M741" t="n">
        <v>0</v>
      </c>
      <c r="N741" t="n">
        <v>0</v>
      </c>
      <c r="O741" t="n">
        <v>0</v>
      </c>
      <c r="P741" t="n">
        <v>0</v>
      </c>
      <c r="Q741" t="n">
        <v>0</v>
      </c>
      <c r="R741" s="2" t="inlineStr"/>
    </row>
    <row r="742" ht="15" customHeight="1">
      <c r="A742" t="inlineStr">
        <is>
          <t>A 34006-2025</t>
        </is>
      </c>
      <c r="B742" s="1" t="n">
        <v>45844.62609953704</v>
      </c>
      <c r="C742" s="1" t="n">
        <v>45910</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34139-2025</t>
        </is>
      </c>
      <c r="B743" s="1" t="n">
        <v>45845</v>
      </c>
      <c r="C743" s="1" t="n">
        <v>45910</v>
      </c>
      <c r="D743" t="inlineStr">
        <is>
          <t>STOCKHOLMS LÄN</t>
        </is>
      </c>
      <c r="E743" t="inlineStr">
        <is>
          <t>NORRTÄLJE</t>
        </is>
      </c>
      <c r="G743" t="n">
        <v>5.5</v>
      </c>
      <c r="H743" t="n">
        <v>0</v>
      </c>
      <c r="I743" t="n">
        <v>0</v>
      </c>
      <c r="J743" t="n">
        <v>0</v>
      </c>
      <c r="K743" t="n">
        <v>0</v>
      </c>
      <c r="L743" t="n">
        <v>0</v>
      </c>
      <c r="M743" t="n">
        <v>0</v>
      </c>
      <c r="N743" t="n">
        <v>0</v>
      </c>
      <c r="O743" t="n">
        <v>0</v>
      </c>
      <c r="P743" t="n">
        <v>0</v>
      </c>
      <c r="Q743" t="n">
        <v>0</v>
      </c>
      <c r="R743" s="2" t="inlineStr"/>
    </row>
    <row r="744" ht="15" customHeight="1">
      <c r="A744" t="inlineStr">
        <is>
          <t>A 46071-2024</t>
        </is>
      </c>
      <c r="B744" s="1" t="n">
        <v>45581</v>
      </c>
      <c r="C744" s="1" t="n">
        <v>45910</v>
      </c>
      <c r="D744" t="inlineStr">
        <is>
          <t>STOCKHOLMS LÄN</t>
        </is>
      </c>
      <c r="E744" t="inlineStr">
        <is>
          <t>NORRTÄLJE</t>
        </is>
      </c>
      <c r="G744" t="n">
        <v>2.3</v>
      </c>
      <c r="H744" t="n">
        <v>0</v>
      </c>
      <c r="I744" t="n">
        <v>0</v>
      </c>
      <c r="J744" t="n">
        <v>0</v>
      </c>
      <c r="K744" t="n">
        <v>0</v>
      </c>
      <c r="L744" t="n">
        <v>0</v>
      </c>
      <c r="M744" t="n">
        <v>0</v>
      </c>
      <c r="N744" t="n">
        <v>0</v>
      </c>
      <c r="O744" t="n">
        <v>0</v>
      </c>
      <c r="P744" t="n">
        <v>0</v>
      </c>
      <c r="Q744" t="n">
        <v>0</v>
      </c>
      <c r="R744" s="2" t="inlineStr"/>
    </row>
    <row r="745" ht="15" customHeight="1">
      <c r="A745" t="inlineStr">
        <is>
          <t>A 59276-2023</t>
        </is>
      </c>
      <c r="B745" s="1" t="n">
        <v>45253.55641203704</v>
      </c>
      <c r="C745" s="1" t="n">
        <v>45910</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46914-2022</t>
        </is>
      </c>
      <c r="B746" s="1" t="n">
        <v>44851</v>
      </c>
      <c r="C746" s="1" t="n">
        <v>45910</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53607-2020</t>
        </is>
      </c>
      <c r="B747" s="1" t="n">
        <v>44124</v>
      </c>
      <c r="C747" s="1" t="n">
        <v>45910</v>
      </c>
      <c r="D747" t="inlineStr">
        <is>
          <t>STOCKHOLMS LÄN</t>
        </is>
      </c>
      <c r="E747" t="inlineStr">
        <is>
          <t>NORRTÄLJE</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34010-2025</t>
        </is>
      </c>
      <c r="B748" s="1" t="n">
        <v>45844.91234953704</v>
      </c>
      <c r="C748" s="1" t="n">
        <v>45910</v>
      </c>
      <c r="D748" t="inlineStr">
        <is>
          <t>STOCKHOLMS LÄN</t>
        </is>
      </c>
      <c r="E748" t="inlineStr">
        <is>
          <t>NORRTÄLJE</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18541-2023</t>
        </is>
      </c>
      <c r="B749" s="1" t="n">
        <v>45042.74291666667</v>
      </c>
      <c r="C749" s="1" t="n">
        <v>45910</v>
      </c>
      <c r="D749" t="inlineStr">
        <is>
          <t>STOCKHOLMS LÄN</t>
        </is>
      </c>
      <c r="E749" t="inlineStr">
        <is>
          <t>NORRTÄLJE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38593-2025</t>
        </is>
      </c>
      <c r="B750" s="1" t="n">
        <v>45884.48696759259</v>
      </c>
      <c r="C750" s="1" t="n">
        <v>45910</v>
      </c>
      <c r="D750" t="inlineStr">
        <is>
          <t>STOCKHOLMS LÄN</t>
        </is>
      </c>
      <c r="E750" t="inlineStr">
        <is>
          <t>NORRTÄLJE</t>
        </is>
      </c>
      <c r="G750" t="n">
        <v>3</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45910</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26407-2024</t>
        </is>
      </c>
      <c r="B752" s="1" t="n">
        <v>45469</v>
      </c>
      <c r="C752" s="1" t="n">
        <v>45910</v>
      </c>
      <c r="D752" t="inlineStr">
        <is>
          <t>STOCKHOLMS LÄN</t>
        </is>
      </c>
      <c r="E752" t="inlineStr">
        <is>
          <t>NORRTÄLJE</t>
        </is>
      </c>
      <c r="G752" t="n">
        <v>3.5</v>
      </c>
      <c r="H752" t="n">
        <v>0</v>
      </c>
      <c r="I752" t="n">
        <v>0</v>
      </c>
      <c r="J752" t="n">
        <v>0</v>
      </c>
      <c r="K752" t="n">
        <v>0</v>
      </c>
      <c r="L752" t="n">
        <v>0</v>
      </c>
      <c r="M752" t="n">
        <v>0</v>
      </c>
      <c r="N752" t="n">
        <v>0</v>
      </c>
      <c r="O752" t="n">
        <v>0</v>
      </c>
      <c r="P752" t="n">
        <v>0</v>
      </c>
      <c r="Q752" t="n">
        <v>0</v>
      </c>
      <c r="R752" s="2" t="inlineStr"/>
    </row>
    <row r="753" ht="15" customHeight="1">
      <c r="A753" t="inlineStr">
        <is>
          <t>A 12890-2024</t>
        </is>
      </c>
      <c r="B753" s="1" t="n">
        <v>45385.36243055556</v>
      </c>
      <c r="C753" s="1" t="n">
        <v>45910</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36689-2023</t>
        </is>
      </c>
      <c r="B754" s="1" t="n">
        <v>45152</v>
      </c>
      <c r="C754" s="1" t="n">
        <v>45910</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46073-2024</t>
        </is>
      </c>
      <c r="B755" s="1" t="n">
        <v>45581</v>
      </c>
      <c r="C755" s="1" t="n">
        <v>45910</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47419-2023</t>
        </is>
      </c>
      <c r="B756" s="1" t="n">
        <v>45202.65660879629</v>
      </c>
      <c r="C756" s="1" t="n">
        <v>45910</v>
      </c>
      <c r="D756" t="inlineStr">
        <is>
          <t>STOCKHOLMS LÄN</t>
        </is>
      </c>
      <c r="E756" t="inlineStr">
        <is>
          <t>NORRTÄLJE</t>
        </is>
      </c>
      <c r="G756" t="n">
        <v>11.4</v>
      </c>
      <c r="H756" t="n">
        <v>0</v>
      </c>
      <c r="I756" t="n">
        <v>0</v>
      </c>
      <c r="J756" t="n">
        <v>0</v>
      </c>
      <c r="K756" t="n">
        <v>0</v>
      </c>
      <c r="L756" t="n">
        <v>0</v>
      </c>
      <c r="M756" t="n">
        <v>0</v>
      </c>
      <c r="N756" t="n">
        <v>0</v>
      </c>
      <c r="O756" t="n">
        <v>0</v>
      </c>
      <c r="P756" t="n">
        <v>0</v>
      </c>
      <c r="Q756" t="n">
        <v>0</v>
      </c>
      <c r="R756" s="2" t="inlineStr"/>
    </row>
    <row r="757" ht="15" customHeight="1">
      <c r="A757" t="inlineStr">
        <is>
          <t>A 23070-2023</t>
        </is>
      </c>
      <c r="B757" s="1" t="n">
        <v>45075</v>
      </c>
      <c r="C757" s="1" t="n">
        <v>45910</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6537-2024</t>
        </is>
      </c>
      <c r="B758" s="1" t="n">
        <v>45341.39853009259</v>
      </c>
      <c r="C758" s="1" t="n">
        <v>45910</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40175-2024</t>
        </is>
      </c>
      <c r="B759" s="1" t="n">
        <v>45554.55707175926</v>
      </c>
      <c r="C759" s="1" t="n">
        <v>45910</v>
      </c>
      <c r="D759" t="inlineStr">
        <is>
          <t>STOCKHOLMS LÄN</t>
        </is>
      </c>
      <c r="E759" t="inlineStr">
        <is>
          <t>NORRTÄLJE</t>
        </is>
      </c>
      <c r="G759" t="n">
        <v>7.7</v>
      </c>
      <c r="H759" t="n">
        <v>0</v>
      </c>
      <c r="I759" t="n">
        <v>0</v>
      </c>
      <c r="J759" t="n">
        <v>0</v>
      </c>
      <c r="K759" t="n">
        <v>0</v>
      </c>
      <c r="L759" t="n">
        <v>0</v>
      </c>
      <c r="M759" t="n">
        <v>0</v>
      </c>
      <c r="N759" t="n">
        <v>0</v>
      </c>
      <c r="O759" t="n">
        <v>0</v>
      </c>
      <c r="P759" t="n">
        <v>0</v>
      </c>
      <c r="Q759" t="n">
        <v>0</v>
      </c>
      <c r="R759" s="2" t="inlineStr"/>
    </row>
    <row r="760" ht="15" customHeight="1">
      <c r="A760" t="inlineStr">
        <is>
          <t>A 27824-2022</t>
        </is>
      </c>
      <c r="B760" s="1" t="n">
        <v>44743.59331018518</v>
      </c>
      <c r="C760" s="1" t="n">
        <v>45910</v>
      </c>
      <c r="D760" t="inlineStr">
        <is>
          <t>STOCKHOLMS LÄN</t>
        </is>
      </c>
      <c r="E760" t="inlineStr">
        <is>
          <t>NORRTÄLJE</t>
        </is>
      </c>
      <c r="F760" t="inlineStr">
        <is>
          <t>Kommuner</t>
        </is>
      </c>
      <c r="G760" t="n">
        <v>3.1</v>
      </c>
      <c r="H760" t="n">
        <v>0</v>
      </c>
      <c r="I760" t="n">
        <v>0</v>
      </c>
      <c r="J760" t="n">
        <v>0</v>
      </c>
      <c r="K760" t="n">
        <v>0</v>
      </c>
      <c r="L760" t="n">
        <v>0</v>
      </c>
      <c r="M760" t="n">
        <v>0</v>
      </c>
      <c r="N760" t="n">
        <v>0</v>
      </c>
      <c r="O760" t="n">
        <v>0</v>
      </c>
      <c r="P760" t="n">
        <v>0</v>
      </c>
      <c r="Q760" t="n">
        <v>0</v>
      </c>
      <c r="R760" s="2" t="inlineStr"/>
    </row>
    <row r="761" ht="15" customHeight="1">
      <c r="A761" t="inlineStr">
        <is>
          <t>A 54558-2024</t>
        </is>
      </c>
      <c r="B761" s="1" t="n">
        <v>45617.62358796296</v>
      </c>
      <c r="C761" s="1" t="n">
        <v>45910</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25619-2022</t>
        </is>
      </c>
      <c r="B762" s="1" t="n">
        <v>44732</v>
      </c>
      <c r="C762" s="1" t="n">
        <v>45910</v>
      </c>
      <c r="D762" t="inlineStr">
        <is>
          <t>STOCKHOLMS LÄN</t>
        </is>
      </c>
      <c r="E762" t="inlineStr">
        <is>
          <t>NORRTÄLJE</t>
        </is>
      </c>
      <c r="G762" t="n">
        <v>3.9</v>
      </c>
      <c r="H762" t="n">
        <v>0</v>
      </c>
      <c r="I762" t="n">
        <v>0</v>
      </c>
      <c r="J762" t="n">
        <v>0</v>
      </c>
      <c r="K762" t="n">
        <v>0</v>
      </c>
      <c r="L762" t="n">
        <v>0</v>
      </c>
      <c r="M762" t="n">
        <v>0</v>
      </c>
      <c r="N762" t="n">
        <v>0</v>
      </c>
      <c r="O762" t="n">
        <v>0</v>
      </c>
      <c r="P762" t="n">
        <v>0</v>
      </c>
      <c r="Q762" t="n">
        <v>0</v>
      </c>
      <c r="R762" s="2" t="inlineStr"/>
    </row>
    <row r="763" ht="15" customHeight="1">
      <c r="A763" t="inlineStr">
        <is>
          <t>A 23056-2023</t>
        </is>
      </c>
      <c r="B763" s="1" t="n">
        <v>45075</v>
      </c>
      <c r="C763" s="1" t="n">
        <v>45910</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67393-2020</t>
        </is>
      </c>
      <c r="B764" s="1" t="n">
        <v>44181</v>
      </c>
      <c r="C764" s="1" t="n">
        <v>45910</v>
      </c>
      <c r="D764" t="inlineStr">
        <is>
          <t>STOCKHOLMS LÄN</t>
        </is>
      </c>
      <c r="E764" t="inlineStr">
        <is>
          <t>NORRTÄLJE</t>
        </is>
      </c>
      <c r="G764" t="n">
        <v>5.5</v>
      </c>
      <c r="H764" t="n">
        <v>0</v>
      </c>
      <c r="I764" t="n">
        <v>0</v>
      </c>
      <c r="J764" t="n">
        <v>0</v>
      </c>
      <c r="K764" t="n">
        <v>0</v>
      </c>
      <c r="L764" t="n">
        <v>0</v>
      </c>
      <c r="M764" t="n">
        <v>0</v>
      </c>
      <c r="N764" t="n">
        <v>0</v>
      </c>
      <c r="O764" t="n">
        <v>0</v>
      </c>
      <c r="P764" t="n">
        <v>0</v>
      </c>
      <c r="Q764" t="n">
        <v>0</v>
      </c>
      <c r="R764" s="2" t="inlineStr"/>
    </row>
    <row r="765" ht="15" customHeight="1">
      <c r="A765" t="inlineStr">
        <is>
          <t>A 47431-2023</t>
        </is>
      </c>
      <c r="B765" s="1" t="n">
        <v>45202</v>
      </c>
      <c r="C765" s="1" t="n">
        <v>45910</v>
      </c>
      <c r="D765" t="inlineStr">
        <is>
          <t>STOCKHOLMS LÄN</t>
        </is>
      </c>
      <c r="E765" t="inlineStr">
        <is>
          <t>NORRTÄLJE</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36246-2021</t>
        </is>
      </c>
      <c r="B766" s="1" t="n">
        <v>44390</v>
      </c>
      <c r="C766" s="1" t="n">
        <v>45910</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19952-2023</t>
        </is>
      </c>
      <c r="B767" s="1" t="n">
        <v>45054.54091435186</v>
      </c>
      <c r="C767" s="1" t="n">
        <v>45910</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19994-2023</t>
        </is>
      </c>
      <c r="B768" s="1" t="n">
        <v>45054</v>
      </c>
      <c r="C768" s="1" t="n">
        <v>45910</v>
      </c>
      <c r="D768" t="inlineStr">
        <is>
          <t>STOCKHOLMS LÄN</t>
        </is>
      </c>
      <c r="E768" t="inlineStr">
        <is>
          <t>NORRTÄLJE</t>
        </is>
      </c>
      <c r="G768" t="n">
        <v>4.3</v>
      </c>
      <c r="H768" t="n">
        <v>0</v>
      </c>
      <c r="I768" t="n">
        <v>0</v>
      </c>
      <c r="J768" t="n">
        <v>0</v>
      </c>
      <c r="K768" t="n">
        <v>0</v>
      </c>
      <c r="L768" t="n">
        <v>0</v>
      </c>
      <c r="M768" t="n">
        <v>0</v>
      </c>
      <c r="N768" t="n">
        <v>0</v>
      </c>
      <c r="O768" t="n">
        <v>0</v>
      </c>
      <c r="P768" t="n">
        <v>0</v>
      </c>
      <c r="Q768" t="n">
        <v>0</v>
      </c>
      <c r="R768" s="2" t="inlineStr"/>
    </row>
    <row r="769" ht="15" customHeight="1">
      <c r="A769" t="inlineStr">
        <is>
          <t>A 59499-2023</t>
        </is>
      </c>
      <c r="B769" s="1" t="n">
        <v>45254</v>
      </c>
      <c r="C769" s="1" t="n">
        <v>45910</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59468-2023</t>
        </is>
      </c>
      <c r="B770" s="1" t="n">
        <v>45254.41509259259</v>
      </c>
      <c r="C770" s="1" t="n">
        <v>45910</v>
      </c>
      <c r="D770" t="inlineStr">
        <is>
          <t>STOCKHOLMS LÄN</t>
        </is>
      </c>
      <c r="E770" t="inlineStr">
        <is>
          <t>NORRTÄLJE</t>
        </is>
      </c>
      <c r="G770" t="n">
        <v>1.7</v>
      </c>
      <c r="H770" t="n">
        <v>0</v>
      </c>
      <c r="I770" t="n">
        <v>0</v>
      </c>
      <c r="J770" t="n">
        <v>0</v>
      </c>
      <c r="K770" t="n">
        <v>0</v>
      </c>
      <c r="L770" t="n">
        <v>0</v>
      </c>
      <c r="M770" t="n">
        <v>0</v>
      </c>
      <c r="N770" t="n">
        <v>0</v>
      </c>
      <c r="O770" t="n">
        <v>0</v>
      </c>
      <c r="P770" t="n">
        <v>0</v>
      </c>
      <c r="Q770" t="n">
        <v>0</v>
      </c>
      <c r="R770" s="2" t="inlineStr"/>
    </row>
    <row r="771" ht="15" customHeight="1">
      <c r="A771" t="inlineStr">
        <is>
          <t>A 14130-2025</t>
        </is>
      </c>
      <c r="B771" s="1" t="n">
        <v>45740.47288194444</v>
      </c>
      <c r="C771" s="1" t="n">
        <v>45910</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39149-2025</t>
        </is>
      </c>
      <c r="B772" s="1" t="n">
        <v>45888.60714120371</v>
      </c>
      <c r="C772" s="1" t="n">
        <v>45910</v>
      </c>
      <c r="D772" t="inlineStr">
        <is>
          <t>STOCKHOLMS LÄN</t>
        </is>
      </c>
      <c r="E772" t="inlineStr">
        <is>
          <t>NORRTÄLJE</t>
        </is>
      </c>
      <c r="G772" t="n">
        <v>3.5</v>
      </c>
      <c r="H772" t="n">
        <v>0</v>
      </c>
      <c r="I772" t="n">
        <v>0</v>
      </c>
      <c r="J772" t="n">
        <v>0</v>
      </c>
      <c r="K772" t="n">
        <v>0</v>
      </c>
      <c r="L772" t="n">
        <v>0</v>
      </c>
      <c r="M772" t="n">
        <v>0</v>
      </c>
      <c r="N772" t="n">
        <v>0</v>
      </c>
      <c r="O772" t="n">
        <v>0</v>
      </c>
      <c r="P772" t="n">
        <v>0</v>
      </c>
      <c r="Q772" t="n">
        <v>0</v>
      </c>
      <c r="R772" s="2" t="inlineStr"/>
    </row>
    <row r="773" ht="15" customHeight="1">
      <c r="A773" t="inlineStr">
        <is>
          <t>A 12532-2025</t>
        </is>
      </c>
      <c r="B773" s="1" t="n">
        <v>45730.69143518519</v>
      </c>
      <c r="C773" s="1" t="n">
        <v>45910</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5732-2023</t>
        </is>
      </c>
      <c r="B774" s="1" t="n">
        <v>44962</v>
      </c>
      <c r="C774" s="1" t="n">
        <v>45910</v>
      </c>
      <c r="D774" t="inlineStr">
        <is>
          <t>STOCKHOLMS LÄN</t>
        </is>
      </c>
      <c r="E774" t="inlineStr">
        <is>
          <t>NORRTÄLJE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574-2023</t>
        </is>
      </c>
      <c r="B775" s="1" t="n">
        <v>44925</v>
      </c>
      <c r="C775" s="1" t="n">
        <v>45910</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10653-2022</t>
        </is>
      </c>
      <c r="B776" s="1" t="n">
        <v>44624.59434027778</v>
      </c>
      <c r="C776" s="1" t="n">
        <v>45910</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30283-2022</t>
        </is>
      </c>
      <c r="B777" s="1" t="n">
        <v>44760</v>
      </c>
      <c r="C777" s="1" t="n">
        <v>45910</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30290-2022</t>
        </is>
      </c>
      <c r="B778" s="1" t="n">
        <v>44760</v>
      </c>
      <c r="C778" s="1" t="n">
        <v>45910</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21729-2024</t>
        </is>
      </c>
      <c r="B779" s="1" t="n">
        <v>45442</v>
      </c>
      <c r="C779" s="1" t="n">
        <v>45910</v>
      </c>
      <c r="D779" t="inlineStr">
        <is>
          <t>STOCKHOLMS LÄN</t>
        </is>
      </c>
      <c r="E779" t="inlineStr">
        <is>
          <t>NORRTÄLJE</t>
        </is>
      </c>
      <c r="G779" t="n">
        <v>2.2</v>
      </c>
      <c r="H779" t="n">
        <v>0</v>
      </c>
      <c r="I779" t="n">
        <v>0</v>
      </c>
      <c r="J779" t="n">
        <v>0</v>
      </c>
      <c r="K779" t="n">
        <v>0</v>
      </c>
      <c r="L779" t="n">
        <v>0</v>
      </c>
      <c r="M779" t="n">
        <v>0</v>
      </c>
      <c r="N779" t="n">
        <v>0</v>
      </c>
      <c r="O779" t="n">
        <v>0</v>
      </c>
      <c r="P779" t="n">
        <v>0</v>
      </c>
      <c r="Q779" t="n">
        <v>0</v>
      </c>
      <c r="R779" s="2" t="inlineStr"/>
    </row>
    <row r="780" ht="15" customHeight="1">
      <c r="A780" t="inlineStr">
        <is>
          <t>A 3143-2021</t>
        </is>
      </c>
      <c r="B780" s="1" t="n">
        <v>44217.40149305556</v>
      </c>
      <c r="C780" s="1" t="n">
        <v>45910</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29684-2021</t>
        </is>
      </c>
      <c r="B781" s="1" t="n">
        <v>44362.37172453704</v>
      </c>
      <c r="C781" s="1" t="n">
        <v>45910</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11854-2025</t>
        </is>
      </c>
      <c r="B782" s="1" t="n">
        <v>45728.38924768518</v>
      </c>
      <c r="C782" s="1" t="n">
        <v>45910</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14762-2024</t>
        </is>
      </c>
      <c r="B783" s="1" t="n">
        <v>45397</v>
      </c>
      <c r="C783" s="1" t="n">
        <v>45910</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60884-2024</t>
        </is>
      </c>
      <c r="B784" s="1" t="n">
        <v>45644.90815972222</v>
      </c>
      <c r="C784" s="1" t="n">
        <v>45910</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38610-2022</t>
        </is>
      </c>
      <c r="B785" s="1" t="n">
        <v>44813.59915509259</v>
      </c>
      <c r="C785" s="1" t="n">
        <v>45910</v>
      </c>
      <c r="D785" t="inlineStr">
        <is>
          <t>STOCKHOLMS LÄN</t>
        </is>
      </c>
      <c r="E785" t="inlineStr">
        <is>
          <t>NORRTÄLJE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39610-2025</t>
        </is>
      </c>
      <c r="B786" s="1" t="n">
        <v>45890.56001157407</v>
      </c>
      <c r="C786" s="1" t="n">
        <v>45910</v>
      </c>
      <c r="D786" t="inlineStr">
        <is>
          <t>STOCKHOLMS LÄN</t>
        </is>
      </c>
      <c r="E786" t="inlineStr">
        <is>
          <t>NORRTÄLJE</t>
        </is>
      </c>
      <c r="G786" t="n">
        <v>28.6</v>
      </c>
      <c r="H786" t="n">
        <v>0</v>
      </c>
      <c r="I786" t="n">
        <v>0</v>
      </c>
      <c r="J786" t="n">
        <v>0</v>
      </c>
      <c r="K786" t="n">
        <v>0</v>
      </c>
      <c r="L786" t="n">
        <v>0</v>
      </c>
      <c r="M786" t="n">
        <v>0</v>
      </c>
      <c r="N786" t="n">
        <v>0</v>
      </c>
      <c r="O786" t="n">
        <v>0</v>
      </c>
      <c r="P786" t="n">
        <v>0</v>
      </c>
      <c r="Q786" t="n">
        <v>0</v>
      </c>
      <c r="R786" s="2" t="inlineStr"/>
    </row>
    <row r="787" ht="15" customHeight="1">
      <c r="A787" t="inlineStr">
        <is>
          <t>A 10090-2022</t>
        </is>
      </c>
      <c r="B787" s="1" t="n">
        <v>44621</v>
      </c>
      <c r="C787" s="1" t="n">
        <v>45910</v>
      </c>
      <c r="D787" t="inlineStr">
        <is>
          <t>STOCKHOLMS LÄN</t>
        </is>
      </c>
      <c r="E787" t="inlineStr">
        <is>
          <t>NORRTÄLJE</t>
        </is>
      </c>
      <c r="G787" t="n">
        <v>5.2</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45910</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18846-2022</t>
        </is>
      </c>
      <c r="B789" s="1" t="n">
        <v>44690</v>
      </c>
      <c r="C789" s="1" t="n">
        <v>45910</v>
      </c>
      <c r="D789" t="inlineStr">
        <is>
          <t>STOCKHOLMS LÄN</t>
        </is>
      </c>
      <c r="E789" t="inlineStr">
        <is>
          <t>NORRTÄLJE</t>
        </is>
      </c>
      <c r="G789" t="n">
        <v>7</v>
      </c>
      <c r="H789" t="n">
        <v>0</v>
      </c>
      <c r="I789" t="n">
        <v>0</v>
      </c>
      <c r="J789" t="n">
        <v>0</v>
      </c>
      <c r="K789" t="n">
        <v>0</v>
      </c>
      <c r="L789" t="n">
        <v>0</v>
      </c>
      <c r="M789" t="n">
        <v>0</v>
      </c>
      <c r="N789" t="n">
        <v>0</v>
      </c>
      <c r="O789" t="n">
        <v>0</v>
      </c>
      <c r="P789" t="n">
        <v>0</v>
      </c>
      <c r="Q789" t="n">
        <v>0</v>
      </c>
      <c r="R789" s="2" t="inlineStr"/>
    </row>
    <row r="790" ht="15" customHeight="1">
      <c r="A790" t="inlineStr">
        <is>
          <t>A 43300-2023</t>
        </is>
      </c>
      <c r="B790" s="1" t="n">
        <v>45183</v>
      </c>
      <c r="C790" s="1" t="n">
        <v>45910</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25654-2023</t>
        </is>
      </c>
      <c r="B791" s="1" t="n">
        <v>45089</v>
      </c>
      <c r="C791" s="1" t="n">
        <v>45910</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59712-2024</t>
        </is>
      </c>
      <c r="B792" s="1" t="n">
        <v>45639.45166666667</v>
      </c>
      <c r="C792" s="1" t="n">
        <v>45910</v>
      </c>
      <c r="D792" t="inlineStr">
        <is>
          <t>STOCKHOLMS LÄN</t>
        </is>
      </c>
      <c r="E792" t="inlineStr">
        <is>
          <t>NORRTÄLJE</t>
        </is>
      </c>
      <c r="G792" t="n">
        <v>4.4</v>
      </c>
      <c r="H792" t="n">
        <v>0</v>
      </c>
      <c r="I792" t="n">
        <v>0</v>
      </c>
      <c r="J792" t="n">
        <v>0</v>
      </c>
      <c r="K792" t="n">
        <v>0</v>
      </c>
      <c r="L792" t="n">
        <v>0</v>
      </c>
      <c r="M792" t="n">
        <v>0</v>
      </c>
      <c r="N792" t="n">
        <v>0</v>
      </c>
      <c r="O792" t="n">
        <v>0</v>
      </c>
      <c r="P792" t="n">
        <v>0</v>
      </c>
      <c r="Q792" t="n">
        <v>0</v>
      </c>
      <c r="R792" s="2" t="inlineStr"/>
    </row>
    <row r="793" ht="15" customHeight="1">
      <c r="A793" t="inlineStr">
        <is>
          <t>A 15733-2025</t>
        </is>
      </c>
      <c r="B793" s="1" t="n">
        <v>45748</v>
      </c>
      <c r="C793" s="1" t="n">
        <v>45910</v>
      </c>
      <c r="D793" t="inlineStr">
        <is>
          <t>STOCKHOLMS LÄN</t>
        </is>
      </c>
      <c r="E793" t="inlineStr">
        <is>
          <t>NORRTÄLJE</t>
        </is>
      </c>
      <c r="G793" t="n">
        <v>13.3</v>
      </c>
      <c r="H793" t="n">
        <v>0</v>
      </c>
      <c r="I793" t="n">
        <v>0</v>
      </c>
      <c r="J793" t="n">
        <v>0</v>
      </c>
      <c r="K793" t="n">
        <v>0</v>
      </c>
      <c r="L793" t="n">
        <v>0</v>
      </c>
      <c r="M793" t="n">
        <v>0</v>
      </c>
      <c r="N793" t="n">
        <v>0</v>
      </c>
      <c r="O793" t="n">
        <v>0</v>
      </c>
      <c r="P793" t="n">
        <v>0</v>
      </c>
      <c r="Q793" t="n">
        <v>0</v>
      </c>
      <c r="R793" s="2" t="inlineStr"/>
    </row>
    <row r="794" ht="15" customHeight="1">
      <c r="A794" t="inlineStr">
        <is>
          <t>A 35127-2023</t>
        </is>
      </c>
      <c r="B794" s="1" t="n">
        <v>45145.51</v>
      </c>
      <c r="C794" s="1" t="n">
        <v>45910</v>
      </c>
      <c r="D794" t="inlineStr">
        <is>
          <t>STOCKHOLMS LÄN</t>
        </is>
      </c>
      <c r="E794" t="inlineStr">
        <is>
          <t>NORRTÄLJE</t>
        </is>
      </c>
      <c r="G794" t="n">
        <v>4.7</v>
      </c>
      <c r="H794" t="n">
        <v>0</v>
      </c>
      <c r="I794" t="n">
        <v>0</v>
      </c>
      <c r="J794" t="n">
        <v>0</v>
      </c>
      <c r="K794" t="n">
        <v>0</v>
      </c>
      <c r="L794" t="n">
        <v>0</v>
      </c>
      <c r="M794" t="n">
        <v>0</v>
      </c>
      <c r="N794" t="n">
        <v>0</v>
      </c>
      <c r="O794" t="n">
        <v>0</v>
      </c>
      <c r="P794" t="n">
        <v>0</v>
      </c>
      <c r="Q794" t="n">
        <v>0</v>
      </c>
      <c r="R794" s="2" t="inlineStr"/>
    </row>
    <row r="795" ht="15" customHeight="1">
      <c r="A795" t="inlineStr">
        <is>
          <t>A 23125-2022</t>
        </is>
      </c>
      <c r="B795" s="1" t="n">
        <v>44719</v>
      </c>
      <c r="C795" s="1" t="n">
        <v>45910</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39692-2025</t>
        </is>
      </c>
      <c r="B796" s="1" t="n">
        <v>45890.68083333333</v>
      </c>
      <c r="C796" s="1" t="n">
        <v>45910</v>
      </c>
      <c r="D796" t="inlineStr">
        <is>
          <t>STOCKHOLMS LÄN</t>
        </is>
      </c>
      <c r="E796" t="inlineStr">
        <is>
          <t>NORRTÄLJE</t>
        </is>
      </c>
      <c r="G796" t="n">
        <v>10.5</v>
      </c>
      <c r="H796" t="n">
        <v>0</v>
      </c>
      <c r="I796" t="n">
        <v>0</v>
      </c>
      <c r="J796" t="n">
        <v>0</v>
      </c>
      <c r="K796" t="n">
        <v>0</v>
      </c>
      <c r="L796" t="n">
        <v>0</v>
      </c>
      <c r="M796" t="n">
        <v>0</v>
      </c>
      <c r="N796" t="n">
        <v>0</v>
      </c>
      <c r="O796" t="n">
        <v>0</v>
      </c>
      <c r="P796" t="n">
        <v>0</v>
      </c>
      <c r="Q796" t="n">
        <v>0</v>
      </c>
      <c r="R796" s="2" t="inlineStr"/>
    </row>
    <row r="797" ht="15" customHeight="1">
      <c r="A797" t="inlineStr">
        <is>
          <t>A 20121-2022</t>
        </is>
      </c>
      <c r="B797" s="1" t="n">
        <v>44698</v>
      </c>
      <c r="C797" s="1" t="n">
        <v>45910</v>
      </c>
      <c r="D797" t="inlineStr">
        <is>
          <t>STOCKHOLMS LÄN</t>
        </is>
      </c>
      <c r="E797" t="inlineStr">
        <is>
          <t>NORRTÄLJE</t>
        </is>
      </c>
      <c r="G797" t="n">
        <v>4.2</v>
      </c>
      <c r="H797" t="n">
        <v>0</v>
      </c>
      <c r="I797" t="n">
        <v>0</v>
      </c>
      <c r="J797" t="n">
        <v>0</v>
      </c>
      <c r="K797" t="n">
        <v>0</v>
      </c>
      <c r="L797" t="n">
        <v>0</v>
      </c>
      <c r="M797" t="n">
        <v>0</v>
      </c>
      <c r="N797" t="n">
        <v>0</v>
      </c>
      <c r="O797" t="n">
        <v>0</v>
      </c>
      <c r="P797" t="n">
        <v>0</v>
      </c>
      <c r="Q797" t="n">
        <v>0</v>
      </c>
      <c r="R797" s="2" t="inlineStr"/>
    </row>
    <row r="798" ht="15" customHeight="1">
      <c r="A798" t="inlineStr">
        <is>
          <t>A 33385-2024</t>
        </is>
      </c>
      <c r="B798" s="1" t="n">
        <v>45519</v>
      </c>
      <c r="C798" s="1" t="n">
        <v>45910</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41172-2023</t>
        </is>
      </c>
      <c r="B799" s="1" t="n">
        <v>45170</v>
      </c>
      <c r="C799" s="1" t="n">
        <v>45910</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73307-2021</t>
        </is>
      </c>
      <c r="B800" s="1" t="n">
        <v>44549</v>
      </c>
      <c r="C800" s="1" t="n">
        <v>45910</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50534-2024</t>
        </is>
      </c>
      <c r="B801" s="1" t="n">
        <v>45601.56726851852</v>
      </c>
      <c r="C801" s="1" t="n">
        <v>45910</v>
      </c>
      <c r="D801" t="inlineStr">
        <is>
          <t>STOCKHOLMS LÄN</t>
        </is>
      </c>
      <c r="E801" t="inlineStr">
        <is>
          <t>NORRTÄLJE</t>
        </is>
      </c>
      <c r="G801" t="n">
        <v>2.6</v>
      </c>
      <c r="H801" t="n">
        <v>0</v>
      </c>
      <c r="I801" t="n">
        <v>0</v>
      </c>
      <c r="J801" t="n">
        <v>0</v>
      </c>
      <c r="K801" t="n">
        <v>0</v>
      </c>
      <c r="L801" t="n">
        <v>0</v>
      </c>
      <c r="M801" t="n">
        <v>0</v>
      </c>
      <c r="N801" t="n">
        <v>0</v>
      </c>
      <c r="O801" t="n">
        <v>0</v>
      </c>
      <c r="P801" t="n">
        <v>0</v>
      </c>
      <c r="Q801" t="n">
        <v>0</v>
      </c>
      <c r="R801" s="2" t="inlineStr"/>
    </row>
    <row r="802" ht="15" customHeight="1">
      <c r="A802" t="inlineStr">
        <is>
          <t>A 35256-2025</t>
        </is>
      </c>
      <c r="B802" s="1" t="n">
        <v>45853</v>
      </c>
      <c r="C802" s="1" t="n">
        <v>45910</v>
      </c>
      <c r="D802" t="inlineStr">
        <is>
          <t>STOCKHOLMS LÄN</t>
        </is>
      </c>
      <c r="E802" t="inlineStr">
        <is>
          <t>NORRTÄLJE</t>
        </is>
      </c>
      <c r="G802" t="n">
        <v>6.4</v>
      </c>
      <c r="H802" t="n">
        <v>0</v>
      </c>
      <c r="I802" t="n">
        <v>0</v>
      </c>
      <c r="J802" t="n">
        <v>0</v>
      </c>
      <c r="K802" t="n">
        <v>0</v>
      </c>
      <c r="L802" t="n">
        <v>0</v>
      </c>
      <c r="M802" t="n">
        <v>0</v>
      </c>
      <c r="N802" t="n">
        <v>0</v>
      </c>
      <c r="O802" t="n">
        <v>0</v>
      </c>
      <c r="P802" t="n">
        <v>0</v>
      </c>
      <c r="Q802" t="n">
        <v>0</v>
      </c>
      <c r="R802" s="2" t="inlineStr"/>
    </row>
    <row r="803" ht="15" customHeight="1">
      <c r="A803" t="inlineStr">
        <is>
          <t>A 45255-2022</t>
        </is>
      </c>
      <c r="B803" s="1" t="n">
        <v>44840</v>
      </c>
      <c r="C803" s="1" t="n">
        <v>45910</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40032-2025</t>
        </is>
      </c>
      <c r="B804" s="1" t="n">
        <v>45893</v>
      </c>
      <c r="C804" s="1" t="n">
        <v>45910</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40228-2025</t>
        </is>
      </c>
      <c r="B805" s="1" t="n">
        <v>45894.70854166667</v>
      </c>
      <c r="C805" s="1" t="n">
        <v>45910</v>
      </c>
      <c r="D805" t="inlineStr">
        <is>
          <t>STOCKHOLMS LÄN</t>
        </is>
      </c>
      <c r="E805" t="inlineStr">
        <is>
          <t>NORRTÄLJE</t>
        </is>
      </c>
      <c r="G805" t="n">
        <v>2.1</v>
      </c>
      <c r="H805" t="n">
        <v>0</v>
      </c>
      <c r="I805" t="n">
        <v>0</v>
      </c>
      <c r="J805" t="n">
        <v>0</v>
      </c>
      <c r="K805" t="n">
        <v>0</v>
      </c>
      <c r="L805" t="n">
        <v>0</v>
      </c>
      <c r="M805" t="n">
        <v>0</v>
      </c>
      <c r="N805" t="n">
        <v>0</v>
      </c>
      <c r="O805" t="n">
        <v>0</v>
      </c>
      <c r="P805" t="n">
        <v>0</v>
      </c>
      <c r="Q805" t="n">
        <v>0</v>
      </c>
      <c r="R805" s="2" t="inlineStr"/>
    </row>
    <row r="806" ht="15" customHeight="1">
      <c r="A806" t="inlineStr">
        <is>
          <t>A 40172-2025</t>
        </is>
      </c>
      <c r="B806" s="1" t="n">
        <v>45894.6353125</v>
      </c>
      <c r="C806" s="1" t="n">
        <v>45910</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11988-2021</t>
        </is>
      </c>
      <c r="B807" s="1" t="n">
        <v>44266</v>
      </c>
      <c r="C807" s="1" t="n">
        <v>45910</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12132-2021</t>
        </is>
      </c>
      <c r="B808" s="1" t="n">
        <v>44266</v>
      </c>
      <c r="C808" s="1" t="n">
        <v>45910</v>
      </c>
      <c r="D808" t="inlineStr">
        <is>
          <t>STOCKHOLMS LÄN</t>
        </is>
      </c>
      <c r="E808" t="inlineStr">
        <is>
          <t>NORRTÄLJE</t>
        </is>
      </c>
      <c r="G808" t="n">
        <v>4</v>
      </c>
      <c r="H808" t="n">
        <v>0</v>
      </c>
      <c r="I808" t="n">
        <v>0</v>
      </c>
      <c r="J808" t="n">
        <v>0</v>
      </c>
      <c r="K808" t="n">
        <v>0</v>
      </c>
      <c r="L808" t="n">
        <v>0</v>
      </c>
      <c r="M808" t="n">
        <v>0</v>
      </c>
      <c r="N808" t="n">
        <v>0</v>
      </c>
      <c r="O808" t="n">
        <v>0</v>
      </c>
      <c r="P808" t="n">
        <v>0</v>
      </c>
      <c r="Q808" t="n">
        <v>0</v>
      </c>
      <c r="R808" s="2" t="inlineStr"/>
    </row>
    <row r="809" ht="15" customHeight="1">
      <c r="A809" t="inlineStr">
        <is>
          <t>A 40217-2025</t>
        </is>
      </c>
      <c r="B809" s="1" t="n">
        <v>45894.68864583333</v>
      </c>
      <c r="C809" s="1" t="n">
        <v>45910</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59893-2022</t>
        </is>
      </c>
      <c r="B810" s="1" t="n">
        <v>44908.77368055555</v>
      </c>
      <c r="C810" s="1" t="n">
        <v>45910</v>
      </c>
      <c r="D810" t="inlineStr">
        <is>
          <t>STOCKHOLMS LÄN</t>
        </is>
      </c>
      <c r="E810" t="inlineStr">
        <is>
          <t>NORRTÄLJE</t>
        </is>
      </c>
      <c r="G810" t="n">
        <v>3</v>
      </c>
      <c r="H810" t="n">
        <v>0</v>
      </c>
      <c r="I810" t="n">
        <v>0</v>
      </c>
      <c r="J810" t="n">
        <v>0</v>
      </c>
      <c r="K810" t="n">
        <v>0</v>
      </c>
      <c r="L810" t="n">
        <v>0</v>
      </c>
      <c r="M810" t="n">
        <v>0</v>
      </c>
      <c r="N810" t="n">
        <v>0</v>
      </c>
      <c r="O810" t="n">
        <v>0</v>
      </c>
      <c r="P810" t="n">
        <v>0</v>
      </c>
      <c r="Q810" t="n">
        <v>0</v>
      </c>
      <c r="R810" s="2" t="inlineStr"/>
    </row>
    <row r="811" ht="15" customHeight="1">
      <c r="A811" t="inlineStr">
        <is>
          <t>A 65499-2021</t>
        </is>
      </c>
      <c r="B811" s="1" t="n">
        <v>44516</v>
      </c>
      <c r="C811" s="1" t="n">
        <v>45910</v>
      </c>
      <c r="D811" t="inlineStr">
        <is>
          <t>STOCKHOLMS LÄN</t>
        </is>
      </c>
      <c r="E811" t="inlineStr">
        <is>
          <t>NORRTÄLJE</t>
        </is>
      </c>
      <c r="F811" t="inlineStr">
        <is>
          <t>Kommuner</t>
        </is>
      </c>
      <c r="G811" t="n">
        <v>5.2</v>
      </c>
      <c r="H811" t="n">
        <v>0</v>
      </c>
      <c r="I811" t="n">
        <v>0</v>
      </c>
      <c r="J811" t="n">
        <v>0</v>
      </c>
      <c r="K811" t="n">
        <v>0</v>
      </c>
      <c r="L811" t="n">
        <v>0</v>
      </c>
      <c r="M811" t="n">
        <v>0</v>
      </c>
      <c r="N811" t="n">
        <v>0</v>
      </c>
      <c r="O811" t="n">
        <v>0</v>
      </c>
      <c r="P811" t="n">
        <v>0</v>
      </c>
      <c r="Q811" t="n">
        <v>0</v>
      </c>
      <c r="R811" s="2" t="inlineStr"/>
    </row>
    <row r="812" ht="15" customHeight="1">
      <c r="A812" t="inlineStr">
        <is>
          <t>A 65511-2021</t>
        </is>
      </c>
      <c r="B812" s="1" t="n">
        <v>44516.40674768519</v>
      </c>
      <c r="C812" s="1" t="n">
        <v>45910</v>
      </c>
      <c r="D812" t="inlineStr">
        <is>
          <t>STOCKHOLMS LÄN</t>
        </is>
      </c>
      <c r="E812" t="inlineStr">
        <is>
          <t>NORRTÄLJE</t>
        </is>
      </c>
      <c r="F812" t="inlineStr">
        <is>
          <t>Kommuner</t>
        </is>
      </c>
      <c r="G812" t="n">
        <v>2.8</v>
      </c>
      <c r="H812" t="n">
        <v>0</v>
      </c>
      <c r="I812" t="n">
        <v>0</v>
      </c>
      <c r="J812" t="n">
        <v>0</v>
      </c>
      <c r="K812" t="n">
        <v>0</v>
      </c>
      <c r="L812" t="n">
        <v>0</v>
      </c>
      <c r="M812" t="n">
        <v>0</v>
      </c>
      <c r="N812" t="n">
        <v>0</v>
      </c>
      <c r="O812" t="n">
        <v>0</v>
      </c>
      <c r="P812" t="n">
        <v>0</v>
      </c>
      <c r="Q812" t="n">
        <v>0</v>
      </c>
      <c r="R812" s="2" t="inlineStr"/>
    </row>
    <row r="813" ht="15" customHeight="1">
      <c r="A813" t="inlineStr">
        <is>
          <t>A 40097-2025</t>
        </is>
      </c>
      <c r="B813" s="1" t="n">
        <v>45894.48322916667</v>
      </c>
      <c r="C813" s="1" t="n">
        <v>45910</v>
      </c>
      <c r="D813" t="inlineStr">
        <is>
          <t>STOCKHOLMS LÄN</t>
        </is>
      </c>
      <c r="E813" t="inlineStr">
        <is>
          <t>NORRTÄLJE</t>
        </is>
      </c>
      <c r="G813" t="n">
        <v>3</v>
      </c>
      <c r="H813" t="n">
        <v>0</v>
      </c>
      <c r="I813" t="n">
        <v>0</v>
      </c>
      <c r="J813" t="n">
        <v>0</v>
      </c>
      <c r="K813" t="n">
        <v>0</v>
      </c>
      <c r="L813" t="n">
        <v>0</v>
      </c>
      <c r="M813" t="n">
        <v>0</v>
      </c>
      <c r="N813" t="n">
        <v>0</v>
      </c>
      <c r="O813" t="n">
        <v>0</v>
      </c>
      <c r="P813" t="n">
        <v>0</v>
      </c>
      <c r="Q813" t="n">
        <v>0</v>
      </c>
      <c r="R813" s="2" t="inlineStr"/>
    </row>
    <row r="814" ht="15" customHeight="1">
      <c r="A814" t="inlineStr">
        <is>
          <t>A 40292-2025</t>
        </is>
      </c>
      <c r="B814" s="1" t="n">
        <v>45895.3867824074</v>
      </c>
      <c r="C814" s="1" t="n">
        <v>45910</v>
      </c>
      <c r="D814" t="inlineStr">
        <is>
          <t>STOCKHOLMS LÄN</t>
        </is>
      </c>
      <c r="E814" t="inlineStr">
        <is>
          <t>NORRTÄLJE</t>
        </is>
      </c>
      <c r="G814" t="n">
        <v>3.5</v>
      </c>
      <c r="H814" t="n">
        <v>0</v>
      </c>
      <c r="I814" t="n">
        <v>0</v>
      </c>
      <c r="J814" t="n">
        <v>0</v>
      </c>
      <c r="K814" t="n">
        <v>0</v>
      </c>
      <c r="L814" t="n">
        <v>0</v>
      </c>
      <c r="M814" t="n">
        <v>0</v>
      </c>
      <c r="N814" t="n">
        <v>0</v>
      </c>
      <c r="O814" t="n">
        <v>0</v>
      </c>
      <c r="P814" t="n">
        <v>0</v>
      </c>
      <c r="Q814" t="n">
        <v>0</v>
      </c>
      <c r="R814" s="2" t="inlineStr"/>
    </row>
    <row r="815" ht="15" customHeight="1">
      <c r="A815" t="inlineStr">
        <is>
          <t>A 35110-2025</t>
        </is>
      </c>
      <c r="B815" s="1" t="n">
        <v>45852.58030092593</v>
      </c>
      <c r="C815" s="1" t="n">
        <v>45910</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22833-2024</t>
        </is>
      </c>
      <c r="B816" s="1" t="n">
        <v>45448.56746527777</v>
      </c>
      <c r="C816" s="1" t="n">
        <v>45910</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39905-2023</t>
        </is>
      </c>
      <c r="B817" s="1" t="n">
        <v>45168.44489583333</v>
      </c>
      <c r="C817" s="1" t="n">
        <v>45910</v>
      </c>
      <c r="D817" t="inlineStr">
        <is>
          <t>STOCKHOLMS LÄN</t>
        </is>
      </c>
      <c r="E817" t="inlineStr">
        <is>
          <t>NORRTÄLJE</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5645-2023</t>
        </is>
      </c>
      <c r="B818" s="1" t="n">
        <v>44960.60469907407</v>
      </c>
      <c r="C818" s="1" t="n">
        <v>45910</v>
      </c>
      <c r="D818" t="inlineStr">
        <is>
          <t>STOCKHOLMS LÄN</t>
        </is>
      </c>
      <c r="E818" t="inlineStr">
        <is>
          <t>NORRTÄLJE</t>
        </is>
      </c>
      <c r="G818" t="n">
        <v>1.7</v>
      </c>
      <c r="H818" t="n">
        <v>0</v>
      </c>
      <c r="I818" t="n">
        <v>0</v>
      </c>
      <c r="J818" t="n">
        <v>0</v>
      </c>
      <c r="K818" t="n">
        <v>0</v>
      </c>
      <c r="L818" t="n">
        <v>0</v>
      </c>
      <c r="M818" t="n">
        <v>0</v>
      </c>
      <c r="N818" t="n">
        <v>0</v>
      </c>
      <c r="O818" t="n">
        <v>0</v>
      </c>
      <c r="P818" t="n">
        <v>0</v>
      </c>
      <c r="Q818" t="n">
        <v>0</v>
      </c>
      <c r="R818" s="2" t="inlineStr"/>
    </row>
    <row r="819" ht="15" customHeight="1">
      <c r="A819" t="inlineStr">
        <is>
          <t>A 68361-2021</t>
        </is>
      </c>
      <c r="B819" s="1" t="n">
        <v>44528.91494212963</v>
      </c>
      <c r="C819" s="1" t="n">
        <v>45910</v>
      </c>
      <c r="D819" t="inlineStr">
        <is>
          <t>STOCKHOLMS LÄN</t>
        </is>
      </c>
      <c r="E819" t="inlineStr">
        <is>
          <t>NORRTÄLJE</t>
        </is>
      </c>
      <c r="G819" t="n">
        <v>1.9</v>
      </c>
      <c r="H819" t="n">
        <v>0</v>
      </c>
      <c r="I819" t="n">
        <v>0</v>
      </c>
      <c r="J819" t="n">
        <v>0</v>
      </c>
      <c r="K819" t="n">
        <v>0</v>
      </c>
      <c r="L819" t="n">
        <v>0</v>
      </c>
      <c r="M819" t="n">
        <v>0</v>
      </c>
      <c r="N819" t="n">
        <v>0</v>
      </c>
      <c r="O819" t="n">
        <v>0</v>
      </c>
      <c r="P819" t="n">
        <v>0</v>
      </c>
      <c r="Q819" t="n">
        <v>0</v>
      </c>
      <c r="R819" s="2" t="inlineStr"/>
    </row>
    <row r="820" ht="15" customHeight="1">
      <c r="A820" t="inlineStr">
        <is>
          <t>A 32514-2022</t>
        </is>
      </c>
      <c r="B820" s="1" t="n">
        <v>44782</v>
      </c>
      <c r="C820" s="1" t="n">
        <v>45910</v>
      </c>
      <c r="D820" t="inlineStr">
        <is>
          <t>STOCKHOLMS LÄN</t>
        </is>
      </c>
      <c r="E820" t="inlineStr">
        <is>
          <t>NORRTÄLJE</t>
        </is>
      </c>
      <c r="G820" t="n">
        <v>5.1</v>
      </c>
      <c r="H820" t="n">
        <v>0</v>
      </c>
      <c r="I820" t="n">
        <v>0</v>
      </c>
      <c r="J820" t="n">
        <v>0</v>
      </c>
      <c r="K820" t="n">
        <v>0</v>
      </c>
      <c r="L820" t="n">
        <v>0</v>
      </c>
      <c r="M820" t="n">
        <v>0</v>
      </c>
      <c r="N820" t="n">
        <v>0</v>
      </c>
      <c r="O820" t="n">
        <v>0</v>
      </c>
      <c r="P820" t="n">
        <v>0</v>
      </c>
      <c r="Q820" t="n">
        <v>0</v>
      </c>
      <c r="R820" s="2" t="inlineStr"/>
    </row>
    <row r="821" ht="15" customHeight="1">
      <c r="A821" t="inlineStr">
        <is>
          <t>A 29362-2022</t>
        </is>
      </c>
      <c r="B821" s="1" t="n">
        <v>44753</v>
      </c>
      <c r="C821" s="1" t="n">
        <v>45910</v>
      </c>
      <c r="D821" t="inlineStr">
        <is>
          <t>STOCKHOLMS LÄN</t>
        </is>
      </c>
      <c r="E821" t="inlineStr">
        <is>
          <t>NORRTÄLJE</t>
        </is>
      </c>
      <c r="G821" t="n">
        <v>3.8</v>
      </c>
      <c r="H821" t="n">
        <v>0</v>
      </c>
      <c r="I821" t="n">
        <v>0</v>
      </c>
      <c r="J821" t="n">
        <v>0</v>
      </c>
      <c r="K821" t="n">
        <v>0</v>
      </c>
      <c r="L821" t="n">
        <v>0</v>
      </c>
      <c r="M821" t="n">
        <v>0</v>
      </c>
      <c r="N821" t="n">
        <v>0</v>
      </c>
      <c r="O821" t="n">
        <v>0</v>
      </c>
      <c r="P821" t="n">
        <v>0</v>
      </c>
      <c r="Q821" t="n">
        <v>0</v>
      </c>
      <c r="R821" s="2" t="inlineStr"/>
    </row>
    <row r="822" ht="15" customHeight="1">
      <c r="A822" t="inlineStr">
        <is>
          <t>A 35254-2025</t>
        </is>
      </c>
      <c r="B822" s="1" t="n">
        <v>45853</v>
      </c>
      <c r="C822" s="1" t="n">
        <v>45910</v>
      </c>
      <c r="D822" t="inlineStr">
        <is>
          <t>STOCKHOLMS LÄN</t>
        </is>
      </c>
      <c r="E822" t="inlineStr">
        <is>
          <t>NORRTÄLJE</t>
        </is>
      </c>
      <c r="G822" t="n">
        <v>6.5</v>
      </c>
      <c r="H822" t="n">
        <v>0</v>
      </c>
      <c r="I822" t="n">
        <v>0</v>
      </c>
      <c r="J822" t="n">
        <v>0</v>
      </c>
      <c r="K822" t="n">
        <v>0</v>
      </c>
      <c r="L822" t="n">
        <v>0</v>
      </c>
      <c r="M822" t="n">
        <v>0</v>
      </c>
      <c r="N822" t="n">
        <v>0</v>
      </c>
      <c r="O822" t="n">
        <v>0</v>
      </c>
      <c r="P822" t="n">
        <v>0</v>
      </c>
      <c r="Q822" t="n">
        <v>0</v>
      </c>
      <c r="R822" s="2" t="inlineStr"/>
    </row>
    <row r="823" ht="15" customHeight="1">
      <c r="A823" t="inlineStr">
        <is>
          <t>A 60529-2023</t>
        </is>
      </c>
      <c r="B823" s="1" t="n">
        <v>45259</v>
      </c>
      <c r="C823" s="1" t="n">
        <v>45910</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40230-2025</t>
        </is>
      </c>
      <c r="B824" s="1" t="n">
        <v>45894.71101851852</v>
      </c>
      <c r="C824" s="1" t="n">
        <v>45910</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40294-2025</t>
        </is>
      </c>
      <c r="B825" s="1" t="n">
        <v>45895.38778935185</v>
      </c>
      <c r="C825" s="1" t="n">
        <v>45910</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40033-2025</t>
        </is>
      </c>
      <c r="B826" s="1" t="n">
        <v>45893</v>
      </c>
      <c r="C826" s="1" t="n">
        <v>45910</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58492-2022</t>
        </is>
      </c>
      <c r="B827" s="1" t="n">
        <v>44902</v>
      </c>
      <c r="C827" s="1" t="n">
        <v>45910</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51315-2021</t>
        </is>
      </c>
      <c r="B828" s="1" t="n">
        <v>44461</v>
      </c>
      <c r="C828" s="1" t="n">
        <v>45910</v>
      </c>
      <c r="D828" t="inlineStr">
        <is>
          <t>STOCKHOLMS LÄN</t>
        </is>
      </c>
      <c r="E828" t="inlineStr">
        <is>
          <t>NORRTÄLJE</t>
        </is>
      </c>
      <c r="F828" t="inlineStr">
        <is>
          <t>Holmen skog AB</t>
        </is>
      </c>
      <c r="G828" t="n">
        <v>2.2</v>
      </c>
      <c r="H828" t="n">
        <v>0</v>
      </c>
      <c r="I828" t="n">
        <v>0</v>
      </c>
      <c r="J828" t="n">
        <v>0</v>
      </c>
      <c r="K828" t="n">
        <v>0</v>
      </c>
      <c r="L828" t="n">
        <v>0</v>
      </c>
      <c r="M828" t="n">
        <v>0</v>
      </c>
      <c r="N828" t="n">
        <v>0</v>
      </c>
      <c r="O828" t="n">
        <v>0</v>
      </c>
      <c r="P828" t="n">
        <v>0</v>
      </c>
      <c r="Q828" t="n">
        <v>0</v>
      </c>
      <c r="R828" s="2" t="inlineStr"/>
    </row>
    <row r="829" ht="15" customHeight="1">
      <c r="A829" t="inlineStr">
        <is>
          <t>A 40529-2025</t>
        </is>
      </c>
      <c r="B829" s="1" t="n">
        <v>45896.38466435186</v>
      </c>
      <c r="C829" s="1" t="n">
        <v>45910</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14873-2025</t>
        </is>
      </c>
      <c r="B830" s="1" t="n">
        <v>45743.44953703704</v>
      </c>
      <c r="C830" s="1" t="n">
        <v>45910</v>
      </c>
      <c r="D830" t="inlineStr">
        <is>
          <t>STOCKHOLMS LÄN</t>
        </is>
      </c>
      <c r="E830" t="inlineStr">
        <is>
          <t>NORRTÄLJE</t>
        </is>
      </c>
      <c r="G830" t="n">
        <v>10.2</v>
      </c>
      <c r="H830" t="n">
        <v>0</v>
      </c>
      <c r="I830" t="n">
        <v>0</v>
      </c>
      <c r="J830" t="n">
        <v>0</v>
      </c>
      <c r="K830" t="n">
        <v>0</v>
      </c>
      <c r="L830" t="n">
        <v>0</v>
      </c>
      <c r="M830" t="n">
        <v>0</v>
      </c>
      <c r="N830" t="n">
        <v>0</v>
      </c>
      <c r="O830" t="n">
        <v>0</v>
      </c>
      <c r="P830" t="n">
        <v>0</v>
      </c>
      <c r="Q830" t="n">
        <v>0</v>
      </c>
      <c r="R830" s="2" t="inlineStr"/>
    </row>
    <row r="831" ht="15" customHeight="1">
      <c r="A831" t="inlineStr">
        <is>
          <t>A 19706-2023</t>
        </is>
      </c>
      <c r="B831" s="1" t="n">
        <v>45051.455</v>
      </c>
      <c r="C831" s="1" t="n">
        <v>45910</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34773-2022</t>
        </is>
      </c>
      <c r="B832" s="1" t="n">
        <v>44795</v>
      </c>
      <c r="C832" s="1" t="n">
        <v>45910</v>
      </c>
      <c r="D832" t="inlineStr">
        <is>
          <t>STOCKHOLMS LÄN</t>
        </is>
      </c>
      <c r="E832" t="inlineStr">
        <is>
          <t>NORRTÄLJE</t>
        </is>
      </c>
      <c r="G832" t="n">
        <v>3.9</v>
      </c>
      <c r="H832" t="n">
        <v>0</v>
      </c>
      <c r="I832" t="n">
        <v>0</v>
      </c>
      <c r="J832" t="n">
        <v>0</v>
      </c>
      <c r="K832" t="n">
        <v>0</v>
      </c>
      <c r="L832" t="n">
        <v>0</v>
      </c>
      <c r="M832" t="n">
        <v>0</v>
      </c>
      <c r="N832" t="n">
        <v>0</v>
      </c>
      <c r="O832" t="n">
        <v>0</v>
      </c>
      <c r="P832" t="n">
        <v>0</v>
      </c>
      <c r="Q832" t="n">
        <v>0</v>
      </c>
      <c r="R832" s="2" t="inlineStr"/>
    </row>
    <row r="833" ht="15" customHeight="1">
      <c r="A833" t="inlineStr">
        <is>
          <t>A 33173-2024</t>
        </is>
      </c>
      <c r="B833" s="1" t="n">
        <v>45518</v>
      </c>
      <c r="C833" s="1" t="n">
        <v>45910</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18539-2021</t>
        </is>
      </c>
      <c r="B834" s="1" t="n">
        <v>44306</v>
      </c>
      <c r="C834" s="1" t="n">
        <v>45910</v>
      </c>
      <c r="D834" t="inlineStr">
        <is>
          <t>STOCKHOLMS LÄN</t>
        </is>
      </c>
      <c r="E834" t="inlineStr">
        <is>
          <t>NORRTÄLJE</t>
        </is>
      </c>
      <c r="F834" t="inlineStr">
        <is>
          <t>Holmen skog AB</t>
        </is>
      </c>
      <c r="G834" t="n">
        <v>5.5</v>
      </c>
      <c r="H834" t="n">
        <v>0</v>
      </c>
      <c r="I834" t="n">
        <v>0</v>
      </c>
      <c r="J834" t="n">
        <v>0</v>
      </c>
      <c r="K834" t="n">
        <v>0</v>
      </c>
      <c r="L834" t="n">
        <v>0</v>
      </c>
      <c r="M834" t="n">
        <v>0</v>
      </c>
      <c r="N834" t="n">
        <v>0</v>
      </c>
      <c r="O834" t="n">
        <v>0</v>
      </c>
      <c r="P834" t="n">
        <v>0</v>
      </c>
      <c r="Q834" t="n">
        <v>0</v>
      </c>
      <c r="R834" s="2" t="inlineStr"/>
    </row>
    <row r="835" ht="15" customHeight="1">
      <c r="A835" t="inlineStr">
        <is>
          <t>A 17612-2022</t>
        </is>
      </c>
      <c r="B835" s="1" t="n">
        <v>44680</v>
      </c>
      <c r="C835" s="1" t="n">
        <v>45910</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16835-2022</t>
        </is>
      </c>
      <c r="B836" s="1" t="n">
        <v>44673</v>
      </c>
      <c r="C836" s="1" t="n">
        <v>45910</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40831-2025</t>
        </is>
      </c>
      <c r="B837" s="1" t="n">
        <v>45897.51077546296</v>
      </c>
      <c r="C837" s="1" t="n">
        <v>45910</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40837-2025</t>
        </is>
      </c>
      <c r="B838" s="1" t="n">
        <v>45897.51328703704</v>
      </c>
      <c r="C838" s="1" t="n">
        <v>45910</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35479-2025</t>
        </is>
      </c>
      <c r="B839" s="1" t="n">
        <v>45855.69387731481</v>
      </c>
      <c r="C839" s="1" t="n">
        <v>45910</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62765-2022</t>
        </is>
      </c>
      <c r="B840" s="1" t="n">
        <v>44637</v>
      </c>
      <c r="C840" s="1" t="n">
        <v>45910</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40829-2025</t>
        </is>
      </c>
      <c r="B841" s="1" t="n">
        <v>45897.50802083333</v>
      </c>
      <c r="C841" s="1" t="n">
        <v>45910</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58404-2023</t>
        </is>
      </c>
      <c r="B842" s="1" t="n">
        <v>45245</v>
      </c>
      <c r="C842" s="1" t="n">
        <v>45910</v>
      </c>
      <c r="D842" t="inlineStr">
        <is>
          <t>STOCKHOLMS LÄN</t>
        </is>
      </c>
      <c r="E842" t="inlineStr">
        <is>
          <t>NORRTÄLJE</t>
        </is>
      </c>
      <c r="G842" t="n">
        <v>53.5</v>
      </c>
      <c r="H842" t="n">
        <v>0</v>
      </c>
      <c r="I842" t="n">
        <v>0</v>
      </c>
      <c r="J842" t="n">
        <v>0</v>
      </c>
      <c r="K842" t="n">
        <v>0</v>
      </c>
      <c r="L842" t="n">
        <v>0</v>
      </c>
      <c r="M842" t="n">
        <v>0</v>
      </c>
      <c r="N842" t="n">
        <v>0</v>
      </c>
      <c r="O842" t="n">
        <v>0</v>
      </c>
      <c r="P842" t="n">
        <v>0</v>
      </c>
      <c r="Q842" t="n">
        <v>0</v>
      </c>
      <c r="R842" s="2" t="inlineStr"/>
    </row>
    <row r="843" ht="15" customHeight="1">
      <c r="A843" t="inlineStr">
        <is>
          <t>A 35451-2025</t>
        </is>
      </c>
      <c r="B843" s="1" t="n">
        <v>45855.57033564815</v>
      </c>
      <c r="C843" s="1" t="n">
        <v>45910</v>
      </c>
      <c r="D843" t="inlineStr">
        <is>
          <t>STOCKHOLMS LÄN</t>
        </is>
      </c>
      <c r="E843" t="inlineStr">
        <is>
          <t>NORRTÄLJE</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35478-2025</t>
        </is>
      </c>
      <c r="B844" s="1" t="n">
        <v>45855.68413194444</v>
      </c>
      <c r="C844" s="1" t="n">
        <v>45910</v>
      </c>
      <c r="D844" t="inlineStr">
        <is>
          <t>STOCKHOLMS LÄN</t>
        </is>
      </c>
      <c r="E844" t="inlineStr">
        <is>
          <t>NORRTÄLJE</t>
        </is>
      </c>
      <c r="F844" t="inlineStr">
        <is>
          <t>Holmen skog AB</t>
        </is>
      </c>
      <c r="G844" t="n">
        <v>2.7</v>
      </c>
      <c r="H844" t="n">
        <v>0</v>
      </c>
      <c r="I844" t="n">
        <v>0</v>
      </c>
      <c r="J844" t="n">
        <v>0</v>
      </c>
      <c r="K844" t="n">
        <v>0</v>
      </c>
      <c r="L844" t="n">
        <v>0</v>
      </c>
      <c r="M844" t="n">
        <v>0</v>
      </c>
      <c r="N844" t="n">
        <v>0</v>
      </c>
      <c r="O844" t="n">
        <v>0</v>
      </c>
      <c r="P844" t="n">
        <v>0</v>
      </c>
      <c r="Q844" t="n">
        <v>0</v>
      </c>
      <c r="R844" s="2" t="inlineStr"/>
    </row>
    <row r="845" ht="15" customHeight="1">
      <c r="A845" t="inlineStr">
        <is>
          <t>A 41174-2025</t>
        </is>
      </c>
      <c r="B845" s="1" t="n">
        <v>45898.54921296296</v>
      </c>
      <c r="C845" s="1" t="n">
        <v>45910</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8586-2023</t>
        </is>
      </c>
      <c r="B846" s="1" t="n">
        <v>44977</v>
      </c>
      <c r="C846" s="1" t="n">
        <v>45910</v>
      </c>
      <c r="D846" t="inlineStr">
        <is>
          <t>STOCKHOLMS LÄN</t>
        </is>
      </c>
      <c r="E846" t="inlineStr">
        <is>
          <t>NORRTÄLJE</t>
        </is>
      </c>
      <c r="G846" t="n">
        <v>0.6</v>
      </c>
      <c r="H846" t="n">
        <v>0</v>
      </c>
      <c r="I846" t="n">
        <v>0</v>
      </c>
      <c r="J846" t="n">
        <v>0</v>
      </c>
      <c r="K846" t="n">
        <v>0</v>
      </c>
      <c r="L846" t="n">
        <v>0</v>
      </c>
      <c r="M846" t="n">
        <v>0</v>
      </c>
      <c r="N846" t="n">
        <v>0</v>
      </c>
      <c r="O846" t="n">
        <v>0</v>
      </c>
      <c r="P846" t="n">
        <v>0</v>
      </c>
      <c r="Q846" t="n">
        <v>0</v>
      </c>
      <c r="R846" s="2" t="inlineStr"/>
    </row>
    <row r="847" ht="15" customHeight="1">
      <c r="A847" t="inlineStr">
        <is>
          <t>A 41158-2025</t>
        </is>
      </c>
      <c r="B847" s="1" t="n">
        <v>45898.5315625</v>
      </c>
      <c r="C847" s="1" t="n">
        <v>45910</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41053-2025</t>
        </is>
      </c>
      <c r="B848" s="1" t="n">
        <v>45898.40480324074</v>
      </c>
      <c r="C848" s="1" t="n">
        <v>45910</v>
      </c>
      <c r="D848" t="inlineStr">
        <is>
          <t>STOCKHOLMS LÄN</t>
        </is>
      </c>
      <c r="E848" t="inlineStr">
        <is>
          <t>NORRTÄLJE</t>
        </is>
      </c>
      <c r="F848" t="inlineStr">
        <is>
          <t>Holmen skog AB</t>
        </is>
      </c>
      <c r="G848" t="n">
        <v>2.5</v>
      </c>
      <c r="H848" t="n">
        <v>0</v>
      </c>
      <c r="I848" t="n">
        <v>0</v>
      </c>
      <c r="J848" t="n">
        <v>0</v>
      </c>
      <c r="K848" t="n">
        <v>0</v>
      </c>
      <c r="L848" t="n">
        <v>0</v>
      </c>
      <c r="M848" t="n">
        <v>0</v>
      </c>
      <c r="N848" t="n">
        <v>0</v>
      </c>
      <c r="O848" t="n">
        <v>0</v>
      </c>
      <c r="P848" t="n">
        <v>0</v>
      </c>
      <c r="Q848" t="n">
        <v>0</v>
      </c>
      <c r="R848" s="2" t="inlineStr"/>
    </row>
    <row r="849" ht="15" customHeight="1">
      <c r="A849" t="inlineStr">
        <is>
          <t>A 38720-2025</t>
        </is>
      </c>
      <c r="B849" s="1" t="n">
        <v>45886</v>
      </c>
      <c r="C849" s="1" t="n">
        <v>45910</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16202-2022</t>
        </is>
      </c>
      <c r="B850" s="1" t="n">
        <v>44670</v>
      </c>
      <c r="C850" s="1" t="n">
        <v>45910</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55018-2024</t>
        </is>
      </c>
      <c r="B851" s="1" t="n">
        <v>45621.35712962963</v>
      </c>
      <c r="C851" s="1" t="n">
        <v>45910</v>
      </c>
      <c r="D851" t="inlineStr">
        <is>
          <t>STOCKHOLMS LÄN</t>
        </is>
      </c>
      <c r="E851" t="inlineStr">
        <is>
          <t>NORRTÄLJE</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50136-2023</t>
        </is>
      </c>
      <c r="B852" s="1" t="n">
        <v>45215</v>
      </c>
      <c r="C852" s="1" t="n">
        <v>45910</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25656-2023</t>
        </is>
      </c>
      <c r="B853" s="1" t="n">
        <v>45089</v>
      </c>
      <c r="C853" s="1" t="n">
        <v>45910</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6003-2025</t>
        </is>
      </c>
      <c r="B854" s="1" t="n">
        <v>45695.57881944445</v>
      </c>
      <c r="C854" s="1" t="n">
        <v>45910</v>
      </c>
      <c r="D854" t="inlineStr">
        <is>
          <t>STOCKHOLMS LÄN</t>
        </is>
      </c>
      <c r="E854" t="inlineStr">
        <is>
          <t>NORRTÄLJE</t>
        </is>
      </c>
      <c r="F854" t="inlineStr">
        <is>
          <t>Holmen skog AB</t>
        </is>
      </c>
      <c r="G854" t="n">
        <v>2.3</v>
      </c>
      <c r="H854" t="n">
        <v>0</v>
      </c>
      <c r="I854" t="n">
        <v>0</v>
      </c>
      <c r="J854" t="n">
        <v>0</v>
      </c>
      <c r="K854" t="n">
        <v>0</v>
      </c>
      <c r="L854" t="n">
        <v>0</v>
      </c>
      <c r="M854" t="n">
        <v>0</v>
      </c>
      <c r="N854" t="n">
        <v>0</v>
      </c>
      <c r="O854" t="n">
        <v>0</v>
      </c>
      <c r="P854" t="n">
        <v>0</v>
      </c>
      <c r="Q854" t="n">
        <v>0</v>
      </c>
      <c r="R854" s="2" t="inlineStr"/>
    </row>
    <row r="855" ht="15" customHeight="1">
      <c r="A855" t="inlineStr">
        <is>
          <t>A 41301-2025</t>
        </is>
      </c>
      <c r="B855" s="1" t="n">
        <v>45898.68826388889</v>
      </c>
      <c r="C855" s="1" t="n">
        <v>45910</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41030-2025</t>
        </is>
      </c>
      <c r="B856" s="1" t="n">
        <v>45898.37636574074</v>
      </c>
      <c r="C856" s="1" t="n">
        <v>45910</v>
      </c>
      <c r="D856" t="inlineStr">
        <is>
          <t>STOCKHOLMS LÄN</t>
        </is>
      </c>
      <c r="E856" t="inlineStr">
        <is>
          <t>NORRTÄLJE</t>
        </is>
      </c>
      <c r="F856" t="inlineStr">
        <is>
          <t>Holmen skog AB</t>
        </is>
      </c>
      <c r="G856" t="n">
        <v>2.6</v>
      </c>
      <c r="H856" t="n">
        <v>0</v>
      </c>
      <c r="I856" t="n">
        <v>0</v>
      </c>
      <c r="J856" t="n">
        <v>0</v>
      </c>
      <c r="K856" t="n">
        <v>0</v>
      </c>
      <c r="L856" t="n">
        <v>0</v>
      </c>
      <c r="M856" t="n">
        <v>0</v>
      </c>
      <c r="N856" t="n">
        <v>0</v>
      </c>
      <c r="O856" t="n">
        <v>0</v>
      </c>
      <c r="P856" t="n">
        <v>0</v>
      </c>
      <c r="Q856" t="n">
        <v>0</v>
      </c>
      <c r="R856" s="2" t="inlineStr"/>
    </row>
    <row r="857" ht="15" customHeight="1">
      <c r="A857" t="inlineStr">
        <is>
          <t>A 41275-2025</t>
        </is>
      </c>
      <c r="B857" s="1" t="n">
        <v>45898.62625</v>
      </c>
      <c r="C857" s="1" t="n">
        <v>45910</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11902-2024</t>
        </is>
      </c>
      <c r="B858" s="1" t="n">
        <v>45376.55704861111</v>
      </c>
      <c r="C858" s="1" t="n">
        <v>45910</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41106-2025</t>
        </is>
      </c>
      <c r="B859" s="1" t="n">
        <v>45898.45636574074</v>
      </c>
      <c r="C859" s="1" t="n">
        <v>45910</v>
      </c>
      <c r="D859" t="inlineStr">
        <is>
          <t>STOCKHOLMS LÄN</t>
        </is>
      </c>
      <c r="E859" t="inlineStr">
        <is>
          <t>NORRTÄLJE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41036-2025</t>
        </is>
      </c>
      <c r="B860" s="1" t="n">
        <v>45898.38552083333</v>
      </c>
      <c r="C860" s="1" t="n">
        <v>45910</v>
      </c>
      <c r="D860" t="inlineStr">
        <is>
          <t>STOCKHOLMS LÄN</t>
        </is>
      </c>
      <c r="E860" t="inlineStr">
        <is>
          <t>NORRTÄLJE</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38049-2023</t>
        </is>
      </c>
      <c r="B861" s="1" t="n">
        <v>45159</v>
      </c>
      <c r="C861" s="1" t="n">
        <v>45910</v>
      </c>
      <c r="D861" t="inlineStr">
        <is>
          <t>STOCKHOLMS LÄN</t>
        </is>
      </c>
      <c r="E861" t="inlineStr">
        <is>
          <t>NORRTÄLJE</t>
        </is>
      </c>
      <c r="G861" t="n">
        <v>3.6</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45910</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59535-2024</t>
        </is>
      </c>
      <c r="B863" s="1" t="n">
        <v>45638.59979166667</v>
      </c>
      <c r="C863" s="1" t="n">
        <v>45910</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41110-2025</t>
        </is>
      </c>
      <c r="B864" s="1" t="n">
        <v>45898.45976851852</v>
      </c>
      <c r="C864" s="1" t="n">
        <v>45910</v>
      </c>
      <c r="D864" t="inlineStr">
        <is>
          <t>STOCKHOLMS LÄN</t>
        </is>
      </c>
      <c r="E864" t="inlineStr">
        <is>
          <t>NORRTÄLJE</t>
        </is>
      </c>
      <c r="F864" t="inlineStr">
        <is>
          <t>Holmen skog AB</t>
        </is>
      </c>
      <c r="G864" t="n">
        <v>6.7</v>
      </c>
      <c r="H864" t="n">
        <v>0</v>
      </c>
      <c r="I864" t="n">
        <v>0</v>
      </c>
      <c r="J864" t="n">
        <v>0</v>
      </c>
      <c r="K864" t="n">
        <v>0</v>
      </c>
      <c r="L864" t="n">
        <v>0</v>
      </c>
      <c r="M864" t="n">
        <v>0</v>
      </c>
      <c r="N864" t="n">
        <v>0</v>
      </c>
      <c r="O864" t="n">
        <v>0</v>
      </c>
      <c r="P864" t="n">
        <v>0</v>
      </c>
      <c r="Q864" t="n">
        <v>0</v>
      </c>
      <c r="R864" s="2" t="inlineStr"/>
    </row>
    <row r="865" ht="15" customHeight="1">
      <c r="A865" t="inlineStr">
        <is>
          <t>A 33878-2024</t>
        </is>
      </c>
      <c r="B865" s="1" t="n">
        <v>45522.44414351852</v>
      </c>
      <c r="C865" s="1" t="n">
        <v>45910</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41259-2025</t>
        </is>
      </c>
      <c r="B866" s="1" t="n">
        <v>45898.61054398148</v>
      </c>
      <c r="C866" s="1" t="n">
        <v>45910</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9246-2024</t>
        </is>
      </c>
      <c r="B867" s="1" t="n">
        <v>45357</v>
      </c>
      <c r="C867" s="1" t="n">
        <v>45910</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35698-2023</t>
        </is>
      </c>
      <c r="B868" s="1" t="n">
        <v>45147</v>
      </c>
      <c r="C868" s="1" t="n">
        <v>45910</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62398-2022</t>
        </is>
      </c>
      <c r="B869" s="1" t="n">
        <v>44923.90159722222</v>
      </c>
      <c r="C869" s="1" t="n">
        <v>45910</v>
      </c>
      <c r="D869" t="inlineStr">
        <is>
          <t>STOCKHOLMS LÄN</t>
        </is>
      </c>
      <c r="E869" t="inlineStr">
        <is>
          <t>NORRTÄLJE</t>
        </is>
      </c>
      <c r="G869" t="n">
        <v>4</v>
      </c>
      <c r="H869" t="n">
        <v>0</v>
      </c>
      <c r="I869" t="n">
        <v>0</v>
      </c>
      <c r="J869" t="n">
        <v>0</v>
      </c>
      <c r="K869" t="n">
        <v>0</v>
      </c>
      <c r="L869" t="n">
        <v>0</v>
      </c>
      <c r="M869" t="n">
        <v>0</v>
      </c>
      <c r="N869" t="n">
        <v>0</v>
      </c>
      <c r="O869" t="n">
        <v>0</v>
      </c>
      <c r="P869" t="n">
        <v>0</v>
      </c>
      <c r="Q869" t="n">
        <v>0</v>
      </c>
      <c r="R869" s="2" t="inlineStr"/>
    </row>
    <row r="870" ht="15" customHeight="1">
      <c r="A870" t="inlineStr">
        <is>
          <t>A 41272-2025</t>
        </is>
      </c>
      <c r="B870" s="1" t="n">
        <v>45898.62373842593</v>
      </c>
      <c r="C870" s="1" t="n">
        <v>45910</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41966-2025</t>
        </is>
      </c>
      <c r="B871" s="1" t="n">
        <v>45903.47456018518</v>
      </c>
      <c r="C871" s="1" t="n">
        <v>45910</v>
      </c>
      <c r="D871" t="inlineStr">
        <is>
          <t>STOCKHOLMS LÄN</t>
        </is>
      </c>
      <c r="E871" t="inlineStr">
        <is>
          <t>NORRTÄLJE</t>
        </is>
      </c>
      <c r="F871" t="inlineStr">
        <is>
          <t>Sveaskog</t>
        </is>
      </c>
      <c r="G871" t="n">
        <v>3.7</v>
      </c>
      <c r="H871" t="n">
        <v>0</v>
      </c>
      <c r="I871" t="n">
        <v>0</v>
      </c>
      <c r="J871" t="n">
        <v>0</v>
      </c>
      <c r="K871" t="n">
        <v>0</v>
      </c>
      <c r="L871" t="n">
        <v>0</v>
      </c>
      <c r="M871" t="n">
        <v>0</v>
      </c>
      <c r="N871" t="n">
        <v>0</v>
      </c>
      <c r="O871" t="n">
        <v>0</v>
      </c>
      <c r="P871" t="n">
        <v>0</v>
      </c>
      <c r="Q871" t="n">
        <v>0</v>
      </c>
      <c r="R871" s="2" t="inlineStr"/>
    </row>
    <row r="872" ht="15" customHeight="1">
      <c r="A872" t="inlineStr">
        <is>
          <t>A 49700-2023</t>
        </is>
      </c>
      <c r="B872" s="1" t="n">
        <v>45212</v>
      </c>
      <c r="C872" s="1" t="n">
        <v>45910</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32071-2023</t>
        </is>
      </c>
      <c r="B873" s="1" t="n">
        <v>45119.57728009259</v>
      </c>
      <c r="C873" s="1" t="n">
        <v>45910</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1425-2025</t>
        </is>
      </c>
      <c r="B874" s="1" t="n">
        <v>45668.67446759259</v>
      </c>
      <c r="C874" s="1" t="n">
        <v>45910</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17775-2022</t>
        </is>
      </c>
      <c r="B875" s="1" t="n">
        <v>44682.78430555556</v>
      </c>
      <c r="C875" s="1" t="n">
        <v>45910</v>
      </c>
      <c r="D875" t="inlineStr">
        <is>
          <t>STOCKHOLMS LÄN</t>
        </is>
      </c>
      <c r="E875" t="inlineStr">
        <is>
          <t>NORRTÄLJE</t>
        </is>
      </c>
      <c r="G875" t="n">
        <v>4.7</v>
      </c>
      <c r="H875" t="n">
        <v>0</v>
      </c>
      <c r="I875" t="n">
        <v>0</v>
      </c>
      <c r="J875" t="n">
        <v>0</v>
      </c>
      <c r="K875" t="n">
        <v>0</v>
      </c>
      <c r="L875" t="n">
        <v>0</v>
      </c>
      <c r="M875" t="n">
        <v>0</v>
      </c>
      <c r="N875" t="n">
        <v>0</v>
      </c>
      <c r="O875" t="n">
        <v>0</v>
      </c>
      <c r="P875" t="n">
        <v>0</v>
      </c>
      <c r="Q875" t="n">
        <v>0</v>
      </c>
      <c r="R875" s="2" t="inlineStr"/>
    </row>
    <row r="876" ht="15" customHeight="1">
      <c r="A876" t="inlineStr">
        <is>
          <t>A 4183-2025</t>
        </is>
      </c>
      <c r="B876" s="1" t="n">
        <v>45685.44592592592</v>
      </c>
      <c r="C876" s="1" t="n">
        <v>45910</v>
      </c>
      <c r="D876" t="inlineStr">
        <is>
          <t>STOCKHOLMS LÄN</t>
        </is>
      </c>
      <c r="E876" t="inlineStr">
        <is>
          <t>NORRTÄLJE</t>
        </is>
      </c>
      <c r="G876" t="n">
        <v>1.2</v>
      </c>
      <c r="H876" t="n">
        <v>0</v>
      </c>
      <c r="I876" t="n">
        <v>0</v>
      </c>
      <c r="J876" t="n">
        <v>0</v>
      </c>
      <c r="K876" t="n">
        <v>0</v>
      </c>
      <c r="L876" t="n">
        <v>0</v>
      </c>
      <c r="M876" t="n">
        <v>0</v>
      </c>
      <c r="N876" t="n">
        <v>0</v>
      </c>
      <c r="O876" t="n">
        <v>0</v>
      </c>
      <c r="P876" t="n">
        <v>0</v>
      </c>
      <c r="Q876" t="n">
        <v>0</v>
      </c>
      <c r="R876" s="2" t="inlineStr"/>
    </row>
    <row r="877" ht="15" customHeight="1">
      <c r="A877" t="inlineStr">
        <is>
          <t>A 38720-2022</t>
        </is>
      </c>
      <c r="B877" s="1" t="n">
        <v>44815.74539351852</v>
      </c>
      <c r="C877" s="1" t="n">
        <v>45910</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10215-2023</t>
        </is>
      </c>
      <c r="B878" s="1" t="n">
        <v>44986.5887962963</v>
      </c>
      <c r="C878" s="1" t="n">
        <v>45910</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41964-2025</t>
        </is>
      </c>
      <c r="B879" s="1" t="n">
        <v>45903.47270833333</v>
      </c>
      <c r="C879" s="1" t="n">
        <v>45910</v>
      </c>
      <c r="D879" t="inlineStr">
        <is>
          <t>STOCKHOLMS LÄN</t>
        </is>
      </c>
      <c r="E879" t="inlineStr">
        <is>
          <t>NORRTÄLJE</t>
        </is>
      </c>
      <c r="F879" t="inlineStr">
        <is>
          <t>Sveaskog</t>
        </is>
      </c>
      <c r="G879" t="n">
        <v>4</v>
      </c>
      <c r="H879" t="n">
        <v>0</v>
      </c>
      <c r="I879" t="n">
        <v>0</v>
      </c>
      <c r="J879" t="n">
        <v>0</v>
      </c>
      <c r="K879" t="n">
        <v>0</v>
      </c>
      <c r="L879" t="n">
        <v>0</v>
      </c>
      <c r="M879" t="n">
        <v>0</v>
      </c>
      <c r="N879" t="n">
        <v>0</v>
      </c>
      <c r="O879" t="n">
        <v>0</v>
      </c>
      <c r="P879" t="n">
        <v>0</v>
      </c>
      <c r="Q879" t="n">
        <v>0</v>
      </c>
      <c r="R879" s="2" t="inlineStr"/>
    </row>
    <row r="880" ht="15" customHeight="1">
      <c r="A880" t="inlineStr">
        <is>
          <t>A 42038-2025</t>
        </is>
      </c>
      <c r="B880" s="1" t="n">
        <v>45903.61431712963</v>
      </c>
      <c r="C880" s="1" t="n">
        <v>45910</v>
      </c>
      <c r="D880" t="inlineStr">
        <is>
          <t>STOCKHOLMS LÄN</t>
        </is>
      </c>
      <c r="E880" t="inlineStr">
        <is>
          <t>NORRTÄLJE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9480-2025</t>
        </is>
      </c>
      <c r="B881" s="1" t="n">
        <v>45715</v>
      </c>
      <c r="C881" s="1" t="n">
        <v>45910</v>
      </c>
      <c r="D881" t="inlineStr">
        <is>
          <t>STOCKHOLMS LÄN</t>
        </is>
      </c>
      <c r="E881" t="inlineStr">
        <is>
          <t>NORRTÄLJE</t>
        </is>
      </c>
      <c r="F881" t="inlineStr">
        <is>
          <t>Övriga Aktiebolag</t>
        </is>
      </c>
      <c r="G881" t="n">
        <v>3.9</v>
      </c>
      <c r="H881" t="n">
        <v>0</v>
      </c>
      <c r="I881" t="n">
        <v>0</v>
      </c>
      <c r="J881" t="n">
        <v>0</v>
      </c>
      <c r="K881" t="n">
        <v>0</v>
      </c>
      <c r="L881" t="n">
        <v>0</v>
      </c>
      <c r="M881" t="n">
        <v>0</v>
      </c>
      <c r="N881" t="n">
        <v>0</v>
      </c>
      <c r="O881" t="n">
        <v>0</v>
      </c>
      <c r="P881" t="n">
        <v>0</v>
      </c>
      <c r="Q881" t="n">
        <v>0</v>
      </c>
      <c r="R881" s="2" t="inlineStr"/>
    </row>
    <row r="882" ht="15" customHeight="1">
      <c r="A882" t="inlineStr">
        <is>
          <t>A 25609-2023</t>
        </is>
      </c>
      <c r="B882" s="1" t="n">
        <v>45089</v>
      </c>
      <c r="C882" s="1" t="n">
        <v>45910</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20014-2025</t>
        </is>
      </c>
      <c r="B883" s="1" t="n">
        <v>45772.3078125</v>
      </c>
      <c r="C883" s="1" t="n">
        <v>45910</v>
      </c>
      <c r="D883" t="inlineStr">
        <is>
          <t>STOCKHOLMS LÄN</t>
        </is>
      </c>
      <c r="E883" t="inlineStr">
        <is>
          <t>NORRTÄLJE</t>
        </is>
      </c>
      <c r="G883" t="n">
        <v>4.4</v>
      </c>
      <c r="H883" t="n">
        <v>0</v>
      </c>
      <c r="I883" t="n">
        <v>0</v>
      </c>
      <c r="J883" t="n">
        <v>0</v>
      </c>
      <c r="K883" t="n">
        <v>0</v>
      </c>
      <c r="L883" t="n">
        <v>0</v>
      </c>
      <c r="M883" t="n">
        <v>0</v>
      </c>
      <c r="N883" t="n">
        <v>0</v>
      </c>
      <c r="O883" t="n">
        <v>0</v>
      </c>
      <c r="P883" t="n">
        <v>0</v>
      </c>
      <c r="Q883" t="n">
        <v>0</v>
      </c>
      <c r="R883" s="2" t="inlineStr"/>
    </row>
    <row r="884" ht="15" customHeight="1">
      <c r="A884" t="inlineStr">
        <is>
          <t>A 35636-2025</t>
        </is>
      </c>
      <c r="B884" s="1" t="n">
        <v>45859</v>
      </c>
      <c r="C884" s="1" t="n">
        <v>45910</v>
      </c>
      <c r="D884" t="inlineStr">
        <is>
          <t>STOCKHOLMS LÄN</t>
        </is>
      </c>
      <c r="E884" t="inlineStr">
        <is>
          <t>NORRTÄLJE</t>
        </is>
      </c>
      <c r="G884" t="n">
        <v>1</v>
      </c>
      <c r="H884" t="n">
        <v>0</v>
      </c>
      <c r="I884" t="n">
        <v>0</v>
      </c>
      <c r="J884" t="n">
        <v>0</v>
      </c>
      <c r="K884" t="n">
        <v>0</v>
      </c>
      <c r="L884" t="n">
        <v>0</v>
      </c>
      <c r="M884" t="n">
        <v>0</v>
      </c>
      <c r="N884" t="n">
        <v>0</v>
      </c>
      <c r="O884" t="n">
        <v>0</v>
      </c>
      <c r="P884" t="n">
        <v>0</v>
      </c>
      <c r="Q884" t="n">
        <v>0</v>
      </c>
      <c r="R884" s="2" t="inlineStr"/>
    </row>
    <row r="885" ht="15" customHeight="1">
      <c r="A885" t="inlineStr">
        <is>
          <t>A 35639-2025</t>
        </is>
      </c>
      <c r="B885" s="1" t="n">
        <v>45859</v>
      </c>
      <c r="C885" s="1" t="n">
        <v>45910</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20136-2025</t>
        </is>
      </c>
      <c r="B886" s="1" t="n">
        <v>45772.51127314815</v>
      </c>
      <c r="C886" s="1" t="n">
        <v>45910</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24522-2023</t>
        </is>
      </c>
      <c r="B887" s="1" t="n">
        <v>45082.69179398148</v>
      </c>
      <c r="C887" s="1" t="n">
        <v>45910</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25625-2023</t>
        </is>
      </c>
      <c r="B888" s="1" t="n">
        <v>45089</v>
      </c>
      <c r="C888" s="1" t="n">
        <v>45910</v>
      </c>
      <c r="D888" t="inlineStr">
        <is>
          <t>STOCKHOLMS LÄN</t>
        </is>
      </c>
      <c r="E888" t="inlineStr">
        <is>
          <t>NORRTÄLJE</t>
        </is>
      </c>
      <c r="G888" t="n">
        <v>5.5</v>
      </c>
      <c r="H888" t="n">
        <v>0</v>
      </c>
      <c r="I888" t="n">
        <v>0</v>
      </c>
      <c r="J888" t="n">
        <v>0</v>
      </c>
      <c r="K888" t="n">
        <v>0</v>
      </c>
      <c r="L888" t="n">
        <v>0</v>
      </c>
      <c r="M888" t="n">
        <v>0</v>
      </c>
      <c r="N888" t="n">
        <v>0</v>
      </c>
      <c r="O888" t="n">
        <v>0</v>
      </c>
      <c r="P888" t="n">
        <v>0</v>
      </c>
      <c r="Q888" t="n">
        <v>0</v>
      </c>
      <c r="R888" s="2" t="inlineStr"/>
    </row>
    <row r="889" ht="15" customHeight="1">
      <c r="A889" t="inlineStr">
        <is>
          <t>A 2287-2024</t>
        </is>
      </c>
      <c r="B889" s="1" t="n">
        <v>45310</v>
      </c>
      <c r="C889" s="1" t="n">
        <v>45910</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13785-2024</t>
        </is>
      </c>
      <c r="B890" s="1" t="n">
        <v>45391.3395949074</v>
      </c>
      <c r="C890" s="1" t="n">
        <v>45910</v>
      </c>
      <c r="D890" t="inlineStr">
        <is>
          <t>STOCKHOLMS LÄN</t>
        </is>
      </c>
      <c r="E890" t="inlineStr">
        <is>
          <t>NORRTÄLJE</t>
        </is>
      </c>
      <c r="G890" t="n">
        <v>5</v>
      </c>
      <c r="H890" t="n">
        <v>0</v>
      </c>
      <c r="I890" t="n">
        <v>0</v>
      </c>
      <c r="J890" t="n">
        <v>0</v>
      </c>
      <c r="K890" t="n">
        <v>0</v>
      </c>
      <c r="L890" t="n">
        <v>0</v>
      </c>
      <c r="M890" t="n">
        <v>0</v>
      </c>
      <c r="N890" t="n">
        <v>0</v>
      </c>
      <c r="O890" t="n">
        <v>0</v>
      </c>
      <c r="P890" t="n">
        <v>0</v>
      </c>
      <c r="Q890" t="n">
        <v>0</v>
      </c>
      <c r="R890" s="2" t="inlineStr"/>
    </row>
    <row r="891" ht="15" customHeight="1">
      <c r="A891" t="inlineStr">
        <is>
          <t>A 50469-2022</t>
        </is>
      </c>
      <c r="B891" s="1" t="n">
        <v>44866.49827546296</v>
      </c>
      <c r="C891" s="1" t="n">
        <v>45910</v>
      </c>
      <c r="D891" t="inlineStr">
        <is>
          <t>STOCKHOLMS LÄN</t>
        </is>
      </c>
      <c r="E891" t="inlineStr">
        <is>
          <t>NORRTÄLJE</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37147-2023</t>
        </is>
      </c>
      <c r="B892" s="1" t="n">
        <v>45155</v>
      </c>
      <c r="C892" s="1" t="n">
        <v>45910</v>
      </c>
      <c r="D892" t="inlineStr">
        <is>
          <t>STOCKHOLMS LÄN</t>
        </is>
      </c>
      <c r="E892" t="inlineStr">
        <is>
          <t>NORRTÄLJE</t>
        </is>
      </c>
      <c r="G892" t="n">
        <v>8</v>
      </c>
      <c r="H892" t="n">
        <v>0</v>
      </c>
      <c r="I892" t="n">
        <v>0</v>
      </c>
      <c r="J892" t="n">
        <v>0</v>
      </c>
      <c r="K892" t="n">
        <v>0</v>
      </c>
      <c r="L892" t="n">
        <v>0</v>
      </c>
      <c r="M892" t="n">
        <v>0</v>
      </c>
      <c r="N892" t="n">
        <v>0</v>
      </c>
      <c r="O892" t="n">
        <v>0</v>
      </c>
      <c r="P892" t="n">
        <v>0</v>
      </c>
      <c r="Q892" t="n">
        <v>0</v>
      </c>
      <c r="R892" s="2" t="inlineStr"/>
    </row>
    <row r="893" ht="15" customHeight="1">
      <c r="A893" t="inlineStr">
        <is>
          <t>A 51116-2022</t>
        </is>
      </c>
      <c r="B893" s="1" t="n">
        <v>44868.45741898148</v>
      </c>
      <c r="C893" s="1" t="n">
        <v>45910</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7186-2024</t>
        </is>
      </c>
      <c r="B894" s="1" t="n">
        <v>45344</v>
      </c>
      <c r="C894" s="1" t="n">
        <v>45910</v>
      </c>
      <c r="D894" t="inlineStr">
        <is>
          <t>STOCKHOLMS LÄN</t>
        </is>
      </c>
      <c r="E894" t="inlineStr">
        <is>
          <t>NORRTÄLJE</t>
        </is>
      </c>
      <c r="G894" t="n">
        <v>4.9</v>
      </c>
      <c r="H894" t="n">
        <v>0</v>
      </c>
      <c r="I894" t="n">
        <v>0</v>
      </c>
      <c r="J894" t="n">
        <v>0</v>
      </c>
      <c r="K894" t="n">
        <v>0</v>
      </c>
      <c r="L894" t="n">
        <v>0</v>
      </c>
      <c r="M894" t="n">
        <v>0</v>
      </c>
      <c r="N894" t="n">
        <v>0</v>
      </c>
      <c r="O894" t="n">
        <v>0</v>
      </c>
      <c r="P894" t="n">
        <v>0</v>
      </c>
      <c r="Q894" t="n">
        <v>0</v>
      </c>
      <c r="R894" s="2" t="inlineStr"/>
    </row>
    <row r="895" ht="15" customHeight="1">
      <c r="A895" t="inlineStr">
        <is>
          <t>A 34444-2024</t>
        </is>
      </c>
      <c r="B895" s="1" t="n">
        <v>45525</v>
      </c>
      <c r="C895" s="1" t="n">
        <v>45910</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57602-2024</t>
        </is>
      </c>
      <c r="B896" s="1" t="n">
        <v>45630.52866898148</v>
      </c>
      <c r="C896" s="1" t="n">
        <v>45910</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60217-2021</t>
        </is>
      </c>
      <c r="B897" s="1" t="n">
        <v>44495.5893287037</v>
      </c>
      <c r="C897" s="1" t="n">
        <v>45910</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64600-2021</t>
        </is>
      </c>
      <c r="B898" s="1" t="n">
        <v>44511.70518518519</v>
      </c>
      <c r="C898" s="1" t="n">
        <v>45910</v>
      </c>
      <c r="D898" t="inlineStr">
        <is>
          <t>STOCKHOLMS LÄN</t>
        </is>
      </c>
      <c r="E898" t="inlineStr">
        <is>
          <t>NORRTÄLJE</t>
        </is>
      </c>
      <c r="G898" t="n">
        <v>6.2</v>
      </c>
      <c r="H898" t="n">
        <v>0</v>
      </c>
      <c r="I898" t="n">
        <v>0</v>
      </c>
      <c r="J898" t="n">
        <v>0</v>
      </c>
      <c r="K898" t="n">
        <v>0</v>
      </c>
      <c r="L898" t="n">
        <v>0</v>
      </c>
      <c r="M898" t="n">
        <v>0</v>
      </c>
      <c r="N898" t="n">
        <v>0</v>
      </c>
      <c r="O898" t="n">
        <v>0</v>
      </c>
      <c r="P898" t="n">
        <v>0</v>
      </c>
      <c r="Q898" t="n">
        <v>0</v>
      </c>
      <c r="R898" s="2" t="inlineStr"/>
    </row>
    <row r="899" ht="15" customHeight="1">
      <c r="A899" t="inlineStr">
        <is>
          <t>A 5839-2023</t>
        </is>
      </c>
      <c r="B899" s="1" t="n">
        <v>44963</v>
      </c>
      <c r="C899" s="1" t="n">
        <v>45910</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50602-2021</t>
        </is>
      </c>
      <c r="B900" s="1" t="n">
        <v>44459</v>
      </c>
      <c r="C900" s="1" t="n">
        <v>45910</v>
      </c>
      <c r="D900" t="inlineStr">
        <is>
          <t>STOCKHOLMS LÄN</t>
        </is>
      </c>
      <c r="E900" t="inlineStr">
        <is>
          <t>NORRTÄLJE</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20698-2025</t>
        </is>
      </c>
      <c r="B901" s="1" t="n">
        <v>45776.47122685185</v>
      </c>
      <c r="C901" s="1" t="n">
        <v>45910</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26365-2024</t>
        </is>
      </c>
      <c r="B902" s="1" t="n">
        <v>45469</v>
      </c>
      <c r="C902" s="1" t="n">
        <v>45910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39152-2025</t>
        </is>
      </c>
      <c r="B903" s="1" t="n">
        <v>45888</v>
      </c>
      <c r="C903" s="1" t="n">
        <v>45910</v>
      </c>
      <c r="D903" t="inlineStr">
        <is>
          <t>STOCKHOLMS LÄN</t>
        </is>
      </c>
      <c r="E903" t="inlineStr">
        <is>
          <t>NORRTÄLJE</t>
        </is>
      </c>
      <c r="G903" t="n">
        <v>4.6</v>
      </c>
      <c r="H903" t="n">
        <v>0</v>
      </c>
      <c r="I903" t="n">
        <v>0</v>
      </c>
      <c r="J903" t="n">
        <v>0</v>
      </c>
      <c r="K903" t="n">
        <v>0</v>
      </c>
      <c r="L903" t="n">
        <v>0</v>
      </c>
      <c r="M903" t="n">
        <v>0</v>
      </c>
      <c r="N903" t="n">
        <v>0</v>
      </c>
      <c r="O903" t="n">
        <v>0</v>
      </c>
      <c r="P903" t="n">
        <v>0</v>
      </c>
      <c r="Q903" t="n">
        <v>0</v>
      </c>
      <c r="R903" s="2" t="inlineStr"/>
    </row>
    <row r="904" ht="15" customHeight="1">
      <c r="A904" t="inlineStr">
        <is>
          <t>A 42856-2025</t>
        </is>
      </c>
      <c r="B904" s="1" t="n">
        <v>45908</v>
      </c>
      <c r="C904" s="1" t="n">
        <v>45910</v>
      </c>
      <c r="D904" t="inlineStr">
        <is>
          <t>STOCKHOLMS LÄN</t>
        </is>
      </c>
      <c r="E904" t="inlineStr">
        <is>
          <t>NORRTÄLJE</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26640-2023</t>
        </is>
      </c>
      <c r="B905" s="1" t="n">
        <v>45092</v>
      </c>
      <c r="C905" s="1" t="n">
        <v>45910</v>
      </c>
      <c r="D905" t="inlineStr">
        <is>
          <t>STOCKHOLMS LÄN</t>
        </is>
      </c>
      <c r="E905" t="inlineStr">
        <is>
          <t>NORRTÄLJE</t>
        </is>
      </c>
      <c r="G905" t="n">
        <v>5.7</v>
      </c>
      <c r="H905" t="n">
        <v>0</v>
      </c>
      <c r="I905" t="n">
        <v>0</v>
      </c>
      <c r="J905" t="n">
        <v>0</v>
      </c>
      <c r="K905" t="n">
        <v>0</v>
      </c>
      <c r="L905" t="n">
        <v>0</v>
      </c>
      <c r="M905" t="n">
        <v>0</v>
      </c>
      <c r="N905" t="n">
        <v>0</v>
      </c>
      <c r="O905" t="n">
        <v>0</v>
      </c>
      <c r="P905" t="n">
        <v>0</v>
      </c>
      <c r="Q905" t="n">
        <v>0</v>
      </c>
      <c r="R905" s="2" t="inlineStr"/>
    </row>
    <row r="906" ht="15" customHeight="1">
      <c r="A906" t="inlineStr">
        <is>
          <t>A 38985-2022</t>
        </is>
      </c>
      <c r="B906" s="1" t="n">
        <v>44816</v>
      </c>
      <c r="C906" s="1" t="n">
        <v>45910</v>
      </c>
      <c r="D906" t="inlineStr">
        <is>
          <t>STOCKHOLMS LÄN</t>
        </is>
      </c>
      <c r="E906" t="inlineStr">
        <is>
          <t>NORRTÄLJE</t>
        </is>
      </c>
      <c r="G906" t="n">
        <v>10.1</v>
      </c>
      <c r="H906" t="n">
        <v>0</v>
      </c>
      <c r="I906" t="n">
        <v>0</v>
      </c>
      <c r="J906" t="n">
        <v>0</v>
      </c>
      <c r="K906" t="n">
        <v>0</v>
      </c>
      <c r="L906" t="n">
        <v>0</v>
      </c>
      <c r="M906" t="n">
        <v>0</v>
      </c>
      <c r="N906" t="n">
        <v>0</v>
      </c>
      <c r="O906" t="n">
        <v>0</v>
      </c>
      <c r="P906" t="n">
        <v>0</v>
      </c>
      <c r="Q906" t="n">
        <v>0</v>
      </c>
      <c r="R906" s="2" t="inlineStr"/>
    </row>
    <row r="907" ht="15" customHeight="1">
      <c r="A907" t="inlineStr">
        <is>
          <t>A 33219-2025</t>
        </is>
      </c>
      <c r="B907" s="1" t="n">
        <v>45840</v>
      </c>
      <c r="C907" s="1" t="n">
        <v>45910</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31827-2023</t>
        </is>
      </c>
      <c r="B908" s="1" t="n">
        <v>45118</v>
      </c>
      <c r="C908" s="1" t="n">
        <v>45910</v>
      </c>
      <c r="D908" t="inlineStr">
        <is>
          <t>STOCKHOLMS LÄN</t>
        </is>
      </c>
      <c r="E908" t="inlineStr">
        <is>
          <t>NORRTÄLJE</t>
        </is>
      </c>
      <c r="F908" t="inlineStr">
        <is>
          <t>Kyrkan</t>
        </is>
      </c>
      <c r="G908" t="n">
        <v>4.9</v>
      </c>
      <c r="H908" t="n">
        <v>0</v>
      </c>
      <c r="I908" t="n">
        <v>0</v>
      </c>
      <c r="J908" t="n">
        <v>0</v>
      </c>
      <c r="K908" t="n">
        <v>0</v>
      </c>
      <c r="L908" t="n">
        <v>0</v>
      </c>
      <c r="M908" t="n">
        <v>0</v>
      </c>
      <c r="N908" t="n">
        <v>0</v>
      </c>
      <c r="O908" t="n">
        <v>0</v>
      </c>
      <c r="P908" t="n">
        <v>0</v>
      </c>
      <c r="Q908" t="n">
        <v>0</v>
      </c>
      <c r="R908" s="2" t="inlineStr"/>
    </row>
    <row r="909" ht="15" customHeight="1">
      <c r="A909" t="inlineStr">
        <is>
          <t>A 58993-2022</t>
        </is>
      </c>
      <c r="B909" s="1" t="n">
        <v>44903</v>
      </c>
      <c r="C909" s="1" t="n">
        <v>45910</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28900-2022</t>
        </is>
      </c>
      <c r="B910" s="1" t="n">
        <v>44749.55258101852</v>
      </c>
      <c r="C910" s="1" t="n">
        <v>45910</v>
      </c>
      <c r="D910" t="inlineStr">
        <is>
          <t>STOCKHOLMS LÄN</t>
        </is>
      </c>
      <c r="E910" t="inlineStr">
        <is>
          <t>NORRTÄLJE</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17574-2025</t>
        </is>
      </c>
      <c r="B911" s="1" t="n">
        <v>45757.65178240741</v>
      </c>
      <c r="C911" s="1" t="n">
        <v>45910</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5665-2025</t>
        </is>
      </c>
      <c r="B912" s="1" t="n">
        <v>45693</v>
      </c>
      <c r="C912" s="1" t="n">
        <v>45910</v>
      </c>
      <c r="D912" t="inlineStr">
        <is>
          <t>STOCKHOLMS LÄN</t>
        </is>
      </c>
      <c r="E912" t="inlineStr">
        <is>
          <t>NORRTÄLJE</t>
        </is>
      </c>
      <c r="G912" t="n">
        <v>4</v>
      </c>
      <c r="H912" t="n">
        <v>0</v>
      </c>
      <c r="I912" t="n">
        <v>0</v>
      </c>
      <c r="J912" t="n">
        <v>0</v>
      </c>
      <c r="K912" t="n">
        <v>0</v>
      </c>
      <c r="L912" t="n">
        <v>0</v>
      </c>
      <c r="M912" t="n">
        <v>0</v>
      </c>
      <c r="N912" t="n">
        <v>0</v>
      </c>
      <c r="O912" t="n">
        <v>0</v>
      </c>
      <c r="P912" t="n">
        <v>0</v>
      </c>
      <c r="Q912" t="n">
        <v>0</v>
      </c>
      <c r="R912" s="2" t="inlineStr"/>
    </row>
    <row r="913" ht="15" customHeight="1">
      <c r="A913" t="inlineStr">
        <is>
          <t>A 22232-2024</t>
        </is>
      </c>
      <c r="B913" s="1" t="n">
        <v>45446.4287962963</v>
      </c>
      <c r="C913" s="1" t="n">
        <v>45910</v>
      </c>
      <c r="D913" t="inlineStr">
        <is>
          <t>STOCKHOLMS LÄN</t>
        </is>
      </c>
      <c r="E913" t="inlineStr">
        <is>
          <t>NORRTÄLJE</t>
        </is>
      </c>
      <c r="G913" t="n">
        <v>12.8</v>
      </c>
      <c r="H913" t="n">
        <v>0</v>
      </c>
      <c r="I913" t="n">
        <v>0</v>
      </c>
      <c r="J913" t="n">
        <v>0</v>
      </c>
      <c r="K913" t="n">
        <v>0</v>
      </c>
      <c r="L913" t="n">
        <v>0</v>
      </c>
      <c r="M913" t="n">
        <v>0</v>
      </c>
      <c r="N913" t="n">
        <v>0</v>
      </c>
      <c r="O913" t="n">
        <v>0</v>
      </c>
      <c r="P913" t="n">
        <v>0</v>
      </c>
      <c r="Q913" t="n">
        <v>0</v>
      </c>
      <c r="R913" s="2" t="inlineStr"/>
    </row>
    <row r="914" ht="15" customHeight="1">
      <c r="A914" t="inlineStr">
        <is>
          <t>A 3426-2025</t>
        </is>
      </c>
      <c r="B914" s="1" t="n">
        <v>45680.42665509259</v>
      </c>
      <c r="C914" s="1" t="n">
        <v>45910</v>
      </c>
      <c r="D914" t="inlineStr">
        <is>
          <t>STOCKHOLMS LÄN</t>
        </is>
      </c>
      <c r="E914" t="inlineStr">
        <is>
          <t>NORRTÄLJE</t>
        </is>
      </c>
      <c r="G914" t="n">
        <v>3.2</v>
      </c>
      <c r="H914" t="n">
        <v>0</v>
      </c>
      <c r="I914" t="n">
        <v>0</v>
      </c>
      <c r="J914" t="n">
        <v>0</v>
      </c>
      <c r="K914" t="n">
        <v>0</v>
      </c>
      <c r="L914" t="n">
        <v>0</v>
      </c>
      <c r="M914" t="n">
        <v>0</v>
      </c>
      <c r="N914" t="n">
        <v>0</v>
      </c>
      <c r="O914" t="n">
        <v>0</v>
      </c>
      <c r="P914" t="n">
        <v>0</v>
      </c>
      <c r="Q914" t="n">
        <v>0</v>
      </c>
      <c r="R914" s="2" t="inlineStr"/>
    </row>
    <row r="915" ht="15" customHeight="1">
      <c r="A915" t="inlineStr">
        <is>
          <t>A 58297-2023</t>
        </is>
      </c>
      <c r="B915" s="1" t="n">
        <v>45245</v>
      </c>
      <c r="C915" s="1" t="n">
        <v>45910</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20304-2023</t>
        </is>
      </c>
      <c r="B916" s="1" t="n">
        <v>45056</v>
      </c>
      <c r="C916" s="1" t="n">
        <v>45910</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58530-2024</t>
        </is>
      </c>
      <c r="B917" s="1" t="n">
        <v>45635.44788194444</v>
      </c>
      <c r="C917" s="1" t="n">
        <v>45910</v>
      </c>
      <c r="D917" t="inlineStr">
        <is>
          <t>STOCKHOLMS LÄN</t>
        </is>
      </c>
      <c r="E917" t="inlineStr">
        <is>
          <t>NORRTÄLJE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12299-2025</t>
        </is>
      </c>
      <c r="B918" s="1" t="n">
        <v>45729.71065972222</v>
      </c>
      <c r="C918" s="1" t="n">
        <v>45910</v>
      </c>
      <c r="D918" t="inlineStr">
        <is>
          <t>STOCKHOLMS LÄN</t>
        </is>
      </c>
      <c r="E918" t="inlineStr">
        <is>
          <t>NORRTÄLJE</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22421-2021</t>
        </is>
      </c>
      <c r="B919" s="1" t="n">
        <v>44326</v>
      </c>
      <c r="C919" s="1" t="n">
        <v>45910</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22157-2023</t>
        </is>
      </c>
      <c r="B920" s="1" t="n">
        <v>45069</v>
      </c>
      <c r="C920" s="1" t="n">
        <v>45910</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c r="U920">
        <f>HYPERLINK("https://klasma.github.io/Logging_0188/knärot/A 22157-2023 karta knärot.png", "A 22157-2023")</f>
        <v/>
      </c>
      <c r="V920">
        <f>HYPERLINK("https://klasma.github.io/Logging_0188/klagomål/A 22157-2023 FSC-klagomål.docx", "A 22157-2023")</f>
        <v/>
      </c>
      <c r="W920">
        <f>HYPERLINK("https://klasma.github.io/Logging_0188/klagomålsmail/A 22157-2023 FSC-klagomål mail.docx", "A 22157-2023")</f>
        <v/>
      </c>
      <c r="X920">
        <f>HYPERLINK("https://klasma.github.io/Logging_0188/tillsyn/A 22157-2023 tillsynsbegäran.docx", "A 22157-2023")</f>
        <v/>
      </c>
      <c r="Y920">
        <f>HYPERLINK("https://klasma.github.io/Logging_0188/tillsynsmail/A 22157-2023 tillsynsbegäran mail.docx", "A 22157-2023")</f>
        <v/>
      </c>
    </row>
    <row r="921" ht="15" customHeight="1">
      <c r="A921" t="inlineStr">
        <is>
          <t>A 40761-2024</t>
        </is>
      </c>
      <c r="B921" s="1" t="n">
        <v>45558.46283564815</v>
      </c>
      <c r="C921" s="1" t="n">
        <v>45910</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11929-2024</t>
        </is>
      </c>
      <c r="B922" s="1" t="n">
        <v>45376.64532407407</v>
      </c>
      <c r="C922" s="1" t="n">
        <v>45910</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8296-2023</t>
        </is>
      </c>
      <c r="B923" s="1" t="n">
        <v>44974</v>
      </c>
      <c r="C923" s="1" t="n">
        <v>45910</v>
      </c>
      <c r="D923" t="inlineStr">
        <is>
          <t>STOCKHOLMS LÄN</t>
        </is>
      </c>
      <c r="E923" t="inlineStr">
        <is>
          <t>NORRTÄLJE</t>
        </is>
      </c>
      <c r="G923" t="n">
        <v>3.8</v>
      </c>
      <c r="H923" t="n">
        <v>0</v>
      </c>
      <c r="I923" t="n">
        <v>0</v>
      </c>
      <c r="J923" t="n">
        <v>0</v>
      </c>
      <c r="K923" t="n">
        <v>0</v>
      </c>
      <c r="L923" t="n">
        <v>0</v>
      </c>
      <c r="M923" t="n">
        <v>0</v>
      </c>
      <c r="N923" t="n">
        <v>0</v>
      </c>
      <c r="O923" t="n">
        <v>0</v>
      </c>
      <c r="P923" t="n">
        <v>0</v>
      </c>
      <c r="Q923" t="n">
        <v>0</v>
      </c>
      <c r="R923" s="2" t="inlineStr"/>
    </row>
    <row r="924" ht="15" customHeight="1">
      <c r="A924" t="inlineStr">
        <is>
          <t>A 24575-2024</t>
        </is>
      </c>
      <c r="B924" s="1" t="n">
        <v>45460.45523148148</v>
      </c>
      <c r="C924" s="1" t="n">
        <v>45910</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64899-2023</t>
        </is>
      </c>
      <c r="B925" s="1" t="n">
        <v>45282</v>
      </c>
      <c r="C925" s="1" t="n">
        <v>45910</v>
      </c>
      <c r="D925" t="inlineStr">
        <is>
          <t>STOCKHOLMS LÄN</t>
        </is>
      </c>
      <c r="E925" t="inlineStr">
        <is>
          <t>NORRTÄLJE</t>
        </is>
      </c>
      <c r="G925" t="n">
        <v>6.3</v>
      </c>
      <c r="H925" t="n">
        <v>0</v>
      </c>
      <c r="I925" t="n">
        <v>0</v>
      </c>
      <c r="J925" t="n">
        <v>0</v>
      </c>
      <c r="K925" t="n">
        <v>0</v>
      </c>
      <c r="L925" t="n">
        <v>0</v>
      </c>
      <c r="M925" t="n">
        <v>0</v>
      </c>
      <c r="N925" t="n">
        <v>0</v>
      </c>
      <c r="O925" t="n">
        <v>0</v>
      </c>
      <c r="P925" t="n">
        <v>0</v>
      </c>
      <c r="Q925" t="n">
        <v>0</v>
      </c>
      <c r="R925" s="2" t="inlineStr"/>
    </row>
    <row r="926" ht="15" customHeight="1">
      <c r="A926" t="inlineStr">
        <is>
          <t>A 52593-2024</t>
        </is>
      </c>
      <c r="B926" s="1" t="n">
        <v>45609.70778935185</v>
      </c>
      <c r="C926" s="1" t="n">
        <v>45910</v>
      </c>
      <c r="D926" t="inlineStr">
        <is>
          <t>STOCKHOLMS LÄN</t>
        </is>
      </c>
      <c r="E926" t="inlineStr">
        <is>
          <t>NORRTÄLJE</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52617-2024</t>
        </is>
      </c>
      <c r="B927" s="1" t="n">
        <v>45609.85146990741</v>
      </c>
      <c r="C927" s="1" t="n">
        <v>45910</v>
      </c>
      <c r="D927" t="inlineStr">
        <is>
          <t>STOCKHOLMS LÄN</t>
        </is>
      </c>
      <c r="E927" t="inlineStr">
        <is>
          <t>NORRTÄLJE</t>
        </is>
      </c>
      <c r="G927" t="n">
        <v>0.8</v>
      </c>
      <c r="H927" t="n">
        <v>0</v>
      </c>
      <c r="I927" t="n">
        <v>0</v>
      </c>
      <c r="J927" t="n">
        <v>0</v>
      </c>
      <c r="K927" t="n">
        <v>0</v>
      </c>
      <c r="L927" t="n">
        <v>0</v>
      </c>
      <c r="M927" t="n">
        <v>0</v>
      </c>
      <c r="N927" t="n">
        <v>0</v>
      </c>
      <c r="O927" t="n">
        <v>0</v>
      </c>
      <c r="P927" t="n">
        <v>0</v>
      </c>
      <c r="Q927" t="n">
        <v>0</v>
      </c>
      <c r="R927" s="2" t="inlineStr"/>
    </row>
    <row r="928" ht="15" customHeight="1">
      <c r="A928" t="inlineStr">
        <is>
          <t>A 60321-2020</t>
        </is>
      </c>
      <c r="B928" s="1" t="n">
        <v>44152</v>
      </c>
      <c r="C928" s="1" t="n">
        <v>45910</v>
      </c>
      <c r="D928" t="inlineStr">
        <is>
          <t>STOCKHOLMS LÄN</t>
        </is>
      </c>
      <c r="E928" t="inlineStr">
        <is>
          <t>NORRTÄLJE</t>
        </is>
      </c>
      <c r="F928" t="inlineStr">
        <is>
          <t>Holmen skog AB</t>
        </is>
      </c>
      <c r="G928" t="n">
        <v>3.4</v>
      </c>
      <c r="H928" t="n">
        <v>0</v>
      </c>
      <c r="I928" t="n">
        <v>0</v>
      </c>
      <c r="J928" t="n">
        <v>0</v>
      </c>
      <c r="K928" t="n">
        <v>0</v>
      </c>
      <c r="L928" t="n">
        <v>0</v>
      </c>
      <c r="M928" t="n">
        <v>0</v>
      </c>
      <c r="N928" t="n">
        <v>0</v>
      </c>
      <c r="O928" t="n">
        <v>0</v>
      </c>
      <c r="P928" t="n">
        <v>0</v>
      </c>
      <c r="Q928" t="n">
        <v>0</v>
      </c>
      <c r="R928" s="2" t="inlineStr"/>
    </row>
    <row r="929" ht="15" customHeight="1">
      <c r="A929" t="inlineStr">
        <is>
          <t>A 22816-2021</t>
        </is>
      </c>
      <c r="B929" s="1" t="n">
        <v>44325</v>
      </c>
      <c r="C929" s="1" t="n">
        <v>45910</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59904-2023</t>
        </is>
      </c>
      <c r="B930" s="1" t="n">
        <v>45257</v>
      </c>
      <c r="C930" s="1" t="n">
        <v>45910</v>
      </c>
      <c r="D930" t="inlineStr">
        <is>
          <t>STOCKHOLMS LÄN</t>
        </is>
      </c>
      <c r="E930" t="inlineStr">
        <is>
          <t>NORRTÄLJE</t>
        </is>
      </c>
      <c r="G930" t="n">
        <v>17.4</v>
      </c>
      <c r="H930" t="n">
        <v>0</v>
      </c>
      <c r="I930" t="n">
        <v>0</v>
      </c>
      <c r="J930" t="n">
        <v>0</v>
      </c>
      <c r="K930" t="n">
        <v>0</v>
      </c>
      <c r="L930" t="n">
        <v>0</v>
      </c>
      <c r="M930" t="n">
        <v>0</v>
      </c>
      <c r="N930" t="n">
        <v>0</v>
      </c>
      <c r="O930" t="n">
        <v>0</v>
      </c>
      <c r="P930" t="n">
        <v>0</v>
      </c>
      <c r="Q930" t="n">
        <v>0</v>
      </c>
      <c r="R930" s="2" t="inlineStr"/>
    </row>
    <row r="931" ht="15" customHeight="1">
      <c r="A931" t="inlineStr">
        <is>
          <t>A 9914-2023</t>
        </is>
      </c>
      <c r="B931" s="1" t="n">
        <v>44985</v>
      </c>
      <c r="C931" s="1" t="n">
        <v>45910</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4553-2023</t>
        </is>
      </c>
      <c r="B932" s="1" t="n">
        <v>44956.65920138889</v>
      </c>
      <c r="C932" s="1" t="n">
        <v>45910</v>
      </c>
      <c r="D932" t="inlineStr">
        <is>
          <t>STOCKHOLMS LÄN</t>
        </is>
      </c>
      <c r="E932" t="inlineStr">
        <is>
          <t>NORRTÄLJE</t>
        </is>
      </c>
      <c r="G932" t="n">
        <v>7.5</v>
      </c>
      <c r="H932" t="n">
        <v>0</v>
      </c>
      <c r="I932" t="n">
        <v>0</v>
      </c>
      <c r="J932" t="n">
        <v>0</v>
      </c>
      <c r="K932" t="n">
        <v>0</v>
      </c>
      <c r="L932" t="n">
        <v>0</v>
      </c>
      <c r="M932" t="n">
        <v>0</v>
      </c>
      <c r="N932" t="n">
        <v>0</v>
      </c>
      <c r="O932" t="n">
        <v>0</v>
      </c>
      <c r="P932" t="n">
        <v>0</v>
      </c>
      <c r="Q932" t="n">
        <v>0</v>
      </c>
      <c r="R932" s="2" t="inlineStr"/>
    </row>
    <row r="933" ht="15" customHeight="1">
      <c r="A933" t="inlineStr">
        <is>
          <t>A 4593-2023</t>
        </is>
      </c>
      <c r="B933" s="1" t="n">
        <v>44956</v>
      </c>
      <c r="C933" s="1" t="n">
        <v>45910</v>
      </c>
      <c r="D933" t="inlineStr">
        <is>
          <t>STOCKHOLMS LÄN</t>
        </is>
      </c>
      <c r="E933" t="inlineStr">
        <is>
          <t>NORRTÄLJE</t>
        </is>
      </c>
      <c r="G933" t="n">
        <v>0.4</v>
      </c>
      <c r="H933" t="n">
        <v>0</v>
      </c>
      <c r="I933" t="n">
        <v>0</v>
      </c>
      <c r="J933" t="n">
        <v>0</v>
      </c>
      <c r="K933" t="n">
        <v>0</v>
      </c>
      <c r="L933" t="n">
        <v>0</v>
      </c>
      <c r="M933" t="n">
        <v>0</v>
      </c>
      <c r="N933" t="n">
        <v>0</v>
      </c>
      <c r="O933" t="n">
        <v>0</v>
      </c>
      <c r="P933" t="n">
        <v>0</v>
      </c>
      <c r="Q933" t="n">
        <v>0</v>
      </c>
      <c r="R933" s="2" t="inlineStr"/>
    </row>
    <row r="934" ht="15" customHeight="1">
      <c r="A934" t="inlineStr">
        <is>
          <t>A 11062-2024</t>
        </is>
      </c>
      <c r="B934" s="1" t="n">
        <v>45370</v>
      </c>
      <c r="C934" s="1" t="n">
        <v>45910</v>
      </c>
      <c r="D934" t="inlineStr">
        <is>
          <t>STOCKHOLMS LÄN</t>
        </is>
      </c>
      <c r="E934" t="inlineStr">
        <is>
          <t>NORRTÄLJE</t>
        </is>
      </c>
      <c r="G934" t="n">
        <v>3.2</v>
      </c>
      <c r="H934" t="n">
        <v>0</v>
      </c>
      <c r="I934" t="n">
        <v>0</v>
      </c>
      <c r="J934" t="n">
        <v>0</v>
      </c>
      <c r="K934" t="n">
        <v>0</v>
      </c>
      <c r="L934" t="n">
        <v>0</v>
      </c>
      <c r="M934" t="n">
        <v>0</v>
      </c>
      <c r="N934" t="n">
        <v>0</v>
      </c>
      <c r="O934" t="n">
        <v>0</v>
      </c>
      <c r="P934" t="n">
        <v>0</v>
      </c>
      <c r="Q934" t="n">
        <v>0</v>
      </c>
      <c r="R934" s="2" t="inlineStr"/>
    </row>
    <row r="935" ht="15" customHeight="1">
      <c r="A935" t="inlineStr">
        <is>
          <t>A 13171-2025</t>
        </is>
      </c>
      <c r="B935" s="1" t="n">
        <v>45735.36594907408</v>
      </c>
      <c r="C935" s="1" t="n">
        <v>45910</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33569-2023</t>
        </is>
      </c>
      <c r="B936" s="1" t="n">
        <v>45131.666875</v>
      </c>
      <c r="C936" s="1" t="n">
        <v>45910</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15905-2023</t>
        </is>
      </c>
      <c r="B937" s="1" t="n">
        <v>45022</v>
      </c>
      <c r="C937" s="1" t="n">
        <v>45910</v>
      </c>
      <c r="D937" t="inlineStr">
        <is>
          <t>STOCKHOLMS LÄN</t>
        </is>
      </c>
      <c r="E937" t="inlineStr">
        <is>
          <t>NORRTÄLJE</t>
        </is>
      </c>
      <c r="G937" t="n">
        <v>3.2</v>
      </c>
      <c r="H937" t="n">
        <v>0</v>
      </c>
      <c r="I937" t="n">
        <v>0</v>
      </c>
      <c r="J937" t="n">
        <v>0</v>
      </c>
      <c r="K937" t="n">
        <v>0</v>
      </c>
      <c r="L937" t="n">
        <v>0</v>
      </c>
      <c r="M937" t="n">
        <v>0</v>
      </c>
      <c r="N937" t="n">
        <v>0</v>
      </c>
      <c r="O937" t="n">
        <v>0</v>
      </c>
      <c r="P937" t="n">
        <v>0</v>
      </c>
      <c r="Q937" t="n">
        <v>0</v>
      </c>
      <c r="R937" s="2" t="inlineStr"/>
    </row>
    <row r="938" ht="15" customHeight="1">
      <c r="A938" t="inlineStr">
        <is>
          <t>A 19058-2023</t>
        </is>
      </c>
      <c r="B938" s="1" t="n">
        <v>45048</v>
      </c>
      <c r="C938" s="1" t="n">
        <v>45910</v>
      </c>
      <c r="D938" t="inlineStr">
        <is>
          <t>STOCKHOLMS LÄN</t>
        </is>
      </c>
      <c r="E938" t="inlineStr">
        <is>
          <t>NORRTÄLJE</t>
        </is>
      </c>
      <c r="G938" t="n">
        <v>3.7</v>
      </c>
      <c r="H938" t="n">
        <v>0</v>
      </c>
      <c r="I938" t="n">
        <v>0</v>
      </c>
      <c r="J938" t="n">
        <v>0</v>
      </c>
      <c r="K938" t="n">
        <v>0</v>
      </c>
      <c r="L938" t="n">
        <v>0</v>
      </c>
      <c r="M938" t="n">
        <v>0</v>
      </c>
      <c r="N938" t="n">
        <v>0</v>
      </c>
      <c r="O938" t="n">
        <v>0</v>
      </c>
      <c r="P938" t="n">
        <v>0</v>
      </c>
      <c r="Q938" t="n">
        <v>0</v>
      </c>
      <c r="R938" s="2" t="inlineStr"/>
    </row>
    <row r="939" ht="15" customHeight="1">
      <c r="A939" t="inlineStr">
        <is>
          <t>A 51978-2023</t>
        </is>
      </c>
      <c r="B939" s="1" t="n">
        <v>45223</v>
      </c>
      <c r="C939" s="1" t="n">
        <v>45910</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18092-2022</t>
        </is>
      </c>
      <c r="B940" s="1" t="n">
        <v>44684</v>
      </c>
      <c r="C940" s="1" t="n">
        <v>45910</v>
      </c>
      <c r="D940" t="inlineStr">
        <is>
          <t>STOCKHOLMS LÄN</t>
        </is>
      </c>
      <c r="E940" t="inlineStr">
        <is>
          <t>NORRTÄLJE</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59310-2023</t>
        </is>
      </c>
      <c r="B941" s="1" t="n">
        <v>45253.61146990741</v>
      </c>
      <c r="C941" s="1" t="n">
        <v>45910</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15956-2023</t>
        </is>
      </c>
      <c r="B942" s="1" t="n">
        <v>45022.61003472222</v>
      </c>
      <c r="C942" s="1" t="n">
        <v>45910</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9329-2023</t>
        </is>
      </c>
      <c r="B943" s="1" t="n">
        <v>44980</v>
      </c>
      <c r="C943" s="1" t="n">
        <v>45910</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49898-2020</t>
        </is>
      </c>
      <c r="B944" s="1" t="n">
        <v>44108</v>
      </c>
      <c r="C944" s="1" t="n">
        <v>45910</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59878-2024</t>
        </is>
      </c>
      <c r="B945" s="1" t="n">
        <v>45640.60240740741</v>
      </c>
      <c r="C945" s="1" t="n">
        <v>45910</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47626-2022</t>
        </is>
      </c>
      <c r="B946" s="1" t="n">
        <v>44854</v>
      </c>
      <c r="C946" s="1" t="n">
        <v>45910</v>
      </c>
      <c r="D946" t="inlineStr">
        <is>
          <t>STOCKHOLMS LÄN</t>
        </is>
      </c>
      <c r="E946" t="inlineStr">
        <is>
          <t>NORRTÄLJE</t>
        </is>
      </c>
      <c r="G946" t="n">
        <v>2</v>
      </c>
      <c r="H946" t="n">
        <v>0</v>
      </c>
      <c r="I946" t="n">
        <v>0</v>
      </c>
      <c r="J946" t="n">
        <v>0</v>
      </c>
      <c r="K946" t="n">
        <v>0</v>
      </c>
      <c r="L946" t="n">
        <v>0</v>
      </c>
      <c r="M946" t="n">
        <v>0</v>
      </c>
      <c r="N946" t="n">
        <v>0</v>
      </c>
      <c r="O946" t="n">
        <v>0</v>
      </c>
      <c r="P946" t="n">
        <v>0</v>
      </c>
      <c r="Q946" t="n">
        <v>0</v>
      </c>
      <c r="R946" s="2" t="inlineStr"/>
    </row>
    <row r="947" ht="15" customHeight="1">
      <c r="A947" t="inlineStr">
        <is>
          <t>A 41335-2023</t>
        </is>
      </c>
      <c r="B947" s="1" t="n">
        <v>45174.68702546296</v>
      </c>
      <c r="C947" s="1" t="n">
        <v>45910</v>
      </c>
      <c r="D947" t="inlineStr">
        <is>
          <t>STOCKHOLMS LÄN</t>
        </is>
      </c>
      <c r="E947" t="inlineStr">
        <is>
          <t>NORRTÄLJE</t>
        </is>
      </c>
      <c r="F947" t="inlineStr">
        <is>
          <t>Holmen skog AB</t>
        </is>
      </c>
      <c r="G947" t="n">
        <v>4.4</v>
      </c>
      <c r="H947" t="n">
        <v>0</v>
      </c>
      <c r="I947" t="n">
        <v>0</v>
      </c>
      <c r="J947" t="n">
        <v>0</v>
      </c>
      <c r="K947" t="n">
        <v>0</v>
      </c>
      <c r="L947" t="n">
        <v>0</v>
      </c>
      <c r="M947" t="n">
        <v>0</v>
      </c>
      <c r="N947" t="n">
        <v>0</v>
      </c>
      <c r="O947" t="n">
        <v>0</v>
      </c>
      <c r="P947" t="n">
        <v>0</v>
      </c>
      <c r="Q947" t="n">
        <v>0</v>
      </c>
      <c r="R947" s="2" t="inlineStr"/>
    </row>
    <row r="948" ht="15" customHeight="1">
      <c r="A948" t="inlineStr">
        <is>
          <t>A 33040-2021</t>
        </is>
      </c>
      <c r="B948" s="1" t="n">
        <v>44376.50728009259</v>
      </c>
      <c r="C948" s="1" t="n">
        <v>45910</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33053-2021</t>
        </is>
      </c>
      <c r="B949" s="1" t="n">
        <v>44376</v>
      </c>
      <c r="C949" s="1" t="n">
        <v>45910</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62206-2022</t>
        </is>
      </c>
      <c r="B950" s="1" t="n">
        <v>44922</v>
      </c>
      <c r="C950" s="1" t="n">
        <v>45910</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43150-2023</t>
        </is>
      </c>
      <c r="B951" s="1" t="n">
        <v>45183</v>
      </c>
      <c r="C951" s="1" t="n">
        <v>45910</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20618-2022</t>
        </is>
      </c>
      <c r="B952" s="1" t="n">
        <v>44700.50659722222</v>
      </c>
      <c r="C952" s="1" t="n">
        <v>45910</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40192-2023</t>
        </is>
      </c>
      <c r="B953" s="1" t="n">
        <v>45169</v>
      </c>
      <c r="C953" s="1" t="n">
        <v>45910</v>
      </c>
      <c r="D953" t="inlineStr">
        <is>
          <t>STOCKHOLMS LÄN</t>
        </is>
      </c>
      <c r="E953" t="inlineStr">
        <is>
          <t>NORRTÄLJE</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5950-2021</t>
        </is>
      </c>
      <c r="B954" s="1" t="n">
        <v>44231</v>
      </c>
      <c r="C954" s="1" t="n">
        <v>45910</v>
      </c>
      <c r="D954" t="inlineStr">
        <is>
          <t>STOCKHOLMS LÄN</t>
        </is>
      </c>
      <c r="E954" t="inlineStr">
        <is>
          <t>NORRTÄLJE</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54259-2023</t>
        </is>
      </c>
      <c r="B955" s="1" t="n">
        <v>45232</v>
      </c>
      <c r="C955" s="1" t="n">
        <v>45910</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19057-2024</t>
        </is>
      </c>
      <c r="B956" s="1" t="n">
        <v>45427.88731481481</v>
      </c>
      <c r="C956" s="1" t="n">
        <v>45910</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11900-2022</t>
        </is>
      </c>
      <c r="B957" s="1" t="n">
        <v>44635</v>
      </c>
      <c r="C957" s="1" t="n">
        <v>45910</v>
      </c>
      <c r="D957" t="inlineStr">
        <is>
          <t>STOCKHOLMS LÄN</t>
        </is>
      </c>
      <c r="E957" t="inlineStr">
        <is>
          <t>NORRTÄLJE</t>
        </is>
      </c>
      <c r="G957" t="n">
        <v>2.4</v>
      </c>
      <c r="H957" t="n">
        <v>0</v>
      </c>
      <c r="I957" t="n">
        <v>0</v>
      </c>
      <c r="J957" t="n">
        <v>0</v>
      </c>
      <c r="K957" t="n">
        <v>0</v>
      </c>
      <c r="L957" t="n">
        <v>0</v>
      </c>
      <c r="M957" t="n">
        <v>0</v>
      </c>
      <c r="N957" t="n">
        <v>0</v>
      </c>
      <c r="O957" t="n">
        <v>0</v>
      </c>
      <c r="P957" t="n">
        <v>0</v>
      </c>
      <c r="Q957" t="n">
        <v>0</v>
      </c>
      <c r="R957" s="2" t="inlineStr"/>
    </row>
    <row r="958" ht="15" customHeight="1">
      <c r="A958" t="inlineStr">
        <is>
          <t>A 10973-2025</t>
        </is>
      </c>
      <c r="B958" s="1" t="n">
        <v>45723</v>
      </c>
      <c r="C958" s="1" t="n">
        <v>45910</v>
      </c>
      <c r="D958" t="inlineStr">
        <is>
          <t>STOCKHOLMS LÄN</t>
        </is>
      </c>
      <c r="E958" t="inlineStr">
        <is>
          <t>NORRTÄLJE</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60822-2023</t>
        </is>
      </c>
      <c r="B959" s="1" t="n">
        <v>45259</v>
      </c>
      <c r="C959" s="1" t="n">
        <v>45910</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27885-2022</t>
        </is>
      </c>
      <c r="B960" s="1" t="n">
        <v>44743.67418981482</v>
      </c>
      <c r="C960" s="1" t="n">
        <v>45910</v>
      </c>
      <c r="D960" t="inlineStr">
        <is>
          <t>STOCKHOLMS LÄN</t>
        </is>
      </c>
      <c r="E960" t="inlineStr">
        <is>
          <t>NORRTÄLJE</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12031-2021</t>
        </is>
      </c>
      <c r="B961" s="1" t="n">
        <v>44266</v>
      </c>
      <c r="C961" s="1" t="n">
        <v>45910</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27381-2024</t>
        </is>
      </c>
      <c r="B962" s="1" t="n">
        <v>45473.94501157408</v>
      </c>
      <c r="C962" s="1" t="n">
        <v>45910</v>
      </c>
      <c r="D962" t="inlineStr">
        <is>
          <t>STOCKHOLMS LÄN</t>
        </is>
      </c>
      <c r="E962" t="inlineStr">
        <is>
          <t>NORRTÄLJE</t>
        </is>
      </c>
      <c r="G962" t="n">
        <v>4.5</v>
      </c>
      <c r="H962" t="n">
        <v>0</v>
      </c>
      <c r="I962" t="n">
        <v>0</v>
      </c>
      <c r="J962" t="n">
        <v>0</v>
      </c>
      <c r="K962" t="n">
        <v>0</v>
      </c>
      <c r="L962" t="n">
        <v>0</v>
      </c>
      <c r="M962" t="n">
        <v>0</v>
      </c>
      <c r="N962" t="n">
        <v>0</v>
      </c>
      <c r="O962" t="n">
        <v>0</v>
      </c>
      <c r="P962" t="n">
        <v>0</v>
      </c>
      <c r="Q962" t="n">
        <v>0</v>
      </c>
      <c r="R962" s="2" t="inlineStr"/>
    </row>
    <row r="963" ht="15" customHeight="1">
      <c r="A963" t="inlineStr">
        <is>
          <t>A 23265-2023</t>
        </is>
      </c>
      <c r="B963" s="1" t="n">
        <v>45075.90703703704</v>
      </c>
      <c r="C963" s="1" t="n">
        <v>45910</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48392-2020</t>
        </is>
      </c>
      <c r="B964" s="1" t="n">
        <v>44097</v>
      </c>
      <c r="C964" s="1" t="n">
        <v>45910</v>
      </c>
      <c r="D964" t="inlineStr">
        <is>
          <t>STOCKHOLMS LÄN</t>
        </is>
      </c>
      <c r="E964" t="inlineStr">
        <is>
          <t>NORRTÄLJE</t>
        </is>
      </c>
      <c r="G964" t="n">
        <v>12.5</v>
      </c>
      <c r="H964" t="n">
        <v>0</v>
      </c>
      <c r="I964" t="n">
        <v>0</v>
      </c>
      <c r="J964" t="n">
        <v>0</v>
      </c>
      <c r="K964" t="n">
        <v>0</v>
      </c>
      <c r="L964" t="n">
        <v>0</v>
      </c>
      <c r="M964" t="n">
        <v>0</v>
      </c>
      <c r="N964" t="n">
        <v>0</v>
      </c>
      <c r="O964" t="n">
        <v>0</v>
      </c>
      <c r="P964" t="n">
        <v>0</v>
      </c>
      <c r="Q964" t="n">
        <v>0</v>
      </c>
      <c r="R964" s="2" t="inlineStr"/>
    </row>
    <row r="965" ht="15" customHeight="1">
      <c r="A965" t="inlineStr">
        <is>
          <t>A 26117-2024</t>
        </is>
      </c>
      <c r="B965" s="1" t="n">
        <v>45468.45877314815</v>
      </c>
      <c r="C965" s="1" t="n">
        <v>45910</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60224-2023</t>
        </is>
      </c>
      <c r="B966" s="1" t="n">
        <v>45257</v>
      </c>
      <c r="C966" s="1" t="n">
        <v>45910</v>
      </c>
      <c r="D966" t="inlineStr">
        <is>
          <t>STOCKHOLMS LÄN</t>
        </is>
      </c>
      <c r="E966" t="inlineStr">
        <is>
          <t>NORRTÄLJE</t>
        </is>
      </c>
      <c r="G966" t="n">
        <v>8.1</v>
      </c>
      <c r="H966" t="n">
        <v>0</v>
      </c>
      <c r="I966" t="n">
        <v>0</v>
      </c>
      <c r="J966" t="n">
        <v>0</v>
      </c>
      <c r="K966" t="n">
        <v>0</v>
      </c>
      <c r="L966" t="n">
        <v>0</v>
      </c>
      <c r="M966" t="n">
        <v>0</v>
      </c>
      <c r="N966" t="n">
        <v>0</v>
      </c>
      <c r="O966" t="n">
        <v>0</v>
      </c>
      <c r="P966" t="n">
        <v>0</v>
      </c>
      <c r="Q966" t="n">
        <v>0</v>
      </c>
      <c r="R966" s="2" t="inlineStr"/>
    </row>
    <row r="967" ht="15" customHeight="1">
      <c r="A967" t="inlineStr">
        <is>
          <t>A 5158-2024</t>
        </is>
      </c>
      <c r="B967" s="1" t="n">
        <v>45330.50098379629</v>
      </c>
      <c r="C967" s="1" t="n">
        <v>45910</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20336-2024</t>
        </is>
      </c>
      <c r="B968" s="1" t="n">
        <v>45435.43123842592</v>
      </c>
      <c r="C968" s="1" t="n">
        <v>45910</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9130-2025</t>
        </is>
      </c>
      <c r="B969" s="1" t="n">
        <v>45713.92623842593</v>
      </c>
      <c r="C969" s="1" t="n">
        <v>45910</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1847-2023</t>
        </is>
      </c>
      <c r="B970" s="1" t="n">
        <v>44938</v>
      </c>
      <c r="C970" s="1" t="n">
        <v>45910</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17551-2025</t>
        </is>
      </c>
      <c r="B971" s="1" t="n">
        <v>45757.61421296297</v>
      </c>
      <c r="C971" s="1" t="n">
        <v>45910</v>
      </c>
      <c r="D971" t="inlineStr">
        <is>
          <t>STOCKHOLMS LÄN</t>
        </is>
      </c>
      <c r="E971" t="inlineStr">
        <is>
          <t>NORRTÄLJE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55010-2024</t>
        </is>
      </c>
      <c r="B972" s="1" t="n">
        <v>45621.34425925926</v>
      </c>
      <c r="C972" s="1" t="n">
        <v>45910</v>
      </c>
      <c r="D972" t="inlineStr">
        <is>
          <t>STOCKHOLMS LÄN</t>
        </is>
      </c>
      <c r="E972" t="inlineStr">
        <is>
          <t>NORRTÄLJE</t>
        </is>
      </c>
      <c r="F972" t="inlineStr">
        <is>
          <t>Sveaskog</t>
        </is>
      </c>
      <c r="G972" t="n">
        <v>5.7</v>
      </c>
      <c r="H972" t="n">
        <v>0</v>
      </c>
      <c r="I972" t="n">
        <v>0</v>
      </c>
      <c r="J972" t="n">
        <v>0</v>
      </c>
      <c r="K972" t="n">
        <v>0</v>
      </c>
      <c r="L972" t="n">
        <v>0</v>
      </c>
      <c r="M972" t="n">
        <v>0</v>
      </c>
      <c r="N972" t="n">
        <v>0</v>
      </c>
      <c r="O972" t="n">
        <v>0</v>
      </c>
      <c r="P972" t="n">
        <v>0</v>
      </c>
      <c r="Q972" t="n">
        <v>0</v>
      </c>
      <c r="R972" s="2" t="inlineStr"/>
    </row>
    <row r="973" ht="15" customHeight="1">
      <c r="A973" t="inlineStr">
        <is>
          <t>A 31105-2022</t>
        </is>
      </c>
      <c r="B973" s="1" t="n">
        <v>44769.66039351852</v>
      </c>
      <c r="C973" s="1" t="n">
        <v>45910</v>
      </c>
      <c r="D973" t="inlineStr">
        <is>
          <t>STOCKHOLMS LÄN</t>
        </is>
      </c>
      <c r="E973" t="inlineStr">
        <is>
          <t>NORRTÄLJE</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30620-2022</t>
        </is>
      </c>
      <c r="B974" s="1" t="n">
        <v>44763.40914351852</v>
      </c>
      <c r="C974" s="1" t="n">
        <v>45910</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50113-2024</t>
        </is>
      </c>
      <c r="B975" s="1" t="n">
        <v>45600.411875</v>
      </c>
      <c r="C975" s="1" t="n">
        <v>45910</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28365-2022</t>
        </is>
      </c>
      <c r="B976" s="1" t="n">
        <v>44747</v>
      </c>
      <c r="C976" s="1" t="n">
        <v>45910</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59721-2024</t>
        </is>
      </c>
      <c r="B977" s="1" t="n">
        <v>45639.47385416667</v>
      </c>
      <c r="C977" s="1" t="n">
        <v>45910</v>
      </c>
      <c r="D977" t="inlineStr">
        <is>
          <t>STOCKHOLMS LÄN</t>
        </is>
      </c>
      <c r="E977" t="inlineStr">
        <is>
          <t>NORRTÄLJE</t>
        </is>
      </c>
      <c r="G977" t="n">
        <v>4.6</v>
      </c>
      <c r="H977" t="n">
        <v>0</v>
      </c>
      <c r="I977" t="n">
        <v>0</v>
      </c>
      <c r="J977" t="n">
        <v>0</v>
      </c>
      <c r="K977" t="n">
        <v>0</v>
      </c>
      <c r="L977" t="n">
        <v>0</v>
      </c>
      <c r="M977" t="n">
        <v>0</v>
      </c>
      <c r="N977" t="n">
        <v>0</v>
      </c>
      <c r="O977" t="n">
        <v>0</v>
      </c>
      <c r="P977" t="n">
        <v>0</v>
      </c>
      <c r="Q977" t="n">
        <v>0</v>
      </c>
      <c r="R977" s="2" t="inlineStr"/>
    </row>
    <row r="978" ht="15" customHeight="1">
      <c r="A978" t="inlineStr">
        <is>
          <t>A 42955-2022</t>
        </is>
      </c>
      <c r="B978" s="1" t="n">
        <v>44833.40876157407</v>
      </c>
      <c r="C978" s="1" t="n">
        <v>45910</v>
      </c>
      <c r="D978" t="inlineStr">
        <is>
          <t>STOCKHOLMS LÄN</t>
        </is>
      </c>
      <c r="E978" t="inlineStr">
        <is>
          <t>NORRTÄLJE</t>
        </is>
      </c>
      <c r="G978" t="n">
        <v>13.1</v>
      </c>
      <c r="H978" t="n">
        <v>0</v>
      </c>
      <c r="I978" t="n">
        <v>0</v>
      </c>
      <c r="J978" t="n">
        <v>0</v>
      </c>
      <c r="K978" t="n">
        <v>0</v>
      </c>
      <c r="L978" t="n">
        <v>0</v>
      </c>
      <c r="M978" t="n">
        <v>0</v>
      </c>
      <c r="N978" t="n">
        <v>0</v>
      </c>
      <c r="O978" t="n">
        <v>0</v>
      </c>
      <c r="P978" t="n">
        <v>0</v>
      </c>
      <c r="Q978" t="n">
        <v>0</v>
      </c>
      <c r="R978" s="2" t="inlineStr"/>
    </row>
    <row r="979" ht="15" customHeight="1">
      <c r="A979" t="inlineStr">
        <is>
          <t>A 1283-2025</t>
        </is>
      </c>
      <c r="B979" s="1" t="n">
        <v>45667.49878472222</v>
      </c>
      <c r="C979" s="1" t="n">
        <v>45910</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9703-2021</t>
        </is>
      </c>
      <c r="B980" s="1" t="n">
        <v>44252</v>
      </c>
      <c r="C980" s="1" t="n">
        <v>45910</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37010-2022</t>
        </is>
      </c>
      <c r="B981" s="1" t="n">
        <v>44806.41576388889</v>
      </c>
      <c r="C981" s="1" t="n">
        <v>45910</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951-2023</t>
        </is>
      </c>
      <c r="B982" s="1" t="n">
        <v>44934</v>
      </c>
      <c r="C982" s="1" t="n">
        <v>45910</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61363-2020</t>
        </is>
      </c>
      <c r="B983" s="1" t="n">
        <v>44155.69458333333</v>
      </c>
      <c r="C983" s="1" t="n">
        <v>45910</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13767-2025</t>
        </is>
      </c>
      <c r="B984" s="1" t="n">
        <v>45737.43347222222</v>
      </c>
      <c r="C984" s="1" t="n">
        <v>45910</v>
      </c>
      <c r="D984" t="inlineStr">
        <is>
          <t>STOCKHOLMS LÄN</t>
        </is>
      </c>
      <c r="E984" t="inlineStr">
        <is>
          <t>NORRTÄLJE</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20013-2025</t>
        </is>
      </c>
      <c r="B985" s="1" t="n">
        <v>45772.30436342592</v>
      </c>
      <c r="C985" s="1" t="n">
        <v>45910</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5423-2023</t>
        </is>
      </c>
      <c r="B986" s="1" t="n">
        <v>44959.74533564815</v>
      </c>
      <c r="C986" s="1" t="n">
        <v>45910</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53362-2023</t>
        </is>
      </c>
      <c r="B987" s="1" t="n">
        <v>45223</v>
      </c>
      <c r="C987" s="1" t="n">
        <v>45910</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50182-2024</t>
        </is>
      </c>
      <c r="B988" s="1" t="n">
        <v>45600.47275462963</v>
      </c>
      <c r="C988" s="1" t="n">
        <v>45910</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15422-2024</t>
        </is>
      </c>
      <c r="B989" s="1" t="n">
        <v>45401.3653125</v>
      </c>
      <c r="C989" s="1" t="n">
        <v>45910</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12629-2024</t>
        </is>
      </c>
      <c r="B990" s="1" t="n">
        <v>45383</v>
      </c>
      <c r="C990" s="1" t="n">
        <v>45910</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30508-2023</t>
        </is>
      </c>
      <c r="B991" s="1" t="n">
        <v>45111</v>
      </c>
      <c r="C991" s="1" t="n">
        <v>45910</v>
      </c>
      <c r="D991" t="inlineStr">
        <is>
          <t>STOCKHOLMS LÄN</t>
        </is>
      </c>
      <c r="E991" t="inlineStr">
        <is>
          <t>NORRTÄLJE</t>
        </is>
      </c>
      <c r="G991" t="n">
        <v>2.1</v>
      </c>
      <c r="H991" t="n">
        <v>0</v>
      </c>
      <c r="I991" t="n">
        <v>0</v>
      </c>
      <c r="J991" t="n">
        <v>0</v>
      </c>
      <c r="K991" t="n">
        <v>0</v>
      </c>
      <c r="L991" t="n">
        <v>0</v>
      </c>
      <c r="M991" t="n">
        <v>0</v>
      </c>
      <c r="N991" t="n">
        <v>0</v>
      </c>
      <c r="O991" t="n">
        <v>0</v>
      </c>
      <c r="P991" t="n">
        <v>0</v>
      </c>
      <c r="Q991" t="n">
        <v>0</v>
      </c>
      <c r="R991" s="2" t="inlineStr"/>
    </row>
    <row r="992" ht="15" customHeight="1">
      <c r="A992" t="inlineStr">
        <is>
          <t>A 35708-2022</t>
        </is>
      </c>
      <c r="B992" s="1" t="n">
        <v>44799.65013888889</v>
      </c>
      <c r="C992" s="1" t="n">
        <v>45910</v>
      </c>
      <c r="D992" t="inlineStr">
        <is>
          <t>STOCKHOLMS LÄN</t>
        </is>
      </c>
      <c r="E992" t="inlineStr">
        <is>
          <t>NORRTÄLJE</t>
        </is>
      </c>
      <c r="G992" t="n">
        <v>1.5</v>
      </c>
      <c r="H992" t="n">
        <v>0</v>
      </c>
      <c r="I992" t="n">
        <v>0</v>
      </c>
      <c r="J992" t="n">
        <v>0</v>
      </c>
      <c r="K992" t="n">
        <v>0</v>
      </c>
      <c r="L992" t="n">
        <v>0</v>
      </c>
      <c r="M992" t="n">
        <v>0</v>
      </c>
      <c r="N992" t="n">
        <v>0</v>
      </c>
      <c r="O992" t="n">
        <v>0</v>
      </c>
      <c r="P992" t="n">
        <v>0</v>
      </c>
      <c r="Q992" t="n">
        <v>0</v>
      </c>
      <c r="R992" s="2" t="inlineStr"/>
    </row>
    <row r="993" ht="15" customHeight="1">
      <c r="A993" t="inlineStr">
        <is>
          <t>A 16008-2025</t>
        </is>
      </c>
      <c r="B993" s="1" t="n">
        <v>45749</v>
      </c>
      <c r="C993" s="1" t="n">
        <v>45910</v>
      </c>
      <c r="D993" t="inlineStr">
        <is>
          <t>STOCKHOLMS LÄN</t>
        </is>
      </c>
      <c r="E993" t="inlineStr">
        <is>
          <t>NORRTÄLJE</t>
        </is>
      </c>
      <c r="F993" t="inlineStr">
        <is>
          <t>Holmen skog AB</t>
        </is>
      </c>
      <c r="G993" t="n">
        <v>0.9</v>
      </c>
      <c r="H993" t="n">
        <v>0</v>
      </c>
      <c r="I993" t="n">
        <v>0</v>
      </c>
      <c r="J993" t="n">
        <v>0</v>
      </c>
      <c r="K993" t="n">
        <v>0</v>
      </c>
      <c r="L993" t="n">
        <v>0</v>
      </c>
      <c r="M993" t="n">
        <v>0</v>
      </c>
      <c r="N993" t="n">
        <v>0</v>
      </c>
      <c r="O993" t="n">
        <v>0</v>
      </c>
      <c r="P993" t="n">
        <v>0</v>
      </c>
      <c r="Q993" t="n">
        <v>0</v>
      </c>
      <c r="R993" s="2" t="inlineStr"/>
    </row>
    <row r="994" ht="15" customHeight="1">
      <c r="A994" t="inlineStr">
        <is>
          <t>A 21158-2022</t>
        </is>
      </c>
      <c r="B994" s="1" t="n">
        <v>44704</v>
      </c>
      <c r="C994" s="1" t="n">
        <v>45910</v>
      </c>
      <c r="D994" t="inlineStr">
        <is>
          <t>STOCKHOLMS LÄN</t>
        </is>
      </c>
      <c r="E994" t="inlineStr">
        <is>
          <t>NORRTÄLJE</t>
        </is>
      </c>
      <c r="G994" t="n">
        <v>17.8</v>
      </c>
      <c r="H994" t="n">
        <v>0</v>
      </c>
      <c r="I994" t="n">
        <v>0</v>
      </c>
      <c r="J994" t="n">
        <v>0</v>
      </c>
      <c r="K994" t="n">
        <v>0</v>
      </c>
      <c r="L994" t="n">
        <v>0</v>
      </c>
      <c r="M994" t="n">
        <v>0</v>
      </c>
      <c r="N994" t="n">
        <v>0</v>
      </c>
      <c r="O994" t="n">
        <v>0</v>
      </c>
      <c r="P994" t="n">
        <v>0</v>
      </c>
      <c r="Q994" t="n">
        <v>0</v>
      </c>
      <c r="R994" s="2" t="inlineStr"/>
    </row>
    <row r="995" ht="15" customHeight="1">
      <c r="A995" t="inlineStr">
        <is>
          <t>A 45220-2024</t>
        </is>
      </c>
      <c r="B995" s="1" t="n">
        <v>45575</v>
      </c>
      <c r="C995" s="1" t="n">
        <v>45910</v>
      </c>
      <c r="D995" t="inlineStr">
        <is>
          <t>STOCKHOLMS LÄN</t>
        </is>
      </c>
      <c r="E995" t="inlineStr">
        <is>
          <t>NORRTÄLJE</t>
        </is>
      </c>
      <c r="G995" t="n">
        <v>4.3</v>
      </c>
      <c r="H995" t="n">
        <v>0</v>
      </c>
      <c r="I995" t="n">
        <v>0</v>
      </c>
      <c r="J995" t="n">
        <v>0</v>
      </c>
      <c r="K995" t="n">
        <v>0</v>
      </c>
      <c r="L995" t="n">
        <v>0</v>
      </c>
      <c r="M995" t="n">
        <v>0</v>
      </c>
      <c r="N995" t="n">
        <v>0</v>
      </c>
      <c r="O995" t="n">
        <v>0</v>
      </c>
      <c r="P995" t="n">
        <v>0</v>
      </c>
      <c r="Q995" t="n">
        <v>0</v>
      </c>
      <c r="R995" s="2" t="inlineStr"/>
    </row>
    <row r="996" ht="15" customHeight="1">
      <c r="A996" t="inlineStr">
        <is>
          <t>A 21731-2023</t>
        </is>
      </c>
      <c r="B996" s="1" t="n">
        <v>45063</v>
      </c>
      <c r="C996" s="1" t="n">
        <v>45910</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23266-2023</t>
        </is>
      </c>
      <c r="B997" s="1" t="n">
        <v>45075.90817129629</v>
      </c>
      <c r="C997" s="1" t="n">
        <v>45910</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32101-2022</t>
        </is>
      </c>
      <c r="B998" s="1" t="n">
        <v>44778.69210648148</v>
      </c>
      <c r="C998" s="1" t="n">
        <v>45910</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23150-2024</t>
        </is>
      </c>
      <c r="B999" s="1" t="n">
        <v>45450.64643518518</v>
      </c>
      <c r="C999" s="1" t="n">
        <v>45910</v>
      </c>
      <c r="D999" t="inlineStr">
        <is>
          <t>STOCKHOLMS LÄN</t>
        </is>
      </c>
      <c r="E999" t="inlineStr">
        <is>
          <t>NORRTÄLJE</t>
        </is>
      </c>
      <c r="F999" t="inlineStr">
        <is>
          <t>Kommuner</t>
        </is>
      </c>
      <c r="G999" t="n">
        <v>2.7</v>
      </c>
      <c r="H999" t="n">
        <v>0</v>
      </c>
      <c r="I999" t="n">
        <v>0</v>
      </c>
      <c r="J999" t="n">
        <v>0</v>
      </c>
      <c r="K999" t="n">
        <v>0</v>
      </c>
      <c r="L999" t="n">
        <v>0</v>
      </c>
      <c r="M999" t="n">
        <v>0</v>
      </c>
      <c r="N999" t="n">
        <v>0</v>
      </c>
      <c r="O999" t="n">
        <v>0</v>
      </c>
      <c r="P999" t="n">
        <v>0</v>
      </c>
      <c r="Q999" t="n">
        <v>0</v>
      </c>
      <c r="R999" s="2" t="inlineStr"/>
    </row>
    <row r="1000" ht="15" customHeight="1">
      <c r="A1000" t="inlineStr">
        <is>
          <t>A 24933-2023</t>
        </is>
      </c>
      <c r="B1000" s="1" t="n">
        <v>45085.5309375</v>
      </c>
      <c r="C1000" s="1" t="n">
        <v>45910</v>
      </c>
      <c r="D1000" t="inlineStr">
        <is>
          <t>STOCKHOLMS LÄN</t>
        </is>
      </c>
      <c r="E1000" t="inlineStr">
        <is>
          <t>NORRTÄLJE</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47521-2024</t>
        </is>
      </c>
      <c r="B1001" s="1" t="n">
        <v>45587.62565972222</v>
      </c>
      <c r="C1001" s="1" t="n">
        <v>45910</v>
      </c>
      <c r="D1001" t="inlineStr">
        <is>
          <t>STOCKHOLMS LÄN</t>
        </is>
      </c>
      <c r="E1001" t="inlineStr">
        <is>
          <t>NORRTÄLJE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58260-2023</t>
        </is>
      </c>
      <c r="B1002" s="1" t="n">
        <v>45245</v>
      </c>
      <c r="C1002" s="1" t="n">
        <v>45910</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58261-2023</t>
        </is>
      </c>
      <c r="B1003" s="1" t="n">
        <v>45245</v>
      </c>
      <c r="C1003" s="1" t="n">
        <v>45910</v>
      </c>
      <c r="D1003" t="inlineStr">
        <is>
          <t>STOCKHOLMS LÄN</t>
        </is>
      </c>
      <c r="E1003" t="inlineStr">
        <is>
          <t>NORRTÄLJE</t>
        </is>
      </c>
      <c r="G1003" t="n">
        <v>53.5</v>
      </c>
      <c r="H1003" t="n">
        <v>0</v>
      </c>
      <c r="I1003" t="n">
        <v>0</v>
      </c>
      <c r="J1003" t="n">
        <v>0</v>
      </c>
      <c r="K1003" t="n">
        <v>0</v>
      </c>
      <c r="L1003" t="n">
        <v>0</v>
      </c>
      <c r="M1003" t="n">
        <v>0</v>
      </c>
      <c r="N1003" t="n">
        <v>0</v>
      </c>
      <c r="O1003" t="n">
        <v>0</v>
      </c>
      <c r="P1003" t="n">
        <v>0</v>
      </c>
      <c r="Q1003" t="n">
        <v>0</v>
      </c>
      <c r="R1003" s="2" t="inlineStr"/>
    </row>
    <row r="1004" ht="15" customHeight="1">
      <c r="A1004" t="inlineStr">
        <is>
          <t>A 56631-2024</t>
        </is>
      </c>
      <c r="B1004" s="1" t="n">
        <v>45625</v>
      </c>
      <c r="C1004" s="1" t="n">
        <v>45910</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652-2025</t>
        </is>
      </c>
      <c r="B1005" s="1" t="n">
        <v>45664</v>
      </c>
      <c r="C1005" s="1" t="n">
        <v>45910</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20011-2025</t>
        </is>
      </c>
      <c r="B1006" s="1" t="n">
        <v>45772.29622685185</v>
      </c>
      <c r="C1006" s="1" t="n">
        <v>45910</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29266-2022</t>
        </is>
      </c>
      <c r="B1007" s="1" t="n">
        <v>44750.66068287037</v>
      </c>
      <c r="C1007" s="1" t="n">
        <v>45910</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29278-2022</t>
        </is>
      </c>
      <c r="B1008" s="1" t="n">
        <v>44750</v>
      </c>
      <c r="C1008" s="1" t="n">
        <v>45910</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5389-2025</t>
        </is>
      </c>
      <c r="B1009" s="1" t="n">
        <v>45692</v>
      </c>
      <c r="C1009" s="1" t="n">
        <v>45910</v>
      </c>
      <c r="D1009" t="inlineStr">
        <is>
          <t>STOCKHOLMS LÄN</t>
        </is>
      </c>
      <c r="E1009" t="inlineStr">
        <is>
          <t>NORRTÄLJE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13051-2021</t>
        </is>
      </c>
      <c r="B1010" s="1" t="n">
        <v>44272</v>
      </c>
      <c r="C1010" s="1" t="n">
        <v>45910</v>
      </c>
      <c r="D1010" t="inlineStr">
        <is>
          <t>STOCKHOLMS LÄN</t>
        </is>
      </c>
      <c r="E1010" t="inlineStr">
        <is>
          <t>NORRTÄLJE</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37273-2024</t>
        </is>
      </c>
      <c r="B1011" s="1" t="n">
        <v>45540</v>
      </c>
      <c r="C1011" s="1" t="n">
        <v>45910</v>
      </c>
      <c r="D1011" t="inlineStr">
        <is>
          <t>STOCKHOLMS LÄN</t>
        </is>
      </c>
      <c r="E1011" t="inlineStr">
        <is>
          <t>NORRTÄLJE</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12908-2025</t>
        </is>
      </c>
      <c r="B1012" s="1" t="n">
        <v>45733.82105324074</v>
      </c>
      <c r="C1012" s="1" t="n">
        <v>45910</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23060-2023</t>
        </is>
      </c>
      <c r="B1013" s="1" t="n">
        <v>45075</v>
      </c>
      <c r="C1013" s="1" t="n">
        <v>45910</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11499-2023</t>
        </is>
      </c>
      <c r="B1014" s="1" t="n">
        <v>44993.66707175926</v>
      </c>
      <c r="C1014" s="1" t="n">
        <v>45910</v>
      </c>
      <c r="D1014" t="inlineStr">
        <is>
          <t>STOCKHOLMS LÄN</t>
        </is>
      </c>
      <c r="E1014" t="inlineStr">
        <is>
          <t>NORRTÄLJE</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45910</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576-2023</t>
        </is>
      </c>
      <c r="B1016" s="1" t="n">
        <v>44925</v>
      </c>
      <c r="C1016" s="1" t="n">
        <v>45910</v>
      </c>
      <c r="D1016" t="inlineStr">
        <is>
          <t>STOCKHOLMS LÄN</t>
        </is>
      </c>
      <c r="E1016" t="inlineStr">
        <is>
          <t>NORRTÄLJE</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47869-2020</t>
        </is>
      </c>
      <c r="B1017" s="1" t="n">
        <v>44098</v>
      </c>
      <c r="C1017" s="1" t="n">
        <v>45910</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10678-2025</t>
        </is>
      </c>
      <c r="B1018" s="1" t="n">
        <v>45721.89123842592</v>
      </c>
      <c r="C1018" s="1" t="n">
        <v>45910</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31936-2022</t>
        </is>
      </c>
      <c r="B1019" s="1" t="n">
        <v>44777</v>
      </c>
      <c r="C1019" s="1" t="n">
        <v>45910</v>
      </c>
      <c r="D1019" t="inlineStr">
        <is>
          <t>STOCKHOLMS LÄN</t>
        </is>
      </c>
      <c r="E1019" t="inlineStr">
        <is>
          <t>NORRTÄLJE</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32103-2022</t>
        </is>
      </c>
      <c r="B1020" s="1" t="n">
        <v>44778</v>
      </c>
      <c r="C1020" s="1" t="n">
        <v>45910</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59873-2024</t>
        </is>
      </c>
      <c r="B1021" s="1" t="n">
        <v>45640.57305555556</v>
      </c>
      <c r="C1021" s="1" t="n">
        <v>45910</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6401-2024</t>
        </is>
      </c>
      <c r="B1022" s="1" t="n">
        <v>45338</v>
      </c>
      <c r="C1022" s="1" t="n">
        <v>45910</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35916-2024</t>
        </is>
      </c>
      <c r="B1023" s="1" t="n">
        <v>45533</v>
      </c>
      <c r="C1023" s="1" t="n">
        <v>45910</v>
      </c>
      <c r="D1023" t="inlineStr">
        <is>
          <t>STOCKHOLMS LÄN</t>
        </is>
      </c>
      <c r="E1023" t="inlineStr">
        <is>
          <t>NORRTÄLJE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10098-2022</t>
        </is>
      </c>
      <c r="B1024" s="1" t="n">
        <v>44621</v>
      </c>
      <c r="C1024" s="1" t="n">
        <v>45910</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59504-2023</t>
        </is>
      </c>
      <c r="B1025" s="1" t="n">
        <v>45254</v>
      </c>
      <c r="C1025" s="1" t="n">
        <v>45910</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63161-2023</t>
        </is>
      </c>
      <c r="B1026" s="1" t="n">
        <v>45273</v>
      </c>
      <c r="C1026" s="1" t="n">
        <v>45910</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7796-2025</t>
        </is>
      </c>
      <c r="B1027" s="1" t="n">
        <v>45706.60130787037</v>
      </c>
      <c r="C1027" s="1" t="n">
        <v>45910</v>
      </c>
      <c r="D1027" t="inlineStr">
        <is>
          <t>STOCKHOLMS LÄN</t>
        </is>
      </c>
      <c r="E1027" t="inlineStr">
        <is>
          <t>NORRTÄLJE</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15552-2021</t>
        </is>
      </c>
      <c r="B1028" s="1" t="n">
        <v>44285</v>
      </c>
      <c r="C1028" s="1" t="n">
        <v>45910</v>
      </c>
      <c r="D1028" t="inlineStr">
        <is>
          <t>STOCKHOLMS LÄN</t>
        </is>
      </c>
      <c r="E1028" t="inlineStr">
        <is>
          <t>NORRTÄLJE</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58040-2024</t>
        </is>
      </c>
      <c r="B1029" s="1" t="n">
        <v>45631.73952546297</v>
      </c>
      <c r="C1029" s="1" t="n">
        <v>45910</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58041-2024</t>
        </is>
      </c>
      <c r="B1030" s="1" t="n">
        <v>45631.74673611111</v>
      </c>
      <c r="C1030" s="1" t="n">
        <v>45910</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52321-2024</t>
        </is>
      </c>
      <c r="B1031" s="1" t="n">
        <v>45608</v>
      </c>
      <c r="C1031" s="1" t="n">
        <v>45910</v>
      </c>
      <c r="D1031" t="inlineStr">
        <is>
          <t>STOCKHOLMS LÄN</t>
        </is>
      </c>
      <c r="E1031" t="inlineStr">
        <is>
          <t>NORRTÄLJE</t>
        </is>
      </c>
      <c r="G1031" t="n">
        <v>18.1</v>
      </c>
      <c r="H1031" t="n">
        <v>0</v>
      </c>
      <c r="I1031" t="n">
        <v>0</v>
      </c>
      <c r="J1031" t="n">
        <v>0</v>
      </c>
      <c r="K1031" t="n">
        <v>0</v>
      </c>
      <c r="L1031" t="n">
        <v>0</v>
      </c>
      <c r="M1031" t="n">
        <v>0</v>
      </c>
      <c r="N1031" t="n">
        <v>0</v>
      </c>
      <c r="O1031" t="n">
        <v>0</v>
      </c>
      <c r="P1031" t="n">
        <v>0</v>
      </c>
      <c r="Q1031" t="n">
        <v>0</v>
      </c>
      <c r="R1031" s="2" t="inlineStr"/>
    </row>
    <row r="1032" ht="15" customHeight="1">
      <c r="A1032" t="inlineStr">
        <is>
          <t>A 30268-2024</t>
        </is>
      </c>
      <c r="B1032" s="1" t="n">
        <v>45490.60572916667</v>
      </c>
      <c r="C1032" s="1" t="n">
        <v>45910</v>
      </c>
      <c r="D1032" t="inlineStr">
        <is>
          <t>STOCKHOLMS LÄN</t>
        </is>
      </c>
      <c r="E1032" t="inlineStr">
        <is>
          <t>NORRTÄLJE</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48151-2024</t>
        </is>
      </c>
      <c r="B1033" s="1" t="n">
        <v>45589.68289351852</v>
      </c>
      <c r="C1033" s="1" t="n">
        <v>45910</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12407-2025</t>
        </is>
      </c>
      <c r="B1034" s="1" t="n">
        <v>45730.42851851852</v>
      </c>
      <c r="C1034" s="1" t="n">
        <v>45910</v>
      </c>
      <c r="D1034" t="inlineStr">
        <is>
          <t>STOCKHOLMS LÄN</t>
        </is>
      </c>
      <c r="E1034" t="inlineStr">
        <is>
          <t>NORRTÄLJE</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19025-2025</t>
        </is>
      </c>
      <c r="B1035" s="1" t="n">
        <v>45764.6359837963</v>
      </c>
      <c r="C1035" s="1" t="n">
        <v>45910</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54276-2021</t>
        </is>
      </c>
      <c r="B1036" s="1" t="n">
        <v>44470</v>
      </c>
      <c r="C1036" s="1" t="n">
        <v>45910</v>
      </c>
      <c r="D1036" t="inlineStr">
        <is>
          <t>STOCKHOLMS LÄN</t>
        </is>
      </c>
      <c r="E1036" t="inlineStr">
        <is>
          <t>NORRTÄLJE</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4316-2023</t>
        </is>
      </c>
      <c r="B1037" s="1" t="n">
        <v>44953.67443287037</v>
      </c>
      <c r="C1037" s="1" t="n">
        <v>45910</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41587-2023</t>
        </is>
      </c>
      <c r="B1038" s="1" t="n">
        <v>45175</v>
      </c>
      <c r="C1038" s="1" t="n">
        <v>45910</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20370-2025</t>
        </is>
      </c>
      <c r="B1039" s="1" t="n">
        <v>45775.41451388889</v>
      </c>
      <c r="C1039" s="1" t="n">
        <v>45910</v>
      </c>
      <c r="D1039" t="inlineStr">
        <is>
          <t>STOCKHOLMS LÄN</t>
        </is>
      </c>
      <c r="E1039" t="inlineStr">
        <is>
          <t>NORRTÄLJE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19580-2022</t>
        </is>
      </c>
      <c r="B1040" s="1" t="n">
        <v>44693</v>
      </c>
      <c r="C1040" s="1" t="n">
        <v>45910</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17304-2024</t>
        </is>
      </c>
      <c r="B1041" s="1" t="n">
        <v>45414</v>
      </c>
      <c r="C1041" s="1" t="n">
        <v>45910</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11280-2023</t>
        </is>
      </c>
      <c r="B1042" s="1" t="n">
        <v>44992</v>
      </c>
      <c r="C1042" s="1" t="n">
        <v>45910</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30731-2023</t>
        </is>
      </c>
      <c r="B1043" s="1" t="n">
        <v>45112</v>
      </c>
      <c r="C1043" s="1" t="n">
        <v>45910</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4580-2025</t>
        </is>
      </c>
      <c r="B1044" s="1" t="n">
        <v>45687.5038425926</v>
      </c>
      <c r="C1044" s="1" t="n">
        <v>45910</v>
      </c>
      <c r="D1044" t="inlineStr">
        <is>
          <t>STOCKHOLMS LÄN</t>
        </is>
      </c>
      <c r="E1044" t="inlineStr">
        <is>
          <t>NORRTÄLJE</t>
        </is>
      </c>
      <c r="F1044" t="inlineStr">
        <is>
          <t>Holmen skog AB</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31057-2022</t>
        </is>
      </c>
      <c r="B1045" s="1" t="n">
        <v>44769</v>
      </c>
      <c r="C1045" s="1" t="n">
        <v>45910</v>
      </c>
      <c r="D1045" t="inlineStr">
        <is>
          <t>STOCKHOLMS LÄN</t>
        </is>
      </c>
      <c r="E1045" t="inlineStr">
        <is>
          <t>NORRTÄLJE</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26668-2024</t>
        </is>
      </c>
      <c r="B1046" s="1" t="n">
        <v>45469</v>
      </c>
      <c r="C1046" s="1" t="n">
        <v>45910</v>
      </c>
      <c r="D1046" t="inlineStr">
        <is>
          <t>STOCKHOLMS LÄN</t>
        </is>
      </c>
      <c r="E1046" t="inlineStr">
        <is>
          <t>NORRTÄLJE</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13137-2024</t>
        </is>
      </c>
      <c r="B1047" s="1" t="n">
        <v>45386.34175925926</v>
      </c>
      <c r="C1047" s="1" t="n">
        <v>45910</v>
      </c>
      <c r="D1047" t="inlineStr">
        <is>
          <t>STOCKHOLMS LÄN</t>
        </is>
      </c>
      <c r="E1047" t="inlineStr">
        <is>
          <t>NORRTÄLJE</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31140-2023</t>
        </is>
      </c>
      <c r="B1048" s="1" t="n">
        <v>45113</v>
      </c>
      <c r="C1048" s="1" t="n">
        <v>45910</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31149-2023</t>
        </is>
      </c>
      <c r="B1049" s="1" t="n">
        <v>45113</v>
      </c>
      <c r="C1049" s="1" t="n">
        <v>45910</v>
      </c>
      <c r="D1049" t="inlineStr">
        <is>
          <t>STOCKHOLMS LÄN</t>
        </is>
      </c>
      <c r="E1049" t="inlineStr">
        <is>
          <t>NORRTÄLJE</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4658-2024</t>
        </is>
      </c>
      <c r="B1050" s="1" t="n">
        <v>45328.46336805556</v>
      </c>
      <c r="C1050" s="1" t="n">
        <v>45910</v>
      </c>
      <c r="D1050" t="inlineStr">
        <is>
          <t>STOCKHOLMS LÄN</t>
        </is>
      </c>
      <c r="E1050" t="inlineStr">
        <is>
          <t>NORRTÄLJE</t>
        </is>
      </c>
      <c r="G1050" t="n">
        <v>2.8</v>
      </c>
      <c r="H1050" t="n">
        <v>0</v>
      </c>
      <c r="I1050" t="n">
        <v>0</v>
      </c>
      <c r="J1050" t="n">
        <v>0</v>
      </c>
      <c r="K1050" t="n">
        <v>0</v>
      </c>
      <c r="L1050" t="n">
        <v>0</v>
      </c>
      <c r="M1050" t="n">
        <v>0</v>
      </c>
      <c r="N1050" t="n">
        <v>0</v>
      </c>
      <c r="O1050" t="n">
        <v>0</v>
      </c>
      <c r="P1050" t="n">
        <v>0</v>
      </c>
      <c r="Q1050" t="n">
        <v>0</v>
      </c>
      <c r="R1050" s="2" t="inlineStr"/>
    </row>
    <row r="1051">
      <c r="A1051" t="inlineStr">
        <is>
          <t>A 19131-2025</t>
        </is>
      </c>
      <c r="B1051" s="1" t="n">
        <v>45769</v>
      </c>
      <c r="C1051" s="1" t="n">
        <v>45910</v>
      </c>
      <c r="D1051" t="inlineStr">
        <is>
          <t>STOCKHOLMS LÄN</t>
        </is>
      </c>
      <c r="E1051" t="inlineStr">
        <is>
          <t>NORRTÄLJE</t>
        </is>
      </c>
      <c r="G1051" t="n">
        <v>1.6</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2025-09-10T18:17:05Z</dcterms:created>
  <dcterms:modified xmlns:dcterms="http://purl.org/dc/terms/" xmlns:xsi="http://www.w3.org/2001/XMLSchema-instance" xsi:type="dcterms:W3CDTF">2025-09-10T18:17:06Z</dcterms:modified>
</cp:coreProperties>
</file>