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46182</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46182</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46182</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46182</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46182</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56024-2025</t>
        </is>
      </c>
      <c r="B12" s="1" t="n">
        <v>45973</v>
      </c>
      <c r="C12" s="1" t="n">
        <v>46182</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46182</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46182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639-2026</t>
        </is>
      </c>
      <c r="B15" s="1" t="n">
        <v>46029</v>
      </c>
      <c r="C15" s="1" t="n">
        <v>46182</v>
      </c>
      <c r="D15" t="inlineStr">
        <is>
          <t>STOCKHOLMS LÄN</t>
        </is>
      </c>
      <c r="E15" t="inlineStr">
        <is>
          <t>NORRTÄLJE</t>
        </is>
      </c>
      <c r="G15" t="n">
        <v>24.7</v>
      </c>
      <c r="H15" t="n">
        <v>12</v>
      </c>
      <c r="I15" t="n">
        <v>0</v>
      </c>
      <c r="J15" t="n">
        <v>5</v>
      </c>
      <c r="K15" t="n">
        <v>1</v>
      </c>
      <c r="L15" t="n">
        <v>0</v>
      </c>
      <c r="M15" t="n">
        <v>0</v>
      </c>
      <c r="N15" t="n">
        <v>0</v>
      </c>
      <c r="O15" t="n">
        <v>6</v>
      </c>
      <c r="P15" t="n">
        <v>1</v>
      </c>
      <c r="Q15" t="n">
        <v>12</v>
      </c>
      <c r="R15" s="2" t="inlineStr">
        <is>
          <t>Stare
Entita
Gulsparv
Nordfladdermus
Rödvingetrast
Talltita
Enkelbeckasin
Grönsiska
Järnsparv
Kungsfågel
Större brunfladdermus
Blåsippa</t>
        </is>
      </c>
      <c r="S15">
        <f>HYPERLINK("https://klasma.github.io/Logging_0188/artfynd/A 639-2026 artfynd.xlsx", "A 639-2026")</f>
        <v/>
      </c>
      <c r="T15">
        <f>HYPERLINK("https://klasma.github.io/Logging_0188/kartor/A 639-2026 karta.png", "A 639-2026")</f>
        <v/>
      </c>
      <c r="V15">
        <f>HYPERLINK("https://klasma.github.io/Logging_0188/klagomål/A 639-2026 FSC-klagomål.docx", "A 639-2026")</f>
        <v/>
      </c>
      <c r="W15">
        <f>HYPERLINK("https://klasma.github.io/Logging_0188/klagomålsmail/A 639-2026 FSC-klagomål mail.docx", "A 639-2026")</f>
        <v/>
      </c>
      <c r="X15">
        <f>HYPERLINK("https://klasma.github.io/Logging_0188/tillsyn/A 639-2026 tillsynsbegäran.docx", "A 639-2026")</f>
        <v/>
      </c>
      <c r="Y15">
        <f>HYPERLINK("https://klasma.github.io/Logging_0188/tillsynsmail/A 639-2026 tillsynsbegäran mail.docx", "A 639-2026")</f>
        <v/>
      </c>
      <c r="Z15">
        <f>HYPERLINK("https://klasma.github.io/Logging_0188/fåglar/A 639-2026 prioriterade fågelarter.docx", "A 639-2026")</f>
        <v/>
      </c>
    </row>
    <row r="16" ht="15" customHeight="1">
      <c r="A16" t="inlineStr">
        <is>
          <t>A 21927-2025</t>
        </is>
      </c>
      <c r="B16" s="1" t="n">
        <v>45784.54878472222</v>
      </c>
      <c r="C16" s="1" t="n">
        <v>46182</v>
      </c>
      <c r="D16" t="inlineStr">
        <is>
          <t>STOCKHOLMS LÄN</t>
        </is>
      </c>
      <c r="E16" t="inlineStr">
        <is>
          <t>NORRTÄLJE</t>
        </is>
      </c>
      <c r="G16" t="n">
        <v>3.4</v>
      </c>
      <c r="H16" t="n">
        <v>4</v>
      </c>
      <c r="I16" t="n">
        <v>6</v>
      </c>
      <c r="J16" t="n">
        <v>1</v>
      </c>
      <c r="K16" t="n">
        <v>2</v>
      </c>
      <c r="L16" t="n">
        <v>0</v>
      </c>
      <c r="M16" t="n">
        <v>0</v>
      </c>
      <c r="N16" t="n">
        <v>0</v>
      </c>
      <c r="O16" t="n">
        <v>3</v>
      </c>
      <c r="P16" t="n">
        <v>2</v>
      </c>
      <c r="Q16" t="n">
        <v>12</v>
      </c>
      <c r="R16" s="2" t="inlineStr">
        <is>
          <t>Kopparspindling
Ostticka
Dofttaggsvamp
Fjällig taggsvamp s.str.
Kalktallört
Kryddspindling
Nästrot
Rödgul trumpetsvamp
Svavelriska
Åkergroda
Vanlig groda
Blåsippa</t>
        </is>
      </c>
      <c r="S16">
        <f>HYPERLINK("https://klasma.github.io/Logging_0188/artfynd/A 21927-2025 artfynd.xlsx", "A 21927-2025")</f>
        <v/>
      </c>
      <c r="T16">
        <f>HYPERLINK("https://klasma.github.io/Logging_0188/kartor/A 21927-2025 karta.png", "A 21927-2025")</f>
        <v/>
      </c>
      <c r="V16">
        <f>HYPERLINK("https://klasma.github.io/Logging_0188/klagomål/A 21927-2025 FSC-klagomål.docx", "A 21927-2025")</f>
        <v/>
      </c>
      <c r="W16">
        <f>HYPERLINK("https://klasma.github.io/Logging_0188/klagomålsmail/A 21927-2025 FSC-klagomål mail.docx", "A 21927-2025")</f>
        <v/>
      </c>
      <c r="X16">
        <f>HYPERLINK("https://klasma.github.io/Logging_0188/tillsyn/A 21927-2025 tillsynsbegäran.docx", "A 21927-2025")</f>
        <v/>
      </c>
      <c r="Y16">
        <f>HYPERLINK("https://klasma.github.io/Logging_0188/tillsynsmail/A 21927-2025 tillsynsbegäran mail.docx", "A 21927-2025")</f>
        <v/>
      </c>
    </row>
    <row r="17" ht="15" customHeight="1">
      <c r="A17" t="inlineStr">
        <is>
          <t>A 17645-2026</t>
        </is>
      </c>
      <c r="B17" s="1" t="n">
        <v>46121.51921296296</v>
      </c>
      <c r="C17" s="1" t="n">
        <v>46182</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25732-2025</t>
        </is>
      </c>
      <c r="B18" s="1" t="n">
        <v>45800</v>
      </c>
      <c r="C18" s="1" t="n">
        <v>46182</v>
      </c>
      <c r="D18" t="inlineStr">
        <is>
          <t>STOCKHOLMS LÄN</t>
        </is>
      </c>
      <c r="E18" t="inlineStr">
        <is>
          <t>NORRTÄLJE</t>
        </is>
      </c>
      <c r="G18" t="n">
        <v>7.4</v>
      </c>
      <c r="H18" t="n">
        <v>5</v>
      </c>
      <c r="I18" t="n">
        <v>4</v>
      </c>
      <c r="J18" t="n">
        <v>5</v>
      </c>
      <c r="K18" t="n">
        <v>1</v>
      </c>
      <c r="L18" t="n">
        <v>0</v>
      </c>
      <c r="M18" t="n">
        <v>0</v>
      </c>
      <c r="N18" t="n">
        <v>0</v>
      </c>
      <c r="O18" t="n">
        <v>6</v>
      </c>
      <c r="P18" t="n">
        <v>1</v>
      </c>
      <c r="Q18" t="n">
        <v>11</v>
      </c>
      <c r="R18" s="2" t="inlineStr">
        <is>
          <t>Knärot
Blå taggsvamp
Motaggsvamp
Skrovlig taggsvamp
Spillkråka
Talltita
Björksplintborre
Dropptaggsvamp
Grönpyrola
Plattlummer
Kungsfågel</t>
        </is>
      </c>
      <c r="S18">
        <f>HYPERLINK("https://klasma.github.io/Logging_0188/artfynd/A 25732-2025 artfynd.xlsx", "A 25732-2025")</f>
        <v/>
      </c>
      <c r="T18">
        <f>HYPERLINK("https://klasma.github.io/Logging_0188/kartor/A 25732-2025 karta.png", "A 25732-2025")</f>
        <v/>
      </c>
      <c r="U18">
        <f>HYPERLINK("https://klasma.github.io/Logging_0188/knärot/A 25732-2025 karta knärot.png", "A 25732-2025")</f>
        <v/>
      </c>
      <c r="V18">
        <f>HYPERLINK("https://klasma.github.io/Logging_0188/klagomål/A 25732-2025 FSC-klagomål.docx", "A 25732-2025")</f>
        <v/>
      </c>
      <c r="W18">
        <f>HYPERLINK("https://klasma.github.io/Logging_0188/klagomålsmail/A 25732-2025 FSC-klagomål mail.docx", "A 25732-2025")</f>
        <v/>
      </c>
      <c r="X18">
        <f>HYPERLINK("https://klasma.github.io/Logging_0188/tillsyn/A 25732-2025 tillsynsbegäran.docx", "A 25732-2025")</f>
        <v/>
      </c>
      <c r="Y18">
        <f>HYPERLINK("https://klasma.github.io/Logging_0188/tillsynsmail/A 25732-2025 tillsynsbegäran mail.docx", "A 25732-2025")</f>
        <v/>
      </c>
      <c r="Z18">
        <f>HYPERLINK("https://klasma.github.io/Logging_0188/fåglar/A 25732-2025 prioriterade fågelarter.docx", "A 25732-2025")</f>
        <v/>
      </c>
    </row>
    <row r="19" ht="15" customHeight="1">
      <c r="A19" t="inlineStr">
        <is>
          <t>A 3472-2023</t>
        </is>
      </c>
      <c r="B19" s="1" t="n">
        <v>44949</v>
      </c>
      <c r="C19" s="1" t="n">
        <v>46182</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46182</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46182</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52815-2021</t>
        </is>
      </c>
      <c r="B22" s="1" t="n">
        <v>44467</v>
      </c>
      <c r="C22" s="1" t="n">
        <v>46182</v>
      </c>
      <c r="D22" t="inlineStr">
        <is>
          <t>STOCKHOLMS LÄN</t>
        </is>
      </c>
      <c r="E22" t="inlineStr">
        <is>
          <t>NORRTÄLJE</t>
        </is>
      </c>
      <c r="G22" t="n">
        <v>2.8</v>
      </c>
      <c r="H22" t="n">
        <v>0</v>
      </c>
      <c r="I22" t="n">
        <v>2</v>
      </c>
      <c r="J22" t="n">
        <v>2</v>
      </c>
      <c r="K22" t="n">
        <v>4</v>
      </c>
      <c r="L22" t="n">
        <v>1</v>
      </c>
      <c r="M22" t="n">
        <v>0</v>
      </c>
      <c r="N22" t="n">
        <v>0</v>
      </c>
      <c r="O22" t="n">
        <v>7</v>
      </c>
      <c r="P22" t="n">
        <v>5</v>
      </c>
      <c r="Q22" t="n">
        <v>9</v>
      </c>
      <c r="R22" s="2" t="inlineStr">
        <is>
          <t>Raggtaggsvamp
Gul lammticka
Koppartaggsvamp
Spricktaggsvamp
Svartfjällig musseron
Bittermusseron
Flattoppad klubbsvamp
Diskvaxskivling
Fjällig taggsvamp s.str.</t>
        </is>
      </c>
      <c r="S22">
        <f>HYPERLINK("https://klasma.github.io/Logging_0188/artfynd/A 52815-2021 artfynd.xlsx", "A 52815-2021")</f>
        <v/>
      </c>
      <c r="T22">
        <f>HYPERLINK("https://klasma.github.io/Logging_0188/kartor/A 52815-2021 karta.png", "A 52815-2021")</f>
        <v/>
      </c>
      <c r="V22">
        <f>HYPERLINK("https://klasma.github.io/Logging_0188/klagomål/A 52815-2021 FSC-klagomål.docx", "A 52815-2021")</f>
        <v/>
      </c>
      <c r="W22">
        <f>HYPERLINK("https://klasma.github.io/Logging_0188/klagomålsmail/A 52815-2021 FSC-klagomål mail.docx", "A 52815-2021")</f>
        <v/>
      </c>
      <c r="X22">
        <f>HYPERLINK("https://klasma.github.io/Logging_0188/tillsyn/A 52815-2021 tillsynsbegäran.docx", "A 52815-2021")</f>
        <v/>
      </c>
      <c r="Y22">
        <f>HYPERLINK("https://klasma.github.io/Logging_0188/tillsynsmail/A 52815-2021 tillsynsbegäran mail.docx", "A 52815-2021")</f>
        <v/>
      </c>
    </row>
    <row r="23" ht="15" customHeight="1">
      <c r="A23" t="inlineStr">
        <is>
          <t>A 47274-2024</t>
        </is>
      </c>
      <c r="B23" s="1" t="n">
        <v>45586</v>
      </c>
      <c r="C23" s="1" t="n">
        <v>46182</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73093-2021</t>
        </is>
      </c>
      <c r="B24" s="1" t="n">
        <v>44550</v>
      </c>
      <c r="C24" s="1" t="n">
        <v>46182</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46182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26081-2026</t>
        </is>
      </c>
      <c r="B26" s="1" t="n">
        <v>46181.62855324074</v>
      </c>
      <c r="C26" s="1" t="n">
        <v>46182</v>
      </c>
      <c r="D26" t="inlineStr">
        <is>
          <t>STOCKHOLMS LÄN</t>
        </is>
      </c>
      <c r="E26" t="inlineStr">
        <is>
          <t>NORRTÄLJE</t>
        </is>
      </c>
      <c r="G26" t="n">
        <v>13.9</v>
      </c>
      <c r="H26" t="n">
        <v>1</v>
      </c>
      <c r="I26" t="n">
        <v>4</v>
      </c>
      <c r="J26" t="n">
        <v>3</v>
      </c>
      <c r="K26" t="n">
        <v>1</v>
      </c>
      <c r="L26" t="n">
        <v>0</v>
      </c>
      <c r="M26" t="n">
        <v>0</v>
      </c>
      <c r="N26" t="n">
        <v>0</v>
      </c>
      <c r="O26" t="n">
        <v>4</v>
      </c>
      <c r="P26" t="n">
        <v>1</v>
      </c>
      <c r="Q26" t="n">
        <v>9</v>
      </c>
      <c r="R26" s="2" t="inlineStr">
        <is>
          <t>Koppartaggsvamp
Dofttaggsvamp
Orange taggsvamp
Ullticka
Fjällig taggsvamp s.str.
Grönpyrola
Kamjordstjärna
Svavelriska
Blåsippa</t>
        </is>
      </c>
      <c r="S26">
        <f>HYPERLINK("https://klasma.github.io/Logging_0188/artfynd/A 26081-2026 artfynd.xlsx", "A 26081-2026")</f>
        <v/>
      </c>
      <c r="T26">
        <f>HYPERLINK("https://klasma.github.io/Logging_0188/kartor/A 26081-2026 karta.png", "A 26081-2026")</f>
        <v/>
      </c>
      <c r="V26">
        <f>HYPERLINK("https://klasma.github.io/Logging_0188/klagomål/A 26081-2026 FSC-klagomål.docx", "A 26081-2026")</f>
        <v/>
      </c>
      <c r="W26">
        <f>HYPERLINK("https://klasma.github.io/Logging_0188/klagomålsmail/A 26081-2026 FSC-klagomål mail.docx", "A 26081-2026")</f>
        <v/>
      </c>
      <c r="X26">
        <f>HYPERLINK("https://klasma.github.io/Logging_0188/tillsyn/A 26081-2026 tillsynsbegäran.docx", "A 26081-2026")</f>
        <v/>
      </c>
      <c r="Y26">
        <f>HYPERLINK("https://klasma.github.io/Logging_0188/tillsynsmail/A 26081-2026 tillsynsbegäran mail.docx", "A 26081-2026")</f>
        <v/>
      </c>
    </row>
    <row r="27" ht="15" customHeight="1">
      <c r="A27" t="inlineStr">
        <is>
          <t>A 61099-2025</t>
        </is>
      </c>
      <c r="B27" s="1" t="n">
        <v>46000.44185185185</v>
      </c>
      <c r="C27" s="1" t="n">
        <v>46182</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46182</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46182</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13933-2022</t>
        </is>
      </c>
      <c r="B30" s="1" t="n">
        <v>44650</v>
      </c>
      <c r="C30" s="1" t="n">
        <v>46182</v>
      </c>
      <c r="D30" t="inlineStr">
        <is>
          <t>STOCKHOLMS LÄN</t>
        </is>
      </c>
      <c r="E30" t="inlineStr">
        <is>
          <t>NORRTÄLJE</t>
        </is>
      </c>
      <c r="G30" t="n">
        <v>4.4</v>
      </c>
      <c r="H30" t="n">
        <v>3</v>
      </c>
      <c r="I30" t="n">
        <v>5</v>
      </c>
      <c r="J30" t="n">
        <v>1</v>
      </c>
      <c r="K30" t="n">
        <v>0</v>
      </c>
      <c r="L30" t="n">
        <v>0</v>
      </c>
      <c r="M30" t="n">
        <v>0</v>
      </c>
      <c r="N30" t="n">
        <v>0</v>
      </c>
      <c r="O30" t="n">
        <v>1</v>
      </c>
      <c r="P30" t="n">
        <v>0</v>
      </c>
      <c r="Q30" t="n">
        <v>7</v>
      </c>
      <c r="R30" s="2" t="inlineStr">
        <is>
          <t>Ullticka
Grön sköldmossa
Nästrot
Skogshakmossa
Tibast
Ögonpyrola
Blåsippa</t>
        </is>
      </c>
      <c r="S30">
        <f>HYPERLINK("https://klasma.github.io/Logging_0188/artfynd/A 13933-2022 artfynd.xlsx", "A 13933-2022")</f>
        <v/>
      </c>
      <c r="T30">
        <f>HYPERLINK("https://klasma.github.io/Logging_0188/kartor/A 13933-2022 karta.png", "A 13933-2022")</f>
        <v/>
      </c>
      <c r="V30">
        <f>HYPERLINK("https://klasma.github.io/Logging_0188/klagomål/A 13933-2022 FSC-klagomål.docx", "A 13933-2022")</f>
        <v/>
      </c>
      <c r="W30">
        <f>HYPERLINK("https://klasma.github.io/Logging_0188/klagomålsmail/A 13933-2022 FSC-klagomål mail.docx", "A 13933-2022")</f>
        <v/>
      </c>
      <c r="X30">
        <f>HYPERLINK("https://klasma.github.io/Logging_0188/tillsyn/A 13933-2022 tillsynsbegäran.docx", "A 13933-2022")</f>
        <v/>
      </c>
      <c r="Y30">
        <f>HYPERLINK("https://klasma.github.io/Logging_0188/tillsynsmail/A 13933-2022 tillsynsbegäran mail.docx", "A 13933-2022")</f>
        <v/>
      </c>
    </row>
    <row r="31" ht="15" customHeight="1">
      <c r="A31" t="inlineStr">
        <is>
          <t>A 47346-2021</t>
        </is>
      </c>
      <c r="B31" s="1" t="n">
        <v>44447</v>
      </c>
      <c r="C31" s="1" t="n">
        <v>46182</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15278-2024</t>
        </is>
      </c>
      <c r="B32" s="1" t="n">
        <v>45400.5958912037</v>
      </c>
      <c r="C32" s="1" t="n">
        <v>46182</v>
      </c>
      <c r="D32" t="inlineStr">
        <is>
          <t>STOCKHOLMS LÄN</t>
        </is>
      </c>
      <c r="E32" t="inlineStr">
        <is>
          <t>NORRTÄLJE</t>
        </is>
      </c>
      <c r="G32" t="n">
        <v>7.4</v>
      </c>
      <c r="H32" t="n">
        <v>2</v>
      </c>
      <c r="I32" t="n">
        <v>4</v>
      </c>
      <c r="J32" t="n">
        <v>1</v>
      </c>
      <c r="K32" t="n">
        <v>1</v>
      </c>
      <c r="L32" t="n">
        <v>0</v>
      </c>
      <c r="M32" t="n">
        <v>0</v>
      </c>
      <c r="N32" t="n">
        <v>0</v>
      </c>
      <c r="O32" t="n">
        <v>2</v>
      </c>
      <c r="P32" t="n">
        <v>1</v>
      </c>
      <c r="Q32" t="n">
        <v>7</v>
      </c>
      <c r="R32" s="2" t="inlineStr">
        <is>
          <t>Knärot
Ullticka
Fjällig taggsvamp s.str.
Grönpyrola
Kattfotslav
Vedticka
Blåsippa</t>
        </is>
      </c>
      <c r="S32">
        <f>HYPERLINK("https://klasma.github.io/Logging_0188/artfynd/A 15278-2024 artfynd.xlsx", "A 15278-2024")</f>
        <v/>
      </c>
      <c r="T32">
        <f>HYPERLINK("https://klasma.github.io/Logging_0188/kartor/A 15278-2024 karta.png", "A 15278-2024")</f>
        <v/>
      </c>
      <c r="U32">
        <f>HYPERLINK("https://klasma.github.io/Logging_0188/knärot/A 15278-2024 karta knärot.png", "A 15278-2024")</f>
        <v/>
      </c>
      <c r="V32">
        <f>HYPERLINK("https://klasma.github.io/Logging_0188/klagomål/A 15278-2024 FSC-klagomål.docx", "A 15278-2024")</f>
        <v/>
      </c>
      <c r="W32">
        <f>HYPERLINK("https://klasma.github.io/Logging_0188/klagomålsmail/A 15278-2024 FSC-klagomål mail.docx", "A 15278-2024")</f>
        <v/>
      </c>
      <c r="X32">
        <f>HYPERLINK("https://klasma.github.io/Logging_0188/tillsyn/A 15278-2024 tillsynsbegäran.docx", "A 15278-2024")</f>
        <v/>
      </c>
      <c r="Y32">
        <f>HYPERLINK("https://klasma.github.io/Logging_0188/tillsynsmail/A 15278-2024 tillsynsbegäran mail.docx", "A 15278-2024")</f>
        <v/>
      </c>
    </row>
    <row r="33" ht="15" customHeight="1">
      <c r="A33" t="inlineStr">
        <is>
          <t>A 34528-2025</t>
        </is>
      </c>
      <c r="B33" s="1" t="n">
        <v>45847.48436342592</v>
      </c>
      <c r="C33" s="1" t="n">
        <v>46182</v>
      </c>
      <c r="D33" t="inlineStr">
        <is>
          <t>STOCKHOLMS LÄN</t>
        </is>
      </c>
      <c r="E33" t="inlineStr">
        <is>
          <t>NORRTÄLJE</t>
        </is>
      </c>
      <c r="G33" t="n">
        <v>1</v>
      </c>
      <c r="H33" t="n">
        <v>1</v>
      </c>
      <c r="I33" t="n">
        <v>2</v>
      </c>
      <c r="J33" t="n">
        <v>3</v>
      </c>
      <c r="K33" t="n">
        <v>1</v>
      </c>
      <c r="L33" t="n">
        <v>0</v>
      </c>
      <c r="M33" t="n">
        <v>0</v>
      </c>
      <c r="N33" t="n">
        <v>0</v>
      </c>
      <c r="O33" t="n">
        <v>4</v>
      </c>
      <c r="P33" t="n">
        <v>1</v>
      </c>
      <c r="Q33" t="n">
        <v>6</v>
      </c>
      <c r="R33" s="2" t="inlineStr">
        <is>
          <t>Gyllenfingersvamp
Gammelgransskål
Motaggsvamp
Spillkråka
Fjällig taggsvamp s.str.
Svavelriska</t>
        </is>
      </c>
      <c r="S33">
        <f>HYPERLINK("https://klasma.github.io/Logging_0188/artfynd/A 34528-2025 artfynd.xlsx", "A 34528-2025")</f>
        <v/>
      </c>
      <c r="T33">
        <f>HYPERLINK("https://klasma.github.io/Logging_0188/kartor/A 34528-2025 karta.png", "A 34528-2025")</f>
        <v/>
      </c>
      <c r="V33">
        <f>HYPERLINK("https://klasma.github.io/Logging_0188/klagomål/A 34528-2025 FSC-klagomål.docx", "A 34528-2025")</f>
        <v/>
      </c>
      <c r="W33">
        <f>HYPERLINK("https://klasma.github.io/Logging_0188/klagomålsmail/A 34528-2025 FSC-klagomål mail.docx", "A 34528-2025")</f>
        <v/>
      </c>
      <c r="X33">
        <f>HYPERLINK("https://klasma.github.io/Logging_0188/tillsyn/A 34528-2025 tillsynsbegäran.docx", "A 34528-2025")</f>
        <v/>
      </c>
      <c r="Y33">
        <f>HYPERLINK("https://klasma.github.io/Logging_0188/tillsynsmail/A 34528-2025 tillsynsbegäran mail.docx", "A 34528-2025")</f>
        <v/>
      </c>
      <c r="Z33">
        <f>HYPERLINK("https://klasma.github.io/Logging_0188/fåglar/A 34528-2025 prioriterade fågelarter.docx", "A 34528-2025")</f>
        <v/>
      </c>
    </row>
    <row r="34" ht="15" customHeight="1">
      <c r="A34" t="inlineStr">
        <is>
          <t>A 10430-2026</t>
        </is>
      </c>
      <c r="B34" s="1" t="n">
        <v>46077</v>
      </c>
      <c r="C34" s="1" t="n">
        <v>46182</v>
      </c>
      <c r="D34" t="inlineStr">
        <is>
          <t>STOCKHOLMS LÄN</t>
        </is>
      </c>
      <c r="E34" t="inlineStr">
        <is>
          <t>NORRTÄLJE</t>
        </is>
      </c>
      <c r="G34" t="n">
        <v>2</v>
      </c>
      <c r="H34" t="n">
        <v>0</v>
      </c>
      <c r="I34" t="n">
        <v>3</v>
      </c>
      <c r="J34" t="n">
        <v>2</v>
      </c>
      <c r="K34" t="n">
        <v>1</v>
      </c>
      <c r="L34" t="n">
        <v>0</v>
      </c>
      <c r="M34" t="n">
        <v>0</v>
      </c>
      <c r="N34" t="n">
        <v>0</v>
      </c>
      <c r="O34" t="n">
        <v>3</v>
      </c>
      <c r="P34" t="n">
        <v>1</v>
      </c>
      <c r="Q34" t="n">
        <v>6</v>
      </c>
      <c r="R34" s="2" t="inlineStr">
        <is>
          <t>Granrotspindling
Bittermusseron
Persiljespindling
Olivspindling
Skarp dropptaggsvamp
Svavelriska</t>
        </is>
      </c>
      <c r="S34">
        <f>HYPERLINK("https://klasma.github.io/Logging_0188/artfynd/A 10430-2026 artfynd.xlsx", "A 10430-2026")</f>
        <v/>
      </c>
      <c r="T34">
        <f>HYPERLINK("https://klasma.github.io/Logging_0188/kartor/A 10430-2026 karta.png", "A 10430-2026")</f>
        <v/>
      </c>
      <c r="V34">
        <f>HYPERLINK("https://klasma.github.io/Logging_0188/klagomål/A 10430-2026 FSC-klagomål.docx", "A 10430-2026")</f>
        <v/>
      </c>
      <c r="W34">
        <f>HYPERLINK("https://klasma.github.io/Logging_0188/klagomålsmail/A 10430-2026 FSC-klagomål mail.docx", "A 10430-2026")</f>
        <v/>
      </c>
      <c r="X34">
        <f>HYPERLINK("https://klasma.github.io/Logging_0188/tillsyn/A 10430-2026 tillsynsbegäran.docx", "A 10430-2026")</f>
        <v/>
      </c>
      <c r="Y34">
        <f>HYPERLINK("https://klasma.github.io/Logging_0188/tillsynsmail/A 10430-2026 tillsynsbegäran mail.docx", "A 10430-2026")</f>
        <v/>
      </c>
    </row>
    <row r="35" ht="15" customHeight="1">
      <c r="A35" t="inlineStr">
        <is>
          <t>A 1054-2022</t>
        </is>
      </c>
      <c r="B35" s="1" t="n">
        <v>44571</v>
      </c>
      <c r="C35" s="1" t="n">
        <v>46182</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30687-2025</t>
        </is>
      </c>
      <c r="B36" s="1" t="n">
        <v>45831.53390046296</v>
      </c>
      <c r="C36" s="1" t="n">
        <v>46182</v>
      </c>
      <c r="D36" t="inlineStr">
        <is>
          <t>STOCKHOLMS LÄN</t>
        </is>
      </c>
      <c r="E36" t="inlineStr">
        <is>
          <t>NORRTÄLJE</t>
        </is>
      </c>
      <c r="G36" t="n">
        <v>6.7</v>
      </c>
      <c r="H36" t="n">
        <v>1</v>
      </c>
      <c r="I36" t="n">
        <v>2</v>
      </c>
      <c r="J36" t="n">
        <v>2</v>
      </c>
      <c r="K36" t="n">
        <v>0</v>
      </c>
      <c r="L36" t="n">
        <v>0</v>
      </c>
      <c r="M36" t="n">
        <v>0</v>
      </c>
      <c r="N36" t="n">
        <v>0</v>
      </c>
      <c r="O36" t="n">
        <v>2</v>
      </c>
      <c r="P36" t="n">
        <v>0</v>
      </c>
      <c r="Q36" t="n">
        <v>5</v>
      </c>
      <c r="R36" s="2" t="inlineStr">
        <is>
          <t>Ekvaxskivling
Kandelabersvamp
Stinkbrosking
Svart trolldruva
Blåsippa</t>
        </is>
      </c>
      <c r="S36">
        <f>HYPERLINK("https://klasma.github.io/Logging_0188/artfynd/A 30687-2025 artfynd.xlsx", "A 30687-2025")</f>
        <v/>
      </c>
      <c r="T36">
        <f>HYPERLINK("https://klasma.github.io/Logging_0188/kartor/A 30687-2025 karta.png", "A 30687-2025")</f>
        <v/>
      </c>
      <c r="V36">
        <f>HYPERLINK("https://klasma.github.io/Logging_0188/klagomål/A 30687-2025 FSC-klagomål.docx", "A 30687-2025")</f>
        <v/>
      </c>
      <c r="W36">
        <f>HYPERLINK("https://klasma.github.io/Logging_0188/klagomålsmail/A 30687-2025 FSC-klagomål mail.docx", "A 30687-2025")</f>
        <v/>
      </c>
      <c r="X36">
        <f>HYPERLINK("https://klasma.github.io/Logging_0188/tillsyn/A 30687-2025 tillsynsbegäran.docx", "A 30687-2025")</f>
        <v/>
      </c>
      <c r="Y36">
        <f>HYPERLINK("https://klasma.github.io/Logging_0188/tillsynsmail/A 30687-2025 tillsynsbegäran mail.docx", "A 30687-2025")</f>
        <v/>
      </c>
    </row>
    <row r="37" ht="15" customHeight="1">
      <c r="A37" t="inlineStr">
        <is>
          <t>A 21922-2023</t>
        </is>
      </c>
      <c r="B37" s="1" t="n">
        <v>45068</v>
      </c>
      <c r="C37" s="1" t="n">
        <v>46182</v>
      </c>
      <c r="D37" t="inlineStr">
        <is>
          <t>STOCKHOLMS LÄN</t>
        </is>
      </c>
      <c r="E37" t="inlineStr">
        <is>
          <t>NORRTÄLJE</t>
        </is>
      </c>
      <c r="G37" t="n">
        <v>4.9</v>
      </c>
      <c r="H37" t="n">
        <v>2</v>
      </c>
      <c r="I37" t="n">
        <v>2</v>
      </c>
      <c r="J37" t="n">
        <v>1</v>
      </c>
      <c r="K37" t="n">
        <v>0</v>
      </c>
      <c r="L37" t="n">
        <v>0</v>
      </c>
      <c r="M37" t="n">
        <v>0</v>
      </c>
      <c r="N37" t="n">
        <v>0</v>
      </c>
      <c r="O37" t="n">
        <v>1</v>
      </c>
      <c r="P37" t="n">
        <v>0</v>
      </c>
      <c r="Q37" t="n">
        <v>5</v>
      </c>
      <c r="R37" s="2" t="inlineStr">
        <is>
          <t>Asppraktbagge
Stor aspticka
Svavelriska
Blåsippa
Gullviva</t>
        </is>
      </c>
      <c r="S37">
        <f>HYPERLINK("https://klasma.github.io/Logging_0188/artfynd/A 21922-2023 artfynd.xlsx", "A 21922-2023")</f>
        <v/>
      </c>
      <c r="T37">
        <f>HYPERLINK("https://klasma.github.io/Logging_0188/kartor/A 21922-2023 karta.png", "A 21922-2023")</f>
        <v/>
      </c>
      <c r="V37">
        <f>HYPERLINK("https://klasma.github.io/Logging_0188/klagomål/A 21922-2023 FSC-klagomål.docx", "A 21922-2023")</f>
        <v/>
      </c>
      <c r="W37">
        <f>HYPERLINK("https://klasma.github.io/Logging_0188/klagomålsmail/A 21922-2023 FSC-klagomål mail.docx", "A 21922-2023")</f>
        <v/>
      </c>
      <c r="X37">
        <f>HYPERLINK("https://klasma.github.io/Logging_0188/tillsyn/A 21922-2023 tillsynsbegäran.docx", "A 21922-2023")</f>
        <v/>
      </c>
      <c r="Y37">
        <f>HYPERLINK("https://klasma.github.io/Logging_0188/tillsynsmail/A 21922-2023 tillsynsbegäran mail.docx", "A 21922-2023")</f>
        <v/>
      </c>
    </row>
    <row r="38" ht="15" customHeight="1">
      <c r="A38" t="inlineStr">
        <is>
          <t>A 3444-2023</t>
        </is>
      </c>
      <c r="B38" s="1" t="n">
        <v>44949</v>
      </c>
      <c r="C38" s="1" t="n">
        <v>46182</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72111-2021</t>
        </is>
      </c>
      <c r="B39" s="1" t="n">
        <v>44544</v>
      </c>
      <c r="C39" s="1" t="n">
        <v>46182</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15913-2026</t>
        </is>
      </c>
      <c r="B40" s="1" t="n">
        <v>46107</v>
      </c>
      <c r="C40" s="1" t="n">
        <v>46182</v>
      </c>
      <c r="D40" t="inlineStr">
        <is>
          <t>STOCKHOLMS LÄN</t>
        </is>
      </c>
      <c r="E40" t="inlineStr">
        <is>
          <t>NORRTÄLJE</t>
        </is>
      </c>
      <c r="G40" t="n">
        <v>4.2</v>
      </c>
      <c r="H40" t="n">
        <v>4</v>
      </c>
      <c r="I40" t="n">
        <v>2</v>
      </c>
      <c r="J40" t="n">
        <v>1</v>
      </c>
      <c r="K40" t="n">
        <v>0</v>
      </c>
      <c r="L40" t="n">
        <v>0</v>
      </c>
      <c r="M40" t="n">
        <v>0</v>
      </c>
      <c r="N40" t="n">
        <v>0</v>
      </c>
      <c r="O40" t="n">
        <v>1</v>
      </c>
      <c r="P40" t="n">
        <v>0</v>
      </c>
      <c r="Q40" t="n">
        <v>5</v>
      </c>
      <c r="R40" s="2" t="inlineStr">
        <is>
          <t>Talltita
Fjällig taggsvamp s.str.
Nästrot
Nattviol
Blåsippa</t>
        </is>
      </c>
      <c r="S40">
        <f>HYPERLINK("https://klasma.github.io/Logging_0188/artfynd/A 15913-2026 artfynd.xlsx", "A 15913-2026")</f>
        <v/>
      </c>
      <c r="T40">
        <f>HYPERLINK("https://klasma.github.io/Logging_0188/kartor/A 15913-2026 karta.png", "A 15913-2026")</f>
        <v/>
      </c>
      <c r="U40">
        <f>HYPERLINK("https://klasma.github.io/Logging_0188/knärot/A 15913-2026 karta knärot.png", "A 15913-2026")</f>
        <v/>
      </c>
      <c r="V40">
        <f>HYPERLINK("https://klasma.github.io/Logging_0188/klagomål/A 15913-2026 FSC-klagomål.docx", "A 15913-2026")</f>
        <v/>
      </c>
      <c r="W40">
        <f>HYPERLINK("https://klasma.github.io/Logging_0188/klagomålsmail/A 15913-2026 FSC-klagomål mail.docx", "A 15913-2026")</f>
        <v/>
      </c>
      <c r="X40">
        <f>HYPERLINK("https://klasma.github.io/Logging_0188/tillsyn/A 15913-2026 tillsynsbegäran.docx", "A 15913-2026")</f>
        <v/>
      </c>
      <c r="Y40">
        <f>HYPERLINK("https://klasma.github.io/Logging_0188/tillsynsmail/A 15913-2026 tillsynsbegäran mail.docx", "A 15913-2026")</f>
        <v/>
      </c>
      <c r="Z40">
        <f>HYPERLINK("https://klasma.github.io/Logging_0188/fåglar/A 15913-2026 prioriterade fågelarter.docx", "A 15913-2026")</f>
        <v/>
      </c>
    </row>
    <row r="41" ht="15" customHeight="1">
      <c r="A41" t="inlineStr">
        <is>
          <t>A 15925-2026</t>
        </is>
      </c>
      <c r="B41" s="1" t="n">
        <v>46107</v>
      </c>
      <c r="C41" s="1" t="n">
        <v>46182</v>
      </c>
      <c r="D41" t="inlineStr">
        <is>
          <t>STOCKHOLMS LÄN</t>
        </is>
      </c>
      <c r="E41" t="inlineStr">
        <is>
          <t>NORRTÄLJE</t>
        </is>
      </c>
      <c r="G41" t="n">
        <v>2.9</v>
      </c>
      <c r="H41" t="n">
        <v>3</v>
      </c>
      <c r="I41" t="n">
        <v>1</v>
      </c>
      <c r="J41" t="n">
        <v>2</v>
      </c>
      <c r="K41" t="n">
        <v>1</v>
      </c>
      <c r="L41" t="n">
        <v>0</v>
      </c>
      <c r="M41" t="n">
        <v>0</v>
      </c>
      <c r="N41" t="n">
        <v>0</v>
      </c>
      <c r="O41" t="n">
        <v>3</v>
      </c>
      <c r="P41" t="n">
        <v>1</v>
      </c>
      <c r="Q41" t="n">
        <v>5</v>
      </c>
      <c r="R41" s="2" t="inlineStr">
        <is>
          <t>Knärot
Spillkråka
Ullticka
Fjällig taggsvamp s.str.
Blåsippa</t>
        </is>
      </c>
      <c r="S41">
        <f>HYPERLINK("https://klasma.github.io/Logging_0188/artfynd/A 15925-2026 artfynd.xlsx", "A 15925-2026")</f>
        <v/>
      </c>
      <c r="T41">
        <f>HYPERLINK("https://klasma.github.io/Logging_0188/kartor/A 15925-2026 karta.png", "A 15925-2026")</f>
        <v/>
      </c>
      <c r="U41">
        <f>HYPERLINK("https://klasma.github.io/Logging_0188/knärot/A 15925-2026 karta knärot.png", "A 15925-2026")</f>
        <v/>
      </c>
      <c r="V41">
        <f>HYPERLINK("https://klasma.github.io/Logging_0188/klagomål/A 15925-2026 FSC-klagomål.docx", "A 15925-2026")</f>
        <v/>
      </c>
      <c r="W41">
        <f>HYPERLINK("https://klasma.github.io/Logging_0188/klagomålsmail/A 15925-2026 FSC-klagomål mail.docx", "A 15925-2026")</f>
        <v/>
      </c>
      <c r="X41">
        <f>HYPERLINK("https://klasma.github.io/Logging_0188/tillsyn/A 15925-2026 tillsynsbegäran.docx", "A 15925-2026")</f>
        <v/>
      </c>
      <c r="Y41">
        <f>HYPERLINK("https://klasma.github.io/Logging_0188/tillsynsmail/A 15925-2026 tillsynsbegäran mail.docx", "A 15925-2026")</f>
        <v/>
      </c>
      <c r="Z41">
        <f>HYPERLINK("https://klasma.github.io/Logging_0188/fåglar/A 15925-2026 prioriterade fågelarter.docx", "A 15925-2026")</f>
        <v/>
      </c>
    </row>
    <row r="42" ht="15" customHeight="1">
      <c r="A42" t="inlineStr">
        <is>
          <t>A 22071-2022</t>
        </is>
      </c>
      <c r="B42" s="1" t="n">
        <v>44711</v>
      </c>
      <c r="C42" s="1" t="n">
        <v>46182</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41276-2025</t>
        </is>
      </c>
      <c r="B43" s="1" t="n">
        <v>45898.62723379629</v>
      </c>
      <c r="C43" s="1" t="n">
        <v>46182</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34521-2025</t>
        </is>
      </c>
      <c r="B44" s="1" t="n">
        <v>45847.47052083333</v>
      </c>
      <c r="C44" s="1" t="n">
        <v>46182</v>
      </c>
      <c r="D44" t="inlineStr">
        <is>
          <t>STOCKHOLMS LÄN</t>
        </is>
      </c>
      <c r="E44" t="inlineStr">
        <is>
          <t>NORRTÄLJE</t>
        </is>
      </c>
      <c r="G44" t="n">
        <v>4.3</v>
      </c>
      <c r="H44" t="n">
        <v>0</v>
      </c>
      <c r="I44" t="n">
        <v>2</v>
      </c>
      <c r="J44" t="n">
        <v>2</v>
      </c>
      <c r="K44" t="n">
        <v>0</v>
      </c>
      <c r="L44" t="n">
        <v>0</v>
      </c>
      <c r="M44" t="n">
        <v>0</v>
      </c>
      <c r="N44" t="n">
        <v>0</v>
      </c>
      <c r="O44" t="n">
        <v>2</v>
      </c>
      <c r="P44" t="n">
        <v>0</v>
      </c>
      <c r="Q44" t="n">
        <v>4</v>
      </c>
      <c r="R44" s="2" t="inlineStr">
        <is>
          <t>Kandelabersvamp
Vedtrappmossa
Anisspindling
Stor aspticka</t>
        </is>
      </c>
      <c r="S44">
        <f>HYPERLINK("https://klasma.github.io/Logging_0188/artfynd/A 34521-2025 artfynd.xlsx", "A 34521-2025")</f>
        <v/>
      </c>
      <c r="T44">
        <f>HYPERLINK("https://klasma.github.io/Logging_0188/kartor/A 34521-2025 karta.png", "A 34521-2025")</f>
        <v/>
      </c>
      <c r="V44">
        <f>HYPERLINK("https://klasma.github.io/Logging_0188/klagomål/A 34521-2025 FSC-klagomål.docx", "A 34521-2025")</f>
        <v/>
      </c>
      <c r="W44">
        <f>HYPERLINK("https://klasma.github.io/Logging_0188/klagomålsmail/A 34521-2025 FSC-klagomål mail.docx", "A 34521-2025")</f>
        <v/>
      </c>
      <c r="X44">
        <f>HYPERLINK("https://klasma.github.io/Logging_0188/tillsyn/A 34521-2025 tillsynsbegäran.docx", "A 34521-2025")</f>
        <v/>
      </c>
      <c r="Y44">
        <f>HYPERLINK("https://klasma.github.io/Logging_0188/tillsynsmail/A 34521-2025 tillsynsbegäran mail.docx", "A 34521-2025")</f>
        <v/>
      </c>
    </row>
    <row r="45" ht="15" customHeight="1">
      <c r="A45" t="inlineStr">
        <is>
          <t>A 72305-2021</t>
        </is>
      </c>
      <c r="B45" s="1" t="n">
        <v>44545</v>
      </c>
      <c r="C45" s="1" t="n">
        <v>46182</v>
      </c>
      <c r="D45" t="inlineStr">
        <is>
          <t>STOCKHOLMS LÄN</t>
        </is>
      </c>
      <c r="E45" t="inlineStr">
        <is>
          <t>NORRTÄLJE</t>
        </is>
      </c>
      <c r="G45" t="n">
        <v>1.5</v>
      </c>
      <c r="H45" t="n">
        <v>1</v>
      </c>
      <c r="I45" t="n">
        <v>3</v>
      </c>
      <c r="J45" t="n">
        <v>0</v>
      </c>
      <c r="K45" t="n">
        <v>0</v>
      </c>
      <c r="L45" t="n">
        <v>0</v>
      </c>
      <c r="M45" t="n">
        <v>0</v>
      </c>
      <c r="N45" t="n">
        <v>0</v>
      </c>
      <c r="O45" t="n">
        <v>0</v>
      </c>
      <c r="P45" t="n">
        <v>0</v>
      </c>
      <c r="Q45" t="n">
        <v>4</v>
      </c>
      <c r="R45" s="2" t="inlineStr">
        <is>
          <t>Svart trolldruva
Sårläka
Vårärt
Blåsippa</t>
        </is>
      </c>
      <c r="S45">
        <f>HYPERLINK("https://klasma.github.io/Logging_0188/artfynd/A 72305-2021 artfynd.xlsx", "A 72305-2021")</f>
        <v/>
      </c>
      <c r="T45">
        <f>HYPERLINK("https://klasma.github.io/Logging_0188/kartor/A 72305-2021 karta.png", "A 72305-2021")</f>
        <v/>
      </c>
      <c r="V45">
        <f>HYPERLINK("https://klasma.github.io/Logging_0188/klagomål/A 72305-2021 FSC-klagomål.docx", "A 72305-2021")</f>
        <v/>
      </c>
      <c r="W45">
        <f>HYPERLINK("https://klasma.github.io/Logging_0188/klagomålsmail/A 72305-2021 FSC-klagomål mail.docx", "A 72305-2021")</f>
        <v/>
      </c>
      <c r="X45">
        <f>HYPERLINK("https://klasma.github.io/Logging_0188/tillsyn/A 72305-2021 tillsynsbegäran.docx", "A 72305-2021")</f>
        <v/>
      </c>
      <c r="Y45">
        <f>HYPERLINK("https://klasma.github.io/Logging_0188/tillsynsmail/A 72305-2021 tillsynsbegäran mail.docx", "A 72305-2021")</f>
        <v/>
      </c>
    </row>
    <row r="46" ht="15" customHeight="1">
      <c r="A46" t="inlineStr">
        <is>
          <t>A 44709-2022</t>
        </is>
      </c>
      <c r="B46" s="1" t="n">
        <v>44839</v>
      </c>
      <c r="C46" s="1" t="n">
        <v>46182</v>
      </c>
      <c r="D46" t="inlineStr">
        <is>
          <t>STOCKHOLMS LÄN</t>
        </is>
      </c>
      <c r="E46" t="inlineStr">
        <is>
          <t>NORRTÄLJE</t>
        </is>
      </c>
      <c r="G46" t="n">
        <v>16.3</v>
      </c>
      <c r="H46" t="n">
        <v>3</v>
      </c>
      <c r="I46" t="n">
        <v>0</v>
      </c>
      <c r="J46" t="n">
        <v>2</v>
      </c>
      <c r="K46" t="n">
        <v>0</v>
      </c>
      <c r="L46" t="n">
        <v>0</v>
      </c>
      <c r="M46" t="n">
        <v>0</v>
      </c>
      <c r="N46" t="n">
        <v>0</v>
      </c>
      <c r="O46" t="n">
        <v>2</v>
      </c>
      <c r="P46" t="n">
        <v>0</v>
      </c>
      <c r="Q46" t="n">
        <v>4</v>
      </c>
      <c r="R46" s="2" t="inlineStr">
        <is>
          <t>Asppraktbagge
Spillkråka
Enkelbeckasin
Orre</t>
        </is>
      </c>
      <c r="S46">
        <f>HYPERLINK("https://klasma.github.io/Logging_0188/artfynd/A 44709-2022 artfynd.xlsx", "A 44709-2022")</f>
        <v/>
      </c>
      <c r="T46">
        <f>HYPERLINK("https://klasma.github.io/Logging_0188/kartor/A 44709-2022 karta.png", "A 44709-2022")</f>
        <v/>
      </c>
      <c r="V46">
        <f>HYPERLINK("https://klasma.github.io/Logging_0188/klagomål/A 44709-2022 FSC-klagomål.docx", "A 44709-2022")</f>
        <v/>
      </c>
      <c r="W46">
        <f>HYPERLINK("https://klasma.github.io/Logging_0188/klagomålsmail/A 44709-2022 FSC-klagomål mail.docx", "A 44709-2022")</f>
        <v/>
      </c>
      <c r="X46">
        <f>HYPERLINK("https://klasma.github.io/Logging_0188/tillsyn/A 44709-2022 tillsynsbegäran.docx", "A 44709-2022")</f>
        <v/>
      </c>
      <c r="Y46">
        <f>HYPERLINK("https://klasma.github.io/Logging_0188/tillsynsmail/A 44709-2022 tillsynsbegäran mail.docx", "A 44709-2022")</f>
        <v/>
      </c>
      <c r="Z46">
        <f>HYPERLINK("https://klasma.github.io/Logging_0188/fåglar/A 44709-2022 prioriterade fågelarter.docx", "A 44709-2022")</f>
        <v/>
      </c>
    </row>
    <row r="47" ht="15" customHeight="1">
      <c r="A47" t="inlineStr">
        <is>
          <t>A 21730-2025</t>
        </is>
      </c>
      <c r="B47" s="1" t="n">
        <v>45783.58123842593</v>
      </c>
      <c r="C47" s="1" t="n">
        <v>46182</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45113-2022</t>
        </is>
      </c>
      <c r="B48" s="1" t="n">
        <v>44843</v>
      </c>
      <c r="C48" s="1" t="n">
        <v>46182</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46182</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29185-2025</t>
        </is>
      </c>
      <c r="B50" s="1" t="n">
        <v>45821</v>
      </c>
      <c r="C50" s="1" t="n">
        <v>46182</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34524-2025</t>
        </is>
      </c>
      <c r="B51" s="1" t="n">
        <v>45847.47685185185</v>
      </c>
      <c r="C51" s="1" t="n">
        <v>46182</v>
      </c>
      <c r="D51" t="inlineStr">
        <is>
          <t>STOCKHOLMS LÄN</t>
        </is>
      </c>
      <c r="E51" t="inlineStr">
        <is>
          <t>NORRTÄLJE</t>
        </is>
      </c>
      <c r="G51" t="n">
        <v>3.3</v>
      </c>
      <c r="H51" t="n">
        <v>0</v>
      </c>
      <c r="I51" t="n">
        <v>1</v>
      </c>
      <c r="J51" t="n">
        <v>2</v>
      </c>
      <c r="K51" t="n">
        <v>0</v>
      </c>
      <c r="L51" t="n">
        <v>0</v>
      </c>
      <c r="M51" t="n">
        <v>0</v>
      </c>
      <c r="N51" t="n">
        <v>0</v>
      </c>
      <c r="O51" t="n">
        <v>2</v>
      </c>
      <c r="P51" t="n">
        <v>0</v>
      </c>
      <c r="Q51" t="n">
        <v>3</v>
      </c>
      <c r="R51" s="2" t="inlineStr">
        <is>
          <t>Tallticka
Vedtrappmossa
Kornknutmossa</t>
        </is>
      </c>
      <c r="S51">
        <f>HYPERLINK("https://klasma.github.io/Logging_0188/artfynd/A 34524-2025 artfynd.xlsx", "A 34524-2025")</f>
        <v/>
      </c>
      <c r="T51">
        <f>HYPERLINK("https://klasma.github.io/Logging_0188/kartor/A 34524-2025 karta.png", "A 34524-2025")</f>
        <v/>
      </c>
      <c r="V51">
        <f>HYPERLINK("https://klasma.github.io/Logging_0188/klagomål/A 34524-2025 FSC-klagomål.docx", "A 34524-2025")</f>
        <v/>
      </c>
      <c r="W51">
        <f>HYPERLINK("https://klasma.github.io/Logging_0188/klagomålsmail/A 34524-2025 FSC-klagomål mail.docx", "A 34524-2025")</f>
        <v/>
      </c>
      <c r="X51">
        <f>HYPERLINK("https://klasma.github.io/Logging_0188/tillsyn/A 34524-2025 tillsynsbegäran.docx", "A 34524-2025")</f>
        <v/>
      </c>
      <c r="Y51">
        <f>HYPERLINK("https://klasma.github.io/Logging_0188/tillsynsmail/A 34524-2025 tillsynsbegäran mail.docx", "A 34524-2025")</f>
        <v/>
      </c>
    </row>
    <row r="52" ht="15" customHeight="1">
      <c r="A52" t="inlineStr">
        <is>
          <t>A 20185-2022</t>
        </is>
      </c>
      <c r="B52" s="1" t="n">
        <v>44698</v>
      </c>
      <c r="C52" s="1" t="n">
        <v>46182</v>
      </c>
      <c r="D52" t="inlineStr">
        <is>
          <t>STOCKHOLMS LÄN</t>
        </is>
      </c>
      <c r="E52" t="inlineStr">
        <is>
          <t>NORRTÄLJE</t>
        </is>
      </c>
      <c r="G52" t="n">
        <v>8.4</v>
      </c>
      <c r="H52" t="n">
        <v>1</v>
      </c>
      <c r="I52" t="n">
        <v>2</v>
      </c>
      <c r="J52" t="n">
        <v>0</v>
      </c>
      <c r="K52" t="n">
        <v>1</v>
      </c>
      <c r="L52" t="n">
        <v>0</v>
      </c>
      <c r="M52" t="n">
        <v>0</v>
      </c>
      <c r="N52" t="n">
        <v>0</v>
      </c>
      <c r="O52" t="n">
        <v>1</v>
      </c>
      <c r="P52" t="n">
        <v>1</v>
      </c>
      <c r="Q52" t="n">
        <v>3</v>
      </c>
      <c r="R52" s="2" t="inlineStr">
        <is>
          <t>Tallbit
Gullgröppa
Vedticka</t>
        </is>
      </c>
      <c r="S52">
        <f>HYPERLINK("https://klasma.github.io/Logging_0188/artfynd/A 20185-2022 artfynd.xlsx", "A 20185-2022")</f>
        <v/>
      </c>
      <c r="T52">
        <f>HYPERLINK("https://klasma.github.io/Logging_0188/kartor/A 20185-2022 karta.png", "A 20185-2022")</f>
        <v/>
      </c>
      <c r="V52">
        <f>HYPERLINK("https://klasma.github.io/Logging_0188/klagomål/A 20185-2022 FSC-klagomål.docx", "A 20185-2022")</f>
        <v/>
      </c>
      <c r="W52">
        <f>HYPERLINK("https://klasma.github.io/Logging_0188/klagomålsmail/A 20185-2022 FSC-klagomål mail.docx", "A 20185-2022")</f>
        <v/>
      </c>
      <c r="X52">
        <f>HYPERLINK("https://klasma.github.io/Logging_0188/tillsyn/A 20185-2022 tillsynsbegäran.docx", "A 20185-2022")</f>
        <v/>
      </c>
      <c r="Y52">
        <f>HYPERLINK("https://klasma.github.io/Logging_0188/tillsynsmail/A 20185-2022 tillsynsbegäran mail.docx", "A 20185-2022")</f>
        <v/>
      </c>
      <c r="Z52">
        <f>HYPERLINK("https://klasma.github.io/Logging_0188/fåglar/A 20185-2022 prioriterade fågelarter.docx", "A 20185-2022")</f>
        <v/>
      </c>
    </row>
    <row r="53" ht="15" customHeight="1">
      <c r="A53" t="inlineStr">
        <is>
          <t>A 22190-2024</t>
        </is>
      </c>
      <c r="B53" s="1" t="n">
        <v>45446.35888888889</v>
      </c>
      <c r="C53" s="1" t="n">
        <v>46182</v>
      </c>
      <c r="D53" t="inlineStr">
        <is>
          <t>STOCKHOLMS LÄN</t>
        </is>
      </c>
      <c r="E53" t="inlineStr">
        <is>
          <t>NORRTÄLJE</t>
        </is>
      </c>
      <c r="G53" t="n">
        <v>2.8</v>
      </c>
      <c r="H53" t="n">
        <v>3</v>
      </c>
      <c r="I53" t="n">
        <v>1</v>
      </c>
      <c r="J53" t="n">
        <v>0</v>
      </c>
      <c r="K53" t="n">
        <v>0</v>
      </c>
      <c r="L53" t="n">
        <v>0</v>
      </c>
      <c r="M53" t="n">
        <v>0</v>
      </c>
      <c r="N53" t="n">
        <v>0</v>
      </c>
      <c r="O53" t="n">
        <v>0</v>
      </c>
      <c r="P53" t="n">
        <v>0</v>
      </c>
      <c r="Q53" t="n">
        <v>3</v>
      </c>
      <c r="R53" s="2" t="inlineStr">
        <is>
          <t>Skogsknipprot
Åkergroda
Vanlig groda</t>
        </is>
      </c>
      <c r="S53">
        <f>HYPERLINK("https://klasma.github.io/Logging_0188/artfynd/A 22190-2024 artfynd.xlsx", "A 22190-2024")</f>
        <v/>
      </c>
      <c r="T53">
        <f>HYPERLINK("https://klasma.github.io/Logging_0188/kartor/A 22190-2024 karta.png", "A 22190-2024")</f>
        <v/>
      </c>
      <c r="V53">
        <f>HYPERLINK("https://klasma.github.io/Logging_0188/klagomål/A 22190-2024 FSC-klagomål.docx", "A 22190-2024")</f>
        <v/>
      </c>
      <c r="W53">
        <f>HYPERLINK("https://klasma.github.io/Logging_0188/klagomålsmail/A 22190-2024 FSC-klagomål mail.docx", "A 22190-2024")</f>
        <v/>
      </c>
      <c r="X53">
        <f>HYPERLINK("https://klasma.github.io/Logging_0188/tillsyn/A 22190-2024 tillsynsbegäran.docx", "A 22190-2024")</f>
        <v/>
      </c>
      <c r="Y53">
        <f>HYPERLINK("https://klasma.github.io/Logging_0188/tillsynsmail/A 22190-2024 tillsynsbegäran mail.docx", "A 22190-2024")</f>
        <v/>
      </c>
    </row>
    <row r="54" ht="15" customHeight="1">
      <c r="A54" t="inlineStr">
        <is>
          <t>A 27870-2022</t>
        </is>
      </c>
      <c r="B54" s="1" t="n">
        <v>44743.64592592593</v>
      </c>
      <c r="C54" s="1" t="n">
        <v>46182</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40192-2023</t>
        </is>
      </c>
      <c r="B55" s="1" t="n">
        <v>45169</v>
      </c>
      <c r="C55" s="1" t="n">
        <v>46182</v>
      </c>
      <c r="D55" t="inlineStr">
        <is>
          <t>STOCKHOLMS LÄN</t>
        </is>
      </c>
      <c r="E55" t="inlineStr">
        <is>
          <t>NORRTÄLJE</t>
        </is>
      </c>
      <c r="F55" t="inlineStr">
        <is>
          <t>Kyrkan</t>
        </is>
      </c>
      <c r="G55" t="n">
        <v>0.7</v>
      </c>
      <c r="H55" t="n">
        <v>3</v>
      </c>
      <c r="I55" t="n">
        <v>0</v>
      </c>
      <c r="J55" t="n">
        <v>0</v>
      </c>
      <c r="K55" t="n">
        <v>0</v>
      </c>
      <c r="L55" t="n">
        <v>0</v>
      </c>
      <c r="M55" t="n">
        <v>0</v>
      </c>
      <c r="N55" t="n">
        <v>0</v>
      </c>
      <c r="O55" t="n">
        <v>0</v>
      </c>
      <c r="P55" t="n">
        <v>0</v>
      </c>
      <c r="Q55" t="n">
        <v>3</v>
      </c>
      <c r="R55" s="2" t="inlineStr">
        <is>
          <t>Grönsiska
Skogsduva
Törnskata</t>
        </is>
      </c>
      <c r="S55">
        <f>HYPERLINK("https://klasma.github.io/Logging_0188/artfynd/A 40192-2023 artfynd.xlsx", "A 40192-2023")</f>
        <v/>
      </c>
      <c r="T55">
        <f>HYPERLINK("https://klasma.github.io/Logging_0188/kartor/A 40192-2023 karta.png", "A 40192-2023")</f>
        <v/>
      </c>
      <c r="V55">
        <f>HYPERLINK("https://klasma.github.io/Logging_0188/klagomål/A 40192-2023 FSC-klagomål.docx", "A 40192-2023")</f>
        <v/>
      </c>
      <c r="W55">
        <f>HYPERLINK("https://klasma.github.io/Logging_0188/klagomålsmail/A 40192-2023 FSC-klagomål mail.docx", "A 40192-2023")</f>
        <v/>
      </c>
      <c r="X55">
        <f>HYPERLINK("https://klasma.github.io/Logging_0188/tillsyn/A 40192-2023 tillsynsbegäran.docx", "A 40192-2023")</f>
        <v/>
      </c>
      <c r="Y55">
        <f>HYPERLINK("https://klasma.github.io/Logging_0188/tillsynsmail/A 40192-2023 tillsynsbegäran mail.docx", "A 40192-2023")</f>
        <v/>
      </c>
      <c r="Z55">
        <f>HYPERLINK("https://klasma.github.io/Logging_0188/fåglar/A 40192-2023 prioriterade fågelarter.docx", "A 40192-2023")</f>
        <v/>
      </c>
    </row>
    <row r="56" ht="15" customHeight="1">
      <c r="A56" t="inlineStr">
        <is>
          <t>A 50618-2022</t>
        </is>
      </c>
      <c r="B56" s="1" t="n">
        <v>44866</v>
      </c>
      <c r="C56" s="1" t="n">
        <v>46182</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54110-2024</t>
        </is>
      </c>
      <c r="B57" s="1" t="n">
        <v>45616.54866898148</v>
      </c>
      <c r="C57" s="1" t="n">
        <v>46182</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25913-2026</t>
        </is>
      </c>
      <c r="B58" s="1" t="n">
        <v>46178.72743055555</v>
      </c>
      <c r="C58" s="1" t="n">
        <v>46182</v>
      </c>
      <c r="D58" t="inlineStr">
        <is>
          <t>STOCKHOLMS LÄN</t>
        </is>
      </c>
      <c r="E58" t="inlineStr">
        <is>
          <t>NORRTÄLJE</t>
        </is>
      </c>
      <c r="G58" t="n">
        <v>10.3</v>
      </c>
      <c r="H58" t="n">
        <v>2</v>
      </c>
      <c r="I58" t="n">
        <v>0</v>
      </c>
      <c r="J58" t="n">
        <v>3</v>
      </c>
      <c r="K58" t="n">
        <v>0</v>
      </c>
      <c r="L58" t="n">
        <v>0</v>
      </c>
      <c r="M58" t="n">
        <v>0</v>
      </c>
      <c r="N58" t="n">
        <v>0</v>
      </c>
      <c r="O58" t="n">
        <v>3</v>
      </c>
      <c r="P58" t="n">
        <v>0</v>
      </c>
      <c r="Q58" t="n">
        <v>3</v>
      </c>
      <c r="R58" s="2" t="inlineStr">
        <is>
          <t>Havsörn
Igelkott
Talltita</t>
        </is>
      </c>
      <c r="S58">
        <f>HYPERLINK("https://klasma.github.io/Logging_0188/artfynd/A 25913-2026 artfynd.xlsx", "A 25913-2026")</f>
        <v/>
      </c>
      <c r="T58">
        <f>HYPERLINK("https://klasma.github.io/Logging_0188/kartor/A 25913-2026 karta.png", "A 25913-2026")</f>
        <v/>
      </c>
      <c r="V58">
        <f>HYPERLINK("https://klasma.github.io/Logging_0188/klagomål/A 25913-2026 FSC-klagomål.docx", "A 25913-2026")</f>
        <v/>
      </c>
      <c r="W58">
        <f>HYPERLINK("https://klasma.github.io/Logging_0188/klagomålsmail/A 25913-2026 FSC-klagomål mail.docx", "A 25913-2026")</f>
        <v/>
      </c>
      <c r="X58">
        <f>HYPERLINK("https://klasma.github.io/Logging_0188/tillsyn/A 25913-2026 tillsynsbegäran.docx", "A 25913-2026")</f>
        <v/>
      </c>
      <c r="Y58">
        <f>HYPERLINK("https://klasma.github.io/Logging_0188/tillsynsmail/A 25913-2026 tillsynsbegäran mail.docx", "A 25913-2026")</f>
        <v/>
      </c>
      <c r="Z58">
        <f>HYPERLINK("https://klasma.github.io/Logging_0188/fåglar/A 25913-2026 prioriterade fågelarter.docx", "A 25913-2026")</f>
        <v/>
      </c>
    </row>
    <row r="59" ht="15" customHeight="1">
      <c r="A59" t="inlineStr">
        <is>
          <t>A 52133-2022</t>
        </is>
      </c>
      <c r="B59" s="1" t="n">
        <v>44868</v>
      </c>
      <c r="C59" s="1" t="n">
        <v>46182</v>
      </c>
      <c r="D59" t="inlineStr">
        <is>
          <t>STOCKHOLMS LÄN</t>
        </is>
      </c>
      <c r="E59" t="inlineStr">
        <is>
          <t>NORRTÄLJE</t>
        </is>
      </c>
      <c r="G59" t="n">
        <v>11.5</v>
      </c>
      <c r="H59" t="n">
        <v>1</v>
      </c>
      <c r="I59" t="n">
        <v>0</v>
      </c>
      <c r="J59" t="n">
        <v>1</v>
      </c>
      <c r="K59" t="n">
        <v>1</v>
      </c>
      <c r="L59" t="n">
        <v>0</v>
      </c>
      <c r="M59" t="n">
        <v>0</v>
      </c>
      <c r="N59" t="n">
        <v>0</v>
      </c>
      <c r="O59" t="n">
        <v>2</v>
      </c>
      <c r="P59" t="n">
        <v>1</v>
      </c>
      <c r="Q59" t="n">
        <v>2</v>
      </c>
      <c r="R59" s="2" t="inlineStr">
        <is>
          <t>Knärot
Grön aspvedbock</t>
        </is>
      </c>
      <c r="S59">
        <f>HYPERLINK("https://klasma.github.io/Logging_0188/artfynd/A 52133-2022 artfynd.xlsx", "A 52133-2022")</f>
        <v/>
      </c>
      <c r="T59">
        <f>HYPERLINK("https://klasma.github.io/Logging_0188/kartor/A 52133-2022 karta.png", "A 52133-2022")</f>
        <v/>
      </c>
      <c r="U59">
        <f>HYPERLINK("https://klasma.github.io/Logging_0188/knärot/A 52133-2022 karta knärot.png", "A 52133-2022")</f>
        <v/>
      </c>
      <c r="V59">
        <f>HYPERLINK("https://klasma.github.io/Logging_0188/klagomål/A 52133-2022 FSC-klagomål.docx", "A 52133-2022")</f>
        <v/>
      </c>
      <c r="W59">
        <f>HYPERLINK("https://klasma.github.io/Logging_0188/klagomålsmail/A 52133-2022 FSC-klagomål mail.docx", "A 52133-2022")</f>
        <v/>
      </c>
      <c r="X59">
        <f>HYPERLINK("https://klasma.github.io/Logging_0188/tillsyn/A 52133-2022 tillsynsbegäran.docx", "A 52133-2022")</f>
        <v/>
      </c>
      <c r="Y59">
        <f>HYPERLINK("https://klasma.github.io/Logging_0188/tillsynsmail/A 52133-2022 tillsynsbegäran mail.docx", "A 52133-2022")</f>
        <v/>
      </c>
    </row>
    <row r="60" ht="15" customHeight="1">
      <c r="A60" t="inlineStr">
        <is>
          <t>A 31803-2021</t>
        </is>
      </c>
      <c r="B60" s="1" t="n">
        <v>44370</v>
      </c>
      <c r="C60" s="1" t="n">
        <v>46182</v>
      </c>
      <c r="D60" t="inlineStr">
        <is>
          <t>STOCKHOLMS LÄN</t>
        </is>
      </c>
      <c r="E60" t="inlineStr">
        <is>
          <t>NORRTÄLJE</t>
        </is>
      </c>
      <c r="G60" t="n">
        <v>4.6</v>
      </c>
      <c r="H60" t="n">
        <v>0</v>
      </c>
      <c r="I60" t="n">
        <v>1</v>
      </c>
      <c r="J60" t="n">
        <v>1</v>
      </c>
      <c r="K60" t="n">
        <v>0</v>
      </c>
      <c r="L60" t="n">
        <v>0</v>
      </c>
      <c r="M60" t="n">
        <v>0</v>
      </c>
      <c r="N60" t="n">
        <v>0</v>
      </c>
      <c r="O60" t="n">
        <v>1</v>
      </c>
      <c r="P60" t="n">
        <v>0</v>
      </c>
      <c r="Q60" t="n">
        <v>2</v>
      </c>
      <c r="R60" s="2" t="inlineStr">
        <is>
          <t>Slåtterfibbla
Vårärt</t>
        </is>
      </c>
      <c r="S60">
        <f>HYPERLINK("https://klasma.github.io/Logging_0188/artfynd/A 31803-2021 artfynd.xlsx", "A 31803-2021")</f>
        <v/>
      </c>
      <c r="T60">
        <f>HYPERLINK("https://klasma.github.io/Logging_0188/kartor/A 31803-2021 karta.png", "A 31803-2021")</f>
        <v/>
      </c>
      <c r="V60">
        <f>HYPERLINK("https://klasma.github.io/Logging_0188/klagomål/A 31803-2021 FSC-klagomål.docx", "A 31803-2021")</f>
        <v/>
      </c>
      <c r="W60">
        <f>HYPERLINK("https://klasma.github.io/Logging_0188/klagomålsmail/A 31803-2021 FSC-klagomål mail.docx", "A 31803-2021")</f>
        <v/>
      </c>
      <c r="X60">
        <f>HYPERLINK("https://klasma.github.io/Logging_0188/tillsyn/A 31803-2021 tillsynsbegäran.docx", "A 31803-2021")</f>
        <v/>
      </c>
      <c r="Y60">
        <f>HYPERLINK("https://klasma.github.io/Logging_0188/tillsynsmail/A 31803-2021 tillsynsbegäran mail.docx", "A 31803-2021")</f>
        <v/>
      </c>
    </row>
    <row r="61" ht="15" customHeight="1">
      <c r="A61" t="inlineStr">
        <is>
          <t>A 58676-2021</t>
        </is>
      </c>
      <c r="B61" s="1" t="n">
        <v>44489</v>
      </c>
      <c r="C61" s="1" t="n">
        <v>46182</v>
      </c>
      <c r="D61" t="inlineStr">
        <is>
          <t>STOCKHOLMS LÄN</t>
        </is>
      </c>
      <c r="E61" t="inlineStr">
        <is>
          <t>NORRTÄLJE</t>
        </is>
      </c>
      <c r="G61" t="n">
        <v>0.6</v>
      </c>
      <c r="H61" t="n">
        <v>2</v>
      </c>
      <c r="I61" t="n">
        <v>0</v>
      </c>
      <c r="J61" t="n">
        <v>0</v>
      </c>
      <c r="K61" t="n">
        <v>0</v>
      </c>
      <c r="L61" t="n">
        <v>0</v>
      </c>
      <c r="M61" t="n">
        <v>0</v>
      </c>
      <c r="N61" t="n">
        <v>0</v>
      </c>
      <c r="O61" t="n">
        <v>0</v>
      </c>
      <c r="P61" t="n">
        <v>0</v>
      </c>
      <c r="Q61" t="n">
        <v>2</v>
      </c>
      <c r="R61" s="2" t="inlineStr">
        <is>
          <t>Nattviol
Blåsippa</t>
        </is>
      </c>
      <c r="S61">
        <f>HYPERLINK("https://klasma.github.io/Logging_0188/artfynd/A 58676-2021 artfynd.xlsx", "A 58676-2021")</f>
        <v/>
      </c>
      <c r="T61">
        <f>HYPERLINK("https://klasma.github.io/Logging_0188/kartor/A 58676-2021 karta.png", "A 58676-2021")</f>
        <v/>
      </c>
      <c r="V61">
        <f>HYPERLINK("https://klasma.github.io/Logging_0188/klagomål/A 58676-2021 FSC-klagomål.docx", "A 58676-2021")</f>
        <v/>
      </c>
      <c r="W61">
        <f>HYPERLINK("https://klasma.github.io/Logging_0188/klagomålsmail/A 58676-2021 FSC-klagomål mail.docx", "A 58676-2021")</f>
        <v/>
      </c>
      <c r="X61">
        <f>HYPERLINK("https://klasma.github.io/Logging_0188/tillsyn/A 58676-2021 tillsynsbegäran.docx", "A 58676-2021")</f>
        <v/>
      </c>
      <c r="Y61">
        <f>HYPERLINK("https://klasma.github.io/Logging_0188/tillsynsmail/A 58676-2021 tillsynsbegäran mail.docx", "A 58676-2021")</f>
        <v/>
      </c>
    </row>
    <row r="62" ht="15" customHeight="1">
      <c r="A62" t="inlineStr">
        <is>
          <t>A 51220-2023</t>
        </is>
      </c>
      <c r="B62" s="1" t="n">
        <v>45219</v>
      </c>
      <c r="C62" s="1" t="n">
        <v>46182</v>
      </c>
      <c r="D62" t="inlineStr">
        <is>
          <t>STOCKHOLMS LÄN</t>
        </is>
      </c>
      <c r="E62" t="inlineStr">
        <is>
          <t>NORRTÄLJE</t>
        </is>
      </c>
      <c r="G62" t="n">
        <v>7.7</v>
      </c>
      <c r="H62" t="n">
        <v>1</v>
      </c>
      <c r="I62" t="n">
        <v>0</v>
      </c>
      <c r="J62" t="n">
        <v>1</v>
      </c>
      <c r="K62" t="n">
        <v>0</v>
      </c>
      <c r="L62" t="n">
        <v>0</v>
      </c>
      <c r="M62" t="n">
        <v>0</v>
      </c>
      <c r="N62" t="n">
        <v>0</v>
      </c>
      <c r="O62" t="n">
        <v>1</v>
      </c>
      <c r="P62" t="n">
        <v>0</v>
      </c>
      <c r="Q62" t="n">
        <v>2</v>
      </c>
      <c r="R62" s="2" t="inlineStr">
        <is>
          <t>Ullticka
Blåsippa</t>
        </is>
      </c>
      <c r="S62">
        <f>HYPERLINK("https://klasma.github.io/Logging_0188/artfynd/A 51220-2023 artfynd.xlsx", "A 51220-2023")</f>
        <v/>
      </c>
      <c r="T62">
        <f>HYPERLINK("https://klasma.github.io/Logging_0188/kartor/A 51220-2023 karta.png", "A 51220-2023")</f>
        <v/>
      </c>
      <c r="V62">
        <f>HYPERLINK("https://klasma.github.io/Logging_0188/klagomål/A 51220-2023 FSC-klagomål.docx", "A 51220-2023")</f>
        <v/>
      </c>
      <c r="W62">
        <f>HYPERLINK("https://klasma.github.io/Logging_0188/klagomålsmail/A 51220-2023 FSC-klagomål mail.docx", "A 51220-2023")</f>
        <v/>
      </c>
      <c r="X62">
        <f>HYPERLINK("https://klasma.github.io/Logging_0188/tillsyn/A 51220-2023 tillsynsbegäran.docx", "A 51220-2023")</f>
        <v/>
      </c>
      <c r="Y62">
        <f>HYPERLINK("https://klasma.github.io/Logging_0188/tillsynsmail/A 51220-2023 tillsynsbegäran mail.docx", "A 51220-2023")</f>
        <v/>
      </c>
    </row>
    <row r="63" ht="15" customHeight="1">
      <c r="A63" t="inlineStr">
        <is>
          <t>A 38991-2022</t>
        </is>
      </c>
      <c r="B63" s="1" t="n">
        <v>44816.89569444444</v>
      </c>
      <c r="C63" s="1" t="n">
        <v>46182</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52124-2022</t>
        </is>
      </c>
      <c r="B64" s="1" t="n">
        <v>44868</v>
      </c>
      <c r="C64" s="1" t="n">
        <v>46182</v>
      </c>
      <c r="D64" t="inlineStr">
        <is>
          <t>STOCKHOLMS LÄN</t>
        </is>
      </c>
      <c r="E64" t="inlineStr">
        <is>
          <t>NORRTÄLJE</t>
        </is>
      </c>
      <c r="G64" t="n">
        <v>4.8</v>
      </c>
      <c r="H64" t="n">
        <v>1</v>
      </c>
      <c r="I64" t="n">
        <v>0</v>
      </c>
      <c r="J64" t="n">
        <v>1</v>
      </c>
      <c r="K64" t="n">
        <v>0</v>
      </c>
      <c r="L64" t="n">
        <v>0</v>
      </c>
      <c r="M64" t="n">
        <v>0</v>
      </c>
      <c r="N64" t="n">
        <v>0</v>
      </c>
      <c r="O64" t="n">
        <v>1</v>
      </c>
      <c r="P64" t="n">
        <v>0</v>
      </c>
      <c r="Q64" t="n">
        <v>2</v>
      </c>
      <c r="R64" s="2" t="inlineStr">
        <is>
          <t>Kandelabersvamp
Blåsippa</t>
        </is>
      </c>
      <c r="S64">
        <f>HYPERLINK("https://klasma.github.io/Logging_0188/artfynd/A 52124-2022 artfynd.xlsx", "A 52124-2022")</f>
        <v/>
      </c>
      <c r="T64">
        <f>HYPERLINK("https://klasma.github.io/Logging_0188/kartor/A 52124-2022 karta.png", "A 52124-2022")</f>
        <v/>
      </c>
      <c r="V64">
        <f>HYPERLINK("https://klasma.github.io/Logging_0188/klagomål/A 52124-2022 FSC-klagomål.docx", "A 52124-2022")</f>
        <v/>
      </c>
      <c r="W64">
        <f>HYPERLINK("https://klasma.github.io/Logging_0188/klagomålsmail/A 52124-2022 FSC-klagomål mail.docx", "A 52124-2022")</f>
        <v/>
      </c>
      <c r="X64">
        <f>HYPERLINK("https://klasma.github.io/Logging_0188/tillsyn/A 52124-2022 tillsynsbegäran.docx", "A 52124-2022")</f>
        <v/>
      </c>
      <c r="Y64">
        <f>HYPERLINK("https://klasma.github.io/Logging_0188/tillsynsmail/A 52124-2022 tillsynsbegäran mail.docx", "A 52124-2022")</f>
        <v/>
      </c>
    </row>
    <row r="65" ht="15" customHeight="1">
      <c r="A65" t="inlineStr">
        <is>
          <t>A 52825-2023</t>
        </is>
      </c>
      <c r="B65" s="1" t="n">
        <v>45226</v>
      </c>
      <c r="C65" s="1" t="n">
        <v>46182</v>
      </c>
      <c r="D65" t="inlineStr">
        <is>
          <t>STOCKHOLMS LÄN</t>
        </is>
      </c>
      <c r="E65" t="inlineStr">
        <is>
          <t>NORRTÄLJE</t>
        </is>
      </c>
      <c r="G65" t="n">
        <v>1</v>
      </c>
      <c r="H65" t="n">
        <v>0</v>
      </c>
      <c r="I65" t="n">
        <v>2</v>
      </c>
      <c r="J65" t="n">
        <v>0</v>
      </c>
      <c r="K65" t="n">
        <v>0</v>
      </c>
      <c r="L65" t="n">
        <v>0</v>
      </c>
      <c r="M65" t="n">
        <v>0</v>
      </c>
      <c r="N65" t="n">
        <v>0</v>
      </c>
      <c r="O65" t="n">
        <v>0</v>
      </c>
      <c r="P65" t="n">
        <v>0</v>
      </c>
      <c r="Q65" t="n">
        <v>2</v>
      </c>
      <c r="R65" s="2" t="inlineStr">
        <is>
          <t>Fjällig taggsvamp s.str.
Strimspindling</t>
        </is>
      </c>
      <c r="S65">
        <f>HYPERLINK("https://klasma.github.io/Logging_0188/artfynd/A 52825-2023 artfynd.xlsx", "A 52825-2023")</f>
        <v/>
      </c>
      <c r="T65">
        <f>HYPERLINK("https://klasma.github.io/Logging_0188/kartor/A 52825-2023 karta.png", "A 52825-2023")</f>
        <v/>
      </c>
      <c r="V65">
        <f>HYPERLINK("https://klasma.github.io/Logging_0188/klagomål/A 52825-2023 FSC-klagomål.docx", "A 52825-2023")</f>
        <v/>
      </c>
      <c r="W65">
        <f>HYPERLINK("https://klasma.github.io/Logging_0188/klagomålsmail/A 52825-2023 FSC-klagomål mail.docx", "A 52825-2023")</f>
        <v/>
      </c>
      <c r="X65">
        <f>HYPERLINK("https://klasma.github.io/Logging_0188/tillsyn/A 52825-2023 tillsynsbegäran.docx", "A 52825-2023")</f>
        <v/>
      </c>
      <c r="Y65">
        <f>HYPERLINK("https://klasma.github.io/Logging_0188/tillsynsmail/A 52825-2023 tillsynsbegäran mail.docx", "A 52825-2023")</f>
        <v/>
      </c>
    </row>
    <row r="66" ht="15" customHeight="1">
      <c r="A66" t="inlineStr">
        <is>
          <t>A 30693-2022</t>
        </is>
      </c>
      <c r="B66" s="1" t="n">
        <v>44763</v>
      </c>
      <c r="C66" s="1" t="n">
        <v>46182</v>
      </c>
      <c r="D66" t="inlineStr">
        <is>
          <t>STOCKHOLMS LÄN</t>
        </is>
      </c>
      <c r="E66" t="inlineStr">
        <is>
          <t>NORRTÄLJE</t>
        </is>
      </c>
      <c r="F66" t="inlineStr">
        <is>
          <t>Sveaskog</t>
        </is>
      </c>
      <c r="G66" t="n">
        <v>3.4</v>
      </c>
      <c r="H66" t="n">
        <v>2</v>
      </c>
      <c r="I66" t="n">
        <v>0</v>
      </c>
      <c r="J66" t="n">
        <v>1</v>
      </c>
      <c r="K66" t="n">
        <v>0</v>
      </c>
      <c r="L66" t="n">
        <v>0</v>
      </c>
      <c r="M66" t="n">
        <v>0</v>
      </c>
      <c r="N66" t="n">
        <v>0</v>
      </c>
      <c r="O66" t="n">
        <v>1</v>
      </c>
      <c r="P66" t="n">
        <v>0</v>
      </c>
      <c r="Q66" t="n">
        <v>2</v>
      </c>
      <c r="R66" s="2" t="inlineStr">
        <is>
          <t>Gulsparv
Gullviva</t>
        </is>
      </c>
      <c r="S66">
        <f>HYPERLINK("https://klasma.github.io/Logging_0188/artfynd/A 30693-2022 artfynd.xlsx", "A 30693-2022")</f>
        <v/>
      </c>
      <c r="T66">
        <f>HYPERLINK("https://klasma.github.io/Logging_0188/kartor/A 30693-2022 karta.png", "A 30693-2022")</f>
        <v/>
      </c>
      <c r="V66">
        <f>HYPERLINK("https://klasma.github.io/Logging_0188/klagomål/A 30693-2022 FSC-klagomål.docx", "A 30693-2022")</f>
        <v/>
      </c>
      <c r="W66">
        <f>HYPERLINK("https://klasma.github.io/Logging_0188/klagomålsmail/A 30693-2022 FSC-klagomål mail.docx", "A 30693-2022")</f>
        <v/>
      </c>
      <c r="X66">
        <f>HYPERLINK("https://klasma.github.io/Logging_0188/tillsyn/A 30693-2022 tillsynsbegäran.docx", "A 30693-2022")</f>
        <v/>
      </c>
      <c r="Y66">
        <f>HYPERLINK("https://klasma.github.io/Logging_0188/tillsynsmail/A 30693-2022 tillsynsbegäran mail.docx", "A 30693-2022")</f>
        <v/>
      </c>
      <c r="Z66">
        <f>HYPERLINK("https://klasma.github.io/Logging_0188/fåglar/A 30693-2022 prioriterade fågelarter.docx", "A 30693-2022")</f>
        <v/>
      </c>
    </row>
    <row r="67" ht="15" customHeight="1">
      <c r="A67" t="inlineStr">
        <is>
          <t>A 52360-2024</t>
        </is>
      </c>
      <c r="B67" s="1" t="n">
        <v>45609.37094907407</v>
      </c>
      <c r="C67" s="1" t="n">
        <v>46182</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50697-2025</t>
        </is>
      </c>
      <c r="B68" s="1" t="n">
        <v>45945.90854166666</v>
      </c>
      <c r="C68" s="1" t="n">
        <v>46182</v>
      </c>
      <c r="D68" t="inlineStr">
        <is>
          <t>STOCKHOLMS LÄN</t>
        </is>
      </c>
      <c r="E68" t="inlineStr">
        <is>
          <t>NORRTÄLJE</t>
        </is>
      </c>
      <c r="G68" t="n">
        <v>5.5</v>
      </c>
      <c r="H68" t="n">
        <v>0</v>
      </c>
      <c r="I68" t="n">
        <v>0</v>
      </c>
      <c r="J68" t="n">
        <v>2</v>
      </c>
      <c r="K68" t="n">
        <v>0</v>
      </c>
      <c r="L68" t="n">
        <v>0</v>
      </c>
      <c r="M68" t="n">
        <v>0</v>
      </c>
      <c r="N68" t="n">
        <v>0</v>
      </c>
      <c r="O68" t="n">
        <v>2</v>
      </c>
      <c r="P68" t="n">
        <v>0</v>
      </c>
      <c r="Q68" t="n">
        <v>2</v>
      </c>
      <c r="R68" s="2" t="inlineStr">
        <is>
          <t>Skogsklocka
Småflikig brosklav</t>
        </is>
      </c>
      <c r="S68">
        <f>HYPERLINK("https://klasma.github.io/Logging_0188/artfynd/A 50697-2025 artfynd.xlsx", "A 50697-2025")</f>
        <v/>
      </c>
      <c r="T68">
        <f>HYPERLINK("https://klasma.github.io/Logging_0188/kartor/A 50697-2025 karta.png", "A 50697-2025")</f>
        <v/>
      </c>
      <c r="V68">
        <f>HYPERLINK("https://klasma.github.io/Logging_0188/klagomål/A 50697-2025 FSC-klagomål.docx", "A 50697-2025")</f>
        <v/>
      </c>
      <c r="W68">
        <f>HYPERLINK("https://klasma.github.io/Logging_0188/klagomålsmail/A 50697-2025 FSC-klagomål mail.docx", "A 50697-2025")</f>
        <v/>
      </c>
      <c r="X68">
        <f>HYPERLINK("https://klasma.github.io/Logging_0188/tillsyn/A 50697-2025 tillsynsbegäran.docx", "A 50697-2025")</f>
        <v/>
      </c>
      <c r="Y68">
        <f>HYPERLINK("https://klasma.github.io/Logging_0188/tillsynsmail/A 50697-2025 tillsynsbegäran mail.docx", "A 50697-2025")</f>
        <v/>
      </c>
    </row>
    <row r="69" ht="15" customHeight="1">
      <c r="A69" t="inlineStr">
        <is>
          <t>A 53608-2025</t>
        </is>
      </c>
      <c r="B69" s="1" t="n">
        <v>45960</v>
      </c>
      <c r="C69" s="1" t="n">
        <v>46182</v>
      </c>
      <c r="D69" t="inlineStr">
        <is>
          <t>STOCKHOLMS LÄN</t>
        </is>
      </c>
      <c r="E69" t="inlineStr">
        <is>
          <t>NORRTÄLJE</t>
        </is>
      </c>
      <c r="F69" t="inlineStr">
        <is>
          <t>Holmen skog AB</t>
        </is>
      </c>
      <c r="G69" t="n">
        <v>3.2</v>
      </c>
      <c r="H69" t="n">
        <v>2</v>
      </c>
      <c r="I69" t="n">
        <v>0</v>
      </c>
      <c r="J69" t="n">
        <v>1</v>
      </c>
      <c r="K69" t="n">
        <v>0</v>
      </c>
      <c r="L69" t="n">
        <v>1</v>
      </c>
      <c r="M69" t="n">
        <v>0</v>
      </c>
      <c r="N69" t="n">
        <v>0</v>
      </c>
      <c r="O69" t="n">
        <v>2</v>
      </c>
      <c r="P69" t="n">
        <v>1</v>
      </c>
      <c r="Q69" t="n">
        <v>2</v>
      </c>
      <c r="R69" s="2" t="inlineStr">
        <is>
          <t>Asknätfjäril
Spillkråka</t>
        </is>
      </c>
      <c r="S69">
        <f>HYPERLINK("https://klasma.github.io/Logging_0188/artfynd/A 53608-2025 artfynd.xlsx", "A 53608-2025")</f>
        <v/>
      </c>
      <c r="T69">
        <f>HYPERLINK("https://klasma.github.io/Logging_0188/kartor/A 53608-2025 karta.png", "A 53608-2025")</f>
        <v/>
      </c>
      <c r="V69">
        <f>HYPERLINK("https://klasma.github.io/Logging_0188/klagomål/A 53608-2025 FSC-klagomål.docx", "A 53608-2025")</f>
        <v/>
      </c>
      <c r="W69">
        <f>HYPERLINK("https://klasma.github.io/Logging_0188/klagomålsmail/A 53608-2025 FSC-klagomål mail.docx", "A 53608-2025")</f>
        <v/>
      </c>
      <c r="X69">
        <f>HYPERLINK("https://klasma.github.io/Logging_0188/tillsyn/A 53608-2025 tillsynsbegäran.docx", "A 53608-2025")</f>
        <v/>
      </c>
      <c r="Y69">
        <f>HYPERLINK("https://klasma.github.io/Logging_0188/tillsynsmail/A 53608-2025 tillsynsbegäran mail.docx", "A 53608-2025")</f>
        <v/>
      </c>
      <c r="Z69">
        <f>HYPERLINK("https://klasma.github.io/Logging_0188/fåglar/A 53608-2025 prioriterade fågelarter.docx", "A 53608-2025")</f>
        <v/>
      </c>
    </row>
    <row r="70" ht="15" customHeight="1">
      <c r="A70" t="inlineStr">
        <is>
          <t>A 17952-2022</t>
        </is>
      </c>
      <c r="B70" s="1" t="n">
        <v>44683</v>
      </c>
      <c r="C70" s="1" t="n">
        <v>46182</v>
      </c>
      <c r="D70" t="inlineStr">
        <is>
          <t>STOCKHOLMS LÄN</t>
        </is>
      </c>
      <c r="E70" t="inlineStr">
        <is>
          <t>NORRTÄLJE</t>
        </is>
      </c>
      <c r="G70" t="n">
        <v>51.1</v>
      </c>
      <c r="H70" t="n">
        <v>1</v>
      </c>
      <c r="I70" t="n">
        <v>0</v>
      </c>
      <c r="J70" t="n">
        <v>0</v>
      </c>
      <c r="K70" t="n">
        <v>1</v>
      </c>
      <c r="L70" t="n">
        <v>0</v>
      </c>
      <c r="M70" t="n">
        <v>0</v>
      </c>
      <c r="N70" t="n">
        <v>0</v>
      </c>
      <c r="O70" t="n">
        <v>1</v>
      </c>
      <c r="P70" t="n">
        <v>1</v>
      </c>
      <c r="Q70" t="n">
        <v>2</v>
      </c>
      <c r="R70" s="2" t="inlineStr">
        <is>
          <t>Kattunvisslare
Revlummer</t>
        </is>
      </c>
      <c r="S70">
        <f>HYPERLINK("https://klasma.github.io/Logging_0188/artfynd/A 17952-2022 artfynd.xlsx", "A 17952-2022")</f>
        <v/>
      </c>
      <c r="T70">
        <f>HYPERLINK("https://klasma.github.io/Logging_0188/kartor/A 17952-2022 karta.png", "A 17952-2022")</f>
        <v/>
      </c>
      <c r="V70">
        <f>HYPERLINK("https://klasma.github.io/Logging_0188/klagomål/A 17952-2022 FSC-klagomål.docx", "A 17952-2022")</f>
        <v/>
      </c>
      <c r="W70">
        <f>HYPERLINK("https://klasma.github.io/Logging_0188/klagomålsmail/A 17952-2022 FSC-klagomål mail.docx", "A 17952-2022")</f>
        <v/>
      </c>
      <c r="X70">
        <f>HYPERLINK("https://klasma.github.io/Logging_0188/tillsyn/A 17952-2022 tillsynsbegäran.docx", "A 17952-2022")</f>
        <v/>
      </c>
      <c r="Y70">
        <f>HYPERLINK("https://klasma.github.io/Logging_0188/tillsynsmail/A 17952-2022 tillsynsbegäran mail.docx", "A 17952-2022")</f>
        <v/>
      </c>
    </row>
    <row r="71" ht="15" customHeight="1">
      <c r="A71" t="inlineStr">
        <is>
          <t>A 51980-2022</t>
        </is>
      </c>
      <c r="B71" s="1" t="n">
        <v>44872</v>
      </c>
      <c r="C71" s="1" t="n">
        <v>46182</v>
      </c>
      <c r="D71" t="inlineStr">
        <is>
          <t>STOCKHOLMS LÄN</t>
        </is>
      </c>
      <c r="E71" t="inlineStr">
        <is>
          <t>NORRTÄLJE</t>
        </is>
      </c>
      <c r="G71" t="n">
        <v>7.9</v>
      </c>
      <c r="H71" t="n">
        <v>1</v>
      </c>
      <c r="I71" t="n">
        <v>2</v>
      </c>
      <c r="J71" t="n">
        <v>0</v>
      </c>
      <c r="K71" t="n">
        <v>0</v>
      </c>
      <c r="L71" t="n">
        <v>0</v>
      </c>
      <c r="M71" t="n">
        <v>0</v>
      </c>
      <c r="N71" t="n">
        <v>0</v>
      </c>
      <c r="O71" t="n">
        <v>0</v>
      </c>
      <c r="P71" t="n">
        <v>0</v>
      </c>
      <c r="Q71" t="n">
        <v>2</v>
      </c>
      <c r="R71" s="2" t="inlineStr">
        <is>
          <t>Rödgul trumpetsvamp
Skogsknipprot</t>
        </is>
      </c>
      <c r="S71">
        <f>HYPERLINK("https://klasma.github.io/Logging_0188/artfynd/A 51980-2022 artfynd.xlsx", "A 51980-2022")</f>
        <v/>
      </c>
      <c r="T71">
        <f>HYPERLINK("https://klasma.github.io/Logging_0188/kartor/A 51980-2022 karta.png", "A 51980-2022")</f>
        <v/>
      </c>
      <c r="V71">
        <f>HYPERLINK("https://klasma.github.io/Logging_0188/klagomål/A 51980-2022 FSC-klagomål.docx", "A 51980-2022")</f>
        <v/>
      </c>
      <c r="W71">
        <f>HYPERLINK("https://klasma.github.io/Logging_0188/klagomålsmail/A 51980-2022 FSC-klagomål mail.docx", "A 51980-2022")</f>
        <v/>
      </c>
      <c r="X71">
        <f>HYPERLINK("https://klasma.github.io/Logging_0188/tillsyn/A 51980-2022 tillsynsbegäran.docx", "A 51980-2022")</f>
        <v/>
      </c>
      <c r="Y71">
        <f>HYPERLINK("https://klasma.github.io/Logging_0188/tillsynsmail/A 51980-2022 tillsynsbegäran mail.docx", "A 51980-2022")</f>
        <v/>
      </c>
    </row>
    <row r="72" ht="15" customHeight="1">
      <c r="A72" t="inlineStr">
        <is>
          <t>A 21781-2026</t>
        </is>
      </c>
      <c r="B72" s="1" t="n">
        <v>46150.37699074074</v>
      </c>
      <c r="C72" s="1" t="n">
        <v>46182</v>
      </c>
      <c r="D72" t="inlineStr">
        <is>
          <t>STOCKHOLMS LÄN</t>
        </is>
      </c>
      <c r="E72" t="inlineStr">
        <is>
          <t>NORRTÄLJE</t>
        </is>
      </c>
      <c r="G72" t="n">
        <v>6.2</v>
      </c>
      <c r="H72" t="n">
        <v>1</v>
      </c>
      <c r="I72" t="n">
        <v>0</v>
      </c>
      <c r="J72" t="n">
        <v>1</v>
      </c>
      <c r="K72" t="n">
        <v>1</v>
      </c>
      <c r="L72" t="n">
        <v>0</v>
      </c>
      <c r="M72" t="n">
        <v>0</v>
      </c>
      <c r="N72" t="n">
        <v>0</v>
      </c>
      <c r="O72" t="n">
        <v>2</v>
      </c>
      <c r="P72" t="n">
        <v>1</v>
      </c>
      <c r="Q72" t="n">
        <v>2</v>
      </c>
      <c r="R72" s="2" t="inlineStr">
        <is>
          <t>Hällebräcka
Slåtterfibbla</t>
        </is>
      </c>
      <c r="S72">
        <f>HYPERLINK("https://klasma.github.io/Logging_0188/artfynd/A 21781-2026 artfynd.xlsx", "A 21781-2026")</f>
        <v/>
      </c>
      <c r="T72">
        <f>HYPERLINK("https://klasma.github.io/Logging_0188/kartor/A 21781-2026 karta.png", "A 21781-2026")</f>
        <v/>
      </c>
      <c r="V72">
        <f>HYPERLINK("https://klasma.github.io/Logging_0188/klagomål/A 21781-2026 FSC-klagomål.docx", "A 21781-2026")</f>
        <v/>
      </c>
      <c r="W72">
        <f>HYPERLINK("https://klasma.github.io/Logging_0188/klagomålsmail/A 21781-2026 FSC-klagomål mail.docx", "A 21781-2026")</f>
        <v/>
      </c>
      <c r="X72">
        <f>HYPERLINK("https://klasma.github.io/Logging_0188/tillsyn/A 21781-2026 tillsynsbegäran.docx", "A 21781-2026")</f>
        <v/>
      </c>
      <c r="Y72">
        <f>HYPERLINK("https://klasma.github.io/Logging_0188/tillsynsmail/A 21781-2026 tillsynsbegäran mail.docx", "A 21781-2026")</f>
        <v/>
      </c>
    </row>
    <row r="73" ht="15" customHeight="1">
      <c r="A73" t="inlineStr">
        <is>
          <t>A 23548-2026</t>
        </is>
      </c>
      <c r="B73" s="1" t="n">
        <v>46163.57045138889</v>
      </c>
      <c r="C73" s="1" t="n">
        <v>46182</v>
      </c>
      <c r="D73" t="inlineStr">
        <is>
          <t>STOCKHOLMS LÄN</t>
        </is>
      </c>
      <c r="E73" t="inlineStr">
        <is>
          <t>NORRTÄLJE</t>
        </is>
      </c>
      <c r="G73" t="n">
        <v>2.3</v>
      </c>
      <c r="H73" t="n">
        <v>2</v>
      </c>
      <c r="I73" t="n">
        <v>0</v>
      </c>
      <c r="J73" t="n">
        <v>0</v>
      </c>
      <c r="K73" t="n">
        <v>0</v>
      </c>
      <c r="L73" t="n">
        <v>0</v>
      </c>
      <c r="M73" t="n">
        <v>0</v>
      </c>
      <c r="N73" t="n">
        <v>0</v>
      </c>
      <c r="O73" t="n">
        <v>0</v>
      </c>
      <c r="P73" t="n">
        <v>0</v>
      </c>
      <c r="Q73" t="n">
        <v>2</v>
      </c>
      <c r="R73" s="2" t="inlineStr">
        <is>
          <t>Nattviol × grönvit nattviol
Ängsnattviol × grönvit nattviol</t>
        </is>
      </c>
      <c r="S73">
        <f>HYPERLINK("https://klasma.github.io/Logging_0188/artfynd/A 23548-2026 artfynd.xlsx", "A 23548-2026")</f>
        <v/>
      </c>
      <c r="T73">
        <f>HYPERLINK("https://klasma.github.io/Logging_0188/kartor/A 23548-2026 karta.png", "A 23548-2026")</f>
        <v/>
      </c>
      <c r="V73">
        <f>HYPERLINK("https://klasma.github.io/Logging_0188/klagomål/A 23548-2026 FSC-klagomål.docx", "A 23548-2026")</f>
        <v/>
      </c>
      <c r="W73">
        <f>HYPERLINK("https://klasma.github.io/Logging_0188/klagomålsmail/A 23548-2026 FSC-klagomål mail.docx", "A 23548-2026")</f>
        <v/>
      </c>
      <c r="X73">
        <f>HYPERLINK("https://klasma.github.io/Logging_0188/tillsyn/A 23548-2026 tillsynsbegäran.docx", "A 23548-2026")</f>
        <v/>
      </c>
      <c r="Y73">
        <f>HYPERLINK("https://klasma.github.io/Logging_0188/tillsynsmail/A 23548-2026 tillsynsbegäran mail.docx", "A 23548-2026")</f>
        <v/>
      </c>
    </row>
    <row r="74" ht="15" customHeight="1">
      <c r="A74" t="inlineStr">
        <is>
          <t>A 1547-2022</t>
        </is>
      </c>
      <c r="B74" s="1" t="n">
        <v>44573</v>
      </c>
      <c r="C74" s="1" t="n">
        <v>46182</v>
      </c>
      <c r="D74" t="inlineStr">
        <is>
          <t>STOCKHOLMS LÄN</t>
        </is>
      </c>
      <c r="E74" t="inlineStr">
        <is>
          <t>NORRTÄLJE</t>
        </is>
      </c>
      <c r="G74" t="n">
        <v>1.8</v>
      </c>
      <c r="H74" t="n">
        <v>1</v>
      </c>
      <c r="I74" t="n">
        <v>0</v>
      </c>
      <c r="J74" t="n">
        <v>0</v>
      </c>
      <c r="K74" t="n">
        <v>1</v>
      </c>
      <c r="L74" t="n">
        <v>0</v>
      </c>
      <c r="M74" t="n">
        <v>0</v>
      </c>
      <c r="N74" t="n">
        <v>0</v>
      </c>
      <c r="O74" t="n">
        <v>1</v>
      </c>
      <c r="P74" t="n">
        <v>1</v>
      </c>
      <c r="Q74" t="n">
        <v>1</v>
      </c>
      <c r="R74" s="2" t="inlineStr">
        <is>
          <t>Hällebräcka</t>
        </is>
      </c>
      <c r="S74">
        <f>HYPERLINK("https://klasma.github.io/Logging_0188/artfynd/A 1547-2022 artfynd.xlsx", "A 1547-2022")</f>
        <v/>
      </c>
      <c r="T74">
        <f>HYPERLINK("https://klasma.github.io/Logging_0188/kartor/A 1547-2022 karta.png", "A 1547-2022")</f>
        <v/>
      </c>
      <c r="V74">
        <f>HYPERLINK("https://klasma.github.io/Logging_0188/klagomål/A 1547-2022 FSC-klagomål.docx", "A 1547-2022")</f>
        <v/>
      </c>
      <c r="W74">
        <f>HYPERLINK("https://klasma.github.io/Logging_0188/klagomålsmail/A 1547-2022 FSC-klagomål mail.docx", "A 1547-2022")</f>
        <v/>
      </c>
      <c r="X74">
        <f>HYPERLINK("https://klasma.github.io/Logging_0188/tillsyn/A 1547-2022 tillsynsbegäran.docx", "A 1547-2022")</f>
        <v/>
      </c>
      <c r="Y74">
        <f>HYPERLINK("https://klasma.github.io/Logging_0188/tillsynsmail/A 1547-2022 tillsynsbegäran mail.docx", "A 1547-2022")</f>
        <v/>
      </c>
    </row>
    <row r="75" ht="15" customHeight="1">
      <c r="A75" t="inlineStr">
        <is>
          <t>A 188-2022</t>
        </is>
      </c>
      <c r="B75" s="1" t="n">
        <v>44564.66387731482</v>
      </c>
      <c r="C75" s="1" t="n">
        <v>46182</v>
      </c>
      <c r="D75" t="inlineStr">
        <is>
          <t>STOCKHOLMS LÄN</t>
        </is>
      </c>
      <c r="E75" t="inlineStr">
        <is>
          <t>NORRTÄLJE</t>
        </is>
      </c>
      <c r="G75" t="n">
        <v>4.1</v>
      </c>
      <c r="H75" t="n">
        <v>0</v>
      </c>
      <c r="I75" t="n">
        <v>1</v>
      </c>
      <c r="J75" t="n">
        <v>0</v>
      </c>
      <c r="K75" t="n">
        <v>0</v>
      </c>
      <c r="L75" t="n">
        <v>0</v>
      </c>
      <c r="M75" t="n">
        <v>0</v>
      </c>
      <c r="N75" t="n">
        <v>0</v>
      </c>
      <c r="O75" t="n">
        <v>0</v>
      </c>
      <c r="P75" t="n">
        <v>0</v>
      </c>
      <c r="Q75" t="n">
        <v>1</v>
      </c>
      <c r="R75" s="2" t="inlineStr">
        <is>
          <t>Svart trolldruva</t>
        </is>
      </c>
      <c r="S75">
        <f>HYPERLINK("https://klasma.github.io/Logging_0188/artfynd/A 188-2022 artfynd.xlsx", "A 188-2022")</f>
        <v/>
      </c>
      <c r="T75">
        <f>HYPERLINK("https://klasma.github.io/Logging_0188/kartor/A 188-2022 karta.png", "A 188-2022")</f>
        <v/>
      </c>
      <c r="V75">
        <f>HYPERLINK("https://klasma.github.io/Logging_0188/klagomål/A 188-2022 FSC-klagomål.docx", "A 188-2022")</f>
        <v/>
      </c>
      <c r="W75">
        <f>HYPERLINK("https://klasma.github.io/Logging_0188/klagomålsmail/A 188-2022 FSC-klagomål mail.docx", "A 188-2022")</f>
        <v/>
      </c>
      <c r="X75">
        <f>HYPERLINK("https://klasma.github.io/Logging_0188/tillsyn/A 188-2022 tillsynsbegäran.docx", "A 188-2022")</f>
        <v/>
      </c>
      <c r="Y75">
        <f>HYPERLINK("https://klasma.github.io/Logging_0188/tillsynsmail/A 188-2022 tillsynsbegäran mail.docx", "A 188-2022")</f>
        <v/>
      </c>
    </row>
    <row r="76" ht="15" customHeight="1">
      <c r="A76" t="inlineStr">
        <is>
          <t>A 30138-2021</t>
        </is>
      </c>
      <c r="B76" s="1" t="n">
        <v>44363</v>
      </c>
      <c r="C76" s="1" t="n">
        <v>46182</v>
      </c>
      <c r="D76" t="inlineStr">
        <is>
          <t>STOCKHOLMS LÄN</t>
        </is>
      </c>
      <c r="E76" t="inlineStr">
        <is>
          <t>NORRTÄLJE</t>
        </is>
      </c>
      <c r="G76" t="n">
        <v>4.5</v>
      </c>
      <c r="H76" t="n">
        <v>0</v>
      </c>
      <c r="I76" t="n">
        <v>1</v>
      </c>
      <c r="J76" t="n">
        <v>0</v>
      </c>
      <c r="K76" t="n">
        <v>0</v>
      </c>
      <c r="L76" t="n">
        <v>0</v>
      </c>
      <c r="M76" t="n">
        <v>0</v>
      </c>
      <c r="N76" t="n">
        <v>0</v>
      </c>
      <c r="O76" t="n">
        <v>0</v>
      </c>
      <c r="P76" t="n">
        <v>0</v>
      </c>
      <c r="Q76" t="n">
        <v>1</v>
      </c>
      <c r="R76" s="2" t="inlineStr">
        <is>
          <t>Vårärt</t>
        </is>
      </c>
      <c r="S76">
        <f>HYPERLINK("https://klasma.github.io/Logging_0188/artfynd/A 30138-2021 artfynd.xlsx", "A 30138-2021")</f>
        <v/>
      </c>
      <c r="T76">
        <f>HYPERLINK("https://klasma.github.io/Logging_0188/kartor/A 30138-2021 karta.png", "A 30138-2021")</f>
        <v/>
      </c>
      <c r="V76">
        <f>HYPERLINK("https://klasma.github.io/Logging_0188/klagomål/A 30138-2021 FSC-klagomål.docx", "A 30138-2021")</f>
        <v/>
      </c>
      <c r="W76">
        <f>HYPERLINK("https://klasma.github.io/Logging_0188/klagomålsmail/A 30138-2021 FSC-klagomål mail.docx", "A 30138-2021")</f>
        <v/>
      </c>
      <c r="X76">
        <f>HYPERLINK("https://klasma.github.io/Logging_0188/tillsyn/A 30138-2021 tillsynsbegäran.docx", "A 30138-2021")</f>
        <v/>
      </c>
      <c r="Y76">
        <f>HYPERLINK("https://klasma.github.io/Logging_0188/tillsynsmail/A 30138-2021 tillsynsbegäran mail.docx", "A 30138-2021")</f>
        <v/>
      </c>
    </row>
    <row r="77" ht="15" customHeight="1">
      <c r="A77" t="inlineStr">
        <is>
          <t>A 17629-2022</t>
        </is>
      </c>
      <c r="B77" s="1" t="n">
        <v>44680</v>
      </c>
      <c r="C77" s="1" t="n">
        <v>46182</v>
      </c>
      <c r="D77" t="inlineStr">
        <is>
          <t>STOCKHOLMS LÄN</t>
        </is>
      </c>
      <c r="E77" t="inlineStr">
        <is>
          <t>NORRTÄLJE</t>
        </is>
      </c>
      <c r="G77" t="n">
        <v>0.6</v>
      </c>
      <c r="H77" t="n">
        <v>1</v>
      </c>
      <c r="I77" t="n">
        <v>0</v>
      </c>
      <c r="J77" t="n">
        <v>1</v>
      </c>
      <c r="K77" t="n">
        <v>0</v>
      </c>
      <c r="L77" t="n">
        <v>0</v>
      </c>
      <c r="M77" t="n">
        <v>0</v>
      </c>
      <c r="N77" t="n">
        <v>0</v>
      </c>
      <c r="O77" t="n">
        <v>1</v>
      </c>
      <c r="P77" t="n">
        <v>0</v>
      </c>
      <c r="Q77" t="n">
        <v>1</v>
      </c>
      <c r="R77" s="2" t="inlineStr">
        <is>
          <t>Hornuggla</t>
        </is>
      </c>
      <c r="S77">
        <f>HYPERLINK("https://klasma.github.io/Logging_0188/artfynd/A 17629-2022 artfynd.xlsx", "A 17629-2022")</f>
        <v/>
      </c>
      <c r="T77">
        <f>HYPERLINK("https://klasma.github.io/Logging_0188/kartor/A 17629-2022 karta.png", "A 17629-2022")</f>
        <v/>
      </c>
      <c r="V77">
        <f>HYPERLINK("https://klasma.github.io/Logging_0188/klagomål/A 17629-2022 FSC-klagomål.docx", "A 17629-2022")</f>
        <v/>
      </c>
      <c r="W77">
        <f>HYPERLINK("https://klasma.github.io/Logging_0188/klagomålsmail/A 17629-2022 FSC-klagomål mail.docx", "A 17629-2022")</f>
        <v/>
      </c>
      <c r="X77">
        <f>HYPERLINK("https://klasma.github.io/Logging_0188/tillsyn/A 17629-2022 tillsynsbegäran.docx", "A 17629-2022")</f>
        <v/>
      </c>
      <c r="Y77">
        <f>HYPERLINK("https://klasma.github.io/Logging_0188/tillsynsmail/A 17629-2022 tillsynsbegäran mail.docx", "A 17629-2022")</f>
        <v/>
      </c>
      <c r="Z77">
        <f>HYPERLINK("https://klasma.github.io/Logging_0188/fåglar/A 17629-2022 prioriterade fågelarter.docx", "A 17629-2022")</f>
        <v/>
      </c>
    </row>
    <row r="78" ht="15" customHeight="1">
      <c r="A78" t="inlineStr">
        <is>
          <t>A 14365-2025</t>
        </is>
      </c>
      <c r="B78" s="1" t="n">
        <v>45741.38688657407</v>
      </c>
      <c r="C78" s="1" t="n">
        <v>46182</v>
      </c>
      <c r="D78" t="inlineStr">
        <is>
          <t>STOCKHOLMS LÄN</t>
        </is>
      </c>
      <c r="E78" t="inlineStr">
        <is>
          <t>NORRTÄLJE</t>
        </is>
      </c>
      <c r="G78" t="n">
        <v>2.4</v>
      </c>
      <c r="H78" t="n">
        <v>0</v>
      </c>
      <c r="I78" t="n">
        <v>0</v>
      </c>
      <c r="J78" t="n">
        <v>1</v>
      </c>
      <c r="K78" t="n">
        <v>0</v>
      </c>
      <c r="L78" t="n">
        <v>0</v>
      </c>
      <c r="M78" t="n">
        <v>0</v>
      </c>
      <c r="N78" t="n">
        <v>0</v>
      </c>
      <c r="O78" t="n">
        <v>1</v>
      </c>
      <c r="P78" t="n">
        <v>0</v>
      </c>
      <c r="Q78" t="n">
        <v>1</v>
      </c>
      <c r="R78" s="2" t="inlineStr">
        <is>
          <t>Granticka</t>
        </is>
      </c>
      <c r="S78">
        <f>HYPERLINK("https://klasma.github.io/Logging_0188/artfynd/A 14365-2025 artfynd.xlsx", "A 14365-2025")</f>
        <v/>
      </c>
      <c r="T78">
        <f>HYPERLINK("https://klasma.github.io/Logging_0188/kartor/A 14365-2025 karta.png", "A 14365-2025")</f>
        <v/>
      </c>
      <c r="V78">
        <f>HYPERLINK("https://klasma.github.io/Logging_0188/klagomål/A 14365-2025 FSC-klagomål.docx", "A 14365-2025")</f>
        <v/>
      </c>
      <c r="W78">
        <f>HYPERLINK("https://klasma.github.io/Logging_0188/klagomålsmail/A 14365-2025 FSC-klagomål mail.docx", "A 14365-2025")</f>
        <v/>
      </c>
      <c r="X78">
        <f>HYPERLINK("https://klasma.github.io/Logging_0188/tillsyn/A 14365-2025 tillsynsbegäran.docx", "A 14365-2025")</f>
        <v/>
      </c>
      <c r="Y78">
        <f>HYPERLINK("https://klasma.github.io/Logging_0188/tillsynsmail/A 14365-2025 tillsynsbegäran mail.docx", "A 14365-2025")</f>
        <v/>
      </c>
    </row>
    <row r="79" ht="15" customHeight="1">
      <c r="A79" t="inlineStr">
        <is>
          <t>A 32111-2022</t>
        </is>
      </c>
      <c r="B79" s="1" t="n">
        <v>44778.92797453704</v>
      </c>
      <c r="C79" s="1" t="n">
        <v>46182</v>
      </c>
      <c r="D79" t="inlineStr">
        <is>
          <t>STOCKHOLMS LÄN</t>
        </is>
      </c>
      <c r="E79" t="inlineStr">
        <is>
          <t>NORRTÄLJE</t>
        </is>
      </c>
      <c r="G79" t="n">
        <v>3.1</v>
      </c>
      <c r="H79" t="n">
        <v>0</v>
      </c>
      <c r="I79" t="n">
        <v>0</v>
      </c>
      <c r="J79" t="n">
        <v>1</v>
      </c>
      <c r="K79" t="n">
        <v>0</v>
      </c>
      <c r="L79" t="n">
        <v>0</v>
      </c>
      <c r="M79" t="n">
        <v>0</v>
      </c>
      <c r="N79" t="n">
        <v>0</v>
      </c>
      <c r="O79" t="n">
        <v>1</v>
      </c>
      <c r="P79" t="n">
        <v>0</v>
      </c>
      <c r="Q79" t="n">
        <v>1</v>
      </c>
      <c r="R79" s="2" t="inlineStr">
        <is>
          <t>Orange taggsvamp</t>
        </is>
      </c>
      <c r="S79">
        <f>HYPERLINK("https://klasma.github.io/Logging_0188/artfynd/A 32111-2022 artfynd.xlsx", "A 32111-2022")</f>
        <v/>
      </c>
      <c r="T79">
        <f>HYPERLINK("https://klasma.github.io/Logging_0188/kartor/A 32111-2022 karta.png", "A 32111-2022")</f>
        <v/>
      </c>
      <c r="V79">
        <f>HYPERLINK("https://klasma.github.io/Logging_0188/klagomål/A 32111-2022 FSC-klagomål.docx", "A 32111-2022")</f>
        <v/>
      </c>
      <c r="W79">
        <f>HYPERLINK("https://klasma.github.io/Logging_0188/klagomålsmail/A 32111-2022 FSC-klagomål mail.docx", "A 32111-2022")</f>
        <v/>
      </c>
      <c r="X79">
        <f>HYPERLINK("https://klasma.github.io/Logging_0188/tillsyn/A 32111-2022 tillsynsbegäran.docx", "A 32111-2022")</f>
        <v/>
      </c>
      <c r="Y79">
        <f>HYPERLINK("https://klasma.github.io/Logging_0188/tillsynsmail/A 32111-2022 tillsynsbegäran mail.docx", "A 32111-2022")</f>
        <v/>
      </c>
    </row>
    <row r="80" ht="15" customHeight="1">
      <c r="A80" t="inlineStr">
        <is>
          <t>A 11429-2023</t>
        </is>
      </c>
      <c r="B80" s="1" t="n">
        <v>44993</v>
      </c>
      <c r="C80" s="1" t="n">
        <v>46182</v>
      </c>
      <c r="D80" t="inlineStr">
        <is>
          <t>STOCKHOLMS LÄN</t>
        </is>
      </c>
      <c r="E80" t="inlineStr">
        <is>
          <t>NORRTÄLJE</t>
        </is>
      </c>
      <c r="G80" t="n">
        <v>2</v>
      </c>
      <c r="H80" t="n">
        <v>0</v>
      </c>
      <c r="I80" t="n">
        <v>0</v>
      </c>
      <c r="J80" t="n">
        <v>1</v>
      </c>
      <c r="K80" t="n">
        <v>0</v>
      </c>
      <c r="L80" t="n">
        <v>0</v>
      </c>
      <c r="M80" t="n">
        <v>0</v>
      </c>
      <c r="N80" t="n">
        <v>0</v>
      </c>
      <c r="O80" t="n">
        <v>1</v>
      </c>
      <c r="P80" t="n">
        <v>0</v>
      </c>
      <c r="Q80" t="n">
        <v>1</v>
      </c>
      <c r="R80" s="2" t="inlineStr">
        <is>
          <t>Skogsklocka</t>
        </is>
      </c>
      <c r="S80">
        <f>HYPERLINK("https://klasma.github.io/Logging_0188/artfynd/A 11429-2023 artfynd.xlsx", "A 11429-2023")</f>
        <v/>
      </c>
      <c r="T80">
        <f>HYPERLINK("https://klasma.github.io/Logging_0188/kartor/A 11429-2023 karta.png", "A 11429-2023")</f>
        <v/>
      </c>
      <c r="V80">
        <f>HYPERLINK("https://klasma.github.io/Logging_0188/klagomål/A 11429-2023 FSC-klagomål.docx", "A 11429-2023")</f>
        <v/>
      </c>
      <c r="W80">
        <f>HYPERLINK("https://klasma.github.io/Logging_0188/klagomålsmail/A 11429-2023 FSC-klagomål mail.docx", "A 11429-2023")</f>
        <v/>
      </c>
      <c r="X80">
        <f>HYPERLINK("https://klasma.github.io/Logging_0188/tillsyn/A 11429-2023 tillsynsbegäran.docx", "A 11429-2023")</f>
        <v/>
      </c>
      <c r="Y80">
        <f>HYPERLINK("https://klasma.github.io/Logging_0188/tillsynsmail/A 11429-2023 tillsynsbegäran mail.docx", "A 11429-2023")</f>
        <v/>
      </c>
    </row>
    <row r="81" ht="15" customHeight="1">
      <c r="A81" t="inlineStr">
        <is>
          <t>A 6381-2023</t>
        </is>
      </c>
      <c r="B81" s="1" t="n">
        <v>44965</v>
      </c>
      <c r="C81" s="1" t="n">
        <v>46182</v>
      </c>
      <c r="D81" t="inlineStr">
        <is>
          <t>STOCKHOLMS LÄN</t>
        </is>
      </c>
      <c r="E81" t="inlineStr">
        <is>
          <t>NORRTÄLJE</t>
        </is>
      </c>
      <c r="G81" t="n">
        <v>3.5</v>
      </c>
      <c r="H81" t="n">
        <v>1</v>
      </c>
      <c r="I81" t="n">
        <v>1</v>
      </c>
      <c r="J81" t="n">
        <v>0</v>
      </c>
      <c r="K81" t="n">
        <v>0</v>
      </c>
      <c r="L81" t="n">
        <v>0</v>
      </c>
      <c r="M81" t="n">
        <v>0</v>
      </c>
      <c r="N81" t="n">
        <v>0</v>
      </c>
      <c r="O81" t="n">
        <v>0</v>
      </c>
      <c r="P81" t="n">
        <v>0</v>
      </c>
      <c r="Q81" t="n">
        <v>1</v>
      </c>
      <c r="R81" s="2" t="inlineStr">
        <is>
          <t>Guckusko</t>
        </is>
      </c>
      <c r="S81">
        <f>HYPERLINK("https://klasma.github.io/Logging_0188/artfynd/A 6381-2023 artfynd.xlsx", "A 6381-2023")</f>
        <v/>
      </c>
      <c r="T81">
        <f>HYPERLINK("https://klasma.github.io/Logging_0188/kartor/A 6381-2023 karta.png", "A 6381-2023")</f>
        <v/>
      </c>
      <c r="V81">
        <f>HYPERLINK("https://klasma.github.io/Logging_0188/klagomål/A 6381-2023 FSC-klagomål.docx", "A 6381-2023")</f>
        <v/>
      </c>
      <c r="W81">
        <f>HYPERLINK("https://klasma.github.io/Logging_0188/klagomålsmail/A 6381-2023 FSC-klagomål mail.docx", "A 6381-2023")</f>
        <v/>
      </c>
      <c r="X81">
        <f>HYPERLINK("https://klasma.github.io/Logging_0188/tillsyn/A 6381-2023 tillsynsbegäran.docx", "A 6381-2023")</f>
        <v/>
      </c>
      <c r="Y81">
        <f>HYPERLINK("https://klasma.github.io/Logging_0188/tillsynsmail/A 6381-2023 tillsynsbegäran mail.docx", "A 6381-2023")</f>
        <v/>
      </c>
    </row>
    <row r="82" ht="15" customHeight="1">
      <c r="A82" t="inlineStr">
        <is>
          <t>A 4385-2023</t>
        </is>
      </c>
      <c r="B82" s="1" t="n">
        <v>44955.71322916666</v>
      </c>
      <c r="C82" s="1" t="n">
        <v>46182</v>
      </c>
      <c r="D82" t="inlineStr">
        <is>
          <t>STOCKHOLMS LÄN</t>
        </is>
      </c>
      <c r="E82" t="inlineStr">
        <is>
          <t>NORRTÄLJE</t>
        </is>
      </c>
      <c r="G82" t="n">
        <v>7.8</v>
      </c>
      <c r="H82" t="n">
        <v>1</v>
      </c>
      <c r="I82" t="n">
        <v>1</v>
      </c>
      <c r="J82" t="n">
        <v>0</v>
      </c>
      <c r="K82" t="n">
        <v>0</v>
      </c>
      <c r="L82" t="n">
        <v>0</v>
      </c>
      <c r="M82" t="n">
        <v>0</v>
      </c>
      <c r="N82" t="n">
        <v>0</v>
      </c>
      <c r="O82" t="n">
        <v>0</v>
      </c>
      <c r="P82" t="n">
        <v>0</v>
      </c>
      <c r="Q82" t="n">
        <v>1</v>
      </c>
      <c r="R82" s="2" t="inlineStr">
        <is>
          <t>Skogsknipprot</t>
        </is>
      </c>
      <c r="S82">
        <f>HYPERLINK("https://klasma.github.io/Logging_0188/artfynd/A 4385-2023 artfynd.xlsx", "A 4385-2023")</f>
        <v/>
      </c>
      <c r="T82">
        <f>HYPERLINK("https://klasma.github.io/Logging_0188/kartor/A 4385-2023 karta.png", "A 4385-2023")</f>
        <v/>
      </c>
      <c r="V82">
        <f>HYPERLINK("https://klasma.github.io/Logging_0188/klagomål/A 4385-2023 FSC-klagomål.docx", "A 4385-2023")</f>
        <v/>
      </c>
      <c r="W82">
        <f>HYPERLINK("https://klasma.github.io/Logging_0188/klagomålsmail/A 4385-2023 FSC-klagomål mail.docx", "A 4385-2023")</f>
        <v/>
      </c>
      <c r="X82">
        <f>HYPERLINK("https://klasma.github.io/Logging_0188/tillsyn/A 4385-2023 tillsynsbegäran.docx", "A 4385-2023")</f>
        <v/>
      </c>
      <c r="Y82">
        <f>HYPERLINK("https://klasma.github.io/Logging_0188/tillsynsmail/A 4385-2023 tillsynsbegäran mail.docx", "A 4385-2023")</f>
        <v/>
      </c>
    </row>
    <row r="83" ht="15" customHeight="1">
      <c r="A83" t="inlineStr">
        <is>
          <t>A 4860-2022</t>
        </is>
      </c>
      <c r="B83" s="1" t="n">
        <v>44592</v>
      </c>
      <c r="C83" s="1" t="n">
        <v>46182</v>
      </c>
      <c r="D83" t="inlineStr">
        <is>
          <t>STOCKHOLMS LÄN</t>
        </is>
      </c>
      <c r="E83" t="inlineStr">
        <is>
          <t>NORRTÄLJE</t>
        </is>
      </c>
      <c r="G83" t="n">
        <v>22.3</v>
      </c>
      <c r="H83" t="n">
        <v>0</v>
      </c>
      <c r="I83" t="n">
        <v>0</v>
      </c>
      <c r="J83" t="n">
        <v>1</v>
      </c>
      <c r="K83" t="n">
        <v>0</v>
      </c>
      <c r="L83" t="n">
        <v>0</v>
      </c>
      <c r="M83" t="n">
        <v>0</v>
      </c>
      <c r="N83" t="n">
        <v>0</v>
      </c>
      <c r="O83" t="n">
        <v>1</v>
      </c>
      <c r="P83" t="n">
        <v>0</v>
      </c>
      <c r="Q83" t="n">
        <v>1</v>
      </c>
      <c r="R83" s="2" t="inlineStr">
        <is>
          <t>Igelkott</t>
        </is>
      </c>
      <c r="S83">
        <f>HYPERLINK("https://klasma.github.io/Logging_0188/artfynd/A 4860-2022 artfynd.xlsx", "A 4860-2022")</f>
        <v/>
      </c>
      <c r="T83">
        <f>HYPERLINK("https://klasma.github.io/Logging_0188/kartor/A 4860-2022 karta.png", "A 4860-2022")</f>
        <v/>
      </c>
      <c r="V83">
        <f>HYPERLINK("https://klasma.github.io/Logging_0188/klagomål/A 4860-2022 FSC-klagomål.docx", "A 4860-2022")</f>
        <v/>
      </c>
      <c r="W83">
        <f>HYPERLINK("https://klasma.github.io/Logging_0188/klagomålsmail/A 4860-2022 FSC-klagomål mail.docx", "A 4860-2022")</f>
        <v/>
      </c>
      <c r="X83">
        <f>HYPERLINK("https://klasma.github.io/Logging_0188/tillsyn/A 4860-2022 tillsynsbegäran.docx", "A 4860-2022")</f>
        <v/>
      </c>
      <c r="Y83">
        <f>HYPERLINK("https://klasma.github.io/Logging_0188/tillsynsmail/A 4860-2022 tillsynsbegäran mail.docx", "A 4860-2022")</f>
        <v/>
      </c>
    </row>
    <row r="84" ht="15" customHeight="1">
      <c r="A84" t="inlineStr">
        <is>
          <t>A 29946-2025</t>
        </is>
      </c>
      <c r="B84" s="1" t="n">
        <v>45826.46392361111</v>
      </c>
      <c r="C84" s="1" t="n">
        <v>46182</v>
      </c>
      <c r="D84" t="inlineStr">
        <is>
          <t>STOCKHOLMS LÄN</t>
        </is>
      </c>
      <c r="E84" t="inlineStr">
        <is>
          <t>NORRTÄLJE</t>
        </is>
      </c>
      <c r="F84" t="inlineStr">
        <is>
          <t>Holmen skog AB</t>
        </is>
      </c>
      <c r="G84" t="n">
        <v>3.6</v>
      </c>
      <c r="H84" t="n">
        <v>1</v>
      </c>
      <c r="I84" t="n">
        <v>0</v>
      </c>
      <c r="J84" t="n">
        <v>0</v>
      </c>
      <c r="K84" t="n">
        <v>0</v>
      </c>
      <c r="L84" t="n">
        <v>1</v>
      </c>
      <c r="M84" t="n">
        <v>0</v>
      </c>
      <c r="N84" t="n">
        <v>0</v>
      </c>
      <c r="O84" t="n">
        <v>1</v>
      </c>
      <c r="P84" t="n">
        <v>1</v>
      </c>
      <c r="Q84" t="n">
        <v>1</v>
      </c>
      <c r="R84" s="2" t="inlineStr">
        <is>
          <t>Asknätfjäril</t>
        </is>
      </c>
      <c r="S84">
        <f>HYPERLINK("https://klasma.github.io/Logging_0188/artfynd/A 29946-2025 artfynd.xlsx", "A 29946-2025")</f>
        <v/>
      </c>
      <c r="T84">
        <f>HYPERLINK("https://klasma.github.io/Logging_0188/kartor/A 29946-2025 karta.png", "A 29946-2025")</f>
        <v/>
      </c>
      <c r="V84">
        <f>HYPERLINK("https://klasma.github.io/Logging_0188/klagomål/A 29946-2025 FSC-klagomål.docx", "A 29946-2025")</f>
        <v/>
      </c>
      <c r="W84">
        <f>HYPERLINK("https://klasma.github.io/Logging_0188/klagomålsmail/A 29946-2025 FSC-klagomål mail.docx", "A 29946-2025")</f>
        <v/>
      </c>
      <c r="X84">
        <f>HYPERLINK("https://klasma.github.io/Logging_0188/tillsyn/A 29946-2025 tillsynsbegäran.docx", "A 29946-2025")</f>
        <v/>
      </c>
      <c r="Y84">
        <f>HYPERLINK("https://klasma.github.io/Logging_0188/tillsynsmail/A 29946-2025 tillsynsbegäran mail.docx", "A 29946-2025")</f>
        <v/>
      </c>
    </row>
    <row r="85" ht="15" customHeight="1">
      <c r="A85" t="inlineStr">
        <is>
          <t>A 40861-2025</t>
        </is>
      </c>
      <c r="B85" s="1" t="n">
        <v>45897.56356481482</v>
      </c>
      <c r="C85" s="1" t="n">
        <v>46182</v>
      </c>
      <c r="D85" t="inlineStr">
        <is>
          <t>STOCKHOLMS LÄN</t>
        </is>
      </c>
      <c r="E85" t="inlineStr">
        <is>
          <t>NORRTÄLJE</t>
        </is>
      </c>
      <c r="G85" t="n">
        <v>4</v>
      </c>
      <c r="H85" t="n">
        <v>0</v>
      </c>
      <c r="I85" t="n">
        <v>0</v>
      </c>
      <c r="J85" t="n">
        <v>1</v>
      </c>
      <c r="K85" t="n">
        <v>0</v>
      </c>
      <c r="L85" t="n">
        <v>0</v>
      </c>
      <c r="M85" t="n">
        <v>0</v>
      </c>
      <c r="N85" t="n">
        <v>0</v>
      </c>
      <c r="O85" t="n">
        <v>1</v>
      </c>
      <c r="P85" t="n">
        <v>0</v>
      </c>
      <c r="Q85" t="n">
        <v>1</v>
      </c>
      <c r="R85" s="2" t="inlineStr">
        <is>
          <t>Skogsklocka</t>
        </is>
      </c>
      <c r="S85">
        <f>HYPERLINK("https://klasma.github.io/Logging_0188/artfynd/A 40861-2025 artfynd.xlsx", "A 40861-2025")</f>
        <v/>
      </c>
      <c r="T85">
        <f>HYPERLINK("https://klasma.github.io/Logging_0188/kartor/A 40861-2025 karta.png", "A 40861-2025")</f>
        <v/>
      </c>
      <c r="V85">
        <f>HYPERLINK("https://klasma.github.io/Logging_0188/klagomål/A 40861-2025 FSC-klagomål.docx", "A 40861-2025")</f>
        <v/>
      </c>
      <c r="W85">
        <f>HYPERLINK("https://klasma.github.io/Logging_0188/klagomålsmail/A 40861-2025 FSC-klagomål mail.docx", "A 40861-2025")</f>
        <v/>
      </c>
      <c r="X85">
        <f>HYPERLINK("https://klasma.github.io/Logging_0188/tillsyn/A 40861-2025 tillsynsbegäran.docx", "A 40861-2025")</f>
        <v/>
      </c>
      <c r="Y85">
        <f>HYPERLINK("https://klasma.github.io/Logging_0188/tillsynsmail/A 40861-2025 tillsynsbegäran mail.docx", "A 40861-2025")</f>
        <v/>
      </c>
    </row>
    <row r="86" ht="15" customHeight="1">
      <c r="A86" t="inlineStr">
        <is>
          <t>A 19829-2022</t>
        </is>
      </c>
      <c r="B86" s="1" t="n">
        <v>44695.43527777777</v>
      </c>
      <c r="C86" s="1" t="n">
        <v>46182</v>
      </c>
      <c r="D86" t="inlineStr">
        <is>
          <t>STOCKHOLMS LÄN</t>
        </is>
      </c>
      <c r="E86" t="inlineStr">
        <is>
          <t>NORRTÄLJE</t>
        </is>
      </c>
      <c r="G86" t="n">
        <v>2</v>
      </c>
      <c r="H86" t="n">
        <v>1</v>
      </c>
      <c r="I86" t="n">
        <v>1</v>
      </c>
      <c r="J86" t="n">
        <v>0</v>
      </c>
      <c r="K86" t="n">
        <v>0</v>
      </c>
      <c r="L86" t="n">
        <v>0</v>
      </c>
      <c r="M86" t="n">
        <v>0</v>
      </c>
      <c r="N86" t="n">
        <v>0</v>
      </c>
      <c r="O86" t="n">
        <v>0</v>
      </c>
      <c r="P86" t="n">
        <v>0</v>
      </c>
      <c r="Q86" t="n">
        <v>1</v>
      </c>
      <c r="R86" s="2" t="inlineStr">
        <is>
          <t>Guckusko</t>
        </is>
      </c>
      <c r="S86">
        <f>HYPERLINK("https://klasma.github.io/Logging_0188/artfynd/A 19829-2022 artfynd.xlsx", "A 19829-2022")</f>
        <v/>
      </c>
      <c r="T86">
        <f>HYPERLINK("https://klasma.github.io/Logging_0188/kartor/A 19829-2022 karta.png", "A 19829-2022")</f>
        <v/>
      </c>
      <c r="V86">
        <f>HYPERLINK("https://klasma.github.io/Logging_0188/klagomål/A 19829-2022 FSC-klagomål.docx", "A 19829-2022")</f>
        <v/>
      </c>
      <c r="W86">
        <f>HYPERLINK("https://klasma.github.io/Logging_0188/klagomålsmail/A 19829-2022 FSC-klagomål mail.docx", "A 19829-2022")</f>
        <v/>
      </c>
      <c r="X86">
        <f>HYPERLINK("https://klasma.github.io/Logging_0188/tillsyn/A 19829-2022 tillsynsbegäran.docx", "A 19829-2022")</f>
        <v/>
      </c>
      <c r="Y86">
        <f>HYPERLINK("https://klasma.github.io/Logging_0188/tillsynsmail/A 19829-2022 tillsynsbegäran mail.docx", "A 19829-2022")</f>
        <v/>
      </c>
    </row>
    <row r="87" ht="15" customHeight="1">
      <c r="A87" t="inlineStr">
        <is>
          <t>A 42313-2025</t>
        </is>
      </c>
      <c r="B87" s="1" t="n">
        <v>45904.6575</v>
      </c>
      <c r="C87" s="1" t="n">
        <v>46182</v>
      </c>
      <c r="D87" t="inlineStr">
        <is>
          <t>STOCKHOLMS LÄN</t>
        </is>
      </c>
      <c r="E87" t="inlineStr">
        <is>
          <t>NORRTÄLJE</t>
        </is>
      </c>
      <c r="G87" t="n">
        <v>1.7</v>
      </c>
      <c r="H87" t="n">
        <v>1</v>
      </c>
      <c r="I87" t="n">
        <v>0</v>
      </c>
      <c r="J87" t="n">
        <v>0</v>
      </c>
      <c r="K87" t="n">
        <v>0</v>
      </c>
      <c r="L87" t="n">
        <v>0</v>
      </c>
      <c r="M87" t="n">
        <v>0</v>
      </c>
      <c r="N87" t="n">
        <v>0</v>
      </c>
      <c r="O87" t="n">
        <v>0</v>
      </c>
      <c r="P87" t="n">
        <v>0</v>
      </c>
      <c r="Q87" t="n">
        <v>1</v>
      </c>
      <c r="R87" s="2" t="inlineStr">
        <is>
          <t>Vanlig padda</t>
        </is>
      </c>
      <c r="S87">
        <f>HYPERLINK("https://klasma.github.io/Logging_0188/artfynd/A 42313-2025 artfynd.xlsx", "A 42313-2025")</f>
        <v/>
      </c>
      <c r="T87">
        <f>HYPERLINK("https://klasma.github.io/Logging_0188/kartor/A 42313-2025 karta.png", "A 42313-2025")</f>
        <v/>
      </c>
      <c r="V87">
        <f>HYPERLINK("https://klasma.github.io/Logging_0188/klagomål/A 42313-2025 FSC-klagomål.docx", "A 42313-2025")</f>
        <v/>
      </c>
      <c r="W87">
        <f>HYPERLINK("https://klasma.github.io/Logging_0188/klagomålsmail/A 42313-2025 FSC-klagomål mail.docx", "A 42313-2025")</f>
        <v/>
      </c>
      <c r="X87">
        <f>HYPERLINK("https://klasma.github.io/Logging_0188/tillsyn/A 42313-2025 tillsynsbegäran.docx", "A 42313-2025")</f>
        <v/>
      </c>
      <c r="Y87">
        <f>HYPERLINK("https://klasma.github.io/Logging_0188/tillsynsmail/A 42313-2025 tillsynsbegäran mail.docx", "A 42313-2025")</f>
        <v/>
      </c>
    </row>
    <row r="88" ht="15" customHeight="1">
      <c r="A88" t="inlineStr">
        <is>
          <t>A 4595-2023</t>
        </is>
      </c>
      <c r="B88" s="1" t="n">
        <v>44956</v>
      </c>
      <c r="C88" s="1" t="n">
        <v>46182</v>
      </c>
      <c r="D88" t="inlineStr">
        <is>
          <t>STOCKHOLMS LÄN</t>
        </is>
      </c>
      <c r="E88" t="inlineStr">
        <is>
          <t>NORRTÄLJE</t>
        </is>
      </c>
      <c r="G88" t="n">
        <v>0.6</v>
      </c>
      <c r="H88" t="n">
        <v>1</v>
      </c>
      <c r="I88" t="n">
        <v>0</v>
      </c>
      <c r="J88" t="n">
        <v>0</v>
      </c>
      <c r="K88" t="n">
        <v>0</v>
      </c>
      <c r="L88" t="n">
        <v>0</v>
      </c>
      <c r="M88" t="n">
        <v>0</v>
      </c>
      <c r="N88" t="n">
        <v>0</v>
      </c>
      <c r="O88" t="n">
        <v>0</v>
      </c>
      <c r="P88" t="n">
        <v>0</v>
      </c>
      <c r="Q88" t="n">
        <v>1</v>
      </c>
      <c r="R88" s="2" t="inlineStr">
        <is>
          <t>Blåsippa</t>
        </is>
      </c>
      <c r="S88">
        <f>HYPERLINK("https://klasma.github.io/Logging_0188/artfynd/A 4595-2023 artfynd.xlsx", "A 4595-2023")</f>
        <v/>
      </c>
      <c r="T88">
        <f>HYPERLINK("https://klasma.github.io/Logging_0188/kartor/A 4595-2023 karta.png", "A 4595-2023")</f>
        <v/>
      </c>
      <c r="V88">
        <f>HYPERLINK("https://klasma.github.io/Logging_0188/klagomål/A 4595-2023 FSC-klagomål.docx", "A 4595-2023")</f>
        <v/>
      </c>
      <c r="W88">
        <f>HYPERLINK("https://klasma.github.io/Logging_0188/klagomålsmail/A 4595-2023 FSC-klagomål mail.docx", "A 4595-2023")</f>
        <v/>
      </c>
      <c r="X88">
        <f>HYPERLINK("https://klasma.github.io/Logging_0188/tillsyn/A 4595-2023 tillsynsbegäran.docx", "A 4595-2023")</f>
        <v/>
      </c>
      <c r="Y88">
        <f>HYPERLINK("https://klasma.github.io/Logging_0188/tillsynsmail/A 4595-2023 tillsynsbegäran mail.docx", "A 4595-2023")</f>
        <v/>
      </c>
    </row>
    <row r="89" ht="15" customHeight="1">
      <c r="A89" t="inlineStr">
        <is>
          <t>A 24535-2023</t>
        </is>
      </c>
      <c r="B89" s="1" t="n">
        <v>45082</v>
      </c>
      <c r="C89" s="1" t="n">
        <v>46182</v>
      </c>
      <c r="D89" t="inlineStr">
        <is>
          <t>STOCKHOLMS LÄN</t>
        </is>
      </c>
      <c r="E89" t="inlineStr">
        <is>
          <t>NORRTÄLJE</t>
        </is>
      </c>
      <c r="F89" t="inlineStr">
        <is>
          <t>Kommuner</t>
        </is>
      </c>
      <c r="G89" t="n">
        <v>2</v>
      </c>
      <c r="H89" t="n">
        <v>1</v>
      </c>
      <c r="I89" t="n">
        <v>0</v>
      </c>
      <c r="J89" t="n">
        <v>0</v>
      </c>
      <c r="K89" t="n">
        <v>0</v>
      </c>
      <c r="L89" t="n">
        <v>0</v>
      </c>
      <c r="M89" t="n">
        <v>0</v>
      </c>
      <c r="N89" t="n">
        <v>0</v>
      </c>
      <c r="O89" t="n">
        <v>0</v>
      </c>
      <c r="P89" t="n">
        <v>0</v>
      </c>
      <c r="Q89" t="n">
        <v>1</v>
      </c>
      <c r="R89" s="2" t="inlineStr">
        <is>
          <t>Blåsippa</t>
        </is>
      </c>
      <c r="S89">
        <f>HYPERLINK("https://klasma.github.io/Logging_0188/artfynd/A 24535-2023 artfynd.xlsx", "A 24535-2023")</f>
        <v/>
      </c>
      <c r="T89">
        <f>HYPERLINK("https://klasma.github.io/Logging_0188/kartor/A 24535-2023 karta.png", "A 24535-2023")</f>
        <v/>
      </c>
      <c r="V89">
        <f>HYPERLINK("https://klasma.github.io/Logging_0188/klagomål/A 24535-2023 FSC-klagomål.docx", "A 24535-2023")</f>
        <v/>
      </c>
      <c r="W89">
        <f>HYPERLINK("https://klasma.github.io/Logging_0188/klagomålsmail/A 24535-2023 FSC-klagomål mail.docx", "A 24535-2023")</f>
        <v/>
      </c>
      <c r="X89">
        <f>HYPERLINK("https://klasma.github.io/Logging_0188/tillsyn/A 24535-2023 tillsynsbegäran.docx", "A 24535-2023")</f>
        <v/>
      </c>
      <c r="Y89">
        <f>HYPERLINK("https://klasma.github.io/Logging_0188/tillsynsmail/A 24535-2023 tillsynsbegäran mail.docx", "A 24535-2023")</f>
        <v/>
      </c>
    </row>
    <row r="90" ht="15" customHeight="1">
      <c r="A90" t="inlineStr">
        <is>
          <t>A 28816-2023</t>
        </is>
      </c>
      <c r="B90" s="1" t="n">
        <v>45104</v>
      </c>
      <c r="C90" s="1" t="n">
        <v>46182</v>
      </c>
      <c r="D90" t="inlineStr">
        <is>
          <t>STOCKHOLMS LÄN</t>
        </is>
      </c>
      <c r="E90" t="inlineStr">
        <is>
          <t>NORRTÄLJE</t>
        </is>
      </c>
      <c r="F90" t="inlineStr">
        <is>
          <t>Kommuner</t>
        </is>
      </c>
      <c r="G90" t="n">
        <v>0.5</v>
      </c>
      <c r="H90" t="n">
        <v>1</v>
      </c>
      <c r="I90" t="n">
        <v>0</v>
      </c>
      <c r="J90" t="n">
        <v>0</v>
      </c>
      <c r="K90" t="n">
        <v>0</v>
      </c>
      <c r="L90" t="n">
        <v>0</v>
      </c>
      <c r="M90" t="n">
        <v>0</v>
      </c>
      <c r="N90" t="n">
        <v>0</v>
      </c>
      <c r="O90" t="n">
        <v>0</v>
      </c>
      <c r="P90" t="n">
        <v>0</v>
      </c>
      <c r="Q90" t="n">
        <v>1</v>
      </c>
      <c r="R90" s="2" t="inlineStr">
        <is>
          <t>Kungsfågel</t>
        </is>
      </c>
      <c r="S90">
        <f>HYPERLINK("https://klasma.github.io/Logging_0188/artfynd/A 28816-2023 artfynd.xlsx", "A 28816-2023")</f>
        <v/>
      </c>
      <c r="T90">
        <f>HYPERLINK("https://klasma.github.io/Logging_0188/kartor/A 28816-2023 karta.png", "A 28816-2023")</f>
        <v/>
      </c>
      <c r="V90">
        <f>HYPERLINK("https://klasma.github.io/Logging_0188/klagomål/A 28816-2023 FSC-klagomål.docx", "A 28816-2023")</f>
        <v/>
      </c>
      <c r="W90">
        <f>HYPERLINK("https://klasma.github.io/Logging_0188/klagomålsmail/A 28816-2023 FSC-klagomål mail.docx", "A 28816-2023")</f>
        <v/>
      </c>
      <c r="X90">
        <f>HYPERLINK("https://klasma.github.io/Logging_0188/tillsyn/A 28816-2023 tillsynsbegäran.docx", "A 28816-2023")</f>
        <v/>
      </c>
      <c r="Y90">
        <f>HYPERLINK("https://klasma.github.io/Logging_0188/tillsynsmail/A 28816-2023 tillsynsbegäran mail.docx", "A 28816-2023")</f>
        <v/>
      </c>
      <c r="Z90">
        <f>HYPERLINK("https://klasma.github.io/Logging_0188/fåglar/A 28816-2023 prioriterade fågelarter.docx", "A 28816-2023")</f>
        <v/>
      </c>
    </row>
    <row r="91" ht="15" customHeight="1">
      <c r="A91" t="inlineStr">
        <is>
          <t>A 31281-2022</t>
        </is>
      </c>
      <c r="B91" s="1" t="n">
        <v>44771</v>
      </c>
      <c r="C91" s="1" t="n">
        <v>46182</v>
      </c>
      <c r="D91" t="inlineStr">
        <is>
          <t>STOCKHOLMS LÄN</t>
        </is>
      </c>
      <c r="E91" t="inlineStr">
        <is>
          <t>NORRTÄLJE</t>
        </is>
      </c>
      <c r="F91" t="inlineStr">
        <is>
          <t>Holmen skog AB</t>
        </is>
      </c>
      <c r="G91" t="n">
        <v>5.2</v>
      </c>
      <c r="H91" t="n">
        <v>1</v>
      </c>
      <c r="I91" t="n">
        <v>0</v>
      </c>
      <c r="J91" t="n">
        <v>1</v>
      </c>
      <c r="K91" t="n">
        <v>0</v>
      </c>
      <c r="L91" t="n">
        <v>0</v>
      </c>
      <c r="M91" t="n">
        <v>0</v>
      </c>
      <c r="N91" t="n">
        <v>0</v>
      </c>
      <c r="O91" t="n">
        <v>1</v>
      </c>
      <c r="P91" t="n">
        <v>0</v>
      </c>
      <c r="Q91" t="n">
        <v>1</v>
      </c>
      <c r="R91" s="2" t="inlineStr">
        <is>
          <t>Kråka</t>
        </is>
      </c>
      <c r="S91">
        <f>HYPERLINK("https://klasma.github.io/Logging_0188/artfynd/A 31281-2022 artfynd.xlsx", "A 31281-2022")</f>
        <v/>
      </c>
      <c r="T91">
        <f>HYPERLINK("https://klasma.github.io/Logging_0188/kartor/A 31281-2022 karta.png", "A 31281-2022")</f>
        <v/>
      </c>
      <c r="V91">
        <f>HYPERLINK("https://klasma.github.io/Logging_0188/klagomål/A 31281-2022 FSC-klagomål.docx", "A 31281-2022")</f>
        <v/>
      </c>
      <c r="W91">
        <f>HYPERLINK("https://klasma.github.io/Logging_0188/klagomålsmail/A 31281-2022 FSC-klagomål mail.docx", "A 31281-2022")</f>
        <v/>
      </c>
      <c r="X91">
        <f>HYPERLINK("https://klasma.github.io/Logging_0188/tillsyn/A 31281-2022 tillsynsbegäran.docx", "A 31281-2022")</f>
        <v/>
      </c>
      <c r="Y91">
        <f>HYPERLINK("https://klasma.github.io/Logging_0188/tillsynsmail/A 31281-2022 tillsynsbegäran mail.docx", "A 31281-2022")</f>
        <v/>
      </c>
      <c r="Z91">
        <f>HYPERLINK("https://klasma.github.io/Logging_0188/fåglar/A 31281-2022 prioriterade fågelarter.docx", "A 31281-2022")</f>
        <v/>
      </c>
    </row>
    <row r="92" ht="15" customHeight="1">
      <c r="A92" t="inlineStr">
        <is>
          <t>A 4532-2025</t>
        </is>
      </c>
      <c r="B92" s="1" t="n">
        <v>45687.34177083334</v>
      </c>
      <c r="C92" s="1" t="n">
        <v>46182</v>
      </c>
      <c r="D92" t="inlineStr">
        <is>
          <t>STOCKHOLMS LÄN</t>
        </is>
      </c>
      <c r="E92" t="inlineStr">
        <is>
          <t>NORRTÄLJE</t>
        </is>
      </c>
      <c r="F92" t="inlineStr">
        <is>
          <t>Holmen skog AB</t>
        </is>
      </c>
      <c r="G92" t="n">
        <v>6.4</v>
      </c>
      <c r="H92" t="n">
        <v>1</v>
      </c>
      <c r="I92" t="n">
        <v>0</v>
      </c>
      <c r="J92" t="n">
        <v>0</v>
      </c>
      <c r="K92" t="n">
        <v>0</v>
      </c>
      <c r="L92" t="n">
        <v>1</v>
      </c>
      <c r="M92" t="n">
        <v>0</v>
      </c>
      <c r="N92" t="n">
        <v>0</v>
      </c>
      <c r="O92" t="n">
        <v>1</v>
      </c>
      <c r="P92" t="n">
        <v>1</v>
      </c>
      <c r="Q92" t="n">
        <v>1</v>
      </c>
      <c r="R92" s="2" t="inlineStr">
        <is>
          <t>Asknätfjäril</t>
        </is>
      </c>
      <c r="S92">
        <f>HYPERLINK("https://klasma.github.io/Logging_0188/artfynd/A 4532-2025 artfynd.xlsx", "A 4532-2025")</f>
        <v/>
      </c>
      <c r="T92">
        <f>HYPERLINK("https://klasma.github.io/Logging_0188/kartor/A 4532-2025 karta.png", "A 4532-2025")</f>
        <v/>
      </c>
      <c r="V92">
        <f>HYPERLINK("https://klasma.github.io/Logging_0188/klagomål/A 4532-2025 FSC-klagomål.docx", "A 4532-2025")</f>
        <v/>
      </c>
      <c r="W92">
        <f>HYPERLINK("https://klasma.github.io/Logging_0188/klagomålsmail/A 4532-2025 FSC-klagomål mail.docx", "A 4532-2025")</f>
        <v/>
      </c>
      <c r="X92">
        <f>HYPERLINK("https://klasma.github.io/Logging_0188/tillsyn/A 4532-2025 tillsynsbegäran.docx", "A 4532-2025")</f>
        <v/>
      </c>
      <c r="Y92">
        <f>HYPERLINK("https://klasma.github.io/Logging_0188/tillsynsmail/A 4532-2025 tillsynsbegäran mail.docx", "A 4532-2025")</f>
        <v/>
      </c>
    </row>
    <row r="93" ht="15" customHeight="1">
      <c r="A93" t="inlineStr">
        <is>
          <t>A 35691-2023</t>
        </is>
      </c>
      <c r="B93" s="1" t="n">
        <v>45147.65222222222</v>
      </c>
      <c r="C93" s="1" t="n">
        <v>46182</v>
      </c>
      <c r="D93" t="inlineStr">
        <is>
          <t>STOCKHOLMS LÄN</t>
        </is>
      </c>
      <c r="E93" t="inlineStr">
        <is>
          <t>NORRTÄLJE</t>
        </is>
      </c>
      <c r="G93" t="n">
        <v>2.3</v>
      </c>
      <c r="H93" t="n">
        <v>1</v>
      </c>
      <c r="I93" t="n">
        <v>0</v>
      </c>
      <c r="J93" t="n">
        <v>0</v>
      </c>
      <c r="K93" t="n">
        <v>0</v>
      </c>
      <c r="L93" t="n">
        <v>0</v>
      </c>
      <c r="M93" t="n">
        <v>0</v>
      </c>
      <c r="N93" t="n">
        <v>0</v>
      </c>
      <c r="O93" t="n">
        <v>0</v>
      </c>
      <c r="P93" t="n">
        <v>0</v>
      </c>
      <c r="Q93" t="n">
        <v>1</v>
      </c>
      <c r="R93" s="2" t="inlineStr">
        <is>
          <t>Kungsfågel</t>
        </is>
      </c>
      <c r="S93">
        <f>HYPERLINK("https://klasma.github.io/Logging_0188/artfynd/A 35691-2023 artfynd.xlsx", "A 35691-2023")</f>
        <v/>
      </c>
      <c r="T93">
        <f>HYPERLINK("https://klasma.github.io/Logging_0188/kartor/A 35691-2023 karta.png", "A 35691-2023")</f>
        <v/>
      </c>
      <c r="V93">
        <f>HYPERLINK("https://klasma.github.io/Logging_0188/klagomål/A 35691-2023 FSC-klagomål.docx", "A 35691-2023")</f>
        <v/>
      </c>
      <c r="W93">
        <f>HYPERLINK("https://klasma.github.io/Logging_0188/klagomålsmail/A 35691-2023 FSC-klagomål mail.docx", "A 35691-2023")</f>
        <v/>
      </c>
      <c r="X93">
        <f>HYPERLINK("https://klasma.github.io/Logging_0188/tillsyn/A 35691-2023 tillsynsbegäran.docx", "A 35691-2023")</f>
        <v/>
      </c>
      <c r="Y93">
        <f>HYPERLINK("https://klasma.github.io/Logging_0188/tillsynsmail/A 35691-2023 tillsynsbegäran mail.docx", "A 35691-2023")</f>
        <v/>
      </c>
      <c r="Z93">
        <f>HYPERLINK("https://klasma.github.io/Logging_0188/fåglar/A 35691-2023 prioriterade fågelarter.docx", "A 35691-2023")</f>
        <v/>
      </c>
    </row>
    <row r="94" ht="15" customHeight="1">
      <c r="A94" t="inlineStr">
        <is>
          <t>A 35693-2023</t>
        </is>
      </c>
      <c r="B94" s="1" t="n">
        <v>45147.65311342593</v>
      </c>
      <c r="C94" s="1" t="n">
        <v>46182</v>
      </c>
      <c r="D94" t="inlineStr">
        <is>
          <t>STOCKHOLMS LÄN</t>
        </is>
      </c>
      <c r="E94" t="inlineStr">
        <is>
          <t>NORRTÄLJE</t>
        </is>
      </c>
      <c r="G94" t="n">
        <v>2.2</v>
      </c>
      <c r="H94" t="n">
        <v>0</v>
      </c>
      <c r="I94" t="n">
        <v>0</v>
      </c>
      <c r="J94" t="n">
        <v>1</v>
      </c>
      <c r="K94" t="n">
        <v>0</v>
      </c>
      <c r="L94" t="n">
        <v>0</v>
      </c>
      <c r="M94" t="n">
        <v>0</v>
      </c>
      <c r="N94" t="n">
        <v>0</v>
      </c>
      <c r="O94" t="n">
        <v>1</v>
      </c>
      <c r="P94" t="n">
        <v>0</v>
      </c>
      <c r="Q94" t="n">
        <v>1</v>
      </c>
      <c r="R94" s="2" t="inlineStr">
        <is>
          <t>Motaggsvamp</t>
        </is>
      </c>
      <c r="S94">
        <f>HYPERLINK("https://klasma.github.io/Logging_0188/artfynd/A 35693-2023 artfynd.xlsx", "A 35693-2023")</f>
        <v/>
      </c>
      <c r="T94">
        <f>HYPERLINK("https://klasma.github.io/Logging_0188/kartor/A 35693-2023 karta.png", "A 35693-2023")</f>
        <v/>
      </c>
      <c r="V94">
        <f>HYPERLINK("https://klasma.github.io/Logging_0188/klagomål/A 35693-2023 FSC-klagomål.docx", "A 35693-2023")</f>
        <v/>
      </c>
      <c r="W94">
        <f>HYPERLINK("https://klasma.github.io/Logging_0188/klagomålsmail/A 35693-2023 FSC-klagomål mail.docx", "A 35693-2023")</f>
        <v/>
      </c>
      <c r="X94">
        <f>HYPERLINK("https://klasma.github.io/Logging_0188/tillsyn/A 35693-2023 tillsynsbegäran.docx", "A 35693-2023")</f>
        <v/>
      </c>
      <c r="Y94">
        <f>HYPERLINK("https://klasma.github.io/Logging_0188/tillsynsmail/A 35693-2023 tillsynsbegäran mail.docx", "A 35693-2023")</f>
        <v/>
      </c>
    </row>
    <row r="95" ht="15" customHeight="1">
      <c r="A95" t="inlineStr">
        <is>
          <t>A 8371-2025</t>
        </is>
      </c>
      <c r="B95" s="1" t="n">
        <v>45708</v>
      </c>
      <c r="C95" s="1" t="n">
        <v>46182</v>
      </c>
      <c r="D95" t="inlineStr">
        <is>
          <t>STOCKHOLMS LÄN</t>
        </is>
      </c>
      <c r="E95" t="inlineStr">
        <is>
          <t>NORRTÄLJE</t>
        </is>
      </c>
      <c r="F95" t="inlineStr">
        <is>
          <t>Övriga Aktiebolag</t>
        </is>
      </c>
      <c r="G95" t="n">
        <v>2.9</v>
      </c>
      <c r="H95" t="n">
        <v>1</v>
      </c>
      <c r="I95" t="n">
        <v>0</v>
      </c>
      <c r="J95" t="n">
        <v>1</v>
      </c>
      <c r="K95" t="n">
        <v>0</v>
      </c>
      <c r="L95" t="n">
        <v>0</v>
      </c>
      <c r="M95" t="n">
        <v>0</v>
      </c>
      <c r="N95" t="n">
        <v>0</v>
      </c>
      <c r="O95" t="n">
        <v>1</v>
      </c>
      <c r="P95" t="n">
        <v>0</v>
      </c>
      <c r="Q95" t="n">
        <v>1</v>
      </c>
      <c r="R95" s="2" t="inlineStr">
        <is>
          <t>Spillkråka</t>
        </is>
      </c>
      <c r="S95">
        <f>HYPERLINK("https://klasma.github.io/Logging_0188/artfynd/A 8371-2025 artfynd.xlsx", "A 8371-2025")</f>
        <v/>
      </c>
      <c r="T95">
        <f>HYPERLINK("https://klasma.github.io/Logging_0188/kartor/A 8371-2025 karta.png", "A 8371-2025")</f>
        <v/>
      </c>
      <c r="V95">
        <f>HYPERLINK("https://klasma.github.io/Logging_0188/klagomål/A 8371-2025 FSC-klagomål.docx", "A 8371-2025")</f>
        <v/>
      </c>
      <c r="W95">
        <f>HYPERLINK("https://klasma.github.io/Logging_0188/klagomålsmail/A 8371-2025 FSC-klagomål mail.docx", "A 8371-2025")</f>
        <v/>
      </c>
      <c r="X95">
        <f>HYPERLINK("https://klasma.github.io/Logging_0188/tillsyn/A 8371-2025 tillsynsbegäran.docx", "A 8371-2025")</f>
        <v/>
      </c>
      <c r="Y95">
        <f>HYPERLINK("https://klasma.github.io/Logging_0188/tillsynsmail/A 8371-2025 tillsynsbegäran mail.docx", "A 8371-2025")</f>
        <v/>
      </c>
      <c r="Z95">
        <f>HYPERLINK("https://klasma.github.io/Logging_0188/fåglar/A 8371-2025 prioriterade fågelarter.docx", "A 8371-2025")</f>
        <v/>
      </c>
    </row>
    <row r="96" ht="15" customHeight="1">
      <c r="A96" t="inlineStr">
        <is>
          <t>A 364-2026</t>
        </is>
      </c>
      <c r="B96" s="1" t="n">
        <v>46027.67134259259</v>
      </c>
      <c r="C96" s="1" t="n">
        <v>46182</v>
      </c>
      <c r="D96" t="inlineStr">
        <is>
          <t>STOCKHOLMS LÄN</t>
        </is>
      </c>
      <c r="E96" t="inlineStr">
        <is>
          <t>NORRTÄLJE</t>
        </is>
      </c>
      <c r="F96" t="inlineStr">
        <is>
          <t>Holmen skog AB</t>
        </is>
      </c>
      <c r="G96" t="n">
        <v>4.3</v>
      </c>
      <c r="H96" t="n">
        <v>1</v>
      </c>
      <c r="I96" t="n">
        <v>0</v>
      </c>
      <c r="J96" t="n">
        <v>0</v>
      </c>
      <c r="K96" t="n">
        <v>0</v>
      </c>
      <c r="L96" t="n">
        <v>1</v>
      </c>
      <c r="M96" t="n">
        <v>0</v>
      </c>
      <c r="N96" t="n">
        <v>0</v>
      </c>
      <c r="O96" t="n">
        <v>1</v>
      </c>
      <c r="P96" t="n">
        <v>1</v>
      </c>
      <c r="Q96" t="n">
        <v>1</v>
      </c>
      <c r="R96" s="2" t="inlineStr">
        <is>
          <t>Asknätfjäril</t>
        </is>
      </c>
      <c r="S96">
        <f>HYPERLINK("https://klasma.github.io/Logging_0188/artfynd/A 364-2026 artfynd.xlsx", "A 364-2026")</f>
        <v/>
      </c>
      <c r="T96">
        <f>HYPERLINK("https://klasma.github.io/Logging_0188/kartor/A 364-2026 karta.png", "A 364-2026")</f>
        <v/>
      </c>
      <c r="V96">
        <f>HYPERLINK("https://klasma.github.io/Logging_0188/klagomål/A 364-2026 FSC-klagomål.docx", "A 364-2026")</f>
        <v/>
      </c>
      <c r="W96">
        <f>HYPERLINK("https://klasma.github.io/Logging_0188/klagomålsmail/A 364-2026 FSC-klagomål mail.docx", "A 364-2026")</f>
        <v/>
      </c>
      <c r="X96">
        <f>HYPERLINK("https://klasma.github.io/Logging_0188/tillsyn/A 364-2026 tillsynsbegäran.docx", "A 364-2026")</f>
        <v/>
      </c>
      <c r="Y96">
        <f>HYPERLINK("https://klasma.github.io/Logging_0188/tillsynsmail/A 364-2026 tillsynsbegäran mail.docx", "A 364-2026")</f>
        <v/>
      </c>
    </row>
    <row r="97" ht="15" customHeight="1">
      <c r="A97" t="inlineStr">
        <is>
          <t>A 50854-2022</t>
        </is>
      </c>
      <c r="B97" s="1" t="n">
        <v>44863</v>
      </c>
      <c r="C97" s="1" t="n">
        <v>46182</v>
      </c>
      <c r="D97" t="inlineStr">
        <is>
          <t>STOCKHOLMS LÄN</t>
        </is>
      </c>
      <c r="E97" t="inlineStr">
        <is>
          <t>NORRTÄLJE</t>
        </is>
      </c>
      <c r="G97" t="n">
        <v>2.9</v>
      </c>
      <c r="H97" t="n">
        <v>0</v>
      </c>
      <c r="I97" t="n">
        <v>1</v>
      </c>
      <c r="J97" t="n">
        <v>0</v>
      </c>
      <c r="K97" t="n">
        <v>0</v>
      </c>
      <c r="L97" t="n">
        <v>0</v>
      </c>
      <c r="M97" t="n">
        <v>0</v>
      </c>
      <c r="N97" t="n">
        <v>0</v>
      </c>
      <c r="O97" t="n">
        <v>0</v>
      </c>
      <c r="P97" t="n">
        <v>0</v>
      </c>
      <c r="Q97" t="n">
        <v>1</v>
      </c>
      <c r="R97" s="2" t="inlineStr">
        <is>
          <t>Tibast</t>
        </is>
      </c>
      <c r="S97">
        <f>HYPERLINK("https://klasma.github.io/Logging_0188/artfynd/A 50854-2022 artfynd.xlsx", "A 50854-2022")</f>
        <v/>
      </c>
      <c r="T97">
        <f>HYPERLINK("https://klasma.github.io/Logging_0188/kartor/A 50854-2022 karta.png", "A 50854-2022")</f>
        <v/>
      </c>
      <c r="V97">
        <f>HYPERLINK("https://klasma.github.io/Logging_0188/klagomål/A 50854-2022 FSC-klagomål.docx", "A 50854-2022")</f>
        <v/>
      </c>
      <c r="W97">
        <f>HYPERLINK("https://klasma.github.io/Logging_0188/klagomålsmail/A 50854-2022 FSC-klagomål mail.docx", "A 50854-2022")</f>
        <v/>
      </c>
      <c r="X97">
        <f>HYPERLINK("https://klasma.github.io/Logging_0188/tillsyn/A 50854-2022 tillsynsbegäran.docx", "A 50854-2022")</f>
        <v/>
      </c>
      <c r="Y97">
        <f>HYPERLINK("https://klasma.github.io/Logging_0188/tillsynsmail/A 50854-2022 tillsynsbegäran mail.docx", "A 50854-2022")</f>
        <v/>
      </c>
    </row>
    <row r="98" ht="15" customHeight="1">
      <c r="A98" t="inlineStr">
        <is>
          <t>A 52508-2023</t>
        </is>
      </c>
      <c r="B98" s="1" t="n">
        <v>45225</v>
      </c>
      <c r="C98" s="1" t="n">
        <v>46182</v>
      </c>
      <c r="D98" t="inlineStr">
        <is>
          <t>STOCKHOLMS LÄN</t>
        </is>
      </c>
      <c r="E98" t="inlineStr">
        <is>
          <t>NORRTÄLJE</t>
        </is>
      </c>
      <c r="G98" t="n">
        <v>19.7</v>
      </c>
      <c r="H98" t="n">
        <v>1</v>
      </c>
      <c r="I98" t="n">
        <v>0</v>
      </c>
      <c r="J98" t="n">
        <v>0</v>
      </c>
      <c r="K98" t="n">
        <v>1</v>
      </c>
      <c r="L98" t="n">
        <v>0</v>
      </c>
      <c r="M98" t="n">
        <v>0</v>
      </c>
      <c r="N98" t="n">
        <v>0</v>
      </c>
      <c r="O98" t="n">
        <v>1</v>
      </c>
      <c r="P98" t="n">
        <v>1</v>
      </c>
      <c r="Q98" t="n">
        <v>1</v>
      </c>
      <c r="R98" s="2" t="inlineStr">
        <is>
          <t>Svärta</t>
        </is>
      </c>
      <c r="S98">
        <f>HYPERLINK("https://klasma.github.io/Logging_0188/artfynd/A 52508-2023 artfynd.xlsx", "A 52508-2023")</f>
        <v/>
      </c>
      <c r="T98">
        <f>HYPERLINK("https://klasma.github.io/Logging_0188/kartor/A 52508-2023 karta.png", "A 52508-2023")</f>
        <v/>
      </c>
      <c r="V98">
        <f>HYPERLINK("https://klasma.github.io/Logging_0188/klagomål/A 52508-2023 FSC-klagomål.docx", "A 52508-2023")</f>
        <v/>
      </c>
      <c r="W98">
        <f>HYPERLINK("https://klasma.github.io/Logging_0188/klagomålsmail/A 52508-2023 FSC-klagomål mail.docx", "A 52508-2023")</f>
        <v/>
      </c>
      <c r="X98">
        <f>HYPERLINK("https://klasma.github.io/Logging_0188/tillsyn/A 52508-2023 tillsynsbegäran.docx", "A 52508-2023")</f>
        <v/>
      </c>
      <c r="Y98">
        <f>HYPERLINK("https://klasma.github.io/Logging_0188/tillsynsmail/A 52508-2023 tillsynsbegäran mail.docx", "A 52508-2023")</f>
        <v/>
      </c>
    </row>
    <row r="99" ht="15" customHeight="1">
      <c r="A99" t="inlineStr">
        <is>
          <t>A 26120-2024</t>
        </is>
      </c>
      <c r="B99" s="1" t="n">
        <v>45468.45995370371</v>
      </c>
      <c r="C99" s="1" t="n">
        <v>46182</v>
      </c>
      <c r="D99" t="inlineStr">
        <is>
          <t>STOCKHOLMS LÄN</t>
        </is>
      </c>
      <c r="E99" t="inlineStr">
        <is>
          <t>NORRTÄLJE</t>
        </is>
      </c>
      <c r="G99" t="n">
        <v>1.8</v>
      </c>
      <c r="H99" t="n">
        <v>0</v>
      </c>
      <c r="I99" t="n">
        <v>0</v>
      </c>
      <c r="J99" t="n">
        <v>1</v>
      </c>
      <c r="K99" t="n">
        <v>0</v>
      </c>
      <c r="L99" t="n">
        <v>0</v>
      </c>
      <c r="M99" t="n">
        <v>0</v>
      </c>
      <c r="N99" t="n">
        <v>0</v>
      </c>
      <c r="O99" t="n">
        <v>1</v>
      </c>
      <c r="P99" t="n">
        <v>0</v>
      </c>
      <c r="Q99" t="n">
        <v>1</v>
      </c>
      <c r="R99" s="2" t="inlineStr">
        <is>
          <t>Majviva</t>
        </is>
      </c>
      <c r="S99">
        <f>HYPERLINK("https://klasma.github.io/Logging_0188/artfynd/A 26120-2024 artfynd.xlsx", "A 26120-2024")</f>
        <v/>
      </c>
      <c r="T99">
        <f>HYPERLINK("https://klasma.github.io/Logging_0188/kartor/A 26120-2024 karta.png", "A 26120-2024")</f>
        <v/>
      </c>
      <c r="V99">
        <f>HYPERLINK("https://klasma.github.io/Logging_0188/klagomål/A 26120-2024 FSC-klagomål.docx", "A 26120-2024")</f>
        <v/>
      </c>
      <c r="W99">
        <f>HYPERLINK("https://klasma.github.io/Logging_0188/klagomålsmail/A 26120-2024 FSC-klagomål mail.docx", "A 26120-2024")</f>
        <v/>
      </c>
      <c r="X99">
        <f>HYPERLINK("https://klasma.github.io/Logging_0188/tillsyn/A 26120-2024 tillsynsbegäran.docx", "A 26120-2024")</f>
        <v/>
      </c>
      <c r="Y99">
        <f>HYPERLINK("https://klasma.github.io/Logging_0188/tillsynsmail/A 26120-2024 tillsynsbegäran mail.docx", "A 26120-2024")</f>
        <v/>
      </c>
    </row>
    <row r="100" ht="15" customHeight="1">
      <c r="A100" t="inlineStr">
        <is>
          <t>A 52775-2025</t>
        </is>
      </c>
      <c r="B100" s="1" t="n">
        <v>45957.41608796296</v>
      </c>
      <c r="C100" s="1" t="n">
        <v>46182</v>
      </c>
      <c r="D100" t="inlineStr">
        <is>
          <t>STOCKHOLMS LÄN</t>
        </is>
      </c>
      <c r="E100" t="inlineStr">
        <is>
          <t>NORRTÄLJE</t>
        </is>
      </c>
      <c r="F100" t="inlineStr">
        <is>
          <t>Sveaskog</t>
        </is>
      </c>
      <c r="G100" t="n">
        <v>5.6</v>
      </c>
      <c r="H100" t="n">
        <v>0</v>
      </c>
      <c r="I100" t="n">
        <v>0</v>
      </c>
      <c r="J100" t="n">
        <v>1</v>
      </c>
      <c r="K100" t="n">
        <v>0</v>
      </c>
      <c r="L100" t="n">
        <v>0</v>
      </c>
      <c r="M100" t="n">
        <v>0</v>
      </c>
      <c r="N100" t="n">
        <v>0</v>
      </c>
      <c r="O100" t="n">
        <v>1</v>
      </c>
      <c r="P100" t="n">
        <v>0</v>
      </c>
      <c r="Q100" t="n">
        <v>1</v>
      </c>
      <c r="R100" s="2" t="inlineStr">
        <is>
          <t>Vedtrappmossa</t>
        </is>
      </c>
      <c r="S100">
        <f>HYPERLINK("https://klasma.github.io/Logging_0188/artfynd/A 52775-2025 artfynd.xlsx", "A 52775-2025")</f>
        <v/>
      </c>
      <c r="T100">
        <f>HYPERLINK("https://klasma.github.io/Logging_0188/kartor/A 52775-2025 karta.png", "A 52775-2025")</f>
        <v/>
      </c>
      <c r="V100">
        <f>HYPERLINK("https://klasma.github.io/Logging_0188/klagomål/A 52775-2025 FSC-klagomål.docx", "A 52775-2025")</f>
        <v/>
      </c>
      <c r="W100">
        <f>HYPERLINK("https://klasma.github.io/Logging_0188/klagomålsmail/A 52775-2025 FSC-klagomål mail.docx", "A 52775-2025")</f>
        <v/>
      </c>
      <c r="X100">
        <f>HYPERLINK("https://klasma.github.io/Logging_0188/tillsyn/A 52775-2025 tillsynsbegäran.docx", "A 52775-2025")</f>
        <v/>
      </c>
      <c r="Y100">
        <f>HYPERLINK("https://klasma.github.io/Logging_0188/tillsynsmail/A 52775-2025 tillsynsbegäran mail.docx", "A 52775-2025")</f>
        <v/>
      </c>
    </row>
    <row r="101" ht="15" customHeight="1">
      <c r="A101" t="inlineStr">
        <is>
          <t>A 53716-2025</t>
        </is>
      </c>
      <c r="B101" s="1" t="n">
        <v>45960.61782407408</v>
      </c>
      <c r="C101" s="1" t="n">
        <v>46182</v>
      </c>
      <c r="D101" t="inlineStr">
        <is>
          <t>STOCKHOLMS LÄN</t>
        </is>
      </c>
      <c r="E101" t="inlineStr">
        <is>
          <t>NORRTÄLJE</t>
        </is>
      </c>
      <c r="G101" t="n">
        <v>3.4</v>
      </c>
      <c r="H101" t="n">
        <v>0</v>
      </c>
      <c r="I101" t="n">
        <v>0</v>
      </c>
      <c r="J101" t="n">
        <v>0</v>
      </c>
      <c r="K101" t="n">
        <v>0</v>
      </c>
      <c r="L101" t="n">
        <v>1</v>
      </c>
      <c r="M101" t="n">
        <v>0</v>
      </c>
      <c r="N101" t="n">
        <v>0</v>
      </c>
      <c r="O101" t="n">
        <v>1</v>
      </c>
      <c r="P101" t="n">
        <v>1</v>
      </c>
      <c r="Q101" t="n">
        <v>1</v>
      </c>
      <c r="R101" s="2" t="inlineStr">
        <is>
          <t>Fältgentiana</t>
        </is>
      </c>
      <c r="S101">
        <f>HYPERLINK("https://klasma.github.io/Logging_0188/artfynd/A 53716-2025 artfynd.xlsx", "A 53716-2025")</f>
        <v/>
      </c>
      <c r="T101">
        <f>HYPERLINK("https://klasma.github.io/Logging_0188/kartor/A 53716-2025 karta.png", "A 53716-2025")</f>
        <v/>
      </c>
      <c r="V101">
        <f>HYPERLINK("https://klasma.github.io/Logging_0188/klagomål/A 53716-2025 FSC-klagomål.docx", "A 53716-2025")</f>
        <v/>
      </c>
      <c r="W101">
        <f>HYPERLINK("https://klasma.github.io/Logging_0188/klagomålsmail/A 53716-2025 FSC-klagomål mail.docx", "A 53716-2025")</f>
        <v/>
      </c>
      <c r="X101">
        <f>HYPERLINK("https://klasma.github.io/Logging_0188/tillsyn/A 53716-2025 tillsynsbegäran.docx", "A 53716-2025")</f>
        <v/>
      </c>
      <c r="Y101">
        <f>HYPERLINK("https://klasma.github.io/Logging_0188/tillsynsmail/A 53716-2025 tillsynsbegäran mail.docx", "A 53716-2025")</f>
        <v/>
      </c>
    </row>
    <row r="102" ht="15" customHeight="1">
      <c r="A102" t="inlineStr">
        <is>
          <t>A 64456-2023</t>
        </is>
      </c>
      <c r="B102" s="1" t="n">
        <v>45280</v>
      </c>
      <c r="C102" s="1" t="n">
        <v>46182</v>
      </c>
      <c r="D102" t="inlineStr">
        <is>
          <t>STOCKHOLMS LÄN</t>
        </is>
      </c>
      <c r="E102" t="inlineStr">
        <is>
          <t>NORRTÄLJE</t>
        </is>
      </c>
      <c r="G102" t="n">
        <v>2.5</v>
      </c>
      <c r="H102" t="n">
        <v>0</v>
      </c>
      <c r="I102" t="n">
        <v>1</v>
      </c>
      <c r="J102" t="n">
        <v>0</v>
      </c>
      <c r="K102" t="n">
        <v>0</v>
      </c>
      <c r="L102" t="n">
        <v>0</v>
      </c>
      <c r="M102" t="n">
        <v>0</v>
      </c>
      <c r="N102" t="n">
        <v>0</v>
      </c>
      <c r="O102" t="n">
        <v>0</v>
      </c>
      <c r="P102" t="n">
        <v>0</v>
      </c>
      <c r="Q102" t="n">
        <v>1</v>
      </c>
      <c r="R102" s="2" t="inlineStr">
        <is>
          <t>Rödgul trumpetsvamp</t>
        </is>
      </c>
      <c r="S102">
        <f>HYPERLINK("https://klasma.github.io/Logging_0188/artfynd/A 64456-2023 artfynd.xlsx", "A 64456-2023")</f>
        <v/>
      </c>
      <c r="T102">
        <f>HYPERLINK("https://klasma.github.io/Logging_0188/kartor/A 64456-2023 karta.png", "A 64456-2023")</f>
        <v/>
      </c>
      <c r="V102">
        <f>HYPERLINK("https://klasma.github.io/Logging_0188/klagomål/A 64456-2023 FSC-klagomål.docx", "A 64456-2023")</f>
        <v/>
      </c>
      <c r="W102">
        <f>HYPERLINK("https://klasma.github.io/Logging_0188/klagomålsmail/A 64456-2023 FSC-klagomål mail.docx", "A 64456-2023")</f>
        <v/>
      </c>
      <c r="X102">
        <f>HYPERLINK("https://klasma.github.io/Logging_0188/tillsyn/A 64456-2023 tillsynsbegäran.docx", "A 64456-2023")</f>
        <v/>
      </c>
      <c r="Y102">
        <f>HYPERLINK("https://klasma.github.io/Logging_0188/tillsynsmail/A 64456-2023 tillsynsbegäran mail.docx", "A 64456-2023")</f>
        <v/>
      </c>
    </row>
    <row r="103" ht="15" customHeight="1">
      <c r="A103" t="inlineStr">
        <is>
          <t>A 27827-2022</t>
        </is>
      </c>
      <c r="B103" s="1" t="n">
        <v>44743.59504629629</v>
      </c>
      <c r="C103" s="1" t="n">
        <v>46182</v>
      </c>
      <c r="D103" t="inlineStr">
        <is>
          <t>STOCKHOLMS LÄN</t>
        </is>
      </c>
      <c r="E103" t="inlineStr">
        <is>
          <t>NORRTÄLJE</t>
        </is>
      </c>
      <c r="F103" t="inlineStr">
        <is>
          <t>Holmen skog AB</t>
        </is>
      </c>
      <c r="G103" t="n">
        <v>4.7</v>
      </c>
      <c r="H103" t="n">
        <v>1</v>
      </c>
      <c r="I103" t="n">
        <v>0</v>
      </c>
      <c r="J103" t="n">
        <v>1</v>
      </c>
      <c r="K103" t="n">
        <v>0</v>
      </c>
      <c r="L103" t="n">
        <v>0</v>
      </c>
      <c r="M103" t="n">
        <v>0</v>
      </c>
      <c r="N103" t="n">
        <v>0</v>
      </c>
      <c r="O103" t="n">
        <v>1</v>
      </c>
      <c r="P103" t="n">
        <v>0</v>
      </c>
      <c r="Q103" t="n">
        <v>1</v>
      </c>
      <c r="R103" s="2" t="inlineStr">
        <is>
          <t>Nordfladdermus</t>
        </is>
      </c>
      <c r="S103">
        <f>HYPERLINK("https://klasma.github.io/Logging_0188/artfynd/A 27827-2022 artfynd.xlsx", "A 27827-2022")</f>
        <v/>
      </c>
      <c r="T103">
        <f>HYPERLINK("https://klasma.github.io/Logging_0188/kartor/A 27827-2022 karta.png", "A 27827-2022")</f>
        <v/>
      </c>
      <c r="V103">
        <f>HYPERLINK("https://klasma.github.io/Logging_0188/klagomål/A 27827-2022 FSC-klagomål.docx", "A 27827-2022")</f>
        <v/>
      </c>
      <c r="W103">
        <f>HYPERLINK("https://klasma.github.io/Logging_0188/klagomålsmail/A 27827-2022 FSC-klagomål mail.docx", "A 27827-2022")</f>
        <v/>
      </c>
      <c r="X103">
        <f>HYPERLINK("https://klasma.github.io/Logging_0188/tillsyn/A 27827-2022 tillsynsbegäran.docx", "A 27827-2022")</f>
        <v/>
      </c>
      <c r="Y103">
        <f>HYPERLINK("https://klasma.github.io/Logging_0188/tillsynsmail/A 27827-2022 tillsynsbegäran mail.docx", "A 27827-2022")</f>
        <v/>
      </c>
    </row>
    <row r="104" ht="15" customHeight="1">
      <c r="A104" t="inlineStr">
        <is>
          <t>A 59682-2025</t>
        </is>
      </c>
      <c r="B104" s="1" t="n">
        <v>45992.47116898148</v>
      </c>
      <c r="C104" s="1" t="n">
        <v>46182</v>
      </c>
      <c r="D104" t="inlineStr">
        <is>
          <t>STOCKHOLMS LÄN</t>
        </is>
      </c>
      <c r="E104" t="inlineStr">
        <is>
          <t>NORRTÄLJE</t>
        </is>
      </c>
      <c r="G104" t="n">
        <v>1.6</v>
      </c>
      <c r="H104" t="n">
        <v>0</v>
      </c>
      <c r="I104" t="n">
        <v>1</v>
      </c>
      <c r="J104" t="n">
        <v>0</v>
      </c>
      <c r="K104" t="n">
        <v>0</v>
      </c>
      <c r="L104" t="n">
        <v>0</v>
      </c>
      <c r="M104" t="n">
        <v>0</v>
      </c>
      <c r="N104" t="n">
        <v>0</v>
      </c>
      <c r="O104" t="n">
        <v>0</v>
      </c>
      <c r="P104" t="n">
        <v>0</v>
      </c>
      <c r="Q104" t="n">
        <v>1</v>
      </c>
      <c r="R104" s="2" t="inlineStr">
        <is>
          <t>Grönpyrola</t>
        </is>
      </c>
      <c r="S104">
        <f>HYPERLINK("https://klasma.github.io/Logging_0188/artfynd/A 59682-2025 artfynd.xlsx", "A 59682-2025")</f>
        <v/>
      </c>
      <c r="T104">
        <f>HYPERLINK("https://klasma.github.io/Logging_0188/kartor/A 59682-2025 karta.png", "A 59682-2025")</f>
        <v/>
      </c>
      <c r="V104">
        <f>HYPERLINK("https://klasma.github.io/Logging_0188/klagomål/A 59682-2025 FSC-klagomål.docx", "A 59682-2025")</f>
        <v/>
      </c>
      <c r="W104">
        <f>HYPERLINK("https://klasma.github.io/Logging_0188/klagomålsmail/A 59682-2025 FSC-klagomål mail.docx", "A 59682-2025")</f>
        <v/>
      </c>
      <c r="X104">
        <f>HYPERLINK("https://klasma.github.io/Logging_0188/tillsyn/A 59682-2025 tillsynsbegäran.docx", "A 59682-2025")</f>
        <v/>
      </c>
      <c r="Y104">
        <f>HYPERLINK("https://klasma.github.io/Logging_0188/tillsynsmail/A 59682-2025 tillsynsbegäran mail.docx", "A 59682-2025")</f>
        <v/>
      </c>
    </row>
    <row r="105" ht="15" customHeight="1">
      <c r="A105" t="inlineStr">
        <is>
          <t>A 23146-2024</t>
        </is>
      </c>
      <c r="B105" s="1" t="n">
        <v>45450.63958333333</v>
      </c>
      <c r="C105" s="1" t="n">
        <v>46182</v>
      </c>
      <c r="D105" t="inlineStr">
        <is>
          <t>STOCKHOLMS LÄN</t>
        </is>
      </c>
      <c r="E105" t="inlineStr">
        <is>
          <t>NORRTÄLJE</t>
        </is>
      </c>
      <c r="F105" t="inlineStr">
        <is>
          <t>Kommuner</t>
        </is>
      </c>
      <c r="G105" t="n">
        <v>6</v>
      </c>
      <c r="H105" t="n">
        <v>0</v>
      </c>
      <c r="I105" t="n">
        <v>0</v>
      </c>
      <c r="J105" t="n">
        <v>1</v>
      </c>
      <c r="K105" t="n">
        <v>0</v>
      </c>
      <c r="L105" t="n">
        <v>0</v>
      </c>
      <c r="M105" t="n">
        <v>0</v>
      </c>
      <c r="N105" t="n">
        <v>0</v>
      </c>
      <c r="O105" t="n">
        <v>1</v>
      </c>
      <c r="P105" t="n">
        <v>0</v>
      </c>
      <c r="Q105" t="n">
        <v>1</v>
      </c>
      <c r="R105" s="2" t="inlineStr">
        <is>
          <t>Motaggsvamp</t>
        </is>
      </c>
      <c r="S105">
        <f>HYPERLINK("https://klasma.github.io/Logging_0188/artfynd/A 23146-2024 artfynd.xlsx", "A 23146-2024")</f>
        <v/>
      </c>
      <c r="T105">
        <f>HYPERLINK("https://klasma.github.io/Logging_0188/kartor/A 23146-2024 karta.png", "A 23146-2024")</f>
        <v/>
      </c>
      <c r="V105">
        <f>HYPERLINK("https://klasma.github.io/Logging_0188/klagomål/A 23146-2024 FSC-klagomål.docx", "A 23146-2024")</f>
        <v/>
      </c>
      <c r="W105">
        <f>HYPERLINK("https://klasma.github.io/Logging_0188/klagomålsmail/A 23146-2024 FSC-klagomål mail.docx", "A 23146-2024")</f>
        <v/>
      </c>
      <c r="X105">
        <f>HYPERLINK("https://klasma.github.io/Logging_0188/tillsyn/A 23146-2024 tillsynsbegäran.docx", "A 23146-2024")</f>
        <v/>
      </c>
      <c r="Y105">
        <f>HYPERLINK("https://klasma.github.io/Logging_0188/tillsynsmail/A 23146-2024 tillsynsbegäran mail.docx", "A 23146-2024")</f>
        <v/>
      </c>
    </row>
    <row r="106" ht="15" customHeight="1">
      <c r="A106" t="inlineStr">
        <is>
          <t>A 24330-2023</t>
        </is>
      </c>
      <c r="B106" s="1" t="n">
        <v>45081</v>
      </c>
      <c r="C106" s="1" t="n">
        <v>46182</v>
      </c>
      <c r="D106" t="inlineStr">
        <is>
          <t>STOCKHOLMS LÄN</t>
        </is>
      </c>
      <c r="E106" t="inlineStr">
        <is>
          <t>NORRTÄLJE</t>
        </is>
      </c>
      <c r="G106" t="n">
        <v>5</v>
      </c>
      <c r="H106" t="n">
        <v>1</v>
      </c>
      <c r="I106" t="n">
        <v>0</v>
      </c>
      <c r="J106" t="n">
        <v>1</v>
      </c>
      <c r="K106" t="n">
        <v>0</v>
      </c>
      <c r="L106" t="n">
        <v>0</v>
      </c>
      <c r="M106" t="n">
        <v>0</v>
      </c>
      <c r="N106" t="n">
        <v>0</v>
      </c>
      <c r="O106" t="n">
        <v>1</v>
      </c>
      <c r="P106" t="n">
        <v>0</v>
      </c>
      <c r="Q106" t="n">
        <v>1</v>
      </c>
      <c r="R106" s="2" t="inlineStr">
        <is>
          <t>Mindre hackspett</t>
        </is>
      </c>
      <c r="S106">
        <f>HYPERLINK("https://klasma.github.io/Logging_0188/artfynd/A 24330-2023 artfynd.xlsx", "A 24330-2023")</f>
        <v/>
      </c>
      <c r="T106">
        <f>HYPERLINK("https://klasma.github.io/Logging_0188/kartor/A 24330-2023 karta.png", "A 24330-2023")</f>
        <v/>
      </c>
      <c r="V106">
        <f>HYPERLINK("https://klasma.github.io/Logging_0188/klagomål/A 24330-2023 FSC-klagomål.docx", "A 24330-2023")</f>
        <v/>
      </c>
      <c r="W106">
        <f>HYPERLINK("https://klasma.github.io/Logging_0188/klagomålsmail/A 24330-2023 FSC-klagomål mail.docx", "A 24330-2023")</f>
        <v/>
      </c>
      <c r="X106">
        <f>HYPERLINK("https://klasma.github.io/Logging_0188/tillsyn/A 24330-2023 tillsynsbegäran.docx", "A 24330-2023")</f>
        <v/>
      </c>
      <c r="Y106">
        <f>HYPERLINK("https://klasma.github.io/Logging_0188/tillsynsmail/A 24330-2023 tillsynsbegäran mail.docx", "A 24330-2023")</f>
        <v/>
      </c>
      <c r="Z106">
        <f>HYPERLINK("https://klasma.github.io/Logging_0188/fåglar/A 24330-2023 prioriterade fågelarter.docx", "A 24330-2023")</f>
        <v/>
      </c>
    </row>
    <row r="107" ht="15" customHeight="1">
      <c r="A107" t="inlineStr">
        <is>
          <t>A 27538-2024</t>
        </is>
      </c>
      <c r="B107" s="1" t="n">
        <v>45474</v>
      </c>
      <c r="C107" s="1" t="n">
        <v>46182</v>
      </c>
      <c r="D107" t="inlineStr">
        <is>
          <t>STOCKHOLMS LÄN</t>
        </is>
      </c>
      <c r="E107" t="inlineStr">
        <is>
          <t>NORRTÄLJE</t>
        </is>
      </c>
      <c r="G107" t="n">
        <v>1.5</v>
      </c>
      <c r="H107" t="n">
        <v>1</v>
      </c>
      <c r="I107" t="n">
        <v>1</v>
      </c>
      <c r="J107" t="n">
        <v>0</v>
      </c>
      <c r="K107" t="n">
        <v>0</v>
      </c>
      <c r="L107" t="n">
        <v>0</v>
      </c>
      <c r="M107" t="n">
        <v>0</v>
      </c>
      <c r="N107" t="n">
        <v>0</v>
      </c>
      <c r="O107" t="n">
        <v>0</v>
      </c>
      <c r="P107" t="n">
        <v>0</v>
      </c>
      <c r="Q107" t="n">
        <v>1</v>
      </c>
      <c r="R107" s="2" t="inlineStr">
        <is>
          <t>Skogsknipprot</t>
        </is>
      </c>
      <c r="S107">
        <f>HYPERLINK("https://klasma.github.io/Logging_0188/artfynd/A 27538-2024 artfynd.xlsx", "A 27538-2024")</f>
        <v/>
      </c>
      <c r="T107">
        <f>HYPERLINK("https://klasma.github.io/Logging_0188/kartor/A 27538-2024 karta.png", "A 27538-2024")</f>
        <v/>
      </c>
      <c r="V107">
        <f>HYPERLINK("https://klasma.github.io/Logging_0188/klagomål/A 27538-2024 FSC-klagomål.docx", "A 27538-2024")</f>
        <v/>
      </c>
      <c r="W107">
        <f>HYPERLINK("https://klasma.github.io/Logging_0188/klagomålsmail/A 27538-2024 FSC-klagomål mail.docx", "A 27538-2024")</f>
        <v/>
      </c>
      <c r="X107">
        <f>HYPERLINK("https://klasma.github.io/Logging_0188/tillsyn/A 27538-2024 tillsynsbegäran.docx", "A 27538-2024")</f>
        <v/>
      </c>
      <c r="Y107">
        <f>HYPERLINK("https://klasma.github.io/Logging_0188/tillsynsmail/A 27538-2024 tillsynsbegäran mail.docx", "A 27538-2024")</f>
        <v/>
      </c>
    </row>
    <row r="108" ht="15" customHeight="1">
      <c r="A108" t="inlineStr">
        <is>
          <t>A 48131-2023</t>
        </is>
      </c>
      <c r="B108" s="1" t="n">
        <v>45205</v>
      </c>
      <c r="C108" s="1" t="n">
        <v>46182</v>
      </c>
      <c r="D108" t="inlineStr">
        <is>
          <t>STOCKHOLMS LÄN</t>
        </is>
      </c>
      <c r="E108" t="inlineStr">
        <is>
          <t>NORRTÄLJE</t>
        </is>
      </c>
      <c r="G108" t="n">
        <v>2.3</v>
      </c>
      <c r="H108" t="n">
        <v>0</v>
      </c>
      <c r="I108" t="n">
        <v>0</v>
      </c>
      <c r="J108" t="n">
        <v>1</v>
      </c>
      <c r="K108" t="n">
        <v>0</v>
      </c>
      <c r="L108" t="n">
        <v>0</v>
      </c>
      <c r="M108" t="n">
        <v>0</v>
      </c>
      <c r="N108" t="n">
        <v>0</v>
      </c>
      <c r="O108" t="n">
        <v>1</v>
      </c>
      <c r="P108" t="n">
        <v>0</v>
      </c>
      <c r="Q108" t="n">
        <v>1</v>
      </c>
      <c r="R108" s="2" t="inlineStr">
        <is>
          <t>Slåtterfibbla</t>
        </is>
      </c>
      <c r="S108">
        <f>HYPERLINK("https://klasma.github.io/Logging_0188/artfynd/A 48131-2023 artfynd.xlsx", "A 48131-2023")</f>
        <v/>
      </c>
      <c r="T108">
        <f>HYPERLINK("https://klasma.github.io/Logging_0188/kartor/A 48131-2023 karta.png", "A 48131-2023")</f>
        <v/>
      </c>
      <c r="V108">
        <f>HYPERLINK("https://klasma.github.io/Logging_0188/klagomål/A 48131-2023 FSC-klagomål.docx", "A 48131-2023")</f>
        <v/>
      </c>
      <c r="W108">
        <f>HYPERLINK("https://klasma.github.io/Logging_0188/klagomålsmail/A 48131-2023 FSC-klagomål mail.docx", "A 48131-2023")</f>
        <v/>
      </c>
      <c r="X108">
        <f>HYPERLINK("https://klasma.github.io/Logging_0188/tillsyn/A 48131-2023 tillsynsbegäran.docx", "A 48131-2023")</f>
        <v/>
      </c>
      <c r="Y108">
        <f>HYPERLINK("https://klasma.github.io/Logging_0188/tillsynsmail/A 48131-2023 tillsynsbegäran mail.docx", "A 48131-2023")</f>
        <v/>
      </c>
    </row>
    <row r="109" ht="15" customHeight="1">
      <c r="A109" t="inlineStr">
        <is>
          <t>A 52611-2024</t>
        </is>
      </c>
      <c r="B109" s="1" t="n">
        <v>45609.83747685186</v>
      </c>
      <c r="C109" s="1" t="n">
        <v>46182</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62715-2025</t>
        </is>
      </c>
      <c r="B110" s="1" t="n">
        <v>46008.52034722222</v>
      </c>
      <c r="C110" s="1" t="n">
        <v>46182</v>
      </c>
      <c r="D110" t="inlineStr">
        <is>
          <t>STOCKHOLMS LÄN</t>
        </is>
      </c>
      <c r="E110" t="inlineStr">
        <is>
          <t>NORRTÄLJE</t>
        </is>
      </c>
      <c r="G110" t="n">
        <v>0.8</v>
      </c>
      <c r="H110" t="n">
        <v>0</v>
      </c>
      <c r="I110" t="n">
        <v>1</v>
      </c>
      <c r="J110" t="n">
        <v>0</v>
      </c>
      <c r="K110" t="n">
        <v>0</v>
      </c>
      <c r="L110" t="n">
        <v>0</v>
      </c>
      <c r="M110" t="n">
        <v>0</v>
      </c>
      <c r="N110" t="n">
        <v>0</v>
      </c>
      <c r="O110" t="n">
        <v>0</v>
      </c>
      <c r="P110" t="n">
        <v>0</v>
      </c>
      <c r="Q110" t="n">
        <v>1</v>
      </c>
      <c r="R110" s="2" t="inlineStr">
        <is>
          <t>Granbarkgnagare</t>
        </is>
      </c>
      <c r="S110">
        <f>HYPERLINK("https://klasma.github.io/Logging_0188/artfynd/A 62715-2025 artfynd.xlsx", "A 62715-2025")</f>
        <v/>
      </c>
      <c r="T110">
        <f>HYPERLINK("https://klasma.github.io/Logging_0188/kartor/A 62715-2025 karta.png", "A 62715-2025")</f>
        <v/>
      </c>
      <c r="V110">
        <f>HYPERLINK("https://klasma.github.io/Logging_0188/klagomål/A 62715-2025 FSC-klagomål.docx", "A 62715-2025")</f>
        <v/>
      </c>
      <c r="W110">
        <f>HYPERLINK("https://klasma.github.io/Logging_0188/klagomålsmail/A 62715-2025 FSC-klagomål mail.docx", "A 62715-2025")</f>
        <v/>
      </c>
      <c r="X110">
        <f>HYPERLINK("https://klasma.github.io/Logging_0188/tillsyn/A 62715-2025 tillsynsbegäran.docx", "A 62715-2025")</f>
        <v/>
      </c>
      <c r="Y110">
        <f>HYPERLINK("https://klasma.github.io/Logging_0188/tillsynsmail/A 62715-2025 tillsynsbegäran mail.docx", "A 62715-2025")</f>
        <v/>
      </c>
    </row>
    <row r="111" ht="15" customHeight="1">
      <c r="A111" t="inlineStr">
        <is>
          <t>A 15886-2026</t>
        </is>
      </c>
      <c r="B111" s="1" t="n">
        <v>46107</v>
      </c>
      <c r="C111" s="1" t="n">
        <v>46182</v>
      </c>
      <c r="D111" t="inlineStr">
        <is>
          <t>STOCKHOLMS LÄN</t>
        </is>
      </c>
      <c r="E111" t="inlineStr">
        <is>
          <t>NORRTÄLJE</t>
        </is>
      </c>
      <c r="G111" t="n">
        <v>1.3</v>
      </c>
      <c r="H111" t="n">
        <v>1</v>
      </c>
      <c r="I111" t="n">
        <v>0</v>
      </c>
      <c r="J111" t="n">
        <v>0</v>
      </c>
      <c r="K111" t="n">
        <v>0</v>
      </c>
      <c r="L111" t="n">
        <v>1</v>
      </c>
      <c r="M111" t="n">
        <v>0</v>
      </c>
      <c r="N111" t="n">
        <v>0</v>
      </c>
      <c r="O111" t="n">
        <v>1</v>
      </c>
      <c r="P111" t="n">
        <v>1</v>
      </c>
      <c r="Q111" t="n">
        <v>1</v>
      </c>
      <c r="R111" s="2" t="inlineStr">
        <is>
          <t>Grönfink</t>
        </is>
      </c>
      <c r="S111">
        <f>HYPERLINK("https://klasma.github.io/Logging_0188/artfynd/A 15886-2026 artfynd.xlsx", "A 15886-2026")</f>
        <v/>
      </c>
      <c r="T111">
        <f>HYPERLINK("https://klasma.github.io/Logging_0188/kartor/A 15886-2026 karta.png", "A 15886-2026")</f>
        <v/>
      </c>
      <c r="V111">
        <f>HYPERLINK("https://klasma.github.io/Logging_0188/klagomål/A 15886-2026 FSC-klagomål.docx", "A 15886-2026")</f>
        <v/>
      </c>
      <c r="W111">
        <f>HYPERLINK("https://klasma.github.io/Logging_0188/klagomålsmail/A 15886-2026 FSC-klagomål mail.docx", "A 15886-2026")</f>
        <v/>
      </c>
      <c r="X111">
        <f>HYPERLINK("https://klasma.github.io/Logging_0188/tillsyn/A 15886-2026 tillsynsbegäran.docx", "A 15886-2026")</f>
        <v/>
      </c>
      <c r="Y111">
        <f>HYPERLINK("https://klasma.github.io/Logging_0188/tillsynsmail/A 15886-2026 tillsynsbegäran mail.docx", "A 15886-2026")</f>
        <v/>
      </c>
      <c r="Z111">
        <f>HYPERLINK("https://klasma.github.io/Logging_0188/fåglar/A 15886-2026 prioriterade fågelarter.docx", "A 15886-2026")</f>
        <v/>
      </c>
    </row>
    <row r="112" ht="15" customHeight="1">
      <c r="A112" t="inlineStr">
        <is>
          <t>A 21821-2026</t>
        </is>
      </c>
      <c r="B112" s="1" t="n">
        <v>46150.48150462963</v>
      </c>
      <c r="C112" s="1" t="n">
        <v>46182</v>
      </c>
      <c r="D112" t="inlineStr">
        <is>
          <t>STOCKHOLMS LÄN</t>
        </is>
      </c>
      <c r="E112" t="inlineStr">
        <is>
          <t>NORRTÄLJE</t>
        </is>
      </c>
      <c r="G112" t="n">
        <v>2.6</v>
      </c>
      <c r="H112" t="n">
        <v>1</v>
      </c>
      <c r="I112" t="n">
        <v>0</v>
      </c>
      <c r="J112" t="n">
        <v>0</v>
      </c>
      <c r="K112" t="n">
        <v>0</v>
      </c>
      <c r="L112" t="n">
        <v>1</v>
      </c>
      <c r="M112" t="n">
        <v>0</v>
      </c>
      <c r="N112" t="n">
        <v>0</v>
      </c>
      <c r="O112" t="n">
        <v>1</v>
      </c>
      <c r="P112" t="n">
        <v>1</v>
      </c>
      <c r="Q112" t="n">
        <v>1</v>
      </c>
      <c r="R112" s="2" t="inlineStr">
        <is>
          <t>Bredgentiana</t>
        </is>
      </c>
      <c r="S112">
        <f>HYPERLINK("https://klasma.github.io/Logging_0188/artfynd/A 21821-2026 artfynd.xlsx", "A 21821-2026")</f>
        <v/>
      </c>
      <c r="T112">
        <f>HYPERLINK("https://klasma.github.io/Logging_0188/kartor/A 21821-2026 karta.png", "A 21821-2026")</f>
        <v/>
      </c>
      <c r="V112">
        <f>HYPERLINK("https://klasma.github.io/Logging_0188/klagomål/A 21821-2026 FSC-klagomål.docx", "A 21821-2026")</f>
        <v/>
      </c>
      <c r="W112">
        <f>HYPERLINK("https://klasma.github.io/Logging_0188/klagomålsmail/A 21821-2026 FSC-klagomål mail.docx", "A 21821-2026")</f>
        <v/>
      </c>
      <c r="X112">
        <f>HYPERLINK("https://klasma.github.io/Logging_0188/tillsyn/A 21821-2026 tillsynsbegäran.docx", "A 21821-2026")</f>
        <v/>
      </c>
      <c r="Y112">
        <f>HYPERLINK("https://klasma.github.io/Logging_0188/tillsynsmail/A 21821-2026 tillsynsbegäran mail.docx", "A 21821-2026")</f>
        <v/>
      </c>
    </row>
    <row r="113" ht="15" customHeight="1">
      <c r="A113" t="inlineStr">
        <is>
          <t>A 21150-2022</t>
        </is>
      </c>
      <c r="B113" s="1" t="n">
        <v>44704</v>
      </c>
      <c r="C113" s="1" t="n">
        <v>46182</v>
      </c>
      <c r="D113" t="inlineStr">
        <is>
          <t>STOCKHOLMS LÄN</t>
        </is>
      </c>
      <c r="E113" t="inlineStr">
        <is>
          <t>NORRTÄLJE</t>
        </is>
      </c>
      <c r="G113" t="n">
        <v>12.5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21150-2022 artfynd.xlsx", "A 21150-2022")</f>
        <v/>
      </c>
      <c r="T113">
        <f>HYPERLINK("https://klasma.github.io/Logging_0188/kartor/A 21150-2022 karta.png", "A 21150-2022")</f>
        <v/>
      </c>
      <c r="V113">
        <f>HYPERLINK("https://klasma.github.io/Logging_0188/klagomål/A 21150-2022 FSC-klagomål.docx", "A 21150-2022")</f>
        <v/>
      </c>
      <c r="W113">
        <f>HYPERLINK("https://klasma.github.io/Logging_0188/klagomålsmail/A 21150-2022 FSC-klagomål mail.docx", "A 21150-2022")</f>
        <v/>
      </c>
      <c r="X113">
        <f>HYPERLINK("https://klasma.github.io/Logging_0188/tillsyn/A 21150-2022 tillsynsbegäran.docx", "A 21150-2022")</f>
        <v/>
      </c>
      <c r="Y113">
        <f>HYPERLINK("https://klasma.github.io/Logging_0188/tillsynsmail/A 21150-2022 tillsynsbegäran mail.docx", "A 21150-2022")</f>
        <v/>
      </c>
    </row>
    <row r="114" ht="15" customHeight="1">
      <c r="A114" t="inlineStr">
        <is>
          <t>A 58888-2021</t>
        </is>
      </c>
      <c r="B114" s="1" t="n">
        <v>44489</v>
      </c>
      <c r="C114" s="1" t="n">
        <v>46182</v>
      </c>
      <c r="D114" t="inlineStr">
        <is>
          <t>STOCKHOLMS LÄN</t>
        </is>
      </c>
      <c r="E114" t="inlineStr">
        <is>
          <t>NORRTÄLJE</t>
        </is>
      </c>
      <c r="F114" t="inlineStr">
        <is>
          <t>Holmen skog AB</t>
        </is>
      </c>
      <c r="G114" t="n">
        <v>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58888-2021 artfynd.xlsx", "A 58888-2021")</f>
        <v/>
      </c>
      <c r="T114">
        <f>HYPERLINK("https://klasma.github.io/Logging_0188/kartor/A 58888-2021 karta.png", "A 58888-2021")</f>
        <v/>
      </c>
      <c r="V114">
        <f>HYPERLINK("https://klasma.github.io/Logging_0188/klagomål/A 58888-2021 FSC-klagomål.docx", "A 58888-2021")</f>
        <v/>
      </c>
      <c r="W114">
        <f>HYPERLINK("https://klasma.github.io/Logging_0188/klagomålsmail/A 58888-2021 FSC-klagomål mail.docx", "A 58888-2021")</f>
        <v/>
      </c>
      <c r="X114">
        <f>HYPERLINK("https://klasma.github.io/Logging_0188/tillsyn/A 58888-2021 tillsynsbegäran.docx", "A 58888-2021")</f>
        <v/>
      </c>
      <c r="Y114">
        <f>HYPERLINK("https://klasma.github.io/Logging_0188/tillsynsmail/A 58888-2021 tillsynsbegäran mail.docx", "A 58888-2021")</f>
        <v/>
      </c>
    </row>
    <row r="115" ht="15" customHeight="1">
      <c r="A115" t="inlineStr">
        <is>
          <t>A 26635-2023</t>
        </is>
      </c>
      <c r="B115" s="1" t="n">
        <v>45092</v>
      </c>
      <c r="C115" s="1" t="n">
        <v>46182</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9955-2022</t>
        </is>
      </c>
      <c r="B116" s="1" t="n">
        <v>44620</v>
      </c>
      <c r="C116" s="1" t="n">
        <v>46182</v>
      </c>
      <c r="D116" t="inlineStr">
        <is>
          <t>STOCKHOLMS LÄN</t>
        </is>
      </c>
      <c r="E116" t="inlineStr">
        <is>
          <t>NORRTÄLJE</t>
        </is>
      </c>
      <c r="G116" t="n">
        <v>7.8</v>
      </c>
      <c r="H116" t="n">
        <v>1</v>
      </c>
      <c r="I116" t="n">
        <v>0</v>
      </c>
      <c r="J116" t="n">
        <v>0</v>
      </c>
      <c r="K116" t="n">
        <v>0</v>
      </c>
      <c r="L116" t="n">
        <v>0</v>
      </c>
      <c r="M116" t="n">
        <v>0</v>
      </c>
      <c r="N116" t="n">
        <v>0</v>
      </c>
      <c r="O116" t="n">
        <v>0</v>
      </c>
      <c r="P116" t="n">
        <v>0</v>
      </c>
      <c r="Q116" t="n">
        <v>1</v>
      </c>
      <c r="R116" s="2" t="inlineStr">
        <is>
          <t>Åkergroda</t>
        </is>
      </c>
      <c r="S116">
        <f>HYPERLINK("https://klasma.github.io/Logging_0188/artfynd/A 9955-2022 artfynd.xlsx", "A 9955-2022")</f>
        <v/>
      </c>
      <c r="T116">
        <f>HYPERLINK("https://klasma.github.io/Logging_0188/kartor/A 9955-2022 karta.png", "A 9955-2022")</f>
        <v/>
      </c>
      <c r="V116">
        <f>HYPERLINK("https://klasma.github.io/Logging_0188/klagomål/A 9955-2022 FSC-klagomål.docx", "A 9955-2022")</f>
        <v/>
      </c>
      <c r="W116">
        <f>HYPERLINK("https://klasma.github.io/Logging_0188/klagomålsmail/A 9955-2022 FSC-klagomål mail.docx", "A 9955-2022")</f>
        <v/>
      </c>
      <c r="X116">
        <f>HYPERLINK("https://klasma.github.io/Logging_0188/tillsyn/A 9955-2022 tillsynsbegäran.docx", "A 9955-2022")</f>
        <v/>
      </c>
      <c r="Y116">
        <f>HYPERLINK("https://klasma.github.io/Logging_0188/tillsynsmail/A 9955-2022 tillsynsbegäran mail.docx", "A 9955-2022")</f>
        <v/>
      </c>
    </row>
    <row r="117" ht="15" customHeight="1">
      <c r="A117" t="inlineStr">
        <is>
          <t>A 47898-2022</t>
        </is>
      </c>
      <c r="B117" s="1" t="n">
        <v>44855</v>
      </c>
      <c r="C117" s="1" t="n">
        <v>46182</v>
      </c>
      <c r="D117" t="inlineStr">
        <is>
          <t>STOCKHOLMS LÄN</t>
        </is>
      </c>
      <c r="E117" t="inlineStr">
        <is>
          <t>NORRTÄLJE</t>
        </is>
      </c>
      <c r="G117" t="n">
        <v>6.7</v>
      </c>
      <c r="H117" t="n">
        <v>1</v>
      </c>
      <c r="I117" t="n">
        <v>1</v>
      </c>
      <c r="J117" t="n">
        <v>0</v>
      </c>
      <c r="K117" t="n">
        <v>0</v>
      </c>
      <c r="L117" t="n">
        <v>0</v>
      </c>
      <c r="M117" t="n">
        <v>0</v>
      </c>
      <c r="N117" t="n">
        <v>0</v>
      </c>
      <c r="O117" t="n">
        <v>0</v>
      </c>
      <c r="P117" t="n">
        <v>0</v>
      </c>
      <c r="Q117" t="n">
        <v>1</v>
      </c>
      <c r="R117" s="2" t="inlineStr">
        <is>
          <t>Guckusko</t>
        </is>
      </c>
      <c r="S117">
        <f>HYPERLINK("https://klasma.github.io/Logging_0188/artfynd/A 47898-2022 artfynd.xlsx", "A 47898-2022")</f>
        <v/>
      </c>
      <c r="T117">
        <f>HYPERLINK("https://klasma.github.io/Logging_0188/kartor/A 47898-2022 karta.png", "A 47898-2022")</f>
        <v/>
      </c>
      <c r="V117">
        <f>HYPERLINK("https://klasma.github.io/Logging_0188/klagomål/A 47898-2022 FSC-klagomål.docx", "A 47898-2022")</f>
        <v/>
      </c>
      <c r="W117">
        <f>HYPERLINK("https://klasma.github.io/Logging_0188/klagomålsmail/A 47898-2022 FSC-klagomål mail.docx", "A 47898-2022")</f>
        <v/>
      </c>
      <c r="X117">
        <f>HYPERLINK("https://klasma.github.io/Logging_0188/tillsyn/A 47898-2022 tillsynsbegäran.docx", "A 47898-2022")</f>
        <v/>
      </c>
      <c r="Y117">
        <f>HYPERLINK("https://klasma.github.io/Logging_0188/tillsynsmail/A 47898-2022 tillsynsbegäran mail.docx", "A 47898-2022")</f>
        <v/>
      </c>
    </row>
    <row r="118" ht="15" customHeight="1">
      <c r="A118" t="inlineStr">
        <is>
          <t>A 23905-2025</t>
        </is>
      </c>
      <c r="B118" s="1" t="n">
        <v>45794.63298611111</v>
      </c>
      <c r="C118" s="1" t="n">
        <v>46182</v>
      </c>
      <c r="D118" t="inlineStr">
        <is>
          <t>STOCKHOLMS LÄN</t>
        </is>
      </c>
      <c r="E118" t="inlineStr">
        <is>
          <t>NORRTÄLJE</t>
        </is>
      </c>
      <c r="G118" t="n">
        <v>8.4</v>
      </c>
      <c r="H118" t="n">
        <v>1</v>
      </c>
      <c r="I118" t="n">
        <v>0</v>
      </c>
      <c r="J118" t="n">
        <v>0</v>
      </c>
      <c r="K118" t="n">
        <v>0</v>
      </c>
      <c r="L118" t="n">
        <v>0</v>
      </c>
      <c r="M118" t="n">
        <v>0</v>
      </c>
      <c r="N118" t="n">
        <v>0</v>
      </c>
      <c r="O118" t="n">
        <v>0</v>
      </c>
      <c r="P118" t="n">
        <v>0</v>
      </c>
      <c r="Q118" t="n">
        <v>1</v>
      </c>
      <c r="R118" s="2" t="inlineStr">
        <is>
          <t>Blåsippa</t>
        </is>
      </c>
      <c r="S118">
        <f>HYPERLINK("https://klasma.github.io/Logging_0188/artfynd/A 23905-2025 artfynd.xlsx", "A 23905-2025")</f>
        <v/>
      </c>
      <c r="T118">
        <f>HYPERLINK("https://klasma.github.io/Logging_0188/kartor/A 23905-2025 karta.png", "A 23905-2025")</f>
        <v/>
      </c>
      <c r="V118">
        <f>HYPERLINK("https://klasma.github.io/Logging_0188/klagomål/A 23905-2025 FSC-klagomål.docx", "A 23905-2025")</f>
        <v/>
      </c>
      <c r="W118">
        <f>HYPERLINK("https://klasma.github.io/Logging_0188/klagomålsmail/A 23905-2025 FSC-klagomål mail.docx", "A 23905-2025")</f>
        <v/>
      </c>
      <c r="X118">
        <f>HYPERLINK("https://klasma.github.io/Logging_0188/tillsyn/A 23905-2025 tillsynsbegäran.docx", "A 23905-2025")</f>
        <v/>
      </c>
      <c r="Y118">
        <f>HYPERLINK("https://klasma.github.io/Logging_0188/tillsynsmail/A 23905-2025 tillsynsbegäran mail.docx", "A 23905-2025")</f>
        <v/>
      </c>
    </row>
    <row r="119" ht="15" customHeight="1">
      <c r="A119" t="inlineStr">
        <is>
          <t>A 19355-2026</t>
        </is>
      </c>
      <c r="B119" s="1" t="n">
        <v>46133.49074074074</v>
      </c>
      <c r="C119" s="1" t="n">
        <v>46182</v>
      </c>
      <c r="D119" t="inlineStr">
        <is>
          <t>STOCKHOLMS LÄN</t>
        </is>
      </c>
      <c r="E119" t="inlineStr">
        <is>
          <t>NORRTÄLJE</t>
        </is>
      </c>
      <c r="G119" t="n">
        <v>22.5</v>
      </c>
      <c r="H119" t="n">
        <v>0</v>
      </c>
      <c r="I119" t="n">
        <v>1</v>
      </c>
      <c r="J119" t="n">
        <v>0</v>
      </c>
      <c r="K119" t="n">
        <v>0</v>
      </c>
      <c r="L119" t="n">
        <v>0</v>
      </c>
      <c r="M119" t="n">
        <v>0</v>
      </c>
      <c r="N119" t="n">
        <v>0</v>
      </c>
      <c r="O119" t="n">
        <v>0</v>
      </c>
      <c r="P119" t="n">
        <v>0</v>
      </c>
      <c r="Q119" t="n">
        <v>1</v>
      </c>
      <c r="R119" s="2" t="inlineStr">
        <is>
          <t>Mönjevaxing</t>
        </is>
      </c>
      <c r="S119">
        <f>HYPERLINK("https://klasma.github.io/Logging_0188/artfynd/A 19355-2026 artfynd.xlsx", "A 19355-2026")</f>
        <v/>
      </c>
      <c r="T119">
        <f>HYPERLINK("https://klasma.github.io/Logging_0188/kartor/A 19355-2026 karta.png", "A 19355-2026")</f>
        <v/>
      </c>
      <c r="V119">
        <f>HYPERLINK("https://klasma.github.io/Logging_0188/klagomål/A 19355-2026 FSC-klagomål.docx", "A 19355-2026")</f>
        <v/>
      </c>
      <c r="W119">
        <f>HYPERLINK("https://klasma.github.io/Logging_0188/klagomålsmail/A 19355-2026 FSC-klagomål mail.docx", "A 19355-2026")</f>
        <v/>
      </c>
      <c r="X119">
        <f>HYPERLINK("https://klasma.github.io/Logging_0188/tillsyn/A 19355-2026 tillsynsbegäran.docx", "A 19355-2026")</f>
        <v/>
      </c>
      <c r="Y119">
        <f>HYPERLINK("https://klasma.github.io/Logging_0188/tillsynsmail/A 19355-2026 tillsynsbegäran mail.docx", "A 19355-2026")</f>
        <v/>
      </c>
    </row>
    <row r="120" ht="15" customHeight="1">
      <c r="A120" t="inlineStr">
        <is>
          <t>A 25669-2025</t>
        </is>
      </c>
      <c r="B120" s="1" t="n">
        <v>45803.62766203703</v>
      </c>
      <c r="C120" s="1" t="n">
        <v>46182</v>
      </c>
      <c r="D120" t="inlineStr">
        <is>
          <t>STOCKHOLMS LÄN</t>
        </is>
      </c>
      <c r="E120" t="inlineStr">
        <is>
          <t>NORRTÄLJE</t>
        </is>
      </c>
      <c r="F120" t="inlineStr">
        <is>
          <t>Holmen skog AB</t>
        </is>
      </c>
      <c r="G120" t="n">
        <v>3.1</v>
      </c>
      <c r="H120" t="n">
        <v>1</v>
      </c>
      <c r="I120" t="n">
        <v>0</v>
      </c>
      <c r="J120" t="n">
        <v>0</v>
      </c>
      <c r="K120" t="n">
        <v>0</v>
      </c>
      <c r="L120" t="n">
        <v>0</v>
      </c>
      <c r="M120" t="n">
        <v>0</v>
      </c>
      <c r="N120" t="n">
        <v>0</v>
      </c>
      <c r="O120" t="n">
        <v>0</v>
      </c>
      <c r="P120" t="n">
        <v>0</v>
      </c>
      <c r="Q120" t="n">
        <v>1</v>
      </c>
      <c r="R120" s="2" t="inlineStr">
        <is>
          <t>Tjäder</t>
        </is>
      </c>
      <c r="S120">
        <f>HYPERLINK("https://klasma.github.io/Logging_0188/artfynd/A 25669-2025 artfynd.xlsx", "A 25669-2025")</f>
        <v/>
      </c>
      <c r="T120">
        <f>HYPERLINK("https://klasma.github.io/Logging_0188/kartor/A 25669-2025 karta.png", "A 25669-2025")</f>
        <v/>
      </c>
      <c r="V120">
        <f>HYPERLINK("https://klasma.github.io/Logging_0188/klagomål/A 25669-2025 FSC-klagomål.docx", "A 25669-2025")</f>
        <v/>
      </c>
      <c r="W120">
        <f>HYPERLINK("https://klasma.github.io/Logging_0188/klagomålsmail/A 25669-2025 FSC-klagomål mail.docx", "A 25669-2025")</f>
        <v/>
      </c>
      <c r="X120">
        <f>HYPERLINK("https://klasma.github.io/Logging_0188/tillsyn/A 25669-2025 tillsynsbegäran.docx", "A 25669-2025")</f>
        <v/>
      </c>
      <c r="Y120">
        <f>HYPERLINK("https://klasma.github.io/Logging_0188/tillsynsmail/A 25669-2025 tillsynsbegäran mail.docx", "A 25669-2025")</f>
        <v/>
      </c>
      <c r="Z120">
        <f>HYPERLINK("https://klasma.github.io/Logging_0188/fåglar/A 25669-2025 prioriterade fågelarter.docx", "A 25669-2025")</f>
        <v/>
      </c>
    </row>
    <row r="121" ht="15" customHeight="1">
      <c r="A121" t="inlineStr">
        <is>
          <t>A 35764-2024</t>
        </is>
      </c>
      <c r="B121" s="1" t="n">
        <v>45532</v>
      </c>
      <c r="C121" s="1" t="n">
        <v>46182</v>
      </c>
      <c r="D121" t="inlineStr">
        <is>
          <t>STOCKHOLMS LÄN</t>
        </is>
      </c>
      <c r="E121" t="inlineStr">
        <is>
          <t>NORRTÄLJE</t>
        </is>
      </c>
      <c r="G121" t="n">
        <v>14.2</v>
      </c>
      <c r="H121" t="n">
        <v>1</v>
      </c>
      <c r="I121" t="n">
        <v>0</v>
      </c>
      <c r="J121" t="n">
        <v>0</v>
      </c>
      <c r="K121" t="n">
        <v>1</v>
      </c>
      <c r="L121" t="n">
        <v>0</v>
      </c>
      <c r="M121" t="n">
        <v>0</v>
      </c>
      <c r="N121" t="n">
        <v>0</v>
      </c>
      <c r="O121" t="n">
        <v>1</v>
      </c>
      <c r="P121" t="n">
        <v>1</v>
      </c>
      <c r="Q121" t="n">
        <v>1</v>
      </c>
      <c r="R121" s="2" t="inlineStr">
        <is>
          <t>Knärot</t>
        </is>
      </c>
      <c r="S121">
        <f>HYPERLINK("https://klasma.github.io/Logging_0188/artfynd/A 35764-2024 artfynd.xlsx", "A 35764-2024")</f>
        <v/>
      </c>
      <c r="T121">
        <f>HYPERLINK("https://klasma.github.io/Logging_0188/kartor/A 35764-2024 karta.png", "A 35764-2024")</f>
        <v/>
      </c>
      <c r="U121">
        <f>HYPERLINK("https://klasma.github.io/Logging_0188/knärot/A 35764-2024 karta knärot.png", "A 35764-2024")</f>
        <v/>
      </c>
      <c r="V121">
        <f>HYPERLINK("https://klasma.github.io/Logging_0188/klagomål/A 35764-2024 FSC-klagomål.docx", "A 35764-2024")</f>
        <v/>
      </c>
      <c r="W121">
        <f>HYPERLINK("https://klasma.github.io/Logging_0188/klagomålsmail/A 35764-2024 FSC-klagomål mail.docx", "A 35764-2024")</f>
        <v/>
      </c>
      <c r="X121">
        <f>HYPERLINK("https://klasma.github.io/Logging_0188/tillsyn/A 35764-2024 tillsynsbegäran.docx", "A 35764-2024")</f>
        <v/>
      </c>
      <c r="Y121">
        <f>HYPERLINK("https://klasma.github.io/Logging_0188/tillsynsmail/A 35764-2024 tillsynsbegäran mail.docx", "A 35764-2024")</f>
        <v/>
      </c>
    </row>
    <row r="122" ht="15" customHeight="1">
      <c r="A122" t="inlineStr">
        <is>
          <t>A 35649-2023</t>
        </is>
      </c>
      <c r="B122" s="1" t="n">
        <v>45146</v>
      </c>
      <c r="C122" s="1" t="n">
        <v>46182</v>
      </c>
      <c r="D122" t="inlineStr">
        <is>
          <t>STOCKHOLMS LÄN</t>
        </is>
      </c>
      <c r="E122" t="inlineStr">
        <is>
          <t>NORRTÄLJE</t>
        </is>
      </c>
      <c r="G122" t="n">
        <v>25.1</v>
      </c>
      <c r="H122" t="n">
        <v>0</v>
      </c>
      <c r="I122" t="n">
        <v>0</v>
      </c>
      <c r="J122" t="n">
        <v>1</v>
      </c>
      <c r="K122" t="n">
        <v>0</v>
      </c>
      <c r="L122" t="n">
        <v>0</v>
      </c>
      <c r="M122" t="n">
        <v>0</v>
      </c>
      <c r="N122" t="n">
        <v>0</v>
      </c>
      <c r="O122" t="n">
        <v>1</v>
      </c>
      <c r="P122" t="n">
        <v>0</v>
      </c>
      <c r="Q122" t="n">
        <v>1</v>
      </c>
      <c r="R122" s="2" t="inlineStr">
        <is>
          <t>Månlåsbräken</t>
        </is>
      </c>
      <c r="S122">
        <f>HYPERLINK("https://klasma.github.io/Logging_0188/artfynd/A 35649-2023 artfynd.xlsx", "A 35649-2023")</f>
        <v/>
      </c>
      <c r="T122">
        <f>HYPERLINK("https://klasma.github.io/Logging_0188/kartor/A 35649-2023 karta.png", "A 35649-2023")</f>
        <v/>
      </c>
      <c r="V122">
        <f>HYPERLINK("https://klasma.github.io/Logging_0188/klagomål/A 35649-2023 FSC-klagomål.docx", "A 35649-2023")</f>
        <v/>
      </c>
      <c r="W122">
        <f>HYPERLINK("https://klasma.github.io/Logging_0188/klagomålsmail/A 35649-2023 FSC-klagomål mail.docx", "A 35649-2023")</f>
        <v/>
      </c>
      <c r="X122">
        <f>HYPERLINK("https://klasma.github.io/Logging_0188/tillsyn/A 35649-2023 tillsynsbegäran.docx", "A 35649-2023")</f>
        <v/>
      </c>
      <c r="Y122">
        <f>HYPERLINK("https://klasma.github.io/Logging_0188/tillsynsmail/A 35649-2023 tillsynsbegäran mail.docx", "A 35649-2023")</f>
        <v/>
      </c>
    </row>
    <row r="123" ht="15" customHeight="1">
      <c r="A123" t="inlineStr">
        <is>
          <t>A 25911-2026</t>
        </is>
      </c>
      <c r="B123" s="1" t="n">
        <v>46178.71341435185</v>
      </c>
      <c r="C123" s="1" t="n">
        <v>46182</v>
      </c>
      <c r="D123" t="inlineStr">
        <is>
          <t>STOCKHOLMS LÄN</t>
        </is>
      </c>
      <c r="E123" t="inlineStr">
        <is>
          <t>NORRTÄLJE</t>
        </is>
      </c>
      <c r="G123" t="n">
        <v>11.3</v>
      </c>
      <c r="H123" t="n">
        <v>1</v>
      </c>
      <c r="I123" t="n">
        <v>0</v>
      </c>
      <c r="J123" t="n">
        <v>1</v>
      </c>
      <c r="K123" t="n">
        <v>0</v>
      </c>
      <c r="L123" t="n">
        <v>0</v>
      </c>
      <c r="M123" t="n">
        <v>0</v>
      </c>
      <c r="N123" t="n">
        <v>0</v>
      </c>
      <c r="O123" t="n">
        <v>1</v>
      </c>
      <c r="P123" t="n">
        <v>0</v>
      </c>
      <c r="Q123" t="n">
        <v>1</v>
      </c>
      <c r="R123" s="2" t="inlineStr">
        <is>
          <t>Talltita</t>
        </is>
      </c>
      <c r="S123">
        <f>HYPERLINK("https://klasma.github.io/Logging_0188/artfynd/A 25911-2026 artfynd.xlsx", "A 25911-2026")</f>
        <v/>
      </c>
      <c r="T123">
        <f>HYPERLINK("https://klasma.github.io/Logging_0188/kartor/A 25911-2026 karta.png", "A 25911-2026")</f>
        <v/>
      </c>
      <c r="V123">
        <f>HYPERLINK("https://klasma.github.io/Logging_0188/klagomål/A 25911-2026 FSC-klagomål.docx", "A 25911-2026")</f>
        <v/>
      </c>
      <c r="W123">
        <f>HYPERLINK("https://klasma.github.io/Logging_0188/klagomålsmail/A 25911-2026 FSC-klagomål mail.docx", "A 25911-2026")</f>
        <v/>
      </c>
      <c r="X123">
        <f>HYPERLINK("https://klasma.github.io/Logging_0188/tillsyn/A 25911-2026 tillsynsbegäran.docx", "A 25911-2026")</f>
        <v/>
      </c>
      <c r="Y123">
        <f>HYPERLINK("https://klasma.github.io/Logging_0188/tillsynsmail/A 25911-2026 tillsynsbegäran mail.docx", "A 25911-2026")</f>
        <v/>
      </c>
      <c r="Z123">
        <f>HYPERLINK("https://klasma.github.io/Logging_0188/fåglar/A 25911-2026 prioriterade fågelarter.docx", "A 25911-2026")</f>
        <v/>
      </c>
    </row>
    <row r="124" ht="15" customHeight="1">
      <c r="A124" t="inlineStr">
        <is>
          <t>A 7734-2026</t>
        </is>
      </c>
      <c r="B124" s="1" t="n">
        <v>46062.52902777777</v>
      </c>
      <c r="C124" s="1" t="n">
        <v>46182</v>
      </c>
      <c r="D124" t="inlineStr">
        <is>
          <t>STOCKHOLMS LÄN</t>
        </is>
      </c>
      <c r="E124" t="inlineStr">
        <is>
          <t>NORRTÄLJE</t>
        </is>
      </c>
      <c r="G124" t="n">
        <v>6.6</v>
      </c>
      <c r="H124" t="n">
        <v>0</v>
      </c>
      <c r="I124" t="n">
        <v>1</v>
      </c>
      <c r="J124" t="n">
        <v>0</v>
      </c>
      <c r="K124" t="n">
        <v>0</v>
      </c>
      <c r="L124" t="n">
        <v>0</v>
      </c>
      <c r="M124" t="n">
        <v>0</v>
      </c>
      <c r="N124" t="n">
        <v>0</v>
      </c>
      <c r="O124" t="n">
        <v>0</v>
      </c>
      <c r="P124" t="n">
        <v>0</v>
      </c>
      <c r="Q124" t="n">
        <v>1</v>
      </c>
      <c r="R124" s="2" t="inlineStr">
        <is>
          <t>Kastanjefjällskivling</t>
        </is>
      </c>
      <c r="S124">
        <f>HYPERLINK("https://klasma.github.io/Logging_0188/artfynd/A 7734-2026 artfynd.xlsx", "A 7734-2026")</f>
        <v/>
      </c>
      <c r="T124">
        <f>HYPERLINK("https://klasma.github.io/Logging_0188/kartor/A 7734-2026 karta.png", "A 7734-2026")</f>
        <v/>
      </c>
      <c r="V124">
        <f>HYPERLINK("https://klasma.github.io/Logging_0188/klagomål/A 7734-2026 FSC-klagomål.docx", "A 7734-2026")</f>
        <v/>
      </c>
      <c r="W124">
        <f>HYPERLINK("https://klasma.github.io/Logging_0188/klagomålsmail/A 7734-2026 FSC-klagomål mail.docx", "A 7734-2026")</f>
        <v/>
      </c>
      <c r="X124">
        <f>HYPERLINK("https://klasma.github.io/Logging_0188/tillsyn/A 7734-2026 tillsynsbegäran.docx", "A 7734-2026")</f>
        <v/>
      </c>
      <c r="Y124">
        <f>HYPERLINK("https://klasma.github.io/Logging_0188/tillsynsmail/A 7734-2026 tillsynsbegäran mail.docx", "A 7734-2026")</f>
        <v/>
      </c>
    </row>
    <row r="125" ht="15" customHeight="1">
      <c r="A125" t="inlineStr">
        <is>
          <t>A 33546-2025</t>
        </is>
      </c>
      <c r="B125" s="1" t="n">
        <v>45841.56996527778</v>
      </c>
      <c r="C125" s="1" t="n">
        <v>46182</v>
      </c>
      <c r="D125" t="inlineStr">
        <is>
          <t>STOCKHOLMS LÄN</t>
        </is>
      </c>
      <c r="E125" t="inlineStr">
        <is>
          <t>NORRTÄLJE</t>
        </is>
      </c>
      <c r="G125" t="n">
        <v>7.2</v>
      </c>
      <c r="H125" t="n">
        <v>1</v>
      </c>
      <c r="I125" t="n">
        <v>1</v>
      </c>
      <c r="J125" t="n">
        <v>0</v>
      </c>
      <c r="K125" t="n">
        <v>0</v>
      </c>
      <c r="L125" t="n">
        <v>0</v>
      </c>
      <c r="M125" t="n">
        <v>0</v>
      </c>
      <c r="N125" t="n">
        <v>0</v>
      </c>
      <c r="O125" t="n">
        <v>0</v>
      </c>
      <c r="P125" t="n">
        <v>0</v>
      </c>
      <c r="Q125" t="n">
        <v>1</v>
      </c>
      <c r="R125" s="2" t="inlineStr">
        <is>
          <t>Nästrot</t>
        </is>
      </c>
      <c r="S125">
        <f>HYPERLINK("https://klasma.github.io/Logging_0188/artfynd/A 33546-2025 artfynd.xlsx", "A 33546-2025")</f>
        <v/>
      </c>
      <c r="T125">
        <f>HYPERLINK("https://klasma.github.io/Logging_0188/kartor/A 33546-2025 karta.png", "A 33546-2025")</f>
        <v/>
      </c>
      <c r="V125">
        <f>HYPERLINK("https://klasma.github.io/Logging_0188/klagomål/A 33546-2025 FSC-klagomål.docx", "A 33546-2025")</f>
        <v/>
      </c>
      <c r="W125">
        <f>HYPERLINK("https://klasma.github.io/Logging_0188/klagomålsmail/A 33546-2025 FSC-klagomål mail.docx", "A 33546-2025")</f>
        <v/>
      </c>
      <c r="X125">
        <f>HYPERLINK("https://klasma.github.io/Logging_0188/tillsyn/A 33546-2025 tillsynsbegäran.docx", "A 33546-2025")</f>
        <v/>
      </c>
      <c r="Y125">
        <f>HYPERLINK("https://klasma.github.io/Logging_0188/tillsynsmail/A 33546-2025 tillsynsbegäran mail.docx", "A 33546-2025")</f>
        <v/>
      </c>
    </row>
    <row r="126" ht="15" customHeight="1">
      <c r="A126" t="inlineStr">
        <is>
          <t>A 63292-2025</t>
        </is>
      </c>
      <c r="B126" s="1" t="n">
        <v>46010.59232638889</v>
      </c>
      <c r="C126" s="1" t="n">
        <v>46182</v>
      </c>
      <c r="D126" t="inlineStr">
        <is>
          <t>STOCKHOLMS LÄN</t>
        </is>
      </c>
      <c r="E126" t="inlineStr">
        <is>
          <t>NORRTÄLJE</t>
        </is>
      </c>
      <c r="G126" t="n">
        <v>11.1</v>
      </c>
      <c r="H126" t="n">
        <v>1</v>
      </c>
      <c r="I126" t="n">
        <v>1</v>
      </c>
      <c r="J126" t="n">
        <v>0</v>
      </c>
      <c r="K126" t="n">
        <v>0</v>
      </c>
      <c r="L126" t="n">
        <v>0</v>
      </c>
      <c r="M126" t="n">
        <v>0</v>
      </c>
      <c r="N126" t="n">
        <v>0</v>
      </c>
      <c r="O126" t="n">
        <v>0</v>
      </c>
      <c r="P126" t="n">
        <v>0</v>
      </c>
      <c r="Q126" t="n">
        <v>1</v>
      </c>
      <c r="R126" s="2" t="inlineStr">
        <is>
          <t>Nästrot</t>
        </is>
      </c>
      <c r="S126">
        <f>HYPERLINK("https://klasma.github.io/Logging_0188/artfynd/A 63292-2025 artfynd.xlsx", "A 63292-2025")</f>
        <v/>
      </c>
      <c r="T126">
        <f>HYPERLINK("https://klasma.github.io/Logging_0188/kartor/A 63292-2025 karta.png", "A 63292-2025")</f>
        <v/>
      </c>
      <c r="V126">
        <f>HYPERLINK("https://klasma.github.io/Logging_0188/klagomål/A 63292-2025 FSC-klagomål.docx", "A 63292-2025")</f>
        <v/>
      </c>
      <c r="W126">
        <f>HYPERLINK("https://klasma.github.io/Logging_0188/klagomålsmail/A 63292-2025 FSC-klagomål mail.docx", "A 63292-2025")</f>
        <v/>
      </c>
      <c r="X126">
        <f>HYPERLINK("https://klasma.github.io/Logging_0188/tillsyn/A 63292-2025 tillsynsbegäran.docx", "A 63292-2025")</f>
        <v/>
      </c>
      <c r="Y126">
        <f>HYPERLINK("https://klasma.github.io/Logging_0188/tillsynsmail/A 63292-2025 tillsynsbegäran mail.docx", "A 63292-2025")</f>
        <v/>
      </c>
    </row>
    <row r="127" ht="15" customHeight="1">
      <c r="A127" t="inlineStr">
        <is>
          <t>A 25916-2026</t>
        </is>
      </c>
      <c r="B127" s="1" t="n">
        <v>46178.73321759259</v>
      </c>
      <c r="C127" s="1" t="n">
        <v>46182</v>
      </c>
      <c r="D127" t="inlineStr">
        <is>
          <t>STOCKHOLMS LÄN</t>
        </is>
      </c>
      <c r="E127" t="inlineStr">
        <is>
          <t>NORRTÄLJE</t>
        </is>
      </c>
      <c r="G127" t="n">
        <v>9.5</v>
      </c>
      <c r="H127" t="n">
        <v>0</v>
      </c>
      <c r="I127" t="n">
        <v>0</v>
      </c>
      <c r="J127" t="n">
        <v>0</v>
      </c>
      <c r="K127" t="n">
        <v>1</v>
      </c>
      <c r="L127" t="n">
        <v>0</v>
      </c>
      <c r="M127" t="n">
        <v>0</v>
      </c>
      <c r="N127" t="n">
        <v>0</v>
      </c>
      <c r="O127" t="n">
        <v>1</v>
      </c>
      <c r="P127" t="n">
        <v>1</v>
      </c>
      <c r="Q127" t="n">
        <v>1</v>
      </c>
      <c r="R127" s="2" t="inlineStr">
        <is>
          <t>Violgubbe</t>
        </is>
      </c>
      <c r="S127">
        <f>HYPERLINK("https://klasma.github.io/Logging_0188/artfynd/A 25916-2026 artfynd.xlsx", "A 25916-2026")</f>
        <v/>
      </c>
      <c r="T127">
        <f>HYPERLINK("https://klasma.github.io/Logging_0188/kartor/A 25916-2026 karta.png", "A 25916-2026")</f>
        <v/>
      </c>
      <c r="V127">
        <f>HYPERLINK("https://klasma.github.io/Logging_0188/klagomål/A 25916-2026 FSC-klagomål.docx", "A 25916-2026")</f>
        <v/>
      </c>
      <c r="W127">
        <f>HYPERLINK("https://klasma.github.io/Logging_0188/klagomålsmail/A 25916-2026 FSC-klagomål mail.docx", "A 25916-2026")</f>
        <v/>
      </c>
      <c r="X127">
        <f>HYPERLINK("https://klasma.github.io/Logging_0188/tillsyn/A 25916-2026 tillsynsbegäran.docx", "A 25916-2026")</f>
        <v/>
      </c>
      <c r="Y127">
        <f>HYPERLINK("https://klasma.github.io/Logging_0188/tillsynsmail/A 25916-2026 tillsynsbegäran mail.docx", "A 25916-2026")</f>
        <v/>
      </c>
    </row>
    <row r="128" ht="15" customHeight="1">
      <c r="A128" t="inlineStr">
        <is>
          <t>A 16870-2025</t>
        </is>
      </c>
      <c r="B128" s="1" t="n">
        <v>45754</v>
      </c>
      <c r="C128" s="1" t="n">
        <v>46182</v>
      </c>
      <c r="D128" t="inlineStr">
        <is>
          <t>STOCKHOLMS LÄN</t>
        </is>
      </c>
      <c r="E128" t="inlineStr">
        <is>
          <t>NORRTÄLJE</t>
        </is>
      </c>
      <c r="G128" t="n">
        <v>24.6</v>
      </c>
      <c r="H128" t="n">
        <v>1</v>
      </c>
      <c r="I128" t="n">
        <v>0</v>
      </c>
      <c r="J128" t="n">
        <v>0</v>
      </c>
      <c r="K128" t="n">
        <v>0</v>
      </c>
      <c r="L128" t="n">
        <v>0</v>
      </c>
      <c r="M128" t="n">
        <v>0</v>
      </c>
      <c r="N128" t="n">
        <v>0</v>
      </c>
      <c r="O128" t="n">
        <v>0</v>
      </c>
      <c r="P128" t="n">
        <v>0</v>
      </c>
      <c r="Q128" t="n">
        <v>1</v>
      </c>
      <c r="R128" s="2" t="inlineStr">
        <is>
          <t>Vanlig groda</t>
        </is>
      </c>
      <c r="S128">
        <f>HYPERLINK("https://klasma.github.io/Logging_0188/artfynd/A 16870-2025 artfynd.xlsx", "A 16870-2025")</f>
        <v/>
      </c>
      <c r="T128">
        <f>HYPERLINK("https://klasma.github.io/Logging_0188/kartor/A 16870-2025 karta.png", "A 16870-2025")</f>
        <v/>
      </c>
      <c r="V128">
        <f>HYPERLINK("https://klasma.github.io/Logging_0188/klagomål/A 16870-2025 FSC-klagomål.docx", "A 16870-2025")</f>
        <v/>
      </c>
      <c r="W128">
        <f>HYPERLINK("https://klasma.github.io/Logging_0188/klagomålsmail/A 16870-2025 FSC-klagomål mail.docx", "A 16870-2025")</f>
        <v/>
      </c>
      <c r="X128">
        <f>HYPERLINK("https://klasma.github.io/Logging_0188/tillsyn/A 16870-2025 tillsynsbegäran.docx", "A 16870-2025")</f>
        <v/>
      </c>
      <c r="Y128">
        <f>HYPERLINK("https://klasma.github.io/Logging_0188/tillsynsmail/A 16870-2025 tillsynsbegäran mail.docx", "A 16870-2025")</f>
        <v/>
      </c>
    </row>
    <row r="129" ht="15" customHeight="1">
      <c r="A129" t="inlineStr">
        <is>
          <t>A 13271-2025</t>
        </is>
      </c>
      <c r="B129" s="1" t="n">
        <v>45735.54510416667</v>
      </c>
      <c r="C129" s="1" t="n">
        <v>46182</v>
      </c>
      <c r="D129" t="inlineStr">
        <is>
          <t>STOCKHOLMS LÄN</t>
        </is>
      </c>
      <c r="E129" t="inlineStr">
        <is>
          <t>NORRTÄLJE</t>
        </is>
      </c>
      <c r="G129" t="n">
        <v>7.2</v>
      </c>
      <c r="H129" t="n">
        <v>1</v>
      </c>
      <c r="I129" t="n">
        <v>0</v>
      </c>
      <c r="J129" t="n">
        <v>0</v>
      </c>
      <c r="K129" t="n">
        <v>0</v>
      </c>
      <c r="L129" t="n">
        <v>1</v>
      </c>
      <c r="M129" t="n">
        <v>0</v>
      </c>
      <c r="N129" t="n">
        <v>0</v>
      </c>
      <c r="O129" t="n">
        <v>1</v>
      </c>
      <c r="P129" t="n">
        <v>1</v>
      </c>
      <c r="Q129" t="n">
        <v>1</v>
      </c>
      <c r="R129" s="2" t="inlineStr">
        <is>
          <t>Asknätfjäril</t>
        </is>
      </c>
      <c r="S129">
        <f>HYPERLINK("https://klasma.github.io/Logging_0188/artfynd/A 13271-2025 artfynd.xlsx", "A 13271-2025")</f>
        <v/>
      </c>
      <c r="T129">
        <f>HYPERLINK("https://klasma.github.io/Logging_0188/kartor/A 13271-2025 karta.png", "A 13271-2025")</f>
        <v/>
      </c>
      <c r="V129">
        <f>HYPERLINK("https://klasma.github.io/Logging_0188/klagomål/A 13271-2025 FSC-klagomål.docx", "A 13271-2025")</f>
        <v/>
      </c>
      <c r="W129">
        <f>HYPERLINK("https://klasma.github.io/Logging_0188/klagomålsmail/A 13271-2025 FSC-klagomål mail.docx", "A 13271-2025")</f>
        <v/>
      </c>
      <c r="X129">
        <f>HYPERLINK("https://klasma.github.io/Logging_0188/tillsyn/A 13271-2025 tillsynsbegäran.docx", "A 13271-2025")</f>
        <v/>
      </c>
      <c r="Y129">
        <f>HYPERLINK("https://klasma.github.io/Logging_0188/tillsynsmail/A 13271-2025 tillsynsbegäran mail.docx", "A 13271-2025")</f>
        <v/>
      </c>
    </row>
    <row r="130" ht="15" customHeight="1">
      <c r="A130" t="inlineStr">
        <is>
          <t>A 12877-2022</t>
        </is>
      </c>
      <c r="B130" s="1" t="n">
        <v>44642</v>
      </c>
      <c r="C130" s="1" t="n">
        <v>46182</v>
      </c>
      <c r="D130" t="inlineStr">
        <is>
          <t>STOCKHOLMS LÄN</t>
        </is>
      </c>
      <c r="E130" t="inlineStr">
        <is>
          <t>NORRTÄLJE</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71543-2021</t>
        </is>
      </c>
      <c r="B131" s="1" t="n">
        <v>44540</v>
      </c>
      <c r="C131" s="1" t="n">
        <v>46182</v>
      </c>
      <c r="D131" t="inlineStr">
        <is>
          <t>STOCKHOLMS LÄN</t>
        </is>
      </c>
      <c r="E131" t="inlineStr">
        <is>
          <t>NORRTÄLJE</t>
        </is>
      </c>
      <c r="G131" t="n">
        <v>1.8</v>
      </c>
      <c r="H131" t="n">
        <v>0</v>
      </c>
      <c r="I131" t="n">
        <v>0</v>
      </c>
      <c r="J131" t="n">
        <v>0</v>
      </c>
      <c r="K131" t="n">
        <v>0</v>
      </c>
      <c r="L131" t="n">
        <v>0</v>
      </c>
      <c r="M131" t="n">
        <v>0</v>
      </c>
      <c r="N131" t="n">
        <v>0</v>
      </c>
      <c r="O131" t="n">
        <v>0</v>
      </c>
      <c r="P131" t="n">
        <v>0</v>
      </c>
      <c r="Q131" t="n">
        <v>0</v>
      </c>
      <c r="R131" s="2" t="inlineStr"/>
    </row>
    <row r="132" ht="15" customHeight="1">
      <c r="A132" t="inlineStr">
        <is>
          <t>A 14036-2022</t>
        </is>
      </c>
      <c r="B132" s="1" t="n">
        <v>44650.8699537037</v>
      </c>
      <c r="C132" s="1" t="n">
        <v>46182</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47344-2021</t>
        </is>
      </c>
      <c r="B133" s="1" t="n">
        <v>44447</v>
      </c>
      <c r="C133" s="1" t="n">
        <v>46182</v>
      </c>
      <c r="D133" t="inlineStr">
        <is>
          <t>STOCKHOLMS LÄN</t>
        </is>
      </c>
      <c r="E133" t="inlineStr">
        <is>
          <t>NORRTÄLJE</t>
        </is>
      </c>
      <c r="G133" t="n">
        <v>3.3</v>
      </c>
      <c r="H133" t="n">
        <v>0</v>
      </c>
      <c r="I133" t="n">
        <v>0</v>
      </c>
      <c r="J133" t="n">
        <v>0</v>
      </c>
      <c r="K133" t="n">
        <v>0</v>
      </c>
      <c r="L133" t="n">
        <v>0</v>
      </c>
      <c r="M133" t="n">
        <v>0</v>
      </c>
      <c r="N133" t="n">
        <v>0</v>
      </c>
      <c r="O133" t="n">
        <v>0</v>
      </c>
      <c r="P133" t="n">
        <v>0</v>
      </c>
      <c r="Q133" t="n">
        <v>0</v>
      </c>
      <c r="R133" s="2" t="inlineStr"/>
    </row>
    <row r="134" ht="15" customHeight="1">
      <c r="A134" t="inlineStr">
        <is>
          <t>A 43036-2022</t>
        </is>
      </c>
      <c r="B134" s="1" t="n">
        <v>44833</v>
      </c>
      <c r="C134" s="1" t="n">
        <v>46182</v>
      </c>
      <c r="D134" t="inlineStr">
        <is>
          <t>STOCKHOLMS LÄN</t>
        </is>
      </c>
      <c r="E134" t="inlineStr">
        <is>
          <t>NORRTÄLJE</t>
        </is>
      </c>
      <c r="F134" t="inlineStr">
        <is>
          <t>Kyrkan</t>
        </is>
      </c>
      <c r="G134" t="n">
        <v>1.7</v>
      </c>
      <c r="H134" t="n">
        <v>0</v>
      </c>
      <c r="I134" t="n">
        <v>0</v>
      </c>
      <c r="J134" t="n">
        <v>0</v>
      </c>
      <c r="K134" t="n">
        <v>0</v>
      </c>
      <c r="L134" t="n">
        <v>0</v>
      </c>
      <c r="M134" t="n">
        <v>0</v>
      </c>
      <c r="N134" t="n">
        <v>0</v>
      </c>
      <c r="O134" t="n">
        <v>0</v>
      </c>
      <c r="P134" t="n">
        <v>0</v>
      </c>
      <c r="Q134" t="n">
        <v>0</v>
      </c>
      <c r="R134" s="2" t="inlineStr"/>
    </row>
    <row r="135" ht="15" customHeight="1">
      <c r="A135" t="inlineStr">
        <is>
          <t>A 40542-2021</t>
        </is>
      </c>
      <c r="B135" s="1" t="n">
        <v>44420</v>
      </c>
      <c r="C135" s="1" t="n">
        <v>46182</v>
      </c>
      <c r="D135" t="inlineStr">
        <is>
          <t>STOCKHOLMS LÄN</t>
        </is>
      </c>
      <c r="E135" t="inlineStr">
        <is>
          <t>NORRTÄLJE</t>
        </is>
      </c>
      <c r="G135" t="n">
        <v>0.4</v>
      </c>
      <c r="H135" t="n">
        <v>0</v>
      </c>
      <c r="I135" t="n">
        <v>0</v>
      </c>
      <c r="J135" t="n">
        <v>0</v>
      </c>
      <c r="K135" t="n">
        <v>0</v>
      </c>
      <c r="L135" t="n">
        <v>0</v>
      </c>
      <c r="M135" t="n">
        <v>0</v>
      </c>
      <c r="N135" t="n">
        <v>0</v>
      </c>
      <c r="O135" t="n">
        <v>0</v>
      </c>
      <c r="P135" t="n">
        <v>0</v>
      </c>
      <c r="Q135" t="n">
        <v>0</v>
      </c>
      <c r="R135" s="2" t="inlineStr"/>
    </row>
    <row r="136" ht="15" customHeight="1">
      <c r="A136" t="inlineStr">
        <is>
          <t>A 40546-2021</t>
        </is>
      </c>
      <c r="B136" s="1" t="n">
        <v>44420</v>
      </c>
      <c r="C136" s="1" t="n">
        <v>46182</v>
      </c>
      <c r="D136" t="inlineStr">
        <is>
          <t>STOCKHOLMS LÄN</t>
        </is>
      </c>
      <c r="E136" t="inlineStr">
        <is>
          <t>NORRTÄLJE</t>
        </is>
      </c>
      <c r="G136" t="n">
        <v>0.4</v>
      </c>
      <c r="H136" t="n">
        <v>0</v>
      </c>
      <c r="I136" t="n">
        <v>0</v>
      </c>
      <c r="J136" t="n">
        <v>0</v>
      </c>
      <c r="K136" t="n">
        <v>0</v>
      </c>
      <c r="L136" t="n">
        <v>0</v>
      </c>
      <c r="M136" t="n">
        <v>0</v>
      </c>
      <c r="N136" t="n">
        <v>0</v>
      </c>
      <c r="O136" t="n">
        <v>0</v>
      </c>
      <c r="P136" t="n">
        <v>0</v>
      </c>
      <c r="Q136" t="n">
        <v>0</v>
      </c>
      <c r="R136" s="2" t="inlineStr"/>
    </row>
    <row r="137" ht="15" customHeight="1">
      <c r="A137" t="inlineStr">
        <is>
          <t>A 31934-2022</t>
        </is>
      </c>
      <c r="B137" s="1" t="n">
        <v>44777</v>
      </c>
      <c r="C137" s="1" t="n">
        <v>46182</v>
      </c>
      <c r="D137" t="inlineStr">
        <is>
          <t>STOCKHOLMS LÄN</t>
        </is>
      </c>
      <c r="E137" t="inlineStr">
        <is>
          <t>NORRTÄLJE</t>
        </is>
      </c>
      <c r="G137" t="n">
        <v>1.2</v>
      </c>
      <c r="H137" t="n">
        <v>0</v>
      </c>
      <c r="I137" t="n">
        <v>0</v>
      </c>
      <c r="J137" t="n">
        <v>0</v>
      </c>
      <c r="K137" t="n">
        <v>0</v>
      </c>
      <c r="L137" t="n">
        <v>0</v>
      </c>
      <c r="M137" t="n">
        <v>0</v>
      </c>
      <c r="N137" t="n">
        <v>0</v>
      </c>
      <c r="O137" t="n">
        <v>0</v>
      </c>
      <c r="P137" t="n">
        <v>0</v>
      </c>
      <c r="Q137" t="n">
        <v>0</v>
      </c>
      <c r="R137" s="2" t="inlineStr"/>
    </row>
    <row r="138" ht="15" customHeight="1">
      <c r="A138" t="inlineStr">
        <is>
          <t>A 24977-2022</t>
        </is>
      </c>
      <c r="B138" s="1" t="n">
        <v>44728.73465277778</v>
      </c>
      <c r="C138" s="1" t="n">
        <v>46182</v>
      </c>
      <c r="D138" t="inlineStr">
        <is>
          <t>STOCKHOLMS LÄN</t>
        </is>
      </c>
      <c r="E138" t="inlineStr">
        <is>
          <t>NORRTÄLJE</t>
        </is>
      </c>
      <c r="F138" t="inlineStr">
        <is>
          <t>Kyrkan</t>
        </is>
      </c>
      <c r="G138" t="n">
        <v>1</v>
      </c>
      <c r="H138" t="n">
        <v>0</v>
      </c>
      <c r="I138" t="n">
        <v>0</v>
      </c>
      <c r="J138" t="n">
        <v>0</v>
      </c>
      <c r="K138" t="n">
        <v>0</v>
      </c>
      <c r="L138" t="n">
        <v>0</v>
      </c>
      <c r="M138" t="n">
        <v>0</v>
      </c>
      <c r="N138" t="n">
        <v>0</v>
      </c>
      <c r="O138" t="n">
        <v>0</v>
      </c>
      <c r="P138" t="n">
        <v>0</v>
      </c>
      <c r="Q138" t="n">
        <v>0</v>
      </c>
      <c r="R138" s="2" t="inlineStr"/>
    </row>
    <row r="139" ht="15" customHeight="1">
      <c r="A139" t="inlineStr">
        <is>
          <t>A 37815-2022</t>
        </is>
      </c>
      <c r="B139" s="1" t="n">
        <v>44810.85092592592</v>
      </c>
      <c r="C139" s="1" t="n">
        <v>46182</v>
      </c>
      <c r="D139" t="inlineStr">
        <is>
          <t>STOCKHOLMS LÄN</t>
        </is>
      </c>
      <c r="E139" t="inlineStr">
        <is>
          <t>NORRTÄLJE</t>
        </is>
      </c>
      <c r="G139" t="n">
        <v>1.3</v>
      </c>
      <c r="H139" t="n">
        <v>0</v>
      </c>
      <c r="I139" t="n">
        <v>0</v>
      </c>
      <c r="J139" t="n">
        <v>0</v>
      </c>
      <c r="K139" t="n">
        <v>0</v>
      </c>
      <c r="L139" t="n">
        <v>0</v>
      </c>
      <c r="M139" t="n">
        <v>0</v>
      </c>
      <c r="N139" t="n">
        <v>0</v>
      </c>
      <c r="O139" t="n">
        <v>0</v>
      </c>
      <c r="P139" t="n">
        <v>0</v>
      </c>
      <c r="Q139" t="n">
        <v>0</v>
      </c>
      <c r="R139" s="2" t="inlineStr"/>
    </row>
    <row r="140" ht="15" customHeight="1">
      <c r="A140" t="inlineStr">
        <is>
          <t>A 11821-2022</t>
        </is>
      </c>
      <c r="B140" s="1" t="n">
        <v>44634</v>
      </c>
      <c r="C140" s="1" t="n">
        <v>46182</v>
      </c>
      <c r="D140" t="inlineStr">
        <is>
          <t>STOCKHOLMS LÄN</t>
        </is>
      </c>
      <c r="E140" t="inlineStr">
        <is>
          <t>NORRTÄLJE</t>
        </is>
      </c>
      <c r="G140" t="n">
        <v>1.1</v>
      </c>
      <c r="H140" t="n">
        <v>0</v>
      </c>
      <c r="I140" t="n">
        <v>0</v>
      </c>
      <c r="J140" t="n">
        <v>0</v>
      </c>
      <c r="K140" t="n">
        <v>0</v>
      </c>
      <c r="L140" t="n">
        <v>0</v>
      </c>
      <c r="M140" t="n">
        <v>0</v>
      </c>
      <c r="N140" t="n">
        <v>0</v>
      </c>
      <c r="O140" t="n">
        <v>0</v>
      </c>
      <c r="P140" t="n">
        <v>0</v>
      </c>
      <c r="Q140" t="n">
        <v>0</v>
      </c>
      <c r="R140" s="2" t="inlineStr"/>
    </row>
    <row r="141" ht="15" customHeight="1">
      <c r="A141" t="inlineStr">
        <is>
          <t>A 2977-2022</t>
        </is>
      </c>
      <c r="B141" s="1" t="n">
        <v>44581.75819444445</v>
      </c>
      <c r="C141" s="1" t="n">
        <v>46182</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73855-2021</t>
        </is>
      </c>
      <c r="B142" s="1" t="n">
        <v>44552</v>
      </c>
      <c r="C142" s="1" t="n">
        <v>46182</v>
      </c>
      <c r="D142" t="inlineStr">
        <is>
          <t>STOCKHOLMS LÄN</t>
        </is>
      </c>
      <c r="E142" t="inlineStr">
        <is>
          <t>NORRTÄLJE</t>
        </is>
      </c>
      <c r="F142" t="inlineStr">
        <is>
          <t>Övriga Aktiebolag</t>
        </is>
      </c>
      <c r="G142" t="n">
        <v>4</v>
      </c>
      <c r="H142" t="n">
        <v>0</v>
      </c>
      <c r="I142" t="n">
        <v>0</v>
      </c>
      <c r="J142" t="n">
        <v>0</v>
      </c>
      <c r="K142" t="n">
        <v>0</v>
      </c>
      <c r="L142" t="n">
        <v>0</v>
      </c>
      <c r="M142" t="n">
        <v>0</v>
      </c>
      <c r="N142" t="n">
        <v>0</v>
      </c>
      <c r="O142" t="n">
        <v>0</v>
      </c>
      <c r="P142" t="n">
        <v>0</v>
      </c>
      <c r="Q142" t="n">
        <v>0</v>
      </c>
      <c r="R142" s="2" t="inlineStr"/>
    </row>
    <row r="143" ht="15" customHeight="1">
      <c r="A143" t="inlineStr">
        <is>
          <t>A 74468-2021</t>
        </is>
      </c>
      <c r="B143" s="1" t="n">
        <v>44560</v>
      </c>
      <c r="C143" s="1" t="n">
        <v>46182</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31283-2022</t>
        </is>
      </c>
      <c r="B144" s="1" t="n">
        <v>44771</v>
      </c>
      <c r="C144" s="1" t="n">
        <v>46182</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56225-2021</t>
        </is>
      </c>
      <c r="B145" s="1" t="n">
        <v>44477.94327546296</v>
      </c>
      <c r="C145" s="1" t="n">
        <v>46182</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34436-2021</t>
        </is>
      </c>
      <c r="B146" s="1" t="n">
        <v>44380</v>
      </c>
      <c r="C146" s="1" t="n">
        <v>46182</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67525-2021</t>
        </is>
      </c>
      <c r="B147" s="1" t="n">
        <v>44524</v>
      </c>
      <c r="C147" s="1" t="n">
        <v>46182</v>
      </c>
      <c r="D147" t="inlineStr">
        <is>
          <t>STOCKHOLMS LÄN</t>
        </is>
      </c>
      <c r="E147" t="inlineStr">
        <is>
          <t>NORRTÄLJE</t>
        </is>
      </c>
      <c r="G147" t="n">
        <v>0.8</v>
      </c>
      <c r="H147" t="n">
        <v>0</v>
      </c>
      <c r="I147" t="n">
        <v>0</v>
      </c>
      <c r="J147" t="n">
        <v>0</v>
      </c>
      <c r="K147" t="n">
        <v>0</v>
      </c>
      <c r="L147" t="n">
        <v>0</v>
      </c>
      <c r="M147" t="n">
        <v>0</v>
      </c>
      <c r="N147" t="n">
        <v>0</v>
      </c>
      <c r="O147" t="n">
        <v>0</v>
      </c>
      <c r="P147" t="n">
        <v>0</v>
      </c>
      <c r="Q147" t="n">
        <v>0</v>
      </c>
      <c r="R147" s="2" t="inlineStr"/>
    </row>
    <row r="148" ht="15" customHeight="1">
      <c r="A148" t="inlineStr">
        <is>
          <t>A 1704-2022</t>
        </is>
      </c>
      <c r="B148" s="1" t="n">
        <v>44574.42978009259</v>
      </c>
      <c r="C148" s="1" t="n">
        <v>46182</v>
      </c>
      <c r="D148" t="inlineStr">
        <is>
          <t>STOCKHOLMS LÄN</t>
        </is>
      </c>
      <c r="E148" t="inlineStr">
        <is>
          <t>NORRTÄLJE</t>
        </is>
      </c>
      <c r="G148" t="n">
        <v>6.2</v>
      </c>
      <c r="H148" t="n">
        <v>0</v>
      </c>
      <c r="I148" t="n">
        <v>0</v>
      </c>
      <c r="J148" t="n">
        <v>0</v>
      </c>
      <c r="K148" t="n">
        <v>0</v>
      </c>
      <c r="L148" t="n">
        <v>0</v>
      </c>
      <c r="M148" t="n">
        <v>0</v>
      </c>
      <c r="N148" t="n">
        <v>0</v>
      </c>
      <c r="O148" t="n">
        <v>0</v>
      </c>
      <c r="P148" t="n">
        <v>0</v>
      </c>
      <c r="Q148" t="n">
        <v>0</v>
      </c>
      <c r="R148" s="2" t="inlineStr"/>
    </row>
    <row r="149" ht="15" customHeight="1">
      <c r="A149" t="inlineStr">
        <is>
          <t>A 65737-2021</t>
        </is>
      </c>
      <c r="B149" s="1" t="n">
        <v>44516.72827546296</v>
      </c>
      <c r="C149" s="1" t="n">
        <v>46182</v>
      </c>
      <c r="D149" t="inlineStr">
        <is>
          <t>STOCKHOLMS LÄN</t>
        </is>
      </c>
      <c r="E149" t="inlineStr">
        <is>
          <t>NORRTÄLJE</t>
        </is>
      </c>
      <c r="G149" t="n">
        <v>3</v>
      </c>
      <c r="H149" t="n">
        <v>0</v>
      </c>
      <c r="I149" t="n">
        <v>0</v>
      </c>
      <c r="J149" t="n">
        <v>0</v>
      </c>
      <c r="K149" t="n">
        <v>0</v>
      </c>
      <c r="L149" t="n">
        <v>0</v>
      </c>
      <c r="M149" t="n">
        <v>0</v>
      </c>
      <c r="N149" t="n">
        <v>0</v>
      </c>
      <c r="O149" t="n">
        <v>0</v>
      </c>
      <c r="P149" t="n">
        <v>0</v>
      </c>
      <c r="Q149" t="n">
        <v>0</v>
      </c>
      <c r="R149" s="2" t="inlineStr"/>
    </row>
    <row r="150" ht="15" customHeight="1">
      <c r="A150" t="inlineStr">
        <is>
          <t>A 43374-2022</t>
        </is>
      </c>
      <c r="B150" s="1" t="n">
        <v>44834</v>
      </c>
      <c r="C150" s="1" t="n">
        <v>46182</v>
      </c>
      <c r="D150" t="inlineStr">
        <is>
          <t>STOCKHOLMS LÄN</t>
        </is>
      </c>
      <c r="E150" t="inlineStr">
        <is>
          <t>NORRTÄLJE</t>
        </is>
      </c>
      <c r="G150" t="n">
        <v>0.7</v>
      </c>
      <c r="H150" t="n">
        <v>0</v>
      </c>
      <c r="I150" t="n">
        <v>0</v>
      </c>
      <c r="J150" t="n">
        <v>0</v>
      </c>
      <c r="K150" t="n">
        <v>0</v>
      </c>
      <c r="L150" t="n">
        <v>0</v>
      </c>
      <c r="M150" t="n">
        <v>0</v>
      </c>
      <c r="N150" t="n">
        <v>0</v>
      </c>
      <c r="O150" t="n">
        <v>0</v>
      </c>
      <c r="P150" t="n">
        <v>0</v>
      </c>
      <c r="Q150" t="n">
        <v>0</v>
      </c>
      <c r="R150" s="2" t="inlineStr"/>
    </row>
    <row r="151" ht="15" customHeight="1">
      <c r="A151" t="inlineStr">
        <is>
          <t>A 37712-2021</t>
        </is>
      </c>
      <c r="B151" s="1" t="n">
        <v>44400</v>
      </c>
      <c r="C151" s="1" t="n">
        <v>46182</v>
      </c>
      <c r="D151" t="inlineStr">
        <is>
          <t>STOCKHOLMS LÄN</t>
        </is>
      </c>
      <c r="E151" t="inlineStr">
        <is>
          <t>NORRTÄLJE</t>
        </is>
      </c>
      <c r="G151" t="n">
        <v>22.9</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46182</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46182</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46182</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46182</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18905-2022</t>
        </is>
      </c>
      <c r="B156" s="1" t="n">
        <v>44690</v>
      </c>
      <c r="C156" s="1" t="n">
        <v>46182</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46182</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21723-2022</t>
        </is>
      </c>
      <c r="B158" s="1" t="n">
        <v>44708</v>
      </c>
      <c r="C158" s="1" t="n">
        <v>46182</v>
      </c>
      <c r="D158" t="inlineStr">
        <is>
          <t>STOCKHOLMS LÄN</t>
        </is>
      </c>
      <c r="E158" t="inlineStr">
        <is>
          <t>NORRTÄLJE</t>
        </is>
      </c>
      <c r="G158" t="n">
        <v>0.3</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46182</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31807-2022</t>
        </is>
      </c>
      <c r="B160" s="1" t="n">
        <v>44776</v>
      </c>
      <c r="C160" s="1" t="n">
        <v>46182</v>
      </c>
      <c r="D160" t="inlineStr">
        <is>
          <t>STOCKHOLMS LÄN</t>
        </is>
      </c>
      <c r="E160" t="inlineStr">
        <is>
          <t>NORRTÄLJE</t>
        </is>
      </c>
      <c r="G160" t="n">
        <v>2.5</v>
      </c>
      <c r="H160" t="n">
        <v>0</v>
      </c>
      <c r="I160" t="n">
        <v>0</v>
      </c>
      <c r="J160" t="n">
        <v>0</v>
      </c>
      <c r="K160" t="n">
        <v>0</v>
      </c>
      <c r="L160" t="n">
        <v>0</v>
      </c>
      <c r="M160" t="n">
        <v>0</v>
      </c>
      <c r="N160" t="n">
        <v>0</v>
      </c>
      <c r="O160" t="n">
        <v>0</v>
      </c>
      <c r="P160" t="n">
        <v>0</v>
      </c>
      <c r="Q160" t="n">
        <v>0</v>
      </c>
      <c r="R160" s="2" t="inlineStr"/>
    </row>
    <row r="161" ht="15" customHeight="1">
      <c r="A161" t="inlineStr">
        <is>
          <t>A 28209-2022</t>
        </is>
      </c>
      <c r="B161" s="1" t="n">
        <v>44746</v>
      </c>
      <c r="C161" s="1" t="n">
        <v>46182</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71876-2021</t>
        </is>
      </c>
      <c r="B162" s="1" t="n">
        <v>44543</v>
      </c>
      <c r="C162" s="1" t="n">
        <v>46182</v>
      </c>
      <c r="D162" t="inlineStr">
        <is>
          <t>STOCKHOLMS LÄN</t>
        </is>
      </c>
      <c r="E162" t="inlineStr">
        <is>
          <t>NORRTÄLJE</t>
        </is>
      </c>
      <c r="G162" t="n">
        <v>2.8</v>
      </c>
      <c r="H162" t="n">
        <v>0</v>
      </c>
      <c r="I162" t="n">
        <v>0</v>
      </c>
      <c r="J162" t="n">
        <v>0</v>
      </c>
      <c r="K162" t="n">
        <v>0</v>
      </c>
      <c r="L162" t="n">
        <v>0</v>
      </c>
      <c r="M162" t="n">
        <v>0</v>
      </c>
      <c r="N162" t="n">
        <v>0</v>
      </c>
      <c r="O162" t="n">
        <v>0</v>
      </c>
      <c r="P162" t="n">
        <v>0</v>
      </c>
      <c r="Q162" t="n">
        <v>0</v>
      </c>
      <c r="R162" s="2" t="inlineStr"/>
    </row>
    <row r="163" ht="15" customHeight="1">
      <c r="A163" t="inlineStr">
        <is>
          <t>A 71878-2021</t>
        </is>
      </c>
      <c r="B163" s="1" t="n">
        <v>44543</v>
      </c>
      <c r="C163" s="1" t="n">
        <v>46182</v>
      </c>
      <c r="D163" t="inlineStr">
        <is>
          <t>STOCKHOLMS LÄN</t>
        </is>
      </c>
      <c r="E163" t="inlineStr">
        <is>
          <t>NORRTÄLJE</t>
        </is>
      </c>
      <c r="G163" t="n">
        <v>1.2</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46182</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24534-2022</t>
        </is>
      </c>
      <c r="B165" s="1" t="n">
        <v>44727</v>
      </c>
      <c r="C165" s="1" t="n">
        <v>46182</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60186-2021</t>
        </is>
      </c>
      <c r="B166" s="1" t="n">
        <v>44495</v>
      </c>
      <c r="C166" s="1" t="n">
        <v>46182</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28959-2022</t>
        </is>
      </c>
      <c r="B167" s="1" t="n">
        <v>44749.61980324074</v>
      </c>
      <c r="C167" s="1" t="n">
        <v>46182</v>
      </c>
      <c r="D167" t="inlineStr">
        <is>
          <t>STOCKHOLMS LÄN</t>
        </is>
      </c>
      <c r="E167" t="inlineStr">
        <is>
          <t>NORRTÄLJE</t>
        </is>
      </c>
      <c r="G167" t="n">
        <v>5.2</v>
      </c>
      <c r="H167" t="n">
        <v>0</v>
      </c>
      <c r="I167" t="n">
        <v>0</v>
      </c>
      <c r="J167" t="n">
        <v>0</v>
      </c>
      <c r="K167" t="n">
        <v>0</v>
      </c>
      <c r="L167" t="n">
        <v>0</v>
      </c>
      <c r="M167" t="n">
        <v>0</v>
      </c>
      <c r="N167" t="n">
        <v>0</v>
      </c>
      <c r="O167" t="n">
        <v>0</v>
      </c>
      <c r="P167" t="n">
        <v>0</v>
      </c>
      <c r="Q167" t="n">
        <v>0</v>
      </c>
      <c r="R167" s="2" t="inlineStr"/>
    </row>
    <row r="168" ht="15" customHeight="1">
      <c r="A168" t="inlineStr">
        <is>
          <t>A 54355-2022</t>
        </is>
      </c>
      <c r="B168" s="1" t="n">
        <v>44882</v>
      </c>
      <c r="C168" s="1" t="n">
        <v>46182</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72308-2021</t>
        </is>
      </c>
      <c r="B169" s="1" t="n">
        <v>44545.4189699074</v>
      </c>
      <c r="C169" s="1" t="n">
        <v>46182</v>
      </c>
      <c r="D169" t="inlineStr">
        <is>
          <t>STOCKHOLMS LÄN</t>
        </is>
      </c>
      <c r="E169" t="inlineStr">
        <is>
          <t>NORRTÄLJE</t>
        </is>
      </c>
      <c r="G169" t="n">
        <v>1.1</v>
      </c>
      <c r="H169" t="n">
        <v>0</v>
      </c>
      <c r="I169" t="n">
        <v>0</v>
      </c>
      <c r="J169" t="n">
        <v>0</v>
      </c>
      <c r="K169" t="n">
        <v>0</v>
      </c>
      <c r="L169" t="n">
        <v>0</v>
      </c>
      <c r="M169" t="n">
        <v>0</v>
      </c>
      <c r="N169" t="n">
        <v>0</v>
      </c>
      <c r="O169" t="n">
        <v>0</v>
      </c>
      <c r="P169" t="n">
        <v>0</v>
      </c>
      <c r="Q169" t="n">
        <v>0</v>
      </c>
      <c r="R169" s="2" t="inlineStr"/>
    </row>
    <row r="170" ht="15" customHeight="1">
      <c r="A170" t="inlineStr">
        <is>
          <t>A 23770-2022</t>
        </is>
      </c>
      <c r="B170" s="1" t="n">
        <v>44722</v>
      </c>
      <c r="C170" s="1" t="n">
        <v>46182</v>
      </c>
      <c r="D170" t="inlineStr">
        <is>
          <t>STOCKHOLMS LÄN</t>
        </is>
      </c>
      <c r="E170" t="inlineStr">
        <is>
          <t>NORRTÄLJE</t>
        </is>
      </c>
      <c r="G170" t="n">
        <v>1.6</v>
      </c>
      <c r="H170" t="n">
        <v>0</v>
      </c>
      <c r="I170" t="n">
        <v>0</v>
      </c>
      <c r="J170" t="n">
        <v>0</v>
      </c>
      <c r="K170" t="n">
        <v>0</v>
      </c>
      <c r="L170" t="n">
        <v>0</v>
      </c>
      <c r="M170" t="n">
        <v>0</v>
      </c>
      <c r="N170" t="n">
        <v>0</v>
      </c>
      <c r="O170" t="n">
        <v>0</v>
      </c>
      <c r="P170" t="n">
        <v>0</v>
      </c>
      <c r="Q170" t="n">
        <v>0</v>
      </c>
      <c r="R170" s="2" t="inlineStr"/>
    </row>
    <row r="171" ht="15" customHeight="1">
      <c r="A171" t="inlineStr">
        <is>
          <t>A 27538-2022</t>
        </is>
      </c>
      <c r="B171" s="1" t="n">
        <v>44742</v>
      </c>
      <c r="C171" s="1" t="n">
        <v>46182</v>
      </c>
      <c r="D171" t="inlineStr">
        <is>
          <t>STOCKHOLMS LÄN</t>
        </is>
      </c>
      <c r="E171" t="inlineStr">
        <is>
          <t>NORRTÄLJE</t>
        </is>
      </c>
      <c r="G171" t="n">
        <v>2.2</v>
      </c>
      <c r="H171" t="n">
        <v>0</v>
      </c>
      <c r="I171" t="n">
        <v>0</v>
      </c>
      <c r="J171" t="n">
        <v>0</v>
      </c>
      <c r="K171" t="n">
        <v>0</v>
      </c>
      <c r="L171" t="n">
        <v>0</v>
      </c>
      <c r="M171" t="n">
        <v>0</v>
      </c>
      <c r="N171" t="n">
        <v>0</v>
      </c>
      <c r="O171" t="n">
        <v>0</v>
      </c>
      <c r="P171" t="n">
        <v>0</v>
      </c>
      <c r="Q171" t="n">
        <v>0</v>
      </c>
      <c r="R171" s="2" t="inlineStr"/>
    </row>
    <row r="172" ht="15" customHeight="1">
      <c r="A172" t="inlineStr">
        <is>
          <t>A 29868-2022</t>
        </is>
      </c>
      <c r="B172" s="1" t="n">
        <v>44756.40881944444</v>
      </c>
      <c r="C172" s="1" t="n">
        <v>46182</v>
      </c>
      <c r="D172" t="inlineStr">
        <is>
          <t>STOCKHOLMS LÄN</t>
        </is>
      </c>
      <c r="E172" t="inlineStr">
        <is>
          <t>NORRTÄLJE</t>
        </is>
      </c>
      <c r="G172" t="n">
        <v>1.8</v>
      </c>
      <c r="H172" t="n">
        <v>0</v>
      </c>
      <c r="I172" t="n">
        <v>0</v>
      </c>
      <c r="J172" t="n">
        <v>0</v>
      </c>
      <c r="K172" t="n">
        <v>0</v>
      </c>
      <c r="L172" t="n">
        <v>0</v>
      </c>
      <c r="M172" t="n">
        <v>0</v>
      </c>
      <c r="N172" t="n">
        <v>0</v>
      </c>
      <c r="O172" t="n">
        <v>0</v>
      </c>
      <c r="P172" t="n">
        <v>0</v>
      </c>
      <c r="Q172" t="n">
        <v>0</v>
      </c>
      <c r="R172" s="2" t="inlineStr"/>
    </row>
    <row r="173" ht="15" customHeight="1">
      <c r="A173" t="inlineStr">
        <is>
          <t>A 36975-2022</t>
        </is>
      </c>
      <c r="B173" s="1" t="n">
        <v>44806.34577546296</v>
      </c>
      <c r="C173" s="1" t="n">
        <v>46182</v>
      </c>
      <c r="D173" t="inlineStr">
        <is>
          <t>STOCKHOLMS LÄN</t>
        </is>
      </c>
      <c r="E173" t="inlineStr">
        <is>
          <t>NORRTÄLJE</t>
        </is>
      </c>
      <c r="G173" t="n">
        <v>4.7</v>
      </c>
      <c r="H173" t="n">
        <v>0</v>
      </c>
      <c r="I173" t="n">
        <v>0</v>
      </c>
      <c r="J173" t="n">
        <v>0</v>
      </c>
      <c r="K173" t="n">
        <v>0</v>
      </c>
      <c r="L173" t="n">
        <v>0</v>
      </c>
      <c r="M173" t="n">
        <v>0</v>
      </c>
      <c r="N173" t="n">
        <v>0</v>
      </c>
      <c r="O173" t="n">
        <v>0</v>
      </c>
      <c r="P173" t="n">
        <v>0</v>
      </c>
      <c r="Q173" t="n">
        <v>0</v>
      </c>
      <c r="R173" s="2" t="inlineStr"/>
    </row>
    <row r="174" ht="15" customHeight="1">
      <c r="A174" t="inlineStr">
        <is>
          <t>A 64599-2021</t>
        </is>
      </c>
      <c r="B174" s="1" t="n">
        <v>44511.69885416667</v>
      </c>
      <c r="C174" s="1" t="n">
        <v>46182</v>
      </c>
      <c r="D174" t="inlineStr">
        <is>
          <t>STOCKHOLMS LÄN</t>
        </is>
      </c>
      <c r="E174" t="inlineStr">
        <is>
          <t>NORRTÄLJE</t>
        </is>
      </c>
      <c r="G174" t="n">
        <v>1.1</v>
      </c>
      <c r="H174" t="n">
        <v>0</v>
      </c>
      <c r="I174" t="n">
        <v>0</v>
      </c>
      <c r="J174" t="n">
        <v>0</v>
      </c>
      <c r="K174" t="n">
        <v>0</v>
      </c>
      <c r="L174" t="n">
        <v>0</v>
      </c>
      <c r="M174" t="n">
        <v>0</v>
      </c>
      <c r="N174" t="n">
        <v>0</v>
      </c>
      <c r="O174" t="n">
        <v>0</v>
      </c>
      <c r="P174" t="n">
        <v>0</v>
      </c>
      <c r="Q174" t="n">
        <v>0</v>
      </c>
      <c r="R174" s="2" t="inlineStr"/>
    </row>
    <row r="175" ht="15" customHeight="1">
      <c r="A175" t="inlineStr">
        <is>
          <t>A 64212-2021</t>
        </is>
      </c>
      <c r="B175" s="1" t="n">
        <v>44510</v>
      </c>
      <c r="C175" s="1" t="n">
        <v>46182</v>
      </c>
      <c r="D175" t="inlineStr">
        <is>
          <t>STOCKHOLMS LÄN</t>
        </is>
      </c>
      <c r="E175" t="inlineStr">
        <is>
          <t>NORRTÄLJE</t>
        </is>
      </c>
      <c r="G175" t="n">
        <v>28.7</v>
      </c>
      <c r="H175" t="n">
        <v>0</v>
      </c>
      <c r="I175" t="n">
        <v>0</v>
      </c>
      <c r="J175" t="n">
        <v>0</v>
      </c>
      <c r="K175" t="n">
        <v>0</v>
      </c>
      <c r="L175" t="n">
        <v>0</v>
      </c>
      <c r="M175" t="n">
        <v>0</v>
      </c>
      <c r="N175" t="n">
        <v>0</v>
      </c>
      <c r="O175" t="n">
        <v>0</v>
      </c>
      <c r="P175" t="n">
        <v>0</v>
      </c>
      <c r="Q175" t="n">
        <v>0</v>
      </c>
      <c r="R175" s="2" t="inlineStr"/>
    </row>
    <row r="176" ht="15" customHeight="1">
      <c r="A176" t="inlineStr">
        <is>
          <t>A 47349-2021</t>
        </is>
      </c>
      <c r="B176" s="1" t="n">
        <v>44447</v>
      </c>
      <c r="C176" s="1" t="n">
        <v>46182</v>
      </c>
      <c r="D176" t="inlineStr">
        <is>
          <t>STOCKHOLMS LÄN</t>
        </is>
      </c>
      <c r="E176" t="inlineStr">
        <is>
          <t>NORRTÄLJE</t>
        </is>
      </c>
      <c r="G176" t="n">
        <v>3.3</v>
      </c>
      <c r="H176" t="n">
        <v>0</v>
      </c>
      <c r="I176" t="n">
        <v>0</v>
      </c>
      <c r="J176" t="n">
        <v>0</v>
      </c>
      <c r="K176" t="n">
        <v>0</v>
      </c>
      <c r="L176" t="n">
        <v>0</v>
      </c>
      <c r="M176" t="n">
        <v>0</v>
      </c>
      <c r="N176" t="n">
        <v>0</v>
      </c>
      <c r="O176" t="n">
        <v>0</v>
      </c>
      <c r="P176" t="n">
        <v>0</v>
      </c>
      <c r="Q176" t="n">
        <v>0</v>
      </c>
      <c r="R176" s="2" t="inlineStr"/>
    </row>
    <row r="177" ht="15" customHeight="1">
      <c r="A177" t="inlineStr">
        <is>
          <t>A 36565-2021</t>
        </is>
      </c>
      <c r="B177" s="1" t="n">
        <v>44391.5580787037</v>
      </c>
      <c r="C177" s="1" t="n">
        <v>46182</v>
      </c>
      <c r="D177" t="inlineStr">
        <is>
          <t>STOCKHOLMS LÄN</t>
        </is>
      </c>
      <c r="E177" t="inlineStr">
        <is>
          <t>NORRTÄLJE</t>
        </is>
      </c>
      <c r="G177" t="n">
        <v>1.8</v>
      </c>
      <c r="H177" t="n">
        <v>0</v>
      </c>
      <c r="I177" t="n">
        <v>0</v>
      </c>
      <c r="J177" t="n">
        <v>0</v>
      </c>
      <c r="K177" t="n">
        <v>0</v>
      </c>
      <c r="L177" t="n">
        <v>0</v>
      </c>
      <c r="M177" t="n">
        <v>0</v>
      </c>
      <c r="N177" t="n">
        <v>0</v>
      </c>
      <c r="O177" t="n">
        <v>0</v>
      </c>
      <c r="P177" t="n">
        <v>0</v>
      </c>
      <c r="Q177" t="n">
        <v>0</v>
      </c>
      <c r="R177" s="2" t="inlineStr"/>
    </row>
    <row r="178" ht="15" customHeight="1">
      <c r="A178" t="inlineStr">
        <is>
          <t>A 44274-2021</t>
        </is>
      </c>
      <c r="B178" s="1" t="n">
        <v>44435</v>
      </c>
      <c r="C178" s="1" t="n">
        <v>46182</v>
      </c>
      <c r="D178" t="inlineStr">
        <is>
          <t>STOCKHOLMS LÄN</t>
        </is>
      </c>
      <c r="E178" t="inlineStr">
        <is>
          <t>NORRTÄLJE</t>
        </is>
      </c>
      <c r="G178" t="n">
        <v>1</v>
      </c>
      <c r="H178" t="n">
        <v>0</v>
      </c>
      <c r="I178" t="n">
        <v>0</v>
      </c>
      <c r="J178" t="n">
        <v>0</v>
      </c>
      <c r="K178" t="n">
        <v>0</v>
      </c>
      <c r="L178" t="n">
        <v>0</v>
      </c>
      <c r="M178" t="n">
        <v>0</v>
      </c>
      <c r="N178" t="n">
        <v>0</v>
      </c>
      <c r="O178" t="n">
        <v>0</v>
      </c>
      <c r="P178" t="n">
        <v>0</v>
      </c>
      <c r="Q178" t="n">
        <v>0</v>
      </c>
      <c r="R178" s="2" t="inlineStr"/>
    </row>
    <row r="179" ht="15" customHeight="1">
      <c r="A179" t="inlineStr">
        <is>
          <t>A 50970-2022</t>
        </is>
      </c>
      <c r="B179" s="1" t="n">
        <v>44867</v>
      </c>
      <c r="C179" s="1" t="n">
        <v>46182</v>
      </c>
      <c r="D179" t="inlineStr">
        <is>
          <t>STOCKHOLMS LÄN</t>
        </is>
      </c>
      <c r="E179" t="inlineStr">
        <is>
          <t>NORRTÄLJE</t>
        </is>
      </c>
      <c r="G179" t="n">
        <v>9</v>
      </c>
      <c r="H179" t="n">
        <v>0</v>
      </c>
      <c r="I179" t="n">
        <v>0</v>
      </c>
      <c r="J179" t="n">
        <v>0</v>
      </c>
      <c r="K179" t="n">
        <v>0</v>
      </c>
      <c r="L179" t="n">
        <v>0</v>
      </c>
      <c r="M179" t="n">
        <v>0</v>
      </c>
      <c r="N179" t="n">
        <v>0</v>
      </c>
      <c r="O179" t="n">
        <v>0</v>
      </c>
      <c r="P179" t="n">
        <v>0</v>
      </c>
      <c r="Q179" t="n">
        <v>0</v>
      </c>
      <c r="R179" s="2" t="inlineStr"/>
    </row>
    <row r="180" ht="15" customHeight="1">
      <c r="A180" t="inlineStr">
        <is>
          <t>A 49113-2021</t>
        </is>
      </c>
      <c r="B180" s="1" t="n">
        <v>44453</v>
      </c>
      <c r="C180" s="1" t="n">
        <v>46182</v>
      </c>
      <c r="D180" t="inlineStr">
        <is>
          <t>STOCKHOLMS LÄN</t>
        </is>
      </c>
      <c r="E180" t="inlineStr">
        <is>
          <t>NORRTÄLJE</t>
        </is>
      </c>
      <c r="G180" t="n">
        <v>0.7</v>
      </c>
      <c r="H180" t="n">
        <v>0</v>
      </c>
      <c r="I180" t="n">
        <v>0</v>
      </c>
      <c r="J180" t="n">
        <v>0</v>
      </c>
      <c r="K180" t="n">
        <v>0</v>
      </c>
      <c r="L180" t="n">
        <v>0</v>
      </c>
      <c r="M180" t="n">
        <v>0</v>
      </c>
      <c r="N180" t="n">
        <v>0</v>
      </c>
      <c r="O180" t="n">
        <v>0</v>
      </c>
      <c r="P180" t="n">
        <v>0</v>
      </c>
      <c r="Q180" t="n">
        <v>0</v>
      </c>
      <c r="R180" s="2" t="inlineStr"/>
    </row>
    <row r="181" ht="15" customHeight="1">
      <c r="A181" t="inlineStr">
        <is>
          <t>A 64628-2021</t>
        </is>
      </c>
      <c r="B181" s="1" t="n">
        <v>44511</v>
      </c>
      <c r="C181" s="1" t="n">
        <v>46182</v>
      </c>
      <c r="D181" t="inlineStr">
        <is>
          <t>STOCKHOLMS LÄN</t>
        </is>
      </c>
      <c r="E181" t="inlineStr">
        <is>
          <t>NORRTÄLJE</t>
        </is>
      </c>
      <c r="G181" t="n">
        <v>0.7</v>
      </c>
      <c r="H181" t="n">
        <v>0</v>
      </c>
      <c r="I181" t="n">
        <v>0</v>
      </c>
      <c r="J181" t="n">
        <v>0</v>
      </c>
      <c r="K181" t="n">
        <v>0</v>
      </c>
      <c r="L181" t="n">
        <v>0</v>
      </c>
      <c r="M181" t="n">
        <v>0</v>
      </c>
      <c r="N181" t="n">
        <v>0</v>
      </c>
      <c r="O181" t="n">
        <v>0</v>
      </c>
      <c r="P181" t="n">
        <v>0</v>
      </c>
      <c r="Q181" t="n">
        <v>0</v>
      </c>
      <c r="R181" s="2" t="inlineStr"/>
    </row>
    <row r="182" ht="15" customHeight="1">
      <c r="A182" t="inlineStr">
        <is>
          <t>A 60209-2021</t>
        </is>
      </c>
      <c r="B182" s="1" t="n">
        <v>44495</v>
      </c>
      <c r="C182" s="1" t="n">
        <v>46182</v>
      </c>
      <c r="D182" t="inlineStr">
        <is>
          <t>STOCKHOLMS LÄN</t>
        </is>
      </c>
      <c r="E182" t="inlineStr">
        <is>
          <t>NORRTÄLJE</t>
        </is>
      </c>
      <c r="G182" t="n">
        <v>4.3</v>
      </c>
      <c r="H182" t="n">
        <v>0</v>
      </c>
      <c r="I182" t="n">
        <v>0</v>
      </c>
      <c r="J182" t="n">
        <v>0</v>
      </c>
      <c r="K182" t="n">
        <v>0</v>
      </c>
      <c r="L182" t="n">
        <v>0</v>
      </c>
      <c r="M182" t="n">
        <v>0</v>
      </c>
      <c r="N182" t="n">
        <v>0</v>
      </c>
      <c r="O182" t="n">
        <v>0</v>
      </c>
      <c r="P182" t="n">
        <v>0</v>
      </c>
      <c r="Q182" t="n">
        <v>0</v>
      </c>
      <c r="R182" s="2" t="inlineStr"/>
    </row>
    <row r="183" ht="15" customHeight="1">
      <c r="A183" t="inlineStr">
        <is>
          <t>A 17803-2022</t>
        </is>
      </c>
      <c r="B183" s="1" t="n">
        <v>44683</v>
      </c>
      <c r="C183" s="1" t="n">
        <v>46182</v>
      </c>
      <c r="D183" t="inlineStr">
        <is>
          <t>STOCKHOLMS LÄN</t>
        </is>
      </c>
      <c r="E183" t="inlineStr">
        <is>
          <t>NORRTÄLJE</t>
        </is>
      </c>
      <c r="G183" t="n">
        <v>1.4</v>
      </c>
      <c r="H183" t="n">
        <v>0</v>
      </c>
      <c r="I183" t="n">
        <v>0</v>
      </c>
      <c r="J183" t="n">
        <v>0</v>
      </c>
      <c r="K183" t="n">
        <v>0</v>
      </c>
      <c r="L183" t="n">
        <v>0</v>
      </c>
      <c r="M183" t="n">
        <v>0</v>
      </c>
      <c r="N183" t="n">
        <v>0</v>
      </c>
      <c r="O183" t="n">
        <v>0</v>
      </c>
      <c r="P183" t="n">
        <v>0</v>
      </c>
      <c r="Q183" t="n">
        <v>0</v>
      </c>
      <c r="R183" s="2" t="inlineStr"/>
    </row>
    <row r="184" ht="15" customHeight="1">
      <c r="A184" t="inlineStr">
        <is>
          <t>A 32561-2021</t>
        </is>
      </c>
      <c r="B184" s="1" t="n">
        <v>44375</v>
      </c>
      <c r="C184" s="1" t="n">
        <v>46182</v>
      </c>
      <c r="D184" t="inlineStr">
        <is>
          <t>STOCKHOLMS LÄN</t>
        </is>
      </c>
      <c r="E184" t="inlineStr">
        <is>
          <t>NORRTÄLJE</t>
        </is>
      </c>
      <c r="G184" t="n">
        <v>3.4</v>
      </c>
      <c r="H184" t="n">
        <v>0</v>
      </c>
      <c r="I184" t="n">
        <v>0</v>
      </c>
      <c r="J184" t="n">
        <v>0</v>
      </c>
      <c r="K184" t="n">
        <v>0</v>
      </c>
      <c r="L184" t="n">
        <v>0</v>
      </c>
      <c r="M184" t="n">
        <v>0</v>
      </c>
      <c r="N184" t="n">
        <v>0</v>
      </c>
      <c r="O184" t="n">
        <v>0</v>
      </c>
      <c r="P184" t="n">
        <v>0</v>
      </c>
      <c r="Q184" t="n">
        <v>0</v>
      </c>
      <c r="R184" s="2" t="inlineStr"/>
    </row>
    <row r="185" ht="15" customHeight="1">
      <c r="A185" t="inlineStr">
        <is>
          <t>A 71325-2021</t>
        </is>
      </c>
      <c r="B185" s="1" t="n">
        <v>44539</v>
      </c>
      <c r="C185" s="1" t="n">
        <v>46182</v>
      </c>
      <c r="D185" t="inlineStr">
        <is>
          <t>STOCKHOLMS LÄN</t>
        </is>
      </c>
      <c r="E185" t="inlineStr">
        <is>
          <t>NORRTÄLJE</t>
        </is>
      </c>
      <c r="G185" t="n">
        <v>2.1</v>
      </c>
      <c r="H185" t="n">
        <v>0</v>
      </c>
      <c r="I185" t="n">
        <v>0</v>
      </c>
      <c r="J185" t="n">
        <v>0</v>
      </c>
      <c r="K185" t="n">
        <v>0</v>
      </c>
      <c r="L185" t="n">
        <v>0</v>
      </c>
      <c r="M185" t="n">
        <v>0</v>
      </c>
      <c r="N185" t="n">
        <v>0</v>
      </c>
      <c r="O185" t="n">
        <v>0</v>
      </c>
      <c r="P185" t="n">
        <v>0</v>
      </c>
      <c r="Q185" t="n">
        <v>0</v>
      </c>
      <c r="R185" s="2" t="inlineStr"/>
    </row>
    <row r="186" ht="15" customHeight="1">
      <c r="A186" t="inlineStr">
        <is>
          <t>A 65611-2021</t>
        </is>
      </c>
      <c r="B186" s="1" t="n">
        <v>44516.5275462963</v>
      </c>
      <c r="C186" s="1" t="n">
        <v>46182</v>
      </c>
      <c r="D186" t="inlineStr">
        <is>
          <t>STOCKHOLMS LÄN</t>
        </is>
      </c>
      <c r="E186" t="inlineStr">
        <is>
          <t>NORRTÄLJE</t>
        </is>
      </c>
      <c r="G186" t="n">
        <v>2.5</v>
      </c>
      <c r="H186" t="n">
        <v>0</v>
      </c>
      <c r="I186" t="n">
        <v>0</v>
      </c>
      <c r="J186" t="n">
        <v>0</v>
      </c>
      <c r="K186" t="n">
        <v>0</v>
      </c>
      <c r="L186" t="n">
        <v>0</v>
      </c>
      <c r="M186" t="n">
        <v>0</v>
      </c>
      <c r="N186" t="n">
        <v>0</v>
      </c>
      <c r="O186" t="n">
        <v>0</v>
      </c>
      <c r="P186" t="n">
        <v>0</v>
      </c>
      <c r="Q186" t="n">
        <v>0</v>
      </c>
      <c r="R186" s="2" t="inlineStr"/>
    </row>
    <row r="187" ht="15" customHeight="1">
      <c r="A187" t="inlineStr">
        <is>
          <t>A 60813-2021</t>
        </is>
      </c>
      <c r="B187" s="1" t="n">
        <v>44496</v>
      </c>
      <c r="C187" s="1" t="n">
        <v>46182</v>
      </c>
      <c r="D187" t="inlineStr">
        <is>
          <t>STOCKHOLMS LÄN</t>
        </is>
      </c>
      <c r="E187" t="inlineStr">
        <is>
          <t>NORRTÄLJE</t>
        </is>
      </c>
      <c r="G187" t="n">
        <v>1.6</v>
      </c>
      <c r="H187" t="n">
        <v>0</v>
      </c>
      <c r="I187" t="n">
        <v>0</v>
      </c>
      <c r="J187" t="n">
        <v>0</v>
      </c>
      <c r="K187" t="n">
        <v>0</v>
      </c>
      <c r="L187" t="n">
        <v>0</v>
      </c>
      <c r="M187" t="n">
        <v>0</v>
      </c>
      <c r="N187" t="n">
        <v>0</v>
      </c>
      <c r="O187" t="n">
        <v>0</v>
      </c>
      <c r="P187" t="n">
        <v>0</v>
      </c>
      <c r="Q187" t="n">
        <v>0</v>
      </c>
      <c r="R187" s="2" t="inlineStr"/>
    </row>
    <row r="188" ht="15" customHeight="1">
      <c r="A188" t="inlineStr">
        <is>
          <t>A 39497-2021</t>
        </is>
      </c>
      <c r="B188" s="1" t="n">
        <v>44414.81494212963</v>
      </c>
      <c r="C188" s="1" t="n">
        <v>46182</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34431-2021</t>
        </is>
      </c>
      <c r="B189" s="1" t="n">
        <v>44380</v>
      </c>
      <c r="C189" s="1" t="n">
        <v>46182</v>
      </c>
      <c r="D189" t="inlineStr">
        <is>
          <t>STOCKHOLMS LÄN</t>
        </is>
      </c>
      <c r="E189" t="inlineStr">
        <is>
          <t>NORRTÄLJE</t>
        </is>
      </c>
      <c r="G189" t="n">
        <v>3</v>
      </c>
      <c r="H189" t="n">
        <v>0</v>
      </c>
      <c r="I189" t="n">
        <v>0</v>
      </c>
      <c r="J189" t="n">
        <v>0</v>
      </c>
      <c r="K189" t="n">
        <v>0</v>
      </c>
      <c r="L189" t="n">
        <v>0</v>
      </c>
      <c r="M189" t="n">
        <v>0</v>
      </c>
      <c r="N189" t="n">
        <v>0</v>
      </c>
      <c r="O189" t="n">
        <v>0</v>
      </c>
      <c r="P189" t="n">
        <v>0</v>
      </c>
      <c r="Q189" t="n">
        <v>0</v>
      </c>
      <c r="R189" s="2" t="inlineStr"/>
    </row>
    <row r="190" ht="15" customHeight="1">
      <c r="A190" t="inlineStr">
        <is>
          <t>A 5351-2022</t>
        </is>
      </c>
      <c r="B190" s="1" t="n">
        <v>44594.75950231482</v>
      </c>
      <c r="C190" s="1" t="n">
        <v>46182</v>
      </c>
      <c r="D190" t="inlineStr">
        <is>
          <t>STOCKHOLMS LÄN</t>
        </is>
      </c>
      <c r="E190" t="inlineStr">
        <is>
          <t>NORRTÄLJE</t>
        </is>
      </c>
      <c r="G190" t="n">
        <v>4</v>
      </c>
      <c r="H190" t="n">
        <v>0</v>
      </c>
      <c r="I190" t="n">
        <v>0</v>
      </c>
      <c r="J190" t="n">
        <v>0</v>
      </c>
      <c r="K190" t="n">
        <v>0</v>
      </c>
      <c r="L190" t="n">
        <v>0</v>
      </c>
      <c r="M190" t="n">
        <v>0</v>
      </c>
      <c r="N190" t="n">
        <v>0</v>
      </c>
      <c r="O190" t="n">
        <v>0</v>
      </c>
      <c r="P190" t="n">
        <v>0</v>
      </c>
      <c r="Q190" t="n">
        <v>0</v>
      </c>
      <c r="R190" s="2" t="inlineStr"/>
    </row>
    <row r="191" ht="15" customHeight="1">
      <c r="A191" t="inlineStr">
        <is>
          <t>A 30129-2021</t>
        </is>
      </c>
      <c r="B191" s="1" t="n">
        <v>44363.5784375</v>
      </c>
      <c r="C191" s="1" t="n">
        <v>46182</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22316-2022</t>
        </is>
      </c>
      <c r="B192" s="1" t="n">
        <v>44712.83118055556</v>
      </c>
      <c r="C192" s="1" t="n">
        <v>46182</v>
      </c>
      <c r="D192" t="inlineStr">
        <is>
          <t>STOCKHOLMS LÄN</t>
        </is>
      </c>
      <c r="E192" t="inlineStr">
        <is>
          <t>NORRTÄLJE</t>
        </is>
      </c>
      <c r="G192" t="n">
        <v>6.3</v>
      </c>
      <c r="H192" t="n">
        <v>0</v>
      </c>
      <c r="I192" t="n">
        <v>0</v>
      </c>
      <c r="J192" t="n">
        <v>0</v>
      </c>
      <c r="K192" t="n">
        <v>0</v>
      </c>
      <c r="L192" t="n">
        <v>0</v>
      </c>
      <c r="M192" t="n">
        <v>0</v>
      </c>
      <c r="N192" t="n">
        <v>0</v>
      </c>
      <c r="O192" t="n">
        <v>0</v>
      </c>
      <c r="P192" t="n">
        <v>0</v>
      </c>
      <c r="Q192" t="n">
        <v>0</v>
      </c>
      <c r="R192" s="2" t="inlineStr"/>
    </row>
    <row r="193" ht="15" customHeight="1">
      <c r="A193" t="inlineStr">
        <is>
          <t>A 31092-2022</t>
        </is>
      </c>
      <c r="B193" s="1" t="n">
        <v>44769.62320601852</v>
      </c>
      <c r="C193" s="1" t="n">
        <v>46182</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71871-2021</t>
        </is>
      </c>
      <c r="B194" s="1" t="n">
        <v>44543</v>
      </c>
      <c r="C194" s="1" t="n">
        <v>46182</v>
      </c>
      <c r="D194" t="inlineStr">
        <is>
          <t>STOCKHOLMS LÄN</t>
        </is>
      </c>
      <c r="E194" t="inlineStr">
        <is>
          <t>NORRTÄLJE</t>
        </is>
      </c>
      <c r="G194" t="n">
        <v>2.5</v>
      </c>
      <c r="H194" t="n">
        <v>0</v>
      </c>
      <c r="I194" t="n">
        <v>0</v>
      </c>
      <c r="J194" t="n">
        <v>0</v>
      </c>
      <c r="K194" t="n">
        <v>0</v>
      </c>
      <c r="L194" t="n">
        <v>0</v>
      </c>
      <c r="M194" t="n">
        <v>0</v>
      </c>
      <c r="N194" t="n">
        <v>0</v>
      </c>
      <c r="O194" t="n">
        <v>0</v>
      </c>
      <c r="P194" t="n">
        <v>0</v>
      </c>
      <c r="Q194" t="n">
        <v>0</v>
      </c>
      <c r="R194" s="2" t="inlineStr"/>
    </row>
    <row r="195" ht="15" customHeight="1">
      <c r="A195" t="inlineStr">
        <is>
          <t>A 71873-2021</t>
        </is>
      </c>
      <c r="B195" s="1" t="n">
        <v>44543</v>
      </c>
      <c r="C195" s="1" t="n">
        <v>46182</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72355-2021</t>
        </is>
      </c>
      <c r="B196" s="1" t="n">
        <v>44545</v>
      </c>
      <c r="C196" s="1" t="n">
        <v>46182</v>
      </c>
      <c r="D196" t="inlineStr">
        <is>
          <t>STOCKHOLMS LÄN</t>
        </is>
      </c>
      <c r="E196" t="inlineStr">
        <is>
          <t>NORRTÄLJE</t>
        </is>
      </c>
      <c r="G196" t="n">
        <v>3.6</v>
      </c>
      <c r="H196" t="n">
        <v>0</v>
      </c>
      <c r="I196" t="n">
        <v>0</v>
      </c>
      <c r="J196" t="n">
        <v>0</v>
      </c>
      <c r="K196" t="n">
        <v>0</v>
      </c>
      <c r="L196" t="n">
        <v>0</v>
      </c>
      <c r="M196" t="n">
        <v>0</v>
      </c>
      <c r="N196" t="n">
        <v>0</v>
      </c>
      <c r="O196" t="n">
        <v>0</v>
      </c>
      <c r="P196" t="n">
        <v>0</v>
      </c>
      <c r="Q196" t="n">
        <v>0</v>
      </c>
      <c r="R196" s="2" t="inlineStr"/>
    </row>
    <row r="197" ht="15" customHeight="1">
      <c r="A197" t="inlineStr">
        <is>
          <t>A 72357-2021</t>
        </is>
      </c>
      <c r="B197" s="1" t="n">
        <v>44545</v>
      </c>
      <c r="C197" s="1" t="n">
        <v>46182</v>
      </c>
      <c r="D197" t="inlineStr">
        <is>
          <t>STOCKHOLMS LÄN</t>
        </is>
      </c>
      <c r="E197" t="inlineStr">
        <is>
          <t>NORRTÄLJE</t>
        </is>
      </c>
      <c r="G197" t="n">
        <v>5.1</v>
      </c>
      <c r="H197" t="n">
        <v>0</v>
      </c>
      <c r="I197" t="n">
        <v>0</v>
      </c>
      <c r="J197" t="n">
        <v>0</v>
      </c>
      <c r="K197" t="n">
        <v>0</v>
      </c>
      <c r="L197" t="n">
        <v>0</v>
      </c>
      <c r="M197" t="n">
        <v>0</v>
      </c>
      <c r="N197" t="n">
        <v>0</v>
      </c>
      <c r="O197" t="n">
        <v>0</v>
      </c>
      <c r="P197" t="n">
        <v>0</v>
      </c>
      <c r="Q197" t="n">
        <v>0</v>
      </c>
      <c r="R197" s="2" t="inlineStr"/>
    </row>
    <row r="198" ht="15" customHeight="1">
      <c r="A198" t="inlineStr">
        <is>
          <t>A 9988-2022</t>
        </is>
      </c>
      <c r="B198" s="1" t="n">
        <v>44621</v>
      </c>
      <c r="C198" s="1" t="n">
        <v>46182</v>
      </c>
      <c r="D198" t="inlineStr">
        <is>
          <t>STOCKHOLMS LÄN</t>
        </is>
      </c>
      <c r="E198" t="inlineStr">
        <is>
          <t>NORRTÄLJE</t>
        </is>
      </c>
      <c r="G198" t="n">
        <v>1.3</v>
      </c>
      <c r="H198" t="n">
        <v>0</v>
      </c>
      <c r="I198" t="n">
        <v>0</v>
      </c>
      <c r="J198" t="n">
        <v>0</v>
      </c>
      <c r="K198" t="n">
        <v>0</v>
      </c>
      <c r="L198" t="n">
        <v>0</v>
      </c>
      <c r="M198" t="n">
        <v>0</v>
      </c>
      <c r="N198" t="n">
        <v>0</v>
      </c>
      <c r="O198" t="n">
        <v>0</v>
      </c>
      <c r="P198" t="n">
        <v>0</v>
      </c>
      <c r="Q198" t="n">
        <v>0</v>
      </c>
      <c r="R198" s="2" t="inlineStr"/>
    </row>
    <row r="199" ht="15" customHeight="1">
      <c r="A199" t="inlineStr">
        <is>
          <t>A 60733-2021</t>
        </is>
      </c>
      <c r="B199" s="1" t="n">
        <v>44496.77542824074</v>
      </c>
      <c r="C199" s="1" t="n">
        <v>46182</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53884-2022</t>
        </is>
      </c>
      <c r="B200" s="1" t="n">
        <v>44880.68423611111</v>
      </c>
      <c r="C200" s="1" t="n">
        <v>46182</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12357-2022</t>
        </is>
      </c>
      <c r="B201" s="1" t="n">
        <v>44637</v>
      </c>
      <c r="C201" s="1" t="n">
        <v>46182</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26335-2022</t>
        </is>
      </c>
      <c r="B202" s="1" t="n">
        <v>44735</v>
      </c>
      <c r="C202" s="1" t="n">
        <v>46182</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30624-2022</t>
        </is>
      </c>
      <c r="B203" s="1" t="n">
        <v>44763.4182175926</v>
      </c>
      <c r="C203" s="1" t="n">
        <v>46182</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33046-2021</t>
        </is>
      </c>
      <c r="B204" s="1" t="n">
        <v>44376</v>
      </c>
      <c r="C204" s="1" t="n">
        <v>46182</v>
      </c>
      <c r="D204" t="inlineStr">
        <is>
          <t>STOCKHOLMS LÄN</t>
        </is>
      </c>
      <c r="E204" t="inlineStr">
        <is>
          <t>NORRTÄLJE</t>
        </is>
      </c>
      <c r="G204" t="n">
        <v>2.1</v>
      </c>
      <c r="H204" t="n">
        <v>0</v>
      </c>
      <c r="I204" t="n">
        <v>0</v>
      </c>
      <c r="J204" t="n">
        <v>0</v>
      </c>
      <c r="K204" t="n">
        <v>0</v>
      </c>
      <c r="L204" t="n">
        <v>0</v>
      </c>
      <c r="M204" t="n">
        <v>0</v>
      </c>
      <c r="N204" t="n">
        <v>0</v>
      </c>
      <c r="O204" t="n">
        <v>0</v>
      </c>
      <c r="P204" t="n">
        <v>0</v>
      </c>
      <c r="Q204" t="n">
        <v>0</v>
      </c>
      <c r="R204" s="2" t="inlineStr"/>
    </row>
    <row r="205" ht="15" customHeight="1">
      <c r="A205" t="inlineStr">
        <is>
          <t>A 26328-2022</t>
        </is>
      </c>
      <c r="B205" s="1" t="n">
        <v>44735</v>
      </c>
      <c r="C205" s="1" t="n">
        <v>46182</v>
      </c>
      <c r="D205" t="inlineStr">
        <is>
          <t>STOCKHOLMS LÄN</t>
        </is>
      </c>
      <c r="E205" t="inlineStr">
        <is>
          <t>NORRTÄLJE</t>
        </is>
      </c>
      <c r="G205" t="n">
        <v>2.8</v>
      </c>
      <c r="H205" t="n">
        <v>0</v>
      </c>
      <c r="I205" t="n">
        <v>0</v>
      </c>
      <c r="J205" t="n">
        <v>0</v>
      </c>
      <c r="K205" t="n">
        <v>0</v>
      </c>
      <c r="L205" t="n">
        <v>0</v>
      </c>
      <c r="M205" t="n">
        <v>0</v>
      </c>
      <c r="N205" t="n">
        <v>0</v>
      </c>
      <c r="O205" t="n">
        <v>0</v>
      </c>
      <c r="P205" t="n">
        <v>0</v>
      </c>
      <c r="Q205" t="n">
        <v>0</v>
      </c>
      <c r="R205" s="2" t="inlineStr"/>
    </row>
    <row r="206" ht="15" customHeight="1">
      <c r="A206" t="inlineStr">
        <is>
          <t>A 67598-2021</t>
        </is>
      </c>
      <c r="B206" s="1" t="n">
        <v>44524</v>
      </c>
      <c r="C206" s="1" t="n">
        <v>46182</v>
      </c>
      <c r="D206" t="inlineStr">
        <is>
          <t>STOCKHOLMS LÄN</t>
        </is>
      </c>
      <c r="E206" t="inlineStr">
        <is>
          <t>NORRTÄLJE</t>
        </is>
      </c>
      <c r="G206" t="n">
        <v>1.2</v>
      </c>
      <c r="H206" t="n">
        <v>0</v>
      </c>
      <c r="I206" t="n">
        <v>0</v>
      </c>
      <c r="J206" t="n">
        <v>0</v>
      </c>
      <c r="K206" t="n">
        <v>0</v>
      </c>
      <c r="L206" t="n">
        <v>0</v>
      </c>
      <c r="M206" t="n">
        <v>0</v>
      </c>
      <c r="N206" t="n">
        <v>0</v>
      </c>
      <c r="O206" t="n">
        <v>0</v>
      </c>
      <c r="P206" t="n">
        <v>0</v>
      </c>
      <c r="Q206" t="n">
        <v>0</v>
      </c>
      <c r="R206" s="2" t="inlineStr"/>
    </row>
    <row r="207" ht="15" customHeight="1">
      <c r="A207" t="inlineStr">
        <is>
          <t>A 34520-2021</t>
        </is>
      </c>
      <c r="B207" s="1" t="n">
        <v>44379</v>
      </c>
      <c r="C207" s="1" t="n">
        <v>46182</v>
      </c>
      <c r="D207" t="inlineStr">
        <is>
          <t>STOCKHOLMS LÄN</t>
        </is>
      </c>
      <c r="E207" t="inlineStr">
        <is>
          <t>NORRTÄLJE</t>
        </is>
      </c>
      <c r="G207" t="n">
        <v>1.7</v>
      </c>
      <c r="H207" t="n">
        <v>0</v>
      </c>
      <c r="I207" t="n">
        <v>0</v>
      </c>
      <c r="J207" t="n">
        <v>0</v>
      </c>
      <c r="K207" t="n">
        <v>0</v>
      </c>
      <c r="L207" t="n">
        <v>0</v>
      </c>
      <c r="M207" t="n">
        <v>0</v>
      </c>
      <c r="N207" t="n">
        <v>0</v>
      </c>
      <c r="O207" t="n">
        <v>0</v>
      </c>
      <c r="P207" t="n">
        <v>0</v>
      </c>
      <c r="Q207" t="n">
        <v>0</v>
      </c>
      <c r="R207" s="2" t="inlineStr"/>
    </row>
    <row r="208" ht="15" customHeight="1">
      <c r="A208" t="inlineStr">
        <is>
          <t>A 1968-2022</t>
        </is>
      </c>
      <c r="B208" s="1" t="n">
        <v>44575.52831018518</v>
      </c>
      <c r="C208" s="1" t="n">
        <v>46182</v>
      </c>
      <c r="D208" t="inlineStr">
        <is>
          <t>STOCKHOLMS LÄN</t>
        </is>
      </c>
      <c r="E208" t="inlineStr">
        <is>
          <t>NORRTÄLJE</t>
        </is>
      </c>
      <c r="G208" t="n">
        <v>0.6</v>
      </c>
      <c r="H208" t="n">
        <v>0</v>
      </c>
      <c r="I208" t="n">
        <v>0</v>
      </c>
      <c r="J208" t="n">
        <v>0</v>
      </c>
      <c r="K208" t="n">
        <v>0</v>
      </c>
      <c r="L208" t="n">
        <v>0</v>
      </c>
      <c r="M208" t="n">
        <v>0</v>
      </c>
      <c r="N208" t="n">
        <v>0</v>
      </c>
      <c r="O208" t="n">
        <v>0</v>
      </c>
      <c r="P208" t="n">
        <v>0</v>
      </c>
      <c r="Q208" t="n">
        <v>0</v>
      </c>
      <c r="R208" s="2" t="inlineStr"/>
    </row>
    <row r="209" ht="15" customHeight="1">
      <c r="A209" t="inlineStr">
        <is>
          <t>A 1229-2022</t>
        </is>
      </c>
      <c r="B209" s="1" t="n">
        <v>44572</v>
      </c>
      <c r="C209" s="1" t="n">
        <v>46182</v>
      </c>
      <c r="D209" t="inlineStr">
        <is>
          <t>STOCKHOLMS LÄN</t>
        </is>
      </c>
      <c r="E209" t="inlineStr">
        <is>
          <t>NORRTÄLJE</t>
        </is>
      </c>
      <c r="G209" t="n">
        <v>11.5</v>
      </c>
      <c r="H209" t="n">
        <v>0</v>
      </c>
      <c r="I209" t="n">
        <v>0</v>
      </c>
      <c r="J209" t="n">
        <v>0</v>
      </c>
      <c r="K209" t="n">
        <v>0</v>
      </c>
      <c r="L209" t="n">
        <v>0</v>
      </c>
      <c r="M209" t="n">
        <v>0</v>
      </c>
      <c r="N209" t="n">
        <v>0</v>
      </c>
      <c r="O209" t="n">
        <v>0</v>
      </c>
      <c r="P209" t="n">
        <v>0</v>
      </c>
      <c r="Q209" t="n">
        <v>0</v>
      </c>
      <c r="R209" s="2" t="inlineStr"/>
    </row>
    <row r="210" ht="15" customHeight="1">
      <c r="A210" t="inlineStr">
        <is>
          <t>A 14051-2022</t>
        </is>
      </c>
      <c r="B210" s="1" t="n">
        <v>44650.92714120371</v>
      </c>
      <c r="C210" s="1" t="n">
        <v>46182</v>
      </c>
      <c r="D210" t="inlineStr">
        <is>
          <t>STOCKHOLMS LÄN</t>
        </is>
      </c>
      <c r="E210" t="inlineStr">
        <is>
          <t>NORRTÄLJE</t>
        </is>
      </c>
      <c r="G210" t="n">
        <v>2.3</v>
      </c>
      <c r="H210" t="n">
        <v>0</v>
      </c>
      <c r="I210" t="n">
        <v>0</v>
      </c>
      <c r="J210" t="n">
        <v>0</v>
      </c>
      <c r="K210" t="n">
        <v>0</v>
      </c>
      <c r="L210" t="n">
        <v>0</v>
      </c>
      <c r="M210" t="n">
        <v>0</v>
      </c>
      <c r="N210" t="n">
        <v>0</v>
      </c>
      <c r="O210" t="n">
        <v>0</v>
      </c>
      <c r="P210" t="n">
        <v>0</v>
      </c>
      <c r="Q210" t="n">
        <v>0</v>
      </c>
      <c r="R210" s="2" t="inlineStr"/>
    </row>
    <row r="211" ht="15" customHeight="1">
      <c r="A211" t="inlineStr">
        <is>
          <t>A 24101-2022</t>
        </is>
      </c>
      <c r="B211" s="1" t="n">
        <v>44725</v>
      </c>
      <c r="C211" s="1" t="n">
        <v>46182</v>
      </c>
      <c r="D211" t="inlineStr">
        <is>
          <t>STOCKHOLMS LÄN</t>
        </is>
      </c>
      <c r="E211" t="inlineStr">
        <is>
          <t>NORRTÄLJE</t>
        </is>
      </c>
      <c r="G211" t="n">
        <v>1.5</v>
      </c>
      <c r="H211" t="n">
        <v>0</v>
      </c>
      <c r="I211" t="n">
        <v>0</v>
      </c>
      <c r="J211" t="n">
        <v>0</v>
      </c>
      <c r="K211" t="n">
        <v>0</v>
      </c>
      <c r="L211" t="n">
        <v>0</v>
      </c>
      <c r="M211" t="n">
        <v>0</v>
      </c>
      <c r="N211" t="n">
        <v>0</v>
      </c>
      <c r="O211" t="n">
        <v>0</v>
      </c>
      <c r="P211" t="n">
        <v>0</v>
      </c>
      <c r="Q211" t="n">
        <v>0</v>
      </c>
      <c r="R211" s="2" t="inlineStr"/>
    </row>
    <row r="212" ht="15" customHeight="1">
      <c r="A212" t="inlineStr">
        <is>
          <t>A 62030-2021</t>
        </is>
      </c>
      <c r="B212" s="1" t="n">
        <v>44502</v>
      </c>
      <c r="C212" s="1" t="n">
        <v>46182</v>
      </c>
      <c r="D212" t="inlineStr">
        <is>
          <t>STOCKHOLMS LÄN</t>
        </is>
      </c>
      <c r="E212" t="inlineStr">
        <is>
          <t>NORRTÄLJE</t>
        </is>
      </c>
      <c r="G212" t="n">
        <v>4.7</v>
      </c>
      <c r="H212" t="n">
        <v>0</v>
      </c>
      <c r="I212" t="n">
        <v>0</v>
      </c>
      <c r="J212" t="n">
        <v>0</v>
      </c>
      <c r="K212" t="n">
        <v>0</v>
      </c>
      <c r="L212" t="n">
        <v>0</v>
      </c>
      <c r="M212" t="n">
        <v>0</v>
      </c>
      <c r="N212" t="n">
        <v>0</v>
      </c>
      <c r="O212" t="n">
        <v>0</v>
      </c>
      <c r="P212" t="n">
        <v>0</v>
      </c>
      <c r="Q212" t="n">
        <v>0</v>
      </c>
      <c r="R212" s="2" t="inlineStr"/>
    </row>
    <row r="213" ht="15" customHeight="1">
      <c r="A213" t="inlineStr">
        <is>
          <t>A 24167-2022</t>
        </is>
      </c>
      <c r="B213" s="1" t="n">
        <v>44725.49491898148</v>
      </c>
      <c r="C213" s="1" t="n">
        <v>46182</v>
      </c>
      <c r="D213" t="inlineStr">
        <is>
          <t>STOCKHOLMS LÄN</t>
        </is>
      </c>
      <c r="E213" t="inlineStr">
        <is>
          <t>NORRTÄLJE</t>
        </is>
      </c>
      <c r="G213" t="n">
        <v>3.4</v>
      </c>
      <c r="H213" t="n">
        <v>0</v>
      </c>
      <c r="I213" t="n">
        <v>0</v>
      </c>
      <c r="J213" t="n">
        <v>0</v>
      </c>
      <c r="K213" t="n">
        <v>0</v>
      </c>
      <c r="L213" t="n">
        <v>0</v>
      </c>
      <c r="M213" t="n">
        <v>0</v>
      </c>
      <c r="N213" t="n">
        <v>0</v>
      </c>
      <c r="O213" t="n">
        <v>0</v>
      </c>
      <c r="P213" t="n">
        <v>0</v>
      </c>
      <c r="Q213" t="n">
        <v>0</v>
      </c>
      <c r="R213" s="2" t="inlineStr"/>
    </row>
    <row r="214" ht="15" customHeight="1">
      <c r="A214" t="inlineStr">
        <is>
          <t>A 12875-2022</t>
        </is>
      </c>
      <c r="B214" s="1" t="n">
        <v>44642.55565972222</v>
      </c>
      <c r="C214" s="1" t="n">
        <v>46182</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42396-2021</t>
        </is>
      </c>
      <c r="B215" s="1" t="n">
        <v>44427</v>
      </c>
      <c r="C215" s="1" t="n">
        <v>46182</v>
      </c>
      <c r="D215" t="inlineStr">
        <is>
          <t>STOCKHOLMS LÄN</t>
        </is>
      </c>
      <c r="E215" t="inlineStr">
        <is>
          <t>NORRTÄLJE</t>
        </is>
      </c>
      <c r="G215" t="n">
        <v>2</v>
      </c>
      <c r="H215" t="n">
        <v>0</v>
      </c>
      <c r="I215" t="n">
        <v>0</v>
      </c>
      <c r="J215" t="n">
        <v>0</v>
      </c>
      <c r="K215" t="n">
        <v>0</v>
      </c>
      <c r="L215" t="n">
        <v>0</v>
      </c>
      <c r="M215" t="n">
        <v>0</v>
      </c>
      <c r="N215" t="n">
        <v>0</v>
      </c>
      <c r="O215" t="n">
        <v>0</v>
      </c>
      <c r="P215" t="n">
        <v>0</v>
      </c>
      <c r="Q215" t="n">
        <v>0</v>
      </c>
      <c r="R215" s="2" t="inlineStr"/>
    </row>
    <row r="216" ht="15" customHeight="1">
      <c r="A216" t="inlineStr">
        <is>
          <t>A 38721-2022</t>
        </is>
      </c>
      <c r="B216" s="1" t="n">
        <v>44815</v>
      </c>
      <c r="C216" s="1" t="n">
        <v>46182</v>
      </c>
      <c r="D216" t="inlineStr">
        <is>
          <t>STOCKHOLMS LÄN</t>
        </is>
      </c>
      <c r="E216" t="inlineStr">
        <is>
          <t>NORRTÄLJE</t>
        </is>
      </c>
      <c r="G216" t="n">
        <v>1.3</v>
      </c>
      <c r="H216" t="n">
        <v>0</v>
      </c>
      <c r="I216" t="n">
        <v>0</v>
      </c>
      <c r="J216" t="n">
        <v>0</v>
      </c>
      <c r="K216" t="n">
        <v>0</v>
      </c>
      <c r="L216" t="n">
        <v>0</v>
      </c>
      <c r="M216" t="n">
        <v>0</v>
      </c>
      <c r="N216" t="n">
        <v>0</v>
      </c>
      <c r="O216" t="n">
        <v>0</v>
      </c>
      <c r="P216" t="n">
        <v>0</v>
      </c>
      <c r="Q216" t="n">
        <v>0</v>
      </c>
      <c r="R216" s="2" t="inlineStr"/>
    </row>
    <row r="217" ht="15" customHeight="1">
      <c r="A217" t="inlineStr">
        <is>
          <t>A 60184-2021</t>
        </is>
      </c>
      <c r="B217" s="1" t="n">
        <v>44495</v>
      </c>
      <c r="C217" s="1" t="n">
        <v>46182</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2732-2022</t>
        </is>
      </c>
      <c r="B218" s="1" t="n">
        <v>44580</v>
      </c>
      <c r="C218" s="1" t="n">
        <v>46182</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12355-2022</t>
        </is>
      </c>
      <c r="B219" s="1" t="n">
        <v>44637</v>
      </c>
      <c r="C219" s="1" t="n">
        <v>46182</v>
      </c>
      <c r="D219" t="inlineStr">
        <is>
          <t>STOCKHOLMS LÄN</t>
        </is>
      </c>
      <c r="E219" t="inlineStr">
        <is>
          <t>NORRTÄLJE</t>
        </is>
      </c>
      <c r="G219" t="n">
        <v>10.4</v>
      </c>
      <c r="H219" t="n">
        <v>0</v>
      </c>
      <c r="I219" t="n">
        <v>0</v>
      </c>
      <c r="J219" t="n">
        <v>0</v>
      </c>
      <c r="K219" t="n">
        <v>0</v>
      </c>
      <c r="L219" t="n">
        <v>0</v>
      </c>
      <c r="M219" t="n">
        <v>0</v>
      </c>
      <c r="N219" t="n">
        <v>0</v>
      </c>
      <c r="O219" t="n">
        <v>0</v>
      </c>
      <c r="P219" t="n">
        <v>0</v>
      </c>
      <c r="Q219" t="n">
        <v>0</v>
      </c>
      <c r="R219" s="2" t="inlineStr"/>
    </row>
    <row r="220" ht="15" customHeight="1">
      <c r="A220" t="inlineStr">
        <is>
          <t>A 27828-2022</t>
        </is>
      </c>
      <c r="B220" s="1" t="n">
        <v>44743.59765046297</v>
      </c>
      <c r="C220" s="1" t="n">
        <v>46182</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16229-2022</t>
        </is>
      </c>
      <c r="B221" s="1" t="n">
        <v>44670.4190162037</v>
      </c>
      <c r="C221" s="1" t="n">
        <v>46182</v>
      </c>
      <c r="D221" t="inlineStr">
        <is>
          <t>STOCKHOLMS LÄN</t>
        </is>
      </c>
      <c r="E221" t="inlineStr">
        <is>
          <t>NORRTÄLJE</t>
        </is>
      </c>
      <c r="G221" t="n">
        <v>7.4</v>
      </c>
      <c r="H221" t="n">
        <v>0</v>
      </c>
      <c r="I221" t="n">
        <v>0</v>
      </c>
      <c r="J221" t="n">
        <v>0</v>
      </c>
      <c r="K221" t="n">
        <v>0</v>
      </c>
      <c r="L221" t="n">
        <v>0</v>
      </c>
      <c r="M221" t="n">
        <v>0</v>
      </c>
      <c r="N221" t="n">
        <v>0</v>
      </c>
      <c r="O221" t="n">
        <v>0</v>
      </c>
      <c r="P221" t="n">
        <v>0</v>
      </c>
      <c r="Q221" t="n">
        <v>0</v>
      </c>
      <c r="R221" s="2" t="inlineStr"/>
    </row>
    <row r="222" ht="15" customHeight="1">
      <c r="A222" t="inlineStr">
        <is>
          <t>A 33226-2024</t>
        </is>
      </c>
      <c r="B222" s="1" t="n">
        <v>45518</v>
      </c>
      <c r="C222" s="1" t="n">
        <v>46182</v>
      </c>
      <c r="D222" t="inlineStr">
        <is>
          <t>STOCKHOLMS LÄN</t>
        </is>
      </c>
      <c r="E222" t="inlineStr">
        <is>
          <t>NORRTÄLJE</t>
        </is>
      </c>
      <c r="G222" t="n">
        <v>13.8</v>
      </c>
      <c r="H222" t="n">
        <v>0</v>
      </c>
      <c r="I222" t="n">
        <v>0</v>
      </c>
      <c r="J222" t="n">
        <v>0</v>
      </c>
      <c r="K222" t="n">
        <v>0</v>
      </c>
      <c r="L222" t="n">
        <v>0</v>
      </c>
      <c r="M222" t="n">
        <v>0</v>
      </c>
      <c r="N222" t="n">
        <v>0</v>
      </c>
      <c r="O222" t="n">
        <v>0</v>
      </c>
      <c r="P222" t="n">
        <v>0</v>
      </c>
      <c r="Q222" t="n">
        <v>0</v>
      </c>
      <c r="R222" s="2" t="inlineStr"/>
    </row>
    <row r="223" ht="15" customHeight="1">
      <c r="A223" t="inlineStr">
        <is>
          <t>A 16119-2022</t>
        </is>
      </c>
      <c r="B223" s="1" t="n">
        <v>44665.66407407408</v>
      </c>
      <c r="C223" s="1" t="n">
        <v>46182</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7565-2022</t>
        </is>
      </c>
      <c r="B224" s="1" t="n">
        <v>44607</v>
      </c>
      <c r="C224" s="1" t="n">
        <v>46182</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22008-2024</t>
        </is>
      </c>
      <c r="B225" s="1" t="n">
        <v>45443</v>
      </c>
      <c r="C225" s="1" t="n">
        <v>46182</v>
      </c>
      <c r="D225" t="inlineStr">
        <is>
          <t>STOCKHOLMS LÄN</t>
        </is>
      </c>
      <c r="E225" t="inlineStr">
        <is>
          <t>NORRTÄLJE</t>
        </is>
      </c>
      <c r="G225" t="n">
        <v>2</v>
      </c>
      <c r="H225" t="n">
        <v>0</v>
      </c>
      <c r="I225" t="n">
        <v>0</v>
      </c>
      <c r="J225" t="n">
        <v>0</v>
      </c>
      <c r="K225" t="n">
        <v>0</v>
      </c>
      <c r="L225" t="n">
        <v>0</v>
      </c>
      <c r="M225" t="n">
        <v>0</v>
      </c>
      <c r="N225" t="n">
        <v>0</v>
      </c>
      <c r="O225" t="n">
        <v>0</v>
      </c>
      <c r="P225" t="n">
        <v>0</v>
      </c>
      <c r="Q225" t="n">
        <v>0</v>
      </c>
      <c r="R225" s="2" t="inlineStr"/>
    </row>
    <row r="226" ht="15" customHeight="1">
      <c r="A226" t="inlineStr">
        <is>
          <t>A 41822-2021</t>
        </is>
      </c>
      <c r="B226" s="1" t="n">
        <v>44425</v>
      </c>
      <c r="C226" s="1" t="n">
        <v>46182</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41823-2021</t>
        </is>
      </c>
      <c r="B227" s="1" t="n">
        <v>44425</v>
      </c>
      <c r="C227" s="1" t="n">
        <v>46182</v>
      </c>
      <c r="D227" t="inlineStr">
        <is>
          <t>STOCKHOLMS LÄN</t>
        </is>
      </c>
      <c r="E227" t="inlineStr">
        <is>
          <t>NORRTÄLJE</t>
        </is>
      </c>
      <c r="G227" t="n">
        <v>2.4</v>
      </c>
      <c r="H227" t="n">
        <v>0</v>
      </c>
      <c r="I227" t="n">
        <v>0</v>
      </c>
      <c r="J227" t="n">
        <v>0</v>
      </c>
      <c r="K227" t="n">
        <v>0</v>
      </c>
      <c r="L227" t="n">
        <v>0</v>
      </c>
      <c r="M227" t="n">
        <v>0</v>
      </c>
      <c r="N227" t="n">
        <v>0</v>
      </c>
      <c r="O227" t="n">
        <v>0</v>
      </c>
      <c r="P227" t="n">
        <v>0</v>
      </c>
      <c r="Q227" t="n">
        <v>0</v>
      </c>
      <c r="R227" s="2" t="inlineStr"/>
    </row>
    <row r="228" ht="15" customHeight="1">
      <c r="A228" t="inlineStr">
        <is>
          <t>A 31924-2022</t>
        </is>
      </c>
      <c r="B228" s="1" t="n">
        <v>44777</v>
      </c>
      <c r="C228" s="1" t="n">
        <v>46182</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72704-2021</t>
        </is>
      </c>
      <c r="B229" s="1" t="n">
        <v>44546</v>
      </c>
      <c r="C229" s="1" t="n">
        <v>46182</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52743-2024</t>
        </is>
      </c>
      <c r="B230" s="1" t="n">
        <v>45610.47414351852</v>
      </c>
      <c r="C230" s="1" t="n">
        <v>46182</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16852-2024</t>
        </is>
      </c>
      <c r="B231" s="1" t="n">
        <v>45411.54768518519</v>
      </c>
      <c r="C231" s="1" t="n">
        <v>46182</v>
      </c>
      <c r="D231" t="inlineStr">
        <is>
          <t>STOCKHOLMS LÄN</t>
        </is>
      </c>
      <c r="E231" t="inlineStr">
        <is>
          <t>NORRTÄLJE</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55243-2023</t>
        </is>
      </c>
      <c r="B232" s="1" t="n">
        <v>45237</v>
      </c>
      <c r="C232" s="1" t="n">
        <v>46182</v>
      </c>
      <c r="D232" t="inlineStr">
        <is>
          <t>STOCKHOLMS LÄN</t>
        </is>
      </c>
      <c r="E232" t="inlineStr">
        <is>
          <t>NORRTÄLJE</t>
        </is>
      </c>
      <c r="G232" t="n">
        <v>6.5</v>
      </c>
      <c r="H232" t="n">
        <v>0</v>
      </c>
      <c r="I232" t="n">
        <v>0</v>
      </c>
      <c r="J232" t="n">
        <v>0</v>
      </c>
      <c r="K232" t="n">
        <v>0</v>
      </c>
      <c r="L232" t="n">
        <v>0</v>
      </c>
      <c r="M232" t="n">
        <v>0</v>
      </c>
      <c r="N232" t="n">
        <v>0</v>
      </c>
      <c r="O232" t="n">
        <v>0</v>
      </c>
      <c r="P232" t="n">
        <v>0</v>
      </c>
      <c r="Q232" t="n">
        <v>0</v>
      </c>
      <c r="R232" s="2" t="inlineStr"/>
    </row>
    <row r="233" ht="15" customHeight="1">
      <c r="A233" t="inlineStr">
        <is>
          <t>A 12270-2022</t>
        </is>
      </c>
      <c r="B233" s="1" t="n">
        <v>44637</v>
      </c>
      <c r="C233" s="1" t="n">
        <v>46182</v>
      </c>
      <c r="D233" t="inlineStr">
        <is>
          <t>STOCKHOLMS LÄN</t>
        </is>
      </c>
      <c r="E233" t="inlineStr">
        <is>
          <t>NORRTÄLJE</t>
        </is>
      </c>
      <c r="G233" t="n">
        <v>2.3</v>
      </c>
      <c r="H233" t="n">
        <v>0</v>
      </c>
      <c r="I233" t="n">
        <v>0</v>
      </c>
      <c r="J233" t="n">
        <v>0</v>
      </c>
      <c r="K233" t="n">
        <v>0</v>
      </c>
      <c r="L233" t="n">
        <v>0</v>
      </c>
      <c r="M233" t="n">
        <v>0</v>
      </c>
      <c r="N233" t="n">
        <v>0</v>
      </c>
      <c r="O233" t="n">
        <v>0</v>
      </c>
      <c r="P233" t="n">
        <v>0</v>
      </c>
      <c r="Q233" t="n">
        <v>0</v>
      </c>
      <c r="R233" s="2" t="inlineStr"/>
    </row>
    <row r="234" ht="15" customHeight="1">
      <c r="A234" t="inlineStr">
        <is>
          <t>A 14543-2022</t>
        </is>
      </c>
      <c r="B234" s="1" t="n">
        <v>44655.45373842592</v>
      </c>
      <c r="C234" s="1" t="n">
        <v>46182</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52260-2022</t>
        </is>
      </c>
      <c r="B235" s="1" t="n">
        <v>44869</v>
      </c>
      <c r="C235" s="1" t="n">
        <v>46182</v>
      </c>
      <c r="D235" t="inlineStr">
        <is>
          <t>STOCKHOLMS LÄN</t>
        </is>
      </c>
      <c r="E235" t="inlineStr">
        <is>
          <t>NORRTÄLJE</t>
        </is>
      </c>
      <c r="G235" t="n">
        <v>3.1</v>
      </c>
      <c r="H235" t="n">
        <v>0</v>
      </c>
      <c r="I235" t="n">
        <v>0</v>
      </c>
      <c r="J235" t="n">
        <v>0</v>
      </c>
      <c r="K235" t="n">
        <v>0</v>
      </c>
      <c r="L235" t="n">
        <v>0</v>
      </c>
      <c r="M235" t="n">
        <v>0</v>
      </c>
      <c r="N235" t="n">
        <v>0</v>
      </c>
      <c r="O235" t="n">
        <v>0</v>
      </c>
      <c r="P235" t="n">
        <v>0</v>
      </c>
      <c r="Q235" t="n">
        <v>0</v>
      </c>
      <c r="R235" s="2" t="inlineStr"/>
    </row>
    <row r="236" ht="15" customHeight="1">
      <c r="A236" t="inlineStr">
        <is>
          <t>A 25557-2023</t>
        </is>
      </c>
      <c r="B236" s="1" t="n">
        <v>45089</v>
      </c>
      <c r="C236" s="1" t="n">
        <v>46182</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27715-2022</t>
        </is>
      </c>
      <c r="B237" s="1" t="n">
        <v>44743.47407407407</v>
      </c>
      <c r="C237" s="1" t="n">
        <v>46182</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5513-2022</t>
        </is>
      </c>
      <c r="B238" s="1" t="n">
        <v>44595</v>
      </c>
      <c r="C238" s="1" t="n">
        <v>46182</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13053-2022</t>
        </is>
      </c>
      <c r="B239" s="1" t="n">
        <v>44643</v>
      </c>
      <c r="C239" s="1" t="n">
        <v>46182</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15915-2023</t>
        </is>
      </c>
      <c r="B240" s="1" t="n">
        <v>45022</v>
      </c>
      <c r="C240" s="1" t="n">
        <v>46182</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55755-2023</t>
        </is>
      </c>
      <c r="B241" s="1" t="n">
        <v>45239</v>
      </c>
      <c r="C241" s="1" t="n">
        <v>46182</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20295-2022</t>
        </is>
      </c>
      <c r="B242" s="1" t="n">
        <v>44698</v>
      </c>
      <c r="C242" s="1" t="n">
        <v>46182</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37415-2021</t>
        </is>
      </c>
      <c r="B243" s="1" t="n">
        <v>44397</v>
      </c>
      <c r="C243" s="1" t="n">
        <v>46182</v>
      </c>
      <c r="D243" t="inlineStr">
        <is>
          <t>STOCKHOLMS LÄN</t>
        </is>
      </c>
      <c r="E243" t="inlineStr">
        <is>
          <t>NORRTÄLJE</t>
        </is>
      </c>
      <c r="F243" t="inlineStr">
        <is>
          <t>Övriga Aktiebolag</t>
        </is>
      </c>
      <c r="G243" t="n">
        <v>3</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46182</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46182</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30286-2022</t>
        </is>
      </c>
      <c r="B246" s="1" t="n">
        <v>44760</v>
      </c>
      <c r="C246" s="1" t="n">
        <v>46182</v>
      </c>
      <c r="D246" t="inlineStr">
        <is>
          <t>STOCKHOLMS LÄN</t>
        </is>
      </c>
      <c r="E246" t="inlineStr">
        <is>
          <t>NORRTÄLJE</t>
        </is>
      </c>
      <c r="G246" t="n">
        <v>0.3</v>
      </c>
      <c r="H246" t="n">
        <v>0</v>
      </c>
      <c r="I246" t="n">
        <v>0</v>
      </c>
      <c r="J246" t="n">
        <v>0</v>
      </c>
      <c r="K246" t="n">
        <v>0</v>
      </c>
      <c r="L246" t="n">
        <v>0</v>
      </c>
      <c r="M246" t="n">
        <v>0</v>
      </c>
      <c r="N246" t="n">
        <v>0</v>
      </c>
      <c r="O246" t="n">
        <v>0</v>
      </c>
      <c r="P246" t="n">
        <v>0</v>
      </c>
      <c r="Q246" t="n">
        <v>0</v>
      </c>
      <c r="R246" s="2" t="inlineStr"/>
    </row>
    <row r="247" ht="15" customHeight="1">
      <c r="A247" t="inlineStr">
        <is>
          <t>A 8160-2022</t>
        </is>
      </c>
      <c r="B247" s="1" t="n">
        <v>44609</v>
      </c>
      <c r="C247" s="1" t="n">
        <v>46182</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29972-2024</t>
        </is>
      </c>
      <c r="B248" s="1" t="n">
        <v>45485</v>
      </c>
      <c r="C248" s="1" t="n">
        <v>46182</v>
      </c>
      <c r="D248" t="inlineStr">
        <is>
          <t>STOCKHOLMS LÄN</t>
        </is>
      </c>
      <c r="E248" t="inlineStr">
        <is>
          <t>NORRTÄLJE</t>
        </is>
      </c>
      <c r="G248" t="n">
        <v>1.1</v>
      </c>
      <c r="H248" t="n">
        <v>0</v>
      </c>
      <c r="I248" t="n">
        <v>0</v>
      </c>
      <c r="J248" t="n">
        <v>0</v>
      </c>
      <c r="K248" t="n">
        <v>0</v>
      </c>
      <c r="L248" t="n">
        <v>0</v>
      </c>
      <c r="M248" t="n">
        <v>0</v>
      </c>
      <c r="N248" t="n">
        <v>0</v>
      </c>
      <c r="O248" t="n">
        <v>0</v>
      </c>
      <c r="P248" t="n">
        <v>0</v>
      </c>
      <c r="Q248" t="n">
        <v>0</v>
      </c>
      <c r="R248" s="2" t="inlineStr"/>
    </row>
    <row r="249" ht="15" customHeight="1">
      <c r="A249" t="inlineStr">
        <is>
          <t>A 17348-2024</t>
        </is>
      </c>
      <c r="B249" s="1" t="n">
        <v>45414.58650462963</v>
      </c>
      <c r="C249" s="1" t="n">
        <v>46182</v>
      </c>
      <c r="D249" t="inlineStr">
        <is>
          <t>STOCKHOLMS LÄN</t>
        </is>
      </c>
      <c r="E249" t="inlineStr">
        <is>
          <t>NORRTÄLJE</t>
        </is>
      </c>
      <c r="G249" t="n">
        <v>2.3</v>
      </c>
      <c r="H249" t="n">
        <v>0</v>
      </c>
      <c r="I249" t="n">
        <v>0</v>
      </c>
      <c r="J249" t="n">
        <v>0</v>
      </c>
      <c r="K249" t="n">
        <v>0</v>
      </c>
      <c r="L249" t="n">
        <v>0</v>
      </c>
      <c r="M249" t="n">
        <v>0</v>
      </c>
      <c r="N249" t="n">
        <v>0</v>
      </c>
      <c r="O249" t="n">
        <v>0</v>
      </c>
      <c r="P249" t="n">
        <v>0</v>
      </c>
      <c r="Q249" t="n">
        <v>0</v>
      </c>
      <c r="R249" s="2" t="inlineStr"/>
    </row>
    <row r="250" ht="15" customHeight="1">
      <c r="A250" t="inlineStr">
        <is>
          <t>A 48716-2023</t>
        </is>
      </c>
      <c r="B250" s="1" t="n">
        <v>45208.69671296296</v>
      </c>
      <c r="C250" s="1" t="n">
        <v>46182</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39319-2022</t>
        </is>
      </c>
      <c r="B251" s="1" t="n">
        <v>44817.70516203704</v>
      </c>
      <c r="C251" s="1" t="n">
        <v>46182</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5027-2025</t>
        </is>
      </c>
      <c r="B252" s="1" t="n">
        <v>45691.41101851852</v>
      </c>
      <c r="C252" s="1" t="n">
        <v>46182</v>
      </c>
      <c r="D252" t="inlineStr">
        <is>
          <t>STOCKHOLMS LÄN</t>
        </is>
      </c>
      <c r="E252" t="inlineStr">
        <is>
          <t>NORRTÄLJE</t>
        </is>
      </c>
      <c r="G252" t="n">
        <v>0.8</v>
      </c>
      <c r="H252" t="n">
        <v>0</v>
      </c>
      <c r="I252" t="n">
        <v>0</v>
      </c>
      <c r="J252" t="n">
        <v>0</v>
      </c>
      <c r="K252" t="n">
        <v>0</v>
      </c>
      <c r="L252" t="n">
        <v>0</v>
      </c>
      <c r="M252" t="n">
        <v>0</v>
      </c>
      <c r="N252" t="n">
        <v>0</v>
      </c>
      <c r="O252" t="n">
        <v>0</v>
      </c>
      <c r="P252" t="n">
        <v>0</v>
      </c>
      <c r="Q252" t="n">
        <v>0</v>
      </c>
      <c r="R252" s="2" t="inlineStr"/>
    </row>
    <row r="253" ht="15" customHeight="1">
      <c r="A253" t="inlineStr">
        <is>
          <t>A 45541-2022</t>
        </is>
      </c>
      <c r="B253" s="1" t="n">
        <v>44845.47672453704</v>
      </c>
      <c r="C253" s="1" t="n">
        <v>46182</v>
      </c>
      <c r="D253" t="inlineStr">
        <is>
          <t>STOCKHOLMS LÄN</t>
        </is>
      </c>
      <c r="E253" t="inlineStr">
        <is>
          <t>NORRTÄLJE</t>
        </is>
      </c>
      <c r="G253" t="n">
        <v>0.4</v>
      </c>
      <c r="H253" t="n">
        <v>0</v>
      </c>
      <c r="I253" t="n">
        <v>0</v>
      </c>
      <c r="J253" t="n">
        <v>0</v>
      </c>
      <c r="K253" t="n">
        <v>0</v>
      </c>
      <c r="L253" t="n">
        <v>0</v>
      </c>
      <c r="M253" t="n">
        <v>0</v>
      </c>
      <c r="N253" t="n">
        <v>0</v>
      </c>
      <c r="O253" t="n">
        <v>0</v>
      </c>
      <c r="P253" t="n">
        <v>0</v>
      </c>
      <c r="Q253" t="n">
        <v>0</v>
      </c>
      <c r="R253" s="2" t="inlineStr"/>
    </row>
    <row r="254" ht="15" customHeight="1">
      <c r="A254" t="inlineStr">
        <is>
          <t>A 56219-2021</t>
        </is>
      </c>
      <c r="B254" s="1" t="n">
        <v>44477</v>
      </c>
      <c r="C254" s="1" t="n">
        <v>46182</v>
      </c>
      <c r="D254" t="inlineStr">
        <is>
          <t>STOCKHOLMS LÄN</t>
        </is>
      </c>
      <c r="E254" t="inlineStr">
        <is>
          <t>NORRTÄLJE</t>
        </is>
      </c>
      <c r="F254" t="inlineStr">
        <is>
          <t>Kommuner</t>
        </is>
      </c>
      <c r="G254" t="n">
        <v>2.3</v>
      </c>
      <c r="H254" t="n">
        <v>0</v>
      </c>
      <c r="I254" t="n">
        <v>0</v>
      </c>
      <c r="J254" t="n">
        <v>0</v>
      </c>
      <c r="K254" t="n">
        <v>0</v>
      </c>
      <c r="L254" t="n">
        <v>0</v>
      </c>
      <c r="M254" t="n">
        <v>0</v>
      </c>
      <c r="N254" t="n">
        <v>0</v>
      </c>
      <c r="O254" t="n">
        <v>0</v>
      </c>
      <c r="P254" t="n">
        <v>0</v>
      </c>
      <c r="Q254" t="n">
        <v>0</v>
      </c>
      <c r="R254" s="2" t="inlineStr"/>
    </row>
    <row r="255" ht="15" customHeight="1">
      <c r="A255" t="inlineStr">
        <is>
          <t>A 64137-2021</t>
        </is>
      </c>
      <c r="B255" s="1" t="n">
        <v>44510.51422453704</v>
      </c>
      <c r="C255" s="1" t="n">
        <v>46182</v>
      </c>
      <c r="D255" t="inlineStr">
        <is>
          <t>STOCKHOLMS LÄN</t>
        </is>
      </c>
      <c r="E255" t="inlineStr">
        <is>
          <t>NORRTÄLJE</t>
        </is>
      </c>
      <c r="F255" t="inlineStr">
        <is>
          <t>Holmen skog AB</t>
        </is>
      </c>
      <c r="G255" t="n">
        <v>1.5</v>
      </c>
      <c r="H255" t="n">
        <v>0</v>
      </c>
      <c r="I255" t="n">
        <v>0</v>
      </c>
      <c r="J255" t="n">
        <v>0</v>
      </c>
      <c r="K255" t="n">
        <v>0</v>
      </c>
      <c r="L255" t="n">
        <v>0</v>
      </c>
      <c r="M255" t="n">
        <v>0</v>
      </c>
      <c r="N255" t="n">
        <v>0</v>
      </c>
      <c r="O255" t="n">
        <v>0</v>
      </c>
      <c r="P255" t="n">
        <v>0</v>
      </c>
      <c r="Q255" t="n">
        <v>0</v>
      </c>
      <c r="R255" s="2" t="inlineStr"/>
    </row>
    <row r="256" ht="15" customHeight="1">
      <c r="A256" t="inlineStr">
        <is>
          <t>A 68273-2021</t>
        </is>
      </c>
      <c r="B256" s="1" t="n">
        <v>44526</v>
      </c>
      <c r="C256" s="1" t="n">
        <v>46182</v>
      </c>
      <c r="D256" t="inlineStr">
        <is>
          <t>STOCKHOLMS LÄN</t>
        </is>
      </c>
      <c r="E256" t="inlineStr">
        <is>
          <t>NORRTÄLJE</t>
        </is>
      </c>
      <c r="G256" t="n">
        <v>5.3</v>
      </c>
      <c r="H256" t="n">
        <v>0</v>
      </c>
      <c r="I256" t="n">
        <v>0</v>
      </c>
      <c r="J256" t="n">
        <v>0</v>
      </c>
      <c r="K256" t="n">
        <v>0</v>
      </c>
      <c r="L256" t="n">
        <v>0</v>
      </c>
      <c r="M256" t="n">
        <v>0</v>
      </c>
      <c r="N256" t="n">
        <v>0</v>
      </c>
      <c r="O256" t="n">
        <v>0</v>
      </c>
      <c r="P256" t="n">
        <v>0</v>
      </c>
      <c r="Q256" t="n">
        <v>0</v>
      </c>
      <c r="R256" s="2" t="inlineStr"/>
    </row>
    <row r="257" ht="15" customHeight="1">
      <c r="A257" t="inlineStr">
        <is>
          <t>A 13089-2022</t>
        </is>
      </c>
      <c r="B257" s="1" t="n">
        <v>44643</v>
      </c>
      <c r="C257" s="1" t="n">
        <v>46182</v>
      </c>
      <c r="D257" t="inlineStr">
        <is>
          <t>STOCKHOLMS LÄN</t>
        </is>
      </c>
      <c r="E257" t="inlineStr">
        <is>
          <t>NORRTÄLJE</t>
        </is>
      </c>
      <c r="G257" t="n">
        <v>4.5</v>
      </c>
      <c r="H257" t="n">
        <v>0</v>
      </c>
      <c r="I257" t="n">
        <v>0</v>
      </c>
      <c r="J257" t="n">
        <v>0</v>
      </c>
      <c r="K257" t="n">
        <v>0</v>
      </c>
      <c r="L257" t="n">
        <v>0</v>
      </c>
      <c r="M257" t="n">
        <v>0</v>
      </c>
      <c r="N257" t="n">
        <v>0</v>
      </c>
      <c r="O257" t="n">
        <v>0</v>
      </c>
      <c r="P257" t="n">
        <v>0</v>
      </c>
      <c r="Q257" t="n">
        <v>0</v>
      </c>
      <c r="R257" s="2" t="inlineStr"/>
    </row>
    <row r="258" ht="15" customHeight="1">
      <c r="A258" t="inlineStr">
        <is>
          <t>A 23998-2024</t>
        </is>
      </c>
      <c r="B258" s="1" t="n">
        <v>45456</v>
      </c>
      <c r="C258" s="1" t="n">
        <v>46182</v>
      </c>
      <c r="D258" t="inlineStr">
        <is>
          <t>STOCKHOLMS LÄN</t>
        </is>
      </c>
      <c r="E258" t="inlineStr">
        <is>
          <t>NORRTÄLJE</t>
        </is>
      </c>
      <c r="G258" t="n">
        <v>2.3</v>
      </c>
      <c r="H258" t="n">
        <v>0</v>
      </c>
      <c r="I258" t="n">
        <v>0</v>
      </c>
      <c r="J258" t="n">
        <v>0</v>
      </c>
      <c r="K258" t="n">
        <v>0</v>
      </c>
      <c r="L258" t="n">
        <v>0</v>
      </c>
      <c r="M258" t="n">
        <v>0</v>
      </c>
      <c r="N258" t="n">
        <v>0</v>
      </c>
      <c r="O258" t="n">
        <v>0</v>
      </c>
      <c r="P258" t="n">
        <v>0</v>
      </c>
      <c r="Q258" t="n">
        <v>0</v>
      </c>
      <c r="R258" s="2" t="inlineStr"/>
    </row>
    <row r="259" ht="15" customHeight="1">
      <c r="A259" t="inlineStr">
        <is>
          <t>A 15447-2023</t>
        </is>
      </c>
      <c r="B259" s="1" t="n">
        <v>45020</v>
      </c>
      <c r="C259" s="1" t="n">
        <v>46182</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46182</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46182</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46182</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52139-2022</t>
        </is>
      </c>
      <c r="B263" s="1" t="n">
        <v>44868</v>
      </c>
      <c r="C263" s="1" t="n">
        <v>46182</v>
      </c>
      <c r="D263" t="inlineStr">
        <is>
          <t>STOCKHOLMS LÄN</t>
        </is>
      </c>
      <c r="E263" t="inlineStr">
        <is>
          <t>NORRTÄLJE</t>
        </is>
      </c>
      <c r="G263" t="n">
        <v>3.2</v>
      </c>
      <c r="H263" t="n">
        <v>0</v>
      </c>
      <c r="I263" t="n">
        <v>0</v>
      </c>
      <c r="J263" t="n">
        <v>0</v>
      </c>
      <c r="K263" t="n">
        <v>0</v>
      </c>
      <c r="L263" t="n">
        <v>0</v>
      </c>
      <c r="M263" t="n">
        <v>0</v>
      </c>
      <c r="N263" t="n">
        <v>0</v>
      </c>
      <c r="O263" t="n">
        <v>0</v>
      </c>
      <c r="P263" t="n">
        <v>0</v>
      </c>
      <c r="Q263" t="n">
        <v>0</v>
      </c>
      <c r="R263" s="2" t="inlineStr"/>
      <c r="U263">
        <f>HYPERLINK("https://klasma.github.io/Logging_0188/knärot/A 52139-2022 karta knärot.png", "A 52139-2022")</f>
        <v/>
      </c>
      <c r="V263">
        <f>HYPERLINK("https://klasma.github.io/Logging_0188/klagomål/A 52139-2022 FSC-klagomål.docx", "A 52139-2022")</f>
        <v/>
      </c>
      <c r="W263">
        <f>HYPERLINK("https://klasma.github.io/Logging_0188/klagomålsmail/A 52139-2022 FSC-klagomål mail.docx", "A 52139-2022")</f>
        <v/>
      </c>
      <c r="X263">
        <f>HYPERLINK("https://klasma.github.io/Logging_0188/tillsyn/A 52139-2022 tillsynsbegäran.docx", "A 52139-2022")</f>
        <v/>
      </c>
      <c r="Y263">
        <f>HYPERLINK("https://klasma.github.io/Logging_0188/tillsynsmail/A 52139-2022 tillsynsbegäran mail.docx", "A 52139-2022")</f>
        <v/>
      </c>
    </row>
    <row r="264" ht="15" customHeight="1">
      <c r="A264" t="inlineStr">
        <is>
          <t>A 17771-2022</t>
        </is>
      </c>
      <c r="B264" s="1" t="n">
        <v>44682.75924768519</v>
      </c>
      <c r="C264" s="1" t="n">
        <v>46182</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46182</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10521-2022</t>
        </is>
      </c>
      <c r="B266" s="1" t="n">
        <v>44623</v>
      </c>
      <c r="C266" s="1" t="n">
        <v>46182</v>
      </c>
      <c r="D266" t="inlineStr">
        <is>
          <t>STOCKHOLMS LÄN</t>
        </is>
      </c>
      <c r="E266" t="inlineStr">
        <is>
          <t>NORRTÄLJE</t>
        </is>
      </c>
      <c r="G266" t="n">
        <v>2.9</v>
      </c>
      <c r="H266" t="n">
        <v>0</v>
      </c>
      <c r="I266" t="n">
        <v>0</v>
      </c>
      <c r="J266" t="n">
        <v>0</v>
      </c>
      <c r="K266" t="n">
        <v>0</v>
      </c>
      <c r="L266" t="n">
        <v>0</v>
      </c>
      <c r="M266" t="n">
        <v>0</v>
      </c>
      <c r="N266" t="n">
        <v>0</v>
      </c>
      <c r="O266" t="n">
        <v>0</v>
      </c>
      <c r="P266" t="n">
        <v>0</v>
      </c>
      <c r="Q266" t="n">
        <v>0</v>
      </c>
      <c r="R266" s="2" t="inlineStr"/>
    </row>
    <row r="267" ht="15" customHeight="1">
      <c r="A267" t="inlineStr">
        <is>
          <t>A 16117-2022</t>
        </is>
      </c>
      <c r="B267" s="1" t="n">
        <v>44665.65474537037</v>
      </c>
      <c r="C267" s="1" t="n">
        <v>46182</v>
      </c>
      <c r="D267" t="inlineStr">
        <is>
          <t>STOCKHOLMS LÄN</t>
        </is>
      </c>
      <c r="E267" t="inlineStr">
        <is>
          <t>NORRTÄLJE</t>
        </is>
      </c>
      <c r="G267" t="n">
        <v>8.1</v>
      </c>
      <c r="H267" t="n">
        <v>0</v>
      </c>
      <c r="I267" t="n">
        <v>0</v>
      </c>
      <c r="J267" t="n">
        <v>0</v>
      </c>
      <c r="K267" t="n">
        <v>0</v>
      </c>
      <c r="L267" t="n">
        <v>0</v>
      </c>
      <c r="M267" t="n">
        <v>0</v>
      </c>
      <c r="N267" t="n">
        <v>0</v>
      </c>
      <c r="O267" t="n">
        <v>0</v>
      </c>
      <c r="P267" t="n">
        <v>0</v>
      </c>
      <c r="Q267" t="n">
        <v>0</v>
      </c>
      <c r="R267" s="2" t="inlineStr"/>
    </row>
    <row r="268" ht="15" customHeight="1">
      <c r="A268" t="inlineStr">
        <is>
          <t>A 16132-2022</t>
        </is>
      </c>
      <c r="B268" s="1" t="n">
        <v>44665.78351851852</v>
      </c>
      <c r="C268" s="1" t="n">
        <v>46182</v>
      </c>
      <c r="D268" t="inlineStr">
        <is>
          <t>STOCKHOLMS LÄN</t>
        </is>
      </c>
      <c r="E268" t="inlineStr">
        <is>
          <t>NORRTÄLJE</t>
        </is>
      </c>
      <c r="G268" t="n">
        <v>4.4</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46182</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54358-2022</t>
        </is>
      </c>
      <c r="B270" s="1" t="n">
        <v>44882</v>
      </c>
      <c r="C270" s="1" t="n">
        <v>46182</v>
      </c>
      <c r="D270" t="inlineStr">
        <is>
          <t>STOCKHOLMS LÄN</t>
        </is>
      </c>
      <c r="E270" t="inlineStr">
        <is>
          <t>NORRTÄLJE</t>
        </is>
      </c>
      <c r="G270" t="n">
        <v>3.3</v>
      </c>
      <c r="H270" t="n">
        <v>0</v>
      </c>
      <c r="I270" t="n">
        <v>0</v>
      </c>
      <c r="J270" t="n">
        <v>0</v>
      </c>
      <c r="K270" t="n">
        <v>0</v>
      </c>
      <c r="L270" t="n">
        <v>0</v>
      </c>
      <c r="M270" t="n">
        <v>0</v>
      </c>
      <c r="N270" t="n">
        <v>0</v>
      </c>
      <c r="O270" t="n">
        <v>0</v>
      </c>
      <c r="P270" t="n">
        <v>0</v>
      </c>
      <c r="Q270" t="n">
        <v>0</v>
      </c>
      <c r="R270" s="2" t="inlineStr"/>
    </row>
    <row r="271" ht="15" customHeight="1">
      <c r="A271" t="inlineStr">
        <is>
          <t>A 26708-2025</t>
        </is>
      </c>
      <c r="B271" s="1" t="n">
        <v>45810.45633101852</v>
      </c>
      <c r="C271" s="1" t="n">
        <v>46182</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12268-2022</t>
        </is>
      </c>
      <c r="B272" s="1" t="n">
        <v>44637</v>
      </c>
      <c r="C272" s="1" t="n">
        <v>46182</v>
      </c>
      <c r="D272" t="inlineStr">
        <is>
          <t>STOCKHOLMS LÄN</t>
        </is>
      </c>
      <c r="E272" t="inlineStr">
        <is>
          <t>NORRTÄLJE</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23263-2023</t>
        </is>
      </c>
      <c r="B273" s="1" t="n">
        <v>45075</v>
      </c>
      <c r="C273" s="1" t="n">
        <v>46182</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23264-2023</t>
        </is>
      </c>
      <c r="B274" s="1" t="n">
        <v>45075</v>
      </c>
      <c r="C274" s="1" t="n">
        <v>46182</v>
      </c>
      <c r="D274" t="inlineStr">
        <is>
          <t>STOCKHOLMS LÄN</t>
        </is>
      </c>
      <c r="E274" t="inlineStr">
        <is>
          <t>NORRTÄLJE</t>
        </is>
      </c>
      <c r="G274" t="n">
        <v>2.9</v>
      </c>
      <c r="H274" t="n">
        <v>0</v>
      </c>
      <c r="I274" t="n">
        <v>0</v>
      </c>
      <c r="J274" t="n">
        <v>0</v>
      </c>
      <c r="K274" t="n">
        <v>0</v>
      </c>
      <c r="L274" t="n">
        <v>0</v>
      </c>
      <c r="M274" t="n">
        <v>0</v>
      </c>
      <c r="N274" t="n">
        <v>0</v>
      </c>
      <c r="O274" t="n">
        <v>0</v>
      </c>
      <c r="P274" t="n">
        <v>0</v>
      </c>
      <c r="Q274" t="n">
        <v>0</v>
      </c>
      <c r="R274" s="2" t="inlineStr"/>
    </row>
    <row r="275" ht="15" customHeight="1">
      <c r="A275" t="inlineStr">
        <is>
          <t>A 23267-2023</t>
        </is>
      </c>
      <c r="B275" s="1" t="n">
        <v>45075.90934027778</v>
      </c>
      <c r="C275" s="1" t="n">
        <v>46182</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23269-2023</t>
        </is>
      </c>
      <c r="B276" s="1" t="n">
        <v>45075.91148148148</v>
      </c>
      <c r="C276" s="1" t="n">
        <v>46182</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21102-2022</t>
        </is>
      </c>
      <c r="B277" s="1" t="n">
        <v>44704</v>
      </c>
      <c r="C277" s="1" t="n">
        <v>46182</v>
      </c>
      <c r="D277" t="inlineStr">
        <is>
          <t>STOCKHOLMS LÄN</t>
        </is>
      </c>
      <c r="E277" t="inlineStr">
        <is>
          <t>NORRTÄLJE</t>
        </is>
      </c>
      <c r="G277" t="n">
        <v>0.2</v>
      </c>
      <c r="H277" t="n">
        <v>0</v>
      </c>
      <c r="I277" t="n">
        <v>0</v>
      </c>
      <c r="J277" t="n">
        <v>0</v>
      </c>
      <c r="K277" t="n">
        <v>0</v>
      </c>
      <c r="L277" t="n">
        <v>0</v>
      </c>
      <c r="M277" t="n">
        <v>0</v>
      </c>
      <c r="N277" t="n">
        <v>0</v>
      </c>
      <c r="O277" t="n">
        <v>0</v>
      </c>
      <c r="P277" t="n">
        <v>0</v>
      </c>
      <c r="Q277" t="n">
        <v>0</v>
      </c>
      <c r="R277" s="2" t="inlineStr"/>
    </row>
    <row r="278" ht="15" customHeight="1">
      <c r="A278" t="inlineStr">
        <is>
          <t>A 19911-2025</t>
        </is>
      </c>
      <c r="B278" s="1" t="n">
        <v>45771</v>
      </c>
      <c r="C278" s="1" t="n">
        <v>46182</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5831-2022</t>
        </is>
      </c>
      <c r="B279" s="1" t="n">
        <v>44596</v>
      </c>
      <c r="C279" s="1" t="n">
        <v>46182</v>
      </c>
      <c r="D279" t="inlineStr">
        <is>
          <t>STOCKHOLMS LÄN</t>
        </is>
      </c>
      <c r="E279" t="inlineStr">
        <is>
          <t>NORRTÄLJE</t>
        </is>
      </c>
      <c r="G279" t="n">
        <v>4.8</v>
      </c>
      <c r="H279" t="n">
        <v>0</v>
      </c>
      <c r="I279" t="n">
        <v>0</v>
      </c>
      <c r="J279" t="n">
        <v>0</v>
      </c>
      <c r="K279" t="n">
        <v>0</v>
      </c>
      <c r="L279" t="n">
        <v>0</v>
      </c>
      <c r="M279" t="n">
        <v>0</v>
      </c>
      <c r="N279" t="n">
        <v>0</v>
      </c>
      <c r="O279" t="n">
        <v>0</v>
      </c>
      <c r="P279" t="n">
        <v>0</v>
      </c>
      <c r="Q279" t="n">
        <v>0</v>
      </c>
      <c r="R279" s="2" t="inlineStr"/>
    </row>
    <row r="280" ht="15" customHeight="1">
      <c r="A280" t="inlineStr">
        <is>
          <t>A 5867-2022</t>
        </is>
      </c>
      <c r="B280" s="1" t="n">
        <v>44596.66335648148</v>
      </c>
      <c r="C280" s="1" t="n">
        <v>46182</v>
      </c>
      <c r="D280" t="inlineStr">
        <is>
          <t>STOCKHOLMS LÄN</t>
        </is>
      </c>
      <c r="E280" t="inlineStr">
        <is>
          <t>NORRTÄLJE</t>
        </is>
      </c>
      <c r="F280" t="inlineStr">
        <is>
          <t>Naturvårdsverket</t>
        </is>
      </c>
      <c r="G280" t="n">
        <v>1.6</v>
      </c>
      <c r="H280" t="n">
        <v>0</v>
      </c>
      <c r="I280" t="n">
        <v>0</v>
      </c>
      <c r="J280" t="n">
        <v>0</v>
      </c>
      <c r="K280" t="n">
        <v>0</v>
      </c>
      <c r="L280" t="n">
        <v>0</v>
      </c>
      <c r="M280" t="n">
        <v>0</v>
      </c>
      <c r="N280" t="n">
        <v>0</v>
      </c>
      <c r="O280" t="n">
        <v>0</v>
      </c>
      <c r="P280" t="n">
        <v>0</v>
      </c>
      <c r="Q280" t="n">
        <v>0</v>
      </c>
      <c r="R280" s="2" t="inlineStr"/>
    </row>
    <row r="281" ht="15" customHeight="1">
      <c r="A281" t="inlineStr">
        <is>
          <t>A 20015-2023</t>
        </is>
      </c>
      <c r="B281" s="1" t="n">
        <v>45054</v>
      </c>
      <c r="C281" s="1" t="n">
        <v>46182</v>
      </c>
      <c r="D281" t="inlineStr">
        <is>
          <t>STOCKHOLMS LÄN</t>
        </is>
      </c>
      <c r="E281" t="inlineStr">
        <is>
          <t>NORRTÄLJE</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26702-2025</t>
        </is>
      </c>
      <c r="B282" s="1" t="n">
        <v>45810.45236111111</v>
      </c>
      <c r="C282" s="1" t="n">
        <v>46182</v>
      </c>
      <c r="D282" t="inlineStr">
        <is>
          <t>STOCKHOLMS LÄN</t>
        </is>
      </c>
      <c r="E282" t="inlineStr">
        <is>
          <t>NORRTÄLJE</t>
        </is>
      </c>
      <c r="G282" t="n">
        <v>7.3</v>
      </c>
      <c r="H282" t="n">
        <v>0</v>
      </c>
      <c r="I282" t="n">
        <v>0</v>
      </c>
      <c r="J282" t="n">
        <v>0</v>
      </c>
      <c r="K282" t="n">
        <v>0</v>
      </c>
      <c r="L282" t="n">
        <v>0</v>
      </c>
      <c r="M282" t="n">
        <v>0</v>
      </c>
      <c r="N282" t="n">
        <v>0</v>
      </c>
      <c r="O282" t="n">
        <v>0</v>
      </c>
      <c r="P282" t="n">
        <v>0</v>
      </c>
      <c r="Q282" t="n">
        <v>0</v>
      </c>
      <c r="R282" s="2" t="inlineStr"/>
    </row>
    <row r="283" ht="15" customHeight="1">
      <c r="A283" t="inlineStr">
        <is>
          <t>A 71880-2021</t>
        </is>
      </c>
      <c r="B283" s="1" t="n">
        <v>44543</v>
      </c>
      <c r="C283" s="1" t="n">
        <v>46182</v>
      </c>
      <c r="D283" t="inlineStr">
        <is>
          <t>STOCKHOLMS LÄN</t>
        </is>
      </c>
      <c r="E283" t="inlineStr">
        <is>
          <t>NORRTÄLJE</t>
        </is>
      </c>
      <c r="G283" t="n">
        <v>2</v>
      </c>
      <c r="H283" t="n">
        <v>0</v>
      </c>
      <c r="I283" t="n">
        <v>0</v>
      </c>
      <c r="J283" t="n">
        <v>0</v>
      </c>
      <c r="K283" t="n">
        <v>0</v>
      </c>
      <c r="L283" t="n">
        <v>0</v>
      </c>
      <c r="M283" t="n">
        <v>0</v>
      </c>
      <c r="N283" t="n">
        <v>0</v>
      </c>
      <c r="O283" t="n">
        <v>0</v>
      </c>
      <c r="P283" t="n">
        <v>0</v>
      </c>
      <c r="Q283" t="n">
        <v>0</v>
      </c>
      <c r="R283" s="2" t="inlineStr"/>
    </row>
    <row r="284" ht="15" customHeight="1">
      <c r="A284" t="inlineStr">
        <is>
          <t>A 24245-2024</t>
        </is>
      </c>
      <c r="B284" s="1" t="n">
        <v>45457</v>
      </c>
      <c r="C284" s="1" t="n">
        <v>46182</v>
      </c>
      <c r="D284" t="inlineStr">
        <is>
          <t>STOCKHOLMS LÄN</t>
        </is>
      </c>
      <c r="E284" t="inlineStr">
        <is>
          <t>NORRTÄLJE</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23061-2025</t>
        </is>
      </c>
      <c r="B285" s="1" t="n">
        <v>45790.81410879629</v>
      </c>
      <c r="C285" s="1" t="n">
        <v>46182</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48633-2023</t>
        </is>
      </c>
      <c r="B286" s="1" t="n">
        <v>45208.58004629629</v>
      </c>
      <c r="C286" s="1" t="n">
        <v>46182</v>
      </c>
      <c r="D286" t="inlineStr">
        <is>
          <t>STOCKHOLMS LÄN</t>
        </is>
      </c>
      <c r="E286" t="inlineStr">
        <is>
          <t>NORRTÄLJE</t>
        </is>
      </c>
      <c r="G286" t="n">
        <v>3.3</v>
      </c>
      <c r="H286" t="n">
        <v>0</v>
      </c>
      <c r="I286" t="n">
        <v>0</v>
      </c>
      <c r="J286" t="n">
        <v>0</v>
      </c>
      <c r="K286" t="n">
        <v>0</v>
      </c>
      <c r="L286" t="n">
        <v>0</v>
      </c>
      <c r="M286" t="n">
        <v>0</v>
      </c>
      <c r="N286" t="n">
        <v>0</v>
      </c>
      <c r="O286" t="n">
        <v>0</v>
      </c>
      <c r="P286" t="n">
        <v>0</v>
      </c>
      <c r="Q286" t="n">
        <v>0</v>
      </c>
      <c r="R286" s="2" t="inlineStr"/>
    </row>
    <row r="287" ht="15" customHeight="1">
      <c r="A287" t="inlineStr">
        <is>
          <t>A 17772-2022</t>
        </is>
      </c>
      <c r="B287" s="1" t="n">
        <v>44682.76528935185</v>
      </c>
      <c r="C287" s="1" t="n">
        <v>46182</v>
      </c>
      <c r="D287" t="inlineStr">
        <is>
          <t>STOCKHOLMS LÄN</t>
        </is>
      </c>
      <c r="E287" t="inlineStr">
        <is>
          <t>NORRTÄLJE</t>
        </is>
      </c>
      <c r="G287" t="n">
        <v>4</v>
      </c>
      <c r="H287" t="n">
        <v>0</v>
      </c>
      <c r="I287" t="n">
        <v>0</v>
      </c>
      <c r="J287" t="n">
        <v>0</v>
      </c>
      <c r="K287" t="n">
        <v>0</v>
      </c>
      <c r="L287" t="n">
        <v>0</v>
      </c>
      <c r="M287" t="n">
        <v>0</v>
      </c>
      <c r="N287" t="n">
        <v>0</v>
      </c>
      <c r="O287" t="n">
        <v>0</v>
      </c>
      <c r="P287" t="n">
        <v>0</v>
      </c>
      <c r="Q287" t="n">
        <v>0</v>
      </c>
      <c r="R287" s="2" t="inlineStr"/>
    </row>
    <row r="288" ht="15" customHeight="1">
      <c r="A288" t="inlineStr">
        <is>
          <t>A 27040-2025</t>
        </is>
      </c>
      <c r="B288" s="1" t="n">
        <v>45811.60451388889</v>
      </c>
      <c r="C288" s="1" t="n">
        <v>46182</v>
      </c>
      <c r="D288" t="inlineStr">
        <is>
          <t>STOCKHOLMS LÄN</t>
        </is>
      </c>
      <c r="E288" t="inlineStr">
        <is>
          <t>NORRTÄLJE</t>
        </is>
      </c>
      <c r="G288" t="n">
        <v>4.3</v>
      </c>
      <c r="H288" t="n">
        <v>0</v>
      </c>
      <c r="I288" t="n">
        <v>0</v>
      </c>
      <c r="J288" t="n">
        <v>0</v>
      </c>
      <c r="K288" t="n">
        <v>0</v>
      </c>
      <c r="L288" t="n">
        <v>0</v>
      </c>
      <c r="M288" t="n">
        <v>0</v>
      </c>
      <c r="N288" t="n">
        <v>0</v>
      </c>
      <c r="O288" t="n">
        <v>0</v>
      </c>
      <c r="P288" t="n">
        <v>0</v>
      </c>
      <c r="Q288" t="n">
        <v>0</v>
      </c>
      <c r="R288" s="2" t="inlineStr"/>
    </row>
    <row r="289" ht="15" customHeight="1">
      <c r="A289" t="inlineStr">
        <is>
          <t>A 15256-2023</t>
        </is>
      </c>
      <c r="B289" s="1" t="n">
        <v>45019.3959837963</v>
      </c>
      <c r="C289" s="1" t="n">
        <v>46182</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26747-2025</t>
        </is>
      </c>
      <c r="B290" s="1" t="n">
        <v>45810.5333912037</v>
      </c>
      <c r="C290" s="1" t="n">
        <v>46182</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20428-2024</t>
        </is>
      </c>
      <c r="B291" s="1" t="n">
        <v>45435</v>
      </c>
      <c r="C291" s="1" t="n">
        <v>46182</v>
      </c>
      <c r="D291" t="inlineStr">
        <is>
          <t>STOCKHOLMS LÄN</t>
        </is>
      </c>
      <c r="E291" t="inlineStr">
        <is>
          <t>NORRTÄLJE</t>
        </is>
      </c>
      <c r="G291" t="n">
        <v>3.7</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46182</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46182</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46182</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39669-2024</t>
        </is>
      </c>
      <c r="B295" s="1" t="n">
        <v>45552.52827546297</v>
      </c>
      <c r="C295" s="1" t="n">
        <v>46182</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65499-2021</t>
        </is>
      </c>
      <c r="B296" s="1" t="n">
        <v>44516</v>
      </c>
      <c r="C296" s="1" t="n">
        <v>46182</v>
      </c>
      <c r="D296" t="inlineStr">
        <is>
          <t>STOCKHOLMS LÄN</t>
        </is>
      </c>
      <c r="E296" t="inlineStr">
        <is>
          <t>NORRTÄLJE</t>
        </is>
      </c>
      <c r="F296" t="inlineStr">
        <is>
          <t>Kommuner</t>
        </is>
      </c>
      <c r="G296" t="n">
        <v>5.2</v>
      </c>
      <c r="H296" t="n">
        <v>0</v>
      </c>
      <c r="I296" t="n">
        <v>0</v>
      </c>
      <c r="J296" t="n">
        <v>0</v>
      </c>
      <c r="K296" t="n">
        <v>0</v>
      </c>
      <c r="L296" t="n">
        <v>0</v>
      </c>
      <c r="M296" t="n">
        <v>0</v>
      </c>
      <c r="N296" t="n">
        <v>0</v>
      </c>
      <c r="O296" t="n">
        <v>0</v>
      </c>
      <c r="P296" t="n">
        <v>0</v>
      </c>
      <c r="Q296" t="n">
        <v>0</v>
      </c>
      <c r="R296" s="2" t="inlineStr"/>
    </row>
    <row r="297" ht="15" customHeight="1">
      <c r="A297" t="inlineStr">
        <is>
          <t>A 27554-2025</t>
        </is>
      </c>
      <c r="B297" s="1" t="n">
        <v>45813.4709375</v>
      </c>
      <c r="C297" s="1" t="n">
        <v>46182</v>
      </c>
      <c r="D297" t="inlineStr">
        <is>
          <t>STOCKHOLMS LÄN</t>
        </is>
      </c>
      <c r="E297" t="inlineStr">
        <is>
          <t>NORRTÄLJE</t>
        </is>
      </c>
      <c r="F297" t="inlineStr">
        <is>
          <t>Övriga Aktiebolag</t>
        </is>
      </c>
      <c r="G297" t="n">
        <v>2.5</v>
      </c>
      <c r="H297" t="n">
        <v>0</v>
      </c>
      <c r="I297" t="n">
        <v>0</v>
      </c>
      <c r="J297" t="n">
        <v>0</v>
      </c>
      <c r="K297" t="n">
        <v>0</v>
      </c>
      <c r="L297" t="n">
        <v>0</v>
      </c>
      <c r="M297" t="n">
        <v>0</v>
      </c>
      <c r="N297" t="n">
        <v>0</v>
      </c>
      <c r="O297" t="n">
        <v>0</v>
      </c>
      <c r="P297" t="n">
        <v>0</v>
      </c>
      <c r="Q297" t="n">
        <v>0</v>
      </c>
      <c r="R297" s="2" t="inlineStr"/>
    </row>
    <row r="298" ht="15" customHeight="1">
      <c r="A298" t="inlineStr">
        <is>
          <t>A 64145-2021</t>
        </is>
      </c>
      <c r="B298" s="1" t="n">
        <v>44510</v>
      </c>
      <c r="C298" s="1" t="n">
        <v>46182</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1740-2023</t>
        </is>
      </c>
      <c r="B299" s="1" t="n">
        <v>44938</v>
      </c>
      <c r="C299" s="1" t="n">
        <v>46182</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4596-2023</t>
        </is>
      </c>
      <c r="B300" s="1" t="n">
        <v>44956</v>
      </c>
      <c r="C300" s="1" t="n">
        <v>46182</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27700-2025</t>
        </is>
      </c>
      <c r="B301" s="1" t="n">
        <v>45813.6799537037</v>
      </c>
      <c r="C301" s="1" t="n">
        <v>46182</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27808-2025</t>
        </is>
      </c>
      <c r="B302" s="1" t="n">
        <v>45817.31085648148</v>
      </c>
      <c r="C302" s="1" t="n">
        <v>46182</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27818-2025</t>
        </is>
      </c>
      <c r="B303" s="1" t="n">
        <v>45817.33503472222</v>
      </c>
      <c r="C303" s="1" t="n">
        <v>46182</v>
      </c>
      <c r="D303" t="inlineStr">
        <is>
          <t>STOCKHOLMS LÄN</t>
        </is>
      </c>
      <c r="E303" t="inlineStr">
        <is>
          <t>NORRTÄLJE</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10676-2025</t>
        </is>
      </c>
      <c r="B304" s="1" t="n">
        <v>45721.88684027778</v>
      </c>
      <c r="C304" s="1" t="n">
        <v>46182</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38720-2025</t>
        </is>
      </c>
      <c r="B305" s="1" t="n">
        <v>45886</v>
      </c>
      <c r="C305" s="1" t="n">
        <v>46182</v>
      </c>
      <c r="D305" t="inlineStr">
        <is>
          <t>STOCKHOLMS LÄN</t>
        </is>
      </c>
      <c r="E305" t="inlineStr">
        <is>
          <t>NORRTÄLJE</t>
        </is>
      </c>
      <c r="G305" t="n">
        <v>1.6</v>
      </c>
      <c r="H305" t="n">
        <v>0</v>
      </c>
      <c r="I305" t="n">
        <v>0</v>
      </c>
      <c r="J305" t="n">
        <v>0</v>
      </c>
      <c r="K305" t="n">
        <v>0</v>
      </c>
      <c r="L305" t="n">
        <v>0</v>
      </c>
      <c r="M305" t="n">
        <v>0</v>
      </c>
      <c r="N305" t="n">
        <v>0</v>
      </c>
      <c r="O305" t="n">
        <v>0</v>
      </c>
      <c r="P305" t="n">
        <v>0</v>
      </c>
      <c r="Q305" t="n">
        <v>0</v>
      </c>
      <c r="R305" s="2" t="inlineStr"/>
    </row>
    <row r="306" ht="15" customHeight="1">
      <c r="A306" t="inlineStr">
        <is>
          <t>A 43170-2023</t>
        </is>
      </c>
      <c r="B306" s="1" t="n">
        <v>45183</v>
      </c>
      <c r="C306" s="1" t="n">
        <v>46182</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9-2024</t>
        </is>
      </c>
      <c r="B307" s="1" t="n">
        <v>45293</v>
      </c>
      <c r="C307" s="1" t="n">
        <v>46182</v>
      </c>
      <c r="D307" t="inlineStr">
        <is>
          <t>STOCKHOLMS LÄN</t>
        </is>
      </c>
      <c r="E307" t="inlineStr">
        <is>
          <t>NORRTÄLJE</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22456-2023</t>
        </is>
      </c>
      <c r="B308" s="1" t="n">
        <v>45070</v>
      </c>
      <c r="C308" s="1" t="n">
        <v>46182</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17785-2024</t>
        </is>
      </c>
      <c r="B309" s="1" t="n">
        <v>45418.6968287037</v>
      </c>
      <c r="C309" s="1" t="n">
        <v>46182</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16913-2025</t>
        </is>
      </c>
      <c r="B310" s="1" t="n">
        <v>45755.36583333334</v>
      </c>
      <c r="C310" s="1" t="n">
        <v>46182</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4035-2023</t>
        </is>
      </c>
      <c r="B311" s="1" t="n">
        <v>44952.57989583333</v>
      </c>
      <c r="C311" s="1" t="n">
        <v>46182</v>
      </c>
      <c r="D311" t="inlineStr">
        <is>
          <t>STOCKHOLMS LÄN</t>
        </is>
      </c>
      <c r="E311" t="inlineStr">
        <is>
          <t>NORRTÄLJE</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33793-2022</t>
        </is>
      </c>
      <c r="B312" s="1" t="n">
        <v>44790</v>
      </c>
      <c r="C312" s="1" t="n">
        <v>46182</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53600-2022</t>
        </is>
      </c>
      <c r="B313" s="1" t="n">
        <v>44879.70518518519</v>
      </c>
      <c r="C313" s="1" t="n">
        <v>46182</v>
      </c>
      <c r="D313" t="inlineStr">
        <is>
          <t>STOCKHOLMS LÄN</t>
        </is>
      </c>
      <c r="E313" t="inlineStr">
        <is>
          <t>NORRTÄLJE</t>
        </is>
      </c>
      <c r="G313" t="n">
        <v>4.3</v>
      </c>
      <c r="H313" t="n">
        <v>0</v>
      </c>
      <c r="I313" t="n">
        <v>0</v>
      </c>
      <c r="J313" t="n">
        <v>0</v>
      </c>
      <c r="K313" t="n">
        <v>0</v>
      </c>
      <c r="L313" t="n">
        <v>0</v>
      </c>
      <c r="M313" t="n">
        <v>0</v>
      </c>
      <c r="N313" t="n">
        <v>0</v>
      </c>
      <c r="O313" t="n">
        <v>0</v>
      </c>
      <c r="P313" t="n">
        <v>0</v>
      </c>
      <c r="Q313" t="n">
        <v>0</v>
      </c>
      <c r="R313" s="2" t="inlineStr"/>
    </row>
    <row r="314" ht="15" customHeight="1">
      <c r="A314" t="inlineStr">
        <is>
          <t>A 27821-2025</t>
        </is>
      </c>
      <c r="B314" s="1" t="n">
        <v>45817.34083333334</v>
      </c>
      <c r="C314" s="1" t="n">
        <v>46182</v>
      </c>
      <c r="D314" t="inlineStr">
        <is>
          <t>STOCKHOLMS LÄN</t>
        </is>
      </c>
      <c r="E314" t="inlineStr">
        <is>
          <t>NORRTÄLJE</t>
        </is>
      </c>
      <c r="G314" t="n">
        <v>3.2</v>
      </c>
      <c r="H314" t="n">
        <v>0</v>
      </c>
      <c r="I314" t="n">
        <v>0</v>
      </c>
      <c r="J314" t="n">
        <v>0</v>
      </c>
      <c r="K314" t="n">
        <v>0</v>
      </c>
      <c r="L314" t="n">
        <v>0</v>
      </c>
      <c r="M314" t="n">
        <v>0</v>
      </c>
      <c r="N314" t="n">
        <v>0</v>
      </c>
      <c r="O314" t="n">
        <v>0</v>
      </c>
      <c r="P314" t="n">
        <v>0</v>
      </c>
      <c r="Q314" t="n">
        <v>0</v>
      </c>
      <c r="R314" s="2" t="inlineStr"/>
    </row>
    <row r="315" ht="15" customHeight="1">
      <c r="A315" t="inlineStr">
        <is>
          <t>A 13-2024</t>
        </is>
      </c>
      <c r="B315" s="1" t="n">
        <v>45293.37263888889</v>
      </c>
      <c r="C315" s="1" t="n">
        <v>46182</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19-2024</t>
        </is>
      </c>
      <c r="B316" s="1" t="n">
        <v>45293</v>
      </c>
      <c r="C316" s="1" t="n">
        <v>46182</v>
      </c>
      <c r="D316" t="inlineStr">
        <is>
          <t>STOCKHOLMS LÄN</t>
        </is>
      </c>
      <c r="E316" t="inlineStr">
        <is>
          <t>NORRTÄLJE</t>
        </is>
      </c>
      <c r="G316" t="n">
        <v>0.3</v>
      </c>
      <c r="H316" t="n">
        <v>0</v>
      </c>
      <c r="I316" t="n">
        <v>0</v>
      </c>
      <c r="J316" t="n">
        <v>0</v>
      </c>
      <c r="K316" t="n">
        <v>0</v>
      </c>
      <c r="L316" t="n">
        <v>0</v>
      </c>
      <c r="M316" t="n">
        <v>0</v>
      </c>
      <c r="N316" t="n">
        <v>0</v>
      </c>
      <c r="O316" t="n">
        <v>0</v>
      </c>
      <c r="P316" t="n">
        <v>0</v>
      </c>
      <c r="Q316" t="n">
        <v>0</v>
      </c>
      <c r="R316" s="2" t="inlineStr"/>
    </row>
    <row r="317" ht="15" customHeight="1">
      <c r="A317" t="inlineStr">
        <is>
          <t>A 31559-2022</t>
        </is>
      </c>
      <c r="B317" s="1" t="n">
        <v>44775</v>
      </c>
      <c r="C317" s="1" t="n">
        <v>46182</v>
      </c>
      <c r="D317" t="inlineStr">
        <is>
          <t>STOCKHOLMS LÄN</t>
        </is>
      </c>
      <c r="E317" t="inlineStr">
        <is>
          <t>NORRTÄLJE</t>
        </is>
      </c>
      <c r="G317" t="n">
        <v>5.6</v>
      </c>
      <c r="H317" t="n">
        <v>0</v>
      </c>
      <c r="I317" t="n">
        <v>0</v>
      </c>
      <c r="J317" t="n">
        <v>0</v>
      </c>
      <c r="K317" t="n">
        <v>0</v>
      </c>
      <c r="L317" t="n">
        <v>0</v>
      </c>
      <c r="M317" t="n">
        <v>0</v>
      </c>
      <c r="N317" t="n">
        <v>0</v>
      </c>
      <c r="O317" t="n">
        <v>0</v>
      </c>
      <c r="P317" t="n">
        <v>0</v>
      </c>
      <c r="Q317" t="n">
        <v>0</v>
      </c>
      <c r="R317" s="2" t="inlineStr"/>
    </row>
    <row r="318" ht="15" customHeight="1">
      <c r="A318" t="inlineStr">
        <is>
          <t>A 15528-2025</t>
        </is>
      </c>
      <c r="B318" s="1" t="n">
        <v>45747.63471064815</v>
      </c>
      <c r="C318" s="1" t="n">
        <v>46182</v>
      </c>
      <c r="D318" t="inlineStr">
        <is>
          <t>STOCKHOLMS LÄN</t>
        </is>
      </c>
      <c r="E318" t="inlineStr">
        <is>
          <t>NORRTÄLJE</t>
        </is>
      </c>
      <c r="G318" t="n">
        <v>10</v>
      </c>
      <c r="H318" t="n">
        <v>0</v>
      </c>
      <c r="I318" t="n">
        <v>0</v>
      </c>
      <c r="J318" t="n">
        <v>0</v>
      </c>
      <c r="K318" t="n">
        <v>0</v>
      </c>
      <c r="L318" t="n">
        <v>0</v>
      </c>
      <c r="M318" t="n">
        <v>0</v>
      </c>
      <c r="N318" t="n">
        <v>0</v>
      </c>
      <c r="O318" t="n">
        <v>0</v>
      </c>
      <c r="P318" t="n">
        <v>0</v>
      </c>
      <c r="Q318" t="n">
        <v>0</v>
      </c>
      <c r="R318" s="2" t="inlineStr"/>
    </row>
    <row r="319" ht="15" customHeight="1">
      <c r="A319" t="inlineStr">
        <is>
          <t>A 11901-2024</t>
        </is>
      </c>
      <c r="B319" s="1" t="n">
        <v>45376.55638888889</v>
      </c>
      <c r="C319" s="1" t="n">
        <v>46182</v>
      </c>
      <c r="D319" t="inlineStr">
        <is>
          <t>STOCKHOLMS LÄN</t>
        </is>
      </c>
      <c r="E319" t="inlineStr">
        <is>
          <t>NORRTÄLJE</t>
        </is>
      </c>
      <c r="F319" t="inlineStr">
        <is>
          <t>Holmen skog AB</t>
        </is>
      </c>
      <c r="G319" t="n">
        <v>3.5</v>
      </c>
      <c r="H319" t="n">
        <v>0</v>
      </c>
      <c r="I319" t="n">
        <v>0</v>
      </c>
      <c r="J319" t="n">
        <v>0</v>
      </c>
      <c r="K319" t="n">
        <v>0</v>
      </c>
      <c r="L319" t="n">
        <v>0</v>
      </c>
      <c r="M319" t="n">
        <v>0</v>
      </c>
      <c r="N319" t="n">
        <v>0</v>
      </c>
      <c r="O319" t="n">
        <v>0</v>
      </c>
      <c r="P319" t="n">
        <v>0</v>
      </c>
      <c r="Q319" t="n">
        <v>0</v>
      </c>
      <c r="R319" s="2" t="inlineStr"/>
    </row>
    <row r="320" ht="15" customHeight="1">
      <c r="A320" t="inlineStr">
        <is>
          <t>A 19982-2022</t>
        </is>
      </c>
      <c r="B320" s="1" t="n">
        <v>44697</v>
      </c>
      <c r="C320" s="1" t="n">
        <v>46182</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42075-2023</t>
        </is>
      </c>
      <c r="B321" s="1" t="n">
        <v>45177</v>
      </c>
      <c r="C321" s="1" t="n">
        <v>46182</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35161-2022</t>
        </is>
      </c>
      <c r="B322" s="1" t="n">
        <v>44797</v>
      </c>
      <c r="C322" s="1" t="n">
        <v>46182</v>
      </c>
      <c r="D322" t="inlineStr">
        <is>
          <t>STOCKHOLMS LÄN</t>
        </is>
      </c>
      <c r="E322" t="inlineStr">
        <is>
          <t>NORRTÄLJE</t>
        </is>
      </c>
      <c r="G322" t="n">
        <v>6</v>
      </c>
      <c r="H322" t="n">
        <v>0</v>
      </c>
      <c r="I322" t="n">
        <v>0</v>
      </c>
      <c r="J322" t="n">
        <v>0</v>
      </c>
      <c r="K322" t="n">
        <v>0</v>
      </c>
      <c r="L322" t="n">
        <v>0</v>
      </c>
      <c r="M322" t="n">
        <v>0</v>
      </c>
      <c r="N322" t="n">
        <v>0</v>
      </c>
      <c r="O322" t="n">
        <v>0</v>
      </c>
      <c r="P322" t="n">
        <v>0</v>
      </c>
      <c r="Q322" t="n">
        <v>0</v>
      </c>
      <c r="R322" s="2" t="inlineStr"/>
    </row>
    <row r="323" ht="15" customHeight="1">
      <c r="A323" t="inlineStr">
        <is>
          <t>A 27677-2025</t>
        </is>
      </c>
      <c r="B323" s="1" t="n">
        <v>45813.63650462963</v>
      </c>
      <c r="C323" s="1" t="n">
        <v>46182</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39152-2025</t>
        </is>
      </c>
      <c r="B324" s="1" t="n">
        <v>45888</v>
      </c>
      <c r="C324" s="1" t="n">
        <v>46182</v>
      </c>
      <c r="D324" t="inlineStr">
        <is>
          <t>STOCKHOLMS LÄN</t>
        </is>
      </c>
      <c r="E324" t="inlineStr">
        <is>
          <t>NORRTÄLJE</t>
        </is>
      </c>
      <c r="G324" t="n">
        <v>4.6</v>
      </c>
      <c r="H324" t="n">
        <v>0</v>
      </c>
      <c r="I324" t="n">
        <v>0</v>
      </c>
      <c r="J324" t="n">
        <v>0</v>
      </c>
      <c r="K324" t="n">
        <v>0</v>
      </c>
      <c r="L324" t="n">
        <v>0</v>
      </c>
      <c r="M324" t="n">
        <v>0</v>
      </c>
      <c r="N324" t="n">
        <v>0</v>
      </c>
      <c r="O324" t="n">
        <v>0</v>
      </c>
      <c r="P324" t="n">
        <v>0</v>
      </c>
      <c r="Q324" t="n">
        <v>0</v>
      </c>
      <c r="R324" s="2" t="inlineStr"/>
    </row>
    <row r="325" ht="15" customHeight="1">
      <c r="A325" t="inlineStr">
        <is>
          <t>A 50108-2021</t>
        </is>
      </c>
      <c r="B325" s="1" t="n">
        <v>44456</v>
      </c>
      <c r="C325" s="1" t="n">
        <v>46182</v>
      </c>
      <c r="D325" t="inlineStr">
        <is>
          <t>STOCKHOLMS LÄN</t>
        </is>
      </c>
      <c r="E325" t="inlineStr">
        <is>
          <t>NORRTÄLJE</t>
        </is>
      </c>
      <c r="G325" t="n">
        <v>0.7</v>
      </c>
      <c r="H325" t="n">
        <v>0</v>
      </c>
      <c r="I325" t="n">
        <v>0</v>
      </c>
      <c r="J325" t="n">
        <v>0</v>
      </c>
      <c r="K325" t="n">
        <v>0</v>
      </c>
      <c r="L325" t="n">
        <v>0</v>
      </c>
      <c r="M325" t="n">
        <v>0</v>
      </c>
      <c r="N325" t="n">
        <v>0</v>
      </c>
      <c r="O325" t="n">
        <v>0</v>
      </c>
      <c r="P325" t="n">
        <v>0</v>
      </c>
      <c r="Q325" t="n">
        <v>0</v>
      </c>
      <c r="R325" s="2" t="inlineStr"/>
    </row>
    <row r="326" ht="15" customHeight="1">
      <c r="A326" t="inlineStr">
        <is>
          <t>A 58989-2021</t>
        </is>
      </c>
      <c r="B326" s="1" t="n">
        <v>44490.02482638889</v>
      </c>
      <c r="C326" s="1" t="n">
        <v>46182</v>
      </c>
      <c r="D326" t="inlineStr">
        <is>
          <t>STOCKHOLMS LÄN</t>
        </is>
      </c>
      <c r="E326" t="inlineStr">
        <is>
          <t>NORRTÄLJE</t>
        </is>
      </c>
      <c r="G326" t="n">
        <v>0.3</v>
      </c>
      <c r="H326" t="n">
        <v>0</v>
      </c>
      <c r="I326" t="n">
        <v>0</v>
      </c>
      <c r="J326" t="n">
        <v>0</v>
      </c>
      <c r="K326" t="n">
        <v>0</v>
      </c>
      <c r="L326" t="n">
        <v>0</v>
      </c>
      <c r="M326" t="n">
        <v>0</v>
      </c>
      <c r="N326" t="n">
        <v>0</v>
      </c>
      <c r="O326" t="n">
        <v>0</v>
      </c>
      <c r="P326" t="n">
        <v>0</v>
      </c>
      <c r="Q326" t="n">
        <v>0</v>
      </c>
      <c r="R326" s="2" t="inlineStr"/>
    </row>
    <row r="327" ht="15" customHeight="1">
      <c r="A327" t="inlineStr">
        <is>
          <t>A 46988-2024</t>
        </is>
      </c>
      <c r="B327" s="1" t="n">
        <v>45586</v>
      </c>
      <c r="C327" s="1" t="n">
        <v>46182</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13701-2022</t>
        </is>
      </c>
      <c r="B328" s="1" t="n">
        <v>44648</v>
      </c>
      <c r="C328" s="1" t="n">
        <v>46182</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50355-2024</t>
        </is>
      </c>
      <c r="B329" s="1" t="n">
        <v>45600.86128472222</v>
      </c>
      <c r="C329" s="1" t="n">
        <v>46182</v>
      </c>
      <c r="D329" t="inlineStr">
        <is>
          <t>STOCKHOLMS LÄN</t>
        </is>
      </c>
      <c r="E329" t="inlineStr">
        <is>
          <t>NORRTÄLJE</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14132-2025</t>
        </is>
      </c>
      <c r="B330" s="1" t="n">
        <v>45740.47550925926</v>
      </c>
      <c r="C330" s="1" t="n">
        <v>46182</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14133-2025</t>
        </is>
      </c>
      <c r="B331" s="1" t="n">
        <v>45740.47724537037</v>
      </c>
      <c r="C331" s="1" t="n">
        <v>46182</v>
      </c>
      <c r="D331" t="inlineStr">
        <is>
          <t>STOCKHOLMS LÄN</t>
        </is>
      </c>
      <c r="E331" t="inlineStr">
        <is>
          <t>NORRTÄLJE</t>
        </is>
      </c>
      <c r="G331" t="n">
        <v>0.4</v>
      </c>
      <c r="H331" t="n">
        <v>0</v>
      </c>
      <c r="I331" t="n">
        <v>0</v>
      </c>
      <c r="J331" t="n">
        <v>0</v>
      </c>
      <c r="K331" t="n">
        <v>0</v>
      </c>
      <c r="L331" t="n">
        <v>0</v>
      </c>
      <c r="M331" t="n">
        <v>0</v>
      </c>
      <c r="N331" t="n">
        <v>0</v>
      </c>
      <c r="O331" t="n">
        <v>0</v>
      </c>
      <c r="P331" t="n">
        <v>0</v>
      </c>
      <c r="Q331" t="n">
        <v>0</v>
      </c>
      <c r="R331" s="2" t="inlineStr"/>
    </row>
    <row r="332" ht="15" customHeight="1">
      <c r="A332" t="inlineStr">
        <is>
          <t>A 24887-2023</t>
        </is>
      </c>
      <c r="B332" s="1" t="n">
        <v>45085</v>
      </c>
      <c r="C332" s="1" t="n">
        <v>46182</v>
      </c>
      <c r="D332" t="inlineStr">
        <is>
          <t>STOCKHOLMS LÄN</t>
        </is>
      </c>
      <c r="E332" t="inlineStr">
        <is>
          <t>NORRTÄLJE</t>
        </is>
      </c>
      <c r="G332" t="n">
        <v>13.9</v>
      </c>
      <c r="H332" t="n">
        <v>0</v>
      </c>
      <c r="I332" t="n">
        <v>0</v>
      </c>
      <c r="J332" t="n">
        <v>0</v>
      </c>
      <c r="K332" t="n">
        <v>0</v>
      </c>
      <c r="L332" t="n">
        <v>0</v>
      </c>
      <c r="M332" t="n">
        <v>0</v>
      </c>
      <c r="N332" t="n">
        <v>0</v>
      </c>
      <c r="O332" t="n">
        <v>0</v>
      </c>
      <c r="P332" t="n">
        <v>0</v>
      </c>
      <c r="Q332" t="n">
        <v>0</v>
      </c>
      <c r="R332" s="2" t="inlineStr"/>
    </row>
    <row r="333" ht="15" customHeight="1">
      <c r="A333" t="inlineStr">
        <is>
          <t>A 44917-2022</t>
        </is>
      </c>
      <c r="B333" s="1" t="n">
        <v>44841.52804398148</v>
      </c>
      <c r="C333" s="1" t="n">
        <v>46182</v>
      </c>
      <c r="D333" t="inlineStr">
        <is>
          <t>STOCKHOLMS LÄN</t>
        </is>
      </c>
      <c r="E333" t="inlineStr">
        <is>
          <t>NORRTÄLJE</t>
        </is>
      </c>
      <c r="F333" t="inlineStr">
        <is>
          <t>Holmen skog AB</t>
        </is>
      </c>
      <c r="G333" t="n">
        <v>3.3</v>
      </c>
      <c r="H333" t="n">
        <v>0</v>
      </c>
      <c r="I333" t="n">
        <v>0</v>
      </c>
      <c r="J333" t="n">
        <v>0</v>
      </c>
      <c r="K333" t="n">
        <v>0</v>
      </c>
      <c r="L333" t="n">
        <v>0</v>
      </c>
      <c r="M333" t="n">
        <v>0</v>
      </c>
      <c r="N333" t="n">
        <v>0</v>
      </c>
      <c r="O333" t="n">
        <v>0</v>
      </c>
      <c r="P333" t="n">
        <v>0</v>
      </c>
      <c r="Q333" t="n">
        <v>0</v>
      </c>
      <c r="R333" s="2" t="inlineStr"/>
    </row>
    <row r="334" ht="15" customHeight="1">
      <c r="A334" t="inlineStr">
        <is>
          <t>A 29250-2025</t>
        </is>
      </c>
      <c r="B334" s="1" t="n">
        <v>45824.37275462963</v>
      </c>
      <c r="C334" s="1" t="n">
        <v>46182</v>
      </c>
      <c r="D334" t="inlineStr">
        <is>
          <t>STOCKHOLMS LÄN</t>
        </is>
      </c>
      <c r="E334" t="inlineStr">
        <is>
          <t>NORRTÄLJE</t>
        </is>
      </c>
      <c r="F334" t="inlineStr">
        <is>
          <t>Sveaskog</t>
        </is>
      </c>
      <c r="G334" t="n">
        <v>6.4</v>
      </c>
      <c r="H334" t="n">
        <v>0</v>
      </c>
      <c r="I334" t="n">
        <v>0</v>
      </c>
      <c r="J334" t="n">
        <v>0</v>
      </c>
      <c r="K334" t="n">
        <v>0</v>
      </c>
      <c r="L334" t="n">
        <v>0</v>
      </c>
      <c r="M334" t="n">
        <v>0</v>
      </c>
      <c r="N334" t="n">
        <v>0</v>
      </c>
      <c r="O334" t="n">
        <v>0</v>
      </c>
      <c r="P334" t="n">
        <v>0</v>
      </c>
      <c r="Q334" t="n">
        <v>0</v>
      </c>
      <c r="R334" s="2" t="inlineStr"/>
    </row>
    <row r="335" ht="15" customHeight="1">
      <c r="A335" t="inlineStr">
        <is>
          <t>A 38612-2022</t>
        </is>
      </c>
      <c r="B335" s="1" t="n">
        <v>44813</v>
      </c>
      <c r="C335" s="1" t="n">
        <v>46182</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55058-2021</t>
        </is>
      </c>
      <c r="B336" s="1" t="n">
        <v>44474.62141203704</v>
      </c>
      <c r="C336" s="1" t="n">
        <v>46182</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4326-2023</t>
        </is>
      </c>
      <c r="B337" s="1" t="n">
        <v>44953.70481481482</v>
      </c>
      <c r="C337" s="1" t="n">
        <v>46182</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39692-2025</t>
        </is>
      </c>
      <c r="B338" s="1" t="n">
        <v>45890.68083333333</v>
      </c>
      <c r="C338" s="1" t="n">
        <v>46182</v>
      </c>
      <c r="D338" t="inlineStr">
        <is>
          <t>STOCKHOLMS LÄN</t>
        </is>
      </c>
      <c r="E338" t="inlineStr">
        <is>
          <t>NORRTÄLJE</t>
        </is>
      </c>
      <c r="G338" t="n">
        <v>10.5</v>
      </c>
      <c r="H338" t="n">
        <v>0</v>
      </c>
      <c r="I338" t="n">
        <v>0</v>
      </c>
      <c r="J338" t="n">
        <v>0</v>
      </c>
      <c r="K338" t="n">
        <v>0</v>
      </c>
      <c r="L338" t="n">
        <v>0</v>
      </c>
      <c r="M338" t="n">
        <v>0</v>
      </c>
      <c r="N338" t="n">
        <v>0</v>
      </c>
      <c r="O338" t="n">
        <v>0</v>
      </c>
      <c r="P338" t="n">
        <v>0</v>
      </c>
      <c r="Q338" t="n">
        <v>0</v>
      </c>
      <c r="R338" s="2" t="inlineStr"/>
    </row>
    <row r="339" ht="15" customHeight="1">
      <c r="A339" t="inlineStr">
        <is>
          <t>A 35639-2025</t>
        </is>
      </c>
      <c r="B339" s="1" t="n">
        <v>45859</v>
      </c>
      <c r="C339" s="1" t="n">
        <v>46182</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54504-2024</t>
        </is>
      </c>
      <c r="B340" s="1" t="n">
        <v>45617.58453703704</v>
      </c>
      <c r="C340" s="1" t="n">
        <v>46182</v>
      </c>
      <c r="D340" t="inlineStr">
        <is>
          <t>STOCKHOLMS LÄN</t>
        </is>
      </c>
      <c r="E340" t="inlineStr">
        <is>
          <t>NORRTÄLJE</t>
        </is>
      </c>
      <c r="G340" t="n">
        <v>3.4</v>
      </c>
      <c r="H340" t="n">
        <v>0</v>
      </c>
      <c r="I340" t="n">
        <v>0</v>
      </c>
      <c r="J340" t="n">
        <v>0</v>
      </c>
      <c r="K340" t="n">
        <v>0</v>
      </c>
      <c r="L340" t="n">
        <v>0</v>
      </c>
      <c r="M340" t="n">
        <v>0</v>
      </c>
      <c r="N340" t="n">
        <v>0</v>
      </c>
      <c r="O340" t="n">
        <v>0</v>
      </c>
      <c r="P340" t="n">
        <v>0</v>
      </c>
      <c r="Q340" t="n">
        <v>0</v>
      </c>
      <c r="R340" s="2" t="inlineStr"/>
    </row>
    <row r="341" ht="15" customHeight="1">
      <c r="A341" t="inlineStr">
        <is>
          <t>A 35636-2025</t>
        </is>
      </c>
      <c r="B341" s="1" t="n">
        <v>45859</v>
      </c>
      <c r="C341" s="1" t="n">
        <v>46182</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55012-2024</t>
        </is>
      </c>
      <c r="B342" s="1" t="n">
        <v>45621.34813657407</v>
      </c>
      <c r="C342" s="1" t="n">
        <v>46182</v>
      </c>
      <c r="D342" t="inlineStr">
        <is>
          <t>STOCKHOLMS LÄN</t>
        </is>
      </c>
      <c r="E342" t="inlineStr">
        <is>
          <t>NORRTÄLJE</t>
        </is>
      </c>
      <c r="F342" t="inlineStr">
        <is>
          <t>Sveaskog</t>
        </is>
      </c>
      <c r="G342" t="n">
        <v>5.2</v>
      </c>
      <c r="H342" t="n">
        <v>0</v>
      </c>
      <c r="I342" t="n">
        <v>0</v>
      </c>
      <c r="J342" t="n">
        <v>0</v>
      </c>
      <c r="K342" t="n">
        <v>0</v>
      </c>
      <c r="L342" t="n">
        <v>0</v>
      </c>
      <c r="M342" t="n">
        <v>0</v>
      </c>
      <c r="N342" t="n">
        <v>0</v>
      </c>
      <c r="O342" t="n">
        <v>0</v>
      </c>
      <c r="P342" t="n">
        <v>0</v>
      </c>
      <c r="Q342" t="n">
        <v>0</v>
      </c>
      <c r="R342" s="2" t="inlineStr"/>
    </row>
    <row r="343" ht="15" customHeight="1">
      <c r="A343" t="inlineStr">
        <is>
          <t>A 40172-2025</t>
        </is>
      </c>
      <c r="B343" s="1" t="n">
        <v>45894.6353125</v>
      </c>
      <c r="C343" s="1" t="n">
        <v>46182</v>
      </c>
      <c r="D343" t="inlineStr">
        <is>
          <t>STOCKHOLMS LÄN</t>
        </is>
      </c>
      <c r="E343" t="inlineStr">
        <is>
          <t>NORRTÄLJE</t>
        </is>
      </c>
      <c r="G343" t="n">
        <v>6</v>
      </c>
      <c r="H343" t="n">
        <v>0</v>
      </c>
      <c r="I343" t="n">
        <v>0</v>
      </c>
      <c r="J343" t="n">
        <v>0</v>
      </c>
      <c r="K343" t="n">
        <v>0</v>
      </c>
      <c r="L343" t="n">
        <v>0</v>
      </c>
      <c r="M343" t="n">
        <v>0</v>
      </c>
      <c r="N343" t="n">
        <v>0</v>
      </c>
      <c r="O343" t="n">
        <v>0</v>
      </c>
      <c r="P343" t="n">
        <v>0</v>
      </c>
      <c r="Q343" t="n">
        <v>0</v>
      </c>
      <c r="R343" s="2" t="inlineStr"/>
    </row>
    <row r="344" ht="15" customHeight="1">
      <c r="A344" t="inlineStr">
        <is>
          <t>A 40033-2025</t>
        </is>
      </c>
      <c r="B344" s="1" t="n">
        <v>45893</v>
      </c>
      <c r="C344" s="1" t="n">
        <v>46182</v>
      </c>
      <c r="D344" t="inlineStr">
        <is>
          <t>STOCKHOLMS LÄN</t>
        </is>
      </c>
      <c r="E344" t="inlineStr">
        <is>
          <t>NORRTÄLJE</t>
        </is>
      </c>
      <c r="G344" t="n">
        <v>1.7</v>
      </c>
      <c r="H344" t="n">
        <v>0</v>
      </c>
      <c r="I344" t="n">
        <v>0</v>
      </c>
      <c r="J344" t="n">
        <v>0</v>
      </c>
      <c r="K344" t="n">
        <v>0</v>
      </c>
      <c r="L344" t="n">
        <v>0</v>
      </c>
      <c r="M344" t="n">
        <v>0</v>
      </c>
      <c r="N344" t="n">
        <v>0</v>
      </c>
      <c r="O344" t="n">
        <v>0</v>
      </c>
      <c r="P344" t="n">
        <v>0</v>
      </c>
      <c r="Q344" t="n">
        <v>0</v>
      </c>
      <c r="R344" s="2" t="inlineStr"/>
    </row>
    <row r="345" ht="15" customHeight="1">
      <c r="A345" t="inlineStr">
        <is>
          <t>A 40032-2025</t>
        </is>
      </c>
      <c r="B345" s="1" t="n">
        <v>45893</v>
      </c>
      <c r="C345" s="1" t="n">
        <v>46182</v>
      </c>
      <c r="D345" t="inlineStr">
        <is>
          <t>STOCKHOLMS LÄN</t>
        </is>
      </c>
      <c r="E345" t="inlineStr">
        <is>
          <t>NORRTÄLJE</t>
        </is>
      </c>
      <c r="G345" t="n">
        <v>2.6</v>
      </c>
      <c r="H345" t="n">
        <v>0</v>
      </c>
      <c r="I345" t="n">
        <v>0</v>
      </c>
      <c r="J345" t="n">
        <v>0</v>
      </c>
      <c r="K345" t="n">
        <v>0</v>
      </c>
      <c r="L345" t="n">
        <v>0</v>
      </c>
      <c r="M345" t="n">
        <v>0</v>
      </c>
      <c r="N345" t="n">
        <v>0</v>
      </c>
      <c r="O345" t="n">
        <v>0</v>
      </c>
      <c r="P345" t="n">
        <v>0</v>
      </c>
      <c r="Q345" t="n">
        <v>0</v>
      </c>
      <c r="R345" s="2" t="inlineStr"/>
    </row>
    <row r="346" ht="15" customHeight="1">
      <c r="A346" t="inlineStr">
        <is>
          <t>A 40292-2025</t>
        </is>
      </c>
      <c r="B346" s="1" t="n">
        <v>45895.3867824074</v>
      </c>
      <c r="C346" s="1" t="n">
        <v>46182</v>
      </c>
      <c r="D346" t="inlineStr">
        <is>
          <t>STOCKHOLMS LÄN</t>
        </is>
      </c>
      <c r="E346" t="inlineStr">
        <is>
          <t>NORRTÄLJE</t>
        </is>
      </c>
      <c r="G346" t="n">
        <v>3.5</v>
      </c>
      <c r="H346" t="n">
        <v>0</v>
      </c>
      <c r="I346" t="n">
        <v>0</v>
      </c>
      <c r="J346" t="n">
        <v>0</v>
      </c>
      <c r="K346" t="n">
        <v>0</v>
      </c>
      <c r="L346" t="n">
        <v>0</v>
      </c>
      <c r="M346" t="n">
        <v>0</v>
      </c>
      <c r="N346" t="n">
        <v>0</v>
      </c>
      <c r="O346" t="n">
        <v>0</v>
      </c>
      <c r="P346" t="n">
        <v>0</v>
      </c>
      <c r="Q346" t="n">
        <v>0</v>
      </c>
      <c r="R346" s="2" t="inlineStr"/>
    </row>
    <row r="347" ht="15" customHeight="1">
      <c r="A347" t="inlineStr">
        <is>
          <t>A 40228-2025</t>
        </is>
      </c>
      <c r="B347" s="1" t="n">
        <v>45894.70854166667</v>
      </c>
      <c r="C347" s="1" t="n">
        <v>46182</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30639-2025</t>
        </is>
      </c>
      <c r="B348" s="1" t="n">
        <v>45831.4844212963</v>
      </c>
      <c r="C348" s="1" t="n">
        <v>46182</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30668-2025</t>
        </is>
      </c>
      <c r="B349" s="1" t="n">
        <v>45831.51659722222</v>
      </c>
      <c r="C349" s="1" t="n">
        <v>46182</v>
      </c>
      <c r="D349" t="inlineStr">
        <is>
          <t>STOCKHOLMS LÄN</t>
        </is>
      </c>
      <c r="E349" t="inlineStr">
        <is>
          <t>NORRTÄLJE</t>
        </is>
      </c>
      <c r="G349" t="n">
        <v>4.9</v>
      </c>
      <c r="H349" t="n">
        <v>0</v>
      </c>
      <c r="I349" t="n">
        <v>0</v>
      </c>
      <c r="J349" t="n">
        <v>0</v>
      </c>
      <c r="K349" t="n">
        <v>0</v>
      </c>
      <c r="L349" t="n">
        <v>0</v>
      </c>
      <c r="M349" t="n">
        <v>0</v>
      </c>
      <c r="N349" t="n">
        <v>0</v>
      </c>
      <c r="O349" t="n">
        <v>0</v>
      </c>
      <c r="P349" t="n">
        <v>0</v>
      </c>
      <c r="Q349" t="n">
        <v>0</v>
      </c>
      <c r="R349" s="2" t="inlineStr"/>
    </row>
    <row r="350" ht="15" customHeight="1">
      <c r="A350" t="inlineStr">
        <is>
          <t>A 40230-2025</t>
        </is>
      </c>
      <c r="B350" s="1" t="n">
        <v>45894.71101851852</v>
      </c>
      <c r="C350" s="1" t="n">
        <v>46182</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40217-2025</t>
        </is>
      </c>
      <c r="B351" s="1" t="n">
        <v>45894.68864583333</v>
      </c>
      <c r="C351" s="1" t="n">
        <v>46182</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40097-2025</t>
        </is>
      </c>
      <c r="B352" s="1" t="n">
        <v>45894.48322916667</v>
      </c>
      <c r="C352" s="1" t="n">
        <v>46182</v>
      </c>
      <c r="D352" t="inlineStr">
        <is>
          <t>STOCKHOLMS LÄN</t>
        </is>
      </c>
      <c r="E352" t="inlineStr">
        <is>
          <t>NORRTÄLJE</t>
        </is>
      </c>
      <c r="G352" t="n">
        <v>3</v>
      </c>
      <c r="H352" t="n">
        <v>0</v>
      </c>
      <c r="I352" t="n">
        <v>0</v>
      </c>
      <c r="J352" t="n">
        <v>0</v>
      </c>
      <c r="K352" t="n">
        <v>0</v>
      </c>
      <c r="L352" t="n">
        <v>0</v>
      </c>
      <c r="M352" t="n">
        <v>0</v>
      </c>
      <c r="N352" t="n">
        <v>0</v>
      </c>
      <c r="O352" t="n">
        <v>0</v>
      </c>
      <c r="P352" t="n">
        <v>0</v>
      </c>
      <c r="Q352" t="n">
        <v>0</v>
      </c>
      <c r="R352" s="2" t="inlineStr"/>
    </row>
    <row r="353" ht="15" customHeight="1">
      <c r="A353" t="inlineStr">
        <is>
          <t>A 40829-2025</t>
        </is>
      </c>
      <c r="B353" s="1" t="n">
        <v>45897.50802083333</v>
      </c>
      <c r="C353" s="1" t="n">
        <v>46182</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40837-2025</t>
        </is>
      </c>
      <c r="B354" s="1" t="n">
        <v>45897.51328703704</v>
      </c>
      <c r="C354" s="1" t="n">
        <v>46182</v>
      </c>
      <c r="D354" t="inlineStr">
        <is>
          <t>STOCKHOLMS LÄN</t>
        </is>
      </c>
      <c r="E354" t="inlineStr">
        <is>
          <t>NORRTÄLJE</t>
        </is>
      </c>
      <c r="G354" t="n">
        <v>0.6</v>
      </c>
      <c r="H354" t="n">
        <v>0</v>
      </c>
      <c r="I354" t="n">
        <v>0</v>
      </c>
      <c r="J354" t="n">
        <v>0</v>
      </c>
      <c r="K354" t="n">
        <v>0</v>
      </c>
      <c r="L354" t="n">
        <v>0</v>
      </c>
      <c r="M354" t="n">
        <v>0</v>
      </c>
      <c r="N354" t="n">
        <v>0</v>
      </c>
      <c r="O354" t="n">
        <v>0</v>
      </c>
      <c r="P354" t="n">
        <v>0</v>
      </c>
      <c r="Q354" t="n">
        <v>0</v>
      </c>
      <c r="R354" s="2" t="inlineStr"/>
    </row>
    <row r="355" ht="15" customHeight="1">
      <c r="A355" t="inlineStr">
        <is>
          <t>A 40529-2025</t>
        </is>
      </c>
      <c r="B355" s="1" t="n">
        <v>45896.38466435186</v>
      </c>
      <c r="C355" s="1" t="n">
        <v>46182</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40831-2025</t>
        </is>
      </c>
      <c r="B356" s="1" t="n">
        <v>45897.51077546296</v>
      </c>
      <c r="C356" s="1" t="n">
        <v>46182</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41158-2025</t>
        </is>
      </c>
      <c r="B357" s="1" t="n">
        <v>45898.5315625</v>
      </c>
      <c r="C357" s="1" t="n">
        <v>46182</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19058-2024</t>
        </is>
      </c>
      <c r="B358" s="1" t="n">
        <v>45427.89121527778</v>
      </c>
      <c r="C358" s="1" t="n">
        <v>46182</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41174-2025</t>
        </is>
      </c>
      <c r="B359" s="1" t="n">
        <v>45898.54921296296</v>
      </c>
      <c r="C359" s="1" t="n">
        <v>46182</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41110-2025</t>
        </is>
      </c>
      <c r="B360" s="1" t="n">
        <v>45898.45976851852</v>
      </c>
      <c r="C360" s="1" t="n">
        <v>46182</v>
      </c>
      <c r="D360" t="inlineStr">
        <is>
          <t>STOCKHOLMS LÄN</t>
        </is>
      </c>
      <c r="E360" t="inlineStr">
        <is>
          <t>NORRTÄLJE</t>
        </is>
      </c>
      <c r="F360" t="inlineStr">
        <is>
          <t>Holmen skog AB</t>
        </is>
      </c>
      <c r="G360" t="n">
        <v>6.7</v>
      </c>
      <c r="H360" t="n">
        <v>0</v>
      </c>
      <c r="I360" t="n">
        <v>0</v>
      </c>
      <c r="J360" t="n">
        <v>0</v>
      </c>
      <c r="K360" t="n">
        <v>0</v>
      </c>
      <c r="L360" t="n">
        <v>0</v>
      </c>
      <c r="M360" t="n">
        <v>0</v>
      </c>
      <c r="N360" t="n">
        <v>0</v>
      </c>
      <c r="O360" t="n">
        <v>0</v>
      </c>
      <c r="P360" t="n">
        <v>0</v>
      </c>
      <c r="Q360" t="n">
        <v>0</v>
      </c>
      <c r="R360" s="2" t="inlineStr"/>
    </row>
    <row r="361" ht="15" customHeight="1">
      <c r="A361" t="inlineStr">
        <is>
          <t>A 10511-2025</t>
        </is>
      </c>
      <c r="B361" s="1" t="n">
        <v>45721.40780092592</v>
      </c>
      <c r="C361" s="1" t="n">
        <v>46182</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21745-2023</t>
        </is>
      </c>
      <c r="B362" s="1" t="n">
        <v>45065.55917824074</v>
      </c>
      <c r="C362" s="1" t="n">
        <v>46182</v>
      </c>
      <c r="D362" t="inlineStr">
        <is>
          <t>STOCKHOLMS LÄN</t>
        </is>
      </c>
      <c r="E362" t="inlineStr">
        <is>
          <t>NORRTÄLJE</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58863-2024</t>
        </is>
      </c>
      <c r="B363" s="1" t="n">
        <v>45636.41572916666</v>
      </c>
      <c r="C363" s="1" t="n">
        <v>46182</v>
      </c>
      <c r="D363" t="inlineStr">
        <is>
          <t>STOCKHOLMS LÄN</t>
        </is>
      </c>
      <c r="E363" t="inlineStr">
        <is>
          <t>NORRTÄLJE</t>
        </is>
      </c>
      <c r="G363" t="n">
        <v>0.7</v>
      </c>
      <c r="H363" t="n">
        <v>0</v>
      </c>
      <c r="I363" t="n">
        <v>0</v>
      </c>
      <c r="J363" t="n">
        <v>0</v>
      </c>
      <c r="K363" t="n">
        <v>0</v>
      </c>
      <c r="L363" t="n">
        <v>0</v>
      </c>
      <c r="M363" t="n">
        <v>0</v>
      </c>
      <c r="N363" t="n">
        <v>0</v>
      </c>
      <c r="O363" t="n">
        <v>0</v>
      </c>
      <c r="P363" t="n">
        <v>0</v>
      </c>
      <c r="Q363" t="n">
        <v>0</v>
      </c>
      <c r="R363" s="2" t="inlineStr"/>
    </row>
    <row r="364" ht="15" customHeight="1">
      <c r="A364" t="inlineStr">
        <is>
          <t>A 21894-2023</t>
        </is>
      </c>
      <c r="B364" s="1" t="n">
        <v>45068.51783564815</v>
      </c>
      <c r="C364" s="1" t="n">
        <v>46182</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13276-2022</t>
        </is>
      </c>
      <c r="B365" s="1" t="n">
        <v>44644</v>
      </c>
      <c r="C365" s="1" t="n">
        <v>46182</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31880-2025</t>
        </is>
      </c>
      <c r="B366" s="1" t="n">
        <v>45834.65538194445</v>
      </c>
      <c r="C366" s="1" t="n">
        <v>46182</v>
      </c>
      <c r="D366" t="inlineStr">
        <is>
          <t>STOCKHOLMS LÄN</t>
        </is>
      </c>
      <c r="E366" t="inlineStr">
        <is>
          <t>NORRTÄLJE</t>
        </is>
      </c>
      <c r="G366" t="n">
        <v>1.4</v>
      </c>
      <c r="H366" t="n">
        <v>0</v>
      </c>
      <c r="I366" t="n">
        <v>0</v>
      </c>
      <c r="J366" t="n">
        <v>0</v>
      </c>
      <c r="K366" t="n">
        <v>0</v>
      </c>
      <c r="L366" t="n">
        <v>0</v>
      </c>
      <c r="M366" t="n">
        <v>0</v>
      </c>
      <c r="N366" t="n">
        <v>0</v>
      </c>
      <c r="O366" t="n">
        <v>0</v>
      </c>
      <c r="P366" t="n">
        <v>0</v>
      </c>
      <c r="Q366" t="n">
        <v>0</v>
      </c>
      <c r="R366" s="2" t="inlineStr"/>
    </row>
    <row r="367" ht="15" customHeight="1">
      <c r="A367" t="inlineStr">
        <is>
          <t>A 11900-2024</t>
        </is>
      </c>
      <c r="B367" s="1" t="n">
        <v>45376.55484953704</v>
      </c>
      <c r="C367" s="1" t="n">
        <v>46182</v>
      </c>
      <c r="D367" t="inlineStr">
        <is>
          <t>STOCKHOLMS LÄN</t>
        </is>
      </c>
      <c r="E367" t="inlineStr">
        <is>
          <t>NORRTÄLJE</t>
        </is>
      </c>
      <c r="G367" t="n">
        <v>4.2</v>
      </c>
      <c r="H367" t="n">
        <v>0</v>
      </c>
      <c r="I367" t="n">
        <v>0</v>
      </c>
      <c r="J367" t="n">
        <v>0</v>
      </c>
      <c r="K367" t="n">
        <v>0</v>
      </c>
      <c r="L367" t="n">
        <v>0</v>
      </c>
      <c r="M367" t="n">
        <v>0</v>
      </c>
      <c r="N367" t="n">
        <v>0</v>
      </c>
      <c r="O367" t="n">
        <v>0</v>
      </c>
      <c r="P367" t="n">
        <v>0</v>
      </c>
      <c r="Q367" t="n">
        <v>0</v>
      </c>
      <c r="R367" s="2" t="inlineStr"/>
    </row>
    <row r="368" ht="15" customHeight="1">
      <c r="A368" t="inlineStr">
        <is>
          <t>A 31868-2025</t>
        </is>
      </c>
      <c r="B368" s="1" t="n">
        <v>45834.6447337963</v>
      </c>
      <c r="C368" s="1" t="n">
        <v>46182</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28182-2022</t>
        </is>
      </c>
      <c r="B369" s="1" t="n">
        <v>44746.58530092592</v>
      </c>
      <c r="C369" s="1" t="n">
        <v>46182</v>
      </c>
      <c r="D369" t="inlineStr">
        <is>
          <t>STOCKHOLMS LÄN</t>
        </is>
      </c>
      <c r="E369" t="inlineStr">
        <is>
          <t>NORRTÄLJE</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34461-2023</t>
        </is>
      </c>
      <c r="B370" s="1" t="n">
        <v>45139</v>
      </c>
      <c r="C370" s="1" t="n">
        <v>46182</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32283-2025</t>
        </is>
      </c>
      <c r="B371" s="1" t="n">
        <v>45835.68076388889</v>
      </c>
      <c r="C371" s="1" t="n">
        <v>46182</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51046-2023</t>
        </is>
      </c>
      <c r="B372" s="1" t="n">
        <v>45218</v>
      </c>
      <c r="C372" s="1" t="n">
        <v>46182</v>
      </c>
      <c r="D372" t="inlineStr">
        <is>
          <t>STOCKHOLMS LÄN</t>
        </is>
      </c>
      <c r="E372" t="inlineStr">
        <is>
          <t>NORRTÄLJE</t>
        </is>
      </c>
      <c r="G372" t="n">
        <v>2.5</v>
      </c>
      <c r="H372" t="n">
        <v>0</v>
      </c>
      <c r="I372" t="n">
        <v>0</v>
      </c>
      <c r="J372" t="n">
        <v>0</v>
      </c>
      <c r="K372" t="n">
        <v>0</v>
      </c>
      <c r="L372" t="n">
        <v>0</v>
      </c>
      <c r="M372" t="n">
        <v>0</v>
      </c>
      <c r="N372" t="n">
        <v>0</v>
      </c>
      <c r="O372" t="n">
        <v>0</v>
      </c>
      <c r="P372" t="n">
        <v>0</v>
      </c>
      <c r="Q372" t="n">
        <v>0</v>
      </c>
      <c r="R372" s="2" t="inlineStr"/>
    </row>
    <row r="373" ht="15" customHeight="1">
      <c r="A373" t="inlineStr">
        <is>
          <t>A 31874-2025</t>
        </is>
      </c>
      <c r="B373" s="1" t="n">
        <v>45834</v>
      </c>
      <c r="C373" s="1" t="n">
        <v>46182</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42867-2022</t>
        </is>
      </c>
      <c r="B374" s="1" t="n">
        <v>44832</v>
      </c>
      <c r="C374" s="1" t="n">
        <v>46182</v>
      </c>
      <c r="D374" t="inlineStr">
        <is>
          <t>STOCKHOLMS LÄN</t>
        </is>
      </c>
      <c r="E374" t="inlineStr">
        <is>
          <t>NORRTÄLJE</t>
        </is>
      </c>
      <c r="G374" t="n">
        <v>6.4</v>
      </c>
      <c r="H374" t="n">
        <v>0</v>
      </c>
      <c r="I374" t="n">
        <v>0</v>
      </c>
      <c r="J374" t="n">
        <v>0</v>
      </c>
      <c r="K374" t="n">
        <v>0</v>
      </c>
      <c r="L374" t="n">
        <v>0</v>
      </c>
      <c r="M374" t="n">
        <v>0</v>
      </c>
      <c r="N374" t="n">
        <v>0</v>
      </c>
      <c r="O374" t="n">
        <v>0</v>
      </c>
      <c r="P374" t="n">
        <v>0</v>
      </c>
      <c r="Q374" t="n">
        <v>0</v>
      </c>
      <c r="R374" s="2" t="inlineStr"/>
    </row>
    <row r="375" ht="15" customHeight="1">
      <c r="A375" t="inlineStr">
        <is>
          <t>A 23749-2024</t>
        </is>
      </c>
      <c r="B375" s="1" t="n">
        <v>45455.33037037037</v>
      </c>
      <c r="C375" s="1" t="n">
        <v>46182</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30699-2025</t>
        </is>
      </c>
      <c r="B376" s="1" t="n">
        <v>45831.54618055555</v>
      </c>
      <c r="C376" s="1" t="n">
        <v>46182</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58277-2023</t>
        </is>
      </c>
      <c r="B377" s="1" t="n">
        <v>45245</v>
      </c>
      <c r="C377" s="1" t="n">
        <v>46182</v>
      </c>
      <c r="D377" t="inlineStr">
        <is>
          <t>STOCKHOLMS LÄN</t>
        </is>
      </c>
      <c r="E377" t="inlineStr">
        <is>
          <t>NORRTÄLJE</t>
        </is>
      </c>
      <c r="G377" t="n">
        <v>1.3</v>
      </c>
      <c r="H377" t="n">
        <v>0</v>
      </c>
      <c r="I377" t="n">
        <v>0</v>
      </c>
      <c r="J377" t="n">
        <v>0</v>
      </c>
      <c r="K377" t="n">
        <v>0</v>
      </c>
      <c r="L377" t="n">
        <v>0</v>
      </c>
      <c r="M377" t="n">
        <v>0</v>
      </c>
      <c r="N377" t="n">
        <v>0</v>
      </c>
      <c r="O377" t="n">
        <v>0</v>
      </c>
      <c r="P377" t="n">
        <v>0</v>
      </c>
      <c r="Q377" t="n">
        <v>0</v>
      </c>
      <c r="R377" s="2" t="inlineStr"/>
    </row>
    <row r="378" ht="15" customHeight="1">
      <c r="A378" t="inlineStr">
        <is>
          <t>A 32705-2022</t>
        </is>
      </c>
      <c r="B378" s="1" t="n">
        <v>44783</v>
      </c>
      <c r="C378" s="1" t="n">
        <v>46182</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17382-2024</t>
        </is>
      </c>
      <c r="B379" s="1" t="n">
        <v>45414.65855324074</v>
      </c>
      <c r="C379" s="1" t="n">
        <v>46182</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6070-2022</t>
        </is>
      </c>
      <c r="B380" s="1" t="n">
        <v>44599.58428240741</v>
      </c>
      <c r="C380" s="1" t="n">
        <v>46182</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17039-2024</t>
        </is>
      </c>
      <c r="B381" s="1" t="n">
        <v>45412.4104050926</v>
      </c>
      <c r="C381" s="1" t="n">
        <v>46182</v>
      </c>
      <c r="D381" t="inlineStr">
        <is>
          <t>STOCKHOLMS LÄN</t>
        </is>
      </c>
      <c r="E381" t="inlineStr">
        <is>
          <t>NORRTÄLJE</t>
        </is>
      </c>
      <c r="G381" t="n">
        <v>5.9</v>
      </c>
      <c r="H381" t="n">
        <v>0</v>
      </c>
      <c r="I381" t="n">
        <v>0</v>
      </c>
      <c r="J381" t="n">
        <v>0</v>
      </c>
      <c r="K381" t="n">
        <v>0</v>
      </c>
      <c r="L381" t="n">
        <v>0</v>
      </c>
      <c r="M381" t="n">
        <v>0</v>
      </c>
      <c r="N381" t="n">
        <v>0</v>
      </c>
      <c r="O381" t="n">
        <v>0</v>
      </c>
      <c r="P381" t="n">
        <v>0</v>
      </c>
      <c r="Q381" t="n">
        <v>0</v>
      </c>
      <c r="R381" s="2" t="inlineStr"/>
    </row>
    <row r="382" ht="15" customHeight="1">
      <c r="A382" t="inlineStr">
        <is>
          <t>A 47481-2024</t>
        </is>
      </c>
      <c r="B382" s="1" t="n">
        <v>45587</v>
      </c>
      <c r="C382" s="1" t="n">
        <v>46182</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57037-2022</t>
        </is>
      </c>
      <c r="B383" s="1" t="n">
        <v>44895</v>
      </c>
      <c r="C383" s="1" t="n">
        <v>46182</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48180-2023</t>
        </is>
      </c>
      <c r="B384" s="1" t="n">
        <v>45205</v>
      </c>
      <c r="C384" s="1" t="n">
        <v>46182</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20011-2025</t>
        </is>
      </c>
      <c r="B385" s="1" t="n">
        <v>45772.29622685185</v>
      </c>
      <c r="C385" s="1" t="n">
        <v>46182</v>
      </c>
      <c r="D385" t="inlineStr">
        <is>
          <t>STOCKHOLMS LÄN</t>
        </is>
      </c>
      <c r="E385" t="inlineStr">
        <is>
          <t>NORRTÄLJE</t>
        </is>
      </c>
      <c r="G385" t="n">
        <v>3.5</v>
      </c>
      <c r="H385" t="n">
        <v>0</v>
      </c>
      <c r="I385" t="n">
        <v>0</v>
      </c>
      <c r="J385" t="n">
        <v>0</v>
      </c>
      <c r="K385" t="n">
        <v>0</v>
      </c>
      <c r="L385" t="n">
        <v>0</v>
      </c>
      <c r="M385" t="n">
        <v>0</v>
      </c>
      <c r="N385" t="n">
        <v>0</v>
      </c>
      <c r="O385" t="n">
        <v>0</v>
      </c>
      <c r="P385" t="n">
        <v>0</v>
      </c>
      <c r="Q385" t="n">
        <v>0</v>
      </c>
      <c r="R385" s="2" t="inlineStr"/>
    </row>
    <row r="386" ht="15" customHeight="1">
      <c r="A386" t="inlineStr">
        <is>
          <t>A 42856-2025</t>
        </is>
      </c>
      <c r="B386" s="1" t="n">
        <v>45908</v>
      </c>
      <c r="C386" s="1" t="n">
        <v>46182</v>
      </c>
      <c r="D386" t="inlineStr">
        <is>
          <t>STOCKHOLMS LÄN</t>
        </is>
      </c>
      <c r="E386" t="inlineStr">
        <is>
          <t>NORRTÄLJE</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35695-2023</t>
        </is>
      </c>
      <c r="B387" s="1" t="n">
        <v>45147.65407407407</v>
      </c>
      <c r="C387" s="1" t="n">
        <v>46182</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11940-2023</t>
        </is>
      </c>
      <c r="B388" s="1" t="n">
        <v>44995</v>
      </c>
      <c r="C388" s="1" t="n">
        <v>46182</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45173-2023</t>
        </is>
      </c>
      <c r="B389" s="1" t="n">
        <v>45191</v>
      </c>
      <c r="C389" s="1" t="n">
        <v>46182</v>
      </c>
      <c r="D389" t="inlineStr">
        <is>
          <t>STOCKHOLMS LÄN</t>
        </is>
      </c>
      <c r="E389" t="inlineStr">
        <is>
          <t>NORRTÄLJE</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32480-2025</t>
        </is>
      </c>
      <c r="B390" s="1" t="n">
        <v>45838.43261574074</v>
      </c>
      <c r="C390" s="1" t="n">
        <v>46182</v>
      </c>
      <c r="D390" t="inlineStr">
        <is>
          <t>STOCKHOLMS LÄN</t>
        </is>
      </c>
      <c r="E390" t="inlineStr">
        <is>
          <t>NORRTÄLJE</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32872-2025</t>
        </is>
      </c>
      <c r="B391" s="1" t="n">
        <v>45839</v>
      </c>
      <c r="C391" s="1" t="n">
        <v>46182</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2281-2024</t>
        </is>
      </c>
      <c r="B392" s="1" t="n">
        <v>45310.40628472222</v>
      </c>
      <c r="C392" s="1" t="n">
        <v>46182</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60525-2022</t>
        </is>
      </c>
      <c r="B393" s="1" t="n">
        <v>44904</v>
      </c>
      <c r="C393" s="1" t="n">
        <v>46182</v>
      </c>
      <c r="D393" t="inlineStr">
        <is>
          <t>STOCKHOLMS LÄN</t>
        </is>
      </c>
      <c r="E393" t="inlineStr">
        <is>
          <t>NORRTÄLJE</t>
        </is>
      </c>
      <c r="G393" t="n">
        <v>13.4</v>
      </c>
      <c r="H393" t="n">
        <v>0</v>
      </c>
      <c r="I393" t="n">
        <v>0</v>
      </c>
      <c r="J393" t="n">
        <v>0</v>
      </c>
      <c r="K393" t="n">
        <v>0</v>
      </c>
      <c r="L393" t="n">
        <v>0</v>
      </c>
      <c r="M393" t="n">
        <v>0</v>
      </c>
      <c r="N393" t="n">
        <v>0</v>
      </c>
      <c r="O393" t="n">
        <v>0</v>
      </c>
      <c r="P393" t="n">
        <v>0</v>
      </c>
      <c r="Q393" t="n">
        <v>0</v>
      </c>
      <c r="R393" s="2" t="inlineStr"/>
    </row>
    <row r="394" ht="15" customHeight="1">
      <c r="A394" t="inlineStr">
        <is>
          <t>A 24705-2023</t>
        </is>
      </c>
      <c r="B394" s="1" t="n">
        <v>45084.54459490741</v>
      </c>
      <c r="C394" s="1" t="n">
        <v>46182</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39213-2022</t>
        </is>
      </c>
      <c r="B395" s="1" t="n">
        <v>44817.56120370371</v>
      </c>
      <c r="C395" s="1" t="n">
        <v>46182</v>
      </c>
      <c r="D395" t="inlineStr">
        <is>
          <t>STOCKHOLMS LÄN</t>
        </is>
      </c>
      <c r="E395" t="inlineStr">
        <is>
          <t>NORRTÄLJE</t>
        </is>
      </c>
      <c r="G395" t="n">
        <v>3.4</v>
      </c>
      <c r="H395" t="n">
        <v>0</v>
      </c>
      <c r="I395" t="n">
        <v>0</v>
      </c>
      <c r="J395" t="n">
        <v>0</v>
      </c>
      <c r="K395" t="n">
        <v>0</v>
      </c>
      <c r="L395" t="n">
        <v>0</v>
      </c>
      <c r="M395" t="n">
        <v>0</v>
      </c>
      <c r="N395" t="n">
        <v>0</v>
      </c>
      <c r="O395" t="n">
        <v>0</v>
      </c>
      <c r="P395" t="n">
        <v>0</v>
      </c>
      <c r="Q395" t="n">
        <v>0</v>
      </c>
      <c r="R395" s="2" t="inlineStr"/>
    </row>
    <row r="396" ht="15" customHeight="1">
      <c r="A396" t="inlineStr">
        <is>
          <t>A 21696-2024</t>
        </is>
      </c>
      <c r="B396" s="1" t="n">
        <v>45442.45686342593</v>
      </c>
      <c r="C396" s="1" t="n">
        <v>46182</v>
      </c>
      <c r="D396" t="inlineStr">
        <is>
          <t>STOCKHOLMS LÄN</t>
        </is>
      </c>
      <c r="E396" t="inlineStr">
        <is>
          <t>NORRTÄLJE</t>
        </is>
      </c>
      <c r="G396" t="n">
        <v>2.9</v>
      </c>
      <c r="H396" t="n">
        <v>0</v>
      </c>
      <c r="I396" t="n">
        <v>0</v>
      </c>
      <c r="J396" t="n">
        <v>0</v>
      </c>
      <c r="K396" t="n">
        <v>0</v>
      </c>
      <c r="L396" t="n">
        <v>0</v>
      </c>
      <c r="M396" t="n">
        <v>0</v>
      </c>
      <c r="N396" t="n">
        <v>0</v>
      </c>
      <c r="O396" t="n">
        <v>0</v>
      </c>
      <c r="P396" t="n">
        <v>0</v>
      </c>
      <c r="Q396" t="n">
        <v>0</v>
      </c>
      <c r="R396" s="2" t="inlineStr"/>
    </row>
    <row r="397" ht="15" customHeight="1">
      <c r="A397" t="inlineStr">
        <is>
          <t>A 41976-2024</t>
        </is>
      </c>
      <c r="B397" s="1" t="n">
        <v>45561.62141203704</v>
      </c>
      <c r="C397" s="1" t="n">
        <v>46182</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33211-2025</t>
        </is>
      </c>
      <c r="B398" s="1" t="n">
        <v>45840.62755787037</v>
      </c>
      <c r="C398" s="1" t="n">
        <v>46182</v>
      </c>
      <c r="D398" t="inlineStr">
        <is>
          <t>STOCKHOLMS LÄN</t>
        </is>
      </c>
      <c r="E398" t="inlineStr">
        <is>
          <t>NORRTÄLJE</t>
        </is>
      </c>
      <c r="G398" t="n">
        <v>5.1</v>
      </c>
      <c r="H398" t="n">
        <v>0</v>
      </c>
      <c r="I398" t="n">
        <v>0</v>
      </c>
      <c r="J398" t="n">
        <v>0</v>
      </c>
      <c r="K398" t="n">
        <v>0</v>
      </c>
      <c r="L398" t="n">
        <v>0</v>
      </c>
      <c r="M398" t="n">
        <v>0</v>
      </c>
      <c r="N398" t="n">
        <v>0</v>
      </c>
      <c r="O398" t="n">
        <v>0</v>
      </c>
      <c r="P398" t="n">
        <v>0</v>
      </c>
      <c r="Q398" t="n">
        <v>0</v>
      </c>
      <c r="R398" s="2" t="inlineStr"/>
    </row>
    <row r="399" ht="15" customHeight="1">
      <c r="A399" t="inlineStr">
        <is>
          <t>A 51325-2023</t>
        </is>
      </c>
      <c r="B399" s="1" t="n">
        <v>45219</v>
      </c>
      <c r="C399" s="1" t="n">
        <v>46182</v>
      </c>
      <c r="D399" t="inlineStr">
        <is>
          <t>STOCKHOLMS LÄN</t>
        </is>
      </c>
      <c r="E399" t="inlineStr">
        <is>
          <t>NORRTÄLJE</t>
        </is>
      </c>
      <c r="G399" t="n">
        <v>2.2</v>
      </c>
      <c r="H399" t="n">
        <v>0</v>
      </c>
      <c r="I399" t="n">
        <v>0</v>
      </c>
      <c r="J399" t="n">
        <v>0</v>
      </c>
      <c r="K399" t="n">
        <v>0</v>
      </c>
      <c r="L399" t="n">
        <v>0</v>
      </c>
      <c r="M399" t="n">
        <v>0</v>
      </c>
      <c r="N399" t="n">
        <v>0</v>
      </c>
      <c r="O399" t="n">
        <v>0</v>
      </c>
      <c r="P399" t="n">
        <v>0</v>
      </c>
      <c r="Q399" t="n">
        <v>0</v>
      </c>
      <c r="R399" s="2" t="inlineStr"/>
    </row>
    <row r="400" ht="15" customHeight="1">
      <c r="A400" t="inlineStr">
        <is>
          <t>A 67990-2021</t>
        </is>
      </c>
      <c r="B400" s="1" t="n">
        <v>44525</v>
      </c>
      <c r="C400" s="1" t="n">
        <v>46182</v>
      </c>
      <c r="D400" t="inlineStr">
        <is>
          <t>STOCKHOLMS LÄN</t>
        </is>
      </c>
      <c r="E400" t="inlineStr">
        <is>
          <t>NORRTÄLJE</t>
        </is>
      </c>
      <c r="F400" t="inlineStr">
        <is>
          <t>Sveaskog</t>
        </is>
      </c>
      <c r="G400" t="n">
        <v>7.8</v>
      </c>
      <c r="H400" t="n">
        <v>0</v>
      </c>
      <c r="I400" t="n">
        <v>0</v>
      </c>
      <c r="J400" t="n">
        <v>0</v>
      </c>
      <c r="K400" t="n">
        <v>0</v>
      </c>
      <c r="L400" t="n">
        <v>0</v>
      </c>
      <c r="M400" t="n">
        <v>0</v>
      </c>
      <c r="N400" t="n">
        <v>0</v>
      </c>
      <c r="O400" t="n">
        <v>0</v>
      </c>
      <c r="P400" t="n">
        <v>0</v>
      </c>
      <c r="Q400" t="n">
        <v>0</v>
      </c>
      <c r="R400" s="2" t="inlineStr"/>
    </row>
    <row r="401" ht="15" customHeight="1">
      <c r="A401" t="inlineStr">
        <is>
          <t>A 71552-2021</t>
        </is>
      </c>
      <c r="B401" s="1" t="n">
        <v>44540</v>
      </c>
      <c r="C401" s="1" t="n">
        <v>46182</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31107-2022</t>
        </is>
      </c>
      <c r="B402" s="1" t="n">
        <v>44769.66864583334</v>
      </c>
      <c r="C402" s="1" t="n">
        <v>46182</v>
      </c>
      <c r="D402" t="inlineStr">
        <is>
          <t>STOCKHOLMS LÄN</t>
        </is>
      </c>
      <c r="E402" t="inlineStr">
        <is>
          <t>NORRTÄLJE</t>
        </is>
      </c>
      <c r="G402" t="n">
        <v>3.8</v>
      </c>
      <c r="H402" t="n">
        <v>0</v>
      </c>
      <c r="I402" t="n">
        <v>0</v>
      </c>
      <c r="J402" t="n">
        <v>0</v>
      </c>
      <c r="K402" t="n">
        <v>0</v>
      </c>
      <c r="L402" t="n">
        <v>0</v>
      </c>
      <c r="M402" t="n">
        <v>0</v>
      </c>
      <c r="N402" t="n">
        <v>0</v>
      </c>
      <c r="O402" t="n">
        <v>0</v>
      </c>
      <c r="P402" t="n">
        <v>0</v>
      </c>
      <c r="Q402" t="n">
        <v>0</v>
      </c>
      <c r="R402" s="2" t="inlineStr"/>
    </row>
    <row r="403" ht="15" customHeight="1">
      <c r="A403" t="inlineStr">
        <is>
          <t>A 13860-2023</t>
        </is>
      </c>
      <c r="B403" s="1" t="n">
        <v>45007</v>
      </c>
      <c r="C403" s="1" t="n">
        <v>46182</v>
      </c>
      <c r="D403" t="inlineStr">
        <is>
          <t>STOCKHOLMS LÄN</t>
        </is>
      </c>
      <c r="E403" t="inlineStr">
        <is>
          <t>NORRTÄLJE</t>
        </is>
      </c>
      <c r="G403" t="n">
        <v>1.6</v>
      </c>
      <c r="H403" t="n">
        <v>0</v>
      </c>
      <c r="I403" t="n">
        <v>0</v>
      </c>
      <c r="J403" t="n">
        <v>0</v>
      </c>
      <c r="K403" t="n">
        <v>0</v>
      </c>
      <c r="L403" t="n">
        <v>0</v>
      </c>
      <c r="M403" t="n">
        <v>0</v>
      </c>
      <c r="N403" t="n">
        <v>0</v>
      </c>
      <c r="O403" t="n">
        <v>0</v>
      </c>
      <c r="P403" t="n">
        <v>0</v>
      </c>
      <c r="Q403" t="n">
        <v>0</v>
      </c>
      <c r="R403" s="2" t="inlineStr"/>
    </row>
    <row r="404" ht="15" customHeight="1">
      <c r="A404" t="inlineStr">
        <is>
          <t>A 30719-2025</t>
        </is>
      </c>
      <c r="B404" s="1" t="n">
        <v>45831</v>
      </c>
      <c r="C404" s="1" t="n">
        <v>46182</v>
      </c>
      <c r="D404" t="inlineStr">
        <is>
          <t>STOCKHOLMS LÄN</t>
        </is>
      </c>
      <c r="E404" t="inlineStr">
        <is>
          <t>NORRTÄLJE</t>
        </is>
      </c>
      <c r="G404" t="n">
        <v>0.5</v>
      </c>
      <c r="H404" t="n">
        <v>0</v>
      </c>
      <c r="I404" t="n">
        <v>0</v>
      </c>
      <c r="J404" t="n">
        <v>0</v>
      </c>
      <c r="K404" t="n">
        <v>0</v>
      </c>
      <c r="L404" t="n">
        <v>0</v>
      </c>
      <c r="M404" t="n">
        <v>0</v>
      </c>
      <c r="N404" t="n">
        <v>0</v>
      </c>
      <c r="O404" t="n">
        <v>0</v>
      </c>
      <c r="P404" t="n">
        <v>0</v>
      </c>
      <c r="Q404" t="n">
        <v>0</v>
      </c>
      <c r="R404" s="2" t="inlineStr"/>
    </row>
    <row r="405" ht="15" customHeight="1">
      <c r="A405" t="inlineStr">
        <is>
          <t>A 6855-2025</t>
        </is>
      </c>
      <c r="B405" s="1" t="n">
        <v>45700</v>
      </c>
      <c r="C405" s="1" t="n">
        <v>46182</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73992-2021</t>
        </is>
      </c>
      <c r="B406" s="1" t="n">
        <v>44556</v>
      </c>
      <c r="C406" s="1" t="n">
        <v>46182</v>
      </c>
      <c r="D406" t="inlineStr">
        <is>
          <t>STOCKHOLMS LÄN</t>
        </is>
      </c>
      <c r="E406" t="inlineStr">
        <is>
          <t>NORRTÄLJE</t>
        </is>
      </c>
      <c r="G406" t="n">
        <v>12.5</v>
      </c>
      <c r="H406" t="n">
        <v>0</v>
      </c>
      <c r="I406" t="n">
        <v>0</v>
      </c>
      <c r="J406" t="n">
        <v>0</v>
      </c>
      <c r="K406" t="n">
        <v>0</v>
      </c>
      <c r="L406" t="n">
        <v>0</v>
      </c>
      <c r="M406" t="n">
        <v>0</v>
      </c>
      <c r="N406" t="n">
        <v>0</v>
      </c>
      <c r="O406" t="n">
        <v>0</v>
      </c>
      <c r="P406" t="n">
        <v>0</v>
      </c>
      <c r="Q406" t="n">
        <v>0</v>
      </c>
      <c r="R406" s="2" t="inlineStr"/>
    </row>
    <row r="407" ht="15" customHeight="1">
      <c r="A407" t="inlineStr">
        <is>
          <t>A 33552-2025</t>
        </is>
      </c>
      <c r="B407" s="1" t="n">
        <v>45841.5737962963</v>
      </c>
      <c r="C407" s="1" t="n">
        <v>46182</v>
      </c>
      <c r="D407" t="inlineStr">
        <is>
          <t>STOCKHOLMS LÄN</t>
        </is>
      </c>
      <c r="E407" t="inlineStr">
        <is>
          <t>NORRTÄLJE</t>
        </is>
      </c>
      <c r="G407" t="n">
        <v>8.9</v>
      </c>
      <c r="H407" t="n">
        <v>0</v>
      </c>
      <c r="I407" t="n">
        <v>0</v>
      </c>
      <c r="J407" t="n">
        <v>0</v>
      </c>
      <c r="K407" t="n">
        <v>0</v>
      </c>
      <c r="L407" t="n">
        <v>0</v>
      </c>
      <c r="M407" t="n">
        <v>0</v>
      </c>
      <c r="N407" t="n">
        <v>0</v>
      </c>
      <c r="O407" t="n">
        <v>0</v>
      </c>
      <c r="P407" t="n">
        <v>0</v>
      </c>
      <c r="Q407" t="n">
        <v>0</v>
      </c>
      <c r="R407" s="2" t="inlineStr"/>
    </row>
    <row r="408" ht="15" customHeight="1">
      <c r="A408" t="inlineStr">
        <is>
          <t>A 33336-2025</t>
        </is>
      </c>
      <c r="B408" s="1" t="n">
        <v>45841.35611111111</v>
      </c>
      <c r="C408" s="1" t="n">
        <v>46182</v>
      </c>
      <c r="D408" t="inlineStr">
        <is>
          <t>STOCKHOLMS LÄN</t>
        </is>
      </c>
      <c r="E408" t="inlineStr">
        <is>
          <t>NORRTÄLJE</t>
        </is>
      </c>
      <c r="G408" t="n">
        <v>2.4</v>
      </c>
      <c r="H408" t="n">
        <v>0</v>
      </c>
      <c r="I408" t="n">
        <v>0</v>
      </c>
      <c r="J408" t="n">
        <v>0</v>
      </c>
      <c r="K408" t="n">
        <v>0</v>
      </c>
      <c r="L408" t="n">
        <v>0</v>
      </c>
      <c r="M408" t="n">
        <v>0</v>
      </c>
      <c r="N408" t="n">
        <v>0</v>
      </c>
      <c r="O408" t="n">
        <v>0</v>
      </c>
      <c r="P408" t="n">
        <v>0</v>
      </c>
      <c r="Q408" t="n">
        <v>0</v>
      </c>
      <c r="R408" s="2" t="inlineStr"/>
    </row>
    <row r="409" ht="15" customHeight="1">
      <c r="A409" t="inlineStr">
        <is>
          <t>A 43269-2025</t>
        </is>
      </c>
      <c r="B409" s="1" t="n">
        <v>45910.5819212963</v>
      </c>
      <c r="C409" s="1" t="n">
        <v>46182</v>
      </c>
      <c r="D409" t="inlineStr">
        <is>
          <t>STOCKHOLMS LÄN</t>
        </is>
      </c>
      <c r="E409" t="inlineStr">
        <is>
          <t>NORRTÄLJE</t>
        </is>
      </c>
      <c r="G409" t="n">
        <v>3.7</v>
      </c>
      <c r="H409" t="n">
        <v>0</v>
      </c>
      <c r="I409" t="n">
        <v>0</v>
      </c>
      <c r="J409" t="n">
        <v>0</v>
      </c>
      <c r="K409" t="n">
        <v>0</v>
      </c>
      <c r="L409" t="n">
        <v>0</v>
      </c>
      <c r="M409" t="n">
        <v>0</v>
      </c>
      <c r="N409" t="n">
        <v>0</v>
      </c>
      <c r="O409" t="n">
        <v>0</v>
      </c>
      <c r="P409" t="n">
        <v>0</v>
      </c>
      <c r="Q409" t="n">
        <v>0</v>
      </c>
      <c r="R409" s="2" t="inlineStr"/>
    </row>
    <row r="410" ht="15" customHeight="1">
      <c r="A410" t="inlineStr">
        <is>
          <t>A 33824-2025</t>
        </is>
      </c>
      <c r="B410" s="1" t="n">
        <v>45842.46885416667</v>
      </c>
      <c r="C410" s="1" t="n">
        <v>46182</v>
      </c>
      <c r="D410" t="inlineStr">
        <is>
          <t>STOCKHOLMS LÄN</t>
        </is>
      </c>
      <c r="E410" t="inlineStr">
        <is>
          <t>NORRTÄLJE</t>
        </is>
      </c>
      <c r="G410" t="n">
        <v>1.9</v>
      </c>
      <c r="H410" t="n">
        <v>0</v>
      </c>
      <c r="I410" t="n">
        <v>0</v>
      </c>
      <c r="J410" t="n">
        <v>0</v>
      </c>
      <c r="K410" t="n">
        <v>0</v>
      </c>
      <c r="L410" t="n">
        <v>0</v>
      </c>
      <c r="M410" t="n">
        <v>0</v>
      </c>
      <c r="N410" t="n">
        <v>0</v>
      </c>
      <c r="O410" t="n">
        <v>0</v>
      </c>
      <c r="P410" t="n">
        <v>0</v>
      </c>
      <c r="Q410" t="n">
        <v>0</v>
      </c>
      <c r="R410" s="2" t="inlineStr"/>
    </row>
    <row r="411" ht="15" customHeight="1">
      <c r="A411" t="inlineStr">
        <is>
          <t>A 34139-2025</t>
        </is>
      </c>
      <c r="B411" s="1" t="n">
        <v>45845</v>
      </c>
      <c r="C411" s="1" t="n">
        <v>46182</v>
      </c>
      <c r="D411" t="inlineStr">
        <is>
          <t>STOCKHOLMS LÄN</t>
        </is>
      </c>
      <c r="E411" t="inlineStr">
        <is>
          <t>NORRTÄLJE</t>
        </is>
      </c>
      <c r="G411" t="n">
        <v>5.5</v>
      </c>
      <c r="H411" t="n">
        <v>0</v>
      </c>
      <c r="I411" t="n">
        <v>0</v>
      </c>
      <c r="J411" t="n">
        <v>0</v>
      </c>
      <c r="K411" t="n">
        <v>0</v>
      </c>
      <c r="L411" t="n">
        <v>0</v>
      </c>
      <c r="M411" t="n">
        <v>0</v>
      </c>
      <c r="N411" t="n">
        <v>0</v>
      </c>
      <c r="O411" t="n">
        <v>0</v>
      </c>
      <c r="P411" t="n">
        <v>0</v>
      </c>
      <c r="Q411" t="n">
        <v>0</v>
      </c>
      <c r="R411" s="2" t="inlineStr"/>
    </row>
    <row r="412" ht="15" customHeight="1">
      <c r="A412" t="inlineStr">
        <is>
          <t>A 34432-2021</t>
        </is>
      </c>
      <c r="B412" s="1" t="n">
        <v>44380.77346064815</v>
      </c>
      <c r="C412" s="1" t="n">
        <v>46182</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34010-2025</t>
        </is>
      </c>
      <c r="B413" s="1" t="n">
        <v>45844.91234953704</v>
      </c>
      <c r="C413" s="1" t="n">
        <v>46182</v>
      </c>
      <c r="D413" t="inlineStr">
        <is>
          <t>STOCKHOLMS LÄN</t>
        </is>
      </c>
      <c r="E413" t="inlineStr">
        <is>
          <t>NORRTÄLJE</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36689-2023</t>
        </is>
      </c>
      <c r="B414" s="1" t="n">
        <v>45152</v>
      </c>
      <c r="C414" s="1" t="n">
        <v>46182</v>
      </c>
      <c r="D414" t="inlineStr">
        <is>
          <t>STOCKHOLMS LÄN</t>
        </is>
      </c>
      <c r="E414" t="inlineStr">
        <is>
          <t>NORRTÄLJE</t>
        </is>
      </c>
      <c r="G414" t="n">
        <v>1.8</v>
      </c>
      <c r="H414" t="n">
        <v>0</v>
      </c>
      <c r="I414" t="n">
        <v>0</v>
      </c>
      <c r="J414" t="n">
        <v>0</v>
      </c>
      <c r="K414" t="n">
        <v>0</v>
      </c>
      <c r="L414" t="n">
        <v>0</v>
      </c>
      <c r="M414" t="n">
        <v>0</v>
      </c>
      <c r="N414" t="n">
        <v>0</v>
      </c>
      <c r="O414" t="n">
        <v>0</v>
      </c>
      <c r="P414" t="n">
        <v>0</v>
      </c>
      <c r="Q414" t="n">
        <v>0</v>
      </c>
      <c r="R414" s="2" t="inlineStr"/>
    </row>
    <row r="415" ht="15" customHeight="1">
      <c r="A415" t="inlineStr">
        <is>
          <t>A 46073-2024</t>
        </is>
      </c>
      <c r="B415" s="1" t="n">
        <v>45581</v>
      </c>
      <c r="C415" s="1" t="n">
        <v>46182</v>
      </c>
      <c r="D415" t="inlineStr">
        <is>
          <t>STOCKHOLMS LÄN</t>
        </is>
      </c>
      <c r="E415" t="inlineStr">
        <is>
          <t>NORRTÄLJE</t>
        </is>
      </c>
      <c r="G415" t="n">
        <v>2</v>
      </c>
      <c r="H415" t="n">
        <v>0</v>
      </c>
      <c r="I415" t="n">
        <v>0</v>
      </c>
      <c r="J415" t="n">
        <v>0</v>
      </c>
      <c r="K415" t="n">
        <v>0</v>
      </c>
      <c r="L415" t="n">
        <v>0</v>
      </c>
      <c r="M415" t="n">
        <v>0</v>
      </c>
      <c r="N415" t="n">
        <v>0</v>
      </c>
      <c r="O415" t="n">
        <v>0</v>
      </c>
      <c r="P415" t="n">
        <v>0</v>
      </c>
      <c r="Q415" t="n">
        <v>0</v>
      </c>
      <c r="R415" s="2" t="inlineStr"/>
    </row>
    <row r="416" ht="15" customHeight="1">
      <c r="A416" t="inlineStr">
        <is>
          <t>A 23149-2024</t>
        </is>
      </c>
      <c r="B416" s="1" t="n">
        <v>45450.64208333333</v>
      </c>
      <c r="C416" s="1" t="n">
        <v>46182</v>
      </c>
      <c r="D416" t="inlineStr">
        <is>
          <t>STOCKHOLMS LÄN</t>
        </is>
      </c>
      <c r="E416" t="inlineStr">
        <is>
          <t>NORRTÄLJE</t>
        </is>
      </c>
      <c r="F416" t="inlineStr">
        <is>
          <t>Kommuner</t>
        </is>
      </c>
      <c r="G416" t="n">
        <v>1.3</v>
      </c>
      <c r="H416" t="n">
        <v>0</v>
      </c>
      <c r="I416" t="n">
        <v>0</v>
      </c>
      <c r="J416" t="n">
        <v>0</v>
      </c>
      <c r="K416" t="n">
        <v>0</v>
      </c>
      <c r="L416" t="n">
        <v>0</v>
      </c>
      <c r="M416" t="n">
        <v>0</v>
      </c>
      <c r="N416" t="n">
        <v>0</v>
      </c>
      <c r="O416" t="n">
        <v>0</v>
      </c>
      <c r="P416" t="n">
        <v>0</v>
      </c>
      <c r="Q416" t="n">
        <v>0</v>
      </c>
      <c r="R416" s="2" t="inlineStr"/>
    </row>
    <row r="417" ht="15" customHeight="1">
      <c r="A417" t="inlineStr">
        <is>
          <t>A 23151-2024</t>
        </is>
      </c>
      <c r="B417" s="1" t="n">
        <v>45450</v>
      </c>
      <c r="C417" s="1" t="n">
        <v>46182</v>
      </c>
      <c r="D417" t="inlineStr">
        <is>
          <t>STOCKHOLMS LÄN</t>
        </is>
      </c>
      <c r="E417" t="inlineStr">
        <is>
          <t>NORRTÄLJE</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26113-2024</t>
        </is>
      </c>
      <c r="B418" s="1" t="n">
        <v>45468.45541666666</v>
      </c>
      <c r="C418" s="1" t="n">
        <v>46182</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26116-2024</t>
        </is>
      </c>
      <c r="B419" s="1" t="n">
        <v>45468.45747685185</v>
      </c>
      <c r="C419" s="1" t="n">
        <v>46182</v>
      </c>
      <c r="D419" t="inlineStr">
        <is>
          <t>STOCKHOLMS LÄN</t>
        </is>
      </c>
      <c r="E419" t="inlineStr">
        <is>
          <t>NORRTÄLJE</t>
        </is>
      </c>
      <c r="G419" t="n">
        <v>1.8</v>
      </c>
      <c r="H419" t="n">
        <v>0</v>
      </c>
      <c r="I419" t="n">
        <v>0</v>
      </c>
      <c r="J419" t="n">
        <v>0</v>
      </c>
      <c r="K419" t="n">
        <v>0</v>
      </c>
      <c r="L419" t="n">
        <v>0</v>
      </c>
      <c r="M419" t="n">
        <v>0</v>
      </c>
      <c r="N419" t="n">
        <v>0</v>
      </c>
      <c r="O419" t="n">
        <v>0</v>
      </c>
      <c r="P419" t="n">
        <v>0</v>
      </c>
      <c r="Q419" t="n">
        <v>0</v>
      </c>
      <c r="R419" s="2" t="inlineStr"/>
    </row>
    <row r="420" ht="15" customHeight="1">
      <c r="A420" t="inlineStr">
        <is>
          <t>A 52001-2023</t>
        </is>
      </c>
      <c r="B420" s="1" t="n">
        <v>45223</v>
      </c>
      <c r="C420" s="1" t="n">
        <v>46182</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60185-2024</t>
        </is>
      </c>
      <c r="B421" s="1" t="n">
        <v>45642.64634259259</v>
      </c>
      <c r="C421" s="1" t="n">
        <v>46182</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44311-2025</t>
        </is>
      </c>
      <c r="B422" s="1" t="n">
        <v>45916.38394675926</v>
      </c>
      <c r="C422" s="1" t="n">
        <v>46182</v>
      </c>
      <c r="D422" t="inlineStr">
        <is>
          <t>STOCKHOLMS LÄN</t>
        </is>
      </c>
      <c r="E422" t="inlineStr">
        <is>
          <t>NORRTÄLJE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48686-2023</t>
        </is>
      </c>
      <c r="B423" s="1" t="n">
        <v>45208</v>
      </c>
      <c r="C423" s="1" t="n">
        <v>46182</v>
      </c>
      <c r="D423" t="inlineStr">
        <is>
          <t>STOCKHOLMS LÄN</t>
        </is>
      </c>
      <c r="E423" t="inlineStr">
        <is>
          <t>NORRTÄLJE</t>
        </is>
      </c>
      <c r="G423" t="n">
        <v>6</v>
      </c>
      <c r="H423" t="n">
        <v>0</v>
      </c>
      <c r="I423" t="n">
        <v>0</v>
      </c>
      <c r="J423" t="n">
        <v>0</v>
      </c>
      <c r="K423" t="n">
        <v>0</v>
      </c>
      <c r="L423" t="n">
        <v>0</v>
      </c>
      <c r="M423" t="n">
        <v>0</v>
      </c>
      <c r="N423" t="n">
        <v>0</v>
      </c>
      <c r="O423" t="n">
        <v>0</v>
      </c>
      <c r="P423" t="n">
        <v>0</v>
      </c>
      <c r="Q423" t="n">
        <v>0</v>
      </c>
      <c r="R423" s="2" t="inlineStr"/>
    </row>
    <row r="424" ht="15" customHeight="1">
      <c r="A424" t="inlineStr">
        <is>
          <t>A 48691-2023</t>
        </is>
      </c>
      <c r="B424" s="1" t="n">
        <v>45208</v>
      </c>
      <c r="C424" s="1" t="n">
        <v>46182</v>
      </c>
      <c r="D424" t="inlineStr">
        <is>
          <t>STOCKHOLMS LÄN</t>
        </is>
      </c>
      <c r="E424" t="inlineStr">
        <is>
          <t>NORRTÄLJE</t>
        </is>
      </c>
      <c r="G424" t="n">
        <v>5.8</v>
      </c>
      <c r="H424" t="n">
        <v>0</v>
      </c>
      <c r="I424" t="n">
        <v>0</v>
      </c>
      <c r="J424" t="n">
        <v>0</v>
      </c>
      <c r="K424" t="n">
        <v>0</v>
      </c>
      <c r="L424" t="n">
        <v>0</v>
      </c>
      <c r="M424" t="n">
        <v>0</v>
      </c>
      <c r="N424" t="n">
        <v>0</v>
      </c>
      <c r="O424" t="n">
        <v>0</v>
      </c>
      <c r="P424" t="n">
        <v>0</v>
      </c>
      <c r="Q424" t="n">
        <v>0</v>
      </c>
      <c r="R424" s="2" t="inlineStr"/>
    </row>
    <row r="425" ht="15" customHeight="1">
      <c r="A425" t="inlineStr">
        <is>
          <t>A 35110-2025</t>
        </is>
      </c>
      <c r="B425" s="1" t="n">
        <v>45852.58030092593</v>
      </c>
      <c r="C425" s="1" t="n">
        <v>46182</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34391-2023</t>
        </is>
      </c>
      <c r="B426" s="1" t="n">
        <v>45139.51457175926</v>
      </c>
      <c r="C426" s="1" t="n">
        <v>46182</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21726-2022</t>
        </is>
      </c>
      <c r="B427" s="1" t="n">
        <v>44708</v>
      </c>
      <c r="C427" s="1" t="n">
        <v>46182</v>
      </c>
      <c r="D427" t="inlineStr">
        <is>
          <t>STOCKHOLMS LÄN</t>
        </is>
      </c>
      <c r="E427" t="inlineStr">
        <is>
          <t>NORRTÄLJE</t>
        </is>
      </c>
      <c r="G427" t="n">
        <v>0.2</v>
      </c>
      <c r="H427" t="n">
        <v>0</v>
      </c>
      <c r="I427" t="n">
        <v>0</v>
      </c>
      <c r="J427" t="n">
        <v>0</v>
      </c>
      <c r="K427" t="n">
        <v>0</v>
      </c>
      <c r="L427" t="n">
        <v>0</v>
      </c>
      <c r="M427" t="n">
        <v>0</v>
      </c>
      <c r="N427" t="n">
        <v>0</v>
      </c>
      <c r="O427" t="n">
        <v>0</v>
      </c>
      <c r="P427" t="n">
        <v>0</v>
      </c>
      <c r="Q427" t="n">
        <v>0</v>
      </c>
      <c r="R427" s="2" t="inlineStr"/>
    </row>
    <row r="428" ht="15" customHeight="1">
      <c r="A428" t="inlineStr">
        <is>
          <t>A 21739-2022</t>
        </is>
      </c>
      <c r="B428" s="1" t="n">
        <v>44708.36708333333</v>
      </c>
      <c r="C428" s="1" t="n">
        <v>46182</v>
      </c>
      <c r="D428" t="inlineStr">
        <is>
          <t>STOCKHOLMS LÄN</t>
        </is>
      </c>
      <c r="E428" t="inlineStr">
        <is>
          <t>NORRTÄLJE</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35479-2025</t>
        </is>
      </c>
      <c r="B429" s="1" t="n">
        <v>45855.69387731481</v>
      </c>
      <c r="C429" s="1" t="n">
        <v>46182</v>
      </c>
      <c r="D429" t="inlineStr">
        <is>
          <t>STOCKHOLMS LÄN</t>
        </is>
      </c>
      <c r="E429" t="inlineStr">
        <is>
          <t>NORRTÄLJE</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35210-2023</t>
        </is>
      </c>
      <c r="B430" s="1" t="n">
        <v>45145.63584490741</v>
      </c>
      <c r="C430" s="1" t="n">
        <v>46182</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35451-2025</t>
        </is>
      </c>
      <c r="B431" s="1" t="n">
        <v>45855.57033564815</v>
      </c>
      <c r="C431" s="1" t="n">
        <v>46182</v>
      </c>
      <c r="D431" t="inlineStr">
        <is>
          <t>STOCKHOLMS LÄN</t>
        </is>
      </c>
      <c r="E431" t="inlineStr">
        <is>
          <t>NORRTÄLJE</t>
        </is>
      </c>
      <c r="F431" t="inlineStr">
        <is>
          <t>Holmen skog AB</t>
        </is>
      </c>
      <c r="G431" t="n">
        <v>7.4</v>
      </c>
      <c r="H431" t="n">
        <v>0</v>
      </c>
      <c r="I431" t="n">
        <v>0</v>
      </c>
      <c r="J431" t="n">
        <v>0</v>
      </c>
      <c r="K431" t="n">
        <v>0</v>
      </c>
      <c r="L431" t="n">
        <v>0</v>
      </c>
      <c r="M431" t="n">
        <v>0</v>
      </c>
      <c r="N431" t="n">
        <v>0</v>
      </c>
      <c r="O431" t="n">
        <v>0</v>
      </c>
      <c r="P431" t="n">
        <v>0</v>
      </c>
      <c r="Q431" t="n">
        <v>0</v>
      </c>
      <c r="R431" s="2" t="inlineStr"/>
    </row>
    <row r="432" ht="15" customHeight="1">
      <c r="A432" t="inlineStr">
        <is>
          <t>A 35478-2025</t>
        </is>
      </c>
      <c r="B432" s="1" t="n">
        <v>45855.68413194444</v>
      </c>
      <c r="C432" s="1" t="n">
        <v>46182</v>
      </c>
      <c r="D432" t="inlineStr">
        <is>
          <t>STOCKHOLMS LÄN</t>
        </is>
      </c>
      <c r="E432" t="inlineStr">
        <is>
          <t>NORRTÄLJE</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59767-2022</t>
        </is>
      </c>
      <c r="B433" s="1" t="n">
        <v>44900</v>
      </c>
      <c r="C433" s="1" t="n">
        <v>46182</v>
      </c>
      <c r="D433" t="inlineStr">
        <is>
          <t>STOCKHOLMS LÄN</t>
        </is>
      </c>
      <c r="E433" t="inlineStr">
        <is>
          <t>NORRTÄLJE</t>
        </is>
      </c>
      <c r="G433" t="n">
        <v>2.2</v>
      </c>
      <c r="H433" t="n">
        <v>0</v>
      </c>
      <c r="I433" t="n">
        <v>0</v>
      </c>
      <c r="J433" t="n">
        <v>0</v>
      </c>
      <c r="K433" t="n">
        <v>0</v>
      </c>
      <c r="L433" t="n">
        <v>0</v>
      </c>
      <c r="M433" t="n">
        <v>0</v>
      </c>
      <c r="N433" t="n">
        <v>0</v>
      </c>
      <c r="O433" t="n">
        <v>0</v>
      </c>
      <c r="P433" t="n">
        <v>0</v>
      </c>
      <c r="Q433" t="n">
        <v>0</v>
      </c>
      <c r="R433" s="2" t="inlineStr"/>
    </row>
    <row r="434" ht="15" customHeight="1">
      <c r="A434" t="inlineStr">
        <is>
          <t>A 5823-2023</t>
        </is>
      </c>
      <c r="B434" s="1" t="n">
        <v>44963</v>
      </c>
      <c r="C434" s="1" t="n">
        <v>46182</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19915-2024</t>
        </is>
      </c>
      <c r="B435" s="1" t="n">
        <v>45433.58431712963</v>
      </c>
      <c r="C435" s="1" t="n">
        <v>46182</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67921-2021</t>
        </is>
      </c>
      <c r="B436" s="1" t="n">
        <v>44525</v>
      </c>
      <c r="C436" s="1" t="n">
        <v>46182</v>
      </c>
      <c r="D436" t="inlineStr">
        <is>
          <t>STOCKHOLMS LÄN</t>
        </is>
      </c>
      <c r="E436" t="inlineStr">
        <is>
          <t>NORRTÄLJE</t>
        </is>
      </c>
      <c r="G436" t="n">
        <v>6.3</v>
      </c>
      <c r="H436" t="n">
        <v>0</v>
      </c>
      <c r="I436" t="n">
        <v>0</v>
      </c>
      <c r="J436" t="n">
        <v>0</v>
      </c>
      <c r="K436" t="n">
        <v>0</v>
      </c>
      <c r="L436" t="n">
        <v>0</v>
      </c>
      <c r="M436" t="n">
        <v>0</v>
      </c>
      <c r="N436" t="n">
        <v>0</v>
      </c>
      <c r="O436" t="n">
        <v>0</v>
      </c>
      <c r="P436" t="n">
        <v>0</v>
      </c>
      <c r="Q436" t="n">
        <v>0</v>
      </c>
      <c r="R436" s="2" t="inlineStr"/>
    </row>
    <row r="437" ht="15" customHeight="1">
      <c r="A437" t="inlineStr">
        <is>
          <t>A 29176-2024</t>
        </is>
      </c>
      <c r="B437" s="1" t="n">
        <v>45482.53388888889</v>
      </c>
      <c r="C437" s="1" t="n">
        <v>46182</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36430-2024</t>
        </is>
      </c>
      <c r="B438" s="1" t="n">
        <v>45536</v>
      </c>
      <c r="C438" s="1" t="n">
        <v>46182</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25681-2024</t>
        </is>
      </c>
      <c r="B439" s="1" t="n">
        <v>45463.80486111111</v>
      </c>
      <c r="C439" s="1" t="n">
        <v>46182</v>
      </c>
      <c r="D439" t="inlineStr">
        <is>
          <t>STOCKHOLMS LÄN</t>
        </is>
      </c>
      <c r="E439" t="inlineStr">
        <is>
          <t>NORRTÄLJE</t>
        </is>
      </c>
      <c r="G439" t="n">
        <v>2.7</v>
      </c>
      <c r="H439" t="n">
        <v>0</v>
      </c>
      <c r="I439" t="n">
        <v>0</v>
      </c>
      <c r="J439" t="n">
        <v>0</v>
      </c>
      <c r="K439" t="n">
        <v>0</v>
      </c>
      <c r="L439" t="n">
        <v>0</v>
      </c>
      <c r="M439" t="n">
        <v>0</v>
      </c>
      <c r="N439" t="n">
        <v>0</v>
      </c>
      <c r="O439" t="n">
        <v>0</v>
      </c>
      <c r="P439" t="n">
        <v>0</v>
      </c>
      <c r="Q439" t="n">
        <v>0</v>
      </c>
      <c r="R439" s="2" t="inlineStr"/>
    </row>
    <row r="440" ht="15" customHeight="1">
      <c r="A440" t="inlineStr">
        <is>
          <t>A 51312-2023</t>
        </is>
      </c>
      <c r="B440" s="1" t="n">
        <v>45219.56697916667</v>
      </c>
      <c r="C440" s="1" t="n">
        <v>46182</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58853-2024</t>
        </is>
      </c>
      <c r="B441" s="1" t="n">
        <v>45636.38974537037</v>
      </c>
      <c r="C441" s="1" t="n">
        <v>46182</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34444-2024</t>
        </is>
      </c>
      <c r="B442" s="1" t="n">
        <v>45525</v>
      </c>
      <c r="C442" s="1" t="n">
        <v>46182</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20698-2025</t>
        </is>
      </c>
      <c r="B443" s="1" t="n">
        <v>45776.47122685185</v>
      </c>
      <c r="C443" s="1" t="n">
        <v>46182</v>
      </c>
      <c r="D443" t="inlineStr">
        <is>
          <t>STOCKHOLMS LÄN</t>
        </is>
      </c>
      <c r="E443" t="inlineStr">
        <is>
          <t>NORRTÄLJE</t>
        </is>
      </c>
      <c r="G443" t="n">
        <v>1.7</v>
      </c>
      <c r="H443" t="n">
        <v>0</v>
      </c>
      <c r="I443" t="n">
        <v>0</v>
      </c>
      <c r="J443" t="n">
        <v>0</v>
      </c>
      <c r="K443" t="n">
        <v>0</v>
      </c>
      <c r="L443" t="n">
        <v>0</v>
      </c>
      <c r="M443" t="n">
        <v>0</v>
      </c>
      <c r="N443" t="n">
        <v>0</v>
      </c>
      <c r="O443" t="n">
        <v>0</v>
      </c>
      <c r="P443" t="n">
        <v>0</v>
      </c>
      <c r="Q443" t="n">
        <v>0</v>
      </c>
      <c r="R443" s="2" t="inlineStr"/>
    </row>
    <row r="444" ht="15" customHeight="1">
      <c r="A444" t="inlineStr">
        <is>
          <t>A 35640-2024</t>
        </is>
      </c>
      <c r="B444" s="1" t="n">
        <v>45531</v>
      </c>
      <c r="C444" s="1" t="n">
        <v>46182</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35438-2023</t>
        </is>
      </c>
      <c r="B445" s="1" t="n">
        <v>45146</v>
      </c>
      <c r="C445" s="1" t="n">
        <v>46182</v>
      </c>
      <c r="D445" t="inlineStr">
        <is>
          <t>STOCKHOLMS LÄN</t>
        </is>
      </c>
      <c r="E445" t="inlineStr">
        <is>
          <t>NORRTÄLJE</t>
        </is>
      </c>
      <c r="F445" t="inlineStr">
        <is>
          <t>Kommuner</t>
        </is>
      </c>
      <c r="G445" t="n">
        <v>1.9</v>
      </c>
      <c r="H445" t="n">
        <v>0</v>
      </c>
      <c r="I445" t="n">
        <v>0</v>
      </c>
      <c r="J445" t="n">
        <v>0</v>
      </c>
      <c r="K445" t="n">
        <v>0</v>
      </c>
      <c r="L445" t="n">
        <v>0</v>
      </c>
      <c r="M445" t="n">
        <v>0</v>
      </c>
      <c r="N445" t="n">
        <v>0</v>
      </c>
      <c r="O445" t="n">
        <v>0</v>
      </c>
      <c r="P445" t="n">
        <v>0</v>
      </c>
      <c r="Q445" t="n">
        <v>0</v>
      </c>
      <c r="R445" s="2" t="inlineStr"/>
    </row>
    <row r="446" ht="15" customHeight="1">
      <c r="A446" t="inlineStr">
        <is>
          <t>A 44937-2025</t>
        </is>
      </c>
      <c r="B446" s="1" t="n">
        <v>45918</v>
      </c>
      <c r="C446" s="1" t="n">
        <v>46182</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20291-2022</t>
        </is>
      </c>
      <c r="B447" s="1" t="n">
        <v>44698</v>
      </c>
      <c r="C447" s="1" t="n">
        <v>46182</v>
      </c>
      <c r="D447" t="inlineStr">
        <is>
          <t>STOCKHOLMS LÄN</t>
        </is>
      </c>
      <c r="E447" t="inlineStr">
        <is>
          <t>NORRTÄLJE</t>
        </is>
      </c>
      <c r="F447" t="inlineStr">
        <is>
          <t>Naturvårdsverket</t>
        </is>
      </c>
      <c r="G447" t="n">
        <v>2</v>
      </c>
      <c r="H447" t="n">
        <v>0</v>
      </c>
      <c r="I447" t="n">
        <v>0</v>
      </c>
      <c r="J447" t="n">
        <v>0</v>
      </c>
      <c r="K447" t="n">
        <v>0</v>
      </c>
      <c r="L447" t="n">
        <v>0</v>
      </c>
      <c r="M447" t="n">
        <v>0</v>
      </c>
      <c r="N447" t="n">
        <v>0</v>
      </c>
      <c r="O447" t="n">
        <v>0</v>
      </c>
      <c r="P447" t="n">
        <v>0</v>
      </c>
      <c r="Q447" t="n">
        <v>0</v>
      </c>
      <c r="R447" s="2" t="inlineStr"/>
    </row>
    <row r="448" ht="15" customHeight="1">
      <c r="A448" t="inlineStr">
        <is>
          <t>A 26115-2024</t>
        </is>
      </c>
      <c r="B448" s="1" t="n">
        <v>45468.45628472222</v>
      </c>
      <c r="C448" s="1" t="n">
        <v>46182</v>
      </c>
      <c r="D448" t="inlineStr">
        <is>
          <t>STOCKHOLMS LÄN</t>
        </is>
      </c>
      <c r="E448" t="inlineStr">
        <is>
          <t>NORRTÄLJE</t>
        </is>
      </c>
      <c r="G448" t="n">
        <v>0.3</v>
      </c>
      <c r="H448" t="n">
        <v>0</v>
      </c>
      <c r="I448" t="n">
        <v>0</v>
      </c>
      <c r="J448" t="n">
        <v>0</v>
      </c>
      <c r="K448" t="n">
        <v>0</v>
      </c>
      <c r="L448" t="n">
        <v>0</v>
      </c>
      <c r="M448" t="n">
        <v>0</v>
      </c>
      <c r="N448" t="n">
        <v>0</v>
      </c>
      <c r="O448" t="n">
        <v>0</v>
      </c>
      <c r="P448" t="n">
        <v>0</v>
      </c>
      <c r="Q448" t="n">
        <v>0</v>
      </c>
      <c r="R448" s="2" t="inlineStr"/>
    </row>
    <row r="449" ht="15" customHeight="1">
      <c r="A449" t="inlineStr">
        <is>
          <t>A 43212-2022</t>
        </is>
      </c>
      <c r="B449" s="1" t="n">
        <v>44834.38636574074</v>
      </c>
      <c r="C449" s="1" t="n">
        <v>46182</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51653-2022</t>
        </is>
      </c>
      <c r="B450" s="1" t="n">
        <v>44867</v>
      </c>
      <c r="C450" s="1" t="n">
        <v>46182</v>
      </c>
      <c r="D450" t="inlineStr">
        <is>
          <t>STOCKHOLMS LÄN</t>
        </is>
      </c>
      <c r="E450" t="inlineStr">
        <is>
          <t>NORRTÄLJE</t>
        </is>
      </c>
      <c r="G450" t="n">
        <v>6.6</v>
      </c>
      <c r="H450" t="n">
        <v>0</v>
      </c>
      <c r="I450" t="n">
        <v>0</v>
      </c>
      <c r="J450" t="n">
        <v>0</v>
      </c>
      <c r="K450" t="n">
        <v>0</v>
      </c>
      <c r="L450" t="n">
        <v>0</v>
      </c>
      <c r="M450" t="n">
        <v>0</v>
      </c>
      <c r="N450" t="n">
        <v>0</v>
      </c>
      <c r="O450" t="n">
        <v>0</v>
      </c>
      <c r="P450" t="n">
        <v>0</v>
      </c>
      <c r="Q450" t="n">
        <v>0</v>
      </c>
      <c r="R450" s="2" t="inlineStr"/>
    </row>
    <row r="451" ht="15" customHeight="1">
      <c r="A451" t="inlineStr">
        <is>
          <t>A 22232-2024</t>
        </is>
      </c>
      <c r="B451" s="1" t="n">
        <v>45446.4287962963</v>
      </c>
      <c r="C451" s="1" t="n">
        <v>46182</v>
      </c>
      <c r="D451" t="inlineStr">
        <is>
          <t>STOCKHOLMS LÄN</t>
        </is>
      </c>
      <c r="E451" t="inlineStr">
        <is>
          <t>NORRTÄLJE</t>
        </is>
      </c>
      <c r="G451" t="n">
        <v>12.8</v>
      </c>
      <c r="H451" t="n">
        <v>0</v>
      </c>
      <c r="I451" t="n">
        <v>0</v>
      </c>
      <c r="J451" t="n">
        <v>0</v>
      </c>
      <c r="K451" t="n">
        <v>0</v>
      </c>
      <c r="L451" t="n">
        <v>0</v>
      </c>
      <c r="M451" t="n">
        <v>0</v>
      </c>
      <c r="N451" t="n">
        <v>0</v>
      </c>
      <c r="O451" t="n">
        <v>0</v>
      </c>
      <c r="P451" t="n">
        <v>0</v>
      </c>
      <c r="Q451" t="n">
        <v>0</v>
      </c>
      <c r="R451" s="2" t="inlineStr"/>
    </row>
    <row r="452" ht="15" customHeight="1">
      <c r="A452" t="inlineStr">
        <is>
          <t>A 4322-2023</t>
        </is>
      </c>
      <c r="B452" s="1" t="n">
        <v>44953.69298611111</v>
      </c>
      <c r="C452" s="1" t="n">
        <v>46182</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19118-2022</t>
        </is>
      </c>
      <c r="B453" s="1" t="n">
        <v>44691.5652662037</v>
      </c>
      <c r="C453" s="1" t="n">
        <v>46182</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22359-2025</t>
        </is>
      </c>
      <c r="B454" s="1" t="n">
        <v>45786</v>
      </c>
      <c r="C454" s="1" t="n">
        <v>46182</v>
      </c>
      <c r="D454" t="inlineStr">
        <is>
          <t>STOCKHOLMS LÄN</t>
        </is>
      </c>
      <c r="E454" t="inlineStr">
        <is>
          <t>NORRTÄLJE</t>
        </is>
      </c>
      <c r="G454" t="n">
        <v>5</v>
      </c>
      <c r="H454" t="n">
        <v>0</v>
      </c>
      <c r="I454" t="n">
        <v>0</v>
      </c>
      <c r="J454" t="n">
        <v>0</v>
      </c>
      <c r="K454" t="n">
        <v>0</v>
      </c>
      <c r="L454" t="n">
        <v>0</v>
      </c>
      <c r="M454" t="n">
        <v>0</v>
      </c>
      <c r="N454" t="n">
        <v>0</v>
      </c>
      <c r="O454" t="n">
        <v>0</v>
      </c>
      <c r="P454" t="n">
        <v>0</v>
      </c>
      <c r="Q454" t="n">
        <v>0</v>
      </c>
      <c r="R454" s="2" t="inlineStr"/>
    </row>
    <row r="455" ht="15" customHeight="1">
      <c r="A455" t="inlineStr">
        <is>
          <t>A 38990-2022</t>
        </is>
      </c>
      <c r="B455" s="1" t="n">
        <v>44816</v>
      </c>
      <c r="C455" s="1" t="n">
        <v>46182</v>
      </c>
      <c r="D455" t="inlineStr">
        <is>
          <t>STOCKHOLMS LÄN</t>
        </is>
      </c>
      <c r="E455" t="inlineStr">
        <is>
          <t>NORRTÄLJE</t>
        </is>
      </c>
      <c r="G455" t="n">
        <v>5.7</v>
      </c>
      <c r="H455" t="n">
        <v>0</v>
      </c>
      <c r="I455" t="n">
        <v>0</v>
      </c>
      <c r="J455" t="n">
        <v>0</v>
      </c>
      <c r="K455" t="n">
        <v>0</v>
      </c>
      <c r="L455" t="n">
        <v>0</v>
      </c>
      <c r="M455" t="n">
        <v>0</v>
      </c>
      <c r="N455" t="n">
        <v>0</v>
      </c>
      <c r="O455" t="n">
        <v>0</v>
      </c>
      <c r="P455" t="n">
        <v>0</v>
      </c>
      <c r="Q455" t="n">
        <v>0</v>
      </c>
      <c r="R455" s="2" t="inlineStr"/>
    </row>
    <row r="456" ht="15" customHeight="1">
      <c r="A456" t="inlineStr">
        <is>
          <t>A 17956-2025</t>
        </is>
      </c>
      <c r="B456" s="1" t="n">
        <v>45760.91174768518</v>
      </c>
      <c r="C456" s="1" t="n">
        <v>46182</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875-2023</t>
        </is>
      </c>
      <c r="B457" s="1" t="n">
        <v>44931.65626157408</v>
      </c>
      <c r="C457" s="1" t="n">
        <v>46182</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31236-2022</t>
        </is>
      </c>
      <c r="B458" s="1" t="n">
        <v>44771</v>
      </c>
      <c r="C458" s="1" t="n">
        <v>46182</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8739-2024</t>
        </is>
      </c>
      <c r="B459" s="1" t="n">
        <v>45356.47784722222</v>
      </c>
      <c r="C459" s="1" t="n">
        <v>46182</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38759-2022</t>
        </is>
      </c>
      <c r="B460" s="1" t="n">
        <v>44816</v>
      </c>
      <c r="C460" s="1" t="n">
        <v>46182</v>
      </c>
      <c r="D460" t="inlineStr">
        <is>
          <t>STOCKHOLMS LÄN</t>
        </is>
      </c>
      <c r="E460" t="inlineStr">
        <is>
          <t>NORRTÄLJE</t>
        </is>
      </c>
      <c r="G460" t="n">
        <v>2.8</v>
      </c>
      <c r="H460" t="n">
        <v>0</v>
      </c>
      <c r="I460" t="n">
        <v>0</v>
      </c>
      <c r="J460" t="n">
        <v>0</v>
      </c>
      <c r="K460" t="n">
        <v>0</v>
      </c>
      <c r="L460" t="n">
        <v>0</v>
      </c>
      <c r="M460" t="n">
        <v>0</v>
      </c>
      <c r="N460" t="n">
        <v>0</v>
      </c>
      <c r="O460" t="n">
        <v>0</v>
      </c>
      <c r="P460" t="n">
        <v>0</v>
      </c>
      <c r="Q460" t="n">
        <v>0</v>
      </c>
      <c r="R460" s="2" t="inlineStr"/>
    </row>
    <row r="461" ht="15" customHeight="1">
      <c r="A461" t="inlineStr">
        <is>
          <t>A 45697-2025</t>
        </is>
      </c>
      <c r="B461" s="1" t="n">
        <v>45923.39877314815</v>
      </c>
      <c r="C461" s="1" t="n">
        <v>46182</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18665-2022</t>
        </is>
      </c>
      <c r="B462" s="1" t="n">
        <v>44687</v>
      </c>
      <c r="C462" s="1" t="n">
        <v>46182</v>
      </c>
      <c r="D462" t="inlineStr">
        <is>
          <t>STOCKHOLMS LÄN</t>
        </is>
      </c>
      <c r="E462" t="inlineStr">
        <is>
          <t>NORRTÄLJE</t>
        </is>
      </c>
      <c r="F462" t="inlineStr">
        <is>
          <t>Kyrkan</t>
        </is>
      </c>
      <c r="G462" t="n">
        <v>1.1</v>
      </c>
      <c r="H462" t="n">
        <v>0</v>
      </c>
      <c r="I462" t="n">
        <v>0</v>
      </c>
      <c r="J462" t="n">
        <v>0</v>
      </c>
      <c r="K462" t="n">
        <v>0</v>
      </c>
      <c r="L462" t="n">
        <v>0</v>
      </c>
      <c r="M462" t="n">
        <v>0</v>
      </c>
      <c r="N462" t="n">
        <v>0</v>
      </c>
      <c r="O462" t="n">
        <v>0</v>
      </c>
      <c r="P462" t="n">
        <v>0</v>
      </c>
      <c r="Q462" t="n">
        <v>0</v>
      </c>
      <c r="R462" s="2" t="inlineStr"/>
    </row>
    <row r="463" ht="15" customHeight="1">
      <c r="A463" t="inlineStr">
        <is>
          <t>A 32857-2021</t>
        </is>
      </c>
      <c r="B463" s="1" t="n">
        <v>44375</v>
      </c>
      <c r="C463" s="1" t="n">
        <v>46182</v>
      </c>
      <c r="D463" t="inlineStr">
        <is>
          <t>STOCKHOLMS LÄN</t>
        </is>
      </c>
      <c r="E463" t="inlineStr">
        <is>
          <t>NORRTÄLJE</t>
        </is>
      </c>
      <c r="G463" t="n">
        <v>2.9</v>
      </c>
      <c r="H463" t="n">
        <v>0</v>
      </c>
      <c r="I463" t="n">
        <v>0</v>
      </c>
      <c r="J463" t="n">
        <v>0</v>
      </c>
      <c r="K463" t="n">
        <v>0</v>
      </c>
      <c r="L463" t="n">
        <v>0</v>
      </c>
      <c r="M463" t="n">
        <v>0</v>
      </c>
      <c r="N463" t="n">
        <v>0</v>
      </c>
      <c r="O463" t="n">
        <v>0</v>
      </c>
      <c r="P463" t="n">
        <v>0</v>
      </c>
      <c r="Q463" t="n">
        <v>0</v>
      </c>
      <c r="R463" s="2" t="inlineStr"/>
    </row>
    <row r="464" ht="15" customHeight="1">
      <c r="A464" t="inlineStr">
        <is>
          <t>A 29714-2023</t>
        </is>
      </c>
      <c r="B464" s="1" t="n">
        <v>45107.42538194444</v>
      </c>
      <c r="C464" s="1" t="n">
        <v>46182</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23271-2023</t>
        </is>
      </c>
      <c r="B465" s="1" t="n">
        <v>45075.91362268518</v>
      </c>
      <c r="C465" s="1" t="n">
        <v>46182</v>
      </c>
      <c r="D465" t="inlineStr">
        <is>
          <t>STOCKHOLMS LÄN</t>
        </is>
      </c>
      <c r="E465" t="inlineStr">
        <is>
          <t>NORRTÄLJE</t>
        </is>
      </c>
      <c r="G465" t="n">
        <v>5.1</v>
      </c>
      <c r="H465" t="n">
        <v>0</v>
      </c>
      <c r="I465" t="n">
        <v>0</v>
      </c>
      <c r="J465" t="n">
        <v>0</v>
      </c>
      <c r="K465" t="n">
        <v>0</v>
      </c>
      <c r="L465" t="n">
        <v>0</v>
      </c>
      <c r="M465" t="n">
        <v>0</v>
      </c>
      <c r="N465" t="n">
        <v>0</v>
      </c>
      <c r="O465" t="n">
        <v>0</v>
      </c>
      <c r="P465" t="n">
        <v>0</v>
      </c>
      <c r="Q465" t="n">
        <v>0</v>
      </c>
      <c r="R465" s="2" t="inlineStr"/>
    </row>
    <row r="466" ht="15" customHeight="1">
      <c r="A466" t="inlineStr">
        <is>
          <t>A 23273-2023</t>
        </is>
      </c>
      <c r="B466" s="1" t="n">
        <v>45075.91971064815</v>
      </c>
      <c r="C466" s="1" t="n">
        <v>46182</v>
      </c>
      <c r="D466" t="inlineStr">
        <is>
          <t>STOCKHOLMS LÄN</t>
        </is>
      </c>
      <c r="E466" t="inlineStr">
        <is>
          <t>NORRTÄLJE</t>
        </is>
      </c>
      <c r="G466" t="n">
        <v>7.5</v>
      </c>
      <c r="H466" t="n">
        <v>0</v>
      </c>
      <c r="I466" t="n">
        <v>0</v>
      </c>
      <c r="J466" t="n">
        <v>0</v>
      </c>
      <c r="K466" t="n">
        <v>0</v>
      </c>
      <c r="L466" t="n">
        <v>0</v>
      </c>
      <c r="M466" t="n">
        <v>0</v>
      </c>
      <c r="N466" t="n">
        <v>0</v>
      </c>
      <c r="O466" t="n">
        <v>0</v>
      </c>
      <c r="P466" t="n">
        <v>0</v>
      </c>
      <c r="Q466" t="n">
        <v>0</v>
      </c>
      <c r="R466" s="2" t="inlineStr"/>
    </row>
    <row r="467" ht="15" customHeight="1">
      <c r="A467" t="inlineStr">
        <is>
          <t>A 58302-2022</t>
        </is>
      </c>
      <c r="B467" s="1" t="n">
        <v>44901</v>
      </c>
      <c r="C467" s="1" t="n">
        <v>46182</v>
      </c>
      <c r="D467" t="inlineStr">
        <is>
          <t>STOCKHOLMS LÄN</t>
        </is>
      </c>
      <c r="E467" t="inlineStr">
        <is>
          <t>NORRTÄLJE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38591-2023</t>
        </is>
      </c>
      <c r="B468" s="1" t="n">
        <v>45162</v>
      </c>
      <c r="C468" s="1" t="n">
        <v>46182</v>
      </c>
      <c r="D468" t="inlineStr">
        <is>
          <t>STOCKHOLMS LÄN</t>
        </is>
      </c>
      <c r="E468" t="inlineStr">
        <is>
          <t>NORRTÄLJE</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30338-2022</t>
        </is>
      </c>
      <c r="B469" s="1" t="n">
        <v>44760</v>
      </c>
      <c r="C469" s="1" t="n">
        <v>46182</v>
      </c>
      <c r="D469" t="inlineStr">
        <is>
          <t>STOCKHOLMS LÄN</t>
        </is>
      </c>
      <c r="E469" t="inlineStr">
        <is>
          <t>NORRTÄLJE</t>
        </is>
      </c>
      <c r="G469" t="n">
        <v>0.3</v>
      </c>
      <c r="H469" t="n">
        <v>0</v>
      </c>
      <c r="I469" t="n">
        <v>0</v>
      </c>
      <c r="J469" t="n">
        <v>0</v>
      </c>
      <c r="K469" t="n">
        <v>0</v>
      </c>
      <c r="L469" t="n">
        <v>0</v>
      </c>
      <c r="M469" t="n">
        <v>0</v>
      </c>
      <c r="N469" t="n">
        <v>0</v>
      </c>
      <c r="O469" t="n">
        <v>0</v>
      </c>
      <c r="P469" t="n">
        <v>0</v>
      </c>
      <c r="Q469" t="n">
        <v>0</v>
      </c>
      <c r="R469" s="2" t="inlineStr"/>
    </row>
    <row r="470" ht="15" customHeight="1">
      <c r="A470" t="inlineStr">
        <is>
          <t>A 2888-2022</t>
        </is>
      </c>
      <c r="B470" s="1" t="n">
        <v>44581</v>
      </c>
      <c r="C470" s="1" t="n">
        <v>46182</v>
      </c>
      <c r="D470" t="inlineStr">
        <is>
          <t>STOCKHOLMS LÄN</t>
        </is>
      </c>
      <c r="E470" t="inlineStr">
        <is>
          <t>NORRTÄLJE</t>
        </is>
      </c>
      <c r="G470" t="n">
        <v>2.4</v>
      </c>
      <c r="H470" t="n">
        <v>0</v>
      </c>
      <c r="I470" t="n">
        <v>0</v>
      </c>
      <c r="J470" t="n">
        <v>0</v>
      </c>
      <c r="K470" t="n">
        <v>0</v>
      </c>
      <c r="L470" t="n">
        <v>0</v>
      </c>
      <c r="M470" t="n">
        <v>0</v>
      </c>
      <c r="N470" t="n">
        <v>0</v>
      </c>
      <c r="O470" t="n">
        <v>0</v>
      </c>
      <c r="P470" t="n">
        <v>0</v>
      </c>
      <c r="Q470" t="n">
        <v>0</v>
      </c>
      <c r="R470" s="2" t="inlineStr"/>
    </row>
    <row r="471" ht="15" customHeight="1">
      <c r="A471" t="inlineStr">
        <is>
          <t>A 52686-2024</t>
        </is>
      </c>
      <c r="B471" s="1" t="n">
        <v>45610.39271990741</v>
      </c>
      <c r="C471" s="1" t="n">
        <v>46182</v>
      </c>
      <c r="D471" t="inlineStr">
        <is>
          <t>STOCKHOLMS LÄN</t>
        </is>
      </c>
      <c r="E471" t="inlineStr">
        <is>
          <t>NORRTÄLJE</t>
        </is>
      </c>
      <c r="G471" t="n">
        <v>5.7</v>
      </c>
      <c r="H471" t="n">
        <v>0</v>
      </c>
      <c r="I471" t="n">
        <v>0</v>
      </c>
      <c r="J471" t="n">
        <v>0</v>
      </c>
      <c r="K471" t="n">
        <v>0</v>
      </c>
      <c r="L471" t="n">
        <v>0</v>
      </c>
      <c r="M471" t="n">
        <v>0</v>
      </c>
      <c r="N471" t="n">
        <v>0</v>
      </c>
      <c r="O471" t="n">
        <v>0</v>
      </c>
      <c r="P471" t="n">
        <v>0</v>
      </c>
      <c r="Q471" t="n">
        <v>0</v>
      </c>
      <c r="R471" s="2" t="inlineStr"/>
    </row>
    <row r="472" ht="15" customHeight="1">
      <c r="A472" t="inlineStr">
        <is>
          <t>A 9765-2024</t>
        </is>
      </c>
      <c r="B472" s="1" t="n">
        <v>45362.62811342593</v>
      </c>
      <c r="C472" s="1" t="n">
        <v>46182</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59875-2024</t>
        </is>
      </c>
      <c r="B473" s="1" t="n">
        <v>45640.58716435185</v>
      </c>
      <c r="C473" s="1" t="n">
        <v>46182</v>
      </c>
      <c r="D473" t="inlineStr">
        <is>
          <t>STOCKHOLMS LÄN</t>
        </is>
      </c>
      <c r="E473" t="inlineStr">
        <is>
          <t>NORRTÄLJE</t>
        </is>
      </c>
      <c r="G473" t="n">
        <v>0.3</v>
      </c>
      <c r="H473" t="n">
        <v>0</v>
      </c>
      <c r="I473" t="n">
        <v>0</v>
      </c>
      <c r="J473" t="n">
        <v>0</v>
      </c>
      <c r="K473" t="n">
        <v>0</v>
      </c>
      <c r="L473" t="n">
        <v>0</v>
      </c>
      <c r="M473" t="n">
        <v>0</v>
      </c>
      <c r="N473" t="n">
        <v>0</v>
      </c>
      <c r="O473" t="n">
        <v>0</v>
      </c>
      <c r="P473" t="n">
        <v>0</v>
      </c>
      <c r="Q473" t="n">
        <v>0</v>
      </c>
      <c r="R473" s="2" t="inlineStr"/>
    </row>
    <row r="474" ht="15" customHeight="1">
      <c r="A474" t="inlineStr">
        <is>
          <t>A 11-2024</t>
        </is>
      </c>
      <c r="B474" s="1" t="n">
        <v>45293</v>
      </c>
      <c r="C474" s="1" t="n">
        <v>46182</v>
      </c>
      <c r="D474" t="inlineStr">
        <is>
          <t>STOCKHOLMS LÄN</t>
        </is>
      </c>
      <c r="E474" t="inlineStr">
        <is>
          <t>NORRTÄLJE</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14559-2024</t>
        </is>
      </c>
      <c r="B475" s="1" t="n">
        <v>45394.72869212963</v>
      </c>
      <c r="C475" s="1" t="n">
        <v>46182</v>
      </c>
      <c r="D475" t="inlineStr">
        <is>
          <t>STOCKHOLMS LÄN</t>
        </is>
      </c>
      <c r="E475" t="inlineStr">
        <is>
          <t>NORRTÄLJE</t>
        </is>
      </c>
      <c r="G475" t="n">
        <v>4.2</v>
      </c>
      <c r="H475" t="n">
        <v>0</v>
      </c>
      <c r="I475" t="n">
        <v>0</v>
      </c>
      <c r="J475" t="n">
        <v>0</v>
      </c>
      <c r="K475" t="n">
        <v>0</v>
      </c>
      <c r="L475" t="n">
        <v>0</v>
      </c>
      <c r="M475" t="n">
        <v>0</v>
      </c>
      <c r="N475" t="n">
        <v>0</v>
      </c>
      <c r="O475" t="n">
        <v>0</v>
      </c>
      <c r="P475" t="n">
        <v>0</v>
      </c>
      <c r="Q475" t="n">
        <v>0</v>
      </c>
      <c r="R475" s="2" t="inlineStr"/>
    </row>
    <row r="476" ht="15" customHeight="1">
      <c r="A476" t="inlineStr">
        <is>
          <t>A 37632-2025</t>
        </is>
      </c>
      <c r="B476" s="1" t="n">
        <v>45880.46524305556</v>
      </c>
      <c r="C476" s="1" t="n">
        <v>46182</v>
      </c>
      <c r="D476" t="inlineStr">
        <is>
          <t>STOCKHOLMS LÄN</t>
        </is>
      </c>
      <c r="E476" t="inlineStr">
        <is>
          <t>NORRTÄLJE</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8433-2022</t>
        </is>
      </c>
      <c r="B477" s="1" t="n">
        <v>44611</v>
      </c>
      <c r="C477" s="1" t="n">
        <v>46182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20692-2025</t>
        </is>
      </c>
      <c r="B478" s="1" t="n">
        <v>45776.46369212963</v>
      </c>
      <c r="C478" s="1" t="n">
        <v>46182</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25525-2022</t>
        </is>
      </c>
      <c r="B479" s="1" t="n">
        <v>44732</v>
      </c>
      <c r="C479" s="1" t="n">
        <v>46182</v>
      </c>
      <c r="D479" t="inlineStr">
        <is>
          <t>STOCKHOLMS LÄN</t>
        </is>
      </c>
      <c r="E479" t="inlineStr">
        <is>
          <t>NORRTÄLJE</t>
        </is>
      </c>
      <c r="G479" t="n">
        <v>2.2</v>
      </c>
      <c r="H479" t="n">
        <v>0</v>
      </c>
      <c r="I479" t="n">
        <v>0</v>
      </c>
      <c r="J479" t="n">
        <v>0</v>
      </c>
      <c r="K479" t="n">
        <v>0</v>
      </c>
      <c r="L479" t="n">
        <v>0</v>
      </c>
      <c r="M479" t="n">
        <v>0</v>
      </c>
      <c r="N479" t="n">
        <v>0</v>
      </c>
      <c r="O479" t="n">
        <v>0</v>
      </c>
      <c r="P479" t="n">
        <v>0</v>
      </c>
      <c r="Q479" t="n">
        <v>0</v>
      </c>
      <c r="R479" s="2" t="inlineStr"/>
    </row>
    <row r="480" ht="15" customHeight="1">
      <c r="A480" t="inlineStr">
        <is>
          <t>A 38889-2024</t>
        </is>
      </c>
      <c r="B480" s="1" t="n">
        <v>45547</v>
      </c>
      <c r="C480" s="1" t="n">
        <v>46182</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45451-2024</t>
        </is>
      </c>
      <c r="B481" s="1" t="n">
        <v>45576</v>
      </c>
      <c r="C481" s="1" t="n">
        <v>46182</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46071-2024</t>
        </is>
      </c>
      <c r="B482" s="1" t="n">
        <v>45581</v>
      </c>
      <c r="C482" s="1" t="n">
        <v>46182</v>
      </c>
      <c r="D482" t="inlineStr">
        <is>
          <t>STOCKHOLMS LÄN</t>
        </is>
      </c>
      <c r="E482" t="inlineStr">
        <is>
          <t>NORRTÄLJE</t>
        </is>
      </c>
      <c r="G482" t="n">
        <v>2.3</v>
      </c>
      <c r="H482" t="n">
        <v>0</v>
      </c>
      <c r="I482" t="n">
        <v>0</v>
      </c>
      <c r="J482" t="n">
        <v>0</v>
      </c>
      <c r="K482" t="n">
        <v>0</v>
      </c>
      <c r="L482" t="n">
        <v>0</v>
      </c>
      <c r="M482" t="n">
        <v>0</v>
      </c>
      <c r="N482" t="n">
        <v>0</v>
      </c>
      <c r="O482" t="n">
        <v>0</v>
      </c>
      <c r="P482" t="n">
        <v>0</v>
      </c>
      <c r="Q482" t="n">
        <v>0</v>
      </c>
      <c r="R482" s="2" t="inlineStr"/>
    </row>
    <row r="483" ht="15" customHeight="1">
      <c r="A483" t="inlineStr">
        <is>
          <t>A 30802-2022</t>
        </is>
      </c>
      <c r="B483" s="1" t="n">
        <v>44764</v>
      </c>
      <c r="C483" s="1" t="n">
        <v>46182</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55369-2023</t>
        </is>
      </c>
      <c r="B484" s="1" t="n">
        <v>45238</v>
      </c>
      <c r="C484" s="1" t="n">
        <v>46182</v>
      </c>
      <c r="D484" t="inlineStr">
        <is>
          <t>STOCKHOLMS LÄN</t>
        </is>
      </c>
      <c r="E484" t="inlineStr">
        <is>
          <t>NORRTÄLJE</t>
        </is>
      </c>
      <c r="G484" t="n">
        <v>0.4</v>
      </c>
      <c r="H484" t="n">
        <v>0</v>
      </c>
      <c r="I484" t="n">
        <v>0</v>
      </c>
      <c r="J484" t="n">
        <v>0</v>
      </c>
      <c r="K484" t="n">
        <v>0</v>
      </c>
      <c r="L484" t="n">
        <v>0</v>
      </c>
      <c r="M484" t="n">
        <v>0</v>
      </c>
      <c r="N484" t="n">
        <v>0</v>
      </c>
      <c r="O484" t="n">
        <v>0</v>
      </c>
      <c r="P484" t="n">
        <v>0</v>
      </c>
      <c r="Q484" t="n">
        <v>0</v>
      </c>
      <c r="R484" s="2" t="inlineStr"/>
    </row>
    <row r="485" ht="15" customHeight="1">
      <c r="A485" t="inlineStr">
        <is>
          <t>A 13137-2024</t>
        </is>
      </c>
      <c r="B485" s="1" t="n">
        <v>45386.34175925926</v>
      </c>
      <c r="C485" s="1" t="n">
        <v>46182</v>
      </c>
      <c r="D485" t="inlineStr">
        <is>
          <t>STOCKHOLMS LÄN</t>
        </is>
      </c>
      <c r="E485" t="inlineStr">
        <is>
          <t>NORRTÄLJE</t>
        </is>
      </c>
      <c r="G485" t="n">
        <v>5</v>
      </c>
      <c r="H485" t="n">
        <v>0</v>
      </c>
      <c r="I485" t="n">
        <v>0</v>
      </c>
      <c r="J485" t="n">
        <v>0</v>
      </c>
      <c r="K485" t="n">
        <v>0</v>
      </c>
      <c r="L485" t="n">
        <v>0</v>
      </c>
      <c r="M485" t="n">
        <v>0</v>
      </c>
      <c r="N485" t="n">
        <v>0</v>
      </c>
      <c r="O485" t="n">
        <v>0</v>
      </c>
      <c r="P485" t="n">
        <v>0</v>
      </c>
      <c r="Q485" t="n">
        <v>0</v>
      </c>
      <c r="R485" s="2" t="inlineStr"/>
    </row>
    <row r="486" ht="15" customHeight="1">
      <c r="A486" t="inlineStr">
        <is>
          <t>A 35256-2025</t>
        </is>
      </c>
      <c r="B486" s="1" t="n">
        <v>45853</v>
      </c>
      <c r="C486" s="1" t="n">
        <v>46182</v>
      </c>
      <c r="D486" t="inlineStr">
        <is>
          <t>STOCKHOLMS LÄN</t>
        </is>
      </c>
      <c r="E486" t="inlineStr">
        <is>
          <t>NORRTÄLJE</t>
        </is>
      </c>
      <c r="G486" t="n">
        <v>6.4</v>
      </c>
      <c r="H486" t="n">
        <v>0</v>
      </c>
      <c r="I486" t="n">
        <v>0</v>
      </c>
      <c r="J486" t="n">
        <v>0</v>
      </c>
      <c r="K486" t="n">
        <v>0</v>
      </c>
      <c r="L486" t="n">
        <v>0</v>
      </c>
      <c r="M486" t="n">
        <v>0</v>
      </c>
      <c r="N486" t="n">
        <v>0</v>
      </c>
      <c r="O486" t="n">
        <v>0</v>
      </c>
      <c r="P486" t="n">
        <v>0</v>
      </c>
      <c r="Q486" t="n">
        <v>0</v>
      </c>
      <c r="R486" s="2" t="inlineStr"/>
    </row>
    <row r="487" ht="15" customHeight="1">
      <c r="A487" t="inlineStr">
        <is>
          <t>A 61113-2023</t>
        </is>
      </c>
      <c r="B487" s="1" t="n">
        <v>45261</v>
      </c>
      <c r="C487" s="1" t="n">
        <v>46182</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26703-2025</t>
        </is>
      </c>
      <c r="B488" s="1" t="n">
        <v>45810.45263888889</v>
      </c>
      <c r="C488" s="1" t="n">
        <v>46182</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38153-2025</t>
        </is>
      </c>
      <c r="B489" s="1" t="n">
        <v>45882.59722222222</v>
      </c>
      <c r="C489" s="1" t="n">
        <v>46182</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34295-2024</t>
        </is>
      </c>
      <c r="B490" s="1" t="n">
        <v>45524</v>
      </c>
      <c r="C490" s="1" t="n">
        <v>46182</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58311-2023</t>
        </is>
      </c>
      <c r="B491" s="1" t="n">
        <v>45245</v>
      </c>
      <c r="C491" s="1" t="n">
        <v>46182</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26644-2024</t>
        </is>
      </c>
      <c r="B492" s="1" t="n">
        <v>45469</v>
      </c>
      <c r="C492" s="1" t="n">
        <v>46182</v>
      </c>
      <c r="D492" t="inlineStr">
        <is>
          <t>STOCKHOLMS LÄN</t>
        </is>
      </c>
      <c r="E492" t="inlineStr">
        <is>
          <t>NORRTÄLJE</t>
        </is>
      </c>
      <c r="G492" t="n">
        <v>4.3</v>
      </c>
      <c r="H492" t="n">
        <v>0</v>
      </c>
      <c r="I492" t="n">
        <v>0</v>
      </c>
      <c r="J492" t="n">
        <v>0</v>
      </c>
      <c r="K492" t="n">
        <v>0</v>
      </c>
      <c r="L492" t="n">
        <v>0</v>
      </c>
      <c r="M492" t="n">
        <v>0</v>
      </c>
      <c r="N492" t="n">
        <v>0</v>
      </c>
      <c r="O492" t="n">
        <v>0</v>
      </c>
      <c r="P492" t="n">
        <v>0</v>
      </c>
      <c r="Q492" t="n">
        <v>0</v>
      </c>
      <c r="R492" s="2" t="inlineStr"/>
    </row>
    <row r="493" ht="15" customHeight="1">
      <c r="A493" t="inlineStr">
        <is>
          <t>A 23692-2024</t>
        </is>
      </c>
      <c r="B493" s="1" t="n">
        <v>45454.65774305556</v>
      </c>
      <c r="C493" s="1" t="n">
        <v>46182</v>
      </c>
      <c r="D493" t="inlineStr">
        <is>
          <t>STOCKHOLMS LÄN</t>
        </is>
      </c>
      <c r="E493" t="inlineStr">
        <is>
          <t>NORRTÄLJE</t>
        </is>
      </c>
      <c r="G493" t="n">
        <v>3.7</v>
      </c>
      <c r="H493" t="n">
        <v>0</v>
      </c>
      <c r="I493" t="n">
        <v>0</v>
      </c>
      <c r="J493" t="n">
        <v>0</v>
      </c>
      <c r="K493" t="n">
        <v>0</v>
      </c>
      <c r="L493" t="n">
        <v>0</v>
      </c>
      <c r="M493" t="n">
        <v>0</v>
      </c>
      <c r="N493" t="n">
        <v>0</v>
      </c>
      <c r="O493" t="n">
        <v>0</v>
      </c>
      <c r="P493" t="n">
        <v>0</v>
      </c>
      <c r="Q493" t="n">
        <v>0</v>
      </c>
      <c r="R493" s="2" t="inlineStr"/>
    </row>
    <row r="494" ht="15" customHeight="1">
      <c r="A494" t="inlineStr">
        <is>
          <t>A 2982-2023</t>
        </is>
      </c>
      <c r="B494" s="1" t="n">
        <v>44945.67409722223</v>
      </c>
      <c r="C494" s="1" t="n">
        <v>46182</v>
      </c>
      <c r="D494" t="inlineStr">
        <is>
          <t>STOCKHOLMS LÄN</t>
        </is>
      </c>
      <c r="E494" t="inlineStr">
        <is>
          <t>NORRTÄLJE</t>
        </is>
      </c>
      <c r="G494" t="n">
        <v>3.3</v>
      </c>
      <c r="H494" t="n">
        <v>0</v>
      </c>
      <c r="I494" t="n">
        <v>0</v>
      </c>
      <c r="J494" t="n">
        <v>0</v>
      </c>
      <c r="K494" t="n">
        <v>0</v>
      </c>
      <c r="L494" t="n">
        <v>0</v>
      </c>
      <c r="M494" t="n">
        <v>0</v>
      </c>
      <c r="N494" t="n">
        <v>0</v>
      </c>
      <c r="O494" t="n">
        <v>0</v>
      </c>
      <c r="P494" t="n">
        <v>0</v>
      </c>
      <c r="Q494" t="n">
        <v>0</v>
      </c>
      <c r="R494" s="2" t="inlineStr"/>
    </row>
    <row r="495" ht="15" customHeight="1">
      <c r="A495" t="inlineStr">
        <is>
          <t>A 47498-2025</t>
        </is>
      </c>
      <c r="B495" s="1" t="n">
        <v>45930.8134375</v>
      </c>
      <c r="C495" s="1" t="n">
        <v>46182</v>
      </c>
      <c r="D495" t="inlineStr">
        <is>
          <t>STOCKHOLMS LÄN</t>
        </is>
      </c>
      <c r="E495" t="inlineStr">
        <is>
          <t>NORRTÄLJE</t>
        </is>
      </c>
      <c r="F495" t="inlineStr">
        <is>
          <t>Holmen skog AB</t>
        </is>
      </c>
      <c r="G495" t="n">
        <v>1.7</v>
      </c>
      <c r="H495" t="n">
        <v>0</v>
      </c>
      <c r="I495" t="n">
        <v>0</v>
      </c>
      <c r="J495" t="n">
        <v>0</v>
      </c>
      <c r="K495" t="n">
        <v>0</v>
      </c>
      <c r="L495" t="n">
        <v>0</v>
      </c>
      <c r="M495" t="n">
        <v>0</v>
      </c>
      <c r="N495" t="n">
        <v>0</v>
      </c>
      <c r="O495" t="n">
        <v>0</v>
      </c>
      <c r="P495" t="n">
        <v>0</v>
      </c>
      <c r="Q495" t="n">
        <v>0</v>
      </c>
      <c r="R495" s="2" t="inlineStr"/>
    </row>
    <row r="496" ht="15" customHeight="1">
      <c r="A496" t="inlineStr">
        <is>
          <t>A 47496-2025</t>
        </is>
      </c>
      <c r="B496" s="1" t="n">
        <v>45930.79252314815</v>
      </c>
      <c r="C496" s="1" t="n">
        <v>46182</v>
      </c>
      <c r="D496" t="inlineStr">
        <is>
          <t>STOCKHOLMS LÄN</t>
        </is>
      </c>
      <c r="E496" t="inlineStr">
        <is>
          <t>NORRTÄLJE</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47497-2025</t>
        </is>
      </c>
      <c r="B497" s="1" t="n">
        <v>45930.80217592593</v>
      </c>
      <c r="C497" s="1" t="n">
        <v>46182</v>
      </c>
      <c r="D497" t="inlineStr">
        <is>
          <t>STOCKHOLMS LÄN</t>
        </is>
      </c>
      <c r="E497" t="inlineStr">
        <is>
          <t>NORRTÄLJE</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37136-2023</t>
        </is>
      </c>
      <c r="B498" s="1" t="n">
        <v>45155</v>
      </c>
      <c r="C498" s="1" t="n">
        <v>46182</v>
      </c>
      <c r="D498" t="inlineStr">
        <is>
          <t>STOCKHOLMS LÄN</t>
        </is>
      </c>
      <c r="E498" t="inlineStr">
        <is>
          <t>NORRTÄLJE</t>
        </is>
      </c>
      <c r="G498" t="n">
        <v>2.5</v>
      </c>
      <c r="H498" t="n">
        <v>0</v>
      </c>
      <c r="I498" t="n">
        <v>0</v>
      </c>
      <c r="J498" t="n">
        <v>0</v>
      </c>
      <c r="K498" t="n">
        <v>0</v>
      </c>
      <c r="L498" t="n">
        <v>0</v>
      </c>
      <c r="M498" t="n">
        <v>0</v>
      </c>
      <c r="N498" t="n">
        <v>0</v>
      </c>
      <c r="O498" t="n">
        <v>0</v>
      </c>
      <c r="P498" t="n">
        <v>0</v>
      </c>
      <c r="Q498" t="n">
        <v>0</v>
      </c>
      <c r="R498" s="2" t="inlineStr"/>
    </row>
    <row r="499" ht="15" customHeight="1">
      <c r="A499" t="inlineStr">
        <is>
          <t>A 48360-2025</t>
        </is>
      </c>
      <c r="B499" s="1" t="n">
        <v>45933.66253472222</v>
      </c>
      <c r="C499" s="1" t="n">
        <v>46182</v>
      </c>
      <c r="D499" t="inlineStr">
        <is>
          <t>STOCKHOLMS LÄN</t>
        </is>
      </c>
      <c r="E499" t="inlineStr">
        <is>
          <t>NORRTÄLJE</t>
        </is>
      </c>
      <c r="G499" t="n">
        <v>4.1</v>
      </c>
      <c r="H499" t="n">
        <v>0</v>
      </c>
      <c r="I499" t="n">
        <v>0</v>
      </c>
      <c r="J499" t="n">
        <v>0</v>
      </c>
      <c r="K499" t="n">
        <v>0</v>
      </c>
      <c r="L499" t="n">
        <v>0</v>
      </c>
      <c r="M499" t="n">
        <v>0</v>
      </c>
      <c r="N499" t="n">
        <v>0</v>
      </c>
      <c r="O499" t="n">
        <v>0</v>
      </c>
      <c r="P499" t="n">
        <v>0</v>
      </c>
      <c r="Q499" t="n">
        <v>0</v>
      </c>
      <c r="R499" s="2" t="inlineStr"/>
    </row>
    <row r="500" ht="15" customHeight="1">
      <c r="A500" t="inlineStr">
        <is>
          <t>A 48370-2025</t>
        </is>
      </c>
      <c r="B500" s="1" t="n">
        <v>45933.67854166667</v>
      </c>
      <c r="C500" s="1" t="n">
        <v>46182</v>
      </c>
      <c r="D500" t="inlineStr">
        <is>
          <t>STOCKHOLMS LÄN</t>
        </is>
      </c>
      <c r="E500" t="inlineStr">
        <is>
          <t>NORRTÄLJE</t>
        </is>
      </c>
      <c r="G500" t="n">
        <v>4.5</v>
      </c>
      <c r="H500" t="n">
        <v>0</v>
      </c>
      <c r="I500" t="n">
        <v>0</v>
      </c>
      <c r="J500" t="n">
        <v>0</v>
      </c>
      <c r="K500" t="n">
        <v>0</v>
      </c>
      <c r="L500" t="n">
        <v>0</v>
      </c>
      <c r="M500" t="n">
        <v>0</v>
      </c>
      <c r="N500" t="n">
        <v>0</v>
      </c>
      <c r="O500" t="n">
        <v>0</v>
      </c>
      <c r="P500" t="n">
        <v>0</v>
      </c>
      <c r="Q500" t="n">
        <v>0</v>
      </c>
      <c r="R500" s="2" t="inlineStr"/>
    </row>
    <row r="501" ht="15" customHeight="1">
      <c r="A501" t="inlineStr">
        <is>
          <t>A 48364-2025</t>
        </is>
      </c>
      <c r="B501" s="1" t="n">
        <v>45933.66796296297</v>
      </c>
      <c r="C501" s="1" t="n">
        <v>46182</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67921-2021</t>
        </is>
      </c>
      <c r="B502" s="1" t="n">
        <v>44525</v>
      </c>
      <c r="C502" s="1" t="n">
        <v>46182</v>
      </c>
      <c r="D502" t="inlineStr">
        <is>
          <t>STOCKHOLMS LÄN</t>
        </is>
      </c>
      <c r="E502" t="inlineStr">
        <is>
          <t>NORRTÄLJE</t>
        </is>
      </c>
      <c r="G502" t="n">
        <v>6.3</v>
      </c>
      <c r="H502" t="n">
        <v>0</v>
      </c>
      <c r="I502" t="n">
        <v>0</v>
      </c>
      <c r="J502" t="n">
        <v>0</v>
      </c>
      <c r="K502" t="n">
        <v>0</v>
      </c>
      <c r="L502" t="n">
        <v>0</v>
      </c>
      <c r="M502" t="n">
        <v>0</v>
      </c>
      <c r="N502" t="n">
        <v>0</v>
      </c>
      <c r="O502" t="n">
        <v>0</v>
      </c>
      <c r="P502" t="n">
        <v>0</v>
      </c>
      <c r="Q502" t="n">
        <v>0</v>
      </c>
      <c r="R502" s="2" t="inlineStr"/>
    </row>
    <row r="503" ht="15" customHeight="1">
      <c r="A503" t="inlineStr">
        <is>
          <t>A 54273-2021</t>
        </is>
      </c>
      <c r="B503" s="1" t="n">
        <v>44470.72987268519</v>
      </c>
      <c r="C503" s="1" t="n">
        <v>46182</v>
      </c>
      <c r="D503" t="inlineStr">
        <is>
          <t>STOCKHOLMS LÄN</t>
        </is>
      </c>
      <c r="E503" t="inlineStr">
        <is>
          <t>NORRTÄLJE</t>
        </is>
      </c>
      <c r="G503" t="n">
        <v>2.7</v>
      </c>
      <c r="H503" t="n">
        <v>0</v>
      </c>
      <c r="I503" t="n">
        <v>0</v>
      </c>
      <c r="J503" t="n">
        <v>0</v>
      </c>
      <c r="K503" t="n">
        <v>0</v>
      </c>
      <c r="L503" t="n">
        <v>0</v>
      </c>
      <c r="M503" t="n">
        <v>0</v>
      </c>
      <c r="N503" t="n">
        <v>0</v>
      </c>
      <c r="O503" t="n">
        <v>0</v>
      </c>
      <c r="P503" t="n">
        <v>0</v>
      </c>
      <c r="Q503" t="n">
        <v>0</v>
      </c>
      <c r="R503" s="2" t="inlineStr"/>
    </row>
    <row r="504" ht="15" customHeight="1">
      <c r="A504" t="inlineStr">
        <is>
          <t>A 18787-2022</t>
        </is>
      </c>
      <c r="B504" s="1" t="n">
        <v>44687</v>
      </c>
      <c r="C504" s="1" t="n">
        <v>46182</v>
      </c>
      <c r="D504" t="inlineStr">
        <is>
          <t>STOCKHOLMS LÄN</t>
        </is>
      </c>
      <c r="E504" t="inlineStr">
        <is>
          <t>NORRTÄLJE</t>
        </is>
      </c>
      <c r="G504" t="n">
        <v>2</v>
      </c>
      <c r="H504" t="n">
        <v>0</v>
      </c>
      <c r="I504" t="n">
        <v>0</v>
      </c>
      <c r="J504" t="n">
        <v>0</v>
      </c>
      <c r="K504" t="n">
        <v>0</v>
      </c>
      <c r="L504" t="n">
        <v>0</v>
      </c>
      <c r="M504" t="n">
        <v>0</v>
      </c>
      <c r="N504" t="n">
        <v>0</v>
      </c>
      <c r="O504" t="n">
        <v>0</v>
      </c>
      <c r="P504" t="n">
        <v>0</v>
      </c>
      <c r="Q504" t="n">
        <v>0</v>
      </c>
      <c r="R504" s="2" t="inlineStr"/>
    </row>
    <row r="505" ht="15" customHeight="1">
      <c r="A505" t="inlineStr">
        <is>
          <t>A 13718-2022</t>
        </is>
      </c>
      <c r="B505" s="1" t="n">
        <v>44649</v>
      </c>
      <c r="C505" s="1" t="n">
        <v>46182</v>
      </c>
      <c r="D505" t="inlineStr">
        <is>
          <t>STOCKHOLMS LÄN</t>
        </is>
      </c>
      <c r="E505" t="inlineStr">
        <is>
          <t>NORRTÄLJE</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36269-2022</t>
        </is>
      </c>
      <c r="B506" s="1" t="n">
        <v>44803</v>
      </c>
      <c r="C506" s="1" t="n">
        <v>46182</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36308-2022</t>
        </is>
      </c>
      <c r="B507" s="1" t="n">
        <v>44803</v>
      </c>
      <c r="C507" s="1" t="n">
        <v>46182</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48174-2025</t>
        </is>
      </c>
      <c r="B508" s="1" t="n">
        <v>45933.44230324074</v>
      </c>
      <c r="C508" s="1" t="n">
        <v>46182</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6919-2025</t>
        </is>
      </c>
      <c r="B509" s="1" t="n">
        <v>45701.44372685185</v>
      </c>
      <c r="C509" s="1" t="n">
        <v>46182</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32100-2022</t>
        </is>
      </c>
      <c r="B510" s="1" t="n">
        <v>44778</v>
      </c>
      <c r="C510" s="1" t="n">
        <v>46182</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37444-2021</t>
        </is>
      </c>
      <c r="B511" s="1" t="n">
        <v>44398</v>
      </c>
      <c r="C511" s="1" t="n">
        <v>46182</v>
      </c>
      <c r="D511" t="inlineStr">
        <is>
          <t>STOCKHOLMS LÄN</t>
        </is>
      </c>
      <c r="E511" t="inlineStr">
        <is>
          <t>NORRTÄLJE</t>
        </is>
      </c>
      <c r="F511" t="inlineStr">
        <is>
          <t>Holmen skog AB</t>
        </is>
      </c>
      <c r="G511" t="n">
        <v>3.2</v>
      </c>
      <c r="H511" t="n">
        <v>0</v>
      </c>
      <c r="I511" t="n">
        <v>0</v>
      </c>
      <c r="J511" t="n">
        <v>0</v>
      </c>
      <c r="K511" t="n">
        <v>0</v>
      </c>
      <c r="L511" t="n">
        <v>0</v>
      </c>
      <c r="M511" t="n">
        <v>0</v>
      </c>
      <c r="N511" t="n">
        <v>0</v>
      </c>
      <c r="O511" t="n">
        <v>0</v>
      </c>
      <c r="P511" t="n">
        <v>0</v>
      </c>
      <c r="Q511" t="n">
        <v>0</v>
      </c>
      <c r="R511" s="2" t="inlineStr"/>
    </row>
    <row r="512" ht="15" customHeight="1">
      <c r="A512" t="inlineStr">
        <is>
          <t>A 30886-2022</t>
        </is>
      </c>
      <c r="B512" s="1" t="n">
        <v>44767.60601851852</v>
      </c>
      <c r="C512" s="1" t="n">
        <v>46182</v>
      </c>
      <c r="D512" t="inlineStr">
        <is>
          <t>STOCKHOLMS LÄN</t>
        </is>
      </c>
      <c r="E512" t="inlineStr">
        <is>
          <t>NORRTÄLJE</t>
        </is>
      </c>
      <c r="G512" t="n">
        <v>2.6</v>
      </c>
      <c r="H512" t="n">
        <v>0</v>
      </c>
      <c r="I512" t="n">
        <v>0</v>
      </c>
      <c r="J512" t="n">
        <v>0</v>
      </c>
      <c r="K512" t="n">
        <v>0</v>
      </c>
      <c r="L512" t="n">
        <v>0</v>
      </c>
      <c r="M512" t="n">
        <v>0</v>
      </c>
      <c r="N512" t="n">
        <v>0</v>
      </c>
      <c r="O512" t="n">
        <v>0</v>
      </c>
      <c r="P512" t="n">
        <v>0</v>
      </c>
      <c r="Q512" t="n">
        <v>0</v>
      </c>
      <c r="R512" s="2" t="inlineStr"/>
    </row>
    <row r="513" ht="15" customHeight="1">
      <c r="A513" t="inlineStr">
        <is>
          <t>A 9654-2022</t>
        </is>
      </c>
      <c r="B513" s="1" t="n">
        <v>44617</v>
      </c>
      <c r="C513" s="1" t="n">
        <v>46182</v>
      </c>
      <c r="D513" t="inlineStr">
        <is>
          <t>STOCKHOLMS LÄN</t>
        </is>
      </c>
      <c r="E513" t="inlineStr">
        <is>
          <t>NORRTÄLJE</t>
        </is>
      </c>
      <c r="G513" t="n">
        <v>6.4</v>
      </c>
      <c r="H513" t="n">
        <v>0</v>
      </c>
      <c r="I513" t="n">
        <v>0</v>
      </c>
      <c r="J513" t="n">
        <v>0</v>
      </c>
      <c r="K513" t="n">
        <v>0</v>
      </c>
      <c r="L513" t="n">
        <v>0</v>
      </c>
      <c r="M513" t="n">
        <v>0</v>
      </c>
      <c r="N513" t="n">
        <v>0</v>
      </c>
      <c r="O513" t="n">
        <v>0</v>
      </c>
      <c r="P513" t="n">
        <v>0</v>
      </c>
      <c r="Q513" t="n">
        <v>0</v>
      </c>
      <c r="R513" s="2" t="inlineStr"/>
    </row>
    <row r="514" ht="15" customHeight="1">
      <c r="A514" t="inlineStr">
        <is>
          <t>A 48718-2025</t>
        </is>
      </c>
      <c r="B514" s="1" t="n">
        <v>45936</v>
      </c>
      <c r="C514" s="1" t="n">
        <v>46182</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1453-2025</t>
        </is>
      </c>
      <c r="B515" s="1" t="n">
        <v>45670.3079050926</v>
      </c>
      <c r="C515" s="1" t="n">
        <v>46182</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53792-2023</t>
        </is>
      </c>
      <c r="B516" s="1" t="n">
        <v>45231.34144675926</v>
      </c>
      <c r="C516" s="1" t="n">
        <v>46182</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50907-2022</t>
        </is>
      </c>
      <c r="B517" s="1" t="n">
        <v>44867.62090277778</v>
      </c>
      <c r="C517" s="1" t="n">
        <v>46182</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29003-2023</t>
        </is>
      </c>
      <c r="B518" s="1" t="n">
        <v>45104</v>
      </c>
      <c r="C518" s="1" t="n">
        <v>46182</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48443-2025</t>
        </is>
      </c>
      <c r="B519" s="1" t="n">
        <v>45935.55326388889</v>
      </c>
      <c r="C519" s="1" t="n">
        <v>46182</v>
      </c>
      <c r="D519" t="inlineStr">
        <is>
          <t>STOCKHOLMS LÄN</t>
        </is>
      </c>
      <c r="E519" t="inlineStr">
        <is>
          <t>NORRTÄLJE</t>
        </is>
      </c>
      <c r="G519" t="n">
        <v>1</v>
      </c>
      <c r="H519" t="n">
        <v>0</v>
      </c>
      <c r="I519" t="n">
        <v>0</v>
      </c>
      <c r="J519" t="n">
        <v>0</v>
      </c>
      <c r="K519" t="n">
        <v>0</v>
      </c>
      <c r="L519" t="n">
        <v>0</v>
      </c>
      <c r="M519" t="n">
        <v>0</v>
      </c>
      <c r="N519" t="n">
        <v>0</v>
      </c>
      <c r="O519" t="n">
        <v>0</v>
      </c>
      <c r="P519" t="n">
        <v>0</v>
      </c>
      <c r="Q519" t="n">
        <v>0</v>
      </c>
      <c r="R519" s="2" t="inlineStr"/>
    </row>
    <row r="520" ht="15" customHeight="1">
      <c r="A520" t="inlineStr">
        <is>
          <t>A 21329-2022</t>
        </is>
      </c>
      <c r="B520" s="1" t="n">
        <v>44705.60626157407</v>
      </c>
      <c r="C520" s="1" t="n">
        <v>46182</v>
      </c>
      <c r="D520" t="inlineStr">
        <is>
          <t>STOCKHOLMS LÄN</t>
        </is>
      </c>
      <c r="E520" t="inlineStr">
        <is>
          <t>NORRTÄLJE</t>
        </is>
      </c>
      <c r="G520" t="n">
        <v>4.1</v>
      </c>
      <c r="H520" t="n">
        <v>0</v>
      </c>
      <c r="I520" t="n">
        <v>0</v>
      </c>
      <c r="J520" t="n">
        <v>0</v>
      </c>
      <c r="K520" t="n">
        <v>0</v>
      </c>
      <c r="L520" t="n">
        <v>0</v>
      </c>
      <c r="M520" t="n">
        <v>0</v>
      </c>
      <c r="N520" t="n">
        <v>0</v>
      </c>
      <c r="O520" t="n">
        <v>0</v>
      </c>
      <c r="P520" t="n">
        <v>0</v>
      </c>
      <c r="Q520" t="n">
        <v>0</v>
      </c>
      <c r="R520" s="2" t="inlineStr"/>
    </row>
    <row r="521" ht="15" customHeight="1">
      <c r="A521" t="inlineStr">
        <is>
          <t>A 48780-2025</t>
        </is>
      </c>
      <c r="B521" s="1" t="n">
        <v>45937.30377314815</v>
      </c>
      <c r="C521" s="1" t="n">
        <v>46182</v>
      </c>
      <c r="D521" t="inlineStr">
        <is>
          <t>STOCKHOLMS LÄN</t>
        </is>
      </c>
      <c r="E521" t="inlineStr">
        <is>
          <t>NORRTÄLJE</t>
        </is>
      </c>
      <c r="G521" t="n">
        <v>7.7</v>
      </c>
      <c r="H521" t="n">
        <v>0</v>
      </c>
      <c r="I521" t="n">
        <v>0</v>
      </c>
      <c r="J521" t="n">
        <v>0</v>
      </c>
      <c r="K521" t="n">
        <v>0</v>
      </c>
      <c r="L521" t="n">
        <v>0</v>
      </c>
      <c r="M521" t="n">
        <v>0</v>
      </c>
      <c r="N521" t="n">
        <v>0</v>
      </c>
      <c r="O521" t="n">
        <v>0</v>
      </c>
      <c r="P521" t="n">
        <v>0</v>
      </c>
      <c r="Q521" t="n">
        <v>0</v>
      </c>
      <c r="R521" s="2" t="inlineStr"/>
    </row>
    <row r="522" ht="15" customHeight="1">
      <c r="A522" t="inlineStr">
        <is>
          <t>A 33295-2023</t>
        </is>
      </c>
      <c r="B522" s="1" t="n">
        <v>45127.69371527778</v>
      </c>
      <c r="C522" s="1" t="n">
        <v>46182</v>
      </c>
      <c r="D522" t="inlineStr">
        <is>
          <t>STOCKHOLMS LÄN</t>
        </is>
      </c>
      <c r="E522" t="inlineStr">
        <is>
          <t>NORRTÄLJE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718-2026</t>
        </is>
      </c>
      <c r="B523" s="1" t="n">
        <v>46029.63174768518</v>
      </c>
      <c r="C523" s="1" t="n">
        <v>46182</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50569-2022</t>
        </is>
      </c>
      <c r="B524" s="1" t="n">
        <v>44866.63775462963</v>
      </c>
      <c r="C524" s="1" t="n">
        <v>46182</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16980-2023</t>
        </is>
      </c>
      <c r="B525" s="1" t="n">
        <v>45033</v>
      </c>
      <c r="C525" s="1" t="n">
        <v>46182</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694-2026</t>
        </is>
      </c>
      <c r="B526" s="1" t="n">
        <v>46029.61375</v>
      </c>
      <c r="C526" s="1" t="n">
        <v>46182</v>
      </c>
      <c r="D526" t="inlineStr">
        <is>
          <t>STOCKHOLMS LÄN</t>
        </is>
      </c>
      <c r="E526" t="inlineStr">
        <is>
          <t>NORRTÄLJE</t>
        </is>
      </c>
      <c r="G526" t="n">
        <v>9.6</v>
      </c>
      <c r="H526" t="n">
        <v>0</v>
      </c>
      <c r="I526" t="n">
        <v>0</v>
      </c>
      <c r="J526" t="n">
        <v>0</v>
      </c>
      <c r="K526" t="n">
        <v>0</v>
      </c>
      <c r="L526" t="n">
        <v>0</v>
      </c>
      <c r="M526" t="n">
        <v>0</v>
      </c>
      <c r="N526" t="n">
        <v>0</v>
      </c>
      <c r="O526" t="n">
        <v>0</v>
      </c>
      <c r="P526" t="n">
        <v>0</v>
      </c>
      <c r="Q526" t="n">
        <v>0</v>
      </c>
      <c r="R526" s="2" t="inlineStr"/>
    </row>
    <row r="527" ht="15" customHeight="1">
      <c r="A527" t="inlineStr">
        <is>
          <t>A 24501-2023</t>
        </is>
      </c>
      <c r="B527" s="1" t="n">
        <v>45082</v>
      </c>
      <c r="C527" s="1" t="n">
        <v>46182</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24520-2023</t>
        </is>
      </c>
      <c r="B528" s="1" t="n">
        <v>45082.68922453704</v>
      </c>
      <c r="C528" s="1" t="n">
        <v>46182</v>
      </c>
      <c r="D528" t="inlineStr">
        <is>
          <t>STOCKHOLMS LÄN</t>
        </is>
      </c>
      <c r="E528" t="inlineStr">
        <is>
          <t>NORRTÄLJE</t>
        </is>
      </c>
      <c r="G528" t="n">
        <v>4.3</v>
      </c>
      <c r="H528" t="n">
        <v>0</v>
      </c>
      <c r="I528" t="n">
        <v>0</v>
      </c>
      <c r="J528" t="n">
        <v>0</v>
      </c>
      <c r="K528" t="n">
        <v>0</v>
      </c>
      <c r="L528" t="n">
        <v>0</v>
      </c>
      <c r="M528" t="n">
        <v>0</v>
      </c>
      <c r="N528" t="n">
        <v>0</v>
      </c>
      <c r="O528" t="n">
        <v>0</v>
      </c>
      <c r="P528" t="n">
        <v>0</v>
      </c>
      <c r="Q528" t="n">
        <v>0</v>
      </c>
      <c r="R528" s="2" t="inlineStr"/>
    </row>
    <row r="529" ht="15" customHeight="1">
      <c r="A529" t="inlineStr">
        <is>
          <t>A 60654-2023</t>
        </is>
      </c>
      <c r="B529" s="1" t="n">
        <v>45260.43225694444</v>
      </c>
      <c r="C529" s="1" t="n">
        <v>46182</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60656-2023</t>
        </is>
      </c>
      <c r="B530" s="1" t="n">
        <v>45260.4333449074</v>
      </c>
      <c r="C530" s="1" t="n">
        <v>46182</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693-2026</t>
        </is>
      </c>
      <c r="B531" s="1" t="n">
        <v>46029.6133449074</v>
      </c>
      <c r="C531" s="1" t="n">
        <v>46182</v>
      </c>
      <c r="D531" t="inlineStr">
        <is>
          <t>STOCKHOLMS LÄN</t>
        </is>
      </c>
      <c r="E531" t="inlineStr">
        <is>
          <t>NORRTÄLJE</t>
        </is>
      </c>
      <c r="G531" t="n">
        <v>9.6</v>
      </c>
      <c r="H531" t="n">
        <v>0</v>
      </c>
      <c r="I531" t="n">
        <v>0</v>
      </c>
      <c r="J531" t="n">
        <v>0</v>
      </c>
      <c r="K531" t="n">
        <v>0</v>
      </c>
      <c r="L531" t="n">
        <v>0</v>
      </c>
      <c r="M531" t="n">
        <v>0</v>
      </c>
      <c r="N531" t="n">
        <v>0</v>
      </c>
      <c r="O531" t="n">
        <v>0</v>
      </c>
      <c r="P531" t="n">
        <v>0</v>
      </c>
      <c r="Q531" t="n">
        <v>0</v>
      </c>
      <c r="R531" s="2" t="inlineStr"/>
    </row>
    <row r="532" ht="15" customHeight="1">
      <c r="A532" t="inlineStr">
        <is>
          <t>A 32595-2023</t>
        </is>
      </c>
      <c r="B532" s="1" t="n">
        <v>45121</v>
      </c>
      <c r="C532" s="1" t="n">
        <v>46182</v>
      </c>
      <c r="D532" t="inlineStr">
        <is>
          <t>STOCKHOLMS LÄN</t>
        </is>
      </c>
      <c r="E532" t="inlineStr">
        <is>
          <t>NORRTÄLJE</t>
        </is>
      </c>
      <c r="G532" t="n">
        <v>2.4</v>
      </c>
      <c r="H532" t="n">
        <v>0</v>
      </c>
      <c r="I532" t="n">
        <v>0</v>
      </c>
      <c r="J532" t="n">
        <v>0</v>
      </c>
      <c r="K532" t="n">
        <v>0</v>
      </c>
      <c r="L532" t="n">
        <v>0</v>
      </c>
      <c r="M532" t="n">
        <v>0</v>
      </c>
      <c r="N532" t="n">
        <v>0</v>
      </c>
      <c r="O532" t="n">
        <v>0</v>
      </c>
      <c r="P532" t="n">
        <v>0</v>
      </c>
      <c r="Q532" t="n">
        <v>0</v>
      </c>
      <c r="R532" s="2" t="inlineStr"/>
    </row>
    <row r="533" ht="15" customHeight="1">
      <c r="A533" t="inlineStr">
        <is>
          <t>A 54496-2024</t>
        </is>
      </c>
      <c r="B533" s="1" t="n">
        <v>45617.57439814815</v>
      </c>
      <c r="C533" s="1" t="n">
        <v>46182</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21386-2023</t>
        </is>
      </c>
      <c r="B534" s="1" t="n">
        <v>45063.35880787037</v>
      </c>
      <c r="C534" s="1" t="n">
        <v>46182</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10642-2025</t>
        </is>
      </c>
      <c r="B535" s="1" t="n">
        <v>45721.65858796296</v>
      </c>
      <c r="C535" s="1" t="n">
        <v>46182</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37550-2022</t>
        </is>
      </c>
      <c r="B536" s="1" t="n">
        <v>44809</v>
      </c>
      <c r="C536" s="1" t="n">
        <v>46182</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475-2026</t>
        </is>
      </c>
      <c r="B537" s="1" t="n">
        <v>46029.39351851852</v>
      </c>
      <c r="C537" s="1" t="n">
        <v>46182</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717-2026</t>
        </is>
      </c>
      <c r="B538" s="1" t="n">
        <v>46029.63028935185</v>
      </c>
      <c r="C538" s="1" t="n">
        <v>46182</v>
      </c>
      <c r="D538" t="inlineStr">
        <is>
          <t>STOCKHOLMS LÄN</t>
        </is>
      </c>
      <c r="E538" t="inlineStr">
        <is>
          <t>NORRTÄLJE</t>
        </is>
      </c>
      <c r="G538" t="n">
        <v>2.4</v>
      </c>
      <c r="H538" t="n">
        <v>0</v>
      </c>
      <c r="I538" t="n">
        <v>0</v>
      </c>
      <c r="J538" t="n">
        <v>0</v>
      </c>
      <c r="K538" t="n">
        <v>0</v>
      </c>
      <c r="L538" t="n">
        <v>0</v>
      </c>
      <c r="M538" t="n">
        <v>0</v>
      </c>
      <c r="N538" t="n">
        <v>0</v>
      </c>
      <c r="O538" t="n">
        <v>0</v>
      </c>
      <c r="P538" t="n">
        <v>0</v>
      </c>
      <c r="Q538" t="n">
        <v>0</v>
      </c>
      <c r="R538" s="2" t="inlineStr"/>
    </row>
    <row r="539" ht="15" customHeight="1">
      <c r="A539" t="inlineStr">
        <is>
          <t>A 49129-2025</t>
        </is>
      </c>
      <c r="B539" s="1" t="n">
        <v>45937.89517361111</v>
      </c>
      <c r="C539" s="1" t="n">
        <v>46182</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20144-2023</t>
        </is>
      </c>
      <c r="B540" s="1" t="n">
        <v>45055.43509259259</v>
      </c>
      <c r="C540" s="1" t="n">
        <v>46182</v>
      </c>
      <c r="D540" t="inlineStr">
        <is>
          <t>STOCKHOLMS LÄN</t>
        </is>
      </c>
      <c r="E540" t="inlineStr">
        <is>
          <t>NORRTÄLJE</t>
        </is>
      </c>
      <c r="G540" t="n">
        <v>1.4</v>
      </c>
      <c r="H540" t="n">
        <v>0</v>
      </c>
      <c r="I540" t="n">
        <v>0</v>
      </c>
      <c r="J540" t="n">
        <v>0</v>
      </c>
      <c r="K540" t="n">
        <v>0</v>
      </c>
      <c r="L540" t="n">
        <v>0</v>
      </c>
      <c r="M540" t="n">
        <v>0</v>
      </c>
      <c r="N540" t="n">
        <v>0</v>
      </c>
      <c r="O540" t="n">
        <v>0</v>
      </c>
      <c r="P540" t="n">
        <v>0</v>
      </c>
      <c r="Q540" t="n">
        <v>0</v>
      </c>
      <c r="R540" s="2" t="inlineStr"/>
    </row>
    <row r="541" ht="15" customHeight="1">
      <c r="A541" t="inlineStr">
        <is>
          <t>A 53312-2024</t>
        </is>
      </c>
      <c r="B541" s="1" t="n">
        <v>45614.39627314815</v>
      </c>
      <c r="C541" s="1" t="n">
        <v>46182</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812-2026</t>
        </is>
      </c>
      <c r="B542" s="1" t="n">
        <v>46030.33358796296</v>
      </c>
      <c r="C542" s="1" t="n">
        <v>46182</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39202-2024</t>
        </is>
      </c>
      <c r="B543" s="1" t="n">
        <v>45548.72306712963</v>
      </c>
      <c r="C543" s="1" t="n">
        <v>46182</v>
      </c>
      <c r="D543" t="inlineStr">
        <is>
          <t>STOCKHOLMS LÄN</t>
        </is>
      </c>
      <c r="E543" t="inlineStr">
        <is>
          <t>NORRTÄLJE</t>
        </is>
      </c>
      <c r="G543" t="n">
        <v>1.9</v>
      </c>
      <c r="H543" t="n">
        <v>0</v>
      </c>
      <c r="I543" t="n">
        <v>0</v>
      </c>
      <c r="J543" t="n">
        <v>0</v>
      </c>
      <c r="K543" t="n">
        <v>0</v>
      </c>
      <c r="L543" t="n">
        <v>0</v>
      </c>
      <c r="M543" t="n">
        <v>0</v>
      </c>
      <c r="N543" t="n">
        <v>0</v>
      </c>
      <c r="O543" t="n">
        <v>0</v>
      </c>
      <c r="P543" t="n">
        <v>0</v>
      </c>
      <c r="Q543" t="n">
        <v>0</v>
      </c>
      <c r="R543" s="2" t="inlineStr"/>
    </row>
    <row r="544" ht="15" customHeight="1">
      <c r="A544" t="inlineStr">
        <is>
          <t>A 48161-2022</t>
        </is>
      </c>
      <c r="B544" s="1" t="n">
        <v>44858</v>
      </c>
      <c r="C544" s="1" t="n">
        <v>46182</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48798-2021</t>
        </is>
      </c>
      <c r="B545" s="1" t="n">
        <v>44452</v>
      </c>
      <c r="C545" s="1" t="n">
        <v>46182</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22756-2022</t>
        </is>
      </c>
      <c r="B546" s="1" t="n">
        <v>44714.92253472222</v>
      </c>
      <c r="C546" s="1" t="n">
        <v>46182</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4581-2025</t>
        </is>
      </c>
      <c r="B547" s="1" t="n">
        <v>45687</v>
      </c>
      <c r="C547" s="1" t="n">
        <v>46182</v>
      </c>
      <c r="D547" t="inlineStr">
        <is>
          <t>STOCKHOLMS LÄN</t>
        </is>
      </c>
      <c r="E547" t="inlineStr">
        <is>
          <t>NORRTÄLJE</t>
        </is>
      </c>
      <c r="F547" t="inlineStr">
        <is>
          <t>Holmen skog AB</t>
        </is>
      </c>
      <c r="G547" t="n">
        <v>2.8</v>
      </c>
      <c r="H547" t="n">
        <v>0</v>
      </c>
      <c r="I547" t="n">
        <v>0</v>
      </c>
      <c r="J547" t="n">
        <v>0</v>
      </c>
      <c r="K547" t="n">
        <v>0</v>
      </c>
      <c r="L547" t="n">
        <v>0</v>
      </c>
      <c r="M547" t="n">
        <v>0</v>
      </c>
      <c r="N547" t="n">
        <v>0</v>
      </c>
      <c r="O547" t="n">
        <v>0</v>
      </c>
      <c r="P547" t="n">
        <v>0</v>
      </c>
      <c r="Q547" t="n">
        <v>0</v>
      </c>
      <c r="R547" s="2" t="inlineStr"/>
    </row>
    <row r="548" ht="15" customHeight="1">
      <c r="A548" t="inlineStr">
        <is>
          <t>A 54776-2023</t>
        </is>
      </c>
      <c r="B548" s="1" t="n">
        <v>45236.46369212963</v>
      </c>
      <c r="C548" s="1" t="n">
        <v>46182</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57442-2021</t>
        </is>
      </c>
      <c r="B549" s="1" t="n">
        <v>44483</v>
      </c>
      <c r="C549" s="1" t="n">
        <v>46182</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60765-2023</t>
        </is>
      </c>
      <c r="B550" s="1" t="n">
        <v>45260</v>
      </c>
      <c r="C550" s="1" t="n">
        <v>46182</v>
      </c>
      <c r="D550" t="inlineStr">
        <is>
          <t>STOCKHOLMS LÄN</t>
        </is>
      </c>
      <c r="E550" t="inlineStr">
        <is>
          <t>NORRTÄLJE</t>
        </is>
      </c>
      <c r="G550" t="n">
        <v>3.7</v>
      </c>
      <c r="H550" t="n">
        <v>0</v>
      </c>
      <c r="I550" t="n">
        <v>0</v>
      </c>
      <c r="J550" t="n">
        <v>0</v>
      </c>
      <c r="K550" t="n">
        <v>0</v>
      </c>
      <c r="L550" t="n">
        <v>0</v>
      </c>
      <c r="M550" t="n">
        <v>0</v>
      </c>
      <c r="N550" t="n">
        <v>0</v>
      </c>
      <c r="O550" t="n">
        <v>0</v>
      </c>
      <c r="P550" t="n">
        <v>0</v>
      </c>
      <c r="Q550" t="n">
        <v>0</v>
      </c>
      <c r="R550" s="2" t="inlineStr"/>
    </row>
    <row r="551" ht="15" customHeight="1">
      <c r="A551" t="inlineStr">
        <is>
          <t>A 55952-2024</t>
        </is>
      </c>
      <c r="B551" s="1" t="n">
        <v>45623.62563657408</v>
      </c>
      <c r="C551" s="1" t="n">
        <v>46182</v>
      </c>
      <c r="D551" t="inlineStr">
        <is>
          <t>STOCKHOLMS LÄN</t>
        </is>
      </c>
      <c r="E551" t="inlineStr">
        <is>
          <t>NORRTÄLJE</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50097-2025</t>
        </is>
      </c>
      <c r="B552" s="1" t="n">
        <v>45943.50207175926</v>
      </c>
      <c r="C552" s="1" t="n">
        <v>46182</v>
      </c>
      <c r="D552" t="inlineStr">
        <is>
          <t>STOCKHOLMS LÄN</t>
        </is>
      </c>
      <c r="E552" t="inlineStr">
        <is>
          <t>NORRTÄLJE</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1755-2026</t>
        </is>
      </c>
      <c r="B553" s="1" t="n">
        <v>46034.66230324074</v>
      </c>
      <c r="C553" s="1" t="n">
        <v>46182</v>
      </c>
      <c r="D553" t="inlineStr">
        <is>
          <t>STOCKHOLMS LÄN</t>
        </is>
      </c>
      <c r="E553" t="inlineStr">
        <is>
          <t>NORRTÄLJE</t>
        </is>
      </c>
      <c r="F553" t="inlineStr">
        <is>
          <t>Holmen skog AB</t>
        </is>
      </c>
      <c r="G553" t="n">
        <v>3.5</v>
      </c>
      <c r="H553" t="n">
        <v>0</v>
      </c>
      <c r="I553" t="n">
        <v>0</v>
      </c>
      <c r="J553" t="n">
        <v>0</v>
      </c>
      <c r="K553" t="n">
        <v>0</v>
      </c>
      <c r="L553" t="n">
        <v>0</v>
      </c>
      <c r="M553" t="n">
        <v>0</v>
      </c>
      <c r="N553" t="n">
        <v>0</v>
      </c>
      <c r="O553" t="n">
        <v>0</v>
      </c>
      <c r="P553" t="n">
        <v>0</v>
      </c>
      <c r="Q553" t="n">
        <v>0</v>
      </c>
      <c r="R553" s="2" t="inlineStr"/>
    </row>
    <row r="554" ht="15" customHeight="1">
      <c r="A554" t="inlineStr">
        <is>
          <t>A 8135-2025</t>
        </is>
      </c>
      <c r="B554" s="1" t="n">
        <v>45707.84997685185</v>
      </c>
      <c r="C554" s="1" t="n">
        <v>46182</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3383-2023</t>
        </is>
      </c>
      <c r="B555" s="1" t="n">
        <v>44949</v>
      </c>
      <c r="C555" s="1" t="n">
        <v>46182</v>
      </c>
      <c r="D555" t="inlineStr">
        <is>
          <t>STOCKHOLMS LÄN</t>
        </is>
      </c>
      <c r="E555" t="inlineStr">
        <is>
          <t>NORRTÄLJE</t>
        </is>
      </c>
      <c r="G555" t="n">
        <v>14.6</v>
      </c>
      <c r="H555" t="n">
        <v>0</v>
      </c>
      <c r="I555" t="n">
        <v>0</v>
      </c>
      <c r="J555" t="n">
        <v>0</v>
      </c>
      <c r="K555" t="n">
        <v>0</v>
      </c>
      <c r="L555" t="n">
        <v>0</v>
      </c>
      <c r="M555" t="n">
        <v>0</v>
      </c>
      <c r="N555" t="n">
        <v>0</v>
      </c>
      <c r="O555" t="n">
        <v>0</v>
      </c>
      <c r="P555" t="n">
        <v>0</v>
      </c>
      <c r="Q555" t="n">
        <v>0</v>
      </c>
      <c r="R555" s="2" t="inlineStr"/>
    </row>
    <row r="556" ht="15" customHeight="1">
      <c r="A556" t="inlineStr">
        <is>
          <t>A 1789-2026</t>
        </is>
      </c>
      <c r="B556" s="1" t="n">
        <v>46034</v>
      </c>
      <c r="C556" s="1" t="n">
        <v>46182</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59276-2023</t>
        </is>
      </c>
      <c r="B557" s="1" t="n">
        <v>45253.55641203704</v>
      </c>
      <c r="C557" s="1" t="n">
        <v>46182</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46914-2022</t>
        </is>
      </c>
      <c r="B558" s="1" t="n">
        <v>44851</v>
      </c>
      <c r="C558" s="1" t="n">
        <v>46182</v>
      </c>
      <c r="D558" t="inlineStr">
        <is>
          <t>STOCKHOLMS LÄN</t>
        </is>
      </c>
      <c r="E558" t="inlineStr">
        <is>
          <t>NORRTÄLJE</t>
        </is>
      </c>
      <c r="G558" t="n">
        <v>2.4</v>
      </c>
      <c r="H558" t="n">
        <v>0</v>
      </c>
      <c r="I558" t="n">
        <v>0</v>
      </c>
      <c r="J558" t="n">
        <v>0</v>
      </c>
      <c r="K558" t="n">
        <v>0</v>
      </c>
      <c r="L558" t="n">
        <v>0</v>
      </c>
      <c r="M558" t="n">
        <v>0</v>
      </c>
      <c r="N558" t="n">
        <v>0</v>
      </c>
      <c r="O558" t="n">
        <v>0</v>
      </c>
      <c r="P558" t="n">
        <v>0</v>
      </c>
      <c r="Q558" t="n">
        <v>0</v>
      </c>
      <c r="R558" s="2" t="inlineStr"/>
    </row>
    <row r="559" ht="15" customHeight="1">
      <c r="A559" t="inlineStr">
        <is>
          <t>A 18541-2023</t>
        </is>
      </c>
      <c r="B559" s="1" t="n">
        <v>45042.74291666667</v>
      </c>
      <c r="C559" s="1" t="n">
        <v>46182</v>
      </c>
      <c r="D559" t="inlineStr">
        <is>
          <t>STOCKHOLMS LÄN</t>
        </is>
      </c>
      <c r="E559" t="inlineStr">
        <is>
          <t>NORRTÄLJE</t>
        </is>
      </c>
      <c r="G559" t="n">
        <v>0.7</v>
      </c>
      <c r="H559" t="n">
        <v>0</v>
      </c>
      <c r="I559" t="n">
        <v>0</v>
      </c>
      <c r="J559" t="n">
        <v>0</v>
      </c>
      <c r="K559" t="n">
        <v>0</v>
      </c>
      <c r="L559" t="n">
        <v>0</v>
      </c>
      <c r="M559" t="n">
        <v>0</v>
      </c>
      <c r="N559" t="n">
        <v>0</v>
      </c>
      <c r="O559" t="n">
        <v>0</v>
      </c>
      <c r="P559" t="n">
        <v>0</v>
      </c>
      <c r="Q559" t="n">
        <v>0</v>
      </c>
      <c r="R559" s="2" t="inlineStr"/>
    </row>
    <row r="560" ht="15" customHeight="1">
      <c r="A560" t="inlineStr">
        <is>
          <t>A 21732-2023</t>
        </is>
      </c>
      <c r="B560" s="1" t="n">
        <v>45063</v>
      </c>
      <c r="C560" s="1" t="n">
        <v>46182</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23307-2024</t>
        </is>
      </c>
      <c r="B561" s="1" t="n">
        <v>45453</v>
      </c>
      <c r="C561" s="1" t="n">
        <v>46182</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3509-2022</t>
        </is>
      </c>
      <c r="B562" s="1" t="n">
        <v>44585</v>
      </c>
      <c r="C562" s="1" t="n">
        <v>46182</v>
      </c>
      <c r="D562" t="inlineStr">
        <is>
          <t>STOCKHOLMS LÄN</t>
        </is>
      </c>
      <c r="E562" t="inlineStr">
        <is>
          <t>NORRTÄLJE</t>
        </is>
      </c>
      <c r="F562" t="inlineStr">
        <is>
          <t>Kommuner</t>
        </is>
      </c>
      <c r="G562" t="n">
        <v>0.8</v>
      </c>
      <c r="H562" t="n">
        <v>0</v>
      </c>
      <c r="I562" t="n">
        <v>0</v>
      </c>
      <c r="J562" t="n">
        <v>0</v>
      </c>
      <c r="K562" t="n">
        <v>0</v>
      </c>
      <c r="L562" t="n">
        <v>0</v>
      </c>
      <c r="M562" t="n">
        <v>0</v>
      </c>
      <c r="N562" t="n">
        <v>0</v>
      </c>
      <c r="O562" t="n">
        <v>0</v>
      </c>
      <c r="P562" t="n">
        <v>0</v>
      </c>
      <c r="Q562" t="n">
        <v>0</v>
      </c>
      <c r="R562" s="2" t="inlineStr"/>
    </row>
    <row r="563" ht="15" customHeight="1">
      <c r="A563" t="inlineStr">
        <is>
          <t>A 26407-2024</t>
        </is>
      </c>
      <c r="B563" s="1" t="n">
        <v>45469</v>
      </c>
      <c r="C563" s="1" t="n">
        <v>46182</v>
      </c>
      <c r="D563" t="inlineStr">
        <is>
          <t>STOCKHOLMS LÄN</t>
        </is>
      </c>
      <c r="E563" t="inlineStr">
        <is>
          <t>NORRTÄLJE</t>
        </is>
      </c>
      <c r="G563" t="n">
        <v>3.5</v>
      </c>
      <c r="H563" t="n">
        <v>0</v>
      </c>
      <c r="I563" t="n">
        <v>0</v>
      </c>
      <c r="J563" t="n">
        <v>0</v>
      </c>
      <c r="K563" t="n">
        <v>0</v>
      </c>
      <c r="L563" t="n">
        <v>0</v>
      </c>
      <c r="M563" t="n">
        <v>0</v>
      </c>
      <c r="N563" t="n">
        <v>0</v>
      </c>
      <c r="O563" t="n">
        <v>0</v>
      </c>
      <c r="P563" t="n">
        <v>0</v>
      </c>
      <c r="Q563" t="n">
        <v>0</v>
      </c>
      <c r="R563" s="2" t="inlineStr"/>
    </row>
    <row r="564" ht="15" customHeight="1">
      <c r="A564" t="inlineStr">
        <is>
          <t>A 12890-2024</t>
        </is>
      </c>
      <c r="B564" s="1" t="n">
        <v>45385.36243055556</v>
      </c>
      <c r="C564" s="1" t="n">
        <v>46182</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2088-2026</t>
        </is>
      </c>
      <c r="B565" s="1" t="n">
        <v>46036.35909722222</v>
      </c>
      <c r="C565" s="1" t="n">
        <v>46182</v>
      </c>
      <c r="D565" t="inlineStr">
        <is>
          <t>STOCKHOLMS LÄN</t>
        </is>
      </c>
      <c r="E565" t="inlineStr">
        <is>
          <t>NORRTÄLJE</t>
        </is>
      </c>
      <c r="G565" t="n">
        <v>7</v>
      </c>
      <c r="H565" t="n">
        <v>0</v>
      </c>
      <c r="I565" t="n">
        <v>0</v>
      </c>
      <c r="J565" t="n">
        <v>0</v>
      </c>
      <c r="K565" t="n">
        <v>0</v>
      </c>
      <c r="L565" t="n">
        <v>0</v>
      </c>
      <c r="M565" t="n">
        <v>0</v>
      </c>
      <c r="N565" t="n">
        <v>0</v>
      </c>
      <c r="O565" t="n">
        <v>0</v>
      </c>
      <c r="P565" t="n">
        <v>0</v>
      </c>
      <c r="Q565" t="n">
        <v>0</v>
      </c>
      <c r="R565" s="2" t="inlineStr"/>
    </row>
    <row r="566" ht="15" customHeight="1">
      <c r="A566" t="inlineStr">
        <is>
          <t>A 50327-2025</t>
        </is>
      </c>
      <c r="B566" s="1" t="n">
        <v>45944.46387731482</v>
      </c>
      <c r="C566" s="1" t="n">
        <v>46182</v>
      </c>
      <c r="D566" t="inlineStr">
        <is>
          <t>STOCKHOLMS LÄN</t>
        </is>
      </c>
      <c r="E566" t="inlineStr">
        <is>
          <t>NORRTÄLJE</t>
        </is>
      </c>
      <c r="G566" t="n">
        <v>0.3</v>
      </c>
      <c r="H566" t="n">
        <v>0</v>
      </c>
      <c r="I566" t="n">
        <v>0</v>
      </c>
      <c r="J566" t="n">
        <v>0</v>
      </c>
      <c r="K566" t="n">
        <v>0</v>
      </c>
      <c r="L566" t="n">
        <v>0</v>
      </c>
      <c r="M566" t="n">
        <v>0</v>
      </c>
      <c r="N566" t="n">
        <v>0</v>
      </c>
      <c r="O566" t="n">
        <v>0</v>
      </c>
      <c r="P566" t="n">
        <v>0</v>
      </c>
      <c r="Q566" t="n">
        <v>0</v>
      </c>
      <c r="R566" s="2" t="inlineStr"/>
    </row>
    <row r="567" ht="15" customHeight="1">
      <c r="A567" t="inlineStr">
        <is>
          <t>A 47419-2023</t>
        </is>
      </c>
      <c r="B567" s="1" t="n">
        <v>45202.65660879629</v>
      </c>
      <c r="C567" s="1" t="n">
        <v>46182</v>
      </c>
      <c r="D567" t="inlineStr">
        <is>
          <t>STOCKHOLMS LÄN</t>
        </is>
      </c>
      <c r="E567" t="inlineStr">
        <is>
          <t>NORRTÄLJE</t>
        </is>
      </c>
      <c r="G567" t="n">
        <v>11.4</v>
      </c>
      <c r="H567" t="n">
        <v>0</v>
      </c>
      <c r="I567" t="n">
        <v>0</v>
      </c>
      <c r="J567" t="n">
        <v>0</v>
      </c>
      <c r="K567" t="n">
        <v>0</v>
      </c>
      <c r="L567" t="n">
        <v>0</v>
      </c>
      <c r="M567" t="n">
        <v>0</v>
      </c>
      <c r="N567" t="n">
        <v>0</v>
      </c>
      <c r="O567" t="n">
        <v>0</v>
      </c>
      <c r="P567" t="n">
        <v>0</v>
      </c>
      <c r="Q567" t="n">
        <v>0</v>
      </c>
      <c r="R567" s="2" t="inlineStr"/>
    </row>
    <row r="568" ht="15" customHeight="1">
      <c r="A568" t="inlineStr">
        <is>
          <t>A 23070-2023</t>
        </is>
      </c>
      <c r="B568" s="1" t="n">
        <v>45075</v>
      </c>
      <c r="C568" s="1" t="n">
        <v>46182</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2116-2026</t>
        </is>
      </c>
      <c r="B569" s="1" t="n">
        <v>46036.38108796296</v>
      </c>
      <c r="C569" s="1" t="n">
        <v>46182</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27824-2022</t>
        </is>
      </c>
      <c r="B570" s="1" t="n">
        <v>44743.59331018518</v>
      </c>
      <c r="C570" s="1" t="n">
        <v>46182</v>
      </c>
      <c r="D570" t="inlineStr">
        <is>
          <t>STOCKHOLMS LÄN</t>
        </is>
      </c>
      <c r="E570" t="inlineStr">
        <is>
          <t>NORRTÄLJE</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50563-2025</t>
        </is>
      </c>
      <c r="B571" s="1" t="n">
        <v>45944</v>
      </c>
      <c r="C571" s="1" t="n">
        <v>46182</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37085-2021</t>
        </is>
      </c>
      <c r="B572" s="1" t="n">
        <v>44395</v>
      </c>
      <c r="C572" s="1" t="n">
        <v>46182</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25619-2022</t>
        </is>
      </c>
      <c r="B573" s="1" t="n">
        <v>44732</v>
      </c>
      <c r="C573" s="1" t="n">
        <v>46182</v>
      </c>
      <c r="D573" t="inlineStr">
        <is>
          <t>STOCKHOLMS LÄN</t>
        </is>
      </c>
      <c r="E573" t="inlineStr">
        <is>
          <t>NORRTÄLJE</t>
        </is>
      </c>
      <c r="G573" t="n">
        <v>3.9</v>
      </c>
      <c r="H573" t="n">
        <v>0</v>
      </c>
      <c r="I573" t="n">
        <v>0</v>
      </c>
      <c r="J573" t="n">
        <v>0</v>
      </c>
      <c r="K573" t="n">
        <v>0</v>
      </c>
      <c r="L573" t="n">
        <v>0</v>
      </c>
      <c r="M573" t="n">
        <v>0</v>
      </c>
      <c r="N573" t="n">
        <v>0</v>
      </c>
      <c r="O573" t="n">
        <v>0</v>
      </c>
      <c r="P573" t="n">
        <v>0</v>
      </c>
      <c r="Q573" t="n">
        <v>0</v>
      </c>
      <c r="R573" s="2" t="inlineStr"/>
    </row>
    <row r="574" ht="15" customHeight="1">
      <c r="A574" t="inlineStr">
        <is>
          <t>A 56428-2023</t>
        </is>
      </c>
      <c r="B574" s="1" t="n">
        <v>45243.45289351852</v>
      </c>
      <c r="C574" s="1" t="n">
        <v>46182</v>
      </c>
      <c r="D574" t="inlineStr">
        <is>
          <t>STOCKHOLMS LÄN</t>
        </is>
      </c>
      <c r="E574" t="inlineStr">
        <is>
          <t>NORRTÄLJE</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51233-2025</t>
        </is>
      </c>
      <c r="B575" s="1" t="n">
        <v>45947.68232638889</v>
      </c>
      <c r="C575" s="1" t="n">
        <v>46182</v>
      </c>
      <c r="D575" t="inlineStr">
        <is>
          <t>STOCKHOLMS LÄN</t>
        </is>
      </c>
      <c r="E575" t="inlineStr">
        <is>
          <t>NORRTÄLJE</t>
        </is>
      </c>
      <c r="F575" t="inlineStr">
        <is>
          <t>Naturvårdsverket</t>
        </is>
      </c>
      <c r="G575" t="n">
        <v>8.1</v>
      </c>
      <c r="H575" t="n">
        <v>0</v>
      </c>
      <c r="I575" t="n">
        <v>0</v>
      </c>
      <c r="J575" t="n">
        <v>0</v>
      </c>
      <c r="K575" t="n">
        <v>0</v>
      </c>
      <c r="L575" t="n">
        <v>0</v>
      </c>
      <c r="M575" t="n">
        <v>0</v>
      </c>
      <c r="N575" t="n">
        <v>0</v>
      </c>
      <c r="O575" t="n">
        <v>0</v>
      </c>
      <c r="P575" t="n">
        <v>0</v>
      </c>
      <c r="Q575" t="n">
        <v>0</v>
      </c>
      <c r="R575" s="2" t="inlineStr"/>
    </row>
    <row r="576" ht="15" customHeight="1">
      <c r="A576" t="inlineStr">
        <is>
          <t>A 51236-2025</t>
        </is>
      </c>
      <c r="B576" s="1" t="n">
        <v>45947.69078703703</v>
      </c>
      <c r="C576" s="1" t="n">
        <v>46182</v>
      </c>
      <c r="D576" t="inlineStr">
        <is>
          <t>STOCKHOLMS LÄN</t>
        </is>
      </c>
      <c r="E576" t="inlineStr">
        <is>
          <t>NORRTÄLJE</t>
        </is>
      </c>
      <c r="F576" t="inlineStr">
        <is>
          <t>Naturvårdsverket</t>
        </is>
      </c>
      <c r="G576" t="n">
        <v>6.3</v>
      </c>
      <c r="H576" t="n">
        <v>0</v>
      </c>
      <c r="I576" t="n">
        <v>0</v>
      </c>
      <c r="J576" t="n">
        <v>0</v>
      </c>
      <c r="K576" t="n">
        <v>0</v>
      </c>
      <c r="L576" t="n">
        <v>0</v>
      </c>
      <c r="M576" t="n">
        <v>0</v>
      </c>
      <c r="N576" t="n">
        <v>0</v>
      </c>
      <c r="O576" t="n">
        <v>0</v>
      </c>
      <c r="P576" t="n">
        <v>0</v>
      </c>
      <c r="Q576" t="n">
        <v>0</v>
      </c>
      <c r="R576" s="2" t="inlineStr"/>
    </row>
    <row r="577" ht="15" customHeight="1">
      <c r="A577" t="inlineStr">
        <is>
          <t>A 51241-2025</t>
        </is>
      </c>
      <c r="B577" s="1" t="n">
        <v>45947.71726851852</v>
      </c>
      <c r="C577" s="1" t="n">
        <v>46182</v>
      </c>
      <c r="D577" t="inlineStr">
        <is>
          <t>STOCKHOLMS LÄN</t>
        </is>
      </c>
      <c r="E577" t="inlineStr">
        <is>
          <t>NORRTÄLJE</t>
        </is>
      </c>
      <c r="F577" t="inlineStr">
        <is>
          <t>Naturvårdsverket</t>
        </is>
      </c>
      <c r="G577" t="n">
        <v>6.4</v>
      </c>
      <c r="H577" t="n">
        <v>0</v>
      </c>
      <c r="I577" t="n">
        <v>0</v>
      </c>
      <c r="J577" t="n">
        <v>0</v>
      </c>
      <c r="K577" t="n">
        <v>0</v>
      </c>
      <c r="L577" t="n">
        <v>0</v>
      </c>
      <c r="M577" t="n">
        <v>0</v>
      </c>
      <c r="N577" t="n">
        <v>0</v>
      </c>
      <c r="O577" t="n">
        <v>0</v>
      </c>
      <c r="P577" t="n">
        <v>0</v>
      </c>
      <c r="Q577" t="n">
        <v>0</v>
      </c>
      <c r="R577" s="2" t="inlineStr"/>
    </row>
    <row r="578" ht="15" customHeight="1">
      <c r="A578" t="inlineStr">
        <is>
          <t>A 36246-2021</t>
        </is>
      </c>
      <c r="B578" s="1" t="n">
        <v>44390</v>
      </c>
      <c r="C578" s="1" t="n">
        <v>46182</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51240-2025</t>
        </is>
      </c>
      <c r="B579" s="1" t="n">
        <v>45947.70420138889</v>
      </c>
      <c r="C579" s="1" t="n">
        <v>46182</v>
      </c>
      <c r="D579" t="inlineStr">
        <is>
          <t>STOCKHOLMS LÄN</t>
        </is>
      </c>
      <c r="E579" t="inlineStr">
        <is>
          <t>NORRTÄLJE</t>
        </is>
      </c>
      <c r="F579" t="inlineStr">
        <is>
          <t>Naturvårdsverket</t>
        </is>
      </c>
      <c r="G579" t="n">
        <v>3</v>
      </c>
      <c r="H579" t="n">
        <v>0</v>
      </c>
      <c r="I579" t="n">
        <v>0</v>
      </c>
      <c r="J579" t="n">
        <v>0</v>
      </c>
      <c r="K579" t="n">
        <v>0</v>
      </c>
      <c r="L579" t="n">
        <v>0</v>
      </c>
      <c r="M579" t="n">
        <v>0</v>
      </c>
      <c r="N579" t="n">
        <v>0</v>
      </c>
      <c r="O579" t="n">
        <v>0</v>
      </c>
      <c r="P579" t="n">
        <v>0</v>
      </c>
      <c r="Q579" t="n">
        <v>0</v>
      </c>
      <c r="R579" s="2" t="inlineStr"/>
    </row>
    <row r="580" ht="15" customHeight="1">
      <c r="A580" t="inlineStr">
        <is>
          <t>A 17556-2025</t>
        </is>
      </c>
      <c r="B580" s="1" t="n">
        <v>45757.62482638889</v>
      </c>
      <c r="C580" s="1" t="n">
        <v>46182</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19952-2023</t>
        </is>
      </c>
      <c r="B581" s="1" t="n">
        <v>45054.54091435186</v>
      </c>
      <c r="C581" s="1" t="n">
        <v>46182</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19994-2023</t>
        </is>
      </c>
      <c r="B582" s="1" t="n">
        <v>45054</v>
      </c>
      <c r="C582" s="1" t="n">
        <v>46182</v>
      </c>
      <c r="D582" t="inlineStr">
        <is>
          <t>STOCKHOLMS LÄN</t>
        </is>
      </c>
      <c r="E582" t="inlineStr">
        <is>
          <t>NORRTÄLJE</t>
        </is>
      </c>
      <c r="G582" t="n">
        <v>4.3</v>
      </c>
      <c r="H582" t="n">
        <v>0</v>
      </c>
      <c r="I582" t="n">
        <v>0</v>
      </c>
      <c r="J582" t="n">
        <v>0</v>
      </c>
      <c r="K582" t="n">
        <v>0</v>
      </c>
      <c r="L582" t="n">
        <v>0</v>
      </c>
      <c r="M582" t="n">
        <v>0</v>
      </c>
      <c r="N582" t="n">
        <v>0</v>
      </c>
      <c r="O582" t="n">
        <v>0</v>
      </c>
      <c r="P582" t="n">
        <v>0</v>
      </c>
      <c r="Q582" t="n">
        <v>0</v>
      </c>
      <c r="R582" s="2" t="inlineStr"/>
    </row>
    <row r="583" ht="15" customHeight="1">
      <c r="A583" t="inlineStr">
        <is>
          <t>A 51121-2025</t>
        </is>
      </c>
      <c r="B583" s="1" t="n">
        <v>45947.53293981482</v>
      </c>
      <c r="C583" s="1" t="n">
        <v>46182</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574-2023</t>
        </is>
      </c>
      <c r="B584" s="1" t="n">
        <v>44925</v>
      </c>
      <c r="C584" s="1" t="n">
        <v>46182</v>
      </c>
      <c r="D584" t="inlineStr">
        <is>
          <t>STOCKHOLMS LÄN</t>
        </is>
      </c>
      <c r="E584" t="inlineStr">
        <is>
          <t>NORRTÄLJE</t>
        </is>
      </c>
      <c r="G584" t="n">
        <v>5</v>
      </c>
      <c r="H584" t="n">
        <v>0</v>
      </c>
      <c r="I584" t="n">
        <v>0</v>
      </c>
      <c r="J584" t="n">
        <v>0</v>
      </c>
      <c r="K584" t="n">
        <v>0</v>
      </c>
      <c r="L584" t="n">
        <v>0</v>
      </c>
      <c r="M584" t="n">
        <v>0</v>
      </c>
      <c r="N584" t="n">
        <v>0</v>
      </c>
      <c r="O584" t="n">
        <v>0</v>
      </c>
      <c r="P584" t="n">
        <v>0</v>
      </c>
      <c r="Q584" t="n">
        <v>0</v>
      </c>
      <c r="R584" s="2" t="inlineStr"/>
    </row>
    <row r="585" ht="15" customHeight="1">
      <c r="A585" t="inlineStr">
        <is>
          <t>A 30283-2022</t>
        </is>
      </c>
      <c r="B585" s="1" t="n">
        <v>44760</v>
      </c>
      <c r="C585" s="1" t="n">
        <v>46182</v>
      </c>
      <c r="D585" t="inlineStr">
        <is>
          <t>STOCKHOLMS LÄN</t>
        </is>
      </c>
      <c r="E585" t="inlineStr">
        <is>
          <t>NORRTÄLJE</t>
        </is>
      </c>
      <c r="G585" t="n">
        <v>6.2</v>
      </c>
      <c r="H585" t="n">
        <v>0</v>
      </c>
      <c r="I585" t="n">
        <v>0</v>
      </c>
      <c r="J585" t="n">
        <v>0</v>
      </c>
      <c r="K585" t="n">
        <v>0</v>
      </c>
      <c r="L585" t="n">
        <v>0</v>
      </c>
      <c r="M585" t="n">
        <v>0</v>
      </c>
      <c r="N585" t="n">
        <v>0</v>
      </c>
      <c r="O585" t="n">
        <v>0</v>
      </c>
      <c r="P585" t="n">
        <v>0</v>
      </c>
      <c r="Q585" t="n">
        <v>0</v>
      </c>
      <c r="R585" s="2" t="inlineStr"/>
    </row>
    <row r="586" ht="15" customHeight="1">
      <c r="A586" t="inlineStr">
        <is>
          <t>A 30290-2022</t>
        </is>
      </c>
      <c r="B586" s="1" t="n">
        <v>44760</v>
      </c>
      <c r="C586" s="1" t="n">
        <v>46182</v>
      </c>
      <c r="D586" t="inlineStr">
        <is>
          <t>STOCKHOLMS LÄN</t>
        </is>
      </c>
      <c r="E586" t="inlineStr">
        <is>
          <t>NORRTÄLJE</t>
        </is>
      </c>
      <c r="G586" t="n">
        <v>4.8</v>
      </c>
      <c r="H586" t="n">
        <v>0</v>
      </c>
      <c r="I586" t="n">
        <v>0</v>
      </c>
      <c r="J586" t="n">
        <v>0</v>
      </c>
      <c r="K586" t="n">
        <v>0</v>
      </c>
      <c r="L586" t="n">
        <v>0</v>
      </c>
      <c r="M586" t="n">
        <v>0</v>
      </c>
      <c r="N586" t="n">
        <v>0</v>
      </c>
      <c r="O586" t="n">
        <v>0</v>
      </c>
      <c r="P586" t="n">
        <v>0</v>
      </c>
      <c r="Q586" t="n">
        <v>0</v>
      </c>
      <c r="R586" s="2" t="inlineStr"/>
    </row>
    <row r="587" ht="15" customHeight="1">
      <c r="A587" t="inlineStr">
        <is>
          <t>A 29684-2021</t>
        </is>
      </c>
      <c r="B587" s="1" t="n">
        <v>44362.37172453704</v>
      </c>
      <c r="C587" s="1" t="n">
        <v>46182</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42094-2023</t>
        </is>
      </c>
      <c r="B588" s="1" t="n">
        <v>45177.61498842593</v>
      </c>
      <c r="C588" s="1" t="n">
        <v>46182</v>
      </c>
      <c r="D588" t="inlineStr">
        <is>
          <t>STOCKHOLMS LÄN</t>
        </is>
      </c>
      <c r="E588" t="inlineStr">
        <is>
          <t>NORRTÄLJE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51532-2025</t>
        </is>
      </c>
      <c r="B589" s="1" t="n">
        <v>45950.68297453703</v>
      </c>
      <c r="C589" s="1" t="n">
        <v>46182</v>
      </c>
      <c r="D589" t="inlineStr">
        <is>
          <t>STOCKHOLMS LÄN</t>
        </is>
      </c>
      <c r="E589" t="inlineStr">
        <is>
          <t>NORRTÄLJE</t>
        </is>
      </c>
      <c r="F589" t="inlineStr">
        <is>
          <t>Naturvårdsverket</t>
        </is>
      </c>
      <c r="G589" t="n">
        <v>17.3</v>
      </c>
      <c r="H589" t="n">
        <v>0</v>
      </c>
      <c r="I589" t="n">
        <v>0</v>
      </c>
      <c r="J589" t="n">
        <v>0</v>
      </c>
      <c r="K589" t="n">
        <v>0</v>
      </c>
      <c r="L589" t="n">
        <v>0</v>
      </c>
      <c r="M589" t="n">
        <v>0</v>
      </c>
      <c r="N589" t="n">
        <v>0</v>
      </c>
      <c r="O589" t="n">
        <v>0</v>
      </c>
      <c r="P589" t="n">
        <v>0</v>
      </c>
      <c r="Q589" t="n">
        <v>0</v>
      </c>
      <c r="R589" s="2" t="inlineStr"/>
    </row>
    <row r="590" ht="15" customHeight="1">
      <c r="A590" t="inlineStr">
        <is>
          <t>A 51789-2025</t>
        </is>
      </c>
      <c r="B590" s="1" t="n">
        <v>45951.68046296296</v>
      </c>
      <c r="C590" s="1" t="n">
        <v>46182</v>
      </c>
      <c r="D590" t="inlineStr">
        <is>
          <t>STOCKHOLMS LÄN</t>
        </is>
      </c>
      <c r="E590" t="inlineStr">
        <is>
          <t>NORRTÄLJE</t>
        </is>
      </c>
      <c r="F590" t="inlineStr">
        <is>
          <t>Naturvårdsverket</t>
        </is>
      </c>
      <c r="G590" t="n">
        <v>8.9</v>
      </c>
      <c r="H590" t="n">
        <v>0</v>
      </c>
      <c r="I590" t="n">
        <v>0</v>
      </c>
      <c r="J590" t="n">
        <v>0</v>
      </c>
      <c r="K590" t="n">
        <v>0</v>
      </c>
      <c r="L590" t="n">
        <v>0</v>
      </c>
      <c r="M590" t="n">
        <v>0</v>
      </c>
      <c r="N590" t="n">
        <v>0</v>
      </c>
      <c r="O590" t="n">
        <v>0</v>
      </c>
      <c r="P590" t="n">
        <v>0</v>
      </c>
      <c r="Q590" t="n">
        <v>0</v>
      </c>
      <c r="R590" s="2" t="inlineStr"/>
    </row>
    <row r="591" ht="15" customHeight="1">
      <c r="A591" t="inlineStr">
        <is>
          <t>A 60884-2024</t>
        </is>
      </c>
      <c r="B591" s="1" t="n">
        <v>45644.90815972222</v>
      </c>
      <c r="C591" s="1" t="n">
        <v>46182</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3549-2026</t>
        </is>
      </c>
      <c r="B592" s="1" t="n">
        <v>46042</v>
      </c>
      <c r="C592" s="1" t="n">
        <v>46182</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38610-2022</t>
        </is>
      </c>
      <c r="B593" s="1" t="n">
        <v>44813.59915509259</v>
      </c>
      <c r="C593" s="1" t="n">
        <v>46182</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8370-2025</t>
        </is>
      </c>
      <c r="B594" s="1" t="n">
        <v>45708</v>
      </c>
      <c r="C594" s="1" t="n">
        <v>46182</v>
      </c>
      <c r="D594" t="inlineStr">
        <is>
          <t>STOCKHOLMS LÄN</t>
        </is>
      </c>
      <c r="E594" t="inlineStr">
        <is>
          <t>NORRTÄLJE</t>
        </is>
      </c>
      <c r="F594" t="inlineStr">
        <is>
          <t>Övriga Aktiebolag</t>
        </is>
      </c>
      <c r="G594" t="n">
        <v>5.6</v>
      </c>
      <c r="H594" t="n">
        <v>0</v>
      </c>
      <c r="I594" t="n">
        <v>0</v>
      </c>
      <c r="J594" t="n">
        <v>0</v>
      </c>
      <c r="K594" t="n">
        <v>0</v>
      </c>
      <c r="L594" t="n">
        <v>0</v>
      </c>
      <c r="M594" t="n">
        <v>0</v>
      </c>
      <c r="N594" t="n">
        <v>0</v>
      </c>
      <c r="O594" t="n">
        <v>0</v>
      </c>
      <c r="P594" t="n">
        <v>0</v>
      </c>
      <c r="Q594" t="n">
        <v>0</v>
      </c>
      <c r="R594" s="2" t="inlineStr"/>
    </row>
    <row r="595" ht="15" customHeight="1">
      <c r="A595" t="inlineStr">
        <is>
          <t>A 10090-2022</t>
        </is>
      </c>
      <c r="B595" s="1" t="n">
        <v>44621</v>
      </c>
      <c r="C595" s="1" t="n">
        <v>46182</v>
      </c>
      <c r="D595" t="inlineStr">
        <is>
          <t>STOCKHOLMS LÄN</t>
        </is>
      </c>
      <c r="E595" t="inlineStr">
        <is>
          <t>NORRTÄLJE</t>
        </is>
      </c>
      <c r="G595" t="n">
        <v>5.2</v>
      </c>
      <c r="H595" t="n">
        <v>0</v>
      </c>
      <c r="I595" t="n">
        <v>0</v>
      </c>
      <c r="J595" t="n">
        <v>0</v>
      </c>
      <c r="K595" t="n">
        <v>0</v>
      </c>
      <c r="L595" t="n">
        <v>0</v>
      </c>
      <c r="M595" t="n">
        <v>0</v>
      </c>
      <c r="N595" t="n">
        <v>0</v>
      </c>
      <c r="O595" t="n">
        <v>0</v>
      </c>
      <c r="P595" t="n">
        <v>0</v>
      </c>
      <c r="Q595" t="n">
        <v>0</v>
      </c>
      <c r="R595" s="2" t="inlineStr"/>
    </row>
    <row r="596" ht="15" customHeight="1">
      <c r="A596" t="inlineStr">
        <is>
          <t>A 14724-2022</t>
        </is>
      </c>
      <c r="B596" s="1" t="n">
        <v>44656</v>
      </c>
      <c r="C596" s="1" t="n">
        <v>46182</v>
      </c>
      <c r="D596" t="inlineStr">
        <is>
          <t>STOCKHOLMS LÄN</t>
        </is>
      </c>
      <c r="E596" t="inlineStr">
        <is>
          <t>NORRTÄLJE</t>
        </is>
      </c>
      <c r="F596" t="inlineStr">
        <is>
          <t>Sveaskog</t>
        </is>
      </c>
      <c r="G596" t="n">
        <v>9</v>
      </c>
      <c r="H596" t="n">
        <v>0</v>
      </c>
      <c r="I596" t="n">
        <v>0</v>
      </c>
      <c r="J596" t="n">
        <v>0</v>
      </c>
      <c r="K596" t="n">
        <v>0</v>
      </c>
      <c r="L596" t="n">
        <v>0</v>
      </c>
      <c r="M596" t="n">
        <v>0</v>
      </c>
      <c r="N596" t="n">
        <v>0</v>
      </c>
      <c r="O596" t="n">
        <v>0</v>
      </c>
      <c r="P596" t="n">
        <v>0</v>
      </c>
      <c r="Q596" t="n">
        <v>0</v>
      </c>
      <c r="R596" s="2" t="inlineStr"/>
    </row>
    <row r="597" ht="15" customHeight="1">
      <c r="A597" t="inlineStr">
        <is>
          <t>A 3299-2022</t>
        </is>
      </c>
      <c r="B597" s="1" t="n">
        <v>44584.91001157407</v>
      </c>
      <c r="C597" s="1" t="n">
        <v>46182</v>
      </c>
      <c r="D597" t="inlineStr">
        <is>
          <t>STOCKHOLMS LÄN</t>
        </is>
      </c>
      <c r="E597" t="inlineStr">
        <is>
          <t>NORRTÄLJE</t>
        </is>
      </c>
      <c r="G597" t="n">
        <v>2.7</v>
      </c>
      <c r="H597" t="n">
        <v>0</v>
      </c>
      <c r="I597" t="n">
        <v>0</v>
      </c>
      <c r="J597" t="n">
        <v>0</v>
      </c>
      <c r="K597" t="n">
        <v>0</v>
      </c>
      <c r="L597" t="n">
        <v>0</v>
      </c>
      <c r="M597" t="n">
        <v>0</v>
      </c>
      <c r="N597" t="n">
        <v>0</v>
      </c>
      <c r="O597" t="n">
        <v>0</v>
      </c>
      <c r="P597" t="n">
        <v>0</v>
      </c>
      <c r="Q597" t="n">
        <v>0</v>
      </c>
      <c r="R597" s="2" t="inlineStr"/>
    </row>
    <row r="598" ht="15" customHeight="1">
      <c r="A598" t="inlineStr">
        <is>
          <t>A 43300-2023</t>
        </is>
      </c>
      <c r="B598" s="1" t="n">
        <v>45183</v>
      </c>
      <c r="C598" s="1" t="n">
        <v>46182</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25654-2023</t>
        </is>
      </c>
      <c r="B599" s="1" t="n">
        <v>45089</v>
      </c>
      <c r="C599" s="1" t="n">
        <v>46182</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51960-2025</t>
        </is>
      </c>
      <c r="B600" s="1" t="n">
        <v>45952.54755787037</v>
      </c>
      <c r="C600" s="1" t="n">
        <v>46182</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12348-2025</t>
        </is>
      </c>
      <c r="B601" s="1" t="n">
        <v>45730.35026620371</v>
      </c>
      <c r="C601" s="1" t="n">
        <v>46182</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23125-2022</t>
        </is>
      </c>
      <c r="B602" s="1" t="n">
        <v>44719</v>
      </c>
      <c r="C602" s="1" t="n">
        <v>46182</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25094-2023</t>
        </is>
      </c>
      <c r="B603" s="1" t="n">
        <v>45086.3629050926</v>
      </c>
      <c r="C603" s="1" t="n">
        <v>46182</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20121-2022</t>
        </is>
      </c>
      <c r="B604" s="1" t="n">
        <v>44698</v>
      </c>
      <c r="C604" s="1" t="n">
        <v>46182</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52061-2025</t>
        </is>
      </c>
      <c r="B605" s="1" t="n">
        <v>45952.63679398148</v>
      </c>
      <c r="C605" s="1" t="n">
        <v>46182</v>
      </c>
      <c r="D605" t="inlineStr">
        <is>
          <t>STOCKHOLMS LÄN</t>
        </is>
      </c>
      <c r="E605" t="inlineStr">
        <is>
          <t>NORRTÄLJE</t>
        </is>
      </c>
      <c r="G605" t="n">
        <v>9.5</v>
      </c>
      <c r="H605" t="n">
        <v>0</v>
      </c>
      <c r="I605" t="n">
        <v>0</v>
      </c>
      <c r="J605" t="n">
        <v>0</v>
      </c>
      <c r="K605" t="n">
        <v>0</v>
      </c>
      <c r="L605" t="n">
        <v>0</v>
      </c>
      <c r="M605" t="n">
        <v>0</v>
      </c>
      <c r="N605" t="n">
        <v>0</v>
      </c>
      <c r="O605" t="n">
        <v>0</v>
      </c>
      <c r="P605" t="n">
        <v>0</v>
      </c>
      <c r="Q605" t="n">
        <v>0</v>
      </c>
      <c r="R605" s="2" t="inlineStr"/>
    </row>
    <row r="606" ht="15" customHeight="1">
      <c r="A606" t="inlineStr">
        <is>
          <t>A 51945-2025</t>
        </is>
      </c>
      <c r="B606" s="1" t="n">
        <v>45952.52679398148</v>
      </c>
      <c r="C606" s="1" t="n">
        <v>46182</v>
      </c>
      <c r="D606" t="inlineStr">
        <is>
          <t>STOCKHOLMS LÄN</t>
        </is>
      </c>
      <c r="E606" t="inlineStr">
        <is>
          <t>NORRTÄLJE</t>
        </is>
      </c>
      <c r="G606" t="n">
        <v>7</v>
      </c>
      <c r="H606" t="n">
        <v>0</v>
      </c>
      <c r="I606" t="n">
        <v>0</v>
      </c>
      <c r="J606" t="n">
        <v>0</v>
      </c>
      <c r="K606" t="n">
        <v>0</v>
      </c>
      <c r="L606" t="n">
        <v>0</v>
      </c>
      <c r="M606" t="n">
        <v>0</v>
      </c>
      <c r="N606" t="n">
        <v>0</v>
      </c>
      <c r="O606" t="n">
        <v>0</v>
      </c>
      <c r="P606" t="n">
        <v>0</v>
      </c>
      <c r="Q606" t="n">
        <v>0</v>
      </c>
      <c r="R606" s="2" t="inlineStr"/>
    </row>
    <row r="607" ht="15" customHeight="1">
      <c r="A607" t="inlineStr">
        <is>
          <t>A 47694-2023</t>
        </is>
      </c>
      <c r="B607" s="1" t="n">
        <v>45203.63303240741</v>
      </c>
      <c r="C607" s="1" t="n">
        <v>46182</v>
      </c>
      <c r="D607" t="inlineStr">
        <is>
          <t>STOCKHOLMS LÄN</t>
        </is>
      </c>
      <c r="E607" t="inlineStr">
        <is>
          <t>NORRTÄLJE</t>
        </is>
      </c>
      <c r="G607" t="n">
        <v>5.2</v>
      </c>
      <c r="H607" t="n">
        <v>0</v>
      </c>
      <c r="I607" t="n">
        <v>0</v>
      </c>
      <c r="J607" t="n">
        <v>0</v>
      </c>
      <c r="K607" t="n">
        <v>0</v>
      </c>
      <c r="L607" t="n">
        <v>0</v>
      </c>
      <c r="M607" t="n">
        <v>0</v>
      </c>
      <c r="N607" t="n">
        <v>0</v>
      </c>
      <c r="O607" t="n">
        <v>0</v>
      </c>
      <c r="P607" t="n">
        <v>0</v>
      </c>
      <c r="Q607" t="n">
        <v>0</v>
      </c>
      <c r="R607" s="2" t="inlineStr"/>
    </row>
    <row r="608" ht="15" customHeight="1">
      <c r="A608" t="inlineStr">
        <is>
          <t>A 33385-2024</t>
        </is>
      </c>
      <c r="B608" s="1" t="n">
        <v>45519</v>
      </c>
      <c r="C608" s="1" t="n">
        <v>46182</v>
      </c>
      <c r="D608" t="inlineStr">
        <is>
          <t>STOCKHOLMS LÄN</t>
        </is>
      </c>
      <c r="E608" t="inlineStr">
        <is>
          <t>NORRTÄLJE</t>
        </is>
      </c>
      <c r="G608" t="n">
        <v>1.7</v>
      </c>
      <c r="H608" t="n">
        <v>0</v>
      </c>
      <c r="I608" t="n">
        <v>0</v>
      </c>
      <c r="J608" t="n">
        <v>0</v>
      </c>
      <c r="K608" t="n">
        <v>0</v>
      </c>
      <c r="L608" t="n">
        <v>0</v>
      </c>
      <c r="M608" t="n">
        <v>0</v>
      </c>
      <c r="N608" t="n">
        <v>0</v>
      </c>
      <c r="O608" t="n">
        <v>0</v>
      </c>
      <c r="P608" t="n">
        <v>0</v>
      </c>
      <c r="Q608" t="n">
        <v>0</v>
      </c>
      <c r="R608" s="2" t="inlineStr"/>
    </row>
    <row r="609" ht="15" customHeight="1">
      <c r="A609" t="inlineStr">
        <is>
          <t>A 35532-2024</t>
        </is>
      </c>
      <c r="B609" s="1" t="n">
        <v>45531</v>
      </c>
      <c r="C609" s="1" t="n">
        <v>46182</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52773-2025</t>
        </is>
      </c>
      <c r="B610" s="1" t="n">
        <v>45957.41457175926</v>
      </c>
      <c r="C610" s="1" t="n">
        <v>46182</v>
      </c>
      <c r="D610" t="inlineStr">
        <is>
          <t>STOCKHOLMS LÄN</t>
        </is>
      </c>
      <c r="E610" t="inlineStr">
        <is>
          <t>NORRTÄLJE</t>
        </is>
      </c>
      <c r="F610" t="inlineStr">
        <is>
          <t>Sveaskog</t>
        </is>
      </c>
      <c r="G610" t="n">
        <v>10.5</v>
      </c>
      <c r="H610" t="n">
        <v>0</v>
      </c>
      <c r="I610" t="n">
        <v>0</v>
      </c>
      <c r="J610" t="n">
        <v>0</v>
      </c>
      <c r="K610" t="n">
        <v>0</v>
      </c>
      <c r="L610" t="n">
        <v>0</v>
      </c>
      <c r="M610" t="n">
        <v>0</v>
      </c>
      <c r="N610" t="n">
        <v>0</v>
      </c>
      <c r="O610" t="n">
        <v>0</v>
      </c>
      <c r="P610" t="n">
        <v>0</v>
      </c>
      <c r="Q610" t="n">
        <v>0</v>
      </c>
      <c r="R610" s="2" t="inlineStr"/>
    </row>
    <row r="611" ht="15" customHeight="1">
      <c r="A611" t="inlineStr">
        <is>
          <t>A 41172-2023</t>
        </is>
      </c>
      <c r="B611" s="1" t="n">
        <v>45170</v>
      </c>
      <c r="C611" s="1" t="n">
        <v>46182</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62644-2023</t>
        </is>
      </c>
      <c r="B612" s="1" t="n">
        <v>45271</v>
      </c>
      <c r="C612" s="1" t="n">
        <v>46182</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73307-2021</t>
        </is>
      </c>
      <c r="B613" s="1" t="n">
        <v>44549</v>
      </c>
      <c r="C613" s="1" t="n">
        <v>46182</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52777-2025</t>
        </is>
      </c>
      <c r="B614" s="1" t="n">
        <v>45957.41832175926</v>
      </c>
      <c r="C614" s="1" t="n">
        <v>46182</v>
      </c>
      <c r="D614" t="inlineStr">
        <is>
          <t>STOCKHOLMS LÄN</t>
        </is>
      </c>
      <c r="E614" t="inlineStr">
        <is>
          <t>NORRTÄLJE</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50534-2024</t>
        </is>
      </c>
      <c r="B615" s="1" t="n">
        <v>45601.56726851852</v>
      </c>
      <c r="C615" s="1" t="n">
        <v>46182</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52526-2025</t>
        </is>
      </c>
      <c r="B616" s="1" t="n">
        <v>45954.53061342592</v>
      </c>
      <c r="C616" s="1" t="n">
        <v>46182</v>
      </c>
      <c r="D616" t="inlineStr">
        <is>
          <t>STOCKHOLMS LÄN</t>
        </is>
      </c>
      <c r="E616" t="inlineStr">
        <is>
          <t>NORRTÄLJE</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53000-2025</t>
        </is>
      </c>
      <c r="B617" s="1" t="n">
        <v>45957.74357638889</v>
      </c>
      <c r="C617" s="1" t="n">
        <v>46182</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52703-2025</t>
        </is>
      </c>
      <c r="B618" s="1" t="n">
        <v>45956.88643518519</v>
      </c>
      <c r="C618" s="1" t="n">
        <v>46182</v>
      </c>
      <c r="D618" t="inlineStr">
        <is>
          <t>STOCKHOLMS LÄN</t>
        </is>
      </c>
      <c r="E618" t="inlineStr">
        <is>
          <t>NORRTÄLJE</t>
        </is>
      </c>
      <c r="G618" t="n">
        <v>4.7</v>
      </c>
      <c r="H618" t="n">
        <v>0</v>
      </c>
      <c r="I618" t="n">
        <v>0</v>
      </c>
      <c r="J618" t="n">
        <v>0</v>
      </c>
      <c r="K618" t="n">
        <v>0</v>
      </c>
      <c r="L618" t="n">
        <v>0</v>
      </c>
      <c r="M618" t="n">
        <v>0</v>
      </c>
      <c r="N618" t="n">
        <v>0</v>
      </c>
      <c r="O618" t="n">
        <v>0</v>
      </c>
      <c r="P618" t="n">
        <v>0</v>
      </c>
      <c r="Q618" t="n">
        <v>0</v>
      </c>
      <c r="R618" s="2" t="inlineStr"/>
    </row>
    <row r="619" ht="15" customHeight="1">
      <c r="A619" t="inlineStr">
        <is>
          <t>A 4230-2026</t>
        </is>
      </c>
      <c r="B619" s="1" t="n">
        <v>46044.89366898148</v>
      </c>
      <c r="C619" s="1" t="n">
        <v>46182</v>
      </c>
      <c r="D619" t="inlineStr">
        <is>
          <t>STOCKHOLMS LÄN</t>
        </is>
      </c>
      <c r="E619" t="inlineStr">
        <is>
          <t>NORRTÄLJE</t>
        </is>
      </c>
      <c r="G619" t="n">
        <v>10.8</v>
      </c>
      <c r="H619" t="n">
        <v>0</v>
      </c>
      <c r="I619" t="n">
        <v>0</v>
      </c>
      <c r="J619" t="n">
        <v>0</v>
      </c>
      <c r="K619" t="n">
        <v>0</v>
      </c>
      <c r="L619" t="n">
        <v>0</v>
      </c>
      <c r="M619" t="n">
        <v>0</v>
      </c>
      <c r="N619" t="n">
        <v>0</v>
      </c>
      <c r="O619" t="n">
        <v>0</v>
      </c>
      <c r="P619" t="n">
        <v>0</v>
      </c>
      <c r="Q619" t="n">
        <v>0</v>
      </c>
      <c r="R619" s="2" t="inlineStr"/>
    </row>
    <row r="620" ht="15" customHeight="1">
      <c r="A620" t="inlineStr">
        <is>
          <t>A 4232-2026</t>
        </is>
      </c>
      <c r="B620" s="1" t="n">
        <v>46044.89594907407</v>
      </c>
      <c r="C620" s="1" t="n">
        <v>46182</v>
      </c>
      <c r="D620" t="inlineStr">
        <is>
          <t>STOCKHOLMS LÄN</t>
        </is>
      </c>
      <c r="E620" t="inlineStr">
        <is>
          <t>NORRTÄLJE</t>
        </is>
      </c>
      <c r="G620" t="n">
        <v>3.8</v>
      </c>
      <c r="H620" t="n">
        <v>0</v>
      </c>
      <c r="I620" t="n">
        <v>0</v>
      </c>
      <c r="J620" t="n">
        <v>0</v>
      </c>
      <c r="K620" t="n">
        <v>0</v>
      </c>
      <c r="L620" t="n">
        <v>0</v>
      </c>
      <c r="M620" t="n">
        <v>0</v>
      </c>
      <c r="N620" t="n">
        <v>0</v>
      </c>
      <c r="O620" t="n">
        <v>0</v>
      </c>
      <c r="P620" t="n">
        <v>0</v>
      </c>
      <c r="Q620" t="n">
        <v>0</v>
      </c>
      <c r="R620" s="2" t="inlineStr"/>
    </row>
    <row r="621" ht="15" customHeight="1">
      <c r="A621" t="inlineStr">
        <is>
          <t>A 52729-2025</t>
        </is>
      </c>
      <c r="B621" s="1" t="n">
        <v>45957.3636574074</v>
      </c>
      <c r="C621" s="1" t="n">
        <v>46182</v>
      </c>
      <c r="D621" t="inlineStr">
        <is>
          <t>STOCKHOLMS LÄN</t>
        </is>
      </c>
      <c r="E621" t="inlineStr">
        <is>
          <t>NORRTÄLJE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3933-2026</t>
        </is>
      </c>
      <c r="B622" s="1" t="n">
        <v>46043.79916666666</v>
      </c>
      <c r="C622" s="1" t="n">
        <v>46182</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52734-2025</t>
        </is>
      </c>
      <c r="B623" s="1" t="n">
        <v>45957.3710300926</v>
      </c>
      <c r="C623" s="1" t="n">
        <v>46182</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52776-2025</t>
        </is>
      </c>
      <c r="B624" s="1" t="n">
        <v>45957.41724537037</v>
      </c>
      <c r="C624" s="1" t="n">
        <v>46182</v>
      </c>
      <c r="D624" t="inlineStr">
        <is>
          <t>STOCKHOLMS LÄN</t>
        </is>
      </c>
      <c r="E624" t="inlineStr">
        <is>
          <t>NORRTÄLJE</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65499-2021</t>
        </is>
      </c>
      <c r="B625" s="1" t="n">
        <v>44516</v>
      </c>
      <c r="C625" s="1" t="n">
        <v>46182</v>
      </c>
      <c r="D625" t="inlineStr">
        <is>
          <t>STOCKHOLMS LÄN</t>
        </is>
      </c>
      <c r="E625" t="inlineStr">
        <is>
          <t>NORRTÄLJE</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44516.40674768519</v>
      </c>
      <c r="C626" s="1" t="n">
        <v>46182</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22833-2024</t>
        </is>
      </c>
      <c r="B627" s="1" t="n">
        <v>45448.56746527777</v>
      </c>
      <c r="C627" s="1" t="n">
        <v>46182</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32514-2022</t>
        </is>
      </c>
      <c r="B628" s="1" t="n">
        <v>44782</v>
      </c>
      <c r="C628" s="1" t="n">
        <v>46182</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52529-2025</t>
        </is>
      </c>
      <c r="B629" s="1" t="n">
        <v>45954.53229166667</v>
      </c>
      <c r="C629" s="1" t="n">
        <v>46182</v>
      </c>
      <c r="D629" t="inlineStr">
        <is>
          <t>STOCKHOLMS LÄN</t>
        </is>
      </c>
      <c r="E629" t="inlineStr">
        <is>
          <t>NORRTÄLJE</t>
        </is>
      </c>
      <c r="F629" t="inlineStr">
        <is>
          <t>Sveaskog</t>
        </is>
      </c>
      <c r="G629" t="n">
        <v>7.8</v>
      </c>
      <c r="H629" t="n">
        <v>0</v>
      </c>
      <c r="I629" t="n">
        <v>0</v>
      </c>
      <c r="J629" t="n">
        <v>0</v>
      </c>
      <c r="K629" t="n">
        <v>0</v>
      </c>
      <c r="L629" t="n">
        <v>0</v>
      </c>
      <c r="M629" t="n">
        <v>0</v>
      </c>
      <c r="N629" t="n">
        <v>0</v>
      </c>
      <c r="O629" t="n">
        <v>0</v>
      </c>
      <c r="P629" t="n">
        <v>0</v>
      </c>
      <c r="Q629" t="n">
        <v>0</v>
      </c>
      <c r="R629" s="2" t="inlineStr"/>
    </row>
    <row r="630" ht="15" customHeight="1">
      <c r="A630" t="inlineStr">
        <is>
          <t>A 52704-2025</t>
        </is>
      </c>
      <c r="B630" s="1" t="n">
        <v>45956.89097222222</v>
      </c>
      <c r="C630" s="1" t="n">
        <v>46182</v>
      </c>
      <c r="D630" t="inlineStr">
        <is>
          <t>STOCKHOLMS LÄN</t>
        </is>
      </c>
      <c r="E630" t="inlineStr">
        <is>
          <t>NORRTÄLJE</t>
        </is>
      </c>
      <c r="G630" t="n">
        <v>2.3</v>
      </c>
      <c r="H630" t="n">
        <v>0</v>
      </c>
      <c r="I630" t="n">
        <v>0</v>
      </c>
      <c r="J630" t="n">
        <v>0</v>
      </c>
      <c r="K630" t="n">
        <v>0</v>
      </c>
      <c r="L630" t="n">
        <v>0</v>
      </c>
      <c r="M630" t="n">
        <v>0</v>
      </c>
      <c r="N630" t="n">
        <v>0</v>
      </c>
      <c r="O630" t="n">
        <v>0</v>
      </c>
      <c r="P630" t="n">
        <v>0</v>
      </c>
      <c r="Q630" t="n">
        <v>0</v>
      </c>
      <c r="R630" s="2" t="inlineStr"/>
    </row>
    <row r="631" ht="15" customHeight="1">
      <c r="A631" t="inlineStr">
        <is>
          <t>A 29362-2022</t>
        </is>
      </c>
      <c r="B631" s="1" t="n">
        <v>44753</v>
      </c>
      <c r="C631" s="1" t="n">
        <v>46182</v>
      </c>
      <c r="D631" t="inlineStr">
        <is>
          <t>STOCKHOLMS LÄN</t>
        </is>
      </c>
      <c r="E631" t="inlineStr">
        <is>
          <t>NORRTÄLJE</t>
        </is>
      </c>
      <c r="G631" t="n">
        <v>3.8</v>
      </c>
      <c r="H631" t="n">
        <v>0</v>
      </c>
      <c r="I631" t="n">
        <v>0</v>
      </c>
      <c r="J631" t="n">
        <v>0</v>
      </c>
      <c r="K631" t="n">
        <v>0</v>
      </c>
      <c r="L631" t="n">
        <v>0</v>
      </c>
      <c r="M631" t="n">
        <v>0</v>
      </c>
      <c r="N631" t="n">
        <v>0</v>
      </c>
      <c r="O631" t="n">
        <v>0</v>
      </c>
      <c r="P631" t="n">
        <v>0</v>
      </c>
      <c r="Q631" t="n">
        <v>0</v>
      </c>
      <c r="R631" s="2" t="inlineStr"/>
    </row>
    <row r="632" ht="15" customHeight="1">
      <c r="A632" t="inlineStr">
        <is>
          <t>A 4549-2026</t>
        </is>
      </c>
      <c r="B632" s="1" t="n">
        <v>46047</v>
      </c>
      <c r="C632" s="1" t="n">
        <v>46182</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52553-2025</t>
        </is>
      </c>
      <c r="B633" s="1" t="n">
        <v>45954.5624537037</v>
      </c>
      <c r="C633" s="1" t="n">
        <v>46182</v>
      </c>
      <c r="D633" t="inlineStr">
        <is>
          <t>STOCKHOLMS LÄN</t>
        </is>
      </c>
      <c r="E633" t="inlineStr">
        <is>
          <t>NORRTÄLJE</t>
        </is>
      </c>
      <c r="G633" t="n">
        <v>4.4</v>
      </c>
      <c r="H633" t="n">
        <v>0</v>
      </c>
      <c r="I633" t="n">
        <v>0</v>
      </c>
      <c r="J633" t="n">
        <v>0</v>
      </c>
      <c r="K633" t="n">
        <v>0</v>
      </c>
      <c r="L633" t="n">
        <v>0</v>
      </c>
      <c r="M633" t="n">
        <v>0</v>
      </c>
      <c r="N633" t="n">
        <v>0</v>
      </c>
      <c r="O633" t="n">
        <v>0</v>
      </c>
      <c r="P633" t="n">
        <v>0</v>
      </c>
      <c r="Q633" t="n">
        <v>0</v>
      </c>
      <c r="R633" s="2" t="inlineStr"/>
    </row>
    <row r="634" ht="15" customHeight="1">
      <c r="A634" t="inlineStr">
        <is>
          <t>A 57353-2024</t>
        </is>
      </c>
      <c r="B634" s="1" t="n">
        <v>45629.65143518519</v>
      </c>
      <c r="C634" s="1" t="n">
        <v>46182</v>
      </c>
      <c r="D634" t="inlineStr">
        <is>
          <t>STOCKHOLMS LÄN</t>
        </is>
      </c>
      <c r="E634" t="inlineStr">
        <is>
          <t>NORRTÄLJE</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48587-2023</t>
        </is>
      </c>
      <c r="B635" s="1" t="n">
        <v>45208</v>
      </c>
      <c r="C635" s="1" t="n">
        <v>46182</v>
      </c>
      <c r="D635" t="inlineStr">
        <is>
          <t>STOCKHOLMS LÄN</t>
        </is>
      </c>
      <c r="E635" t="inlineStr">
        <is>
          <t>NORRTÄLJE</t>
        </is>
      </c>
      <c r="G635" t="n">
        <v>7</v>
      </c>
      <c r="H635" t="n">
        <v>0</v>
      </c>
      <c r="I635" t="n">
        <v>0</v>
      </c>
      <c r="J635" t="n">
        <v>0</v>
      </c>
      <c r="K635" t="n">
        <v>0</v>
      </c>
      <c r="L635" t="n">
        <v>0</v>
      </c>
      <c r="M635" t="n">
        <v>0</v>
      </c>
      <c r="N635" t="n">
        <v>0</v>
      </c>
      <c r="O635" t="n">
        <v>0</v>
      </c>
      <c r="P635" t="n">
        <v>0</v>
      </c>
      <c r="Q635" t="n">
        <v>0</v>
      </c>
      <c r="R635" s="2" t="inlineStr"/>
    </row>
    <row r="636" ht="15" customHeight="1">
      <c r="A636" t="inlineStr">
        <is>
          <t>A 2549-2022</t>
        </is>
      </c>
      <c r="B636" s="1" t="n">
        <v>44580</v>
      </c>
      <c r="C636" s="1" t="n">
        <v>46182</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4438-2023</t>
        </is>
      </c>
      <c r="B637" s="1" t="n">
        <v>44956</v>
      </c>
      <c r="C637" s="1" t="n">
        <v>46182</v>
      </c>
      <c r="D637" t="inlineStr">
        <is>
          <t>STOCKHOLMS LÄN</t>
        </is>
      </c>
      <c r="E637" t="inlineStr">
        <is>
          <t>NORRTÄLJE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58492-2022</t>
        </is>
      </c>
      <c r="B638" s="1" t="n">
        <v>44902</v>
      </c>
      <c r="C638" s="1" t="n">
        <v>46182</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51315-2021</t>
        </is>
      </c>
      <c r="B639" s="1" t="n">
        <v>44461</v>
      </c>
      <c r="C639" s="1" t="n">
        <v>46182</v>
      </c>
      <c r="D639" t="inlineStr">
        <is>
          <t>STOCKHOLMS LÄN</t>
        </is>
      </c>
      <c r="E639" t="inlineStr">
        <is>
          <t>NORRTÄLJE</t>
        </is>
      </c>
      <c r="F639" t="inlineStr">
        <is>
          <t>Holmen skog AB</t>
        </is>
      </c>
      <c r="G639" t="n">
        <v>2.2</v>
      </c>
      <c r="H639" t="n">
        <v>0</v>
      </c>
      <c r="I639" t="n">
        <v>0</v>
      </c>
      <c r="J639" t="n">
        <v>0</v>
      </c>
      <c r="K639" t="n">
        <v>0</v>
      </c>
      <c r="L639" t="n">
        <v>0</v>
      </c>
      <c r="M639" t="n">
        <v>0</v>
      </c>
      <c r="N639" t="n">
        <v>0</v>
      </c>
      <c r="O639" t="n">
        <v>0</v>
      </c>
      <c r="P639" t="n">
        <v>0</v>
      </c>
      <c r="Q639" t="n">
        <v>0</v>
      </c>
      <c r="R639" s="2" t="inlineStr"/>
    </row>
    <row r="640" ht="15" customHeight="1">
      <c r="A640" t="inlineStr">
        <is>
          <t>A 4886-2026</t>
        </is>
      </c>
      <c r="B640" s="1" t="n">
        <v>46048.66328703704</v>
      </c>
      <c r="C640" s="1" t="n">
        <v>46182</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47758-2023</t>
        </is>
      </c>
      <c r="B641" s="1" t="n">
        <v>45203.83891203703</v>
      </c>
      <c r="C641" s="1" t="n">
        <v>46182</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53087-2025</t>
        </is>
      </c>
      <c r="B642" s="1" t="n">
        <v>45958.41065972222</v>
      </c>
      <c r="C642" s="1" t="n">
        <v>46182</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53629-2025</t>
        </is>
      </c>
      <c r="B643" s="1" t="n">
        <v>45960.49570601852</v>
      </c>
      <c r="C643" s="1" t="n">
        <v>46182</v>
      </c>
      <c r="D643" t="inlineStr">
        <is>
          <t>STOCKHOLMS LÄN</t>
        </is>
      </c>
      <c r="E643" t="inlineStr">
        <is>
          <t>NORRTÄLJE</t>
        </is>
      </c>
      <c r="F643" t="inlineStr">
        <is>
          <t>Naturvårdsverket</t>
        </is>
      </c>
      <c r="G643" t="n">
        <v>7.9</v>
      </c>
      <c r="H643" t="n">
        <v>0</v>
      </c>
      <c r="I643" t="n">
        <v>0</v>
      </c>
      <c r="J643" t="n">
        <v>0</v>
      </c>
      <c r="K643" t="n">
        <v>0</v>
      </c>
      <c r="L643" t="n">
        <v>0</v>
      </c>
      <c r="M643" t="n">
        <v>0</v>
      </c>
      <c r="N643" t="n">
        <v>0</v>
      </c>
      <c r="O643" t="n">
        <v>0</v>
      </c>
      <c r="P643" t="n">
        <v>0</v>
      </c>
      <c r="Q643" t="n">
        <v>0</v>
      </c>
      <c r="R643" s="2" t="inlineStr"/>
    </row>
    <row r="644" ht="15" customHeight="1">
      <c r="A644" t="inlineStr">
        <is>
          <t>A 53747-2025</t>
        </is>
      </c>
      <c r="B644" s="1" t="n">
        <v>45960.65415509259</v>
      </c>
      <c r="C644" s="1" t="n">
        <v>46182</v>
      </c>
      <c r="D644" t="inlineStr">
        <is>
          <t>STOCKHOLMS LÄN</t>
        </is>
      </c>
      <c r="E644" t="inlineStr">
        <is>
          <t>NORRTÄLJE</t>
        </is>
      </c>
      <c r="G644" t="n">
        <v>1.8</v>
      </c>
      <c r="H644" t="n">
        <v>0</v>
      </c>
      <c r="I644" t="n">
        <v>0</v>
      </c>
      <c r="J644" t="n">
        <v>0</v>
      </c>
      <c r="K644" t="n">
        <v>0</v>
      </c>
      <c r="L644" t="n">
        <v>0</v>
      </c>
      <c r="M644" t="n">
        <v>0</v>
      </c>
      <c r="N644" t="n">
        <v>0</v>
      </c>
      <c r="O644" t="n">
        <v>0</v>
      </c>
      <c r="P644" t="n">
        <v>0</v>
      </c>
      <c r="Q644" t="n">
        <v>0</v>
      </c>
      <c r="R644" s="2" t="inlineStr"/>
    </row>
    <row r="645" ht="15" customHeight="1">
      <c r="A645" t="inlineStr">
        <is>
          <t>A 34773-2022</t>
        </is>
      </c>
      <c r="B645" s="1" t="n">
        <v>44795</v>
      </c>
      <c r="C645" s="1" t="n">
        <v>46182</v>
      </c>
      <c r="D645" t="inlineStr">
        <is>
          <t>STOCKHOLMS LÄN</t>
        </is>
      </c>
      <c r="E645" t="inlineStr">
        <is>
          <t>NORRTÄLJE</t>
        </is>
      </c>
      <c r="G645" t="n">
        <v>3.9</v>
      </c>
      <c r="H645" t="n">
        <v>0</v>
      </c>
      <c r="I645" t="n">
        <v>0</v>
      </c>
      <c r="J645" t="n">
        <v>0</v>
      </c>
      <c r="K645" t="n">
        <v>0</v>
      </c>
      <c r="L645" t="n">
        <v>0</v>
      </c>
      <c r="M645" t="n">
        <v>0</v>
      </c>
      <c r="N645" t="n">
        <v>0</v>
      </c>
      <c r="O645" t="n">
        <v>0</v>
      </c>
      <c r="P645" t="n">
        <v>0</v>
      </c>
      <c r="Q645" t="n">
        <v>0</v>
      </c>
      <c r="R645" s="2" t="inlineStr"/>
    </row>
    <row r="646" ht="15" customHeight="1">
      <c r="A646" t="inlineStr">
        <is>
          <t>A 33173-2024</t>
        </is>
      </c>
      <c r="B646" s="1" t="n">
        <v>45518</v>
      </c>
      <c r="C646" s="1" t="n">
        <v>46182</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51061-2023</t>
        </is>
      </c>
      <c r="B647" s="1" t="n">
        <v>45218.65849537037</v>
      </c>
      <c r="C647" s="1" t="n">
        <v>46182</v>
      </c>
      <c r="D647" t="inlineStr">
        <is>
          <t>STOCKHOLMS LÄN</t>
        </is>
      </c>
      <c r="E647" t="inlineStr">
        <is>
          <t>NORRTÄLJE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5226-2026</t>
        </is>
      </c>
      <c r="B648" s="1" t="n">
        <v>46049.79961805556</v>
      </c>
      <c r="C648" s="1" t="n">
        <v>46182</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22697-2022</t>
        </is>
      </c>
      <c r="B649" s="1" t="n">
        <v>44714.56040509259</v>
      </c>
      <c r="C649" s="1" t="n">
        <v>46182</v>
      </c>
      <c r="D649" t="inlineStr">
        <is>
          <t>STOCKHOLMS LÄN</t>
        </is>
      </c>
      <c r="E649" t="inlineStr">
        <is>
          <t>NORRTÄLJE</t>
        </is>
      </c>
      <c r="G649" t="n">
        <v>5.6</v>
      </c>
      <c r="H649" t="n">
        <v>0</v>
      </c>
      <c r="I649" t="n">
        <v>0</v>
      </c>
      <c r="J649" t="n">
        <v>0</v>
      </c>
      <c r="K649" t="n">
        <v>0</v>
      </c>
      <c r="L649" t="n">
        <v>0</v>
      </c>
      <c r="M649" t="n">
        <v>0</v>
      </c>
      <c r="N649" t="n">
        <v>0</v>
      </c>
      <c r="O649" t="n">
        <v>0</v>
      </c>
      <c r="P649" t="n">
        <v>0</v>
      </c>
      <c r="Q649" t="n">
        <v>0</v>
      </c>
      <c r="R649" s="2" t="inlineStr"/>
    </row>
    <row r="650" ht="15" customHeight="1">
      <c r="A650" t="inlineStr">
        <is>
          <t>A 5224-2026</t>
        </is>
      </c>
      <c r="B650" s="1" t="n">
        <v>46049.79521990741</v>
      </c>
      <c r="C650" s="1" t="n">
        <v>46182</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5227-2026</t>
        </is>
      </c>
      <c r="B651" s="1" t="n">
        <v>46049.80460648148</v>
      </c>
      <c r="C651" s="1" t="n">
        <v>46182</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45549-2022</t>
        </is>
      </c>
      <c r="B652" s="1" t="n">
        <v>44845.48064814815</v>
      </c>
      <c r="C652" s="1" t="n">
        <v>46182</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5241-2026</t>
        </is>
      </c>
      <c r="B653" s="1" t="n">
        <v>46049.86471064815</v>
      </c>
      <c r="C653" s="1" t="n">
        <v>46182</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54396-2021</t>
        </is>
      </c>
      <c r="B654" s="1" t="n">
        <v>44472</v>
      </c>
      <c r="C654" s="1" t="n">
        <v>46182</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24727-2023</t>
        </is>
      </c>
      <c r="B655" s="1" t="n">
        <v>45084.57695601852</v>
      </c>
      <c r="C655" s="1" t="n">
        <v>46182</v>
      </c>
      <c r="D655" t="inlineStr">
        <is>
          <t>STOCKHOLMS LÄN</t>
        </is>
      </c>
      <c r="E655" t="inlineStr">
        <is>
          <t>NORRTÄLJE</t>
        </is>
      </c>
      <c r="F655" t="inlineStr">
        <is>
          <t>Holmen skog AB</t>
        </is>
      </c>
      <c r="G655" t="n">
        <v>2.2</v>
      </c>
      <c r="H655" t="n">
        <v>0</v>
      </c>
      <c r="I655" t="n">
        <v>0</v>
      </c>
      <c r="J655" t="n">
        <v>0</v>
      </c>
      <c r="K655" t="n">
        <v>0</v>
      </c>
      <c r="L655" t="n">
        <v>0</v>
      </c>
      <c r="M655" t="n">
        <v>0</v>
      </c>
      <c r="N655" t="n">
        <v>0</v>
      </c>
      <c r="O655" t="n">
        <v>0</v>
      </c>
      <c r="P655" t="n">
        <v>0</v>
      </c>
      <c r="Q655" t="n">
        <v>0</v>
      </c>
      <c r="R655" s="2" t="inlineStr"/>
    </row>
    <row r="656" ht="15" customHeight="1">
      <c r="A656" t="inlineStr">
        <is>
          <t>A 39610-2025</t>
        </is>
      </c>
      <c r="B656" s="1" t="n">
        <v>45890</v>
      </c>
      <c r="C656" s="1" t="n">
        <v>46182</v>
      </c>
      <c r="D656" t="inlineStr">
        <is>
          <t>STOCKHOLMS LÄN</t>
        </is>
      </c>
      <c r="E656" t="inlineStr">
        <is>
          <t>NORRTÄLJE</t>
        </is>
      </c>
      <c r="G656" t="n">
        <v>28.6</v>
      </c>
      <c r="H656" t="n">
        <v>0</v>
      </c>
      <c r="I656" t="n">
        <v>0</v>
      </c>
      <c r="J656" t="n">
        <v>0</v>
      </c>
      <c r="K656" t="n">
        <v>0</v>
      </c>
      <c r="L656" t="n">
        <v>0</v>
      </c>
      <c r="M656" t="n">
        <v>0</v>
      </c>
      <c r="N656" t="n">
        <v>0</v>
      </c>
      <c r="O656" t="n">
        <v>0</v>
      </c>
      <c r="P656" t="n">
        <v>0</v>
      </c>
      <c r="Q656" t="n">
        <v>0</v>
      </c>
      <c r="R656" s="2" t="inlineStr"/>
    </row>
    <row r="657" ht="15" customHeight="1">
      <c r="A657" t="inlineStr">
        <is>
          <t>A 5934-2026</t>
        </is>
      </c>
      <c r="B657" s="1" t="n">
        <v>46052.47082175926</v>
      </c>
      <c r="C657" s="1" t="n">
        <v>46182</v>
      </c>
      <c r="D657" t="inlineStr">
        <is>
          <t>STOCKHOLMS LÄN</t>
        </is>
      </c>
      <c r="E657" t="inlineStr">
        <is>
          <t>NORRTÄLJE</t>
        </is>
      </c>
      <c r="F657" t="inlineStr">
        <is>
          <t>Holmen skog AB</t>
        </is>
      </c>
      <c r="G657" t="n">
        <v>5.5</v>
      </c>
      <c r="H657" t="n">
        <v>0</v>
      </c>
      <c r="I657" t="n">
        <v>0</v>
      </c>
      <c r="J657" t="n">
        <v>0</v>
      </c>
      <c r="K657" t="n">
        <v>0</v>
      </c>
      <c r="L657" t="n">
        <v>0</v>
      </c>
      <c r="M657" t="n">
        <v>0</v>
      </c>
      <c r="N657" t="n">
        <v>0</v>
      </c>
      <c r="O657" t="n">
        <v>0</v>
      </c>
      <c r="P657" t="n">
        <v>0</v>
      </c>
      <c r="Q657" t="n">
        <v>0</v>
      </c>
      <c r="R657" s="2" t="inlineStr"/>
    </row>
    <row r="658" ht="15" customHeight="1">
      <c r="A658" t="inlineStr">
        <is>
          <t>A 48722-2023</t>
        </is>
      </c>
      <c r="B658" s="1" t="n">
        <v>45208.70996527778</v>
      </c>
      <c r="C658" s="1" t="n">
        <v>46182</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35235-2024</t>
        </is>
      </c>
      <c r="B659" s="1" t="n">
        <v>45530</v>
      </c>
      <c r="C659" s="1" t="n">
        <v>46182</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1448-2023</t>
        </is>
      </c>
      <c r="B660" s="1" t="n">
        <v>44937</v>
      </c>
      <c r="C660" s="1" t="n">
        <v>46182</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8736-2024</t>
        </is>
      </c>
      <c r="B661" s="1" t="n">
        <v>45356.4722800926</v>
      </c>
      <c r="C661" s="1" t="n">
        <v>46182</v>
      </c>
      <c r="D661" t="inlineStr">
        <is>
          <t>STOCKHOLMS LÄN</t>
        </is>
      </c>
      <c r="E661" t="inlineStr">
        <is>
          <t>NORRTÄLJE</t>
        </is>
      </c>
      <c r="G661" t="n">
        <v>8.9</v>
      </c>
      <c r="H661" t="n">
        <v>0</v>
      </c>
      <c r="I661" t="n">
        <v>0</v>
      </c>
      <c r="J661" t="n">
        <v>0</v>
      </c>
      <c r="K661" t="n">
        <v>0</v>
      </c>
      <c r="L661" t="n">
        <v>0</v>
      </c>
      <c r="M661" t="n">
        <v>0</v>
      </c>
      <c r="N661" t="n">
        <v>0</v>
      </c>
      <c r="O661" t="n">
        <v>0</v>
      </c>
      <c r="P661" t="n">
        <v>0</v>
      </c>
      <c r="Q661" t="n">
        <v>0</v>
      </c>
      <c r="R661" s="2" t="inlineStr"/>
    </row>
    <row r="662" ht="15" customHeight="1">
      <c r="A662" t="inlineStr">
        <is>
          <t>A 54907-2025</t>
        </is>
      </c>
      <c r="B662" s="1" t="n">
        <v>45967.37137731481</v>
      </c>
      <c r="C662" s="1" t="n">
        <v>46182</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4484-2025</t>
        </is>
      </c>
      <c r="B663" s="1" t="n">
        <v>45686.65545138889</v>
      </c>
      <c r="C663" s="1" t="n">
        <v>46182</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6724-2026</t>
        </is>
      </c>
      <c r="B664" s="1" t="n">
        <v>46056.67717592593</v>
      </c>
      <c r="C664" s="1" t="n">
        <v>46182</v>
      </c>
      <c r="D664" t="inlineStr">
        <is>
          <t>STOCKHOLMS LÄN</t>
        </is>
      </c>
      <c r="E664" t="inlineStr">
        <is>
          <t>NORRTÄLJE</t>
        </is>
      </c>
      <c r="F664" t="inlineStr">
        <is>
          <t>Holmen skog AB</t>
        </is>
      </c>
      <c r="G664" t="n">
        <v>16.2</v>
      </c>
      <c r="H664" t="n">
        <v>0</v>
      </c>
      <c r="I664" t="n">
        <v>0</v>
      </c>
      <c r="J664" t="n">
        <v>0</v>
      </c>
      <c r="K664" t="n">
        <v>0</v>
      </c>
      <c r="L664" t="n">
        <v>0</v>
      </c>
      <c r="M664" t="n">
        <v>0</v>
      </c>
      <c r="N664" t="n">
        <v>0</v>
      </c>
      <c r="O664" t="n">
        <v>0</v>
      </c>
      <c r="P664" t="n">
        <v>0</v>
      </c>
      <c r="Q664" t="n">
        <v>0</v>
      </c>
      <c r="R664" s="2" t="inlineStr"/>
    </row>
    <row r="665" ht="15" customHeight="1">
      <c r="A665" t="inlineStr">
        <is>
          <t>A 33878-2024</t>
        </is>
      </c>
      <c r="B665" s="1" t="n">
        <v>45522.44414351852</v>
      </c>
      <c r="C665" s="1" t="n">
        <v>46182</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33149-2022</t>
        </is>
      </c>
      <c r="B666" s="1" t="n">
        <v>44785</v>
      </c>
      <c r="C666" s="1" t="n">
        <v>46182</v>
      </c>
      <c r="D666" t="inlineStr">
        <is>
          <t>STOCKHOLMS LÄN</t>
        </is>
      </c>
      <c r="E666" t="inlineStr">
        <is>
          <t>NORRTÄLJE</t>
        </is>
      </c>
      <c r="F666" t="inlineStr">
        <is>
          <t>Holmen skog AB</t>
        </is>
      </c>
      <c r="G666" t="n">
        <v>4.4</v>
      </c>
      <c r="H666" t="n">
        <v>0</v>
      </c>
      <c r="I666" t="n">
        <v>0</v>
      </c>
      <c r="J666" t="n">
        <v>0</v>
      </c>
      <c r="K666" t="n">
        <v>0</v>
      </c>
      <c r="L666" t="n">
        <v>0</v>
      </c>
      <c r="M666" t="n">
        <v>0</v>
      </c>
      <c r="N666" t="n">
        <v>0</v>
      </c>
      <c r="O666" t="n">
        <v>0</v>
      </c>
      <c r="P666" t="n">
        <v>0</v>
      </c>
      <c r="Q666" t="n">
        <v>0</v>
      </c>
      <c r="R666" s="2" t="inlineStr"/>
    </row>
    <row r="667" ht="15" customHeight="1">
      <c r="A667" t="inlineStr">
        <is>
          <t>A 6828-2026</t>
        </is>
      </c>
      <c r="B667" s="1" t="n">
        <v>46057</v>
      </c>
      <c r="C667" s="1" t="n">
        <v>46182</v>
      </c>
      <c r="D667" t="inlineStr">
        <is>
          <t>STOCKHOLMS LÄN</t>
        </is>
      </c>
      <c r="E667" t="inlineStr">
        <is>
          <t>NORRTÄLJE</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6838-2026</t>
        </is>
      </c>
      <c r="B668" s="1" t="n">
        <v>46057.41151620371</v>
      </c>
      <c r="C668" s="1" t="n">
        <v>46182</v>
      </c>
      <c r="D668" t="inlineStr">
        <is>
          <t>STOCKHOLMS LÄN</t>
        </is>
      </c>
      <c r="E668" t="inlineStr">
        <is>
          <t>NORRTÄLJE</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9246-2024</t>
        </is>
      </c>
      <c r="B669" s="1" t="n">
        <v>45357</v>
      </c>
      <c r="C669" s="1" t="n">
        <v>46182</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35698-2023</t>
        </is>
      </c>
      <c r="B670" s="1" t="n">
        <v>45147</v>
      </c>
      <c r="C670" s="1" t="n">
        <v>46182</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62398-2022</t>
        </is>
      </c>
      <c r="B671" s="1" t="n">
        <v>44923.90159722222</v>
      </c>
      <c r="C671" s="1" t="n">
        <v>46182</v>
      </c>
      <c r="D671" t="inlineStr">
        <is>
          <t>STOCKHOLMS LÄN</t>
        </is>
      </c>
      <c r="E671" t="inlineStr">
        <is>
          <t>NORRTÄLJE</t>
        </is>
      </c>
      <c r="G671" t="n">
        <v>4</v>
      </c>
      <c r="H671" t="n">
        <v>0</v>
      </c>
      <c r="I671" t="n">
        <v>0</v>
      </c>
      <c r="J671" t="n">
        <v>0</v>
      </c>
      <c r="K671" t="n">
        <v>0</v>
      </c>
      <c r="L671" t="n">
        <v>0</v>
      </c>
      <c r="M671" t="n">
        <v>0</v>
      </c>
      <c r="N671" t="n">
        <v>0</v>
      </c>
      <c r="O671" t="n">
        <v>0</v>
      </c>
      <c r="P671" t="n">
        <v>0</v>
      </c>
      <c r="Q671" t="n">
        <v>0</v>
      </c>
      <c r="R671" s="2" t="inlineStr"/>
    </row>
    <row r="672" ht="15" customHeight="1">
      <c r="A672" t="inlineStr">
        <is>
          <t>A 6874-2026</t>
        </is>
      </c>
      <c r="B672" s="1" t="n">
        <v>46057.45295138889</v>
      </c>
      <c r="C672" s="1" t="n">
        <v>46182</v>
      </c>
      <c r="D672" t="inlineStr">
        <is>
          <t>STOCKHOLMS LÄN</t>
        </is>
      </c>
      <c r="E672" t="inlineStr">
        <is>
          <t>NORRTÄLJE</t>
        </is>
      </c>
      <c r="F672" t="inlineStr">
        <is>
          <t>Holmen skog AB</t>
        </is>
      </c>
      <c r="G672" t="n">
        <v>1.4</v>
      </c>
      <c r="H672" t="n">
        <v>0</v>
      </c>
      <c r="I672" t="n">
        <v>0</v>
      </c>
      <c r="J672" t="n">
        <v>0</v>
      </c>
      <c r="K672" t="n">
        <v>0</v>
      </c>
      <c r="L672" t="n">
        <v>0</v>
      </c>
      <c r="M672" t="n">
        <v>0</v>
      </c>
      <c r="N672" t="n">
        <v>0</v>
      </c>
      <c r="O672" t="n">
        <v>0</v>
      </c>
      <c r="P672" t="n">
        <v>0</v>
      </c>
      <c r="Q672" t="n">
        <v>0</v>
      </c>
      <c r="R672" s="2" t="inlineStr"/>
    </row>
    <row r="673" ht="15" customHeight="1">
      <c r="A673" t="inlineStr">
        <is>
          <t>A 49700-2023</t>
        </is>
      </c>
      <c r="B673" s="1" t="n">
        <v>45212</v>
      </c>
      <c r="C673" s="1" t="n">
        <v>46182</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32071-2023</t>
        </is>
      </c>
      <c r="B674" s="1" t="n">
        <v>45119.57728009259</v>
      </c>
      <c r="C674" s="1" t="n">
        <v>46182</v>
      </c>
      <c r="D674" t="inlineStr">
        <is>
          <t>STOCKHOLMS LÄN</t>
        </is>
      </c>
      <c r="E674" t="inlineStr">
        <is>
          <t>NORRTÄLJE</t>
        </is>
      </c>
      <c r="G674" t="n">
        <v>6.5</v>
      </c>
      <c r="H674" t="n">
        <v>0</v>
      </c>
      <c r="I674" t="n">
        <v>0</v>
      </c>
      <c r="J674" t="n">
        <v>0</v>
      </c>
      <c r="K674" t="n">
        <v>0</v>
      </c>
      <c r="L674" t="n">
        <v>0</v>
      </c>
      <c r="M674" t="n">
        <v>0</v>
      </c>
      <c r="N674" t="n">
        <v>0</v>
      </c>
      <c r="O674" t="n">
        <v>0</v>
      </c>
      <c r="P674" t="n">
        <v>0</v>
      </c>
      <c r="Q674" t="n">
        <v>0</v>
      </c>
      <c r="R674" s="2" t="inlineStr"/>
    </row>
    <row r="675" ht="15" customHeight="1">
      <c r="A675" t="inlineStr">
        <is>
          <t>A 1425-2025</t>
        </is>
      </c>
      <c r="B675" s="1" t="n">
        <v>45668.67446759259</v>
      </c>
      <c r="C675" s="1" t="n">
        <v>46182</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17775-2022</t>
        </is>
      </c>
      <c r="B676" s="1" t="n">
        <v>44682.78430555556</v>
      </c>
      <c r="C676" s="1" t="n">
        <v>46182</v>
      </c>
      <c r="D676" t="inlineStr">
        <is>
          <t>STOCKHOLMS LÄN</t>
        </is>
      </c>
      <c r="E676" t="inlineStr">
        <is>
          <t>NORRTÄLJE</t>
        </is>
      </c>
      <c r="G676" t="n">
        <v>4.7</v>
      </c>
      <c r="H676" t="n">
        <v>0</v>
      </c>
      <c r="I676" t="n">
        <v>0</v>
      </c>
      <c r="J676" t="n">
        <v>0</v>
      </c>
      <c r="K676" t="n">
        <v>0</v>
      </c>
      <c r="L676" t="n">
        <v>0</v>
      </c>
      <c r="M676" t="n">
        <v>0</v>
      </c>
      <c r="N676" t="n">
        <v>0</v>
      </c>
      <c r="O676" t="n">
        <v>0</v>
      </c>
      <c r="P676" t="n">
        <v>0</v>
      </c>
      <c r="Q676" t="n">
        <v>0</v>
      </c>
      <c r="R676" s="2" t="inlineStr"/>
    </row>
    <row r="677" ht="15" customHeight="1">
      <c r="A677" t="inlineStr">
        <is>
          <t>A 55599-2025</t>
        </is>
      </c>
      <c r="B677" s="1" t="n">
        <v>45971.76810185185</v>
      </c>
      <c r="C677" s="1" t="n">
        <v>46182</v>
      </c>
      <c r="D677" t="inlineStr">
        <is>
          <t>STOCKHOLMS LÄN</t>
        </is>
      </c>
      <c r="E677" t="inlineStr">
        <is>
          <t>NORRTÄLJE</t>
        </is>
      </c>
      <c r="F677" t="inlineStr">
        <is>
          <t>Holmen skog AB</t>
        </is>
      </c>
      <c r="G677" t="n">
        <v>6.4</v>
      </c>
      <c r="H677" t="n">
        <v>0</v>
      </c>
      <c r="I677" t="n">
        <v>0</v>
      </c>
      <c r="J677" t="n">
        <v>0</v>
      </c>
      <c r="K677" t="n">
        <v>0</v>
      </c>
      <c r="L677" t="n">
        <v>0</v>
      </c>
      <c r="M677" t="n">
        <v>0</v>
      </c>
      <c r="N677" t="n">
        <v>0</v>
      </c>
      <c r="O677" t="n">
        <v>0</v>
      </c>
      <c r="P677" t="n">
        <v>0</v>
      </c>
      <c r="Q677" t="n">
        <v>0</v>
      </c>
      <c r="R677" s="2" t="inlineStr"/>
    </row>
    <row r="678" ht="15" customHeight="1">
      <c r="A678" t="inlineStr">
        <is>
          <t>A 7308-2026</t>
        </is>
      </c>
      <c r="B678" s="1" t="n">
        <v>46058.66025462963</v>
      </c>
      <c r="C678" s="1" t="n">
        <v>46182</v>
      </c>
      <c r="D678" t="inlineStr">
        <is>
          <t>STOCKHOLMS LÄN</t>
        </is>
      </c>
      <c r="E678" t="inlineStr">
        <is>
          <t>NORRTÄLJE</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56114-2025</t>
        </is>
      </c>
      <c r="B679" s="1" t="n">
        <v>45973.74474537037</v>
      </c>
      <c r="C679" s="1" t="n">
        <v>46182</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7532-2026</t>
        </is>
      </c>
      <c r="B680" s="1" t="n">
        <v>46059</v>
      </c>
      <c r="C680" s="1" t="n">
        <v>46182</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38720-2022</t>
        </is>
      </c>
      <c r="B681" s="1" t="n">
        <v>44815.74539351852</v>
      </c>
      <c r="C681" s="1" t="n">
        <v>46182</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10215-2023</t>
        </is>
      </c>
      <c r="B682" s="1" t="n">
        <v>44986.5887962963</v>
      </c>
      <c r="C682" s="1" t="n">
        <v>46182</v>
      </c>
      <c r="D682" t="inlineStr">
        <is>
          <t>STOCKHOLMS LÄN</t>
        </is>
      </c>
      <c r="E682" t="inlineStr">
        <is>
          <t>NORRTÄLJE</t>
        </is>
      </c>
      <c r="G682" t="n">
        <v>6.5</v>
      </c>
      <c r="H682" t="n">
        <v>0</v>
      </c>
      <c r="I682" t="n">
        <v>0</v>
      </c>
      <c r="J682" t="n">
        <v>0</v>
      </c>
      <c r="K682" t="n">
        <v>0</v>
      </c>
      <c r="L682" t="n">
        <v>0</v>
      </c>
      <c r="M682" t="n">
        <v>0</v>
      </c>
      <c r="N682" t="n">
        <v>0</v>
      </c>
      <c r="O682" t="n">
        <v>0</v>
      </c>
      <c r="P682" t="n">
        <v>0</v>
      </c>
      <c r="Q682" t="n">
        <v>0</v>
      </c>
      <c r="R682" s="2" t="inlineStr"/>
    </row>
    <row r="683" ht="15" customHeight="1">
      <c r="A683" t="inlineStr">
        <is>
          <t>A 25609-2023</t>
        </is>
      </c>
      <c r="B683" s="1" t="n">
        <v>45089</v>
      </c>
      <c r="C683" s="1" t="n">
        <v>46182</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6537-2024</t>
        </is>
      </c>
      <c r="B684" s="1" t="n">
        <v>45341.39853009259</v>
      </c>
      <c r="C684" s="1" t="n">
        <v>46182</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8055-2026</t>
        </is>
      </c>
      <c r="B685" s="1" t="n">
        <v>46063.62002314815</v>
      </c>
      <c r="C685" s="1" t="n">
        <v>46182</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40175-2024</t>
        </is>
      </c>
      <c r="B686" s="1" t="n">
        <v>45554.55707175926</v>
      </c>
      <c r="C686" s="1" t="n">
        <v>46182</v>
      </c>
      <c r="D686" t="inlineStr">
        <is>
          <t>STOCKHOLMS LÄN</t>
        </is>
      </c>
      <c r="E686" t="inlineStr">
        <is>
          <t>NORRTÄLJE</t>
        </is>
      </c>
      <c r="G686" t="n">
        <v>7.7</v>
      </c>
      <c r="H686" t="n">
        <v>0</v>
      </c>
      <c r="I686" t="n">
        <v>0</v>
      </c>
      <c r="J686" t="n">
        <v>0</v>
      </c>
      <c r="K686" t="n">
        <v>0</v>
      </c>
      <c r="L686" t="n">
        <v>0</v>
      </c>
      <c r="M686" t="n">
        <v>0</v>
      </c>
      <c r="N686" t="n">
        <v>0</v>
      </c>
      <c r="O686" t="n">
        <v>0</v>
      </c>
      <c r="P686" t="n">
        <v>0</v>
      </c>
      <c r="Q686" t="n">
        <v>0</v>
      </c>
      <c r="R686" s="2" t="inlineStr"/>
    </row>
    <row r="687" ht="15" customHeight="1">
      <c r="A687" t="inlineStr">
        <is>
          <t>A 7793-2026</t>
        </is>
      </c>
      <c r="B687" s="1" t="n">
        <v>46062.59496527778</v>
      </c>
      <c r="C687" s="1" t="n">
        <v>46182</v>
      </c>
      <c r="D687" t="inlineStr">
        <is>
          <t>STOCKHOLMS LÄN</t>
        </is>
      </c>
      <c r="E687" t="inlineStr">
        <is>
          <t>NORRTÄLJE</t>
        </is>
      </c>
      <c r="F687" t="inlineStr">
        <is>
          <t>Holmen skog AB</t>
        </is>
      </c>
      <c r="G687" t="n">
        <v>3.8</v>
      </c>
      <c r="H687" t="n">
        <v>0</v>
      </c>
      <c r="I687" t="n">
        <v>0</v>
      </c>
      <c r="J687" t="n">
        <v>0</v>
      </c>
      <c r="K687" t="n">
        <v>0</v>
      </c>
      <c r="L687" t="n">
        <v>0</v>
      </c>
      <c r="M687" t="n">
        <v>0</v>
      </c>
      <c r="N687" t="n">
        <v>0</v>
      </c>
      <c r="O687" t="n">
        <v>0</v>
      </c>
      <c r="P687" t="n">
        <v>0</v>
      </c>
      <c r="Q687" t="n">
        <v>0</v>
      </c>
      <c r="R687" s="2" t="inlineStr"/>
    </row>
    <row r="688" ht="15" customHeight="1">
      <c r="A688" t="inlineStr">
        <is>
          <t>A 23056-2023</t>
        </is>
      </c>
      <c r="B688" s="1" t="n">
        <v>45075</v>
      </c>
      <c r="C688" s="1" t="n">
        <v>46182</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8096-2026</t>
        </is>
      </c>
      <c r="B689" s="1" t="n">
        <v>46063.714375</v>
      </c>
      <c r="C689" s="1" t="n">
        <v>46182</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47431-2023</t>
        </is>
      </c>
      <c r="B690" s="1" t="n">
        <v>45202</v>
      </c>
      <c r="C690" s="1" t="n">
        <v>46182</v>
      </c>
      <c r="D690" t="inlineStr">
        <is>
          <t>STOCKHOLMS LÄN</t>
        </is>
      </c>
      <c r="E690" t="inlineStr">
        <is>
          <t>NORRTÄLJE</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7582-2026</t>
        </is>
      </c>
      <c r="B691" s="1" t="n">
        <v>46061</v>
      </c>
      <c r="C691" s="1" t="n">
        <v>46182</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59499-2023</t>
        </is>
      </c>
      <c r="B692" s="1" t="n">
        <v>45254</v>
      </c>
      <c r="C692" s="1" t="n">
        <v>46182</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59468-2023</t>
        </is>
      </c>
      <c r="B693" s="1" t="n">
        <v>45254.41509259259</v>
      </c>
      <c r="C693" s="1" t="n">
        <v>46182</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8091-2026</t>
        </is>
      </c>
      <c r="B694" s="1" t="n">
        <v>46063.70944444444</v>
      </c>
      <c r="C694" s="1" t="n">
        <v>46182</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12532-2025</t>
        </is>
      </c>
      <c r="B695" s="1" t="n">
        <v>45730.69143518519</v>
      </c>
      <c r="C695" s="1" t="n">
        <v>46182</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5732-2023</t>
        </is>
      </c>
      <c r="B696" s="1" t="n">
        <v>44962</v>
      </c>
      <c r="C696" s="1" t="n">
        <v>46182</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56207-2025</t>
        </is>
      </c>
      <c r="B697" s="1" t="n">
        <v>45974.47329861111</v>
      </c>
      <c r="C697" s="1" t="n">
        <v>46182</v>
      </c>
      <c r="D697" t="inlineStr">
        <is>
          <t>STOCKHOLMS LÄN</t>
        </is>
      </c>
      <c r="E697" t="inlineStr">
        <is>
          <t>NORRTÄLJE</t>
        </is>
      </c>
      <c r="G697" t="n">
        <v>3.2</v>
      </c>
      <c r="H697" t="n">
        <v>0</v>
      </c>
      <c r="I697" t="n">
        <v>0</v>
      </c>
      <c r="J697" t="n">
        <v>0</v>
      </c>
      <c r="K697" t="n">
        <v>0</v>
      </c>
      <c r="L697" t="n">
        <v>0</v>
      </c>
      <c r="M697" t="n">
        <v>0</v>
      </c>
      <c r="N697" t="n">
        <v>0</v>
      </c>
      <c r="O697" t="n">
        <v>0</v>
      </c>
      <c r="P697" t="n">
        <v>0</v>
      </c>
      <c r="Q697" t="n">
        <v>0</v>
      </c>
      <c r="R697" s="2" t="inlineStr"/>
    </row>
    <row r="698" ht="15" customHeight="1">
      <c r="A698" t="inlineStr">
        <is>
          <t>A 10653-2022</t>
        </is>
      </c>
      <c r="B698" s="1" t="n">
        <v>44624.59434027778</v>
      </c>
      <c r="C698" s="1" t="n">
        <v>46182</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21729-2024</t>
        </is>
      </c>
      <c r="B699" s="1" t="n">
        <v>45442</v>
      </c>
      <c r="C699" s="1" t="n">
        <v>46182</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8410-2026</t>
        </is>
      </c>
      <c r="B700" s="1" t="n">
        <v>46065.34261574074</v>
      </c>
      <c r="C700" s="1" t="n">
        <v>46182</v>
      </c>
      <c r="D700" t="inlineStr">
        <is>
          <t>STOCKHOLMS LÄN</t>
        </is>
      </c>
      <c r="E700" t="inlineStr">
        <is>
          <t>NORRTÄLJE</t>
        </is>
      </c>
      <c r="G700" t="n">
        <v>3.9</v>
      </c>
      <c r="H700" t="n">
        <v>0</v>
      </c>
      <c r="I700" t="n">
        <v>0</v>
      </c>
      <c r="J700" t="n">
        <v>0</v>
      </c>
      <c r="K700" t="n">
        <v>0</v>
      </c>
      <c r="L700" t="n">
        <v>0</v>
      </c>
      <c r="M700" t="n">
        <v>0</v>
      </c>
      <c r="N700" t="n">
        <v>0</v>
      </c>
      <c r="O700" t="n">
        <v>0</v>
      </c>
      <c r="P700" t="n">
        <v>0</v>
      </c>
      <c r="Q700" t="n">
        <v>0</v>
      </c>
      <c r="R700" s="2" t="inlineStr"/>
    </row>
    <row r="701" ht="15" customHeight="1">
      <c r="A701" t="inlineStr">
        <is>
          <t>A 2287-2024</t>
        </is>
      </c>
      <c r="B701" s="1" t="n">
        <v>45310</v>
      </c>
      <c r="C701" s="1" t="n">
        <v>46182</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8489-2026</t>
        </is>
      </c>
      <c r="B702" s="1" t="n">
        <v>46065.48268518518</v>
      </c>
      <c r="C702" s="1" t="n">
        <v>46182</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50469-2022</t>
        </is>
      </c>
      <c r="B703" s="1" t="n">
        <v>44866.49827546296</v>
      </c>
      <c r="C703" s="1" t="n">
        <v>46182</v>
      </c>
      <c r="D703" t="inlineStr">
        <is>
          <t>STOCKHOLMS LÄN</t>
        </is>
      </c>
      <c r="E703" t="inlineStr">
        <is>
          <t>NORRTÄLJE</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51116-2022</t>
        </is>
      </c>
      <c r="B704" s="1" t="n">
        <v>44868.45741898148</v>
      </c>
      <c r="C704" s="1" t="n">
        <v>46182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8465-2026</t>
        </is>
      </c>
      <c r="B705" s="1" t="n">
        <v>46065.44141203703</v>
      </c>
      <c r="C705" s="1" t="n">
        <v>46182</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8454-2026</t>
        </is>
      </c>
      <c r="B706" s="1" t="n">
        <v>46065.42506944444</v>
      </c>
      <c r="C706" s="1" t="n">
        <v>46182</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row>
    <row r="707" ht="15" customHeight="1">
      <c r="A707" t="inlineStr">
        <is>
          <t>A 60217-2021</t>
        </is>
      </c>
      <c r="B707" s="1" t="n">
        <v>44495.5893287037</v>
      </c>
      <c r="C707" s="1" t="n">
        <v>46182</v>
      </c>
      <c r="D707" t="inlineStr">
        <is>
          <t>STOCKHOLMS LÄN</t>
        </is>
      </c>
      <c r="E707" t="inlineStr">
        <is>
          <t>NORRTÄLJE</t>
        </is>
      </c>
      <c r="G707" t="n">
        <v>4.3</v>
      </c>
      <c r="H707" t="n">
        <v>0</v>
      </c>
      <c r="I707" t="n">
        <v>0</v>
      </c>
      <c r="J707" t="n">
        <v>0</v>
      </c>
      <c r="K707" t="n">
        <v>0</v>
      </c>
      <c r="L707" t="n">
        <v>0</v>
      </c>
      <c r="M707" t="n">
        <v>0</v>
      </c>
      <c r="N707" t="n">
        <v>0</v>
      </c>
      <c r="O707" t="n">
        <v>0</v>
      </c>
      <c r="P707" t="n">
        <v>0</v>
      </c>
      <c r="Q707" t="n">
        <v>0</v>
      </c>
      <c r="R707" s="2" t="inlineStr"/>
    </row>
    <row r="708" ht="15" customHeight="1">
      <c r="A708" t="inlineStr">
        <is>
          <t>A 5839-2023</t>
        </is>
      </c>
      <c r="B708" s="1" t="n">
        <v>44963</v>
      </c>
      <c r="C708" s="1" t="n">
        <v>46182</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59712-2024</t>
        </is>
      </c>
      <c r="B709" s="1" t="n">
        <v>45639.45166666667</v>
      </c>
      <c r="C709" s="1" t="n">
        <v>46182</v>
      </c>
      <c r="D709" t="inlineStr">
        <is>
          <t>STOCKHOLMS LÄN</t>
        </is>
      </c>
      <c r="E709" t="inlineStr">
        <is>
          <t>NORRTÄLJE</t>
        </is>
      </c>
      <c r="G709" t="n">
        <v>4.4</v>
      </c>
      <c r="H709" t="n">
        <v>0</v>
      </c>
      <c r="I709" t="n">
        <v>0</v>
      </c>
      <c r="J709" t="n">
        <v>0</v>
      </c>
      <c r="K709" t="n">
        <v>0</v>
      </c>
      <c r="L709" t="n">
        <v>0</v>
      </c>
      <c r="M709" t="n">
        <v>0</v>
      </c>
      <c r="N709" t="n">
        <v>0</v>
      </c>
      <c r="O709" t="n">
        <v>0</v>
      </c>
      <c r="P709" t="n">
        <v>0</v>
      </c>
      <c r="Q709" t="n">
        <v>0</v>
      </c>
      <c r="R709" s="2" t="inlineStr"/>
    </row>
    <row r="710" ht="15" customHeight="1">
      <c r="A710" t="inlineStr">
        <is>
          <t>A 8989-2026</t>
        </is>
      </c>
      <c r="B710" s="1" t="n">
        <v>46069.45789351852</v>
      </c>
      <c r="C710" s="1" t="n">
        <v>46182</v>
      </c>
      <c r="D710" t="inlineStr">
        <is>
          <t>STOCKHOLMS LÄN</t>
        </is>
      </c>
      <c r="E710" t="inlineStr">
        <is>
          <t>NORRTÄLJE</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35127-2023</t>
        </is>
      </c>
      <c r="B711" s="1" t="n">
        <v>45145.51</v>
      </c>
      <c r="C711" s="1" t="n">
        <v>46182</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8985-2026</t>
        </is>
      </c>
      <c r="B712" s="1" t="n">
        <v>46069.45234953704</v>
      </c>
      <c r="C712" s="1" t="n">
        <v>46182</v>
      </c>
      <c r="D712" t="inlineStr">
        <is>
          <t>STOCKHOLMS LÄN</t>
        </is>
      </c>
      <c r="E712" t="inlineStr">
        <is>
          <t>NORRTÄLJE</t>
        </is>
      </c>
      <c r="F712" t="inlineStr">
        <is>
          <t>Holmen skog AB</t>
        </is>
      </c>
      <c r="G712" t="n">
        <v>1.1</v>
      </c>
      <c r="H712" t="n">
        <v>0</v>
      </c>
      <c r="I712" t="n">
        <v>0</v>
      </c>
      <c r="J712" t="n">
        <v>0</v>
      </c>
      <c r="K712" t="n">
        <v>0</v>
      </c>
      <c r="L712" t="n">
        <v>0</v>
      </c>
      <c r="M712" t="n">
        <v>0</v>
      </c>
      <c r="N712" t="n">
        <v>0</v>
      </c>
      <c r="O712" t="n">
        <v>0</v>
      </c>
      <c r="P712" t="n">
        <v>0</v>
      </c>
      <c r="Q712" t="n">
        <v>0</v>
      </c>
      <c r="R712" s="2" t="inlineStr"/>
    </row>
    <row r="713" ht="15" customHeight="1">
      <c r="A713" t="inlineStr">
        <is>
          <t>A 8962-2026</t>
        </is>
      </c>
      <c r="B713" s="1" t="n">
        <v>46069.41644675926</v>
      </c>
      <c r="C713" s="1" t="n">
        <v>46182</v>
      </c>
      <c r="D713" t="inlineStr">
        <is>
          <t>STOCKHOLMS LÄN</t>
        </is>
      </c>
      <c r="E713" t="inlineStr">
        <is>
          <t>NORRTÄLJE</t>
        </is>
      </c>
      <c r="F713" t="inlineStr">
        <is>
          <t>Holmen skog AB</t>
        </is>
      </c>
      <c r="G713" t="n">
        <v>4.1</v>
      </c>
      <c r="H713" t="n">
        <v>0</v>
      </c>
      <c r="I713" t="n">
        <v>0</v>
      </c>
      <c r="J713" t="n">
        <v>0</v>
      </c>
      <c r="K713" t="n">
        <v>0</v>
      </c>
      <c r="L713" t="n">
        <v>0</v>
      </c>
      <c r="M713" t="n">
        <v>0</v>
      </c>
      <c r="N713" t="n">
        <v>0</v>
      </c>
      <c r="O713" t="n">
        <v>0</v>
      </c>
      <c r="P713" t="n">
        <v>0</v>
      </c>
      <c r="Q713" t="n">
        <v>0</v>
      </c>
      <c r="R713" s="2" t="inlineStr"/>
    </row>
    <row r="714" ht="15" customHeight="1">
      <c r="A714" t="inlineStr">
        <is>
          <t>A 45255-2022</t>
        </is>
      </c>
      <c r="B714" s="1" t="n">
        <v>44840</v>
      </c>
      <c r="C714" s="1" t="n">
        <v>46182</v>
      </c>
      <c r="D714" t="inlineStr">
        <is>
          <t>STOCKHOLMS LÄN</t>
        </is>
      </c>
      <c r="E714" t="inlineStr">
        <is>
          <t>NORRTÄLJE</t>
        </is>
      </c>
      <c r="G714" t="n">
        <v>4.1</v>
      </c>
      <c r="H714" t="n">
        <v>0</v>
      </c>
      <c r="I714" t="n">
        <v>0</v>
      </c>
      <c r="J714" t="n">
        <v>0</v>
      </c>
      <c r="K714" t="n">
        <v>0</v>
      </c>
      <c r="L714" t="n">
        <v>0</v>
      </c>
      <c r="M714" t="n">
        <v>0</v>
      </c>
      <c r="N714" t="n">
        <v>0</v>
      </c>
      <c r="O714" t="n">
        <v>0</v>
      </c>
      <c r="P714" t="n">
        <v>0</v>
      </c>
      <c r="Q714" t="n">
        <v>0</v>
      </c>
      <c r="R714" s="2" t="inlineStr"/>
    </row>
    <row r="715" ht="15" customHeight="1">
      <c r="A715" t="inlineStr">
        <is>
          <t>A 38985-2022</t>
        </is>
      </c>
      <c r="B715" s="1" t="n">
        <v>44816</v>
      </c>
      <c r="C715" s="1" t="n">
        <v>46182</v>
      </c>
      <c r="D715" t="inlineStr">
        <is>
          <t>STOCKHOLMS LÄN</t>
        </is>
      </c>
      <c r="E715" t="inlineStr">
        <is>
          <t>NORRTÄLJE</t>
        </is>
      </c>
      <c r="G715" t="n">
        <v>10.1</v>
      </c>
      <c r="H715" t="n">
        <v>0</v>
      </c>
      <c r="I715" t="n">
        <v>0</v>
      </c>
      <c r="J715" t="n">
        <v>0</v>
      </c>
      <c r="K715" t="n">
        <v>0</v>
      </c>
      <c r="L715" t="n">
        <v>0</v>
      </c>
      <c r="M715" t="n">
        <v>0</v>
      </c>
      <c r="N715" t="n">
        <v>0</v>
      </c>
      <c r="O715" t="n">
        <v>0</v>
      </c>
      <c r="P715" t="n">
        <v>0</v>
      </c>
      <c r="Q715" t="n">
        <v>0</v>
      </c>
      <c r="R715" s="2" t="inlineStr"/>
    </row>
    <row r="716" ht="15" customHeight="1">
      <c r="A716" t="inlineStr">
        <is>
          <t>A 59893-2022</t>
        </is>
      </c>
      <c r="B716" s="1" t="n">
        <v>44908.77368055555</v>
      </c>
      <c r="C716" s="1" t="n">
        <v>46182</v>
      </c>
      <c r="D716" t="inlineStr">
        <is>
          <t>STOCKHOLMS LÄN</t>
        </is>
      </c>
      <c r="E716" t="inlineStr">
        <is>
          <t>NORRTÄLJE</t>
        </is>
      </c>
      <c r="G716" t="n">
        <v>3</v>
      </c>
      <c r="H716" t="n">
        <v>0</v>
      </c>
      <c r="I716" t="n">
        <v>0</v>
      </c>
      <c r="J716" t="n">
        <v>0</v>
      </c>
      <c r="K716" t="n">
        <v>0</v>
      </c>
      <c r="L716" t="n">
        <v>0</v>
      </c>
      <c r="M716" t="n">
        <v>0</v>
      </c>
      <c r="N716" t="n">
        <v>0</v>
      </c>
      <c r="O716" t="n">
        <v>0</v>
      </c>
      <c r="P716" t="n">
        <v>0</v>
      </c>
      <c r="Q716" t="n">
        <v>0</v>
      </c>
      <c r="R716" s="2" t="inlineStr"/>
    </row>
    <row r="717" ht="15" customHeight="1">
      <c r="A717" t="inlineStr">
        <is>
          <t>A 39905-2023</t>
        </is>
      </c>
      <c r="B717" s="1" t="n">
        <v>45168.44489583333</v>
      </c>
      <c r="C717" s="1" t="n">
        <v>46182</v>
      </c>
      <c r="D717" t="inlineStr">
        <is>
          <t>STOCKHOLMS LÄN</t>
        </is>
      </c>
      <c r="E717" t="inlineStr">
        <is>
          <t>NORRTÄLJE</t>
        </is>
      </c>
      <c r="F717" t="inlineStr">
        <is>
          <t>Holmen skog AB</t>
        </is>
      </c>
      <c r="G717" t="n">
        <v>1.5</v>
      </c>
      <c r="H717" t="n">
        <v>0</v>
      </c>
      <c r="I717" t="n">
        <v>0</v>
      </c>
      <c r="J717" t="n">
        <v>0</v>
      </c>
      <c r="K717" t="n">
        <v>0</v>
      </c>
      <c r="L717" t="n">
        <v>0</v>
      </c>
      <c r="M717" t="n">
        <v>0</v>
      </c>
      <c r="N717" t="n">
        <v>0</v>
      </c>
      <c r="O717" t="n">
        <v>0</v>
      </c>
      <c r="P717" t="n">
        <v>0</v>
      </c>
      <c r="Q717" t="n">
        <v>0</v>
      </c>
      <c r="R717" s="2" t="inlineStr"/>
    </row>
    <row r="718" ht="15" customHeight="1">
      <c r="A718" t="inlineStr">
        <is>
          <t>A 5645-2023</t>
        </is>
      </c>
      <c r="B718" s="1" t="n">
        <v>44960.60469907407</v>
      </c>
      <c r="C718" s="1" t="n">
        <v>46182</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58403-2025</t>
        </is>
      </c>
      <c r="B719" s="1" t="n">
        <v>45985.56777777777</v>
      </c>
      <c r="C719" s="1" t="n">
        <v>46182</v>
      </c>
      <c r="D719" t="inlineStr">
        <is>
          <t>STOCKHOLMS LÄN</t>
        </is>
      </c>
      <c r="E719" t="inlineStr">
        <is>
          <t>NORRTÄLJE</t>
        </is>
      </c>
      <c r="F719" t="inlineStr">
        <is>
          <t>Naturvårdsverket</t>
        </is>
      </c>
      <c r="G719" t="n">
        <v>13.5</v>
      </c>
      <c r="H719" t="n">
        <v>0</v>
      </c>
      <c r="I719" t="n">
        <v>0</v>
      </c>
      <c r="J719" t="n">
        <v>0</v>
      </c>
      <c r="K719" t="n">
        <v>0</v>
      </c>
      <c r="L719" t="n">
        <v>0</v>
      </c>
      <c r="M719" t="n">
        <v>0</v>
      </c>
      <c r="N719" t="n">
        <v>0</v>
      </c>
      <c r="O719" t="n">
        <v>0</v>
      </c>
      <c r="P719" t="n">
        <v>0</v>
      </c>
      <c r="Q719" t="n">
        <v>0</v>
      </c>
      <c r="R719" s="2" t="inlineStr"/>
    </row>
    <row r="720" ht="15" customHeight="1">
      <c r="A720" t="inlineStr">
        <is>
          <t>A 60529-2023</t>
        </is>
      </c>
      <c r="B720" s="1" t="n">
        <v>45259</v>
      </c>
      <c r="C720" s="1" t="n">
        <v>46182</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5665-2025</t>
        </is>
      </c>
      <c r="B721" s="1" t="n">
        <v>45693</v>
      </c>
      <c r="C721" s="1" t="n">
        <v>46182</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57953-2025</t>
        </is>
      </c>
      <c r="B722" s="1" t="n">
        <v>45982.35016203704</v>
      </c>
      <c r="C722" s="1" t="n">
        <v>46182</v>
      </c>
      <c r="D722" t="inlineStr">
        <is>
          <t>STOCKHOLMS LÄN</t>
        </is>
      </c>
      <c r="E722" t="inlineStr">
        <is>
          <t>NORRTÄLJE</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9720-2026</t>
        </is>
      </c>
      <c r="B723" s="1" t="n">
        <v>46072.45061342593</v>
      </c>
      <c r="C723" s="1" t="n">
        <v>46182</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10646-2026</t>
        </is>
      </c>
      <c r="B724" s="1" t="n">
        <v>46078.34157407407</v>
      </c>
      <c r="C724" s="1" t="n">
        <v>46182</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19706-2023</t>
        </is>
      </c>
      <c r="B725" s="1" t="n">
        <v>45051.455</v>
      </c>
      <c r="C725" s="1" t="n">
        <v>46182</v>
      </c>
      <c r="D725" t="inlineStr">
        <is>
          <t>STOCKHOLMS LÄN</t>
        </is>
      </c>
      <c r="E725" t="inlineStr">
        <is>
          <t>NORRTÄLJE</t>
        </is>
      </c>
      <c r="G725" t="n">
        <v>0.2</v>
      </c>
      <c r="H725" t="n">
        <v>0</v>
      </c>
      <c r="I725" t="n">
        <v>0</v>
      </c>
      <c r="J725" t="n">
        <v>0</v>
      </c>
      <c r="K725" t="n">
        <v>0</v>
      </c>
      <c r="L725" t="n">
        <v>0</v>
      </c>
      <c r="M725" t="n">
        <v>0</v>
      </c>
      <c r="N725" t="n">
        <v>0</v>
      </c>
      <c r="O725" t="n">
        <v>0</v>
      </c>
      <c r="P725" t="n">
        <v>0</v>
      </c>
      <c r="Q725" t="n">
        <v>0</v>
      </c>
      <c r="R725" s="2" t="inlineStr"/>
    </row>
    <row r="726" ht="15" customHeight="1">
      <c r="A726" t="inlineStr">
        <is>
          <t>A 10399-2026</t>
        </is>
      </c>
      <c r="B726" s="1" t="n">
        <v>46077</v>
      </c>
      <c r="C726" s="1" t="n">
        <v>46182</v>
      </c>
      <c r="D726" t="inlineStr">
        <is>
          <t>STOCKHOLMS LÄN</t>
        </is>
      </c>
      <c r="E726" t="inlineStr">
        <is>
          <t>NORRTÄLJE</t>
        </is>
      </c>
      <c r="F726" t="inlineStr">
        <is>
          <t>Övriga Aktiebolag</t>
        </is>
      </c>
      <c r="G726" t="n">
        <v>0.2</v>
      </c>
      <c r="H726" t="n">
        <v>0</v>
      </c>
      <c r="I726" t="n">
        <v>0</v>
      </c>
      <c r="J726" t="n">
        <v>0</v>
      </c>
      <c r="K726" t="n">
        <v>0</v>
      </c>
      <c r="L726" t="n">
        <v>0</v>
      </c>
      <c r="M726" t="n">
        <v>0</v>
      </c>
      <c r="N726" t="n">
        <v>0</v>
      </c>
      <c r="O726" t="n">
        <v>0</v>
      </c>
      <c r="P726" t="n">
        <v>0</v>
      </c>
      <c r="Q726" t="n">
        <v>0</v>
      </c>
      <c r="R726" s="2" t="inlineStr"/>
    </row>
    <row r="727" ht="15" customHeight="1">
      <c r="A727" t="inlineStr">
        <is>
          <t>A 58939-2025</t>
        </is>
      </c>
      <c r="B727" s="1" t="n">
        <v>45987.5681712963</v>
      </c>
      <c r="C727" s="1" t="n">
        <v>46182</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40761-2024</t>
        </is>
      </c>
      <c r="B728" s="1" t="n">
        <v>45558.46283564815</v>
      </c>
      <c r="C728" s="1" t="n">
        <v>46182</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16835-2022</t>
        </is>
      </c>
      <c r="B729" s="1" t="n">
        <v>44673</v>
      </c>
      <c r="C729" s="1" t="n">
        <v>46182</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10586-2026</t>
        </is>
      </c>
      <c r="B730" s="1" t="n">
        <v>46077.68192129629</v>
      </c>
      <c r="C730" s="1" t="n">
        <v>46182</v>
      </c>
      <c r="D730" t="inlineStr">
        <is>
          <t>STOCKHOLMS LÄN</t>
        </is>
      </c>
      <c r="E730" t="inlineStr">
        <is>
          <t>NORRTÄLJE</t>
        </is>
      </c>
      <c r="F730" t="inlineStr">
        <is>
          <t>Holmen skog AB</t>
        </is>
      </c>
      <c r="G730" t="n">
        <v>3.3</v>
      </c>
      <c r="H730" t="n">
        <v>0</v>
      </c>
      <c r="I730" t="n">
        <v>0</v>
      </c>
      <c r="J730" t="n">
        <v>0</v>
      </c>
      <c r="K730" t="n">
        <v>0</v>
      </c>
      <c r="L730" t="n">
        <v>0</v>
      </c>
      <c r="M730" t="n">
        <v>0</v>
      </c>
      <c r="N730" t="n">
        <v>0</v>
      </c>
      <c r="O730" t="n">
        <v>0</v>
      </c>
      <c r="P730" t="n">
        <v>0</v>
      </c>
      <c r="Q730" t="n">
        <v>0</v>
      </c>
      <c r="R730" s="2" t="inlineStr"/>
    </row>
    <row r="731" ht="15" customHeight="1">
      <c r="A731" t="inlineStr">
        <is>
          <t>A 10429-2026</t>
        </is>
      </c>
      <c r="B731" s="1" t="n">
        <v>46077.3822337963</v>
      </c>
      <c r="C731" s="1" t="n">
        <v>46182</v>
      </c>
      <c r="D731" t="inlineStr">
        <is>
          <t>STOCKHOLMS LÄN</t>
        </is>
      </c>
      <c r="E731" t="inlineStr">
        <is>
          <t>NORRTÄLJE</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46182</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10553-2026</t>
        </is>
      </c>
      <c r="B733" s="1" t="n">
        <v>46077.62944444444</v>
      </c>
      <c r="C733" s="1" t="n">
        <v>46182</v>
      </c>
      <c r="D733" t="inlineStr">
        <is>
          <t>STOCKHOLMS LÄN</t>
        </is>
      </c>
      <c r="E733" t="inlineStr">
        <is>
          <t>NORRTÄLJE</t>
        </is>
      </c>
      <c r="G733" t="n">
        <v>4.9</v>
      </c>
      <c r="H733" t="n">
        <v>0</v>
      </c>
      <c r="I733" t="n">
        <v>0</v>
      </c>
      <c r="J733" t="n">
        <v>0</v>
      </c>
      <c r="K733" t="n">
        <v>0</v>
      </c>
      <c r="L733" t="n">
        <v>0</v>
      </c>
      <c r="M733" t="n">
        <v>0</v>
      </c>
      <c r="N733" t="n">
        <v>0</v>
      </c>
      <c r="O733" t="n">
        <v>0</v>
      </c>
      <c r="P733" t="n">
        <v>0</v>
      </c>
      <c r="Q733" t="n">
        <v>0</v>
      </c>
      <c r="R733" s="2" t="inlineStr"/>
    </row>
    <row r="734" ht="15" customHeight="1">
      <c r="A734" t="inlineStr">
        <is>
          <t>A 10444-2026</t>
        </is>
      </c>
      <c r="B734" s="1" t="n">
        <v>46077.42230324074</v>
      </c>
      <c r="C734" s="1" t="n">
        <v>46182</v>
      </c>
      <c r="D734" t="inlineStr">
        <is>
          <t>STOCKHOLMS LÄN</t>
        </is>
      </c>
      <c r="E734" t="inlineStr">
        <is>
          <t>NORRTÄLJE</t>
        </is>
      </c>
      <c r="F734" t="inlineStr">
        <is>
          <t>Holmen skog AB</t>
        </is>
      </c>
      <c r="G734" t="n">
        <v>4.9</v>
      </c>
      <c r="H734" t="n">
        <v>0</v>
      </c>
      <c r="I734" t="n">
        <v>0</v>
      </c>
      <c r="J734" t="n">
        <v>0</v>
      </c>
      <c r="K734" t="n">
        <v>0</v>
      </c>
      <c r="L734" t="n">
        <v>0</v>
      </c>
      <c r="M734" t="n">
        <v>0</v>
      </c>
      <c r="N734" t="n">
        <v>0</v>
      </c>
      <c r="O734" t="n">
        <v>0</v>
      </c>
      <c r="P734" t="n">
        <v>0</v>
      </c>
      <c r="Q734" t="n">
        <v>0</v>
      </c>
      <c r="R734" s="2" t="inlineStr"/>
    </row>
    <row r="735" ht="15" customHeight="1">
      <c r="A735" t="inlineStr">
        <is>
          <t>A 58404-2023</t>
        </is>
      </c>
      <c r="B735" s="1" t="n">
        <v>45245</v>
      </c>
      <c r="C735" s="1" t="n">
        <v>46182</v>
      </c>
      <c r="D735" t="inlineStr">
        <is>
          <t>STOCKHOLMS LÄN</t>
        </is>
      </c>
      <c r="E735" t="inlineStr">
        <is>
          <t>NORRTÄLJE</t>
        </is>
      </c>
      <c r="G735" t="n">
        <v>53.5</v>
      </c>
      <c r="H735" t="n">
        <v>0</v>
      </c>
      <c r="I735" t="n">
        <v>0</v>
      </c>
      <c r="J735" t="n">
        <v>0</v>
      </c>
      <c r="K735" t="n">
        <v>0</v>
      </c>
      <c r="L735" t="n">
        <v>0</v>
      </c>
      <c r="M735" t="n">
        <v>0</v>
      </c>
      <c r="N735" t="n">
        <v>0</v>
      </c>
      <c r="O735" t="n">
        <v>0</v>
      </c>
      <c r="P735" t="n">
        <v>0</v>
      </c>
      <c r="Q735" t="n">
        <v>0</v>
      </c>
      <c r="R735" s="2" t="inlineStr"/>
    </row>
    <row r="736" ht="15" customHeight="1">
      <c r="A736" t="inlineStr">
        <is>
          <t>A 4553-2023</t>
        </is>
      </c>
      <c r="B736" s="1" t="n">
        <v>44956.65920138889</v>
      </c>
      <c r="C736" s="1" t="n">
        <v>46182</v>
      </c>
      <c r="D736" t="inlineStr">
        <is>
          <t>STOCKHOLMS LÄN</t>
        </is>
      </c>
      <c r="E736" t="inlineStr">
        <is>
          <t>NORRTÄLJE</t>
        </is>
      </c>
      <c r="G736" t="n">
        <v>7.5</v>
      </c>
      <c r="H736" t="n">
        <v>0</v>
      </c>
      <c r="I736" t="n">
        <v>0</v>
      </c>
      <c r="J736" t="n">
        <v>0</v>
      </c>
      <c r="K736" t="n">
        <v>0</v>
      </c>
      <c r="L736" t="n">
        <v>0</v>
      </c>
      <c r="M736" t="n">
        <v>0</v>
      </c>
      <c r="N736" t="n">
        <v>0</v>
      </c>
      <c r="O736" t="n">
        <v>0</v>
      </c>
      <c r="P736" t="n">
        <v>0</v>
      </c>
      <c r="Q736" t="n">
        <v>0</v>
      </c>
      <c r="R736" s="2" t="inlineStr"/>
    </row>
    <row r="737" ht="15" customHeight="1">
      <c r="A737" t="inlineStr">
        <is>
          <t>A 4593-2023</t>
        </is>
      </c>
      <c r="B737" s="1" t="n">
        <v>44956</v>
      </c>
      <c r="C737" s="1" t="n">
        <v>46182</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59914-2025</t>
        </is>
      </c>
      <c r="B738" s="1" t="n">
        <v>45993.37056712963</v>
      </c>
      <c r="C738" s="1" t="n">
        <v>46182</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16202-2022</t>
        </is>
      </c>
      <c r="B739" s="1" t="n">
        <v>44670</v>
      </c>
      <c r="C739" s="1" t="n">
        <v>46182</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59672-2025</t>
        </is>
      </c>
      <c r="B740" s="1" t="n">
        <v>45992.45884259259</v>
      </c>
      <c r="C740" s="1" t="n">
        <v>46182</v>
      </c>
      <c r="D740" t="inlineStr">
        <is>
          <t>STOCKHOLMS LÄN</t>
        </is>
      </c>
      <c r="E740" t="inlineStr">
        <is>
          <t>NORRTÄLJE</t>
        </is>
      </c>
      <c r="G740" t="n">
        <v>4</v>
      </c>
      <c r="H740" t="n">
        <v>0</v>
      </c>
      <c r="I740" t="n">
        <v>0</v>
      </c>
      <c r="J740" t="n">
        <v>0</v>
      </c>
      <c r="K740" t="n">
        <v>0</v>
      </c>
      <c r="L740" t="n">
        <v>0</v>
      </c>
      <c r="M740" t="n">
        <v>0</v>
      </c>
      <c r="N740" t="n">
        <v>0</v>
      </c>
      <c r="O740" t="n">
        <v>0</v>
      </c>
      <c r="P740" t="n">
        <v>0</v>
      </c>
      <c r="Q740" t="n">
        <v>0</v>
      </c>
      <c r="R740" s="2" t="inlineStr"/>
    </row>
    <row r="741" ht="15" customHeight="1">
      <c r="A741" t="inlineStr">
        <is>
          <t>A 51978-2023</t>
        </is>
      </c>
      <c r="B741" s="1" t="n">
        <v>45223</v>
      </c>
      <c r="C741" s="1" t="n">
        <v>46182</v>
      </c>
      <c r="D741" t="inlineStr">
        <is>
          <t>STOCKHOLMS LÄN</t>
        </is>
      </c>
      <c r="E741" t="inlineStr">
        <is>
          <t>NORRTÄLJE</t>
        </is>
      </c>
      <c r="G741" t="n">
        <v>1.9</v>
      </c>
      <c r="H741" t="n">
        <v>0</v>
      </c>
      <c r="I741" t="n">
        <v>0</v>
      </c>
      <c r="J741" t="n">
        <v>0</v>
      </c>
      <c r="K741" t="n">
        <v>0</v>
      </c>
      <c r="L741" t="n">
        <v>0</v>
      </c>
      <c r="M741" t="n">
        <v>0</v>
      </c>
      <c r="N741" t="n">
        <v>0</v>
      </c>
      <c r="O741" t="n">
        <v>0</v>
      </c>
      <c r="P741" t="n">
        <v>0</v>
      </c>
      <c r="Q741" t="n">
        <v>0</v>
      </c>
      <c r="R741" s="2" t="inlineStr"/>
    </row>
    <row r="742" ht="15" customHeight="1">
      <c r="A742" t="inlineStr">
        <is>
          <t>A 18092-2022</t>
        </is>
      </c>
      <c r="B742" s="1" t="n">
        <v>44684</v>
      </c>
      <c r="C742" s="1" t="n">
        <v>46182</v>
      </c>
      <c r="D742" t="inlineStr">
        <is>
          <t>STOCKHOLMS LÄN</t>
        </is>
      </c>
      <c r="E742" t="inlineStr">
        <is>
          <t>NORRTÄLJE</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55018-2024</t>
        </is>
      </c>
      <c r="B743" s="1" t="n">
        <v>45621.35712962963</v>
      </c>
      <c r="C743" s="1" t="n">
        <v>46182</v>
      </c>
      <c r="D743" t="inlineStr">
        <is>
          <t>STOCKHOLMS LÄN</t>
        </is>
      </c>
      <c r="E743" t="inlineStr">
        <is>
          <t>NORRTÄLJE</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59907-2025</t>
        </is>
      </c>
      <c r="B744" s="1" t="n">
        <v>45993.35350694445</v>
      </c>
      <c r="C744" s="1" t="n">
        <v>46182</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50136-2023</t>
        </is>
      </c>
      <c r="B745" s="1" t="n">
        <v>45215</v>
      </c>
      <c r="C745" s="1" t="n">
        <v>46182</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25656-2023</t>
        </is>
      </c>
      <c r="B746" s="1" t="n">
        <v>45089</v>
      </c>
      <c r="C746" s="1" t="n">
        <v>46182</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6003-2025</t>
        </is>
      </c>
      <c r="B747" s="1" t="n">
        <v>45695.57881944445</v>
      </c>
      <c r="C747" s="1" t="n">
        <v>46182</v>
      </c>
      <c r="D747" t="inlineStr">
        <is>
          <t>STOCKHOLMS LÄN</t>
        </is>
      </c>
      <c r="E747" t="inlineStr">
        <is>
          <t>NORRTÄLJE</t>
        </is>
      </c>
      <c r="F747" t="inlineStr">
        <is>
          <t>Holmen skog AB</t>
        </is>
      </c>
      <c r="G747" t="n">
        <v>2.3</v>
      </c>
      <c r="H747" t="n">
        <v>0</v>
      </c>
      <c r="I747" t="n">
        <v>0</v>
      </c>
      <c r="J747" t="n">
        <v>0</v>
      </c>
      <c r="K747" t="n">
        <v>0</v>
      </c>
      <c r="L747" t="n">
        <v>0</v>
      </c>
      <c r="M747" t="n">
        <v>0</v>
      </c>
      <c r="N747" t="n">
        <v>0</v>
      </c>
      <c r="O747" t="n">
        <v>0</v>
      </c>
      <c r="P747" t="n">
        <v>0</v>
      </c>
      <c r="Q747" t="n">
        <v>0</v>
      </c>
      <c r="R747" s="2" t="inlineStr"/>
    </row>
    <row r="748" ht="15" customHeight="1">
      <c r="A748" t="inlineStr">
        <is>
          <t>A 59310-2023</t>
        </is>
      </c>
      <c r="B748" s="1" t="n">
        <v>45253.61146990741</v>
      </c>
      <c r="C748" s="1" t="n">
        <v>46182</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9329-2023</t>
        </is>
      </c>
      <c r="B749" s="1" t="n">
        <v>44980</v>
      </c>
      <c r="C749" s="1" t="n">
        <v>46182</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11902-2024</t>
        </is>
      </c>
      <c r="B750" s="1" t="n">
        <v>45376.55704861111</v>
      </c>
      <c r="C750" s="1" t="n">
        <v>46182</v>
      </c>
      <c r="D750" t="inlineStr">
        <is>
          <t>STOCKHOLMS LÄN</t>
        </is>
      </c>
      <c r="E750" t="inlineStr">
        <is>
          <t>NORRTÄLJE</t>
        </is>
      </c>
      <c r="G750" t="n">
        <v>2.5</v>
      </c>
      <c r="H750" t="n">
        <v>0</v>
      </c>
      <c r="I750" t="n">
        <v>0</v>
      </c>
      <c r="J750" t="n">
        <v>0</v>
      </c>
      <c r="K750" t="n">
        <v>0</v>
      </c>
      <c r="L750" t="n">
        <v>0</v>
      </c>
      <c r="M750" t="n">
        <v>0</v>
      </c>
      <c r="N750" t="n">
        <v>0</v>
      </c>
      <c r="O750" t="n">
        <v>0</v>
      </c>
      <c r="P750" t="n">
        <v>0</v>
      </c>
      <c r="Q750" t="n">
        <v>0</v>
      </c>
      <c r="R750" s="2" t="inlineStr"/>
    </row>
    <row r="751" ht="15" customHeight="1">
      <c r="A751" t="inlineStr">
        <is>
          <t>A 41335-2023</t>
        </is>
      </c>
      <c r="B751" s="1" t="n">
        <v>45174.68702546296</v>
      </c>
      <c r="C751" s="1" t="n">
        <v>46182</v>
      </c>
      <c r="D751" t="inlineStr">
        <is>
          <t>STOCKHOLMS LÄN</t>
        </is>
      </c>
      <c r="E751" t="inlineStr">
        <is>
          <t>NORRTÄLJE</t>
        </is>
      </c>
      <c r="F751" t="inlineStr">
        <is>
          <t>Holmen skog AB</t>
        </is>
      </c>
      <c r="G751" t="n">
        <v>4.4</v>
      </c>
      <c r="H751" t="n">
        <v>0</v>
      </c>
      <c r="I751" t="n">
        <v>0</v>
      </c>
      <c r="J751" t="n">
        <v>0</v>
      </c>
      <c r="K751" t="n">
        <v>0</v>
      </c>
      <c r="L751" t="n">
        <v>0</v>
      </c>
      <c r="M751" t="n">
        <v>0</v>
      </c>
      <c r="N751" t="n">
        <v>0</v>
      </c>
      <c r="O751" t="n">
        <v>0</v>
      </c>
      <c r="P751" t="n">
        <v>0</v>
      </c>
      <c r="Q751" t="n">
        <v>0</v>
      </c>
      <c r="R751" s="2" t="inlineStr"/>
    </row>
    <row r="752" ht="15" customHeight="1">
      <c r="A752" t="inlineStr">
        <is>
          <t>A 38049-2023</t>
        </is>
      </c>
      <c r="B752" s="1" t="n">
        <v>45159</v>
      </c>
      <c r="C752" s="1" t="n">
        <v>46182</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59924-2025</t>
        </is>
      </c>
      <c r="B753" s="1" t="n">
        <v>45993.38928240741</v>
      </c>
      <c r="C753" s="1" t="n">
        <v>46182</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33040-2021</t>
        </is>
      </c>
      <c r="B754" s="1" t="n">
        <v>44376.50728009259</v>
      </c>
      <c r="C754" s="1" t="n">
        <v>46182</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33053-2021</t>
        </is>
      </c>
      <c r="B755" s="1" t="n">
        <v>44376</v>
      </c>
      <c r="C755" s="1" t="n">
        <v>46182</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43150-2023</t>
        </is>
      </c>
      <c r="B756" s="1" t="n">
        <v>45183</v>
      </c>
      <c r="C756" s="1" t="n">
        <v>46182</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60253-2025</t>
        </is>
      </c>
      <c r="B757" s="1" t="n">
        <v>45994.59827546297</v>
      </c>
      <c r="C757" s="1" t="n">
        <v>46182</v>
      </c>
      <c r="D757" t="inlineStr">
        <is>
          <t>STOCKHOLMS LÄN</t>
        </is>
      </c>
      <c r="E757" t="inlineStr">
        <is>
          <t>NORRTÄLJE</t>
        </is>
      </c>
      <c r="F757" t="inlineStr">
        <is>
          <t>Holmen skog AB</t>
        </is>
      </c>
      <c r="G757" t="n">
        <v>3.6</v>
      </c>
      <c r="H757" t="n">
        <v>0</v>
      </c>
      <c r="I757" t="n">
        <v>0</v>
      </c>
      <c r="J757" t="n">
        <v>0</v>
      </c>
      <c r="K757" t="n">
        <v>0</v>
      </c>
      <c r="L757" t="n">
        <v>0</v>
      </c>
      <c r="M757" t="n">
        <v>0</v>
      </c>
      <c r="N757" t="n">
        <v>0</v>
      </c>
      <c r="O757" t="n">
        <v>0</v>
      </c>
      <c r="P757" t="n">
        <v>0</v>
      </c>
      <c r="Q757" t="n">
        <v>0</v>
      </c>
      <c r="R757" s="2" t="inlineStr"/>
    </row>
    <row r="758" ht="15" customHeight="1">
      <c r="A758" t="inlineStr">
        <is>
          <t>A 54259-2023</t>
        </is>
      </c>
      <c r="B758" s="1" t="n">
        <v>45232</v>
      </c>
      <c r="C758" s="1" t="n">
        <v>46182</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4183-2025</t>
        </is>
      </c>
      <c r="B759" s="1" t="n">
        <v>45685.44592592592</v>
      </c>
      <c r="C759" s="1" t="n">
        <v>46182</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11648-2026</t>
        </is>
      </c>
      <c r="B760" s="1" t="n">
        <v>46084.51575231482</v>
      </c>
      <c r="C760" s="1" t="n">
        <v>46182</v>
      </c>
      <c r="D760" t="inlineStr">
        <is>
          <t>STOCKHOLMS LÄN</t>
        </is>
      </c>
      <c r="E760" t="inlineStr">
        <is>
          <t>NORRTÄLJE</t>
        </is>
      </c>
      <c r="G760" t="n">
        <v>4.1</v>
      </c>
      <c r="H760" t="n">
        <v>0</v>
      </c>
      <c r="I760" t="n">
        <v>0</v>
      </c>
      <c r="J760" t="n">
        <v>0</v>
      </c>
      <c r="K760" t="n">
        <v>0</v>
      </c>
      <c r="L760" t="n">
        <v>0</v>
      </c>
      <c r="M760" t="n">
        <v>0</v>
      </c>
      <c r="N760" t="n">
        <v>0</v>
      </c>
      <c r="O760" t="n">
        <v>0</v>
      </c>
      <c r="P760" t="n">
        <v>0</v>
      </c>
      <c r="Q760" t="n">
        <v>0</v>
      </c>
      <c r="R760" s="2" t="inlineStr"/>
    </row>
    <row r="761" ht="15" customHeight="1">
      <c r="A761" t="inlineStr">
        <is>
          <t>A 60214-2025</t>
        </is>
      </c>
      <c r="B761" s="1" t="n">
        <v>45994.53761574074</v>
      </c>
      <c r="C761" s="1" t="n">
        <v>46182</v>
      </c>
      <c r="D761" t="inlineStr">
        <is>
          <t>STOCKHOLMS LÄN</t>
        </is>
      </c>
      <c r="E761" t="inlineStr">
        <is>
          <t>NORRTÄLJE</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60223-2025</t>
        </is>
      </c>
      <c r="B762" s="1" t="n">
        <v>45994.54497685185</v>
      </c>
      <c r="C762" s="1" t="n">
        <v>46182</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24522-2023</t>
        </is>
      </c>
      <c r="B763" s="1" t="n">
        <v>45082.69179398148</v>
      </c>
      <c r="C763" s="1" t="n">
        <v>46182</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25625-2023</t>
        </is>
      </c>
      <c r="B764" s="1" t="n">
        <v>45089</v>
      </c>
      <c r="C764" s="1" t="n">
        <v>46182</v>
      </c>
      <c r="D764" t="inlineStr">
        <is>
          <t>STOCKHOLMS LÄN</t>
        </is>
      </c>
      <c r="E764" t="inlineStr">
        <is>
          <t>NORRTÄLJE</t>
        </is>
      </c>
      <c r="G764" t="n">
        <v>5.5</v>
      </c>
      <c r="H764" t="n">
        <v>0</v>
      </c>
      <c r="I764" t="n">
        <v>0</v>
      </c>
      <c r="J764" t="n">
        <v>0</v>
      </c>
      <c r="K764" t="n">
        <v>0</v>
      </c>
      <c r="L764" t="n">
        <v>0</v>
      </c>
      <c r="M764" t="n">
        <v>0</v>
      </c>
      <c r="N764" t="n">
        <v>0</v>
      </c>
      <c r="O764" t="n">
        <v>0</v>
      </c>
      <c r="P764" t="n">
        <v>0</v>
      </c>
      <c r="Q764" t="n">
        <v>0</v>
      </c>
      <c r="R764" s="2" t="inlineStr"/>
    </row>
    <row r="765" ht="15" customHeight="1">
      <c r="A765" t="inlineStr">
        <is>
          <t>A 27381-2024</t>
        </is>
      </c>
      <c r="B765" s="1" t="n">
        <v>45473.94501157408</v>
      </c>
      <c r="C765" s="1" t="n">
        <v>46182</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37147-2023</t>
        </is>
      </c>
      <c r="B766" s="1" t="n">
        <v>45155</v>
      </c>
      <c r="C766" s="1" t="n">
        <v>46182</v>
      </c>
      <c r="D766" t="inlineStr">
        <is>
          <t>STOCKHOLMS LÄN</t>
        </is>
      </c>
      <c r="E766" t="inlineStr">
        <is>
          <t>NORRTÄLJE</t>
        </is>
      </c>
      <c r="G766" t="n">
        <v>8</v>
      </c>
      <c r="H766" t="n">
        <v>0</v>
      </c>
      <c r="I766" t="n">
        <v>0</v>
      </c>
      <c r="J766" t="n">
        <v>0</v>
      </c>
      <c r="K766" t="n">
        <v>0</v>
      </c>
      <c r="L766" t="n">
        <v>0</v>
      </c>
      <c r="M766" t="n">
        <v>0</v>
      </c>
      <c r="N766" t="n">
        <v>0</v>
      </c>
      <c r="O766" t="n">
        <v>0</v>
      </c>
      <c r="P766" t="n">
        <v>0</v>
      </c>
      <c r="Q766" t="n">
        <v>0</v>
      </c>
      <c r="R766" s="2" t="inlineStr"/>
    </row>
    <row r="767" ht="15" customHeight="1">
      <c r="A767" t="inlineStr">
        <is>
          <t>A 7186-2024</t>
        </is>
      </c>
      <c r="B767" s="1" t="n">
        <v>45344</v>
      </c>
      <c r="C767" s="1" t="n">
        <v>46182</v>
      </c>
      <c r="D767" t="inlineStr">
        <is>
          <t>STOCKHOLMS LÄN</t>
        </is>
      </c>
      <c r="E767" t="inlineStr">
        <is>
          <t>NORRTÄLJE</t>
        </is>
      </c>
      <c r="G767" t="n">
        <v>4.9</v>
      </c>
      <c r="H767" t="n">
        <v>0</v>
      </c>
      <c r="I767" t="n">
        <v>0</v>
      </c>
      <c r="J767" t="n">
        <v>0</v>
      </c>
      <c r="K767" t="n">
        <v>0</v>
      </c>
      <c r="L767" t="n">
        <v>0</v>
      </c>
      <c r="M767" t="n">
        <v>0</v>
      </c>
      <c r="N767" t="n">
        <v>0</v>
      </c>
      <c r="O767" t="n">
        <v>0</v>
      </c>
      <c r="P767" t="n">
        <v>0</v>
      </c>
      <c r="Q767" t="n">
        <v>0</v>
      </c>
      <c r="R767" s="2" t="inlineStr"/>
    </row>
    <row r="768" ht="15" customHeight="1">
      <c r="A768" t="inlineStr">
        <is>
          <t>A 60649-2025</t>
        </is>
      </c>
      <c r="B768" s="1" t="n">
        <v>45996.4560300926</v>
      </c>
      <c r="C768" s="1" t="n">
        <v>46182</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50602-2021</t>
        </is>
      </c>
      <c r="B769" s="1" t="n">
        <v>44459</v>
      </c>
      <c r="C769" s="1" t="n">
        <v>46182</v>
      </c>
      <c r="D769" t="inlineStr">
        <is>
          <t>STOCKHOLMS LÄN</t>
        </is>
      </c>
      <c r="E769" t="inlineStr">
        <is>
          <t>NORRTÄLJE</t>
        </is>
      </c>
      <c r="F769" t="inlineStr">
        <is>
          <t>Holmen skog AB</t>
        </is>
      </c>
      <c r="G769" t="n">
        <v>2</v>
      </c>
      <c r="H769" t="n">
        <v>0</v>
      </c>
      <c r="I769" t="n">
        <v>0</v>
      </c>
      <c r="J769" t="n">
        <v>0</v>
      </c>
      <c r="K769" t="n">
        <v>0</v>
      </c>
      <c r="L769" t="n">
        <v>0</v>
      </c>
      <c r="M769" t="n">
        <v>0</v>
      </c>
      <c r="N769" t="n">
        <v>0</v>
      </c>
      <c r="O769" t="n">
        <v>0</v>
      </c>
      <c r="P769" t="n">
        <v>0</v>
      </c>
      <c r="Q769" t="n">
        <v>0</v>
      </c>
      <c r="R769" s="2" t="inlineStr"/>
    </row>
    <row r="770" ht="15" customHeight="1">
      <c r="A770" t="inlineStr">
        <is>
          <t>A 26365-2024</t>
        </is>
      </c>
      <c r="B770" s="1" t="n">
        <v>45469</v>
      </c>
      <c r="C770" s="1" t="n">
        <v>46182</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23265-2023</t>
        </is>
      </c>
      <c r="B771" s="1" t="n">
        <v>45075.90703703704</v>
      </c>
      <c r="C771" s="1" t="n">
        <v>46182</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60948-2025</t>
        </is>
      </c>
      <c r="B772" s="1" t="n">
        <v>45999.650625</v>
      </c>
      <c r="C772" s="1" t="n">
        <v>46182</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26117-2024</t>
        </is>
      </c>
      <c r="B773" s="1" t="n">
        <v>45468.45877314815</v>
      </c>
      <c r="C773" s="1" t="n">
        <v>46182</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12234-2026</t>
        </is>
      </c>
      <c r="B774" s="1" t="n">
        <v>46087.4091087963</v>
      </c>
      <c r="C774" s="1" t="n">
        <v>46182</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26640-2023</t>
        </is>
      </c>
      <c r="B775" s="1" t="n">
        <v>45092</v>
      </c>
      <c r="C775" s="1" t="n">
        <v>46182</v>
      </c>
      <c r="D775" t="inlineStr">
        <is>
          <t>STOCKHOLMS LÄN</t>
        </is>
      </c>
      <c r="E775" t="inlineStr">
        <is>
          <t>NORRTÄLJE</t>
        </is>
      </c>
      <c r="G775" t="n">
        <v>5.7</v>
      </c>
      <c r="H775" t="n">
        <v>0</v>
      </c>
      <c r="I775" t="n">
        <v>0</v>
      </c>
      <c r="J775" t="n">
        <v>0</v>
      </c>
      <c r="K775" t="n">
        <v>0</v>
      </c>
      <c r="L775" t="n">
        <v>0</v>
      </c>
      <c r="M775" t="n">
        <v>0</v>
      </c>
      <c r="N775" t="n">
        <v>0</v>
      </c>
      <c r="O775" t="n">
        <v>0</v>
      </c>
      <c r="P775" t="n">
        <v>0</v>
      </c>
      <c r="Q775" t="n">
        <v>0</v>
      </c>
      <c r="R775" s="2" t="inlineStr"/>
    </row>
    <row r="776" ht="15" customHeight="1">
      <c r="A776" t="inlineStr">
        <is>
          <t>A 31827-2023</t>
        </is>
      </c>
      <c r="B776" s="1" t="n">
        <v>45118</v>
      </c>
      <c r="C776" s="1" t="n">
        <v>46182</v>
      </c>
      <c r="D776" t="inlineStr">
        <is>
          <t>STOCKHOLMS LÄN</t>
        </is>
      </c>
      <c r="E776" t="inlineStr">
        <is>
          <t>NORRTÄLJE</t>
        </is>
      </c>
      <c r="F776" t="inlineStr">
        <is>
          <t>Kyrkan</t>
        </is>
      </c>
      <c r="G776" t="n">
        <v>4.9</v>
      </c>
      <c r="H776" t="n">
        <v>0</v>
      </c>
      <c r="I776" t="n">
        <v>0</v>
      </c>
      <c r="J776" t="n">
        <v>0</v>
      </c>
      <c r="K776" t="n">
        <v>0</v>
      </c>
      <c r="L776" t="n">
        <v>0</v>
      </c>
      <c r="M776" t="n">
        <v>0</v>
      </c>
      <c r="N776" t="n">
        <v>0</v>
      </c>
      <c r="O776" t="n">
        <v>0</v>
      </c>
      <c r="P776" t="n">
        <v>0</v>
      </c>
      <c r="Q776" t="n">
        <v>0</v>
      </c>
      <c r="R776" s="2" t="inlineStr"/>
    </row>
    <row r="777" ht="15" customHeight="1">
      <c r="A777" t="inlineStr">
        <is>
          <t>A 58993-2022</t>
        </is>
      </c>
      <c r="B777" s="1" t="n">
        <v>44903</v>
      </c>
      <c r="C777" s="1" t="n">
        <v>46182</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28900-2022</t>
        </is>
      </c>
      <c r="B778" s="1" t="n">
        <v>44749.55258101852</v>
      </c>
      <c r="C778" s="1" t="n">
        <v>46182</v>
      </c>
      <c r="D778" t="inlineStr">
        <is>
          <t>STOCKHOLMS LÄN</t>
        </is>
      </c>
      <c r="E778" t="inlineStr">
        <is>
          <t>NORRTÄLJE</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61160-2025</t>
        </is>
      </c>
      <c r="B779" s="1" t="n">
        <v>46000.55262731481</v>
      </c>
      <c r="C779" s="1" t="n">
        <v>46182</v>
      </c>
      <c r="D779" t="inlineStr">
        <is>
          <t>STOCKHOLMS LÄN</t>
        </is>
      </c>
      <c r="E779" t="inlineStr">
        <is>
          <t>NORRTÄLJE</t>
        </is>
      </c>
      <c r="G779" t="n">
        <v>5.3</v>
      </c>
      <c r="H779" t="n">
        <v>0</v>
      </c>
      <c r="I779" t="n">
        <v>0</v>
      </c>
      <c r="J779" t="n">
        <v>0</v>
      </c>
      <c r="K779" t="n">
        <v>0</v>
      </c>
      <c r="L779" t="n">
        <v>0</v>
      </c>
      <c r="M779" t="n">
        <v>0</v>
      </c>
      <c r="N779" t="n">
        <v>0</v>
      </c>
      <c r="O779" t="n">
        <v>0</v>
      </c>
      <c r="P779" t="n">
        <v>0</v>
      </c>
      <c r="Q779" t="n">
        <v>0</v>
      </c>
      <c r="R779" s="2" t="inlineStr"/>
    </row>
    <row r="780" ht="15" customHeight="1">
      <c r="A780" t="inlineStr">
        <is>
          <t>A 1847-2023</t>
        </is>
      </c>
      <c r="B780" s="1" t="n">
        <v>44938</v>
      </c>
      <c r="C780" s="1" t="n">
        <v>46182</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58297-2023</t>
        </is>
      </c>
      <c r="B781" s="1" t="n">
        <v>45245</v>
      </c>
      <c r="C781" s="1" t="n">
        <v>46182</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20304-2023</t>
        </is>
      </c>
      <c r="B782" s="1" t="n">
        <v>45056</v>
      </c>
      <c r="C782" s="1" t="n">
        <v>46182</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22157-2023</t>
        </is>
      </c>
      <c r="B783" s="1" t="n">
        <v>45069</v>
      </c>
      <c r="C783" s="1" t="n">
        <v>46182</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c r="U783">
        <f>HYPERLINK("https://klasma.github.io/Logging_0188/knärot/A 22157-2023 karta knärot.png", "A 22157-2023")</f>
        <v/>
      </c>
      <c r="V783">
        <f>HYPERLINK("https://klasma.github.io/Logging_0188/klagomål/A 22157-2023 FSC-klagomål.docx", "A 22157-2023")</f>
        <v/>
      </c>
      <c r="W783">
        <f>HYPERLINK("https://klasma.github.io/Logging_0188/klagomålsmail/A 22157-2023 FSC-klagomål mail.docx", "A 22157-2023")</f>
        <v/>
      </c>
      <c r="X783">
        <f>HYPERLINK("https://klasma.github.io/Logging_0188/tillsyn/A 22157-2023 tillsynsbegäran.docx", "A 22157-2023")</f>
        <v/>
      </c>
      <c r="Y783">
        <f>HYPERLINK("https://klasma.github.io/Logging_0188/tillsynsmail/A 22157-2023 tillsynsbegäran mail.docx", "A 22157-2023")</f>
        <v/>
      </c>
    </row>
    <row r="784" ht="15" customHeight="1">
      <c r="A784" t="inlineStr">
        <is>
          <t>A 61430-2025</t>
        </is>
      </c>
      <c r="B784" s="1" t="n">
        <v>46001.55583333333</v>
      </c>
      <c r="C784" s="1" t="n">
        <v>46182</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61289-2025</t>
        </is>
      </c>
      <c r="B785" s="1" t="n">
        <v>46000.73659722223</v>
      </c>
      <c r="C785" s="1" t="n">
        <v>46182</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61769-2025</t>
        </is>
      </c>
      <c r="B786" s="1" t="n">
        <v>46002.64556712963</v>
      </c>
      <c r="C786" s="1" t="n">
        <v>46182</v>
      </c>
      <c r="D786" t="inlineStr">
        <is>
          <t>STOCKHOLMS LÄN</t>
        </is>
      </c>
      <c r="E786" t="inlineStr">
        <is>
          <t>NORRTÄLJE</t>
        </is>
      </c>
      <c r="G786" t="n">
        <v>2.9</v>
      </c>
      <c r="H786" t="n">
        <v>0</v>
      </c>
      <c r="I786" t="n">
        <v>0</v>
      </c>
      <c r="J786" t="n">
        <v>0</v>
      </c>
      <c r="K786" t="n">
        <v>0</v>
      </c>
      <c r="L786" t="n">
        <v>0</v>
      </c>
      <c r="M786" t="n">
        <v>0</v>
      </c>
      <c r="N786" t="n">
        <v>0</v>
      </c>
      <c r="O786" t="n">
        <v>0</v>
      </c>
      <c r="P786" t="n">
        <v>0</v>
      </c>
      <c r="Q786" t="n">
        <v>0</v>
      </c>
      <c r="R786" s="2" t="inlineStr"/>
    </row>
    <row r="787" ht="15" customHeight="1">
      <c r="A787" t="inlineStr">
        <is>
          <t>A 61764-2025</t>
        </is>
      </c>
      <c r="B787" s="1" t="n">
        <v>46002.62763888889</v>
      </c>
      <c r="C787" s="1" t="n">
        <v>46182</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33279-2025</t>
        </is>
      </c>
      <c r="B788" s="1" t="n">
        <v>45840</v>
      </c>
      <c r="C788" s="1" t="n">
        <v>46182</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53499-2025</t>
        </is>
      </c>
      <c r="B789" s="1" t="n">
        <v>45960</v>
      </c>
      <c r="C789" s="1" t="n">
        <v>46182</v>
      </c>
      <c r="D789" t="inlineStr">
        <is>
          <t>STOCKHOLMS LÄN</t>
        </is>
      </c>
      <c r="E789" t="inlineStr">
        <is>
          <t>NORRTÄLJE</t>
        </is>
      </c>
      <c r="G789" t="n">
        <v>23.8</v>
      </c>
      <c r="H789" t="n">
        <v>0</v>
      </c>
      <c r="I789" t="n">
        <v>0</v>
      </c>
      <c r="J789" t="n">
        <v>0</v>
      </c>
      <c r="K789" t="n">
        <v>0</v>
      </c>
      <c r="L789" t="n">
        <v>0</v>
      </c>
      <c r="M789" t="n">
        <v>0</v>
      </c>
      <c r="N789" t="n">
        <v>0</v>
      </c>
      <c r="O789" t="n">
        <v>0</v>
      </c>
      <c r="P789" t="n">
        <v>0</v>
      </c>
      <c r="Q789" t="n">
        <v>0</v>
      </c>
      <c r="R789" s="2" t="inlineStr"/>
    </row>
    <row r="790" ht="15" customHeight="1">
      <c r="A790" t="inlineStr">
        <is>
          <t>A 11929-2024</t>
        </is>
      </c>
      <c r="B790" s="1" t="n">
        <v>45376.64532407407</v>
      </c>
      <c r="C790" s="1" t="n">
        <v>46182</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13544-2026</t>
        </is>
      </c>
      <c r="B791" s="1" t="n">
        <v>46094.68538194444</v>
      </c>
      <c r="C791" s="1" t="n">
        <v>46182</v>
      </c>
      <c r="D791" t="inlineStr">
        <is>
          <t>STOCKHOLMS LÄN</t>
        </is>
      </c>
      <c r="E791" t="inlineStr">
        <is>
          <t>NORRTÄLJE</t>
        </is>
      </c>
      <c r="F791" t="inlineStr">
        <is>
          <t>Holmen skog AB</t>
        </is>
      </c>
      <c r="G791" t="n">
        <v>3.2</v>
      </c>
      <c r="H791" t="n">
        <v>0</v>
      </c>
      <c r="I791" t="n">
        <v>0</v>
      </c>
      <c r="J791" t="n">
        <v>0</v>
      </c>
      <c r="K791" t="n">
        <v>0</v>
      </c>
      <c r="L791" t="n">
        <v>0</v>
      </c>
      <c r="M791" t="n">
        <v>0</v>
      </c>
      <c r="N791" t="n">
        <v>0</v>
      </c>
      <c r="O791" t="n">
        <v>0</v>
      </c>
      <c r="P791" t="n">
        <v>0</v>
      </c>
      <c r="Q791" t="n">
        <v>0</v>
      </c>
      <c r="R791" s="2" t="inlineStr"/>
    </row>
    <row r="792" ht="15" customHeight="1">
      <c r="A792" t="inlineStr">
        <is>
          <t>A 13204-2026</t>
        </is>
      </c>
      <c r="B792" s="1" t="n">
        <v>46093.60788194444</v>
      </c>
      <c r="C792" s="1" t="n">
        <v>46182</v>
      </c>
      <c r="D792" t="inlineStr">
        <is>
          <t>STOCKHOLMS LÄN</t>
        </is>
      </c>
      <c r="E792" t="inlineStr">
        <is>
          <t>NORRTÄLJE</t>
        </is>
      </c>
      <c r="G792" t="n">
        <v>3.5</v>
      </c>
      <c r="H792" t="n">
        <v>0</v>
      </c>
      <c r="I792" t="n">
        <v>0</v>
      </c>
      <c r="J792" t="n">
        <v>0</v>
      </c>
      <c r="K792" t="n">
        <v>0</v>
      </c>
      <c r="L792" t="n">
        <v>0</v>
      </c>
      <c r="M792" t="n">
        <v>0</v>
      </c>
      <c r="N792" t="n">
        <v>0</v>
      </c>
      <c r="O792" t="n">
        <v>0</v>
      </c>
      <c r="P792" t="n">
        <v>0</v>
      </c>
      <c r="Q792" t="n">
        <v>0</v>
      </c>
      <c r="R792" s="2" t="inlineStr"/>
    </row>
    <row r="793" ht="15" customHeight="1">
      <c r="A793" t="inlineStr">
        <is>
          <t>A 13545-2026</t>
        </is>
      </c>
      <c r="B793" s="1" t="n">
        <v>46094.6911574074</v>
      </c>
      <c r="C793" s="1" t="n">
        <v>46182</v>
      </c>
      <c r="D793" t="inlineStr">
        <is>
          <t>STOCKHOLMS LÄN</t>
        </is>
      </c>
      <c r="E793" t="inlineStr">
        <is>
          <t>NORRTÄLJE</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13109-2026</t>
        </is>
      </c>
      <c r="B794" s="1" t="n">
        <v>46093.42730324074</v>
      </c>
      <c r="C794" s="1" t="n">
        <v>46182</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37010-2022</t>
        </is>
      </c>
      <c r="B795" s="1" t="n">
        <v>44806.41576388889</v>
      </c>
      <c r="C795" s="1" t="n">
        <v>46182</v>
      </c>
      <c r="D795" t="inlineStr">
        <is>
          <t>STOCKHOLMS LÄN</t>
        </is>
      </c>
      <c r="E795" t="inlineStr">
        <is>
          <t>NORRTÄLJE</t>
        </is>
      </c>
      <c r="G795" t="n">
        <v>2.7</v>
      </c>
      <c r="H795" t="n">
        <v>0</v>
      </c>
      <c r="I795" t="n">
        <v>0</v>
      </c>
      <c r="J795" t="n">
        <v>0</v>
      </c>
      <c r="K795" t="n">
        <v>0</v>
      </c>
      <c r="L795" t="n">
        <v>0</v>
      </c>
      <c r="M795" t="n">
        <v>0</v>
      </c>
      <c r="N795" t="n">
        <v>0</v>
      </c>
      <c r="O795" t="n">
        <v>0</v>
      </c>
      <c r="P795" t="n">
        <v>0</v>
      </c>
      <c r="Q795" t="n">
        <v>0</v>
      </c>
      <c r="R795" s="2" t="inlineStr"/>
    </row>
    <row r="796" ht="15" customHeight="1">
      <c r="A796" t="inlineStr">
        <is>
          <t>A 13546-2026</t>
        </is>
      </c>
      <c r="B796" s="1" t="n">
        <v>46094.69196759259</v>
      </c>
      <c r="C796" s="1" t="n">
        <v>46182</v>
      </c>
      <c r="D796" t="inlineStr">
        <is>
          <t>STOCKHOLMS LÄN</t>
        </is>
      </c>
      <c r="E796" t="inlineStr">
        <is>
          <t>NORRTÄLJE</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8296-2023</t>
        </is>
      </c>
      <c r="B797" s="1" t="n">
        <v>44974</v>
      </c>
      <c r="C797" s="1" t="n">
        <v>46182</v>
      </c>
      <c r="D797" t="inlineStr">
        <is>
          <t>STOCKHOLMS LÄN</t>
        </is>
      </c>
      <c r="E797" t="inlineStr">
        <is>
          <t>NORRTÄLJE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951-2023</t>
        </is>
      </c>
      <c r="B798" s="1" t="n">
        <v>44934</v>
      </c>
      <c r="C798" s="1" t="n">
        <v>46182</v>
      </c>
      <c r="D798" t="inlineStr">
        <is>
          <t>STOCKHOLMS LÄN</t>
        </is>
      </c>
      <c r="E798" t="inlineStr">
        <is>
          <t>NORRTÄLJE</t>
        </is>
      </c>
      <c r="G798" t="n">
        <v>3.7</v>
      </c>
      <c r="H798" t="n">
        <v>0</v>
      </c>
      <c r="I798" t="n">
        <v>0</v>
      </c>
      <c r="J798" t="n">
        <v>0</v>
      </c>
      <c r="K798" t="n">
        <v>0</v>
      </c>
      <c r="L798" t="n">
        <v>0</v>
      </c>
      <c r="M798" t="n">
        <v>0</v>
      </c>
      <c r="N798" t="n">
        <v>0</v>
      </c>
      <c r="O798" t="n">
        <v>0</v>
      </c>
      <c r="P798" t="n">
        <v>0</v>
      </c>
      <c r="Q798" t="n">
        <v>0</v>
      </c>
      <c r="R798" s="2" t="inlineStr"/>
    </row>
    <row r="799" ht="15" customHeight="1">
      <c r="A799" t="inlineStr">
        <is>
          <t>A 24575-2024</t>
        </is>
      </c>
      <c r="B799" s="1" t="n">
        <v>45460.45523148148</v>
      </c>
      <c r="C799" s="1" t="n">
        <v>46182</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52593-2024</t>
        </is>
      </c>
      <c r="B800" s="1" t="n">
        <v>45609.70778935185</v>
      </c>
      <c r="C800" s="1" t="n">
        <v>46182</v>
      </c>
      <c r="D800" t="inlineStr">
        <is>
          <t>STOCKHOLMS LÄN</t>
        </is>
      </c>
      <c r="E800" t="inlineStr">
        <is>
          <t>NORRTÄLJE</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52617-2024</t>
        </is>
      </c>
      <c r="B801" s="1" t="n">
        <v>45609.85146990741</v>
      </c>
      <c r="C801" s="1" t="n">
        <v>46182</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12629-2024</t>
        </is>
      </c>
      <c r="B802" s="1" t="n">
        <v>45383</v>
      </c>
      <c r="C802" s="1" t="n">
        <v>46182</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62708-2025</t>
        </is>
      </c>
      <c r="B803" s="1" t="n">
        <v>46008.50986111111</v>
      </c>
      <c r="C803" s="1" t="n">
        <v>46182</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59904-2023</t>
        </is>
      </c>
      <c r="B804" s="1" t="n">
        <v>45257</v>
      </c>
      <c r="C804" s="1" t="n">
        <v>46182</v>
      </c>
      <c r="D804" t="inlineStr">
        <is>
          <t>STOCKHOLMS LÄN</t>
        </is>
      </c>
      <c r="E804" t="inlineStr">
        <is>
          <t>NORRTÄLJE</t>
        </is>
      </c>
      <c r="G804" t="n">
        <v>17.4</v>
      </c>
      <c r="H804" t="n">
        <v>0</v>
      </c>
      <c r="I804" t="n">
        <v>0</v>
      </c>
      <c r="J804" t="n">
        <v>0</v>
      </c>
      <c r="K804" t="n">
        <v>0</v>
      </c>
      <c r="L804" t="n">
        <v>0</v>
      </c>
      <c r="M804" t="n">
        <v>0</v>
      </c>
      <c r="N804" t="n">
        <v>0</v>
      </c>
      <c r="O804" t="n">
        <v>0</v>
      </c>
      <c r="P804" t="n">
        <v>0</v>
      </c>
      <c r="Q804" t="n">
        <v>0</v>
      </c>
      <c r="R804" s="2" t="inlineStr"/>
    </row>
    <row r="805" ht="15" customHeight="1">
      <c r="A805" t="inlineStr">
        <is>
          <t>A 35708-2022</t>
        </is>
      </c>
      <c r="B805" s="1" t="n">
        <v>44799.65013888889</v>
      </c>
      <c r="C805" s="1" t="n">
        <v>46182</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9914-2023</t>
        </is>
      </c>
      <c r="B806" s="1" t="n">
        <v>44985</v>
      </c>
      <c r="C806" s="1" t="n">
        <v>46182</v>
      </c>
      <c r="D806" t="inlineStr">
        <is>
          <t>STOCKHOLMS LÄN</t>
        </is>
      </c>
      <c r="E806" t="inlineStr">
        <is>
          <t>NORRTÄLJE</t>
        </is>
      </c>
      <c r="G806" t="n">
        <v>4.2</v>
      </c>
      <c r="H806" t="n">
        <v>0</v>
      </c>
      <c r="I806" t="n">
        <v>0</v>
      </c>
      <c r="J806" t="n">
        <v>0</v>
      </c>
      <c r="K806" t="n">
        <v>0</v>
      </c>
      <c r="L806" t="n">
        <v>0</v>
      </c>
      <c r="M806" t="n">
        <v>0</v>
      </c>
      <c r="N806" t="n">
        <v>0</v>
      </c>
      <c r="O806" t="n">
        <v>0</v>
      </c>
      <c r="P806" t="n">
        <v>0</v>
      </c>
      <c r="Q806" t="n">
        <v>0</v>
      </c>
      <c r="R806" s="2" t="inlineStr"/>
    </row>
    <row r="807" ht="15" customHeight="1">
      <c r="A807" t="inlineStr">
        <is>
          <t>A 34478-2025</t>
        </is>
      </c>
      <c r="B807" s="1" t="n">
        <v>45847</v>
      </c>
      <c r="C807" s="1" t="n">
        <v>46182</v>
      </c>
      <c r="D807" t="inlineStr">
        <is>
          <t>STOCKHOLMS LÄN</t>
        </is>
      </c>
      <c r="E807" t="inlineStr">
        <is>
          <t>NORRTÄLJE</t>
        </is>
      </c>
      <c r="F807" t="inlineStr">
        <is>
          <t>Övriga Aktiebolag</t>
        </is>
      </c>
      <c r="G807" t="n">
        <v>10.8</v>
      </c>
      <c r="H807" t="n">
        <v>0</v>
      </c>
      <c r="I807" t="n">
        <v>0</v>
      </c>
      <c r="J807" t="n">
        <v>0</v>
      </c>
      <c r="K807" t="n">
        <v>0</v>
      </c>
      <c r="L807" t="n">
        <v>0</v>
      </c>
      <c r="M807" t="n">
        <v>0</v>
      </c>
      <c r="N807" t="n">
        <v>0</v>
      </c>
      <c r="O807" t="n">
        <v>0</v>
      </c>
      <c r="P807" t="n">
        <v>0</v>
      </c>
      <c r="Q807" t="n">
        <v>0</v>
      </c>
      <c r="R807" s="2" t="inlineStr"/>
    </row>
    <row r="808" ht="15" customHeight="1">
      <c r="A808" t="inlineStr">
        <is>
          <t>A 62681-2025</t>
        </is>
      </c>
      <c r="B808" s="1" t="n">
        <v>46008.45534722223</v>
      </c>
      <c r="C808" s="1" t="n">
        <v>46182</v>
      </c>
      <c r="D808" t="inlineStr">
        <is>
          <t>STOCKHOLMS LÄN</t>
        </is>
      </c>
      <c r="E808" t="inlineStr">
        <is>
          <t>NORRTÄLJE</t>
        </is>
      </c>
      <c r="G808" t="n">
        <v>2.4</v>
      </c>
      <c r="H808" t="n">
        <v>0</v>
      </c>
      <c r="I808" t="n">
        <v>0</v>
      </c>
      <c r="J808" t="n">
        <v>0</v>
      </c>
      <c r="K808" t="n">
        <v>0</v>
      </c>
      <c r="L808" t="n">
        <v>0</v>
      </c>
      <c r="M808" t="n">
        <v>0</v>
      </c>
      <c r="N808" t="n">
        <v>0</v>
      </c>
      <c r="O808" t="n">
        <v>0</v>
      </c>
      <c r="P808" t="n">
        <v>0</v>
      </c>
      <c r="Q808" t="n">
        <v>0</v>
      </c>
      <c r="R808" s="2" t="inlineStr"/>
    </row>
    <row r="809" ht="15" customHeight="1">
      <c r="A809" t="inlineStr">
        <is>
          <t>A 62922-2025</t>
        </is>
      </c>
      <c r="B809" s="1" t="n">
        <v>46009.38064814815</v>
      </c>
      <c r="C809" s="1" t="n">
        <v>46182</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21731-2023</t>
        </is>
      </c>
      <c r="B810" s="1" t="n">
        <v>45063</v>
      </c>
      <c r="C810" s="1" t="n">
        <v>46182</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23266-2023</t>
        </is>
      </c>
      <c r="B811" s="1" t="n">
        <v>45075.90817129629</v>
      </c>
      <c r="C811" s="1" t="n">
        <v>46182</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15905-2023</t>
        </is>
      </c>
      <c r="B812" s="1" t="n">
        <v>45022</v>
      </c>
      <c r="C812" s="1" t="n">
        <v>46182</v>
      </c>
      <c r="D812" t="inlineStr">
        <is>
          <t>STOCKHOLMS LÄN</t>
        </is>
      </c>
      <c r="E812" t="inlineStr">
        <is>
          <t>NORRTÄLJE</t>
        </is>
      </c>
      <c r="G812" t="n">
        <v>3.2</v>
      </c>
      <c r="H812" t="n">
        <v>0</v>
      </c>
      <c r="I812" t="n">
        <v>0</v>
      </c>
      <c r="J812" t="n">
        <v>0</v>
      </c>
      <c r="K812" t="n">
        <v>0</v>
      </c>
      <c r="L812" t="n">
        <v>0</v>
      </c>
      <c r="M812" t="n">
        <v>0</v>
      </c>
      <c r="N812" t="n">
        <v>0</v>
      </c>
      <c r="O812" t="n">
        <v>0</v>
      </c>
      <c r="P812" t="n">
        <v>0</v>
      </c>
      <c r="Q812" t="n">
        <v>0</v>
      </c>
      <c r="R812" s="2" t="inlineStr"/>
    </row>
    <row r="813" ht="15" customHeight="1">
      <c r="A813" t="inlineStr">
        <is>
          <t>A 62689-2025</t>
        </is>
      </c>
      <c r="B813" s="1" t="n">
        <v>46008.47171296296</v>
      </c>
      <c r="C813" s="1" t="n">
        <v>46182</v>
      </c>
      <c r="D813" t="inlineStr">
        <is>
          <t>STOCKHOLMS LÄN</t>
        </is>
      </c>
      <c r="E813" t="inlineStr">
        <is>
          <t>NORRTÄLJE</t>
        </is>
      </c>
      <c r="F813" t="inlineStr">
        <is>
          <t>Kyrkan</t>
        </is>
      </c>
      <c r="G813" t="n">
        <v>0.7</v>
      </c>
      <c r="H813" t="n">
        <v>0</v>
      </c>
      <c r="I813" t="n">
        <v>0</v>
      </c>
      <c r="J813" t="n">
        <v>0</v>
      </c>
      <c r="K813" t="n">
        <v>0</v>
      </c>
      <c r="L813" t="n">
        <v>0</v>
      </c>
      <c r="M813" t="n">
        <v>0</v>
      </c>
      <c r="N813" t="n">
        <v>0</v>
      </c>
      <c r="O813" t="n">
        <v>0</v>
      </c>
      <c r="P813" t="n">
        <v>0</v>
      </c>
      <c r="Q813" t="n">
        <v>0</v>
      </c>
      <c r="R813" s="2" t="inlineStr"/>
    </row>
    <row r="814" ht="15" customHeight="1">
      <c r="A814" t="inlineStr">
        <is>
          <t>A 58260-2023</t>
        </is>
      </c>
      <c r="B814" s="1" t="n">
        <v>45245</v>
      </c>
      <c r="C814" s="1" t="n">
        <v>46182</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58261-2023</t>
        </is>
      </c>
      <c r="B815" s="1" t="n">
        <v>45245</v>
      </c>
      <c r="C815" s="1" t="n">
        <v>46182</v>
      </c>
      <c r="D815" t="inlineStr">
        <is>
          <t>STOCKHOLMS LÄN</t>
        </is>
      </c>
      <c r="E815" t="inlineStr">
        <is>
          <t>NORRTÄLJE</t>
        </is>
      </c>
      <c r="G815" t="n">
        <v>53.5</v>
      </c>
      <c r="H815" t="n">
        <v>0</v>
      </c>
      <c r="I815" t="n">
        <v>0</v>
      </c>
      <c r="J815" t="n">
        <v>0</v>
      </c>
      <c r="K815" t="n">
        <v>0</v>
      </c>
      <c r="L815" t="n">
        <v>0</v>
      </c>
      <c r="M815" t="n">
        <v>0</v>
      </c>
      <c r="N815" t="n">
        <v>0</v>
      </c>
      <c r="O815" t="n">
        <v>0</v>
      </c>
      <c r="P815" t="n">
        <v>0</v>
      </c>
      <c r="Q815" t="n">
        <v>0</v>
      </c>
      <c r="R815" s="2" t="inlineStr"/>
    </row>
    <row r="816" ht="15" customHeight="1">
      <c r="A816" t="inlineStr">
        <is>
          <t>A 15956-2023</t>
        </is>
      </c>
      <c r="B816" s="1" t="n">
        <v>45022.61003472222</v>
      </c>
      <c r="C816" s="1" t="n">
        <v>46182</v>
      </c>
      <c r="D816" t="inlineStr">
        <is>
          <t>STOCKHOLMS LÄN</t>
        </is>
      </c>
      <c r="E816" t="inlineStr">
        <is>
          <t>NORRTÄLJE</t>
        </is>
      </c>
      <c r="G816" t="n">
        <v>2.3</v>
      </c>
      <c r="H816" t="n">
        <v>0</v>
      </c>
      <c r="I816" t="n">
        <v>0</v>
      </c>
      <c r="J816" t="n">
        <v>0</v>
      </c>
      <c r="K816" t="n">
        <v>0</v>
      </c>
      <c r="L816" t="n">
        <v>0</v>
      </c>
      <c r="M816" t="n">
        <v>0</v>
      </c>
      <c r="N816" t="n">
        <v>0</v>
      </c>
      <c r="O816" t="n">
        <v>0</v>
      </c>
      <c r="P816" t="n">
        <v>0</v>
      </c>
      <c r="Q816" t="n">
        <v>0</v>
      </c>
      <c r="R816" s="2" t="inlineStr"/>
    </row>
    <row r="817" ht="15" customHeight="1">
      <c r="A817" t="inlineStr">
        <is>
          <t>A 47626-2022</t>
        </is>
      </c>
      <c r="B817" s="1" t="n">
        <v>44854</v>
      </c>
      <c r="C817" s="1" t="n">
        <v>46182</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62206-2022</t>
        </is>
      </c>
      <c r="B818" s="1" t="n">
        <v>44922</v>
      </c>
      <c r="C818" s="1" t="n">
        <v>46182</v>
      </c>
      <c r="D818" t="inlineStr">
        <is>
          <t>STOCKHOLMS LÄN</t>
        </is>
      </c>
      <c r="E818" t="inlineStr">
        <is>
          <t>NORRTÄLJE</t>
        </is>
      </c>
      <c r="G818" t="n">
        <v>2.9</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44700.50659722222</v>
      </c>
      <c r="C819" s="1" t="n">
        <v>46182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14475-2026</t>
        </is>
      </c>
      <c r="B820" s="1" t="n">
        <v>46100.57251157407</v>
      </c>
      <c r="C820" s="1" t="n">
        <v>46182</v>
      </c>
      <c r="D820" t="inlineStr">
        <is>
          <t>STOCKHOLMS LÄN</t>
        </is>
      </c>
      <c r="E820" t="inlineStr">
        <is>
          <t>NORRTÄLJE</t>
        </is>
      </c>
      <c r="G820" t="n">
        <v>12.3</v>
      </c>
      <c r="H820" t="n">
        <v>0</v>
      </c>
      <c r="I820" t="n">
        <v>0</v>
      </c>
      <c r="J820" t="n">
        <v>0</v>
      </c>
      <c r="K820" t="n">
        <v>0</v>
      </c>
      <c r="L820" t="n">
        <v>0</v>
      </c>
      <c r="M820" t="n">
        <v>0</v>
      </c>
      <c r="N820" t="n">
        <v>0</v>
      </c>
      <c r="O820" t="n">
        <v>0</v>
      </c>
      <c r="P820" t="n">
        <v>0</v>
      </c>
      <c r="Q820" t="n">
        <v>0</v>
      </c>
      <c r="R820" s="2" t="inlineStr"/>
    </row>
    <row r="821" ht="15" customHeight="1">
      <c r="A821" t="inlineStr">
        <is>
          <t>A 14348-2026</t>
        </is>
      </c>
      <c r="B821" s="1" t="n">
        <v>46100.34112268518</v>
      </c>
      <c r="C821" s="1" t="n">
        <v>46182</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29266-2022</t>
        </is>
      </c>
      <c r="B822" s="1" t="n">
        <v>44750.66068287037</v>
      </c>
      <c r="C822" s="1" t="n">
        <v>46182</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29278-2022</t>
        </is>
      </c>
      <c r="B823" s="1" t="n">
        <v>44750</v>
      </c>
      <c r="C823" s="1" t="n">
        <v>46182</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11900-2022</t>
        </is>
      </c>
      <c r="B824" s="1" t="n">
        <v>44635</v>
      </c>
      <c r="C824" s="1" t="n">
        <v>46182</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27885-2022</t>
        </is>
      </c>
      <c r="B825" s="1" t="n">
        <v>44743.67418981482</v>
      </c>
      <c r="C825" s="1" t="n">
        <v>46182</v>
      </c>
      <c r="D825" t="inlineStr">
        <is>
          <t>STOCKHOLMS LÄN</t>
        </is>
      </c>
      <c r="E825" t="inlineStr">
        <is>
          <t>NORRTÄLJE</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23060-2023</t>
        </is>
      </c>
      <c r="B826" s="1" t="n">
        <v>45075</v>
      </c>
      <c r="C826" s="1" t="n">
        <v>46182</v>
      </c>
      <c r="D826" t="inlineStr">
        <is>
          <t>STOCKHOLMS LÄN</t>
        </is>
      </c>
      <c r="E826" t="inlineStr">
        <is>
          <t>NORRTÄLJE</t>
        </is>
      </c>
      <c r="G826" t="n">
        <v>0.5</v>
      </c>
      <c r="H826" t="n">
        <v>0</v>
      </c>
      <c r="I826" t="n">
        <v>0</v>
      </c>
      <c r="J826" t="n">
        <v>0</v>
      </c>
      <c r="K826" t="n">
        <v>0</v>
      </c>
      <c r="L826" t="n">
        <v>0</v>
      </c>
      <c r="M826" t="n">
        <v>0</v>
      </c>
      <c r="N826" t="n">
        <v>0</v>
      </c>
      <c r="O826" t="n">
        <v>0</v>
      </c>
      <c r="P826" t="n">
        <v>0</v>
      </c>
      <c r="Q826" t="n">
        <v>0</v>
      </c>
      <c r="R826" s="2" t="inlineStr"/>
    </row>
    <row r="827" ht="15" customHeight="1">
      <c r="A827" t="inlineStr">
        <is>
          <t>A 32103-2022</t>
        </is>
      </c>
      <c r="B827" s="1" t="n">
        <v>44778</v>
      </c>
      <c r="C827" s="1" t="n">
        <v>46182</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6401-2024</t>
        </is>
      </c>
      <c r="B828" s="1" t="n">
        <v>45338</v>
      </c>
      <c r="C828" s="1" t="n">
        <v>46182</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59504-2023</t>
        </is>
      </c>
      <c r="B829" s="1" t="n">
        <v>45254</v>
      </c>
      <c r="C829" s="1" t="n">
        <v>46182</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60224-2023</t>
        </is>
      </c>
      <c r="B830" s="1" t="n">
        <v>45257</v>
      </c>
      <c r="C830" s="1" t="n">
        <v>46182</v>
      </c>
      <c r="D830" t="inlineStr">
        <is>
          <t>STOCKHOLMS LÄN</t>
        </is>
      </c>
      <c r="E830" t="inlineStr">
        <is>
          <t>NORRTÄLJE</t>
        </is>
      </c>
      <c r="G830" t="n">
        <v>8.1</v>
      </c>
      <c r="H830" t="n">
        <v>0</v>
      </c>
      <c r="I830" t="n">
        <v>0</v>
      </c>
      <c r="J830" t="n">
        <v>0</v>
      </c>
      <c r="K830" t="n">
        <v>0</v>
      </c>
      <c r="L830" t="n">
        <v>0</v>
      </c>
      <c r="M830" t="n">
        <v>0</v>
      </c>
      <c r="N830" t="n">
        <v>0</v>
      </c>
      <c r="O830" t="n">
        <v>0</v>
      </c>
      <c r="P830" t="n">
        <v>0</v>
      </c>
      <c r="Q830" t="n">
        <v>0</v>
      </c>
      <c r="R830" s="2" t="inlineStr"/>
    </row>
    <row r="831" ht="15" customHeight="1">
      <c r="A831" t="inlineStr">
        <is>
          <t>A 5158-2024</t>
        </is>
      </c>
      <c r="B831" s="1" t="n">
        <v>45330.50098379629</v>
      </c>
      <c r="C831" s="1" t="n">
        <v>46182</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52321-2024</t>
        </is>
      </c>
      <c r="B832" s="1" t="n">
        <v>45608</v>
      </c>
      <c r="C832" s="1" t="n">
        <v>46182</v>
      </c>
      <c r="D832" t="inlineStr">
        <is>
          <t>STOCKHOLMS LÄN</t>
        </is>
      </c>
      <c r="E832" t="inlineStr">
        <is>
          <t>NORRTÄLJE</t>
        </is>
      </c>
      <c r="G832" t="n">
        <v>18.1</v>
      </c>
      <c r="H832" t="n">
        <v>0</v>
      </c>
      <c r="I832" t="n">
        <v>0</v>
      </c>
      <c r="J832" t="n">
        <v>0</v>
      </c>
      <c r="K832" t="n">
        <v>0</v>
      </c>
      <c r="L832" t="n">
        <v>0</v>
      </c>
      <c r="M832" t="n">
        <v>0</v>
      </c>
      <c r="N832" t="n">
        <v>0</v>
      </c>
      <c r="O832" t="n">
        <v>0</v>
      </c>
      <c r="P832" t="n">
        <v>0</v>
      </c>
      <c r="Q832" t="n">
        <v>0</v>
      </c>
      <c r="R832" s="2" t="inlineStr"/>
    </row>
    <row r="833" ht="15" customHeight="1">
      <c r="A833" t="inlineStr">
        <is>
          <t>A 17551-2025</t>
        </is>
      </c>
      <c r="B833" s="1" t="n">
        <v>45757.61421296297</v>
      </c>
      <c r="C833" s="1" t="n">
        <v>46182</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21780-2026</t>
        </is>
      </c>
      <c r="B834" s="1" t="n">
        <v>46150.37418981481</v>
      </c>
      <c r="C834" s="1" t="n">
        <v>46182</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55010-2024</t>
        </is>
      </c>
      <c r="B835" s="1" t="n">
        <v>45621.34425925926</v>
      </c>
      <c r="C835" s="1" t="n">
        <v>46182</v>
      </c>
      <c r="D835" t="inlineStr">
        <is>
          <t>STOCKHOLMS LÄN</t>
        </is>
      </c>
      <c r="E835" t="inlineStr">
        <is>
          <t>NORRTÄLJE</t>
        </is>
      </c>
      <c r="F835" t="inlineStr">
        <is>
          <t>Sveaskog</t>
        </is>
      </c>
      <c r="G835" t="n">
        <v>5.7</v>
      </c>
      <c r="H835" t="n">
        <v>0</v>
      </c>
      <c r="I835" t="n">
        <v>0</v>
      </c>
      <c r="J835" t="n">
        <v>0</v>
      </c>
      <c r="K835" t="n">
        <v>0</v>
      </c>
      <c r="L835" t="n">
        <v>0</v>
      </c>
      <c r="M835" t="n">
        <v>0</v>
      </c>
      <c r="N835" t="n">
        <v>0</v>
      </c>
      <c r="O835" t="n">
        <v>0</v>
      </c>
      <c r="P835" t="n">
        <v>0</v>
      </c>
      <c r="Q835" t="n">
        <v>0</v>
      </c>
      <c r="R835" s="2" t="inlineStr"/>
    </row>
    <row r="836" ht="15" customHeight="1">
      <c r="A836" t="inlineStr">
        <is>
          <t>A 31105-2022</t>
        </is>
      </c>
      <c r="B836" s="1" t="n">
        <v>44769.66039351852</v>
      </c>
      <c r="C836" s="1" t="n">
        <v>46182</v>
      </c>
      <c r="D836" t="inlineStr">
        <is>
          <t>STOCKHOLMS LÄN</t>
        </is>
      </c>
      <c r="E836" t="inlineStr">
        <is>
          <t>NORRTÄLJE</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21818-2026</t>
        </is>
      </c>
      <c r="B837" s="1" t="n">
        <v>46150.47383101852</v>
      </c>
      <c r="C837" s="1" t="n">
        <v>46182</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30620-2022</t>
        </is>
      </c>
      <c r="B838" s="1" t="n">
        <v>44763.40914351852</v>
      </c>
      <c r="C838" s="1" t="n">
        <v>46182</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28365-2022</t>
        </is>
      </c>
      <c r="B839" s="1" t="n">
        <v>44747</v>
      </c>
      <c r="C839" s="1" t="n">
        <v>46182</v>
      </c>
      <c r="D839" t="inlineStr">
        <is>
          <t>STOCKHOLMS LÄN</t>
        </is>
      </c>
      <c r="E839" t="inlineStr">
        <is>
          <t>NORRTÄLJE</t>
        </is>
      </c>
      <c r="G839" t="n">
        <v>5.1</v>
      </c>
      <c r="H839" t="n">
        <v>0</v>
      </c>
      <c r="I839" t="n">
        <v>0</v>
      </c>
      <c r="J839" t="n">
        <v>0</v>
      </c>
      <c r="K839" t="n">
        <v>0</v>
      </c>
      <c r="L839" t="n">
        <v>0</v>
      </c>
      <c r="M839" t="n">
        <v>0</v>
      </c>
      <c r="N839" t="n">
        <v>0</v>
      </c>
      <c r="O839" t="n">
        <v>0</v>
      </c>
      <c r="P839" t="n">
        <v>0</v>
      </c>
      <c r="Q839" t="n">
        <v>0</v>
      </c>
      <c r="R839" s="2" t="inlineStr"/>
    </row>
    <row r="840" ht="15" customHeight="1">
      <c r="A840" t="inlineStr">
        <is>
          <t>A 21786-2026</t>
        </is>
      </c>
      <c r="B840" s="1" t="n">
        <v>46150.3862037037</v>
      </c>
      <c r="C840" s="1" t="n">
        <v>46182</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21815-2026</t>
        </is>
      </c>
      <c r="B841" s="1" t="n">
        <v>46150.47024305556</v>
      </c>
      <c r="C841" s="1" t="n">
        <v>46182</v>
      </c>
      <c r="D841" t="inlineStr">
        <is>
          <t>STOCKHOLMS LÄN</t>
        </is>
      </c>
      <c r="E841" t="inlineStr">
        <is>
          <t>NORRTÄLJE</t>
        </is>
      </c>
      <c r="G841" t="n">
        <v>2.8</v>
      </c>
      <c r="H841" t="n">
        <v>0</v>
      </c>
      <c r="I841" t="n">
        <v>0</v>
      </c>
      <c r="J841" t="n">
        <v>0</v>
      </c>
      <c r="K841" t="n">
        <v>0</v>
      </c>
      <c r="L841" t="n">
        <v>0</v>
      </c>
      <c r="M841" t="n">
        <v>0</v>
      </c>
      <c r="N841" t="n">
        <v>0</v>
      </c>
      <c r="O841" t="n">
        <v>0</v>
      </c>
      <c r="P841" t="n">
        <v>0</v>
      </c>
      <c r="Q841" t="n">
        <v>0</v>
      </c>
      <c r="R841" s="2" t="inlineStr"/>
    </row>
    <row r="842" ht="15" customHeight="1">
      <c r="A842" t="inlineStr">
        <is>
          <t>A 42955-2022</t>
        </is>
      </c>
      <c r="B842" s="1" t="n">
        <v>44833.40876157407</v>
      </c>
      <c r="C842" s="1" t="n">
        <v>46182</v>
      </c>
      <c r="D842" t="inlineStr">
        <is>
          <t>STOCKHOLMS LÄN</t>
        </is>
      </c>
      <c r="E842" t="inlineStr">
        <is>
          <t>NORRTÄLJE</t>
        </is>
      </c>
      <c r="G842" t="n">
        <v>13.1</v>
      </c>
      <c r="H842" t="n">
        <v>0</v>
      </c>
      <c r="I842" t="n">
        <v>0</v>
      </c>
      <c r="J842" t="n">
        <v>0</v>
      </c>
      <c r="K842" t="n">
        <v>0</v>
      </c>
      <c r="L842" t="n">
        <v>0</v>
      </c>
      <c r="M842" t="n">
        <v>0</v>
      </c>
      <c r="N842" t="n">
        <v>0</v>
      </c>
      <c r="O842" t="n">
        <v>0</v>
      </c>
      <c r="P842" t="n">
        <v>0</v>
      </c>
      <c r="Q842" t="n">
        <v>0</v>
      </c>
      <c r="R842" s="2" t="inlineStr"/>
    </row>
    <row r="843" ht="15" customHeight="1">
      <c r="A843" t="inlineStr">
        <is>
          <t>A 21820-2026</t>
        </is>
      </c>
      <c r="B843" s="1" t="n">
        <v>46150.4799537037</v>
      </c>
      <c r="C843" s="1" t="n">
        <v>46182</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16243-2026</t>
        </is>
      </c>
      <c r="B844" s="1" t="n">
        <v>46111.45902777778</v>
      </c>
      <c r="C844" s="1" t="n">
        <v>46182</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16229-2026</t>
        </is>
      </c>
      <c r="B845" s="1" t="n">
        <v>46111.45084490741</v>
      </c>
      <c r="C845" s="1" t="n">
        <v>46182</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13767-2025</t>
        </is>
      </c>
      <c r="B846" s="1" t="n">
        <v>45737.43347222222</v>
      </c>
      <c r="C846" s="1" t="n">
        <v>46182</v>
      </c>
      <c r="D846" t="inlineStr">
        <is>
          <t>STOCKHOLMS LÄN</t>
        </is>
      </c>
      <c r="E846" t="inlineStr">
        <is>
          <t>NORRTÄLJE</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15422-2024</t>
        </is>
      </c>
      <c r="B847" s="1" t="n">
        <v>45401.3653125</v>
      </c>
      <c r="C847" s="1" t="n">
        <v>46182</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30508-2023</t>
        </is>
      </c>
      <c r="B848" s="1" t="n">
        <v>45111</v>
      </c>
      <c r="C848" s="1" t="n">
        <v>46182</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16008-2025</t>
        </is>
      </c>
      <c r="B849" s="1" t="n">
        <v>45749</v>
      </c>
      <c r="C849" s="1" t="n">
        <v>46182</v>
      </c>
      <c r="D849" t="inlineStr">
        <is>
          <t>STOCKHOLMS LÄN</t>
        </is>
      </c>
      <c r="E849" t="inlineStr">
        <is>
          <t>NORRTÄLJE</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21158-2022</t>
        </is>
      </c>
      <c r="B850" s="1" t="n">
        <v>44704</v>
      </c>
      <c r="C850" s="1" t="n">
        <v>46182</v>
      </c>
      <c r="D850" t="inlineStr">
        <is>
          <t>STOCKHOLMS LÄN</t>
        </is>
      </c>
      <c r="E850" t="inlineStr">
        <is>
          <t>NORRTÄLJE</t>
        </is>
      </c>
      <c r="G850" t="n">
        <v>17.8</v>
      </c>
      <c r="H850" t="n">
        <v>0</v>
      </c>
      <c r="I850" t="n">
        <v>0</v>
      </c>
      <c r="J850" t="n">
        <v>0</v>
      </c>
      <c r="K850" t="n">
        <v>0</v>
      </c>
      <c r="L850" t="n">
        <v>0</v>
      </c>
      <c r="M850" t="n">
        <v>0</v>
      </c>
      <c r="N850" t="n">
        <v>0</v>
      </c>
      <c r="O850" t="n">
        <v>0</v>
      </c>
      <c r="P850" t="n">
        <v>0</v>
      </c>
      <c r="Q850" t="n">
        <v>0</v>
      </c>
      <c r="R850" s="2" t="inlineStr"/>
    </row>
    <row r="851" ht="15" customHeight="1">
      <c r="A851" t="inlineStr">
        <is>
          <t>A 20370-2025</t>
        </is>
      </c>
      <c r="B851" s="1" t="n">
        <v>45775.41451388889</v>
      </c>
      <c r="C851" s="1" t="n">
        <v>46182</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19580-2022</t>
        </is>
      </c>
      <c r="B852" s="1" t="n">
        <v>44693</v>
      </c>
      <c r="C852" s="1" t="n">
        <v>46182</v>
      </c>
      <c r="D852" t="inlineStr">
        <is>
          <t>STOCKHOLMS LÄN</t>
        </is>
      </c>
      <c r="E852" t="inlineStr">
        <is>
          <t>NORRTÄLJE</t>
        </is>
      </c>
      <c r="G852" t="n">
        <v>0.4</v>
      </c>
      <c r="H852" t="n">
        <v>0</v>
      </c>
      <c r="I852" t="n">
        <v>0</v>
      </c>
      <c r="J852" t="n">
        <v>0</v>
      </c>
      <c r="K852" t="n">
        <v>0</v>
      </c>
      <c r="L852" t="n">
        <v>0</v>
      </c>
      <c r="M852" t="n">
        <v>0</v>
      </c>
      <c r="N852" t="n">
        <v>0</v>
      </c>
      <c r="O852" t="n">
        <v>0</v>
      </c>
      <c r="P852" t="n">
        <v>0</v>
      </c>
      <c r="Q852" t="n">
        <v>0</v>
      </c>
      <c r="R852" s="2" t="inlineStr"/>
    </row>
    <row r="853" ht="15" customHeight="1">
      <c r="A853" t="inlineStr">
        <is>
          <t>A 32101-2022</t>
        </is>
      </c>
      <c r="B853" s="1" t="n">
        <v>44778.69210648148</v>
      </c>
      <c r="C853" s="1" t="n">
        <v>46182</v>
      </c>
      <c r="D853" t="inlineStr">
        <is>
          <t>STOCKHOLMS LÄN</t>
        </is>
      </c>
      <c r="E853" t="inlineStr">
        <is>
          <t>NORRTÄLJE</t>
        </is>
      </c>
      <c r="G853" t="n">
        <v>4.4</v>
      </c>
      <c r="H853" t="n">
        <v>0</v>
      </c>
      <c r="I853" t="n">
        <v>0</v>
      </c>
      <c r="J853" t="n">
        <v>0</v>
      </c>
      <c r="K853" t="n">
        <v>0</v>
      </c>
      <c r="L853" t="n">
        <v>0</v>
      </c>
      <c r="M853" t="n">
        <v>0</v>
      </c>
      <c r="N853" t="n">
        <v>0</v>
      </c>
      <c r="O853" t="n">
        <v>0</v>
      </c>
      <c r="P853" t="n">
        <v>0</v>
      </c>
      <c r="Q853" t="n">
        <v>0</v>
      </c>
      <c r="R853" s="2" t="inlineStr"/>
    </row>
    <row r="854" ht="15" customHeight="1">
      <c r="A854" t="inlineStr">
        <is>
          <t>A 23150-2024</t>
        </is>
      </c>
      <c r="B854" s="1" t="n">
        <v>45450.64643518518</v>
      </c>
      <c r="C854" s="1" t="n">
        <v>46182</v>
      </c>
      <c r="D854" t="inlineStr">
        <is>
          <t>STOCKHOLMS LÄN</t>
        </is>
      </c>
      <c r="E854" t="inlineStr">
        <is>
          <t>NORRTÄLJE</t>
        </is>
      </c>
      <c r="F854" t="inlineStr">
        <is>
          <t>Kommuner</t>
        </is>
      </c>
      <c r="G854" t="n">
        <v>2.7</v>
      </c>
      <c r="H854" t="n">
        <v>0</v>
      </c>
      <c r="I854" t="n">
        <v>0</v>
      </c>
      <c r="J854" t="n">
        <v>0</v>
      </c>
      <c r="K854" t="n">
        <v>0</v>
      </c>
      <c r="L854" t="n">
        <v>0</v>
      </c>
      <c r="M854" t="n">
        <v>0</v>
      </c>
      <c r="N854" t="n">
        <v>0</v>
      </c>
      <c r="O854" t="n">
        <v>0</v>
      </c>
      <c r="P854" t="n">
        <v>0</v>
      </c>
      <c r="Q854" t="n">
        <v>0</v>
      </c>
      <c r="R854" s="2" t="inlineStr"/>
    </row>
    <row r="855" ht="15" customHeight="1">
      <c r="A855" t="inlineStr">
        <is>
          <t>A 24933-2023</t>
        </is>
      </c>
      <c r="B855" s="1" t="n">
        <v>45085.5309375</v>
      </c>
      <c r="C855" s="1" t="n">
        <v>46182</v>
      </c>
      <c r="D855" t="inlineStr">
        <is>
          <t>STOCKHOLMS LÄN</t>
        </is>
      </c>
      <c r="E855" t="inlineStr">
        <is>
          <t>NORRTÄLJE</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17025-2026</t>
        </is>
      </c>
      <c r="B856" s="1" t="n">
        <v>46113</v>
      </c>
      <c r="C856" s="1" t="n">
        <v>46182</v>
      </c>
      <c r="D856" t="inlineStr">
        <is>
          <t>STOCKHOLMS LÄN</t>
        </is>
      </c>
      <c r="E856" t="inlineStr">
        <is>
          <t>NORRTÄLJE</t>
        </is>
      </c>
      <c r="G856" t="n">
        <v>5.4</v>
      </c>
      <c r="H856" t="n">
        <v>0</v>
      </c>
      <c r="I856" t="n">
        <v>0</v>
      </c>
      <c r="J856" t="n">
        <v>0</v>
      </c>
      <c r="K856" t="n">
        <v>0</v>
      </c>
      <c r="L856" t="n">
        <v>0</v>
      </c>
      <c r="M856" t="n">
        <v>0</v>
      </c>
      <c r="N856" t="n">
        <v>0</v>
      </c>
      <c r="O856" t="n">
        <v>0</v>
      </c>
      <c r="P856" t="n">
        <v>0</v>
      </c>
      <c r="Q856" t="n">
        <v>0</v>
      </c>
      <c r="R856" s="2" t="inlineStr"/>
    </row>
    <row r="857" ht="15" customHeight="1">
      <c r="A857" t="inlineStr">
        <is>
          <t>A 56631-2024</t>
        </is>
      </c>
      <c r="B857" s="1" t="n">
        <v>45625</v>
      </c>
      <c r="C857" s="1" t="n">
        <v>46182</v>
      </c>
      <c r="D857" t="inlineStr">
        <is>
          <t>STOCKHOLMS LÄN</t>
        </is>
      </c>
      <c r="E857" t="inlineStr">
        <is>
          <t>NORRTÄLJE</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30731-2023</t>
        </is>
      </c>
      <c r="B858" s="1" t="n">
        <v>45112</v>
      </c>
      <c r="C858" s="1" t="n">
        <v>46182</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4580-2025</t>
        </is>
      </c>
      <c r="B859" s="1" t="n">
        <v>45687.5038425926</v>
      </c>
      <c r="C859" s="1" t="n">
        <v>46182</v>
      </c>
      <c r="D859" t="inlineStr">
        <is>
          <t>STOCKHOLMS LÄN</t>
        </is>
      </c>
      <c r="E859" t="inlineStr">
        <is>
          <t>NORRTÄLJE</t>
        </is>
      </c>
      <c r="F859" t="inlineStr">
        <is>
          <t>Holmen skog AB</t>
        </is>
      </c>
      <c r="G859" t="n">
        <v>4.8</v>
      </c>
      <c r="H859" t="n">
        <v>0</v>
      </c>
      <c r="I859" t="n">
        <v>0</v>
      </c>
      <c r="J859" t="n">
        <v>0</v>
      </c>
      <c r="K859" t="n">
        <v>0</v>
      </c>
      <c r="L859" t="n">
        <v>0</v>
      </c>
      <c r="M859" t="n">
        <v>0</v>
      </c>
      <c r="N859" t="n">
        <v>0</v>
      </c>
      <c r="O859" t="n">
        <v>0</v>
      </c>
      <c r="P859" t="n">
        <v>0</v>
      </c>
      <c r="Q859" t="n">
        <v>0</v>
      </c>
      <c r="R859" s="2" t="inlineStr"/>
    </row>
    <row r="860" ht="15" customHeight="1">
      <c r="A860" t="inlineStr">
        <is>
          <t>A 652-2025</t>
        </is>
      </c>
      <c r="B860" s="1" t="n">
        <v>45664</v>
      </c>
      <c r="C860" s="1" t="n">
        <v>46182</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31057-2022</t>
        </is>
      </c>
      <c r="B861" s="1" t="n">
        <v>44769</v>
      </c>
      <c r="C861" s="1" t="n">
        <v>46182</v>
      </c>
      <c r="D861" t="inlineStr">
        <is>
          <t>STOCKHOLMS LÄN</t>
        </is>
      </c>
      <c r="E861" t="inlineStr">
        <is>
          <t>NORRTÄLJE</t>
        </is>
      </c>
      <c r="G861" t="n">
        <v>6.5</v>
      </c>
      <c r="H861" t="n">
        <v>0</v>
      </c>
      <c r="I861" t="n">
        <v>0</v>
      </c>
      <c r="J861" t="n">
        <v>0</v>
      </c>
      <c r="K861" t="n">
        <v>0</v>
      </c>
      <c r="L861" t="n">
        <v>0</v>
      </c>
      <c r="M861" t="n">
        <v>0</v>
      </c>
      <c r="N861" t="n">
        <v>0</v>
      </c>
      <c r="O861" t="n">
        <v>0</v>
      </c>
      <c r="P861" t="n">
        <v>0</v>
      </c>
      <c r="Q861" t="n">
        <v>0</v>
      </c>
      <c r="R861" s="2" t="inlineStr"/>
    </row>
    <row r="862" ht="15" customHeight="1">
      <c r="A862" t="inlineStr">
        <is>
          <t>A 31140-2023</t>
        </is>
      </c>
      <c r="B862" s="1" t="n">
        <v>45113</v>
      </c>
      <c r="C862" s="1" t="n">
        <v>46182</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31149-2023</t>
        </is>
      </c>
      <c r="B863" s="1" t="n">
        <v>45113</v>
      </c>
      <c r="C863" s="1" t="n">
        <v>46182</v>
      </c>
      <c r="D863" t="inlineStr">
        <is>
          <t>STOCKHOLMS LÄN</t>
        </is>
      </c>
      <c r="E863" t="inlineStr">
        <is>
          <t>NORRTÄLJE</t>
        </is>
      </c>
      <c r="G863" t="n">
        <v>7.1</v>
      </c>
      <c r="H863" t="n">
        <v>0</v>
      </c>
      <c r="I863" t="n">
        <v>0</v>
      </c>
      <c r="J863" t="n">
        <v>0</v>
      </c>
      <c r="K863" t="n">
        <v>0</v>
      </c>
      <c r="L863" t="n">
        <v>0</v>
      </c>
      <c r="M863" t="n">
        <v>0</v>
      </c>
      <c r="N863" t="n">
        <v>0</v>
      </c>
      <c r="O863" t="n">
        <v>0</v>
      </c>
      <c r="P863" t="n">
        <v>0</v>
      </c>
      <c r="Q863" t="n">
        <v>0</v>
      </c>
      <c r="R863" s="2" t="inlineStr"/>
    </row>
    <row r="864" ht="15" customHeight="1">
      <c r="A864" t="inlineStr">
        <is>
          <t>A 4658-2024</t>
        </is>
      </c>
      <c r="B864" s="1" t="n">
        <v>45328.46336805556</v>
      </c>
      <c r="C864" s="1" t="n">
        <v>46182</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22618-2026</t>
        </is>
      </c>
      <c r="B865" s="1" t="n">
        <v>46155.61440972222</v>
      </c>
      <c r="C865" s="1" t="n">
        <v>46182</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7571-2024</t>
        </is>
      </c>
      <c r="B866" s="1" t="n">
        <v>45348.46300925926</v>
      </c>
      <c r="C866" s="1" t="n">
        <v>46182</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11499-2023</t>
        </is>
      </c>
      <c r="B867" s="1" t="n">
        <v>44993.66707175926</v>
      </c>
      <c r="C867" s="1" t="n">
        <v>46182</v>
      </c>
      <c r="D867" t="inlineStr">
        <is>
          <t>STOCKHOLMS LÄN</t>
        </is>
      </c>
      <c r="E867" t="inlineStr">
        <is>
          <t>NORRTÄLJE</t>
        </is>
      </c>
      <c r="F867" t="inlineStr">
        <is>
          <t>Holmen skog AB</t>
        </is>
      </c>
      <c r="G867" t="n">
        <v>2.8</v>
      </c>
      <c r="H867" t="n">
        <v>0</v>
      </c>
      <c r="I867" t="n">
        <v>0</v>
      </c>
      <c r="J867" t="n">
        <v>0</v>
      </c>
      <c r="K867" t="n">
        <v>0</v>
      </c>
      <c r="L867" t="n">
        <v>0</v>
      </c>
      <c r="M867" t="n">
        <v>0</v>
      </c>
      <c r="N867" t="n">
        <v>0</v>
      </c>
      <c r="O867" t="n">
        <v>0</v>
      </c>
      <c r="P867" t="n">
        <v>0</v>
      </c>
      <c r="Q867" t="n">
        <v>0</v>
      </c>
      <c r="R867" s="2" t="inlineStr"/>
    </row>
    <row r="868" ht="15" customHeight="1">
      <c r="A868" t="inlineStr">
        <is>
          <t>A 17347-2026</t>
        </is>
      </c>
      <c r="B868" s="1" t="n">
        <v>46119</v>
      </c>
      <c r="C868" s="1" t="n">
        <v>46182</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11849-2025</t>
        </is>
      </c>
      <c r="B869" s="1" t="n">
        <v>45728.38409722222</v>
      </c>
      <c r="C869" s="1" t="n">
        <v>46182</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40425-2021</t>
        </is>
      </c>
      <c r="B870" s="1" t="n">
        <v>44419</v>
      </c>
      <c r="C870" s="1" t="n">
        <v>46182</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58990-2021</t>
        </is>
      </c>
      <c r="B871" s="1" t="n">
        <v>44490.03621527777</v>
      </c>
      <c r="C871" s="1" t="n">
        <v>46182</v>
      </c>
      <c r="D871" t="inlineStr">
        <is>
          <t>STOCKHOLMS LÄN</t>
        </is>
      </c>
      <c r="E871" t="inlineStr">
        <is>
          <t>NORRTÄLJE</t>
        </is>
      </c>
      <c r="G871" t="n">
        <v>4.2</v>
      </c>
      <c r="H871" t="n">
        <v>0</v>
      </c>
      <c r="I871" t="n">
        <v>0</v>
      </c>
      <c r="J871" t="n">
        <v>0</v>
      </c>
      <c r="K871" t="n">
        <v>0</v>
      </c>
      <c r="L871" t="n">
        <v>0</v>
      </c>
      <c r="M871" t="n">
        <v>0</v>
      </c>
      <c r="N871" t="n">
        <v>0</v>
      </c>
      <c r="O871" t="n">
        <v>0</v>
      </c>
      <c r="P871" t="n">
        <v>0</v>
      </c>
      <c r="Q871" t="n">
        <v>0</v>
      </c>
      <c r="R871" s="2" t="inlineStr"/>
    </row>
    <row r="872" ht="15" customHeight="1">
      <c r="A872" t="inlineStr">
        <is>
          <t>A 576-2023</t>
        </is>
      </c>
      <c r="B872" s="1" t="n">
        <v>44925</v>
      </c>
      <c r="C872" s="1" t="n">
        <v>46182</v>
      </c>
      <c r="D872" t="inlineStr">
        <is>
          <t>STOCKHOLMS LÄN</t>
        </is>
      </c>
      <c r="E872" t="inlineStr">
        <is>
          <t>NORRTÄLJE</t>
        </is>
      </c>
      <c r="G872" t="n">
        <v>7.2</v>
      </c>
      <c r="H872" t="n">
        <v>0</v>
      </c>
      <c r="I872" t="n">
        <v>0</v>
      </c>
      <c r="J872" t="n">
        <v>0</v>
      </c>
      <c r="K872" t="n">
        <v>0</v>
      </c>
      <c r="L872" t="n">
        <v>0</v>
      </c>
      <c r="M872" t="n">
        <v>0</v>
      </c>
      <c r="N872" t="n">
        <v>0</v>
      </c>
      <c r="O872" t="n">
        <v>0</v>
      </c>
      <c r="P872" t="n">
        <v>0</v>
      </c>
      <c r="Q872" t="n">
        <v>0</v>
      </c>
      <c r="R872" s="2" t="inlineStr"/>
    </row>
    <row r="873" ht="15" customHeight="1">
      <c r="A873" t="inlineStr">
        <is>
          <t>A 10678-2025</t>
        </is>
      </c>
      <c r="B873" s="1" t="n">
        <v>45721.89123842592</v>
      </c>
      <c r="C873" s="1" t="n">
        <v>46182</v>
      </c>
      <c r="D873" t="inlineStr">
        <is>
          <t>STOCKHOLMS LÄN</t>
        </is>
      </c>
      <c r="E873" t="inlineStr">
        <is>
          <t>NORRTÄLJE</t>
        </is>
      </c>
      <c r="G873" t="n">
        <v>2.6</v>
      </c>
      <c r="H873" t="n">
        <v>0</v>
      </c>
      <c r="I873" t="n">
        <v>0</v>
      </c>
      <c r="J873" t="n">
        <v>0</v>
      </c>
      <c r="K873" t="n">
        <v>0</v>
      </c>
      <c r="L873" t="n">
        <v>0</v>
      </c>
      <c r="M873" t="n">
        <v>0</v>
      </c>
      <c r="N873" t="n">
        <v>0</v>
      </c>
      <c r="O873" t="n">
        <v>0</v>
      </c>
      <c r="P873" t="n">
        <v>0</v>
      </c>
      <c r="Q873" t="n">
        <v>0</v>
      </c>
      <c r="R873" s="2" t="inlineStr"/>
    </row>
    <row r="874" ht="15" customHeight="1">
      <c r="A874" t="inlineStr">
        <is>
          <t>A 31936-2022</t>
        </is>
      </c>
      <c r="B874" s="1" t="n">
        <v>44777</v>
      </c>
      <c r="C874" s="1" t="n">
        <v>46182</v>
      </c>
      <c r="D874" t="inlineStr">
        <is>
          <t>STOCKHOLMS LÄN</t>
        </is>
      </c>
      <c r="E874" t="inlineStr">
        <is>
          <t>NORRTÄLJE</t>
        </is>
      </c>
      <c r="G874" t="n">
        <v>5.2</v>
      </c>
      <c r="H874" t="n">
        <v>0</v>
      </c>
      <c r="I874" t="n">
        <v>0</v>
      </c>
      <c r="J874" t="n">
        <v>0</v>
      </c>
      <c r="K874" t="n">
        <v>0</v>
      </c>
      <c r="L874" t="n">
        <v>0</v>
      </c>
      <c r="M874" t="n">
        <v>0</v>
      </c>
      <c r="N874" t="n">
        <v>0</v>
      </c>
      <c r="O874" t="n">
        <v>0</v>
      </c>
      <c r="P874" t="n">
        <v>0</v>
      </c>
      <c r="Q874" t="n">
        <v>0</v>
      </c>
      <c r="R874" s="2" t="inlineStr"/>
    </row>
    <row r="875" ht="15" customHeight="1">
      <c r="A875" t="inlineStr">
        <is>
          <t>A 20699-2025</t>
        </is>
      </c>
      <c r="B875" s="1" t="n">
        <v>45776.47346064815</v>
      </c>
      <c r="C875" s="1" t="n">
        <v>46182</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3152-2024</t>
        </is>
      </c>
      <c r="B876" s="1" t="n">
        <v>45316.60306712963</v>
      </c>
      <c r="C876" s="1" t="n">
        <v>46182</v>
      </c>
      <c r="D876" t="inlineStr">
        <is>
          <t>STOCKHOLMS LÄN</t>
        </is>
      </c>
      <c r="E876" t="inlineStr">
        <is>
          <t>NORRTÄLJE</t>
        </is>
      </c>
      <c r="G876" t="n">
        <v>7.9</v>
      </c>
      <c r="H876" t="n">
        <v>0</v>
      </c>
      <c r="I876" t="n">
        <v>0</v>
      </c>
      <c r="J876" t="n">
        <v>0</v>
      </c>
      <c r="K876" t="n">
        <v>0</v>
      </c>
      <c r="L876" t="n">
        <v>0</v>
      </c>
      <c r="M876" t="n">
        <v>0</v>
      </c>
      <c r="N876" t="n">
        <v>0</v>
      </c>
      <c r="O876" t="n">
        <v>0</v>
      </c>
      <c r="P876" t="n">
        <v>0</v>
      </c>
      <c r="Q876" t="n">
        <v>0</v>
      </c>
      <c r="R876" s="2" t="inlineStr"/>
    </row>
    <row r="877" ht="15" customHeight="1">
      <c r="A877" t="inlineStr">
        <is>
          <t>A 59326-2023</t>
        </is>
      </c>
      <c r="B877" s="1" t="n">
        <v>45253.63089120371</v>
      </c>
      <c r="C877" s="1" t="n">
        <v>46182</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44836-2023</t>
        </is>
      </c>
      <c r="B878" s="1" t="n">
        <v>45190.55609953704</v>
      </c>
      <c r="C878" s="1" t="n">
        <v>46182</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59873-2024</t>
        </is>
      </c>
      <c r="B879" s="1" t="n">
        <v>45640.57305555556</v>
      </c>
      <c r="C879" s="1" t="n">
        <v>46182</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35916-2024</t>
        </is>
      </c>
      <c r="B880" s="1" t="n">
        <v>45533</v>
      </c>
      <c r="C880" s="1" t="n">
        <v>46182</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10098-2022</t>
        </is>
      </c>
      <c r="B881" s="1" t="n">
        <v>44621</v>
      </c>
      <c r="C881" s="1" t="n">
        <v>46182</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63161-2023</t>
        </is>
      </c>
      <c r="B882" s="1" t="n">
        <v>45273</v>
      </c>
      <c r="C882" s="1" t="n">
        <v>46182</v>
      </c>
      <c r="D882" t="inlineStr">
        <is>
          <t>STOCKHOLMS LÄN</t>
        </is>
      </c>
      <c r="E882" t="inlineStr">
        <is>
          <t>NORRTÄLJE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21771-2025</t>
        </is>
      </c>
      <c r="B883" s="1" t="n">
        <v>45783</v>
      </c>
      <c r="C883" s="1" t="n">
        <v>46182</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17207-2026</t>
        </is>
      </c>
      <c r="B884" s="1" t="n">
        <v>46119.31914351852</v>
      </c>
      <c r="C884" s="1" t="n">
        <v>46182</v>
      </c>
      <c r="D884" t="inlineStr">
        <is>
          <t>STOCKHOLMS LÄN</t>
        </is>
      </c>
      <c r="E884" t="inlineStr">
        <is>
          <t>NORRTÄLJE</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21778-2025</t>
        </is>
      </c>
      <c r="B885" s="1" t="n">
        <v>45783.66429398148</v>
      </c>
      <c r="C885" s="1" t="n">
        <v>46182</v>
      </c>
      <c r="D885" t="inlineStr">
        <is>
          <t>STOCKHOLMS LÄN</t>
        </is>
      </c>
      <c r="E885" t="inlineStr">
        <is>
          <t>NORRTÄLJE</t>
        </is>
      </c>
      <c r="G885" t="n">
        <v>2</v>
      </c>
      <c r="H885" t="n">
        <v>0</v>
      </c>
      <c r="I885" t="n">
        <v>0</v>
      </c>
      <c r="J885" t="n">
        <v>0</v>
      </c>
      <c r="K885" t="n">
        <v>0</v>
      </c>
      <c r="L885" t="n">
        <v>0</v>
      </c>
      <c r="M885" t="n">
        <v>0</v>
      </c>
      <c r="N885" t="n">
        <v>0</v>
      </c>
      <c r="O885" t="n">
        <v>0</v>
      </c>
      <c r="P885" t="n">
        <v>0</v>
      </c>
      <c r="Q885" t="n">
        <v>0</v>
      </c>
      <c r="R885" s="2" t="inlineStr"/>
    </row>
    <row r="886" ht="15" customHeight="1">
      <c r="A886" t="inlineStr">
        <is>
          <t>A 58041-2024</t>
        </is>
      </c>
      <c r="B886" s="1" t="n">
        <v>45631.74673611111</v>
      </c>
      <c r="C886" s="1" t="n">
        <v>46182</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30268-2024</t>
        </is>
      </c>
      <c r="B887" s="1" t="n">
        <v>45490.60572916667</v>
      </c>
      <c r="C887" s="1" t="n">
        <v>46182</v>
      </c>
      <c r="D887" t="inlineStr">
        <is>
          <t>STOCKHOLMS LÄN</t>
        </is>
      </c>
      <c r="E887" t="inlineStr">
        <is>
          <t>NORRTÄLJE</t>
        </is>
      </c>
      <c r="G887" t="n">
        <v>5.6</v>
      </c>
      <c r="H887" t="n">
        <v>0</v>
      </c>
      <c r="I887" t="n">
        <v>0</v>
      </c>
      <c r="J887" t="n">
        <v>0</v>
      </c>
      <c r="K887" t="n">
        <v>0</v>
      </c>
      <c r="L887" t="n">
        <v>0</v>
      </c>
      <c r="M887" t="n">
        <v>0</v>
      </c>
      <c r="N887" t="n">
        <v>0</v>
      </c>
      <c r="O887" t="n">
        <v>0</v>
      </c>
      <c r="P887" t="n">
        <v>0</v>
      </c>
      <c r="Q887" t="n">
        <v>0</v>
      </c>
      <c r="R887" s="2" t="inlineStr"/>
    </row>
    <row r="888" ht="15" customHeight="1">
      <c r="A888" t="inlineStr">
        <is>
          <t>A 17345-2026</t>
        </is>
      </c>
      <c r="B888" s="1" t="n">
        <v>46119</v>
      </c>
      <c r="C888" s="1" t="n">
        <v>46182</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17215-2026</t>
        </is>
      </c>
      <c r="B889" s="1" t="n">
        <v>46119.36524305555</v>
      </c>
      <c r="C889" s="1" t="n">
        <v>46182</v>
      </c>
      <c r="D889" t="inlineStr">
        <is>
          <t>STOCKHOLMS LÄN</t>
        </is>
      </c>
      <c r="E889" t="inlineStr">
        <is>
          <t>NORRTÄLJE</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19025-2025</t>
        </is>
      </c>
      <c r="B890" s="1" t="n">
        <v>45764.6359837963</v>
      </c>
      <c r="C890" s="1" t="n">
        <v>46182</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54276-2021</t>
        </is>
      </c>
      <c r="B891" s="1" t="n">
        <v>44470</v>
      </c>
      <c r="C891" s="1" t="n">
        <v>46182</v>
      </c>
      <c r="D891" t="inlineStr">
        <is>
          <t>STOCKHOLMS LÄN</t>
        </is>
      </c>
      <c r="E891" t="inlineStr">
        <is>
          <t>NORRTÄLJE</t>
        </is>
      </c>
      <c r="G891" t="n">
        <v>7.3</v>
      </c>
      <c r="H891" t="n">
        <v>0</v>
      </c>
      <c r="I891" t="n">
        <v>0</v>
      </c>
      <c r="J891" t="n">
        <v>0</v>
      </c>
      <c r="K891" t="n">
        <v>0</v>
      </c>
      <c r="L891" t="n">
        <v>0</v>
      </c>
      <c r="M891" t="n">
        <v>0</v>
      </c>
      <c r="N891" t="n">
        <v>0</v>
      </c>
      <c r="O891" t="n">
        <v>0</v>
      </c>
      <c r="P891" t="n">
        <v>0</v>
      </c>
      <c r="Q891" t="n">
        <v>0</v>
      </c>
      <c r="R891" s="2" t="inlineStr"/>
    </row>
    <row r="892" ht="15" customHeight="1">
      <c r="A892" t="inlineStr">
        <is>
          <t>A 4316-2023</t>
        </is>
      </c>
      <c r="B892" s="1" t="n">
        <v>44953.67443287037</v>
      </c>
      <c r="C892" s="1" t="n">
        <v>46182</v>
      </c>
      <c r="D892" t="inlineStr">
        <is>
          <t>STOCKHOLMS LÄN</t>
        </is>
      </c>
      <c r="E892" t="inlineStr">
        <is>
          <t>NORRTÄLJE</t>
        </is>
      </c>
      <c r="G892" t="n">
        <v>2.1</v>
      </c>
      <c r="H892" t="n">
        <v>0</v>
      </c>
      <c r="I892" t="n">
        <v>0</v>
      </c>
      <c r="J892" t="n">
        <v>0</v>
      </c>
      <c r="K892" t="n">
        <v>0</v>
      </c>
      <c r="L892" t="n">
        <v>0</v>
      </c>
      <c r="M892" t="n">
        <v>0</v>
      </c>
      <c r="N892" t="n">
        <v>0</v>
      </c>
      <c r="O892" t="n">
        <v>0</v>
      </c>
      <c r="P892" t="n">
        <v>0</v>
      </c>
      <c r="Q892" t="n">
        <v>0</v>
      </c>
      <c r="R892" s="2" t="inlineStr"/>
    </row>
    <row r="893" ht="15" customHeight="1">
      <c r="A893" t="inlineStr">
        <is>
          <t>A 41587-2023</t>
        </is>
      </c>
      <c r="B893" s="1" t="n">
        <v>45175</v>
      </c>
      <c r="C893" s="1" t="n">
        <v>46182</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22202-2025</t>
        </is>
      </c>
      <c r="B894" s="1" t="n">
        <v>45785.65300925926</v>
      </c>
      <c r="C894" s="1" t="n">
        <v>46182</v>
      </c>
      <c r="D894" t="inlineStr">
        <is>
          <t>STOCKHOLMS LÄN</t>
        </is>
      </c>
      <c r="E894" t="inlineStr">
        <is>
          <t>NORRTÄLJE</t>
        </is>
      </c>
      <c r="G894" t="n">
        <v>10.2</v>
      </c>
      <c r="H894" t="n">
        <v>0</v>
      </c>
      <c r="I894" t="n">
        <v>0</v>
      </c>
      <c r="J894" t="n">
        <v>0</v>
      </c>
      <c r="K894" t="n">
        <v>0</v>
      </c>
      <c r="L894" t="n">
        <v>0</v>
      </c>
      <c r="M894" t="n">
        <v>0</v>
      </c>
      <c r="N894" t="n">
        <v>0</v>
      </c>
      <c r="O894" t="n">
        <v>0</v>
      </c>
      <c r="P894" t="n">
        <v>0</v>
      </c>
      <c r="Q894" t="n">
        <v>0</v>
      </c>
      <c r="R894" s="2" t="inlineStr"/>
    </row>
    <row r="895" ht="15" customHeight="1">
      <c r="A895" t="inlineStr">
        <is>
          <t>A 17304-2024</t>
        </is>
      </c>
      <c r="B895" s="1" t="n">
        <v>45414</v>
      </c>
      <c r="C895" s="1" t="n">
        <v>46182</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17651-2026</t>
        </is>
      </c>
      <c r="B896" s="1" t="n">
        <v>46121.55334490741</v>
      </c>
      <c r="C896" s="1" t="n">
        <v>46182</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16620-2024</t>
        </is>
      </c>
      <c r="B897" s="1" t="n">
        <v>45408.57707175926</v>
      </c>
      <c r="C897" s="1" t="n">
        <v>46182</v>
      </c>
      <c r="D897" t="inlineStr">
        <is>
          <t>STOCKHOLMS LÄN</t>
        </is>
      </c>
      <c r="E897" t="inlineStr">
        <is>
          <t>NORRTÄLJE</t>
        </is>
      </c>
      <c r="G897" t="n">
        <v>2.7</v>
      </c>
      <c r="H897" t="n">
        <v>0</v>
      </c>
      <c r="I897" t="n">
        <v>0</v>
      </c>
      <c r="J897" t="n">
        <v>0</v>
      </c>
      <c r="K897" t="n">
        <v>0</v>
      </c>
      <c r="L897" t="n">
        <v>0</v>
      </c>
      <c r="M897" t="n">
        <v>0</v>
      </c>
      <c r="N897" t="n">
        <v>0</v>
      </c>
      <c r="O897" t="n">
        <v>0</v>
      </c>
      <c r="P897" t="n">
        <v>0</v>
      </c>
      <c r="Q897" t="n">
        <v>0</v>
      </c>
      <c r="R897" s="2" t="inlineStr"/>
    </row>
    <row r="898" ht="15" customHeight="1">
      <c r="A898" t="inlineStr">
        <is>
          <t>A 11280-2023</t>
        </is>
      </c>
      <c r="B898" s="1" t="n">
        <v>44992</v>
      </c>
      <c r="C898" s="1" t="n">
        <v>46182</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26668-2024</t>
        </is>
      </c>
      <c r="B899" s="1" t="n">
        <v>45469</v>
      </c>
      <c r="C899" s="1" t="n">
        <v>46182</v>
      </c>
      <c r="D899" t="inlineStr">
        <is>
          <t>STOCKHOLMS LÄN</t>
        </is>
      </c>
      <c r="E899" t="inlineStr">
        <is>
          <t>NORRTÄLJE</t>
        </is>
      </c>
      <c r="G899" t="n">
        <v>4.8</v>
      </c>
      <c r="H899" t="n">
        <v>0</v>
      </c>
      <c r="I899" t="n">
        <v>0</v>
      </c>
      <c r="J899" t="n">
        <v>0</v>
      </c>
      <c r="K899" t="n">
        <v>0</v>
      </c>
      <c r="L899" t="n">
        <v>0</v>
      </c>
      <c r="M899" t="n">
        <v>0</v>
      </c>
      <c r="N899" t="n">
        <v>0</v>
      </c>
      <c r="O899" t="n">
        <v>0</v>
      </c>
      <c r="P899" t="n">
        <v>0</v>
      </c>
      <c r="Q899" t="n">
        <v>0</v>
      </c>
      <c r="R899" s="2" t="inlineStr"/>
    </row>
    <row r="900" ht="15" customHeight="1">
      <c r="A900" t="inlineStr">
        <is>
          <t>A 22416-2025</t>
        </is>
      </c>
      <c r="B900" s="1" t="n">
        <v>45786.55645833333</v>
      </c>
      <c r="C900" s="1" t="n">
        <v>46182</v>
      </c>
      <c r="D900" t="inlineStr">
        <is>
          <t>STOCKHOLMS LÄN</t>
        </is>
      </c>
      <c r="E900" t="inlineStr">
        <is>
          <t>NORRTÄLJE</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58785-2024</t>
        </is>
      </c>
      <c r="B901" s="1" t="n">
        <v>45635.88849537037</v>
      </c>
      <c r="C901" s="1" t="n">
        <v>46182</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2182-2022</t>
        </is>
      </c>
      <c r="B902" s="1" t="n">
        <v>44578</v>
      </c>
      <c r="C902" s="1" t="n">
        <v>46182</v>
      </c>
      <c r="D902" t="inlineStr">
        <is>
          <t>STOCKHOLMS LÄN</t>
        </is>
      </c>
      <c r="E902" t="inlineStr">
        <is>
          <t>NORRTÄLJE</t>
        </is>
      </c>
      <c r="G902" t="n">
        <v>7.2</v>
      </c>
      <c r="H902" t="n">
        <v>0</v>
      </c>
      <c r="I902" t="n">
        <v>0</v>
      </c>
      <c r="J902" t="n">
        <v>0</v>
      </c>
      <c r="K902" t="n">
        <v>0</v>
      </c>
      <c r="L902" t="n">
        <v>0</v>
      </c>
      <c r="M902" t="n">
        <v>0</v>
      </c>
      <c r="N902" t="n">
        <v>0</v>
      </c>
      <c r="O902" t="n">
        <v>0</v>
      </c>
      <c r="P902" t="n">
        <v>0</v>
      </c>
      <c r="Q902" t="n">
        <v>0</v>
      </c>
      <c r="R902" s="2" t="inlineStr"/>
    </row>
    <row r="903" ht="15" customHeight="1">
      <c r="A903" t="inlineStr">
        <is>
          <t>A 13268-2025</t>
        </is>
      </c>
      <c r="B903" s="1" t="n">
        <v>45735</v>
      </c>
      <c r="C903" s="1" t="n">
        <v>46182</v>
      </c>
      <c r="D903" t="inlineStr">
        <is>
          <t>STOCKHOLMS LÄN</t>
        </is>
      </c>
      <c r="E903" t="inlineStr">
        <is>
          <t>NORRTÄLJE</t>
        </is>
      </c>
      <c r="G903" t="n">
        <v>11.4</v>
      </c>
      <c r="H903" t="n">
        <v>0</v>
      </c>
      <c r="I903" t="n">
        <v>0</v>
      </c>
      <c r="J903" t="n">
        <v>0</v>
      </c>
      <c r="K903" t="n">
        <v>0</v>
      </c>
      <c r="L903" t="n">
        <v>0</v>
      </c>
      <c r="M903" t="n">
        <v>0</v>
      </c>
      <c r="N903" t="n">
        <v>0</v>
      </c>
      <c r="O903" t="n">
        <v>0</v>
      </c>
      <c r="P903" t="n">
        <v>0</v>
      </c>
      <c r="Q903" t="n">
        <v>0</v>
      </c>
      <c r="R903" s="2" t="inlineStr"/>
    </row>
    <row r="904" ht="15" customHeight="1">
      <c r="A904" t="inlineStr">
        <is>
          <t>A 31926-2022</t>
        </is>
      </c>
      <c r="B904" s="1" t="n">
        <v>44777</v>
      </c>
      <c r="C904" s="1" t="n">
        <v>46182</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8414-2025</t>
        </is>
      </c>
      <c r="B905" s="1" t="n">
        <v>45709.39361111111</v>
      </c>
      <c r="C905" s="1" t="n">
        <v>46182</v>
      </c>
      <c r="D905" t="inlineStr">
        <is>
          <t>STOCKHOLMS LÄN</t>
        </is>
      </c>
      <c r="E905" t="inlineStr">
        <is>
          <t>NORRTÄLJE</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36625-2024</t>
        </is>
      </c>
      <c r="B906" s="1" t="n">
        <v>45537</v>
      </c>
      <c r="C906" s="1" t="n">
        <v>46182</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44891-2023</t>
        </is>
      </c>
      <c r="B907" s="1" t="n">
        <v>45187</v>
      </c>
      <c r="C907" s="1" t="n">
        <v>46182</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12902-2024</t>
        </is>
      </c>
      <c r="B908" s="1" t="n">
        <v>45385.38146990741</v>
      </c>
      <c r="C908" s="1" t="n">
        <v>46182</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44032-2024</t>
        </is>
      </c>
      <c r="B909" s="1" t="n">
        <v>45572.57828703704</v>
      </c>
      <c r="C909" s="1" t="n">
        <v>46182</v>
      </c>
      <c r="D909" t="inlineStr">
        <is>
          <t>STOCKHOLMS LÄN</t>
        </is>
      </c>
      <c r="E909" t="inlineStr">
        <is>
          <t>NORRTÄLJE</t>
        </is>
      </c>
      <c r="G909" t="n">
        <v>8.6</v>
      </c>
      <c r="H909" t="n">
        <v>0</v>
      </c>
      <c r="I909" t="n">
        <v>0</v>
      </c>
      <c r="J909" t="n">
        <v>0</v>
      </c>
      <c r="K909" t="n">
        <v>0</v>
      </c>
      <c r="L909" t="n">
        <v>0</v>
      </c>
      <c r="M909" t="n">
        <v>0</v>
      </c>
      <c r="N909" t="n">
        <v>0</v>
      </c>
      <c r="O909" t="n">
        <v>0</v>
      </c>
      <c r="P909" t="n">
        <v>0</v>
      </c>
      <c r="Q909" t="n">
        <v>0</v>
      </c>
      <c r="R909" s="2" t="inlineStr"/>
    </row>
    <row r="910" ht="15" customHeight="1">
      <c r="A910" t="inlineStr">
        <is>
          <t>A 24563-2024</t>
        </is>
      </c>
      <c r="B910" s="1" t="n">
        <v>45460.44347222222</v>
      </c>
      <c r="C910" s="1" t="n">
        <v>46182</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21480-2022</t>
        </is>
      </c>
      <c r="B911" s="1" t="n">
        <v>44704</v>
      </c>
      <c r="C911" s="1" t="n">
        <v>46182</v>
      </c>
      <c r="D911" t="inlineStr">
        <is>
          <t>STOCKHOLMS LÄN</t>
        </is>
      </c>
      <c r="E911" t="inlineStr">
        <is>
          <t>NORRTÄLJE</t>
        </is>
      </c>
      <c r="G911" t="n">
        <v>2.8</v>
      </c>
      <c r="H911" t="n">
        <v>0</v>
      </c>
      <c r="I911" t="n">
        <v>0</v>
      </c>
      <c r="J911" t="n">
        <v>0</v>
      </c>
      <c r="K911" t="n">
        <v>0</v>
      </c>
      <c r="L911" t="n">
        <v>0</v>
      </c>
      <c r="M911" t="n">
        <v>0</v>
      </c>
      <c r="N911" t="n">
        <v>0</v>
      </c>
      <c r="O911" t="n">
        <v>0</v>
      </c>
      <c r="P911" t="n">
        <v>0</v>
      </c>
      <c r="Q911" t="n">
        <v>0</v>
      </c>
      <c r="R911" s="2" t="inlineStr"/>
    </row>
    <row r="912" ht="15" customHeight="1">
      <c r="A912" t="inlineStr">
        <is>
          <t>A 39237-2024</t>
        </is>
      </c>
      <c r="B912" s="1" t="n">
        <v>45549</v>
      </c>
      <c r="C912" s="1" t="n">
        <v>46182</v>
      </c>
      <c r="D912" t="inlineStr">
        <is>
          <t>STOCKHOLMS LÄN</t>
        </is>
      </c>
      <c r="E912" t="inlineStr">
        <is>
          <t>NORRTÄLJE</t>
        </is>
      </c>
      <c r="G912" t="n">
        <v>13.3</v>
      </c>
      <c r="H912" t="n">
        <v>0</v>
      </c>
      <c r="I912" t="n">
        <v>0</v>
      </c>
      <c r="J912" t="n">
        <v>0</v>
      </c>
      <c r="K912" t="n">
        <v>0</v>
      </c>
      <c r="L912" t="n">
        <v>0</v>
      </c>
      <c r="M912" t="n">
        <v>0</v>
      </c>
      <c r="N912" t="n">
        <v>0</v>
      </c>
      <c r="O912" t="n">
        <v>0</v>
      </c>
      <c r="P912" t="n">
        <v>0</v>
      </c>
      <c r="Q912" t="n">
        <v>0</v>
      </c>
      <c r="R912" s="2" t="inlineStr"/>
    </row>
    <row r="913" ht="15" customHeight="1">
      <c r="A913" t="inlineStr">
        <is>
          <t>A 45746-2024</t>
        </is>
      </c>
      <c r="B913" s="1" t="n">
        <v>45579</v>
      </c>
      <c r="C913" s="1" t="n">
        <v>46182</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8400-2024</t>
        </is>
      </c>
      <c r="B914" s="1" t="n">
        <v>45352.74090277778</v>
      </c>
      <c r="C914" s="1" t="n">
        <v>46182</v>
      </c>
      <c r="D914" t="inlineStr">
        <is>
          <t>STOCKHOLMS LÄN</t>
        </is>
      </c>
      <c r="E914" t="inlineStr">
        <is>
          <t>NORRTÄLJE</t>
        </is>
      </c>
      <c r="G914" t="n">
        <v>4.7</v>
      </c>
      <c r="H914" t="n">
        <v>0</v>
      </c>
      <c r="I914" t="n">
        <v>0</v>
      </c>
      <c r="J914" t="n">
        <v>0</v>
      </c>
      <c r="K914" t="n">
        <v>0</v>
      </c>
      <c r="L914" t="n">
        <v>0</v>
      </c>
      <c r="M914" t="n">
        <v>0</v>
      </c>
      <c r="N914" t="n">
        <v>0</v>
      </c>
      <c r="O914" t="n">
        <v>0</v>
      </c>
      <c r="P914" t="n">
        <v>0</v>
      </c>
      <c r="Q914" t="n">
        <v>0</v>
      </c>
      <c r="R914" s="2" t="inlineStr"/>
    </row>
    <row r="915" ht="15" customHeight="1">
      <c r="A915" t="inlineStr">
        <is>
          <t>A 24024-2024</t>
        </is>
      </c>
      <c r="B915" s="1" t="n">
        <v>45456</v>
      </c>
      <c r="C915" s="1" t="n">
        <v>46182</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28809-2023</t>
        </is>
      </c>
      <c r="B916" s="1" t="n">
        <v>45104</v>
      </c>
      <c r="C916" s="1" t="n">
        <v>46182</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28813-2023</t>
        </is>
      </c>
      <c r="B917" s="1" t="n">
        <v>45104</v>
      </c>
      <c r="C917" s="1" t="n">
        <v>46182</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40656-2022</t>
        </is>
      </c>
      <c r="B918" s="1" t="n">
        <v>44824.36069444445</v>
      </c>
      <c r="C918" s="1" t="n">
        <v>46182</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60694-2024</t>
        </is>
      </c>
      <c r="B919" s="1" t="n">
        <v>45644.47878472223</v>
      </c>
      <c r="C919" s="1" t="n">
        <v>46182</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23855-2026</t>
        </is>
      </c>
      <c r="B920" s="1" t="n">
        <v>46167.38663194444</v>
      </c>
      <c r="C920" s="1" t="n">
        <v>46182</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21753-2026</t>
        </is>
      </c>
      <c r="B921" s="1" t="n">
        <v>46149</v>
      </c>
      <c r="C921" s="1" t="n">
        <v>46182</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15836-2026</t>
        </is>
      </c>
      <c r="B922" s="1" t="n">
        <v>46107</v>
      </c>
      <c r="C922" s="1" t="n">
        <v>46182</v>
      </c>
      <c r="D922" t="inlineStr">
        <is>
          <t>STOCKHOLMS LÄN</t>
        </is>
      </c>
      <c r="E922" t="inlineStr">
        <is>
          <t>NORRTÄLJE</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62998-2023</t>
        </is>
      </c>
      <c r="B923" s="1" t="n">
        <v>45272.64479166667</v>
      </c>
      <c r="C923" s="1" t="n">
        <v>46182</v>
      </c>
      <c r="D923" t="inlineStr">
        <is>
          <t>STOCKHOLMS LÄN</t>
        </is>
      </c>
      <c r="E923" t="inlineStr">
        <is>
          <t>NORRTÄLJE</t>
        </is>
      </c>
      <c r="G923" t="n">
        <v>16.3</v>
      </c>
      <c r="H923" t="n">
        <v>0</v>
      </c>
      <c r="I923" t="n">
        <v>0</v>
      </c>
      <c r="J923" t="n">
        <v>0</v>
      </c>
      <c r="K923" t="n">
        <v>0</v>
      </c>
      <c r="L923" t="n">
        <v>0</v>
      </c>
      <c r="M923" t="n">
        <v>0</v>
      </c>
      <c r="N923" t="n">
        <v>0</v>
      </c>
      <c r="O923" t="n">
        <v>0</v>
      </c>
      <c r="P923" t="n">
        <v>0</v>
      </c>
      <c r="Q923" t="n">
        <v>0</v>
      </c>
      <c r="R923" s="2" t="inlineStr"/>
    </row>
    <row r="924" ht="15" customHeight="1">
      <c r="A924" t="inlineStr">
        <is>
          <t>A 63015-2023</t>
        </is>
      </c>
      <c r="B924" s="1" t="n">
        <v>45272</v>
      </c>
      <c r="C924" s="1" t="n">
        <v>46182</v>
      </c>
      <c r="D924" t="inlineStr">
        <is>
          <t>STOCKHOLMS LÄN</t>
        </is>
      </c>
      <c r="E924" t="inlineStr">
        <is>
          <t>NORRTÄLJE</t>
        </is>
      </c>
      <c r="G924" t="n">
        <v>13.1</v>
      </c>
      <c r="H924" t="n">
        <v>0</v>
      </c>
      <c r="I924" t="n">
        <v>0</v>
      </c>
      <c r="J924" t="n">
        <v>0</v>
      </c>
      <c r="K924" t="n">
        <v>0</v>
      </c>
      <c r="L924" t="n">
        <v>0</v>
      </c>
      <c r="M924" t="n">
        <v>0</v>
      </c>
      <c r="N924" t="n">
        <v>0</v>
      </c>
      <c r="O924" t="n">
        <v>0</v>
      </c>
      <c r="P924" t="n">
        <v>0</v>
      </c>
      <c r="Q924" t="n">
        <v>0</v>
      </c>
      <c r="R924" s="2" t="inlineStr"/>
    </row>
    <row r="925" ht="15" customHeight="1">
      <c r="A925" t="inlineStr">
        <is>
          <t>A 27831-2024</t>
        </is>
      </c>
      <c r="B925" s="1" t="n">
        <v>45475.61896990741</v>
      </c>
      <c r="C925" s="1" t="n">
        <v>46182</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33353-2023</t>
        </is>
      </c>
      <c r="B926" s="1" t="n">
        <v>45128</v>
      </c>
      <c r="C926" s="1" t="n">
        <v>46182</v>
      </c>
      <c r="D926" t="inlineStr">
        <is>
          <t>STOCKHOLMS LÄN</t>
        </is>
      </c>
      <c r="E926" t="inlineStr">
        <is>
          <t>NORRTÄLJE</t>
        </is>
      </c>
      <c r="G926" t="n">
        <v>0.8</v>
      </c>
      <c r="H926" t="n">
        <v>0</v>
      </c>
      <c r="I926" t="n">
        <v>0</v>
      </c>
      <c r="J926" t="n">
        <v>0</v>
      </c>
      <c r="K926" t="n">
        <v>0</v>
      </c>
      <c r="L926" t="n">
        <v>0</v>
      </c>
      <c r="M926" t="n">
        <v>0</v>
      </c>
      <c r="N926" t="n">
        <v>0</v>
      </c>
      <c r="O926" t="n">
        <v>0</v>
      </c>
      <c r="P926" t="n">
        <v>0</v>
      </c>
      <c r="Q926" t="n">
        <v>0</v>
      </c>
      <c r="R926" s="2" t="inlineStr"/>
    </row>
    <row r="927" ht="15" customHeight="1">
      <c r="A927" t="inlineStr">
        <is>
          <t>A 33175-2024</t>
        </is>
      </c>
      <c r="B927" s="1" t="n">
        <v>45518</v>
      </c>
      <c r="C927" s="1" t="n">
        <v>46182</v>
      </c>
      <c r="D927" t="inlineStr">
        <is>
          <t>STOCKHOLMS LÄN</t>
        </is>
      </c>
      <c r="E927" t="inlineStr">
        <is>
          <t>NORRTÄLJE</t>
        </is>
      </c>
      <c r="G927" t="n">
        <v>2.1</v>
      </c>
      <c r="H927" t="n">
        <v>0</v>
      </c>
      <c r="I927" t="n">
        <v>0</v>
      </c>
      <c r="J927" t="n">
        <v>0</v>
      </c>
      <c r="K927" t="n">
        <v>0</v>
      </c>
      <c r="L927" t="n">
        <v>0</v>
      </c>
      <c r="M927" t="n">
        <v>0</v>
      </c>
      <c r="N927" t="n">
        <v>0</v>
      </c>
      <c r="O927" t="n">
        <v>0</v>
      </c>
      <c r="P927" t="n">
        <v>0</v>
      </c>
      <c r="Q927" t="n">
        <v>0</v>
      </c>
      <c r="R927" s="2" t="inlineStr"/>
    </row>
    <row r="928" ht="15" customHeight="1">
      <c r="A928" t="inlineStr">
        <is>
          <t>A 14937-2026</t>
        </is>
      </c>
      <c r="B928" s="1" t="n">
        <v>46104</v>
      </c>
      <c r="C928" s="1" t="n">
        <v>46182</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21803-2022</t>
        </is>
      </c>
      <c r="B929" s="1" t="n">
        <v>44708.67822916667</v>
      </c>
      <c r="C929" s="1" t="n">
        <v>46182</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20730-2024</t>
        </is>
      </c>
      <c r="B930" s="1" t="n">
        <v>45436</v>
      </c>
      <c r="C930" s="1" t="n">
        <v>46182</v>
      </c>
      <c r="D930" t="inlineStr">
        <is>
          <t>STOCKHOLMS LÄN</t>
        </is>
      </c>
      <c r="E930" t="inlineStr">
        <is>
          <t>NORRTÄLJE</t>
        </is>
      </c>
      <c r="G930" t="n">
        <v>7.3</v>
      </c>
      <c r="H930" t="n">
        <v>0</v>
      </c>
      <c r="I930" t="n">
        <v>0</v>
      </c>
      <c r="J930" t="n">
        <v>0</v>
      </c>
      <c r="K930" t="n">
        <v>0</v>
      </c>
      <c r="L930" t="n">
        <v>0</v>
      </c>
      <c r="M930" t="n">
        <v>0</v>
      </c>
      <c r="N930" t="n">
        <v>0</v>
      </c>
      <c r="O930" t="n">
        <v>0</v>
      </c>
      <c r="P930" t="n">
        <v>0</v>
      </c>
      <c r="Q930" t="n">
        <v>0</v>
      </c>
      <c r="R930" s="2" t="inlineStr"/>
    </row>
    <row r="931" ht="15" customHeight="1">
      <c r="A931" t="inlineStr">
        <is>
          <t>A 3966-2024</t>
        </is>
      </c>
      <c r="B931" s="1" t="n">
        <v>45322</v>
      </c>
      <c r="C931" s="1" t="n">
        <v>46182</v>
      </c>
      <c r="D931" t="inlineStr">
        <is>
          <t>STOCKHOLMS LÄN</t>
        </is>
      </c>
      <c r="E931" t="inlineStr">
        <is>
          <t>NORRTÄLJE</t>
        </is>
      </c>
      <c r="G931" t="n">
        <v>5.3</v>
      </c>
      <c r="H931" t="n">
        <v>0</v>
      </c>
      <c r="I931" t="n">
        <v>0</v>
      </c>
      <c r="J931" t="n">
        <v>0</v>
      </c>
      <c r="K931" t="n">
        <v>0</v>
      </c>
      <c r="L931" t="n">
        <v>0</v>
      </c>
      <c r="M931" t="n">
        <v>0</v>
      </c>
      <c r="N931" t="n">
        <v>0</v>
      </c>
      <c r="O931" t="n">
        <v>0</v>
      </c>
      <c r="P931" t="n">
        <v>0</v>
      </c>
      <c r="Q931" t="n">
        <v>0</v>
      </c>
      <c r="R931" s="2" t="inlineStr"/>
    </row>
    <row r="932" ht="15" customHeight="1">
      <c r="A932" t="inlineStr">
        <is>
          <t>A 12901-2024</t>
        </is>
      </c>
      <c r="B932" s="1" t="n">
        <v>45385.37922453704</v>
      </c>
      <c r="C932" s="1" t="n">
        <v>46182</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8950-2025</t>
        </is>
      </c>
      <c r="B933" s="1" t="n">
        <v>45713</v>
      </c>
      <c r="C933" s="1" t="n">
        <v>46182</v>
      </c>
      <c r="D933" t="inlineStr">
        <is>
          <t>STOCKHOLMS LÄN</t>
        </is>
      </c>
      <c r="E933" t="inlineStr">
        <is>
          <t>NORRTÄLJE</t>
        </is>
      </c>
      <c r="F933" t="inlineStr">
        <is>
          <t>Övriga Aktiebolag</t>
        </is>
      </c>
      <c r="G933" t="n">
        <v>3.6</v>
      </c>
      <c r="H933" t="n">
        <v>0</v>
      </c>
      <c r="I933" t="n">
        <v>0</v>
      </c>
      <c r="J933" t="n">
        <v>0</v>
      </c>
      <c r="K933" t="n">
        <v>0</v>
      </c>
      <c r="L933" t="n">
        <v>0</v>
      </c>
      <c r="M933" t="n">
        <v>0</v>
      </c>
      <c r="N933" t="n">
        <v>0</v>
      </c>
      <c r="O933" t="n">
        <v>0</v>
      </c>
      <c r="P933" t="n">
        <v>0</v>
      </c>
      <c r="Q933" t="n">
        <v>0</v>
      </c>
      <c r="R933" s="2" t="inlineStr"/>
    </row>
    <row r="934" ht="15" customHeight="1">
      <c r="A934" t="inlineStr">
        <is>
          <t>A 12301-2025</t>
        </is>
      </c>
      <c r="B934" s="1" t="n">
        <v>45729.7271875</v>
      </c>
      <c r="C934" s="1" t="n">
        <v>46182</v>
      </c>
      <c r="D934" t="inlineStr">
        <is>
          <t>STOCKHOLMS LÄN</t>
        </is>
      </c>
      <c r="E934" t="inlineStr">
        <is>
          <t>NORRTÄLJE</t>
        </is>
      </c>
      <c r="G934" t="n">
        <v>3.2</v>
      </c>
      <c r="H934" t="n">
        <v>0</v>
      </c>
      <c r="I934" t="n">
        <v>0</v>
      </c>
      <c r="J934" t="n">
        <v>0</v>
      </c>
      <c r="K934" t="n">
        <v>0</v>
      </c>
      <c r="L934" t="n">
        <v>0</v>
      </c>
      <c r="M934" t="n">
        <v>0</v>
      </c>
      <c r="N934" t="n">
        <v>0</v>
      </c>
      <c r="O934" t="n">
        <v>0</v>
      </c>
      <c r="P934" t="n">
        <v>0</v>
      </c>
      <c r="Q934" t="n">
        <v>0</v>
      </c>
      <c r="R934" s="2" t="inlineStr"/>
    </row>
    <row r="935" ht="15" customHeight="1">
      <c r="A935" t="inlineStr">
        <is>
          <t>A 13283-2025</t>
        </is>
      </c>
      <c r="B935" s="1" t="n">
        <v>45735</v>
      </c>
      <c r="C935" s="1" t="n">
        <v>46182</v>
      </c>
      <c r="D935" t="inlineStr">
        <is>
          <t>STOCKHOLMS LÄN</t>
        </is>
      </c>
      <c r="E935" t="inlineStr">
        <is>
          <t>NORRTÄLJE</t>
        </is>
      </c>
      <c r="G935" t="n">
        <v>4.9</v>
      </c>
      <c r="H935" t="n">
        <v>0</v>
      </c>
      <c r="I935" t="n">
        <v>0</v>
      </c>
      <c r="J935" t="n">
        <v>0</v>
      </c>
      <c r="K935" t="n">
        <v>0</v>
      </c>
      <c r="L935" t="n">
        <v>0</v>
      </c>
      <c r="M935" t="n">
        <v>0</v>
      </c>
      <c r="N935" t="n">
        <v>0</v>
      </c>
      <c r="O935" t="n">
        <v>0</v>
      </c>
      <c r="P935" t="n">
        <v>0</v>
      </c>
      <c r="Q935" t="n">
        <v>0</v>
      </c>
      <c r="R935" s="2" t="inlineStr"/>
    </row>
    <row r="936" ht="15" customHeight="1">
      <c r="A936" t="inlineStr">
        <is>
          <t>A 24835-2025</t>
        </is>
      </c>
      <c r="B936" s="1" t="n">
        <v>45799</v>
      </c>
      <c r="C936" s="1" t="n">
        <v>46182</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24687-2025</t>
        </is>
      </c>
      <c r="B937" s="1" t="n">
        <v>45798.66767361111</v>
      </c>
      <c r="C937" s="1" t="n">
        <v>46182</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23262-2023</t>
        </is>
      </c>
      <c r="B938" s="1" t="n">
        <v>45075.90270833333</v>
      </c>
      <c r="C938" s="1" t="n">
        <v>46182</v>
      </c>
      <c r="D938" t="inlineStr">
        <is>
          <t>STOCKHOLMS LÄN</t>
        </is>
      </c>
      <c r="E938" t="inlineStr">
        <is>
          <t>NORRTÄLJE</t>
        </is>
      </c>
      <c r="F938" t="inlineStr">
        <is>
          <t>Kommuner</t>
        </is>
      </c>
      <c r="G938" t="n">
        <v>1.9</v>
      </c>
      <c r="H938" t="n">
        <v>0</v>
      </c>
      <c r="I938" t="n">
        <v>0</v>
      </c>
      <c r="J938" t="n">
        <v>0</v>
      </c>
      <c r="K938" t="n">
        <v>0</v>
      </c>
      <c r="L938" t="n">
        <v>0</v>
      </c>
      <c r="M938" t="n">
        <v>0</v>
      </c>
      <c r="N938" t="n">
        <v>0</v>
      </c>
      <c r="O938" t="n">
        <v>0</v>
      </c>
      <c r="P938" t="n">
        <v>0</v>
      </c>
      <c r="Q938" t="n">
        <v>0</v>
      </c>
      <c r="R938" s="2" t="inlineStr"/>
    </row>
    <row r="939" ht="15" customHeight="1">
      <c r="A939" t="inlineStr">
        <is>
          <t>A 23268-2023</t>
        </is>
      </c>
      <c r="B939" s="1" t="n">
        <v>45075.91042824074</v>
      </c>
      <c r="C939" s="1" t="n">
        <v>46182</v>
      </c>
      <c r="D939" t="inlineStr">
        <is>
          <t>STOCKHOLMS LÄN</t>
        </is>
      </c>
      <c r="E939" t="inlineStr">
        <is>
          <t>NORRTÄLJE</t>
        </is>
      </c>
      <c r="G939" t="n">
        <v>3.3</v>
      </c>
      <c r="H939" t="n">
        <v>0</v>
      </c>
      <c r="I939" t="n">
        <v>0</v>
      </c>
      <c r="J939" t="n">
        <v>0</v>
      </c>
      <c r="K939" t="n">
        <v>0</v>
      </c>
      <c r="L939" t="n">
        <v>0</v>
      </c>
      <c r="M939" t="n">
        <v>0</v>
      </c>
      <c r="N939" t="n">
        <v>0</v>
      </c>
      <c r="O939" t="n">
        <v>0</v>
      </c>
      <c r="P939" t="n">
        <v>0</v>
      </c>
      <c r="Q939" t="n">
        <v>0</v>
      </c>
      <c r="R939" s="2" t="inlineStr"/>
    </row>
    <row r="940" ht="15" customHeight="1">
      <c r="A940" t="inlineStr">
        <is>
          <t>A 23270-2023</t>
        </is>
      </c>
      <c r="B940" s="1" t="n">
        <v>45075.91265046296</v>
      </c>
      <c r="C940" s="1" t="n">
        <v>46182</v>
      </c>
      <c r="D940" t="inlineStr">
        <is>
          <t>STOCKHOLMS LÄN</t>
        </is>
      </c>
      <c r="E940" t="inlineStr">
        <is>
          <t>NORRTÄLJE</t>
        </is>
      </c>
      <c r="G940" t="n">
        <v>12.3</v>
      </c>
      <c r="H940" t="n">
        <v>0</v>
      </c>
      <c r="I940" t="n">
        <v>0</v>
      </c>
      <c r="J940" t="n">
        <v>0</v>
      </c>
      <c r="K940" t="n">
        <v>0</v>
      </c>
      <c r="L940" t="n">
        <v>0</v>
      </c>
      <c r="M940" t="n">
        <v>0</v>
      </c>
      <c r="N940" t="n">
        <v>0</v>
      </c>
      <c r="O940" t="n">
        <v>0</v>
      </c>
      <c r="P940" t="n">
        <v>0</v>
      </c>
      <c r="Q940" t="n">
        <v>0</v>
      </c>
      <c r="R940" s="2" t="inlineStr"/>
    </row>
    <row r="941" ht="15" customHeight="1">
      <c r="A941" t="inlineStr">
        <is>
          <t>A 23274-2023</t>
        </is>
      </c>
      <c r="B941" s="1" t="n">
        <v>45075.92153935185</v>
      </c>
      <c r="C941" s="1" t="n">
        <v>46182</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17843-2024</t>
        </is>
      </c>
      <c r="B942" s="1" t="n">
        <v>45418</v>
      </c>
      <c r="C942" s="1" t="n">
        <v>46182</v>
      </c>
      <c r="D942" t="inlineStr">
        <is>
          <t>STOCKHOLMS LÄN</t>
        </is>
      </c>
      <c r="E942" t="inlineStr">
        <is>
          <t>NORRTÄLJE</t>
        </is>
      </c>
      <c r="G942" t="n">
        <v>5.4</v>
      </c>
      <c r="H942" t="n">
        <v>0</v>
      </c>
      <c r="I942" t="n">
        <v>0</v>
      </c>
      <c r="J942" t="n">
        <v>0</v>
      </c>
      <c r="K942" t="n">
        <v>0</v>
      </c>
      <c r="L942" t="n">
        <v>0</v>
      </c>
      <c r="M942" t="n">
        <v>0</v>
      </c>
      <c r="N942" t="n">
        <v>0</v>
      </c>
      <c r="O942" t="n">
        <v>0</v>
      </c>
      <c r="P942" t="n">
        <v>0</v>
      </c>
      <c r="Q942" t="n">
        <v>0</v>
      </c>
      <c r="R942" s="2" t="inlineStr"/>
    </row>
    <row r="943" ht="15" customHeight="1">
      <c r="A943" t="inlineStr">
        <is>
          <t>A 24638-2025</t>
        </is>
      </c>
      <c r="B943" s="1" t="n">
        <v>45798</v>
      </c>
      <c r="C943" s="1" t="n">
        <v>46182</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26636-2023</t>
        </is>
      </c>
      <c r="B944" s="1" t="n">
        <v>45092</v>
      </c>
      <c r="C944" s="1" t="n">
        <v>46182</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26637-2023</t>
        </is>
      </c>
      <c r="B945" s="1" t="n">
        <v>45092</v>
      </c>
      <c r="C945" s="1" t="n">
        <v>46182</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24891-2026</t>
        </is>
      </c>
      <c r="B946" s="1" t="n">
        <v>46174.45833333334</v>
      </c>
      <c r="C946" s="1" t="n">
        <v>46182</v>
      </c>
      <c r="D946" t="inlineStr">
        <is>
          <t>STOCKHOLMS LÄN</t>
        </is>
      </c>
      <c r="E946" t="inlineStr">
        <is>
          <t>NORRTÄLJE</t>
        </is>
      </c>
      <c r="G946" t="n">
        <v>4</v>
      </c>
      <c r="H946" t="n">
        <v>0</v>
      </c>
      <c r="I946" t="n">
        <v>0</v>
      </c>
      <c r="J946" t="n">
        <v>0</v>
      </c>
      <c r="K946" t="n">
        <v>0</v>
      </c>
      <c r="L946" t="n">
        <v>0</v>
      </c>
      <c r="M946" t="n">
        <v>0</v>
      </c>
      <c r="N946" t="n">
        <v>0</v>
      </c>
      <c r="O946" t="n">
        <v>0</v>
      </c>
      <c r="P946" t="n">
        <v>0</v>
      </c>
      <c r="Q946" t="n">
        <v>0</v>
      </c>
      <c r="R946" s="2" t="inlineStr"/>
    </row>
    <row r="947" ht="15" customHeight="1">
      <c r="A947" t="inlineStr">
        <is>
          <t>A 28603-2024</t>
        </is>
      </c>
      <c r="B947" s="1" t="n">
        <v>45478.42887731481</v>
      </c>
      <c r="C947" s="1" t="n">
        <v>46182</v>
      </c>
      <c r="D947" t="inlineStr">
        <is>
          <t>STOCKHOLMS LÄN</t>
        </is>
      </c>
      <c r="E947" t="inlineStr">
        <is>
          <t>NORRTÄLJE</t>
        </is>
      </c>
      <c r="G947" t="n">
        <v>5.6</v>
      </c>
      <c r="H947" t="n">
        <v>0</v>
      </c>
      <c r="I947" t="n">
        <v>0</v>
      </c>
      <c r="J947" t="n">
        <v>0</v>
      </c>
      <c r="K947" t="n">
        <v>0</v>
      </c>
      <c r="L947" t="n">
        <v>0</v>
      </c>
      <c r="M947" t="n">
        <v>0</v>
      </c>
      <c r="N947" t="n">
        <v>0</v>
      </c>
      <c r="O947" t="n">
        <v>0</v>
      </c>
      <c r="P947" t="n">
        <v>0</v>
      </c>
      <c r="Q947" t="n">
        <v>0</v>
      </c>
      <c r="R947" s="2" t="inlineStr"/>
    </row>
    <row r="948" ht="15" customHeight="1">
      <c r="A948" t="inlineStr">
        <is>
          <t>A 19129-2026</t>
        </is>
      </c>
      <c r="B948" s="1" t="n">
        <v>46132.48601851852</v>
      </c>
      <c r="C948" s="1" t="n">
        <v>46182</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19358-2026</t>
        </is>
      </c>
      <c r="B949" s="1" t="n">
        <v>46133.4978125</v>
      </c>
      <c r="C949" s="1" t="n">
        <v>46182</v>
      </c>
      <c r="D949" t="inlineStr">
        <is>
          <t>STOCKHOLMS LÄN</t>
        </is>
      </c>
      <c r="E949" t="inlineStr">
        <is>
          <t>NORRTÄLJE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19170-2026</t>
        </is>
      </c>
      <c r="B950" s="1" t="n">
        <v>46132.5859837963</v>
      </c>
      <c r="C950" s="1" t="n">
        <v>46182</v>
      </c>
      <c r="D950" t="inlineStr">
        <is>
          <t>STOCKHOLMS LÄN</t>
        </is>
      </c>
      <c r="E950" t="inlineStr">
        <is>
          <t>NORRTÄLJE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19688-2026</t>
        </is>
      </c>
      <c r="B951" s="1" t="n">
        <v>46134.67685185185</v>
      </c>
      <c r="C951" s="1" t="n">
        <v>46182</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19352-2026</t>
        </is>
      </c>
      <c r="B952" s="1" t="n">
        <v>46133.47344907407</v>
      </c>
      <c r="C952" s="1" t="n">
        <v>46182</v>
      </c>
      <c r="D952" t="inlineStr">
        <is>
          <t>STOCKHOLMS LÄN</t>
        </is>
      </c>
      <c r="E952" t="inlineStr">
        <is>
          <t>NORRTÄLJE</t>
        </is>
      </c>
      <c r="G952" t="n">
        <v>5.5</v>
      </c>
      <c r="H952" t="n">
        <v>0</v>
      </c>
      <c r="I952" t="n">
        <v>0</v>
      </c>
      <c r="J952" t="n">
        <v>0</v>
      </c>
      <c r="K952" t="n">
        <v>0</v>
      </c>
      <c r="L952" t="n">
        <v>0</v>
      </c>
      <c r="M952" t="n">
        <v>0</v>
      </c>
      <c r="N952" t="n">
        <v>0</v>
      </c>
      <c r="O952" t="n">
        <v>0</v>
      </c>
      <c r="P952" t="n">
        <v>0</v>
      </c>
      <c r="Q952" t="n">
        <v>0</v>
      </c>
      <c r="R952" s="2" t="inlineStr"/>
    </row>
    <row r="953" ht="15" customHeight="1">
      <c r="A953" t="inlineStr">
        <is>
          <t>A 24690-2025</t>
        </is>
      </c>
      <c r="B953" s="1" t="n">
        <v>45798.67082175926</v>
      </c>
      <c r="C953" s="1" t="n">
        <v>46182</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19759-2026</t>
        </is>
      </c>
      <c r="B954" s="1" t="n">
        <v>46135.41234953704</v>
      </c>
      <c r="C954" s="1" t="n">
        <v>46182</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47259-2024</t>
        </is>
      </c>
      <c r="B955" s="1" t="n">
        <v>45586</v>
      </c>
      <c r="C955" s="1" t="n">
        <v>46182</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25712-2025</t>
        </is>
      </c>
      <c r="B956" s="1" t="n">
        <v>45803.69228009259</v>
      </c>
      <c r="C956" s="1" t="n">
        <v>46182</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17209-2026</t>
        </is>
      </c>
      <c r="B957" s="1" t="n">
        <v>46119.33341435185</v>
      </c>
      <c r="C957" s="1" t="n">
        <v>46182</v>
      </c>
      <c r="D957" t="inlineStr">
        <is>
          <t>STOCKHOLMS LÄN</t>
        </is>
      </c>
      <c r="E957" t="inlineStr">
        <is>
          <t>NORRTÄLJE</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39238-2024</t>
        </is>
      </c>
      <c r="B958" s="1" t="n">
        <v>45549</v>
      </c>
      <c r="C958" s="1" t="n">
        <v>46182</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25571-2025</t>
        </is>
      </c>
      <c r="B959" s="1" t="n">
        <v>45803.4675</v>
      </c>
      <c r="C959" s="1" t="n">
        <v>46182</v>
      </c>
      <c r="D959" t="inlineStr">
        <is>
          <t>STOCKHOLMS LÄN</t>
        </is>
      </c>
      <c r="E959" t="inlineStr">
        <is>
          <t>NORRTÄLJE</t>
        </is>
      </c>
      <c r="G959" t="n">
        <v>5.4</v>
      </c>
      <c r="H959" t="n">
        <v>0</v>
      </c>
      <c r="I959" t="n">
        <v>0</v>
      </c>
      <c r="J959" t="n">
        <v>0</v>
      </c>
      <c r="K959" t="n">
        <v>0</v>
      </c>
      <c r="L959" t="n">
        <v>0</v>
      </c>
      <c r="M959" t="n">
        <v>0</v>
      </c>
      <c r="N959" t="n">
        <v>0</v>
      </c>
      <c r="O959" t="n">
        <v>0</v>
      </c>
      <c r="P959" t="n">
        <v>0</v>
      </c>
      <c r="Q959" t="n">
        <v>0</v>
      </c>
      <c r="R959" s="2" t="inlineStr"/>
    </row>
    <row r="960" ht="15" customHeight="1">
      <c r="A960" t="inlineStr">
        <is>
          <t>A 25721-2025</t>
        </is>
      </c>
      <c r="B960" s="1" t="n">
        <v>45800</v>
      </c>
      <c r="C960" s="1" t="n">
        <v>46182</v>
      </c>
      <c r="D960" t="inlineStr">
        <is>
          <t>STOCKHOLMS LÄN</t>
        </is>
      </c>
      <c r="E960" t="inlineStr">
        <is>
          <t>NORRTÄLJE</t>
        </is>
      </c>
      <c r="G960" t="n">
        <v>6</v>
      </c>
      <c r="H960" t="n">
        <v>0</v>
      </c>
      <c r="I960" t="n">
        <v>0</v>
      </c>
      <c r="J960" t="n">
        <v>0</v>
      </c>
      <c r="K960" t="n">
        <v>0</v>
      </c>
      <c r="L960" t="n">
        <v>0</v>
      </c>
      <c r="M960" t="n">
        <v>0</v>
      </c>
      <c r="N960" t="n">
        <v>0</v>
      </c>
      <c r="O960" t="n">
        <v>0</v>
      </c>
      <c r="P960" t="n">
        <v>0</v>
      </c>
      <c r="Q960" t="n">
        <v>0</v>
      </c>
      <c r="R960" s="2" t="inlineStr"/>
    </row>
    <row r="961" ht="15" customHeight="1">
      <c r="A961" t="inlineStr">
        <is>
          <t>A 41218-2024</t>
        </is>
      </c>
      <c r="B961" s="1" t="n">
        <v>45559.54706018518</v>
      </c>
      <c r="C961" s="1" t="n">
        <v>46182</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25507-2026</t>
        </is>
      </c>
      <c r="B962" s="1" t="n">
        <v>46177.4653587963</v>
      </c>
      <c r="C962" s="1" t="n">
        <v>46182</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25529-2026</t>
        </is>
      </c>
      <c r="B963" s="1" t="n">
        <v>46177.53180555555</v>
      </c>
      <c r="C963" s="1" t="n">
        <v>46182</v>
      </c>
      <c r="D963" t="inlineStr">
        <is>
          <t>STOCKHOLMS LÄN</t>
        </is>
      </c>
      <c r="E963" t="inlineStr">
        <is>
          <t>NORRTÄLJE</t>
        </is>
      </c>
      <c r="G963" t="n">
        <v>6.3</v>
      </c>
      <c r="H963" t="n">
        <v>0</v>
      </c>
      <c r="I963" t="n">
        <v>0</v>
      </c>
      <c r="J963" t="n">
        <v>0</v>
      </c>
      <c r="K963" t="n">
        <v>0</v>
      </c>
      <c r="L963" t="n">
        <v>0</v>
      </c>
      <c r="M963" t="n">
        <v>0</v>
      </c>
      <c r="N963" t="n">
        <v>0</v>
      </c>
      <c r="O963" t="n">
        <v>0</v>
      </c>
      <c r="P963" t="n">
        <v>0</v>
      </c>
      <c r="Q963" t="n">
        <v>0</v>
      </c>
      <c r="R963" s="2" t="inlineStr"/>
    </row>
    <row r="964" ht="15" customHeight="1">
      <c r="A964" t="inlineStr">
        <is>
          <t>A 38449-2022</t>
        </is>
      </c>
      <c r="B964" s="1" t="n">
        <v>44813</v>
      </c>
      <c r="C964" s="1" t="n">
        <v>46182</v>
      </c>
      <c r="D964" t="inlineStr">
        <is>
          <t>STOCKHOLMS LÄN</t>
        </is>
      </c>
      <c r="E964" t="inlineStr">
        <is>
          <t>NORRTÄLJE</t>
        </is>
      </c>
      <c r="G964" t="n">
        <v>4.2</v>
      </c>
      <c r="H964" t="n">
        <v>0</v>
      </c>
      <c r="I964" t="n">
        <v>0</v>
      </c>
      <c r="J964" t="n">
        <v>0</v>
      </c>
      <c r="K964" t="n">
        <v>0</v>
      </c>
      <c r="L964" t="n">
        <v>0</v>
      </c>
      <c r="M964" t="n">
        <v>0</v>
      </c>
      <c r="N964" t="n">
        <v>0</v>
      </c>
      <c r="O964" t="n">
        <v>0</v>
      </c>
      <c r="P964" t="n">
        <v>0</v>
      </c>
      <c r="Q964" t="n">
        <v>0</v>
      </c>
      <c r="R964" s="2" t="inlineStr"/>
    </row>
    <row r="965" ht="15" customHeight="1">
      <c r="A965" t="inlineStr">
        <is>
          <t>A 53561-2023</t>
        </is>
      </c>
      <c r="B965" s="1" t="n">
        <v>45224</v>
      </c>
      <c r="C965" s="1" t="n">
        <v>46182</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41301-2025</t>
        </is>
      </c>
      <c r="B966" s="1" t="n">
        <v>45898.68826388889</v>
      </c>
      <c r="C966" s="1" t="n">
        <v>46182</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55503-2025</t>
        </is>
      </c>
      <c r="B967" s="1" t="n">
        <v>45971</v>
      </c>
      <c r="C967" s="1" t="n">
        <v>46182</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25919-2026</t>
        </is>
      </c>
      <c r="B968" s="1" t="n">
        <v>46178.7539699074</v>
      </c>
      <c r="C968" s="1" t="n">
        <v>46182</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27697-2025</t>
        </is>
      </c>
      <c r="B969" s="1" t="n">
        <v>45813.66961805556</v>
      </c>
      <c r="C969" s="1" t="n">
        <v>46182</v>
      </c>
      <c r="D969" t="inlineStr">
        <is>
          <t>STOCKHOLMS LÄN</t>
        </is>
      </c>
      <c r="E969" t="inlineStr">
        <is>
          <t>NORRTÄLJE</t>
        </is>
      </c>
      <c r="G969" t="n">
        <v>6.2</v>
      </c>
      <c r="H969" t="n">
        <v>0</v>
      </c>
      <c r="I969" t="n">
        <v>0</v>
      </c>
      <c r="J969" t="n">
        <v>0</v>
      </c>
      <c r="K969" t="n">
        <v>0</v>
      </c>
      <c r="L969" t="n">
        <v>0</v>
      </c>
      <c r="M969" t="n">
        <v>0</v>
      </c>
      <c r="N969" t="n">
        <v>0</v>
      </c>
      <c r="O969" t="n">
        <v>0</v>
      </c>
      <c r="P969" t="n">
        <v>0</v>
      </c>
      <c r="Q969" t="n">
        <v>0</v>
      </c>
      <c r="R969" s="2" t="inlineStr"/>
    </row>
    <row r="970" ht="15" customHeight="1">
      <c r="A970" t="inlineStr">
        <is>
          <t>A 37273-2024</t>
        </is>
      </c>
      <c r="B970" s="1" t="n">
        <v>45540</v>
      </c>
      <c r="C970" s="1" t="n">
        <v>46182</v>
      </c>
      <c r="D970" t="inlineStr">
        <is>
          <t>STOCKHOLMS LÄN</t>
        </is>
      </c>
      <c r="E970" t="inlineStr">
        <is>
          <t>NORRTÄLJE</t>
        </is>
      </c>
      <c r="F970" t="inlineStr">
        <is>
          <t>Sveaskog</t>
        </is>
      </c>
      <c r="G970" t="n">
        <v>12.5</v>
      </c>
      <c r="H970" t="n">
        <v>0</v>
      </c>
      <c r="I970" t="n">
        <v>0</v>
      </c>
      <c r="J970" t="n">
        <v>0</v>
      </c>
      <c r="K970" t="n">
        <v>0</v>
      </c>
      <c r="L970" t="n">
        <v>0</v>
      </c>
      <c r="M970" t="n">
        <v>0</v>
      </c>
      <c r="N970" t="n">
        <v>0</v>
      </c>
      <c r="O970" t="n">
        <v>0</v>
      </c>
      <c r="P970" t="n">
        <v>0</v>
      </c>
      <c r="Q970" t="n">
        <v>0</v>
      </c>
      <c r="R970" s="2" t="inlineStr"/>
    </row>
    <row r="971" ht="15" customHeight="1">
      <c r="A971" t="inlineStr">
        <is>
          <t>A 47521-2024</t>
        </is>
      </c>
      <c r="B971" s="1" t="n">
        <v>45587.62565972222</v>
      </c>
      <c r="C971" s="1" t="n">
        <v>46182</v>
      </c>
      <c r="D971" t="inlineStr">
        <is>
          <t>STOCKHOLMS LÄN</t>
        </is>
      </c>
      <c r="E971" t="inlineStr">
        <is>
          <t>NORRTÄLJE</t>
        </is>
      </c>
      <c r="G971" t="n">
        <v>4.7</v>
      </c>
      <c r="H971" t="n">
        <v>0</v>
      </c>
      <c r="I971" t="n">
        <v>0</v>
      </c>
      <c r="J971" t="n">
        <v>0</v>
      </c>
      <c r="K971" t="n">
        <v>0</v>
      </c>
      <c r="L971" t="n">
        <v>0</v>
      </c>
      <c r="M971" t="n">
        <v>0</v>
      </c>
      <c r="N971" t="n">
        <v>0</v>
      </c>
      <c r="O971" t="n">
        <v>0</v>
      </c>
      <c r="P971" t="n">
        <v>0</v>
      </c>
      <c r="Q971" t="n">
        <v>0</v>
      </c>
      <c r="R971" s="2" t="inlineStr"/>
    </row>
    <row r="972" ht="15" customHeight="1">
      <c r="A972" t="inlineStr">
        <is>
          <t>A 8315-2025</t>
        </is>
      </c>
      <c r="B972" s="1" t="n">
        <v>45708.61761574074</v>
      </c>
      <c r="C972" s="1" t="n">
        <v>46182</v>
      </c>
      <c r="D972" t="inlineStr">
        <is>
          <t>STOCKHOLMS LÄN</t>
        </is>
      </c>
      <c r="E972" t="inlineStr">
        <is>
          <t>NORRTÄLJE</t>
        </is>
      </c>
      <c r="G972" t="n">
        <v>3.9</v>
      </c>
      <c r="H972" t="n">
        <v>0</v>
      </c>
      <c r="I972" t="n">
        <v>0</v>
      </c>
      <c r="J972" t="n">
        <v>0</v>
      </c>
      <c r="K972" t="n">
        <v>0</v>
      </c>
      <c r="L972" t="n">
        <v>0</v>
      </c>
      <c r="M972" t="n">
        <v>0</v>
      </c>
      <c r="N972" t="n">
        <v>0</v>
      </c>
      <c r="O972" t="n">
        <v>0</v>
      </c>
      <c r="P972" t="n">
        <v>0</v>
      </c>
      <c r="Q972" t="n">
        <v>0</v>
      </c>
      <c r="R972" s="2" t="inlineStr"/>
    </row>
    <row r="973" ht="15" customHeight="1">
      <c r="A973" t="inlineStr">
        <is>
          <t>A 35254-2025</t>
        </is>
      </c>
      <c r="B973" s="1" t="n">
        <v>45853</v>
      </c>
      <c r="C973" s="1" t="n">
        <v>46182</v>
      </c>
      <c r="D973" t="inlineStr">
        <is>
          <t>STOCKHOLMS LÄN</t>
        </is>
      </c>
      <c r="E973" t="inlineStr">
        <is>
          <t>NORRTÄLJE</t>
        </is>
      </c>
      <c r="G973" t="n">
        <v>6.5</v>
      </c>
      <c r="H973" t="n">
        <v>0</v>
      </c>
      <c r="I973" t="n">
        <v>0</v>
      </c>
      <c r="J973" t="n">
        <v>0</v>
      </c>
      <c r="K973" t="n">
        <v>0</v>
      </c>
      <c r="L973" t="n">
        <v>0</v>
      </c>
      <c r="M973" t="n">
        <v>0</v>
      </c>
      <c r="N973" t="n">
        <v>0</v>
      </c>
      <c r="O973" t="n">
        <v>0</v>
      </c>
      <c r="P973" t="n">
        <v>0</v>
      </c>
      <c r="Q973" t="n">
        <v>0</v>
      </c>
      <c r="R973" s="2" t="inlineStr"/>
    </row>
    <row r="974" ht="15" customHeight="1">
      <c r="A974" t="inlineStr">
        <is>
          <t>A 1654-2025</t>
        </is>
      </c>
      <c r="B974" s="1" t="n">
        <v>45670.65921296296</v>
      </c>
      <c r="C974" s="1" t="n">
        <v>46182</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11041-2025</t>
        </is>
      </c>
      <c r="B975" s="1" t="n">
        <v>45723</v>
      </c>
      <c r="C975" s="1" t="n">
        <v>46182</v>
      </c>
      <c r="D975" t="inlineStr">
        <is>
          <t>STOCKHOLMS LÄN</t>
        </is>
      </c>
      <c r="E975" t="inlineStr">
        <is>
          <t>NORRTÄLJE</t>
        </is>
      </c>
      <c r="F975" t="inlineStr">
        <is>
          <t>Övriga Aktiebolag</t>
        </is>
      </c>
      <c r="G975" t="n">
        <v>1.8</v>
      </c>
      <c r="H975" t="n">
        <v>0</v>
      </c>
      <c r="I975" t="n">
        <v>0</v>
      </c>
      <c r="J975" t="n">
        <v>0</v>
      </c>
      <c r="K975" t="n">
        <v>0</v>
      </c>
      <c r="L975" t="n">
        <v>0</v>
      </c>
      <c r="M975" t="n">
        <v>0</v>
      </c>
      <c r="N975" t="n">
        <v>0</v>
      </c>
      <c r="O975" t="n">
        <v>0</v>
      </c>
      <c r="P975" t="n">
        <v>0</v>
      </c>
      <c r="Q975" t="n">
        <v>0</v>
      </c>
      <c r="R975" s="2" t="inlineStr"/>
    </row>
    <row r="976" ht="15" customHeight="1">
      <c r="A976" t="inlineStr">
        <is>
          <t>A 52251-2025</t>
        </is>
      </c>
      <c r="B976" s="1" t="n">
        <v>45953.49185185185</v>
      </c>
      <c r="C976" s="1" t="n">
        <v>46182</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13785-2024</t>
        </is>
      </c>
      <c r="B977" s="1" t="n">
        <v>45391.3395949074</v>
      </c>
      <c r="C977" s="1" t="n">
        <v>46182</v>
      </c>
      <c r="D977" t="inlineStr">
        <is>
          <t>STOCKHOLMS LÄN</t>
        </is>
      </c>
      <c r="E977" t="inlineStr">
        <is>
          <t>NORRTÄLJE</t>
        </is>
      </c>
      <c r="G977" t="n">
        <v>5</v>
      </c>
      <c r="H977" t="n">
        <v>0</v>
      </c>
      <c r="I977" t="n">
        <v>0</v>
      </c>
      <c r="J977" t="n">
        <v>0</v>
      </c>
      <c r="K977" t="n">
        <v>0</v>
      </c>
      <c r="L977" t="n">
        <v>0</v>
      </c>
      <c r="M977" t="n">
        <v>0</v>
      </c>
      <c r="N977" t="n">
        <v>0</v>
      </c>
      <c r="O977" t="n">
        <v>0</v>
      </c>
      <c r="P977" t="n">
        <v>0</v>
      </c>
      <c r="Q977" t="n">
        <v>0</v>
      </c>
      <c r="R977" s="2" t="inlineStr"/>
    </row>
    <row r="978" ht="15" customHeight="1">
      <c r="A978" t="inlineStr">
        <is>
          <t>A 25696-2026</t>
        </is>
      </c>
      <c r="B978" s="1" t="n">
        <v>46178.35767361111</v>
      </c>
      <c r="C978" s="1" t="n">
        <v>46182</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20336-2024</t>
        </is>
      </c>
      <c r="B979" s="1" t="n">
        <v>45435.43123842592</v>
      </c>
      <c r="C979" s="1" t="n">
        <v>46182</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52254-2025</t>
        </is>
      </c>
      <c r="B980" s="1" t="n">
        <v>45953.49519675926</v>
      </c>
      <c r="C980" s="1" t="n">
        <v>46182</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59721-2024</t>
        </is>
      </c>
      <c r="B981" s="1" t="n">
        <v>45639.47385416667</v>
      </c>
      <c r="C981" s="1" t="n">
        <v>46182</v>
      </c>
      <c r="D981" t="inlineStr">
        <is>
          <t>STOCKHOLMS LÄN</t>
        </is>
      </c>
      <c r="E981" t="inlineStr">
        <is>
          <t>NORRTÄLJE</t>
        </is>
      </c>
      <c r="G981" t="n">
        <v>4.6</v>
      </c>
      <c r="H981" t="n">
        <v>0</v>
      </c>
      <c r="I981" t="n">
        <v>0</v>
      </c>
      <c r="J981" t="n">
        <v>0</v>
      </c>
      <c r="K981" t="n">
        <v>0</v>
      </c>
      <c r="L981" t="n">
        <v>0</v>
      </c>
      <c r="M981" t="n">
        <v>0</v>
      </c>
      <c r="N981" t="n">
        <v>0</v>
      </c>
      <c r="O981" t="n">
        <v>0</v>
      </c>
      <c r="P981" t="n">
        <v>0</v>
      </c>
      <c r="Q981" t="n">
        <v>0</v>
      </c>
      <c r="R981" s="2" t="inlineStr"/>
    </row>
    <row r="982" ht="15" customHeight="1">
      <c r="A982" t="inlineStr">
        <is>
          <t>A 26083-2026</t>
        </is>
      </c>
      <c r="B982" s="1" t="n">
        <v>46181.63171296296</v>
      </c>
      <c r="C982" s="1" t="n">
        <v>46182</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41966-2025</t>
        </is>
      </c>
      <c r="B983" s="1" t="n">
        <v>45903.47456018518</v>
      </c>
      <c r="C983" s="1" t="n">
        <v>46182</v>
      </c>
      <c r="D983" t="inlineStr">
        <is>
          <t>STOCKHOLMS LÄN</t>
        </is>
      </c>
      <c r="E983" t="inlineStr">
        <is>
          <t>NORRTÄLJE</t>
        </is>
      </c>
      <c r="F983" t="inlineStr">
        <is>
          <t>Sveaskog</t>
        </is>
      </c>
      <c r="G983" t="n">
        <v>3.7</v>
      </c>
      <c r="H983" t="n">
        <v>0</v>
      </c>
      <c r="I983" t="n">
        <v>0</v>
      </c>
      <c r="J983" t="n">
        <v>0</v>
      </c>
      <c r="K983" t="n">
        <v>0</v>
      </c>
      <c r="L983" t="n">
        <v>0</v>
      </c>
      <c r="M983" t="n">
        <v>0</v>
      </c>
      <c r="N983" t="n">
        <v>0</v>
      </c>
      <c r="O983" t="n">
        <v>0</v>
      </c>
      <c r="P983" t="n">
        <v>0</v>
      </c>
      <c r="Q983" t="n">
        <v>0</v>
      </c>
      <c r="R983" s="2" t="inlineStr"/>
    </row>
    <row r="984" ht="15" customHeight="1">
      <c r="A984" t="inlineStr">
        <is>
          <t>A 32094-2025</t>
        </is>
      </c>
      <c r="B984" s="1" t="n">
        <v>45835.46034722222</v>
      </c>
      <c r="C984" s="1" t="n">
        <v>46182</v>
      </c>
      <c r="D984" t="inlineStr">
        <is>
          <t>STOCKHOLMS LÄN</t>
        </is>
      </c>
      <c r="E984" t="inlineStr">
        <is>
          <t>NORRTÄLJE</t>
        </is>
      </c>
      <c r="F984" t="inlineStr">
        <is>
          <t>Holmen skog AB</t>
        </is>
      </c>
      <c r="G984" t="n">
        <v>2.9</v>
      </c>
      <c r="H984" t="n">
        <v>0</v>
      </c>
      <c r="I984" t="n">
        <v>0</v>
      </c>
      <c r="J984" t="n">
        <v>0</v>
      </c>
      <c r="K984" t="n">
        <v>0</v>
      </c>
      <c r="L984" t="n">
        <v>0</v>
      </c>
      <c r="M984" t="n">
        <v>0</v>
      </c>
      <c r="N984" t="n">
        <v>0</v>
      </c>
      <c r="O984" t="n">
        <v>0</v>
      </c>
      <c r="P984" t="n">
        <v>0</v>
      </c>
      <c r="Q984" t="n">
        <v>0</v>
      </c>
      <c r="R984" s="2" t="inlineStr"/>
    </row>
    <row r="985" ht="15" customHeight="1">
      <c r="A985" t="inlineStr">
        <is>
          <t>A 7806-2025</t>
        </is>
      </c>
      <c r="B985" s="1" t="n">
        <v>45706.61178240741</v>
      </c>
      <c r="C985" s="1" t="n">
        <v>46182</v>
      </c>
      <c r="D985" t="inlineStr">
        <is>
          <t>STOCKHOLMS LÄN</t>
        </is>
      </c>
      <c r="E985" t="inlineStr">
        <is>
          <t>NORRTÄLJE</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25697-2026</t>
        </is>
      </c>
      <c r="B986" s="1" t="n">
        <v>46178.35802083334</v>
      </c>
      <c r="C986" s="1" t="n">
        <v>46182</v>
      </c>
      <c r="D986" t="inlineStr">
        <is>
          <t>STOCKHOLMS LÄN</t>
        </is>
      </c>
      <c r="E986" t="inlineStr">
        <is>
          <t>NORRTÄLJE</t>
        </is>
      </c>
      <c r="G986" t="n">
        <v>4.6</v>
      </c>
      <c r="H986" t="n">
        <v>0</v>
      </c>
      <c r="I986" t="n">
        <v>0</v>
      </c>
      <c r="J986" t="n">
        <v>0</v>
      </c>
      <c r="K986" t="n">
        <v>0</v>
      </c>
      <c r="L986" t="n">
        <v>0</v>
      </c>
      <c r="M986" t="n">
        <v>0</v>
      </c>
      <c r="N986" t="n">
        <v>0</v>
      </c>
      <c r="O986" t="n">
        <v>0</v>
      </c>
      <c r="P986" t="n">
        <v>0</v>
      </c>
      <c r="Q986" t="n">
        <v>0</v>
      </c>
      <c r="R986" s="2" t="inlineStr"/>
    </row>
    <row r="987" ht="15" customHeight="1">
      <c r="A987" t="inlineStr">
        <is>
          <t>A 8792-2025</t>
        </is>
      </c>
      <c r="B987" s="1" t="n">
        <v>45712</v>
      </c>
      <c r="C987" s="1" t="n">
        <v>46182</v>
      </c>
      <c r="D987" t="inlineStr">
        <is>
          <t>STOCKHOLMS LÄN</t>
        </is>
      </c>
      <c r="E987" t="inlineStr">
        <is>
          <t>NORRTÄLJE</t>
        </is>
      </c>
      <c r="F987" t="inlineStr">
        <is>
          <t>Övriga Aktiebolag</t>
        </is>
      </c>
      <c r="G987" t="n">
        <v>6.6</v>
      </c>
      <c r="H987" t="n">
        <v>0</v>
      </c>
      <c r="I987" t="n">
        <v>0</v>
      </c>
      <c r="J987" t="n">
        <v>0</v>
      </c>
      <c r="K987" t="n">
        <v>0</v>
      </c>
      <c r="L987" t="n">
        <v>0</v>
      </c>
      <c r="M987" t="n">
        <v>0</v>
      </c>
      <c r="N987" t="n">
        <v>0</v>
      </c>
      <c r="O987" t="n">
        <v>0</v>
      </c>
      <c r="P987" t="n">
        <v>0</v>
      </c>
      <c r="Q987" t="n">
        <v>0</v>
      </c>
      <c r="R987" s="2" t="inlineStr"/>
    </row>
    <row r="988" ht="15" customHeight="1">
      <c r="A988" t="inlineStr">
        <is>
          <t>A 32397-2025</t>
        </is>
      </c>
      <c r="B988" s="1" t="n">
        <v>45837.94081018519</v>
      </c>
      <c r="C988" s="1" t="n">
        <v>46182</v>
      </c>
      <c r="D988" t="inlineStr">
        <is>
          <t>STOCKHOLMS LÄN</t>
        </is>
      </c>
      <c r="E988" t="inlineStr">
        <is>
          <t>NORRTÄLJE</t>
        </is>
      </c>
      <c r="G988" t="n">
        <v>5.9</v>
      </c>
      <c r="H988" t="n">
        <v>0</v>
      </c>
      <c r="I988" t="n">
        <v>0</v>
      </c>
      <c r="J988" t="n">
        <v>0</v>
      </c>
      <c r="K988" t="n">
        <v>0</v>
      </c>
      <c r="L988" t="n">
        <v>0</v>
      </c>
      <c r="M988" t="n">
        <v>0</v>
      </c>
      <c r="N988" t="n">
        <v>0</v>
      </c>
      <c r="O988" t="n">
        <v>0</v>
      </c>
      <c r="P988" t="n">
        <v>0</v>
      </c>
      <c r="Q988" t="n">
        <v>0</v>
      </c>
      <c r="R988" s="2" t="inlineStr"/>
    </row>
    <row r="989" ht="15" customHeight="1">
      <c r="A989" t="inlineStr">
        <is>
          <t>A 25733-2025</t>
        </is>
      </c>
      <c r="B989" s="1" t="n">
        <v>45800</v>
      </c>
      <c r="C989" s="1" t="n">
        <v>46182</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24351-2025</t>
        </is>
      </c>
      <c r="B990" s="1" t="n">
        <v>45797.58399305555</v>
      </c>
      <c r="C990" s="1" t="n">
        <v>46182</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27806-2025</t>
        </is>
      </c>
      <c r="B991" s="1" t="n">
        <v>45817.30329861111</v>
      </c>
      <c r="C991" s="1" t="n">
        <v>46182</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13314-2025</t>
        </is>
      </c>
      <c r="B992" s="1" t="n">
        <v>45735.59287037037</v>
      </c>
      <c r="C992" s="1" t="n">
        <v>46182</v>
      </c>
      <c r="D992" t="inlineStr">
        <is>
          <t>STOCKHOLMS LÄN</t>
        </is>
      </c>
      <c r="E992" t="inlineStr">
        <is>
          <t>NORRTÄLJE</t>
        </is>
      </c>
      <c r="G992" t="n">
        <v>2.4</v>
      </c>
      <c r="H992" t="n">
        <v>0</v>
      </c>
      <c r="I992" t="n">
        <v>0</v>
      </c>
      <c r="J992" t="n">
        <v>0</v>
      </c>
      <c r="K992" t="n">
        <v>0</v>
      </c>
      <c r="L992" t="n">
        <v>0</v>
      </c>
      <c r="M992" t="n">
        <v>0</v>
      </c>
      <c r="N992" t="n">
        <v>0</v>
      </c>
      <c r="O992" t="n">
        <v>0</v>
      </c>
      <c r="P992" t="n">
        <v>0</v>
      </c>
      <c r="Q992" t="n">
        <v>0</v>
      </c>
      <c r="R992" s="2" t="inlineStr"/>
    </row>
    <row r="993" ht="15" customHeight="1">
      <c r="A993" t="inlineStr">
        <is>
          <t>A 6678-2025</t>
        </is>
      </c>
      <c r="B993" s="1" t="n">
        <v>45700</v>
      </c>
      <c r="C993" s="1" t="n">
        <v>46182</v>
      </c>
      <c r="D993" t="inlineStr">
        <is>
          <t>STOCKHOLMS LÄN</t>
        </is>
      </c>
      <c r="E993" t="inlineStr">
        <is>
          <t>NORRTÄLJE</t>
        </is>
      </c>
      <c r="F993" t="inlineStr">
        <is>
          <t>Övriga Aktiebolag</t>
        </is>
      </c>
      <c r="G993" t="n">
        <v>6.6</v>
      </c>
      <c r="H993" t="n">
        <v>0</v>
      </c>
      <c r="I993" t="n">
        <v>0</v>
      </c>
      <c r="J993" t="n">
        <v>0</v>
      </c>
      <c r="K993" t="n">
        <v>0</v>
      </c>
      <c r="L993" t="n">
        <v>0</v>
      </c>
      <c r="M993" t="n">
        <v>0</v>
      </c>
      <c r="N993" t="n">
        <v>0</v>
      </c>
      <c r="O993" t="n">
        <v>0</v>
      </c>
      <c r="P993" t="n">
        <v>0</v>
      </c>
      <c r="Q993" t="n">
        <v>0</v>
      </c>
      <c r="R993" s="2" t="inlineStr"/>
    </row>
    <row r="994" ht="15" customHeight="1">
      <c r="A994" t="inlineStr">
        <is>
          <t>A 1283-2025</t>
        </is>
      </c>
      <c r="B994" s="1" t="n">
        <v>45667.49878472222</v>
      </c>
      <c r="C994" s="1" t="n">
        <v>46182</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25917-2026</t>
        </is>
      </c>
      <c r="B995" s="1" t="n">
        <v>46178.74501157407</v>
      </c>
      <c r="C995" s="1" t="n">
        <v>46182</v>
      </c>
      <c r="D995" t="inlineStr">
        <is>
          <t>STOCKHOLMS LÄN</t>
        </is>
      </c>
      <c r="E995" t="inlineStr">
        <is>
          <t>NORRTÄLJE</t>
        </is>
      </c>
      <c r="G995" t="n">
        <v>4</v>
      </c>
      <c r="H995" t="n">
        <v>0</v>
      </c>
      <c r="I995" t="n">
        <v>0</v>
      </c>
      <c r="J995" t="n">
        <v>0</v>
      </c>
      <c r="K995" t="n">
        <v>0</v>
      </c>
      <c r="L995" t="n">
        <v>0</v>
      </c>
      <c r="M995" t="n">
        <v>0</v>
      </c>
      <c r="N995" t="n">
        <v>0</v>
      </c>
      <c r="O995" t="n">
        <v>0</v>
      </c>
      <c r="P995" t="n">
        <v>0</v>
      </c>
      <c r="Q995" t="n">
        <v>0</v>
      </c>
      <c r="R995" s="2" t="inlineStr"/>
    </row>
    <row r="996" ht="15" customHeight="1">
      <c r="A996" t="inlineStr">
        <is>
          <t>A 25968-2026</t>
        </is>
      </c>
      <c r="B996" s="1" t="n">
        <v>46181.37493055555</v>
      </c>
      <c r="C996" s="1" t="n">
        <v>46182</v>
      </c>
      <c r="D996" t="inlineStr">
        <is>
          <t>STOCKHOLMS LÄN</t>
        </is>
      </c>
      <c r="E996" t="inlineStr">
        <is>
          <t>NORRTÄLJE</t>
        </is>
      </c>
      <c r="F996" t="inlineStr">
        <is>
          <t>Kyrkan</t>
        </is>
      </c>
      <c r="G996" t="n">
        <v>3.6</v>
      </c>
      <c r="H996" t="n">
        <v>0</v>
      </c>
      <c r="I996" t="n">
        <v>0</v>
      </c>
      <c r="J996" t="n">
        <v>0</v>
      </c>
      <c r="K996" t="n">
        <v>0</v>
      </c>
      <c r="L996" t="n">
        <v>0</v>
      </c>
      <c r="M996" t="n">
        <v>0</v>
      </c>
      <c r="N996" t="n">
        <v>0</v>
      </c>
      <c r="O996" t="n">
        <v>0</v>
      </c>
      <c r="P996" t="n">
        <v>0</v>
      </c>
      <c r="Q996" t="n">
        <v>0</v>
      </c>
      <c r="R996" s="2" t="inlineStr"/>
    </row>
    <row r="997" ht="15" customHeight="1">
      <c r="A997" t="inlineStr">
        <is>
          <t>A 37628-2025</t>
        </is>
      </c>
      <c r="B997" s="1" t="n">
        <v>45880.46189814815</v>
      </c>
      <c r="C997" s="1" t="n">
        <v>46182</v>
      </c>
      <c r="D997" t="inlineStr">
        <is>
          <t>STOCKHOLMS LÄN</t>
        </is>
      </c>
      <c r="E997" t="inlineStr">
        <is>
          <t>NORRTÄLJE</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32122-2025</t>
        </is>
      </c>
      <c r="B998" s="1" t="n">
        <v>45835.4928125</v>
      </c>
      <c r="C998" s="1" t="n">
        <v>46182</v>
      </c>
      <c r="D998" t="inlineStr">
        <is>
          <t>STOCKHOLMS LÄN</t>
        </is>
      </c>
      <c r="E998" t="inlineStr">
        <is>
          <t>NORRTÄLJE</t>
        </is>
      </c>
      <c r="F998" t="inlineStr">
        <is>
          <t>Holmen skog AB</t>
        </is>
      </c>
      <c r="G998" t="n">
        <v>1.9</v>
      </c>
      <c r="H998" t="n">
        <v>0</v>
      </c>
      <c r="I998" t="n">
        <v>0</v>
      </c>
      <c r="J998" t="n">
        <v>0</v>
      </c>
      <c r="K998" t="n">
        <v>0</v>
      </c>
      <c r="L998" t="n">
        <v>0</v>
      </c>
      <c r="M998" t="n">
        <v>0</v>
      </c>
      <c r="N998" t="n">
        <v>0</v>
      </c>
      <c r="O998" t="n">
        <v>0</v>
      </c>
      <c r="P998" t="n">
        <v>0</v>
      </c>
      <c r="Q998" t="n">
        <v>0</v>
      </c>
      <c r="R998" s="2" t="inlineStr"/>
    </row>
    <row r="999" ht="15" customHeight="1">
      <c r="A999" t="inlineStr">
        <is>
          <t>A 30221-2024</t>
        </is>
      </c>
      <c r="B999" s="1" t="n">
        <v>45490.45342592592</v>
      </c>
      <c r="C999" s="1" t="n">
        <v>46182</v>
      </c>
      <c r="D999" t="inlineStr">
        <is>
          <t>STOCKHOLMS LÄN</t>
        </is>
      </c>
      <c r="E999" t="inlineStr">
        <is>
          <t>NORRTÄLJE</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27813-2025</t>
        </is>
      </c>
      <c r="B1000" s="1" t="n">
        <v>45817.32538194444</v>
      </c>
      <c r="C1000" s="1" t="n">
        <v>46182</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c r="A1001" t="inlineStr">
        <is>
          <t>A 59534-2024</t>
        </is>
      </c>
      <c r="B1001" s="1" t="n">
        <v>45638.5987037037</v>
      </c>
      <c r="C1001" s="1" t="n">
        <v>46182</v>
      </c>
      <c r="D1001" t="inlineStr">
        <is>
          <t>STOCKHOLMS LÄN</t>
        </is>
      </c>
      <c r="E1001" t="inlineStr">
        <is>
          <t>NORRTÄLJE</t>
        </is>
      </c>
      <c r="F1001" t="inlineStr">
        <is>
          <t>Holmen skog AB</t>
        </is>
      </c>
      <c r="G1001" t="n">
        <v>1.3</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2026-06-09T09:26:39Z</dcterms:created>
  <dcterms:modified xmlns:dcterms="http://purl.org/dc/terms/" xmlns:xsi="http://www.w3.org/2001/XMLSchema-instance" xsi:type="dcterms:W3CDTF">2026-06-09T09:26:40Z</dcterms:modified>
</cp:coreProperties>
</file>