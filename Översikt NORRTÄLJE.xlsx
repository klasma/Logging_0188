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46075</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46075</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46075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46075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46075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46075</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46075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46075</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46075</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52797-2023</t>
        </is>
      </c>
      <c r="B15" s="1" t="n">
        <v>45226</v>
      </c>
      <c r="C15" s="1" t="n">
        <v>46075</v>
      </c>
      <c r="D15" t="inlineStr">
        <is>
          <t>STOCKHOLMS LÄN</t>
        </is>
      </c>
      <c r="E15" t="inlineStr">
        <is>
          <t>NORRTÄLJE</t>
        </is>
      </c>
      <c r="G15" t="n">
        <v>5.3</v>
      </c>
      <c r="H15" t="n">
        <v>3</v>
      </c>
      <c r="I15" t="n">
        <v>11</v>
      </c>
      <c r="J15" t="n">
        <v>6</v>
      </c>
      <c r="K15" t="n">
        <v>2</v>
      </c>
      <c r="L15" t="n">
        <v>0</v>
      </c>
      <c r="M15" t="n">
        <v>0</v>
      </c>
      <c r="N15" t="n">
        <v>0</v>
      </c>
      <c r="O15" t="n">
        <v>8</v>
      </c>
      <c r="P15" t="n">
        <v>2</v>
      </c>
      <c r="Q15" t="n">
        <v>21</v>
      </c>
      <c r="R1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5">
        <f>HYPERLINK("https://klasma.github.io/Logging_0188/artfynd/A 52797-2023 artfynd.xlsx", "A 52797-2023")</f>
        <v/>
      </c>
      <c r="T15">
        <f>HYPERLINK("https://klasma.github.io/Logging_0188/kartor/A 52797-2023 karta.png", "A 52797-2023")</f>
        <v/>
      </c>
      <c r="V15">
        <f>HYPERLINK("https://klasma.github.io/Logging_0188/klagomål/A 52797-2023 FSC-klagomål.docx", "A 52797-2023")</f>
        <v/>
      </c>
      <c r="W15">
        <f>HYPERLINK("https://klasma.github.io/Logging_0188/klagomålsmail/A 52797-2023 FSC-klagomål mail.docx", "A 52797-2023")</f>
        <v/>
      </c>
      <c r="X15">
        <f>HYPERLINK("https://klasma.github.io/Logging_0188/tillsyn/A 52797-2023 tillsynsbegäran.docx", "A 52797-2023")</f>
        <v/>
      </c>
      <c r="Y15">
        <f>HYPERLINK("https://klasma.github.io/Logging_0188/tillsynsmail/A 52797-2023 tillsynsbegäran mail.docx", "A 52797-2023")</f>
        <v/>
      </c>
      <c r="Z15">
        <f>HYPERLINK("https://klasma.github.io/Logging_0188/fåglar/A 52797-2023 prioriterade fågelarter.docx", "A 52797-2023")</f>
        <v/>
      </c>
    </row>
    <row r="16" ht="15" customHeight="1">
      <c r="A16" t="inlineStr">
        <is>
          <t>A 10646-2024</t>
        </is>
      </c>
      <c r="B16" s="1" t="n">
        <v>45367</v>
      </c>
      <c r="C16" s="1" t="n">
        <v>46075</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46075</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56792-2025</t>
        </is>
      </c>
      <c r="B18" s="1" t="n">
        <v>45978</v>
      </c>
      <c r="C18" s="1" t="n">
        <v>46075</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46075</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46075</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46075</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46075</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46075</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46075</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46075</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46075</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46075</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46075</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46075</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46075</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46075</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46075</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46075</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46075</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46075</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13933-2022</t>
        </is>
      </c>
      <c r="B36" s="1" t="n">
        <v>44650</v>
      </c>
      <c r="C36" s="1" t="n">
        <v>46075</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15278-2024</t>
        </is>
      </c>
      <c r="B37" s="1" t="n">
        <v>45400.5958912037</v>
      </c>
      <c r="C37" s="1" t="n">
        <v>46075</v>
      </c>
      <c r="D37" t="inlineStr">
        <is>
          <t>STOCKHOLMS LÄN</t>
        </is>
      </c>
      <c r="E37" t="inlineStr">
        <is>
          <t>NORRTÄLJE</t>
        </is>
      </c>
      <c r="G37" t="n">
        <v>7.4</v>
      </c>
      <c r="H37" t="n">
        <v>2</v>
      </c>
      <c r="I37" t="n">
        <v>4</v>
      </c>
      <c r="J37" t="n">
        <v>1</v>
      </c>
      <c r="K37" t="n">
        <v>1</v>
      </c>
      <c r="L37" t="n">
        <v>0</v>
      </c>
      <c r="M37" t="n">
        <v>0</v>
      </c>
      <c r="N37" t="n">
        <v>0</v>
      </c>
      <c r="O37" t="n">
        <v>2</v>
      </c>
      <c r="P37" t="n">
        <v>1</v>
      </c>
      <c r="Q37" t="n">
        <v>7</v>
      </c>
      <c r="R37" s="2" t="inlineStr">
        <is>
          <t>Knärot
Ullticka
Fjällig taggsvamp s.str.
Grönpyrola
Kattfotslav
Vedticka
Blåsippa</t>
        </is>
      </c>
      <c r="S37">
        <f>HYPERLINK("https://klasma.github.io/Logging_0188/artfynd/A 15278-2024 artfynd.xlsx", "A 15278-2024")</f>
        <v/>
      </c>
      <c r="T37">
        <f>HYPERLINK("https://klasma.github.io/Logging_0188/kartor/A 15278-2024 karta.png", "A 15278-2024")</f>
        <v/>
      </c>
      <c r="U37">
        <f>HYPERLINK("https://klasma.github.io/Logging_0188/knärot/A 15278-2024 karta knärot.png", "A 15278-2024")</f>
        <v/>
      </c>
      <c r="V37">
        <f>HYPERLINK("https://klasma.github.io/Logging_0188/klagomål/A 15278-2024 FSC-klagomål.docx", "A 15278-2024")</f>
        <v/>
      </c>
      <c r="W37">
        <f>HYPERLINK("https://klasma.github.io/Logging_0188/klagomålsmail/A 15278-2024 FSC-klagomål mail.docx", "A 15278-2024")</f>
        <v/>
      </c>
      <c r="X37">
        <f>HYPERLINK("https://klasma.github.io/Logging_0188/tillsyn/A 15278-2024 tillsynsbegäran.docx", "A 15278-2024")</f>
        <v/>
      </c>
      <c r="Y37">
        <f>HYPERLINK("https://klasma.github.io/Logging_0188/tillsynsmail/A 15278-2024 tillsynsbegäran mail.docx", "A 15278-2024")</f>
        <v/>
      </c>
    </row>
    <row r="38" ht="15" customHeight="1">
      <c r="A38" t="inlineStr">
        <is>
          <t>A 34528-2025</t>
        </is>
      </c>
      <c r="B38" s="1" t="n">
        <v>45847.48436342592</v>
      </c>
      <c r="C38" s="1" t="n">
        <v>46075</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46075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46075</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46075</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46075</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46075</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46075</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46075</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46075</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46075</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41276-2025</t>
        </is>
      </c>
      <c r="B48" s="1" t="n">
        <v>45898.62723379629</v>
      </c>
      <c r="C48" s="1" t="n">
        <v>46075</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46075</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34521-2025</t>
        </is>
      </c>
      <c r="B50" s="1" t="n">
        <v>45847.47052083333</v>
      </c>
      <c r="C50" s="1" t="n">
        <v>46075</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47212-2025</t>
        </is>
      </c>
      <c r="B51" s="1" t="n">
        <v>45930</v>
      </c>
      <c r="C51" s="1" t="n">
        <v>46075</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24052-2021</t>
        </is>
      </c>
      <c r="B52" s="1" t="n">
        <v>44336</v>
      </c>
      <c r="C52" s="1" t="n">
        <v>46075</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46075</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46075</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46075</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46075</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46075</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46075</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46075</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46075</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29185-2025</t>
        </is>
      </c>
      <c r="B61" s="1" t="n">
        <v>45821</v>
      </c>
      <c r="C61" s="1" t="n">
        <v>46075</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46075</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46075</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27870-2022</t>
        </is>
      </c>
      <c r="B64" s="1" t="n">
        <v>44743.64592592593</v>
      </c>
      <c r="C64" s="1" t="n">
        <v>46075</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52726-2025</t>
        </is>
      </c>
      <c r="B65" s="1" t="n">
        <v>45957.34722222222</v>
      </c>
      <c r="C65" s="1" t="n">
        <v>46075</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50618-2022</t>
        </is>
      </c>
      <c r="B66" s="1" t="n">
        <v>44866</v>
      </c>
      <c r="C66" s="1" t="n">
        <v>46075</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46075</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46075</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46075</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46075</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46075</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46075</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46075</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46075</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46075</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22190-2024</t>
        </is>
      </c>
      <c r="B76" s="1" t="n">
        <v>45446.35888888889</v>
      </c>
      <c r="C76" s="1" t="n">
        <v>46075</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17952-2022</t>
        </is>
      </c>
      <c r="B77" s="1" t="n">
        <v>44683</v>
      </c>
      <c r="C77" s="1" t="n">
        <v>46075</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50697-2025</t>
        </is>
      </c>
      <c r="B78" s="1" t="n">
        <v>45945.90854166666</v>
      </c>
      <c r="C78" s="1" t="n">
        <v>46075</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51980-2022</t>
        </is>
      </c>
      <c r="B79" s="1" t="n">
        <v>44872</v>
      </c>
      <c r="C79" s="1" t="n">
        <v>46075</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53608-2025</t>
        </is>
      </c>
      <c r="B80" s="1" t="n">
        <v>45960</v>
      </c>
      <c r="C80" s="1" t="n">
        <v>46075</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51220-2023</t>
        </is>
      </c>
      <c r="B81" s="1" t="n">
        <v>45219</v>
      </c>
      <c r="C81" s="1" t="n">
        <v>46075</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46075</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46075</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46075</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46075</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46075</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46075</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46075</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46075</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46075</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46075</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4595-2023</t>
        </is>
      </c>
      <c r="B92" s="1" t="n">
        <v>44956</v>
      </c>
      <c r="C92" s="1" t="n">
        <v>46075</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24535-2023</t>
        </is>
      </c>
      <c r="B93" s="1" t="n">
        <v>45082</v>
      </c>
      <c r="C93" s="1" t="n">
        <v>46075</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4532-2025</t>
        </is>
      </c>
      <c r="B94" s="1" t="n">
        <v>45687.34177083334</v>
      </c>
      <c r="C94" s="1" t="n">
        <v>46075</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35691-2023</t>
        </is>
      </c>
      <c r="B95" s="1" t="n">
        <v>45147.65222222222</v>
      </c>
      <c r="C95" s="1" t="n">
        <v>46075</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46075</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6381-2023</t>
        </is>
      </c>
      <c r="B97" s="1" t="n">
        <v>44965</v>
      </c>
      <c r="C97" s="1" t="n">
        <v>46075</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50854-2022</t>
        </is>
      </c>
      <c r="B98" s="1" t="n">
        <v>44863</v>
      </c>
      <c r="C98" s="1" t="n">
        <v>46075</v>
      </c>
      <c r="D98" t="inlineStr">
        <is>
          <t>STOCKHOLMS LÄN</t>
        </is>
      </c>
      <c r="E98" t="inlineStr">
        <is>
          <t>NORRTÄLJE</t>
        </is>
      </c>
      <c r="G98" t="n">
        <v>2.9</v>
      </c>
      <c r="H98" t="n">
        <v>0</v>
      </c>
      <c r="I98" t="n">
        <v>1</v>
      </c>
      <c r="J98" t="n">
        <v>0</v>
      </c>
      <c r="K98" t="n">
        <v>0</v>
      </c>
      <c r="L98" t="n">
        <v>0</v>
      </c>
      <c r="M98" t="n">
        <v>0</v>
      </c>
      <c r="N98" t="n">
        <v>0</v>
      </c>
      <c r="O98" t="n">
        <v>0</v>
      </c>
      <c r="P98" t="n">
        <v>0</v>
      </c>
      <c r="Q98" t="n">
        <v>1</v>
      </c>
      <c r="R98" s="2" t="inlineStr">
        <is>
          <t>Tibast</t>
        </is>
      </c>
      <c r="S98">
        <f>HYPERLINK("https://klasma.github.io/Logging_0188/artfynd/A 50854-2022 artfynd.xlsx", "A 50854-2022")</f>
        <v/>
      </c>
      <c r="T98">
        <f>HYPERLINK("https://klasma.github.io/Logging_0188/kartor/A 50854-2022 karta.png", "A 50854-2022")</f>
        <v/>
      </c>
      <c r="V98">
        <f>HYPERLINK("https://klasma.github.io/Logging_0188/klagomål/A 50854-2022 FSC-klagomål.docx", "A 50854-2022")</f>
        <v/>
      </c>
      <c r="W98">
        <f>HYPERLINK("https://klasma.github.io/Logging_0188/klagomålsmail/A 50854-2022 FSC-klagomål mail.docx", "A 50854-2022")</f>
        <v/>
      </c>
      <c r="X98">
        <f>HYPERLINK("https://klasma.github.io/Logging_0188/tillsyn/A 50854-2022 tillsynsbegäran.docx", "A 50854-2022")</f>
        <v/>
      </c>
      <c r="Y98">
        <f>HYPERLINK("https://klasma.github.io/Logging_0188/tillsynsmail/A 50854-2022 tillsynsbegäran mail.docx", "A 50854-2022")</f>
        <v/>
      </c>
    </row>
    <row r="99" ht="15" customHeight="1">
      <c r="A99" t="inlineStr">
        <is>
          <t>A 29946-2025</t>
        </is>
      </c>
      <c r="B99" s="1" t="n">
        <v>45826.46392361111</v>
      </c>
      <c r="C99" s="1" t="n">
        <v>46075</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46075</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46075</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26120-2024</t>
        </is>
      </c>
      <c r="B102" s="1" t="n">
        <v>45468.45995370371</v>
      </c>
      <c r="C102" s="1" t="n">
        <v>46075</v>
      </c>
      <c r="D102" t="inlineStr">
        <is>
          <t>STOCKHOLMS LÄN</t>
        </is>
      </c>
      <c r="E102" t="inlineStr">
        <is>
          <t>NORRTÄLJE</t>
        </is>
      </c>
      <c r="G102" t="n">
        <v>1.8</v>
      </c>
      <c r="H102" t="n">
        <v>0</v>
      </c>
      <c r="I102" t="n">
        <v>0</v>
      </c>
      <c r="J102" t="n">
        <v>1</v>
      </c>
      <c r="K102" t="n">
        <v>0</v>
      </c>
      <c r="L102" t="n">
        <v>0</v>
      </c>
      <c r="M102" t="n">
        <v>0</v>
      </c>
      <c r="N102" t="n">
        <v>0</v>
      </c>
      <c r="O102" t="n">
        <v>1</v>
      </c>
      <c r="P102" t="n">
        <v>0</v>
      </c>
      <c r="Q102" t="n">
        <v>1</v>
      </c>
      <c r="R102" s="2" t="inlineStr">
        <is>
          <t>Majviva</t>
        </is>
      </c>
      <c r="S102">
        <f>HYPERLINK("https://klasma.github.io/Logging_0188/artfynd/A 26120-2024 artfynd.xlsx", "A 26120-2024")</f>
        <v/>
      </c>
      <c r="T102">
        <f>HYPERLINK("https://klasma.github.io/Logging_0188/kartor/A 26120-2024 karta.png", "A 26120-2024")</f>
        <v/>
      </c>
      <c r="V102">
        <f>HYPERLINK("https://klasma.github.io/Logging_0188/klagomål/A 26120-2024 FSC-klagomål.docx", "A 26120-2024")</f>
        <v/>
      </c>
      <c r="W102">
        <f>HYPERLINK("https://klasma.github.io/Logging_0188/klagomålsmail/A 26120-2024 FSC-klagomål mail.docx", "A 26120-2024")</f>
        <v/>
      </c>
      <c r="X102">
        <f>HYPERLINK("https://klasma.github.io/Logging_0188/tillsyn/A 26120-2024 tillsynsbegäran.docx", "A 26120-2024")</f>
        <v/>
      </c>
      <c r="Y102">
        <f>HYPERLINK("https://klasma.github.io/Logging_0188/tillsynsmail/A 26120-2024 tillsynsbegäran mail.docx", "A 26120-2024")</f>
        <v/>
      </c>
    </row>
    <row r="103" ht="15" customHeight="1">
      <c r="A103" t="inlineStr">
        <is>
          <t>A 42313-2025</t>
        </is>
      </c>
      <c r="B103" s="1" t="n">
        <v>45904.6575</v>
      </c>
      <c r="C103" s="1" t="n">
        <v>46075</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13291-2025</t>
        </is>
      </c>
      <c r="B104" s="1" t="n">
        <v>45735</v>
      </c>
      <c r="C104" s="1" t="n">
        <v>46075</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33548-2025</t>
        </is>
      </c>
      <c r="B105" s="1" t="n">
        <v>45841.5721875</v>
      </c>
      <c r="C105" s="1" t="n">
        <v>46075</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46075</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64456-2023</t>
        </is>
      </c>
      <c r="B107" s="1" t="n">
        <v>45280</v>
      </c>
      <c r="C107" s="1" t="n">
        <v>46075</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39158-2025</t>
        </is>
      </c>
      <c r="B108" s="1" t="n">
        <v>45888</v>
      </c>
      <c r="C108" s="1" t="n">
        <v>46075</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8371-2025</t>
        </is>
      </c>
      <c r="B109" s="1" t="n">
        <v>45708</v>
      </c>
      <c r="C109" s="1" t="n">
        <v>46075</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46075</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46075</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52611-2024</t>
        </is>
      </c>
      <c r="B112" s="1" t="n">
        <v>45609.83747685186</v>
      </c>
      <c r="C112" s="1" t="n">
        <v>46075</v>
      </c>
      <c r="D112" t="inlineStr">
        <is>
          <t>STOCKHOLMS LÄN</t>
        </is>
      </c>
      <c r="E112" t="inlineStr">
        <is>
          <t>NORRTÄLJE</t>
        </is>
      </c>
      <c r="G112" t="n">
        <v>10.6</v>
      </c>
      <c r="H112" t="n">
        <v>1</v>
      </c>
      <c r="I112" t="n">
        <v>0</v>
      </c>
      <c r="J112" t="n">
        <v>0</v>
      </c>
      <c r="K112" t="n">
        <v>0</v>
      </c>
      <c r="L112" t="n">
        <v>0</v>
      </c>
      <c r="M112" t="n">
        <v>0</v>
      </c>
      <c r="N112" t="n">
        <v>0</v>
      </c>
      <c r="O112" t="n">
        <v>0</v>
      </c>
      <c r="P112" t="n">
        <v>0</v>
      </c>
      <c r="Q112" t="n">
        <v>1</v>
      </c>
      <c r="R112" s="2" t="inlineStr">
        <is>
          <t>Blåsippa</t>
        </is>
      </c>
      <c r="S112">
        <f>HYPERLINK("https://klasma.github.io/Logging_0188/artfynd/A 52611-2024 artfynd.xlsx", "A 52611-2024")</f>
        <v/>
      </c>
      <c r="T112">
        <f>HYPERLINK("https://klasma.github.io/Logging_0188/kartor/A 52611-2024 karta.png", "A 52611-2024")</f>
        <v/>
      </c>
      <c r="V112">
        <f>HYPERLINK("https://klasma.github.io/Logging_0188/klagomål/A 52611-2024 FSC-klagomål.docx", "A 52611-2024")</f>
        <v/>
      </c>
      <c r="W112">
        <f>HYPERLINK("https://klasma.github.io/Logging_0188/klagomålsmail/A 52611-2024 FSC-klagomål mail.docx", "A 52611-2024")</f>
        <v/>
      </c>
      <c r="X112">
        <f>HYPERLINK("https://klasma.github.io/Logging_0188/tillsyn/A 52611-2024 tillsynsbegäran.docx", "A 52611-2024")</f>
        <v/>
      </c>
      <c r="Y112">
        <f>HYPERLINK("https://klasma.github.io/Logging_0188/tillsynsmail/A 52611-2024 tillsynsbegäran mail.docx", "A 52611-2024")</f>
        <v/>
      </c>
    </row>
    <row r="113" ht="15" customHeight="1">
      <c r="A113" t="inlineStr">
        <is>
          <t>A 52775-2025</t>
        </is>
      </c>
      <c r="B113" s="1" t="n">
        <v>45957.41608796296</v>
      </c>
      <c r="C113" s="1" t="n">
        <v>46075</v>
      </c>
      <c r="D113" t="inlineStr">
        <is>
          <t>STOCKHOLMS LÄN</t>
        </is>
      </c>
      <c r="E113" t="inlineStr">
        <is>
          <t>NORRTÄLJE</t>
        </is>
      </c>
      <c r="F113" t="inlineStr">
        <is>
          <t>Sveaskog</t>
        </is>
      </c>
      <c r="G113" t="n">
        <v>5.6</v>
      </c>
      <c r="H113" t="n">
        <v>0</v>
      </c>
      <c r="I113" t="n">
        <v>0</v>
      </c>
      <c r="J113" t="n">
        <v>1</v>
      </c>
      <c r="K113" t="n">
        <v>0</v>
      </c>
      <c r="L113" t="n">
        <v>0</v>
      </c>
      <c r="M113" t="n">
        <v>0</v>
      </c>
      <c r="N113" t="n">
        <v>0</v>
      </c>
      <c r="O113" t="n">
        <v>1</v>
      </c>
      <c r="P113" t="n">
        <v>0</v>
      </c>
      <c r="Q113" t="n">
        <v>1</v>
      </c>
      <c r="R113" s="2" t="inlineStr">
        <is>
          <t>Vedtrappmossa</t>
        </is>
      </c>
      <c r="S113">
        <f>HYPERLINK("https://klasma.github.io/Logging_0188/artfynd/A 52775-2025 artfynd.xlsx", "A 52775-2025")</f>
        <v/>
      </c>
      <c r="T113">
        <f>HYPERLINK("https://klasma.github.io/Logging_0188/kartor/A 52775-2025 karta.png", "A 52775-2025")</f>
        <v/>
      </c>
      <c r="V113">
        <f>HYPERLINK("https://klasma.github.io/Logging_0188/klagomål/A 52775-2025 FSC-klagomål.docx", "A 52775-2025")</f>
        <v/>
      </c>
      <c r="W113">
        <f>HYPERLINK("https://klasma.github.io/Logging_0188/klagomålsmail/A 52775-2025 FSC-klagomål mail.docx", "A 52775-2025")</f>
        <v/>
      </c>
      <c r="X113">
        <f>HYPERLINK("https://klasma.github.io/Logging_0188/tillsyn/A 52775-2025 tillsynsbegäran.docx", "A 52775-2025")</f>
        <v/>
      </c>
      <c r="Y113">
        <f>HYPERLINK("https://klasma.github.io/Logging_0188/tillsynsmail/A 52775-2025 tillsynsbegäran mail.docx", "A 52775-2025")</f>
        <v/>
      </c>
    </row>
    <row r="114" ht="15" customHeight="1">
      <c r="A114" t="inlineStr">
        <is>
          <t>A 53716-2025</t>
        </is>
      </c>
      <c r="B114" s="1" t="n">
        <v>45960.61782407408</v>
      </c>
      <c r="C114" s="1" t="n">
        <v>46075</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16870-2025</t>
        </is>
      </c>
      <c r="B115" s="1" t="n">
        <v>45754</v>
      </c>
      <c r="C115" s="1" t="n">
        <v>46075</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26635-2023</t>
        </is>
      </c>
      <c r="B116" s="1" t="n">
        <v>45092</v>
      </c>
      <c r="C116" s="1" t="n">
        <v>46075</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59682-2025</t>
        </is>
      </c>
      <c r="B117" s="1" t="n">
        <v>45992.47116898148</v>
      </c>
      <c r="C117" s="1" t="n">
        <v>46075</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47898-2022</t>
        </is>
      </c>
      <c r="B118" s="1" t="n">
        <v>44855</v>
      </c>
      <c r="C118" s="1" t="n">
        <v>46075</v>
      </c>
      <c r="D118" t="inlineStr">
        <is>
          <t>STOCKHOLMS LÄN</t>
        </is>
      </c>
      <c r="E118" t="inlineStr">
        <is>
          <t>NORRTÄLJE</t>
        </is>
      </c>
      <c r="G118" t="n">
        <v>6.7</v>
      </c>
      <c r="H118" t="n">
        <v>1</v>
      </c>
      <c r="I118" t="n">
        <v>1</v>
      </c>
      <c r="J118" t="n">
        <v>0</v>
      </c>
      <c r="K118" t="n">
        <v>0</v>
      </c>
      <c r="L118" t="n">
        <v>0</v>
      </c>
      <c r="M118" t="n">
        <v>0</v>
      </c>
      <c r="N118" t="n">
        <v>0</v>
      </c>
      <c r="O118" t="n">
        <v>0</v>
      </c>
      <c r="P118" t="n">
        <v>0</v>
      </c>
      <c r="Q118" t="n">
        <v>1</v>
      </c>
      <c r="R118" s="2" t="inlineStr">
        <is>
          <t>Guckusko</t>
        </is>
      </c>
      <c r="S118">
        <f>HYPERLINK("https://klasma.github.io/Logging_0188/artfynd/A 47898-2022 artfynd.xlsx", "A 47898-2022")</f>
        <v/>
      </c>
      <c r="T118">
        <f>HYPERLINK("https://klasma.github.io/Logging_0188/kartor/A 47898-2022 karta.png", "A 47898-2022")</f>
        <v/>
      </c>
      <c r="V118">
        <f>HYPERLINK("https://klasma.github.io/Logging_0188/klagomål/A 47898-2022 FSC-klagomål.docx", "A 47898-2022")</f>
        <v/>
      </c>
      <c r="W118">
        <f>HYPERLINK("https://klasma.github.io/Logging_0188/klagomålsmail/A 47898-2022 FSC-klagomål mail.docx", "A 47898-2022")</f>
        <v/>
      </c>
      <c r="X118">
        <f>HYPERLINK("https://klasma.github.io/Logging_0188/tillsyn/A 47898-2022 tillsynsbegäran.docx", "A 47898-2022")</f>
        <v/>
      </c>
      <c r="Y118">
        <f>HYPERLINK("https://klasma.github.io/Logging_0188/tillsynsmail/A 47898-2022 tillsynsbegäran mail.docx", "A 47898-2022")</f>
        <v/>
      </c>
    </row>
    <row r="119" ht="15" customHeight="1">
      <c r="A119" t="inlineStr">
        <is>
          <t>A 14365-2025</t>
        </is>
      </c>
      <c r="B119" s="1" t="n">
        <v>45741.38688657407</v>
      </c>
      <c r="C119" s="1" t="n">
        <v>46075</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32111-2022</t>
        </is>
      </c>
      <c r="B120" s="1" t="n">
        <v>44778.92797453704</v>
      </c>
      <c r="C120" s="1" t="n">
        <v>46075</v>
      </c>
      <c r="D120" t="inlineStr">
        <is>
          <t>STOCKHOLMS LÄN</t>
        </is>
      </c>
      <c r="E120" t="inlineStr">
        <is>
          <t>NORRTÄLJE</t>
        </is>
      </c>
      <c r="G120" t="n">
        <v>3.1</v>
      </c>
      <c r="H120" t="n">
        <v>0</v>
      </c>
      <c r="I120" t="n">
        <v>0</v>
      </c>
      <c r="J120" t="n">
        <v>1</v>
      </c>
      <c r="K120" t="n">
        <v>0</v>
      </c>
      <c r="L120" t="n">
        <v>0</v>
      </c>
      <c r="M120" t="n">
        <v>0</v>
      </c>
      <c r="N120" t="n">
        <v>0</v>
      </c>
      <c r="O120" t="n">
        <v>1</v>
      </c>
      <c r="P120" t="n">
        <v>0</v>
      </c>
      <c r="Q120" t="n">
        <v>1</v>
      </c>
      <c r="R120" s="2" t="inlineStr">
        <is>
          <t>Orange taggsvamp</t>
        </is>
      </c>
      <c r="S120">
        <f>HYPERLINK("https://klasma.github.io/Logging_0188/artfynd/A 32111-2022 artfynd.xlsx", "A 32111-2022")</f>
        <v/>
      </c>
      <c r="T120">
        <f>HYPERLINK("https://klasma.github.io/Logging_0188/kartor/A 32111-2022 karta.png", "A 32111-2022")</f>
        <v/>
      </c>
      <c r="V120">
        <f>HYPERLINK("https://klasma.github.io/Logging_0188/klagomål/A 32111-2022 FSC-klagomål.docx", "A 32111-2022")</f>
        <v/>
      </c>
      <c r="W120">
        <f>HYPERLINK("https://klasma.github.io/Logging_0188/klagomålsmail/A 32111-2022 FSC-klagomål mail.docx", "A 32111-2022")</f>
        <v/>
      </c>
      <c r="X120">
        <f>HYPERLINK("https://klasma.github.io/Logging_0188/tillsyn/A 32111-2022 tillsynsbegäran.docx", "A 32111-2022")</f>
        <v/>
      </c>
      <c r="Y120">
        <f>HYPERLINK("https://klasma.github.io/Logging_0188/tillsynsmail/A 32111-2022 tillsynsbegäran mail.docx", "A 32111-2022")</f>
        <v/>
      </c>
    </row>
    <row r="121" ht="15" customHeight="1">
      <c r="A121" t="inlineStr">
        <is>
          <t>A 62715-2025</t>
        </is>
      </c>
      <c r="B121" s="1" t="n">
        <v>46008.52034722222</v>
      </c>
      <c r="C121" s="1" t="n">
        <v>46075</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4385-2023</t>
        </is>
      </c>
      <c r="B122" s="1" t="n">
        <v>44955.71322916666</v>
      </c>
      <c r="C122" s="1" t="n">
        <v>46075</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4860-2022</t>
        </is>
      </c>
      <c r="B123" s="1" t="n">
        <v>44592</v>
      </c>
      <c r="C123" s="1" t="n">
        <v>46075</v>
      </c>
      <c r="D123" t="inlineStr">
        <is>
          <t>STOCKHOLMS LÄN</t>
        </is>
      </c>
      <c r="E123" t="inlineStr">
        <is>
          <t>NORRTÄLJE</t>
        </is>
      </c>
      <c r="G123" t="n">
        <v>22.3</v>
      </c>
      <c r="H123" t="n">
        <v>0</v>
      </c>
      <c r="I123" t="n">
        <v>0</v>
      </c>
      <c r="J123" t="n">
        <v>1</v>
      </c>
      <c r="K123" t="n">
        <v>0</v>
      </c>
      <c r="L123" t="n">
        <v>0</v>
      </c>
      <c r="M123" t="n">
        <v>0</v>
      </c>
      <c r="N123" t="n">
        <v>0</v>
      </c>
      <c r="O123" t="n">
        <v>1</v>
      </c>
      <c r="P123" t="n">
        <v>0</v>
      </c>
      <c r="Q123" t="n">
        <v>1</v>
      </c>
      <c r="R123" s="2" t="inlineStr">
        <is>
          <t>Igelkott</t>
        </is>
      </c>
      <c r="S123">
        <f>HYPERLINK("https://klasma.github.io/Logging_0188/artfynd/A 4860-2022 artfynd.xlsx", "A 4860-2022")</f>
        <v/>
      </c>
      <c r="T123">
        <f>HYPERLINK("https://klasma.github.io/Logging_0188/kartor/A 4860-2022 karta.png", "A 4860-2022")</f>
        <v/>
      </c>
      <c r="V123">
        <f>HYPERLINK("https://klasma.github.io/Logging_0188/klagomål/A 4860-2022 FSC-klagomål.docx", "A 4860-2022")</f>
        <v/>
      </c>
      <c r="W123">
        <f>HYPERLINK("https://klasma.github.io/Logging_0188/klagomålsmail/A 4860-2022 FSC-klagomål mail.docx", "A 4860-2022")</f>
        <v/>
      </c>
      <c r="X123">
        <f>HYPERLINK("https://klasma.github.io/Logging_0188/tillsyn/A 4860-2022 tillsynsbegäran.docx", "A 4860-2022")</f>
        <v/>
      </c>
      <c r="Y123">
        <f>HYPERLINK("https://klasma.github.io/Logging_0188/tillsynsmail/A 4860-2022 tillsynsbegäran mail.docx", "A 4860-2022")</f>
        <v/>
      </c>
    </row>
    <row r="124" ht="15" customHeight="1">
      <c r="A124" t="inlineStr">
        <is>
          <t>A 63292-2025</t>
        </is>
      </c>
      <c r="B124" s="1" t="n">
        <v>46010.59232638889</v>
      </c>
      <c r="C124" s="1" t="n">
        <v>46075</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19829-2022</t>
        </is>
      </c>
      <c r="B125" s="1" t="n">
        <v>44695.43527777777</v>
      </c>
      <c r="C125" s="1" t="n">
        <v>46075</v>
      </c>
      <c r="D125" t="inlineStr">
        <is>
          <t>STOCKHOLMS LÄN</t>
        </is>
      </c>
      <c r="E125" t="inlineStr">
        <is>
          <t>NORRTÄLJE</t>
        </is>
      </c>
      <c r="G125" t="n">
        <v>2</v>
      </c>
      <c r="H125" t="n">
        <v>1</v>
      </c>
      <c r="I125" t="n">
        <v>1</v>
      </c>
      <c r="J125" t="n">
        <v>0</v>
      </c>
      <c r="K125" t="n">
        <v>0</v>
      </c>
      <c r="L125" t="n">
        <v>0</v>
      </c>
      <c r="M125" t="n">
        <v>0</v>
      </c>
      <c r="N125" t="n">
        <v>0</v>
      </c>
      <c r="O125" t="n">
        <v>0</v>
      </c>
      <c r="P125" t="n">
        <v>0</v>
      </c>
      <c r="Q125" t="n">
        <v>1</v>
      </c>
      <c r="R125" s="2" t="inlineStr">
        <is>
          <t>Guckusko</t>
        </is>
      </c>
      <c r="S125">
        <f>HYPERLINK("https://klasma.github.io/Logging_0188/artfynd/A 19829-2022 artfynd.xlsx", "A 19829-2022")</f>
        <v/>
      </c>
      <c r="T125">
        <f>HYPERLINK("https://klasma.github.io/Logging_0188/kartor/A 19829-2022 karta.png", "A 19829-2022")</f>
        <v/>
      </c>
      <c r="V125">
        <f>HYPERLINK("https://klasma.github.io/Logging_0188/klagomål/A 19829-2022 FSC-klagomål.docx", "A 19829-2022")</f>
        <v/>
      </c>
      <c r="W125">
        <f>HYPERLINK("https://klasma.github.io/Logging_0188/klagomålsmail/A 19829-2022 FSC-klagomål mail.docx", "A 19829-2022")</f>
        <v/>
      </c>
      <c r="X125">
        <f>HYPERLINK("https://klasma.github.io/Logging_0188/tillsyn/A 19829-2022 tillsynsbegäran.docx", "A 19829-2022")</f>
        <v/>
      </c>
      <c r="Y125">
        <f>HYPERLINK("https://klasma.github.io/Logging_0188/tillsynsmail/A 19829-2022 tillsynsbegäran mail.docx", "A 19829-2022")</f>
        <v/>
      </c>
    </row>
    <row r="126" ht="15" customHeight="1">
      <c r="A126" t="inlineStr">
        <is>
          <t>A 7734-2026</t>
        </is>
      </c>
      <c r="B126" s="1" t="n">
        <v>46062.52902777777</v>
      </c>
      <c r="C126" s="1" t="n">
        <v>46075</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28816-2023</t>
        </is>
      </c>
      <c r="B127" s="1" t="n">
        <v>45104</v>
      </c>
      <c r="C127" s="1" t="n">
        <v>46075</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364-2026</t>
        </is>
      </c>
      <c r="B128" s="1" t="n">
        <v>46027.67134259259</v>
      </c>
      <c r="C128" s="1" t="n">
        <v>46075</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52508-2023</t>
        </is>
      </c>
      <c r="B129" s="1" t="n">
        <v>45225</v>
      </c>
      <c r="C129" s="1" t="n">
        <v>46075</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27827-2022</t>
        </is>
      </c>
      <c r="B130" s="1" t="n">
        <v>44743.59504629629</v>
      </c>
      <c r="C130" s="1" t="n">
        <v>46075</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23146-2024</t>
        </is>
      </c>
      <c r="B131" s="1" t="n">
        <v>45450.63958333333</v>
      </c>
      <c r="C131" s="1" t="n">
        <v>46075</v>
      </c>
      <c r="D131" t="inlineStr">
        <is>
          <t>STOCKHOLMS LÄN</t>
        </is>
      </c>
      <c r="E131" t="inlineStr">
        <is>
          <t>NORRTÄLJE</t>
        </is>
      </c>
      <c r="F131" t="inlineStr">
        <is>
          <t>Kommuner</t>
        </is>
      </c>
      <c r="G131" t="n">
        <v>6</v>
      </c>
      <c r="H131" t="n">
        <v>0</v>
      </c>
      <c r="I131" t="n">
        <v>0</v>
      </c>
      <c r="J131" t="n">
        <v>1</v>
      </c>
      <c r="K131" t="n">
        <v>0</v>
      </c>
      <c r="L131" t="n">
        <v>0</v>
      </c>
      <c r="M131" t="n">
        <v>0</v>
      </c>
      <c r="N131" t="n">
        <v>0</v>
      </c>
      <c r="O131" t="n">
        <v>1</v>
      </c>
      <c r="P131" t="n">
        <v>0</v>
      </c>
      <c r="Q131" t="n">
        <v>1</v>
      </c>
      <c r="R131" s="2" t="inlineStr">
        <is>
          <t>Motaggsvamp</t>
        </is>
      </c>
      <c r="S131">
        <f>HYPERLINK("https://klasma.github.io/Logging_0188/artfynd/A 23146-2024 artfynd.xlsx", "A 23146-2024")</f>
        <v/>
      </c>
      <c r="T131">
        <f>HYPERLINK("https://klasma.github.io/Logging_0188/kartor/A 23146-2024 karta.png", "A 23146-2024")</f>
        <v/>
      </c>
      <c r="V131">
        <f>HYPERLINK("https://klasma.github.io/Logging_0188/klagomål/A 23146-2024 FSC-klagomål.docx", "A 23146-2024")</f>
        <v/>
      </c>
      <c r="W131">
        <f>HYPERLINK("https://klasma.github.io/Logging_0188/klagomålsmail/A 23146-2024 FSC-klagomål mail.docx", "A 23146-2024")</f>
        <v/>
      </c>
      <c r="X131">
        <f>HYPERLINK("https://klasma.github.io/Logging_0188/tillsyn/A 23146-2024 tillsynsbegäran.docx", "A 23146-2024")</f>
        <v/>
      </c>
      <c r="Y131">
        <f>HYPERLINK("https://klasma.github.io/Logging_0188/tillsynsmail/A 23146-2024 tillsynsbegäran mail.docx", "A 23146-2024")</f>
        <v/>
      </c>
    </row>
    <row r="132" ht="15" customHeight="1">
      <c r="A132" t="inlineStr">
        <is>
          <t>A 27538-2024</t>
        </is>
      </c>
      <c r="B132" s="1" t="n">
        <v>45474</v>
      </c>
      <c r="C132" s="1" t="n">
        <v>46075</v>
      </c>
      <c r="D132" t="inlineStr">
        <is>
          <t>STOCKHOLMS LÄN</t>
        </is>
      </c>
      <c r="E132" t="inlineStr">
        <is>
          <t>NORRTÄLJE</t>
        </is>
      </c>
      <c r="G132" t="n">
        <v>1.5</v>
      </c>
      <c r="H132" t="n">
        <v>1</v>
      </c>
      <c r="I132" t="n">
        <v>1</v>
      </c>
      <c r="J132" t="n">
        <v>0</v>
      </c>
      <c r="K132" t="n">
        <v>0</v>
      </c>
      <c r="L132" t="n">
        <v>0</v>
      </c>
      <c r="M132" t="n">
        <v>0</v>
      </c>
      <c r="N132" t="n">
        <v>0</v>
      </c>
      <c r="O132" t="n">
        <v>0</v>
      </c>
      <c r="P132" t="n">
        <v>0</v>
      </c>
      <c r="Q132" t="n">
        <v>1</v>
      </c>
      <c r="R132" s="2" t="inlineStr">
        <is>
          <t>Skogsknipprot</t>
        </is>
      </c>
      <c r="S132">
        <f>HYPERLINK("https://klasma.github.io/Logging_0188/artfynd/A 27538-2024 artfynd.xlsx", "A 27538-2024")</f>
        <v/>
      </c>
      <c r="T132">
        <f>HYPERLINK("https://klasma.github.io/Logging_0188/kartor/A 27538-2024 karta.png", "A 27538-2024")</f>
        <v/>
      </c>
      <c r="V132">
        <f>HYPERLINK("https://klasma.github.io/Logging_0188/klagomål/A 27538-2024 FSC-klagomål.docx", "A 27538-2024")</f>
        <v/>
      </c>
      <c r="W132">
        <f>HYPERLINK("https://klasma.github.io/Logging_0188/klagomålsmail/A 27538-2024 FSC-klagomål mail.docx", "A 27538-2024")</f>
        <v/>
      </c>
      <c r="X132">
        <f>HYPERLINK("https://klasma.github.io/Logging_0188/tillsyn/A 27538-2024 tillsynsbegäran.docx", "A 27538-2024")</f>
        <v/>
      </c>
      <c r="Y132">
        <f>HYPERLINK("https://klasma.github.io/Logging_0188/tillsynsmail/A 27538-2024 tillsynsbegäran mail.docx", "A 27538-2024")</f>
        <v/>
      </c>
    </row>
    <row r="133" ht="15" customHeight="1">
      <c r="A133" t="inlineStr">
        <is>
          <t>A 48131-2023</t>
        </is>
      </c>
      <c r="B133" s="1" t="n">
        <v>45205</v>
      </c>
      <c r="C133" s="1" t="n">
        <v>46075</v>
      </c>
      <c r="D133" t="inlineStr">
        <is>
          <t>STOCKHOLMS LÄN</t>
        </is>
      </c>
      <c r="E133" t="inlineStr">
        <is>
          <t>NORRTÄLJE</t>
        </is>
      </c>
      <c r="G133" t="n">
        <v>2.3</v>
      </c>
      <c r="H133" t="n">
        <v>0</v>
      </c>
      <c r="I133" t="n">
        <v>0</v>
      </c>
      <c r="J133" t="n">
        <v>1</v>
      </c>
      <c r="K133" t="n">
        <v>0</v>
      </c>
      <c r="L133" t="n">
        <v>0</v>
      </c>
      <c r="M133" t="n">
        <v>0</v>
      </c>
      <c r="N133" t="n">
        <v>0</v>
      </c>
      <c r="O133" t="n">
        <v>1</v>
      </c>
      <c r="P133" t="n">
        <v>0</v>
      </c>
      <c r="Q133" t="n">
        <v>1</v>
      </c>
      <c r="R133" s="2" t="inlineStr">
        <is>
          <t>Slåtterfibbla</t>
        </is>
      </c>
      <c r="S133">
        <f>HYPERLINK("https://klasma.github.io/Logging_0188/artfynd/A 48131-2023 artfynd.xlsx", "A 48131-2023")</f>
        <v/>
      </c>
      <c r="T133">
        <f>HYPERLINK("https://klasma.github.io/Logging_0188/kartor/A 48131-2023 karta.png", "A 48131-2023")</f>
        <v/>
      </c>
      <c r="V133">
        <f>HYPERLINK("https://klasma.github.io/Logging_0188/klagomål/A 48131-2023 FSC-klagomål.docx", "A 48131-2023")</f>
        <v/>
      </c>
      <c r="W133">
        <f>HYPERLINK("https://klasma.github.io/Logging_0188/klagomålsmail/A 48131-2023 FSC-klagomål mail.docx", "A 48131-2023")</f>
        <v/>
      </c>
      <c r="X133">
        <f>HYPERLINK("https://klasma.github.io/Logging_0188/tillsyn/A 48131-2023 tillsynsbegäran.docx", "A 48131-2023")</f>
        <v/>
      </c>
      <c r="Y133">
        <f>HYPERLINK("https://klasma.github.io/Logging_0188/tillsynsmail/A 48131-2023 tillsynsbegäran mail.docx", "A 48131-2023")</f>
        <v/>
      </c>
    </row>
    <row r="134" ht="15" customHeight="1">
      <c r="A134" t="inlineStr">
        <is>
          <t>A 21150-2022</t>
        </is>
      </c>
      <c r="B134" s="1" t="n">
        <v>44704</v>
      </c>
      <c r="C134" s="1" t="n">
        <v>46075</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58888-2021</t>
        </is>
      </c>
      <c r="B135" s="1" t="n">
        <v>44489</v>
      </c>
      <c r="C135" s="1" t="n">
        <v>46075</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9955-2022</t>
        </is>
      </c>
      <c r="B136" s="1" t="n">
        <v>44620</v>
      </c>
      <c r="C136" s="1" t="n">
        <v>46075</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46075</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25669-2025</t>
        </is>
      </c>
      <c r="B138" s="1" t="n">
        <v>45803.62766203703</v>
      </c>
      <c r="C138" s="1" t="n">
        <v>46075</v>
      </c>
      <c r="D138" t="inlineStr">
        <is>
          <t>STOCKHOLMS LÄN</t>
        </is>
      </c>
      <c r="E138" t="inlineStr">
        <is>
          <t>NORRTÄLJE</t>
        </is>
      </c>
      <c r="F138" t="inlineStr">
        <is>
          <t>Holmen skog AB</t>
        </is>
      </c>
      <c r="G138" t="n">
        <v>3.1</v>
      </c>
      <c r="H138" t="n">
        <v>1</v>
      </c>
      <c r="I138" t="n">
        <v>0</v>
      </c>
      <c r="J138" t="n">
        <v>0</v>
      </c>
      <c r="K138" t="n">
        <v>0</v>
      </c>
      <c r="L138" t="n">
        <v>0</v>
      </c>
      <c r="M138" t="n">
        <v>0</v>
      </c>
      <c r="N138" t="n">
        <v>0</v>
      </c>
      <c r="O138" t="n">
        <v>0</v>
      </c>
      <c r="P138" t="n">
        <v>0</v>
      </c>
      <c r="Q138" t="n">
        <v>1</v>
      </c>
      <c r="R138" s="2" t="inlineStr">
        <is>
          <t>Tjäder</t>
        </is>
      </c>
      <c r="S138">
        <f>HYPERLINK("https://klasma.github.io/Logging_0188/artfynd/A 25669-2025 artfynd.xlsx", "A 25669-2025")</f>
        <v/>
      </c>
      <c r="T138">
        <f>HYPERLINK("https://klasma.github.io/Logging_0188/kartor/A 25669-2025 karta.png", "A 25669-2025")</f>
        <v/>
      </c>
      <c r="V138">
        <f>HYPERLINK("https://klasma.github.io/Logging_0188/klagomål/A 25669-2025 FSC-klagomål.docx", "A 25669-2025")</f>
        <v/>
      </c>
      <c r="W138">
        <f>HYPERLINK("https://klasma.github.io/Logging_0188/klagomålsmail/A 25669-2025 FSC-klagomål mail.docx", "A 25669-2025")</f>
        <v/>
      </c>
      <c r="X138">
        <f>HYPERLINK("https://klasma.github.io/Logging_0188/tillsyn/A 25669-2025 tillsynsbegäran.docx", "A 25669-2025")</f>
        <v/>
      </c>
      <c r="Y138">
        <f>HYPERLINK("https://klasma.github.io/Logging_0188/tillsynsmail/A 25669-2025 tillsynsbegäran mail.docx", "A 25669-2025")</f>
        <v/>
      </c>
      <c r="Z138">
        <f>HYPERLINK("https://klasma.github.io/Logging_0188/fåglar/A 25669-2025 prioriterade fågelarter.docx", "A 25669-2025")</f>
        <v/>
      </c>
    </row>
    <row r="139" ht="15" customHeight="1">
      <c r="A139" t="inlineStr">
        <is>
          <t>A 35764-2024</t>
        </is>
      </c>
      <c r="B139" s="1" t="n">
        <v>45532</v>
      </c>
      <c r="C139" s="1" t="n">
        <v>46075</v>
      </c>
      <c r="D139" t="inlineStr">
        <is>
          <t>STOCKHOLMS LÄN</t>
        </is>
      </c>
      <c r="E139" t="inlineStr">
        <is>
          <t>NORRTÄLJE</t>
        </is>
      </c>
      <c r="G139" t="n">
        <v>14.2</v>
      </c>
      <c r="H139" t="n">
        <v>1</v>
      </c>
      <c r="I139" t="n">
        <v>0</v>
      </c>
      <c r="J139" t="n">
        <v>0</v>
      </c>
      <c r="K139" t="n">
        <v>1</v>
      </c>
      <c r="L139" t="n">
        <v>0</v>
      </c>
      <c r="M139" t="n">
        <v>0</v>
      </c>
      <c r="N139" t="n">
        <v>0</v>
      </c>
      <c r="O139" t="n">
        <v>1</v>
      </c>
      <c r="P139" t="n">
        <v>1</v>
      </c>
      <c r="Q139" t="n">
        <v>1</v>
      </c>
      <c r="R139" s="2" t="inlineStr">
        <is>
          <t>Knärot</t>
        </is>
      </c>
      <c r="S139">
        <f>HYPERLINK("https://klasma.github.io/Logging_0188/artfynd/A 35764-2024 artfynd.xlsx", "A 35764-2024")</f>
        <v/>
      </c>
      <c r="T139">
        <f>HYPERLINK("https://klasma.github.io/Logging_0188/kartor/A 35764-2024 karta.png", "A 35764-2024")</f>
        <v/>
      </c>
      <c r="U139">
        <f>HYPERLINK("https://klasma.github.io/Logging_0188/knärot/A 35764-2024 karta knärot.png", "A 35764-2024")</f>
        <v/>
      </c>
      <c r="V139">
        <f>HYPERLINK("https://klasma.github.io/Logging_0188/klagomål/A 35764-2024 FSC-klagomål.docx", "A 35764-2024")</f>
        <v/>
      </c>
      <c r="W139">
        <f>HYPERLINK("https://klasma.github.io/Logging_0188/klagomålsmail/A 35764-2024 FSC-klagomål mail.docx", "A 35764-2024")</f>
        <v/>
      </c>
      <c r="X139">
        <f>HYPERLINK("https://klasma.github.io/Logging_0188/tillsyn/A 35764-2024 tillsynsbegäran.docx", "A 35764-2024")</f>
        <v/>
      </c>
      <c r="Y139">
        <f>HYPERLINK("https://klasma.github.io/Logging_0188/tillsynsmail/A 35764-2024 tillsynsbegäran mail.docx", "A 35764-2024")</f>
        <v/>
      </c>
    </row>
    <row r="140" ht="15" customHeight="1">
      <c r="A140" t="inlineStr">
        <is>
          <t>A 25725-2025</t>
        </is>
      </c>
      <c r="B140" s="1" t="n">
        <v>45800</v>
      </c>
      <c r="C140" s="1" t="n">
        <v>46075</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25709-2025</t>
        </is>
      </c>
      <c r="B141" s="1" t="n">
        <v>45800</v>
      </c>
      <c r="C141" s="1" t="n">
        <v>46075</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35649-2023</t>
        </is>
      </c>
      <c r="B142" s="1" t="n">
        <v>45146</v>
      </c>
      <c r="C142" s="1" t="n">
        <v>46075</v>
      </c>
      <c r="D142" t="inlineStr">
        <is>
          <t>STOCKHOLMS LÄN</t>
        </is>
      </c>
      <c r="E142" t="inlineStr">
        <is>
          <t>NORRTÄLJE</t>
        </is>
      </c>
      <c r="G142" t="n">
        <v>25.1</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35649-2023 artfynd.xlsx", "A 35649-2023")</f>
        <v/>
      </c>
      <c r="T142">
        <f>HYPERLINK("https://klasma.github.io/Logging_0188/kartor/A 35649-2023 karta.png", "A 35649-2023")</f>
        <v/>
      </c>
      <c r="V142">
        <f>HYPERLINK("https://klasma.github.io/Logging_0188/klagomål/A 35649-2023 FSC-klagomål.docx", "A 35649-2023")</f>
        <v/>
      </c>
      <c r="W142">
        <f>HYPERLINK("https://klasma.github.io/Logging_0188/klagomålsmail/A 35649-2023 FSC-klagomål mail.docx", "A 35649-2023")</f>
        <v/>
      </c>
      <c r="X142">
        <f>HYPERLINK("https://klasma.github.io/Logging_0188/tillsyn/A 35649-2023 tillsynsbegäran.docx", "A 35649-2023")</f>
        <v/>
      </c>
      <c r="Y142">
        <f>HYPERLINK("https://klasma.github.io/Logging_0188/tillsynsmail/A 35649-2023 tillsynsbegäran mail.docx", "A 35649-2023")</f>
        <v/>
      </c>
    </row>
    <row r="143" ht="15" customHeight="1">
      <c r="A143" t="inlineStr">
        <is>
          <t>A 18580-2021</t>
        </is>
      </c>
      <c r="B143" s="1" t="n">
        <v>44306</v>
      </c>
      <c r="C143" s="1" t="n">
        <v>46075</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46075</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46075</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46075</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46075</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46075</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46075</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46075</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46075</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46075</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46075</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46075</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46075</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46075</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46075</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46075</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46075</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46075</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46075</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46075</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46075</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46075</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46075</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46075</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46075</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46075</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46075</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46075</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46075</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46075</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46075</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46075</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46075</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46075</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46075</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46075</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46075</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46075</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46075</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46075</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46075</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46075</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46075</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46075</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46075</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46075</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46075</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46075</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46075</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46075</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46075</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46075</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46075</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46075</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23122-2021</t>
        </is>
      </c>
      <c r="B199" s="1" t="n">
        <v>44330</v>
      </c>
      <c r="C199" s="1" t="n">
        <v>46075</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46075</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64599-2021</t>
        </is>
      </c>
      <c r="B201" s="1" t="n">
        <v>44511.69885416667</v>
      </c>
      <c r="C201" s="1" t="n">
        <v>46075</v>
      </c>
      <c r="D201" t="inlineStr">
        <is>
          <t>STOCKHOLMS LÄN</t>
        </is>
      </c>
      <c r="E201" t="inlineStr">
        <is>
          <t>NORRTÄLJE</t>
        </is>
      </c>
      <c r="G201" t="n">
        <v>1.1</v>
      </c>
      <c r="H201" t="n">
        <v>0</v>
      </c>
      <c r="I201" t="n">
        <v>0</v>
      </c>
      <c r="J201" t="n">
        <v>0</v>
      </c>
      <c r="K201" t="n">
        <v>0</v>
      </c>
      <c r="L201" t="n">
        <v>0</v>
      </c>
      <c r="M201" t="n">
        <v>0</v>
      </c>
      <c r="N201" t="n">
        <v>0</v>
      </c>
      <c r="O201" t="n">
        <v>0</v>
      </c>
      <c r="P201" t="n">
        <v>0</v>
      </c>
      <c r="Q201" t="n">
        <v>0</v>
      </c>
      <c r="R201" s="2" t="inlineStr"/>
    </row>
    <row r="202" ht="15" customHeight="1">
      <c r="A202" t="inlineStr">
        <is>
          <t>A 64212-2021</t>
        </is>
      </c>
      <c r="B202" s="1" t="n">
        <v>44510</v>
      </c>
      <c r="C202" s="1" t="n">
        <v>46075</v>
      </c>
      <c r="D202" t="inlineStr">
        <is>
          <t>STOCKHOLMS LÄN</t>
        </is>
      </c>
      <c r="E202" t="inlineStr">
        <is>
          <t>NORRTÄLJE</t>
        </is>
      </c>
      <c r="G202" t="n">
        <v>28.7</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46075</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46075</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46075</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44274-2021</t>
        </is>
      </c>
      <c r="B206" s="1" t="n">
        <v>44435</v>
      </c>
      <c r="C206" s="1" t="n">
        <v>46075</v>
      </c>
      <c r="D206" t="inlineStr">
        <is>
          <t>STOCKHOLMS LÄN</t>
        </is>
      </c>
      <c r="E206" t="inlineStr">
        <is>
          <t>NORRTÄLJE</t>
        </is>
      </c>
      <c r="G206" t="n">
        <v>1</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46075</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46075</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46075</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46075</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46075</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46075</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46075</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46075</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46075</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46075</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46075</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46075</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46075</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46075</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46075</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46075</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46075</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46075</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46075</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46075</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9988-2022</t>
        </is>
      </c>
      <c r="B227" s="1" t="n">
        <v>44621</v>
      </c>
      <c r="C227" s="1" t="n">
        <v>46075</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60733-2021</t>
        </is>
      </c>
      <c r="B228" s="1" t="n">
        <v>44496.77542824074</v>
      </c>
      <c r="C228" s="1" t="n">
        <v>46075</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46075</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46075</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46075</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46075</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46075</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26328-2022</t>
        </is>
      </c>
      <c r="B234" s="1" t="n">
        <v>44735</v>
      </c>
      <c r="C234" s="1" t="n">
        <v>46075</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52449-2021</t>
        </is>
      </c>
      <c r="B235" s="1" t="n">
        <v>44466.37496527778</v>
      </c>
      <c r="C235" s="1" t="n">
        <v>46075</v>
      </c>
      <c r="D235" t="inlineStr">
        <is>
          <t>STOCKHOLMS LÄN</t>
        </is>
      </c>
      <c r="E235" t="inlineStr">
        <is>
          <t>NORRTÄLJE</t>
        </is>
      </c>
      <c r="F235" t="inlineStr">
        <is>
          <t>Holmen skog AB</t>
        </is>
      </c>
      <c r="G235" t="n">
        <v>1.8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46075</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46075</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46075</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46075</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46075</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46075</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46075</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46075</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46075</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46075</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46075</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46075</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46075</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46075</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46075</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46075</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46075</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46075</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46075</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46075</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46075</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46075</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46075</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c r="U258">
        <f>HYPERLINK("https://klasma.github.io/Logging_0188/knärot/A 52139-2022 karta knärot.png", "A 52139-2022")</f>
        <v/>
      </c>
      <c r="V258">
        <f>HYPERLINK("https://klasma.github.io/Logging_0188/klagomål/A 52139-2022 FSC-klagomål.docx", "A 52139-2022")</f>
        <v/>
      </c>
      <c r="W258">
        <f>HYPERLINK("https://klasma.github.io/Logging_0188/klagomålsmail/A 52139-2022 FSC-klagomål mail.docx", "A 52139-2022")</f>
        <v/>
      </c>
      <c r="X258">
        <f>HYPERLINK("https://klasma.github.io/Logging_0188/tillsyn/A 52139-2022 tillsynsbegäran.docx", "A 52139-2022")</f>
        <v/>
      </c>
      <c r="Y258">
        <f>HYPERLINK("https://klasma.github.io/Logging_0188/tillsynsmail/A 52139-2022 tillsynsbegäran mail.docx", "A 52139-2022")</f>
        <v/>
      </c>
    </row>
    <row r="259" ht="15" customHeight="1">
      <c r="A259" t="inlineStr">
        <is>
          <t>A 9446-2021</t>
        </is>
      </c>
      <c r="B259" s="1" t="n">
        <v>44251</v>
      </c>
      <c r="C259" s="1" t="n">
        <v>46075</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46075</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46075</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46075</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46075</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46075</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46075</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46075</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46075</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46075</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46075</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46075</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46075</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46075</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46075</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56219-2021</t>
        </is>
      </c>
      <c r="B274" s="1" t="n">
        <v>44477</v>
      </c>
      <c r="C274" s="1" t="n">
        <v>46075</v>
      </c>
      <c r="D274" t="inlineStr">
        <is>
          <t>STOCKHOLMS LÄN</t>
        </is>
      </c>
      <c r="E274" t="inlineStr">
        <is>
          <t>NORRTÄLJE</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46075</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46075</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46075</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46075</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46075</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46075</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46075</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46075</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46075</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46075</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46075</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46075</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46075</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17772-2022</t>
        </is>
      </c>
      <c r="B288" s="1" t="n">
        <v>44682.76528935185</v>
      </c>
      <c r="C288" s="1" t="n">
        <v>46075</v>
      </c>
      <c r="D288" t="inlineStr">
        <is>
          <t>STOCKHOLMS LÄN</t>
        </is>
      </c>
      <c r="E288" t="inlineStr">
        <is>
          <t>NORRTÄLJE</t>
        </is>
      </c>
      <c r="G288" t="n">
        <v>4</v>
      </c>
      <c r="H288" t="n">
        <v>0</v>
      </c>
      <c r="I288" t="n">
        <v>0</v>
      </c>
      <c r="J288" t="n">
        <v>0</v>
      </c>
      <c r="K288" t="n">
        <v>0</v>
      </c>
      <c r="L288" t="n">
        <v>0</v>
      </c>
      <c r="M288" t="n">
        <v>0</v>
      </c>
      <c r="N288" t="n">
        <v>0</v>
      </c>
      <c r="O288" t="n">
        <v>0</v>
      </c>
      <c r="P288" t="n">
        <v>0</v>
      </c>
      <c r="Q288" t="n">
        <v>0</v>
      </c>
      <c r="R288" s="2" t="inlineStr"/>
    </row>
    <row r="289" ht="15" customHeight="1">
      <c r="A289" t="inlineStr">
        <is>
          <t>A 24101-2022</t>
        </is>
      </c>
      <c r="B289" s="1" t="n">
        <v>44725</v>
      </c>
      <c r="C289" s="1" t="n">
        <v>46075</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46075</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46075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46075</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46075</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46075</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15915-2023</t>
        </is>
      </c>
      <c r="B295" s="1" t="n">
        <v>45022</v>
      </c>
      <c r="C295" s="1" t="n">
        <v>46075</v>
      </c>
      <c r="D295" t="inlineStr">
        <is>
          <t>STOCKHOLMS LÄN</t>
        </is>
      </c>
      <c r="E295" t="inlineStr">
        <is>
          <t>NORRTÄLJE</t>
        </is>
      </c>
      <c r="G295" t="n">
        <v>2.9</v>
      </c>
      <c r="H295" t="n">
        <v>0</v>
      </c>
      <c r="I295" t="n">
        <v>0</v>
      </c>
      <c r="J295" t="n">
        <v>0</v>
      </c>
      <c r="K295" t="n">
        <v>0</v>
      </c>
      <c r="L295" t="n">
        <v>0</v>
      </c>
      <c r="M295" t="n">
        <v>0</v>
      </c>
      <c r="N295" t="n">
        <v>0</v>
      </c>
      <c r="O295" t="n">
        <v>0</v>
      </c>
      <c r="P295" t="n">
        <v>0</v>
      </c>
      <c r="Q295" t="n">
        <v>0</v>
      </c>
      <c r="R295" s="2" t="inlineStr"/>
    </row>
    <row r="296" ht="15" customHeight="1">
      <c r="A296" t="inlineStr">
        <is>
          <t>A 27828-2022</t>
        </is>
      </c>
      <c r="B296" s="1" t="n">
        <v>44743.59765046297</v>
      </c>
      <c r="C296" s="1" t="n">
        <v>46075</v>
      </c>
      <c r="D296" t="inlineStr">
        <is>
          <t>STOCKHOLMS LÄN</t>
        </is>
      </c>
      <c r="E296" t="inlineStr">
        <is>
          <t>NORRTÄLJE</t>
        </is>
      </c>
      <c r="F296" t="inlineStr">
        <is>
          <t>Kommuner</t>
        </is>
      </c>
      <c r="G296" t="n">
        <v>1.6</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46075</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33226-2024</t>
        </is>
      </c>
      <c r="B298" s="1" t="n">
        <v>45518</v>
      </c>
      <c r="C298" s="1" t="n">
        <v>46075</v>
      </c>
      <c r="D298" t="inlineStr">
        <is>
          <t>STOCKHOLMS LÄN</t>
        </is>
      </c>
      <c r="E298" t="inlineStr">
        <is>
          <t>NORRTÄLJE</t>
        </is>
      </c>
      <c r="G298" t="n">
        <v>13.8</v>
      </c>
      <c r="H298" t="n">
        <v>0</v>
      </c>
      <c r="I298" t="n">
        <v>0</v>
      </c>
      <c r="J298" t="n">
        <v>0</v>
      </c>
      <c r="K298" t="n">
        <v>0</v>
      </c>
      <c r="L298" t="n">
        <v>0</v>
      </c>
      <c r="M298" t="n">
        <v>0</v>
      </c>
      <c r="N298" t="n">
        <v>0</v>
      </c>
      <c r="O298" t="n">
        <v>0</v>
      </c>
      <c r="P298" t="n">
        <v>0</v>
      </c>
      <c r="Q298" t="n">
        <v>0</v>
      </c>
      <c r="R298" s="2" t="inlineStr"/>
    </row>
    <row r="299" ht="15" customHeight="1">
      <c r="A299" t="inlineStr">
        <is>
          <t>A 55696-2022</t>
        </is>
      </c>
      <c r="B299" s="1" t="n">
        <v>44888</v>
      </c>
      <c r="C299" s="1" t="n">
        <v>46075</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22412-2021</t>
        </is>
      </c>
      <c r="B300" s="1" t="n">
        <v>44326.61967592593</v>
      </c>
      <c r="C300" s="1" t="n">
        <v>46075</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46075</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46075</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29972-2024</t>
        </is>
      </c>
      <c r="B303" s="1" t="n">
        <v>45485</v>
      </c>
      <c r="C303" s="1" t="n">
        <v>46075</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64137-2021</t>
        </is>
      </c>
      <c r="B304" s="1" t="n">
        <v>44510.51422453704</v>
      </c>
      <c r="C304" s="1" t="n">
        <v>46075</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48716-2023</t>
        </is>
      </c>
      <c r="B305" s="1" t="n">
        <v>45208.69671296296</v>
      </c>
      <c r="C305" s="1" t="n">
        <v>46075</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5027-2025</t>
        </is>
      </c>
      <c r="B306" s="1" t="n">
        <v>45691.41101851852</v>
      </c>
      <c r="C306" s="1" t="n">
        <v>46075</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11122-2021</t>
        </is>
      </c>
      <c r="B307" s="1" t="n">
        <v>44260</v>
      </c>
      <c r="C307" s="1" t="n">
        <v>46075</v>
      </c>
      <c r="D307" t="inlineStr">
        <is>
          <t>STOCKHOLMS LÄN</t>
        </is>
      </c>
      <c r="E307" t="inlineStr">
        <is>
          <t>NORRTÄLJE</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12268-2022</t>
        </is>
      </c>
      <c r="B308" s="1" t="n">
        <v>44637</v>
      </c>
      <c r="C308" s="1" t="n">
        <v>46075</v>
      </c>
      <c r="D308" t="inlineStr">
        <is>
          <t>STOCKHOLMS LÄN</t>
        </is>
      </c>
      <c r="E308" t="inlineStr">
        <is>
          <t>NORRTÄLJE</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20015-2023</t>
        </is>
      </c>
      <c r="B309" s="1" t="n">
        <v>45054</v>
      </c>
      <c r="C309" s="1" t="n">
        <v>46075</v>
      </c>
      <c r="D309" t="inlineStr">
        <is>
          <t>STOCKHOLMS LÄN</t>
        </is>
      </c>
      <c r="E309" t="inlineStr">
        <is>
          <t>NORRTÄLJE</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3273-2025</t>
        </is>
      </c>
      <c r="B310" s="1" t="n">
        <v>45679</v>
      </c>
      <c r="C310" s="1" t="n">
        <v>46075</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55243-2023</t>
        </is>
      </c>
      <c r="B311" s="1" t="n">
        <v>45237</v>
      </c>
      <c r="C311" s="1" t="n">
        <v>46075</v>
      </c>
      <c r="D311" t="inlineStr">
        <is>
          <t>STOCKHOLMS LÄN</t>
        </is>
      </c>
      <c r="E311" t="inlineStr">
        <is>
          <t>NORRTÄLJE</t>
        </is>
      </c>
      <c r="G311" t="n">
        <v>6.5</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46075</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13172-2025</t>
        </is>
      </c>
      <c r="B313" s="1" t="n">
        <v>45735.36873842592</v>
      </c>
      <c r="C313" s="1" t="n">
        <v>46075</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21291-2021</t>
        </is>
      </c>
      <c r="B314" s="1" t="n">
        <v>44319</v>
      </c>
      <c r="C314" s="1" t="n">
        <v>46075</v>
      </c>
      <c r="D314" t="inlineStr">
        <is>
          <t>STOCKHOLMS LÄN</t>
        </is>
      </c>
      <c r="E314" t="inlineStr">
        <is>
          <t>NORRTÄLJE</t>
        </is>
      </c>
      <c r="G314" t="n">
        <v>12.7</v>
      </c>
      <c r="H314" t="n">
        <v>0</v>
      </c>
      <c r="I314" t="n">
        <v>0</v>
      </c>
      <c r="J314" t="n">
        <v>0</v>
      </c>
      <c r="K314" t="n">
        <v>0</v>
      </c>
      <c r="L314" t="n">
        <v>0</v>
      </c>
      <c r="M314" t="n">
        <v>0</v>
      </c>
      <c r="N314" t="n">
        <v>0</v>
      </c>
      <c r="O314" t="n">
        <v>0</v>
      </c>
      <c r="P314" t="n">
        <v>0</v>
      </c>
      <c r="Q314" t="n">
        <v>0</v>
      </c>
      <c r="R314" s="2" t="inlineStr"/>
    </row>
    <row r="315" ht="15" customHeight="1">
      <c r="A315" t="inlineStr">
        <is>
          <t>A 52260-2022</t>
        </is>
      </c>
      <c r="B315" s="1" t="n">
        <v>44869</v>
      </c>
      <c r="C315" s="1" t="n">
        <v>46075</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15256-2023</t>
        </is>
      </c>
      <c r="B316" s="1" t="n">
        <v>45019.3959837963</v>
      </c>
      <c r="C316" s="1" t="n">
        <v>46075</v>
      </c>
      <c r="D316" t="inlineStr">
        <is>
          <t>STOCKHOLMS LÄN</t>
        </is>
      </c>
      <c r="E316" t="inlineStr">
        <is>
          <t>NORRTÄLJE</t>
        </is>
      </c>
      <c r="G316" t="n">
        <v>2.4</v>
      </c>
      <c r="H316" t="n">
        <v>0</v>
      </c>
      <c r="I316" t="n">
        <v>0</v>
      </c>
      <c r="J316" t="n">
        <v>0</v>
      </c>
      <c r="K316" t="n">
        <v>0</v>
      </c>
      <c r="L316" t="n">
        <v>0</v>
      </c>
      <c r="M316" t="n">
        <v>0</v>
      </c>
      <c r="N316" t="n">
        <v>0</v>
      </c>
      <c r="O316" t="n">
        <v>0</v>
      </c>
      <c r="P316" t="n">
        <v>0</v>
      </c>
      <c r="Q316" t="n">
        <v>0</v>
      </c>
      <c r="R316" s="2" t="inlineStr"/>
    </row>
    <row r="317" ht="15" customHeight="1">
      <c r="A317" t="inlineStr">
        <is>
          <t>A 20428-2024</t>
        </is>
      </c>
      <c r="B317" s="1" t="n">
        <v>45435</v>
      </c>
      <c r="C317" s="1" t="n">
        <v>46075</v>
      </c>
      <c r="D317" t="inlineStr">
        <is>
          <t>STOCKHOLMS LÄN</t>
        </is>
      </c>
      <c r="E317" t="inlineStr">
        <is>
          <t>NORRTÄLJE</t>
        </is>
      </c>
      <c r="G317" t="n">
        <v>3.7</v>
      </c>
      <c r="H317" t="n">
        <v>0</v>
      </c>
      <c r="I317" t="n">
        <v>0</v>
      </c>
      <c r="J317" t="n">
        <v>0</v>
      </c>
      <c r="K317" t="n">
        <v>0</v>
      </c>
      <c r="L317" t="n">
        <v>0</v>
      </c>
      <c r="M317" t="n">
        <v>0</v>
      </c>
      <c r="N317" t="n">
        <v>0</v>
      </c>
      <c r="O317" t="n">
        <v>0</v>
      </c>
      <c r="P317" t="n">
        <v>0</v>
      </c>
      <c r="Q317" t="n">
        <v>0</v>
      </c>
      <c r="R317" s="2" t="inlineStr"/>
    </row>
    <row r="318" ht="15" customHeight="1">
      <c r="A318" t="inlineStr">
        <is>
          <t>A 64145-2021</t>
        </is>
      </c>
      <c r="B318" s="1" t="n">
        <v>44510</v>
      </c>
      <c r="C318" s="1" t="n">
        <v>46075</v>
      </c>
      <c r="D318" t="inlineStr">
        <is>
          <t>STOCKHOLMS LÄN</t>
        </is>
      </c>
      <c r="E318" t="inlineStr">
        <is>
          <t>NORRTÄLJE</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46075</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46075</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22456-2023</t>
        </is>
      </c>
      <c r="B321" s="1" t="n">
        <v>45070</v>
      </c>
      <c r="C321" s="1" t="n">
        <v>46075</v>
      </c>
      <c r="D321" t="inlineStr">
        <is>
          <t>STOCKHOLMS LÄN</t>
        </is>
      </c>
      <c r="E321" t="inlineStr">
        <is>
          <t>NORRTÄLJE</t>
        </is>
      </c>
      <c r="G321" t="n">
        <v>3.1</v>
      </c>
      <c r="H321" t="n">
        <v>0</v>
      </c>
      <c r="I321" t="n">
        <v>0</v>
      </c>
      <c r="J321" t="n">
        <v>0</v>
      </c>
      <c r="K321" t="n">
        <v>0</v>
      </c>
      <c r="L321" t="n">
        <v>0</v>
      </c>
      <c r="M321" t="n">
        <v>0</v>
      </c>
      <c r="N321" t="n">
        <v>0</v>
      </c>
      <c r="O321" t="n">
        <v>0</v>
      </c>
      <c r="P321" t="n">
        <v>0</v>
      </c>
      <c r="Q321" t="n">
        <v>0</v>
      </c>
      <c r="R321" s="2" t="inlineStr"/>
    </row>
    <row r="322" ht="15" customHeight="1">
      <c r="A322" t="inlineStr">
        <is>
          <t>A 17785-2024</t>
        </is>
      </c>
      <c r="B322" s="1" t="n">
        <v>45418.6968287037</v>
      </c>
      <c r="C322" s="1" t="n">
        <v>46075</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10676-2025</t>
        </is>
      </c>
      <c r="B323" s="1" t="n">
        <v>45721.88684027778</v>
      </c>
      <c r="C323" s="1" t="n">
        <v>46075</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20852-2023</t>
        </is>
      </c>
      <c r="B324" s="1" t="n">
        <v>45058.78607638889</v>
      </c>
      <c r="C324" s="1" t="n">
        <v>46075</v>
      </c>
      <c r="D324" t="inlineStr">
        <is>
          <t>STOCKHOLMS LÄN</t>
        </is>
      </c>
      <c r="E324" t="inlineStr">
        <is>
          <t>NORRTÄLJE</t>
        </is>
      </c>
      <c r="G324" t="n">
        <v>3.5</v>
      </c>
      <c r="H324" t="n">
        <v>0</v>
      </c>
      <c r="I324" t="n">
        <v>0</v>
      </c>
      <c r="J324" t="n">
        <v>0</v>
      </c>
      <c r="K324" t="n">
        <v>0</v>
      </c>
      <c r="L324" t="n">
        <v>0</v>
      </c>
      <c r="M324" t="n">
        <v>0</v>
      </c>
      <c r="N324" t="n">
        <v>0</v>
      </c>
      <c r="O324" t="n">
        <v>0</v>
      </c>
      <c r="P324" t="n">
        <v>0</v>
      </c>
      <c r="Q324" t="n">
        <v>0</v>
      </c>
      <c r="R324" s="2" t="inlineStr"/>
    </row>
    <row r="325" ht="15" customHeight="1">
      <c r="A325" t="inlineStr">
        <is>
          <t>A 19982-2022</t>
        </is>
      </c>
      <c r="B325" s="1" t="n">
        <v>44697</v>
      </c>
      <c r="C325" s="1" t="n">
        <v>46075</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6678-2025</t>
        </is>
      </c>
      <c r="B326" s="1" t="n">
        <v>45700</v>
      </c>
      <c r="C326" s="1" t="n">
        <v>46075</v>
      </c>
      <c r="D326" t="inlineStr">
        <is>
          <t>STOCKHOLMS LÄN</t>
        </is>
      </c>
      <c r="E326" t="inlineStr">
        <is>
          <t>NORRTÄLJE</t>
        </is>
      </c>
      <c r="F326" t="inlineStr">
        <is>
          <t>Övriga Aktiebolag</t>
        </is>
      </c>
      <c r="G326" t="n">
        <v>6.6</v>
      </c>
      <c r="H326" t="n">
        <v>0</v>
      </c>
      <c r="I326" t="n">
        <v>0</v>
      </c>
      <c r="J326" t="n">
        <v>0</v>
      </c>
      <c r="K326" t="n">
        <v>0</v>
      </c>
      <c r="L326" t="n">
        <v>0</v>
      </c>
      <c r="M326" t="n">
        <v>0</v>
      </c>
      <c r="N326" t="n">
        <v>0</v>
      </c>
      <c r="O326" t="n">
        <v>0</v>
      </c>
      <c r="P326" t="n">
        <v>0</v>
      </c>
      <c r="Q326" t="n">
        <v>0</v>
      </c>
      <c r="R326" s="2" t="inlineStr"/>
    </row>
    <row r="327" ht="15" customHeight="1">
      <c r="A327" t="inlineStr">
        <is>
          <t>A 42075-2023</t>
        </is>
      </c>
      <c r="B327" s="1" t="n">
        <v>45177</v>
      </c>
      <c r="C327" s="1" t="n">
        <v>46075</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44917-2022</t>
        </is>
      </c>
      <c r="B328" s="1" t="n">
        <v>44841.52804398148</v>
      </c>
      <c r="C328" s="1" t="n">
        <v>46075</v>
      </c>
      <c r="D328" t="inlineStr">
        <is>
          <t>STOCKHOLMS LÄN</t>
        </is>
      </c>
      <c r="E328" t="inlineStr">
        <is>
          <t>NORRTÄLJE</t>
        </is>
      </c>
      <c r="F328" t="inlineStr">
        <is>
          <t>Holmen skog AB</t>
        </is>
      </c>
      <c r="G328" t="n">
        <v>3.3</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46075</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25557-2023</t>
        </is>
      </c>
      <c r="B330" s="1" t="n">
        <v>45089</v>
      </c>
      <c r="C330" s="1" t="n">
        <v>46075</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55012-2024</t>
        </is>
      </c>
      <c r="B331" s="1" t="n">
        <v>45621.34813657407</v>
      </c>
      <c r="C331" s="1" t="n">
        <v>46075</v>
      </c>
      <c r="D331" t="inlineStr">
        <is>
          <t>STOCKHOLMS LÄN</t>
        </is>
      </c>
      <c r="E331" t="inlineStr">
        <is>
          <t>NORRTÄLJE</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55058-2021</t>
        </is>
      </c>
      <c r="B332" s="1" t="n">
        <v>44474.62141203704</v>
      </c>
      <c r="C332" s="1" t="n">
        <v>46075</v>
      </c>
      <c r="D332" t="inlineStr">
        <is>
          <t>STOCKHOLMS LÄN</t>
        </is>
      </c>
      <c r="E332" t="inlineStr">
        <is>
          <t>NORRTÄLJE</t>
        </is>
      </c>
      <c r="G332" t="n">
        <v>1.9</v>
      </c>
      <c r="H332" t="n">
        <v>0</v>
      </c>
      <c r="I332" t="n">
        <v>0</v>
      </c>
      <c r="J332" t="n">
        <v>0</v>
      </c>
      <c r="K332" t="n">
        <v>0</v>
      </c>
      <c r="L332" t="n">
        <v>0</v>
      </c>
      <c r="M332" t="n">
        <v>0</v>
      </c>
      <c r="N332" t="n">
        <v>0</v>
      </c>
      <c r="O332" t="n">
        <v>0</v>
      </c>
      <c r="P332" t="n">
        <v>0</v>
      </c>
      <c r="Q332" t="n">
        <v>0</v>
      </c>
      <c r="R332" s="2" t="inlineStr"/>
    </row>
    <row r="333" ht="15" customHeight="1">
      <c r="A333" t="inlineStr">
        <is>
          <t>A 50355-2024</t>
        </is>
      </c>
      <c r="B333" s="1" t="n">
        <v>45600.86128472222</v>
      </c>
      <c r="C333" s="1" t="n">
        <v>46075</v>
      </c>
      <c r="D333" t="inlineStr">
        <is>
          <t>STOCKHOLMS LÄN</t>
        </is>
      </c>
      <c r="E333" t="inlineStr">
        <is>
          <t>NORRTÄLJE</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27715-2022</t>
        </is>
      </c>
      <c r="B334" s="1" t="n">
        <v>44743.47407407407</v>
      </c>
      <c r="C334" s="1" t="n">
        <v>46075</v>
      </c>
      <c r="D334" t="inlineStr">
        <is>
          <t>STOCKHOLMS LÄN</t>
        </is>
      </c>
      <c r="E334" t="inlineStr">
        <is>
          <t>NORRTÄLJE</t>
        </is>
      </c>
      <c r="G334" t="n">
        <v>2.2</v>
      </c>
      <c r="H334" t="n">
        <v>0</v>
      </c>
      <c r="I334" t="n">
        <v>0</v>
      </c>
      <c r="J334" t="n">
        <v>0</v>
      </c>
      <c r="K334" t="n">
        <v>0</v>
      </c>
      <c r="L334" t="n">
        <v>0</v>
      </c>
      <c r="M334" t="n">
        <v>0</v>
      </c>
      <c r="N334" t="n">
        <v>0</v>
      </c>
      <c r="O334" t="n">
        <v>0</v>
      </c>
      <c r="P334" t="n">
        <v>0</v>
      </c>
      <c r="Q334" t="n">
        <v>0</v>
      </c>
      <c r="R334" s="2" t="inlineStr"/>
    </row>
    <row r="335" ht="15" customHeight="1">
      <c r="A335" t="inlineStr">
        <is>
          <t>A 58277-2023</t>
        </is>
      </c>
      <c r="B335" s="1" t="n">
        <v>45245</v>
      </c>
      <c r="C335" s="1" t="n">
        <v>46075</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42867-2022</t>
        </is>
      </c>
      <c r="B336" s="1" t="n">
        <v>44832</v>
      </c>
      <c r="C336" s="1" t="n">
        <v>46075</v>
      </c>
      <c r="D336" t="inlineStr">
        <is>
          <t>STOCKHOLMS LÄN</t>
        </is>
      </c>
      <c r="E336" t="inlineStr">
        <is>
          <t>NORRTÄLJE</t>
        </is>
      </c>
      <c r="G336" t="n">
        <v>6.4</v>
      </c>
      <c r="H336" t="n">
        <v>0</v>
      </c>
      <c r="I336" t="n">
        <v>0</v>
      </c>
      <c r="J336" t="n">
        <v>0</v>
      </c>
      <c r="K336" t="n">
        <v>0</v>
      </c>
      <c r="L336" t="n">
        <v>0</v>
      </c>
      <c r="M336" t="n">
        <v>0</v>
      </c>
      <c r="N336" t="n">
        <v>0</v>
      </c>
      <c r="O336" t="n">
        <v>0</v>
      </c>
      <c r="P336" t="n">
        <v>0</v>
      </c>
      <c r="Q336" t="n">
        <v>0</v>
      </c>
      <c r="R336" s="2" t="inlineStr"/>
    </row>
    <row r="337" ht="15" customHeight="1">
      <c r="A337" t="inlineStr">
        <is>
          <t>A 7413-2024</t>
        </is>
      </c>
      <c r="B337" s="1" t="n">
        <v>45345.6059837963</v>
      </c>
      <c r="C337" s="1" t="n">
        <v>46075</v>
      </c>
      <c r="D337" t="inlineStr">
        <is>
          <t>STOCKHOLMS LÄN</t>
        </is>
      </c>
      <c r="E337" t="inlineStr">
        <is>
          <t>NORRTÄLJE</t>
        </is>
      </c>
      <c r="G337" t="n">
        <v>1.8</v>
      </c>
      <c r="H337" t="n">
        <v>0</v>
      </c>
      <c r="I337" t="n">
        <v>0</v>
      </c>
      <c r="J337" t="n">
        <v>0</v>
      </c>
      <c r="K337" t="n">
        <v>0</v>
      </c>
      <c r="L337" t="n">
        <v>0</v>
      </c>
      <c r="M337" t="n">
        <v>0</v>
      </c>
      <c r="N337" t="n">
        <v>0</v>
      </c>
      <c r="O337" t="n">
        <v>0</v>
      </c>
      <c r="P337" t="n">
        <v>0</v>
      </c>
      <c r="Q337" t="n">
        <v>0</v>
      </c>
      <c r="R337" s="2" t="inlineStr"/>
    </row>
    <row r="338" ht="15" customHeight="1">
      <c r="A338" t="inlineStr">
        <is>
          <t>A 12251-2025</t>
        </is>
      </c>
      <c r="B338" s="1" t="n">
        <v>45729.60859953704</v>
      </c>
      <c r="C338" s="1" t="n">
        <v>46075</v>
      </c>
      <c r="D338" t="inlineStr">
        <is>
          <t>STOCKHOLMS LÄN</t>
        </is>
      </c>
      <c r="E338" t="inlineStr">
        <is>
          <t>NORRTÄLJE</t>
        </is>
      </c>
      <c r="F338" t="inlineStr">
        <is>
          <t>Holmen skog AB</t>
        </is>
      </c>
      <c r="G338" t="n">
        <v>5.9</v>
      </c>
      <c r="H338" t="n">
        <v>0</v>
      </c>
      <c r="I338" t="n">
        <v>0</v>
      </c>
      <c r="J338" t="n">
        <v>0</v>
      </c>
      <c r="K338" t="n">
        <v>0</v>
      </c>
      <c r="L338" t="n">
        <v>0</v>
      </c>
      <c r="M338" t="n">
        <v>0</v>
      </c>
      <c r="N338" t="n">
        <v>0</v>
      </c>
      <c r="O338" t="n">
        <v>0</v>
      </c>
      <c r="P338" t="n">
        <v>0</v>
      </c>
      <c r="Q338" t="n">
        <v>0</v>
      </c>
      <c r="R338" s="2" t="inlineStr"/>
    </row>
    <row r="339" ht="15" customHeight="1">
      <c r="A339" t="inlineStr">
        <is>
          <t>A 58863-2024</t>
        </is>
      </c>
      <c r="B339" s="1" t="n">
        <v>45636.41572916666</v>
      </c>
      <c r="C339" s="1" t="n">
        <v>46075</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32705-2022</t>
        </is>
      </c>
      <c r="B340" s="1" t="n">
        <v>44783</v>
      </c>
      <c r="C340" s="1" t="n">
        <v>46075</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50154-2024</t>
        </is>
      </c>
      <c r="B341" s="1" t="n">
        <v>45600.4558912037</v>
      </c>
      <c r="C341" s="1" t="n">
        <v>46075</v>
      </c>
      <c r="D341" t="inlineStr">
        <is>
          <t>STOCKHOLMS LÄN</t>
        </is>
      </c>
      <c r="E341" t="inlineStr">
        <is>
          <t>NORRTÄLJE</t>
        </is>
      </c>
      <c r="G341" t="n">
        <v>2.5</v>
      </c>
      <c r="H341" t="n">
        <v>0</v>
      </c>
      <c r="I341" t="n">
        <v>0</v>
      </c>
      <c r="J341" t="n">
        <v>0</v>
      </c>
      <c r="K341" t="n">
        <v>0</v>
      </c>
      <c r="L341" t="n">
        <v>0</v>
      </c>
      <c r="M341" t="n">
        <v>0</v>
      </c>
      <c r="N341" t="n">
        <v>0</v>
      </c>
      <c r="O341" t="n">
        <v>0</v>
      </c>
      <c r="P341" t="n">
        <v>0</v>
      </c>
      <c r="Q341" t="n">
        <v>0</v>
      </c>
      <c r="R341" s="2" t="inlineStr"/>
    </row>
    <row r="342" ht="15" customHeight="1">
      <c r="A342" t="inlineStr">
        <is>
          <t>A 11940-2023</t>
        </is>
      </c>
      <c r="B342" s="1" t="n">
        <v>44995</v>
      </c>
      <c r="C342" s="1" t="n">
        <v>46075</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47481-2024</t>
        </is>
      </c>
      <c r="B343" s="1" t="n">
        <v>45587</v>
      </c>
      <c r="C343" s="1" t="n">
        <v>46075</v>
      </c>
      <c r="D343" t="inlineStr">
        <is>
          <t>STOCKHOLMS LÄN</t>
        </is>
      </c>
      <c r="E343" t="inlineStr">
        <is>
          <t>NORRTÄLJE</t>
        </is>
      </c>
      <c r="G343" t="n">
        <v>0.5</v>
      </c>
      <c r="H343" t="n">
        <v>0</v>
      </c>
      <c r="I343" t="n">
        <v>0</v>
      </c>
      <c r="J343" t="n">
        <v>0</v>
      </c>
      <c r="K343" t="n">
        <v>0</v>
      </c>
      <c r="L343" t="n">
        <v>0</v>
      </c>
      <c r="M343" t="n">
        <v>0</v>
      </c>
      <c r="N343" t="n">
        <v>0</v>
      </c>
      <c r="O343" t="n">
        <v>0</v>
      </c>
      <c r="P343" t="n">
        <v>0</v>
      </c>
      <c r="Q343" t="n">
        <v>0</v>
      </c>
      <c r="R343" s="2" t="inlineStr"/>
    </row>
    <row r="344" ht="15" customHeight="1">
      <c r="A344" t="inlineStr">
        <is>
          <t>A 57037-2022</t>
        </is>
      </c>
      <c r="B344" s="1" t="n">
        <v>44895</v>
      </c>
      <c r="C344" s="1" t="n">
        <v>46075</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46075</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2281-2024</t>
        </is>
      </c>
      <c r="B346" s="1" t="n">
        <v>45310.40628472222</v>
      </c>
      <c r="C346" s="1" t="n">
        <v>46075</v>
      </c>
      <c r="D346" t="inlineStr">
        <is>
          <t>STOCKHOLMS LÄN</t>
        </is>
      </c>
      <c r="E346" t="inlineStr">
        <is>
          <t>NORRTÄLJE</t>
        </is>
      </c>
      <c r="G346" t="n">
        <v>2.7</v>
      </c>
      <c r="H346" t="n">
        <v>0</v>
      </c>
      <c r="I346" t="n">
        <v>0</v>
      </c>
      <c r="J346" t="n">
        <v>0</v>
      </c>
      <c r="K346" t="n">
        <v>0</v>
      </c>
      <c r="L346" t="n">
        <v>0</v>
      </c>
      <c r="M346" t="n">
        <v>0</v>
      </c>
      <c r="N346" t="n">
        <v>0</v>
      </c>
      <c r="O346" t="n">
        <v>0</v>
      </c>
      <c r="P346" t="n">
        <v>0</v>
      </c>
      <c r="Q346" t="n">
        <v>0</v>
      </c>
      <c r="R346" s="2" t="inlineStr"/>
    </row>
    <row r="347" ht="15" customHeight="1">
      <c r="A347" t="inlineStr">
        <is>
          <t>A 60525-2022</t>
        </is>
      </c>
      <c r="B347" s="1" t="n">
        <v>44904</v>
      </c>
      <c r="C347" s="1" t="n">
        <v>46075</v>
      </c>
      <c r="D347" t="inlineStr">
        <is>
          <t>STOCKHOLMS LÄN</t>
        </is>
      </c>
      <c r="E347" t="inlineStr">
        <is>
          <t>NORRTÄLJE</t>
        </is>
      </c>
      <c r="G347" t="n">
        <v>13.4</v>
      </c>
      <c r="H347" t="n">
        <v>0</v>
      </c>
      <c r="I347" t="n">
        <v>0</v>
      </c>
      <c r="J347" t="n">
        <v>0</v>
      </c>
      <c r="K347" t="n">
        <v>0</v>
      </c>
      <c r="L347" t="n">
        <v>0</v>
      </c>
      <c r="M347" t="n">
        <v>0</v>
      </c>
      <c r="N347" t="n">
        <v>0</v>
      </c>
      <c r="O347" t="n">
        <v>0</v>
      </c>
      <c r="P347" t="n">
        <v>0</v>
      </c>
      <c r="Q347" t="n">
        <v>0</v>
      </c>
      <c r="R347" s="2" t="inlineStr"/>
    </row>
    <row r="348" ht="15" customHeight="1">
      <c r="A348" t="inlineStr">
        <is>
          <t>A 39213-2022</t>
        </is>
      </c>
      <c r="B348" s="1" t="n">
        <v>44817.56120370371</v>
      </c>
      <c r="C348" s="1" t="n">
        <v>46075</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51325-2023</t>
        </is>
      </c>
      <c r="B349" s="1" t="n">
        <v>45219</v>
      </c>
      <c r="C349" s="1" t="n">
        <v>46075</v>
      </c>
      <c r="D349" t="inlineStr">
        <is>
          <t>STOCKHOLMS LÄN</t>
        </is>
      </c>
      <c r="E349" t="inlineStr">
        <is>
          <t>NORRTÄLJE</t>
        </is>
      </c>
      <c r="G349" t="n">
        <v>2.2</v>
      </c>
      <c r="H349" t="n">
        <v>0</v>
      </c>
      <c r="I349" t="n">
        <v>0</v>
      </c>
      <c r="J349" t="n">
        <v>0</v>
      </c>
      <c r="K349" t="n">
        <v>0</v>
      </c>
      <c r="L349" t="n">
        <v>0</v>
      </c>
      <c r="M349" t="n">
        <v>0</v>
      </c>
      <c r="N349" t="n">
        <v>0</v>
      </c>
      <c r="O349" t="n">
        <v>0</v>
      </c>
      <c r="P349" t="n">
        <v>0</v>
      </c>
      <c r="Q349" t="n">
        <v>0</v>
      </c>
      <c r="R349" s="2" t="inlineStr"/>
    </row>
    <row r="350" ht="15" customHeight="1">
      <c r="A350" t="inlineStr">
        <is>
          <t>A 59534-2024</t>
        </is>
      </c>
      <c r="B350" s="1" t="n">
        <v>45638.5987037037</v>
      </c>
      <c r="C350" s="1" t="n">
        <v>46075</v>
      </c>
      <c r="D350" t="inlineStr">
        <is>
          <t>STOCKHOLMS LÄN</t>
        </is>
      </c>
      <c r="E350" t="inlineStr">
        <is>
          <t>NORRTÄLJE</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31107-2022</t>
        </is>
      </c>
      <c r="B351" s="1" t="n">
        <v>44769.66864583334</v>
      </c>
      <c r="C351" s="1" t="n">
        <v>46075</v>
      </c>
      <c r="D351" t="inlineStr">
        <is>
          <t>STOCKHOLMS LÄN</t>
        </is>
      </c>
      <c r="E351" t="inlineStr">
        <is>
          <t>NORRTÄLJE</t>
        </is>
      </c>
      <c r="G351" t="n">
        <v>3.8</v>
      </c>
      <c r="H351" t="n">
        <v>0</v>
      </c>
      <c r="I351" t="n">
        <v>0</v>
      </c>
      <c r="J351" t="n">
        <v>0</v>
      </c>
      <c r="K351" t="n">
        <v>0</v>
      </c>
      <c r="L351" t="n">
        <v>0</v>
      </c>
      <c r="M351" t="n">
        <v>0</v>
      </c>
      <c r="N351" t="n">
        <v>0</v>
      </c>
      <c r="O351" t="n">
        <v>0</v>
      </c>
      <c r="P351" t="n">
        <v>0</v>
      </c>
      <c r="Q351" t="n">
        <v>0</v>
      </c>
      <c r="R351" s="2" t="inlineStr"/>
    </row>
    <row r="352" ht="15" customHeight="1">
      <c r="A352" t="inlineStr">
        <is>
          <t>A 13860-2023</t>
        </is>
      </c>
      <c r="B352" s="1" t="n">
        <v>45007</v>
      </c>
      <c r="C352" s="1" t="n">
        <v>46075</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6855-2025</t>
        </is>
      </c>
      <c r="B353" s="1" t="n">
        <v>45700</v>
      </c>
      <c r="C353" s="1" t="n">
        <v>46075</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45561.62141203704</v>
      </c>
      <c r="C354" s="1" t="n">
        <v>46075</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34432-2021</t>
        </is>
      </c>
      <c r="B355" s="1" t="n">
        <v>44380.77346064815</v>
      </c>
      <c r="C355" s="1" t="n">
        <v>46075</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13314-2025</t>
        </is>
      </c>
      <c r="B356" s="1" t="n">
        <v>45735.59287037037</v>
      </c>
      <c r="C356" s="1" t="n">
        <v>46075</v>
      </c>
      <c r="D356" t="inlineStr">
        <is>
          <t>STOCKHOLMS LÄN</t>
        </is>
      </c>
      <c r="E356" t="inlineStr">
        <is>
          <t>NORRTÄLJE</t>
        </is>
      </c>
      <c r="G356" t="n">
        <v>2.4</v>
      </c>
      <c r="H356" t="n">
        <v>0</v>
      </c>
      <c r="I356" t="n">
        <v>0</v>
      </c>
      <c r="J356" t="n">
        <v>0</v>
      </c>
      <c r="K356" t="n">
        <v>0</v>
      </c>
      <c r="L356" t="n">
        <v>0</v>
      </c>
      <c r="M356" t="n">
        <v>0</v>
      </c>
      <c r="N356" t="n">
        <v>0</v>
      </c>
      <c r="O356" t="n">
        <v>0</v>
      </c>
      <c r="P356" t="n">
        <v>0</v>
      </c>
      <c r="Q356" t="n">
        <v>0</v>
      </c>
      <c r="R356" s="2" t="inlineStr"/>
    </row>
    <row r="357" ht="15" customHeight="1">
      <c r="A357" t="inlineStr">
        <is>
          <t>A 23149-2024</t>
        </is>
      </c>
      <c r="B357" s="1" t="n">
        <v>45450.64208333333</v>
      </c>
      <c r="C357" s="1" t="n">
        <v>46075</v>
      </c>
      <c r="D357" t="inlineStr">
        <is>
          <t>STOCKHOLMS LÄN</t>
        </is>
      </c>
      <c r="E357" t="inlineStr">
        <is>
          <t>NORRTÄLJE</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23151-2024</t>
        </is>
      </c>
      <c r="B358" s="1" t="n">
        <v>45450</v>
      </c>
      <c r="C358" s="1" t="n">
        <v>46075</v>
      </c>
      <c r="D358" t="inlineStr">
        <is>
          <t>STOCKHOLMS LÄN</t>
        </is>
      </c>
      <c r="E358" t="inlineStr">
        <is>
          <t>NORRTÄLJE</t>
        </is>
      </c>
      <c r="F358" t="inlineStr">
        <is>
          <t>Kommuner</t>
        </is>
      </c>
      <c r="G358" t="n">
        <v>1.2</v>
      </c>
      <c r="H358" t="n">
        <v>0</v>
      </c>
      <c r="I358" t="n">
        <v>0</v>
      </c>
      <c r="J358" t="n">
        <v>0</v>
      </c>
      <c r="K358" t="n">
        <v>0</v>
      </c>
      <c r="L358" t="n">
        <v>0</v>
      </c>
      <c r="M358" t="n">
        <v>0</v>
      </c>
      <c r="N358" t="n">
        <v>0</v>
      </c>
      <c r="O358" t="n">
        <v>0</v>
      </c>
      <c r="P358" t="n">
        <v>0</v>
      </c>
      <c r="Q358" t="n">
        <v>0</v>
      </c>
      <c r="R358" s="2" t="inlineStr"/>
    </row>
    <row r="359" ht="15" customHeight="1">
      <c r="A359" t="inlineStr">
        <is>
          <t>A 21726-2022</t>
        </is>
      </c>
      <c r="B359" s="1" t="n">
        <v>44708</v>
      </c>
      <c r="C359" s="1" t="n">
        <v>46075</v>
      </c>
      <c r="D359" t="inlineStr">
        <is>
          <t>STOCKHOLMS LÄN</t>
        </is>
      </c>
      <c r="E359" t="inlineStr">
        <is>
          <t>NORRTÄLJE</t>
        </is>
      </c>
      <c r="G359" t="n">
        <v>0.2</v>
      </c>
      <c r="H359" t="n">
        <v>0</v>
      </c>
      <c r="I359" t="n">
        <v>0</v>
      </c>
      <c r="J359" t="n">
        <v>0</v>
      </c>
      <c r="K359" t="n">
        <v>0</v>
      </c>
      <c r="L359" t="n">
        <v>0</v>
      </c>
      <c r="M359" t="n">
        <v>0</v>
      </c>
      <c r="N359" t="n">
        <v>0</v>
      </c>
      <c r="O359" t="n">
        <v>0</v>
      </c>
      <c r="P359" t="n">
        <v>0</v>
      </c>
      <c r="Q359" t="n">
        <v>0</v>
      </c>
      <c r="R359" s="2" t="inlineStr"/>
    </row>
    <row r="360" ht="15" customHeight="1">
      <c r="A360" t="inlineStr">
        <is>
          <t>A 21739-2022</t>
        </is>
      </c>
      <c r="B360" s="1" t="n">
        <v>44708.36708333333</v>
      </c>
      <c r="C360" s="1" t="n">
        <v>46075</v>
      </c>
      <c r="D360" t="inlineStr">
        <is>
          <t>STOCKHOLMS LÄN</t>
        </is>
      </c>
      <c r="E360" t="inlineStr">
        <is>
          <t>NORRTÄLJE</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35210-2023</t>
        </is>
      </c>
      <c r="B361" s="1" t="n">
        <v>45145.63584490741</v>
      </c>
      <c r="C361" s="1" t="n">
        <v>46075</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52001-2023</t>
        </is>
      </c>
      <c r="B362" s="1" t="n">
        <v>45223</v>
      </c>
      <c r="C362" s="1" t="n">
        <v>46075</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60185-2024</t>
        </is>
      </c>
      <c r="B363" s="1" t="n">
        <v>45642.64634259259</v>
      </c>
      <c r="C363" s="1" t="n">
        <v>46075</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59767-2022</t>
        </is>
      </c>
      <c r="B364" s="1" t="n">
        <v>44900</v>
      </c>
      <c r="C364" s="1" t="n">
        <v>46075</v>
      </c>
      <c r="D364" t="inlineStr">
        <is>
          <t>STOCKHOLMS LÄN</t>
        </is>
      </c>
      <c r="E364" t="inlineStr">
        <is>
          <t>NORRTÄLJE</t>
        </is>
      </c>
      <c r="G364" t="n">
        <v>2.2</v>
      </c>
      <c r="H364" t="n">
        <v>0</v>
      </c>
      <c r="I364" t="n">
        <v>0</v>
      </c>
      <c r="J364" t="n">
        <v>0</v>
      </c>
      <c r="K364" t="n">
        <v>0</v>
      </c>
      <c r="L364" t="n">
        <v>0</v>
      </c>
      <c r="M364" t="n">
        <v>0</v>
      </c>
      <c r="N364" t="n">
        <v>0</v>
      </c>
      <c r="O364" t="n">
        <v>0</v>
      </c>
      <c r="P364" t="n">
        <v>0</v>
      </c>
      <c r="Q364" t="n">
        <v>0</v>
      </c>
      <c r="R364" s="2" t="inlineStr"/>
    </row>
    <row r="365" ht="15" customHeight="1">
      <c r="A365" t="inlineStr">
        <is>
          <t>A 48686-2023</t>
        </is>
      </c>
      <c r="B365" s="1" t="n">
        <v>45208</v>
      </c>
      <c r="C365" s="1" t="n">
        <v>46075</v>
      </c>
      <c r="D365" t="inlineStr">
        <is>
          <t>STOCKHOLMS LÄN</t>
        </is>
      </c>
      <c r="E365" t="inlineStr">
        <is>
          <t>NORRTÄLJE</t>
        </is>
      </c>
      <c r="G365" t="n">
        <v>6</v>
      </c>
      <c r="H365" t="n">
        <v>0</v>
      </c>
      <c r="I365" t="n">
        <v>0</v>
      </c>
      <c r="J365" t="n">
        <v>0</v>
      </c>
      <c r="K365" t="n">
        <v>0</v>
      </c>
      <c r="L365" t="n">
        <v>0</v>
      </c>
      <c r="M365" t="n">
        <v>0</v>
      </c>
      <c r="N365" t="n">
        <v>0</v>
      </c>
      <c r="O365" t="n">
        <v>0</v>
      </c>
      <c r="P365" t="n">
        <v>0</v>
      </c>
      <c r="Q365" t="n">
        <v>0</v>
      </c>
      <c r="R365" s="2" t="inlineStr"/>
    </row>
    <row r="366" ht="15" customHeight="1">
      <c r="A366" t="inlineStr">
        <is>
          <t>A 48691-2023</t>
        </is>
      </c>
      <c r="B366" s="1" t="n">
        <v>45208</v>
      </c>
      <c r="C366" s="1" t="n">
        <v>46075</v>
      </c>
      <c r="D366" t="inlineStr">
        <is>
          <t>STOCKHOLMS LÄN</t>
        </is>
      </c>
      <c r="E366" t="inlineStr">
        <is>
          <t>NORRTÄLJE</t>
        </is>
      </c>
      <c r="G366" t="n">
        <v>5.8</v>
      </c>
      <c r="H366" t="n">
        <v>0</v>
      </c>
      <c r="I366" t="n">
        <v>0</v>
      </c>
      <c r="J366" t="n">
        <v>0</v>
      </c>
      <c r="K366" t="n">
        <v>0</v>
      </c>
      <c r="L366" t="n">
        <v>0</v>
      </c>
      <c r="M366" t="n">
        <v>0</v>
      </c>
      <c r="N366" t="n">
        <v>0</v>
      </c>
      <c r="O366" t="n">
        <v>0</v>
      </c>
      <c r="P366" t="n">
        <v>0</v>
      </c>
      <c r="Q366" t="n">
        <v>0</v>
      </c>
      <c r="R366" s="2" t="inlineStr"/>
    </row>
    <row r="367" ht="15" customHeight="1">
      <c r="A367" t="inlineStr">
        <is>
          <t>A 5823-2023</t>
        </is>
      </c>
      <c r="B367" s="1" t="n">
        <v>44963</v>
      </c>
      <c r="C367" s="1" t="n">
        <v>46075</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46075</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15217-2023</t>
        </is>
      </c>
      <c r="B369" s="1" t="n">
        <v>45019.28847222222</v>
      </c>
      <c r="C369" s="1" t="n">
        <v>46075</v>
      </c>
      <c r="D369" t="inlineStr">
        <is>
          <t>STOCKHOLMS LÄN</t>
        </is>
      </c>
      <c r="E369" t="inlineStr">
        <is>
          <t>NORRTÄLJE</t>
        </is>
      </c>
      <c r="G369" t="n">
        <v>3.6</v>
      </c>
      <c r="H369" t="n">
        <v>0</v>
      </c>
      <c r="I369" t="n">
        <v>0</v>
      </c>
      <c r="J369" t="n">
        <v>0</v>
      </c>
      <c r="K369" t="n">
        <v>0</v>
      </c>
      <c r="L369" t="n">
        <v>0</v>
      </c>
      <c r="M369" t="n">
        <v>0</v>
      </c>
      <c r="N369" t="n">
        <v>0</v>
      </c>
      <c r="O369" t="n">
        <v>0</v>
      </c>
      <c r="P369" t="n">
        <v>0</v>
      </c>
      <c r="Q369" t="n">
        <v>0</v>
      </c>
      <c r="R369" s="2" t="inlineStr"/>
    </row>
    <row r="370" ht="15" customHeight="1">
      <c r="A370" t="inlineStr">
        <is>
          <t>A 11900-2024</t>
        </is>
      </c>
      <c r="B370" s="1" t="n">
        <v>45376.55484953704</v>
      </c>
      <c r="C370" s="1" t="n">
        <v>46075</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50143-2023</t>
        </is>
      </c>
      <c r="B371" s="1" t="n">
        <v>45215</v>
      </c>
      <c r="C371" s="1" t="n">
        <v>46075</v>
      </c>
      <c r="D371" t="inlineStr">
        <is>
          <t>STOCKHOLMS LÄN</t>
        </is>
      </c>
      <c r="E371" t="inlineStr">
        <is>
          <t>NORRTÄLJE</t>
        </is>
      </c>
      <c r="G371" t="n">
        <v>10.3</v>
      </c>
      <c r="H371" t="n">
        <v>0</v>
      </c>
      <c r="I371" t="n">
        <v>0</v>
      </c>
      <c r="J371" t="n">
        <v>0</v>
      </c>
      <c r="K371" t="n">
        <v>0</v>
      </c>
      <c r="L371" t="n">
        <v>0</v>
      </c>
      <c r="M371" t="n">
        <v>0</v>
      </c>
      <c r="N371" t="n">
        <v>0</v>
      </c>
      <c r="O371" t="n">
        <v>0</v>
      </c>
      <c r="P371" t="n">
        <v>0</v>
      </c>
      <c r="Q371" t="n">
        <v>0</v>
      </c>
      <c r="R371" s="2" t="inlineStr"/>
    </row>
    <row r="372" ht="15" customHeight="1">
      <c r="A372" t="inlineStr">
        <is>
          <t>A 4322-2023</t>
        </is>
      </c>
      <c r="B372" s="1" t="n">
        <v>44953.69298611111</v>
      </c>
      <c r="C372" s="1" t="n">
        <v>46075</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29176-2024</t>
        </is>
      </c>
      <c r="B373" s="1" t="n">
        <v>45482.53388888889</v>
      </c>
      <c r="C373" s="1" t="n">
        <v>46075</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43212-2022</t>
        </is>
      </c>
      <c r="B374" s="1" t="n">
        <v>44834.38636574074</v>
      </c>
      <c r="C374" s="1" t="n">
        <v>46075</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36430-2024</t>
        </is>
      </c>
      <c r="B375" s="1" t="n">
        <v>45536</v>
      </c>
      <c r="C375" s="1" t="n">
        <v>46075</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51653-2022</t>
        </is>
      </c>
      <c r="B376" s="1" t="n">
        <v>44867</v>
      </c>
      <c r="C376" s="1" t="n">
        <v>46075</v>
      </c>
      <c r="D376" t="inlineStr">
        <is>
          <t>STOCKHOLMS LÄN</t>
        </is>
      </c>
      <c r="E376" t="inlineStr">
        <is>
          <t>NORRTÄLJE</t>
        </is>
      </c>
      <c r="G376" t="n">
        <v>6.6</v>
      </c>
      <c r="H376" t="n">
        <v>0</v>
      </c>
      <c r="I376" t="n">
        <v>0</v>
      </c>
      <c r="J376" t="n">
        <v>0</v>
      </c>
      <c r="K376" t="n">
        <v>0</v>
      </c>
      <c r="L376" t="n">
        <v>0</v>
      </c>
      <c r="M376" t="n">
        <v>0</v>
      </c>
      <c r="N376" t="n">
        <v>0</v>
      </c>
      <c r="O376" t="n">
        <v>0</v>
      </c>
      <c r="P376" t="n">
        <v>0</v>
      </c>
      <c r="Q376" t="n">
        <v>0</v>
      </c>
      <c r="R376" s="2" t="inlineStr"/>
    </row>
    <row r="377" ht="15" customHeight="1">
      <c r="A377" t="inlineStr">
        <is>
          <t>A 51312-2023</t>
        </is>
      </c>
      <c r="B377" s="1" t="n">
        <v>45219.56697916667</v>
      </c>
      <c r="C377" s="1" t="n">
        <v>46075</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35640-2024</t>
        </is>
      </c>
      <c r="B378" s="1" t="n">
        <v>45531</v>
      </c>
      <c r="C378" s="1" t="n">
        <v>46075</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38990-2022</t>
        </is>
      </c>
      <c r="B379" s="1" t="n">
        <v>44816</v>
      </c>
      <c r="C379" s="1" t="n">
        <v>46075</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17956-2025</t>
        </is>
      </c>
      <c r="B380" s="1" t="n">
        <v>45760.91174768518</v>
      </c>
      <c r="C380" s="1" t="n">
        <v>46075</v>
      </c>
      <c r="D380" t="inlineStr">
        <is>
          <t>STOCKHOLMS LÄN</t>
        </is>
      </c>
      <c r="E380" t="inlineStr">
        <is>
          <t>NORRTÄLJE</t>
        </is>
      </c>
      <c r="G380" t="n">
        <v>4.3</v>
      </c>
      <c r="H380" t="n">
        <v>0</v>
      </c>
      <c r="I380" t="n">
        <v>0</v>
      </c>
      <c r="J380" t="n">
        <v>0</v>
      </c>
      <c r="K380" t="n">
        <v>0</v>
      </c>
      <c r="L380" t="n">
        <v>0</v>
      </c>
      <c r="M380" t="n">
        <v>0</v>
      </c>
      <c r="N380" t="n">
        <v>0</v>
      </c>
      <c r="O380" t="n">
        <v>0</v>
      </c>
      <c r="P380" t="n">
        <v>0</v>
      </c>
      <c r="Q380" t="n">
        <v>0</v>
      </c>
      <c r="R380" s="2" t="inlineStr"/>
    </row>
    <row r="381" ht="15" customHeight="1">
      <c r="A381" t="inlineStr">
        <is>
          <t>A 875-2023</t>
        </is>
      </c>
      <c r="B381" s="1" t="n">
        <v>44931.65626157408</v>
      </c>
      <c r="C381" s="1" t="n">
        <v>46075</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31236-2022</t>
        </is>
      </c>
      <c r="B382" s="1" t="n">
        <v>44771</v>
      </c>
      <c r="C382" s="1" t="n">
        <v>46075</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8315-2025</t>
        </is>
      </c>
      <c r="B383" s="1" t="n">
        <v>45708.61761574074</v>
      </c>
      <c r="C383" s="1" t="n">
        <v>46075</v>
      </c>
      <c r="D383" t="inlineStr">
        <is>
          <t>STOCKHOLMS LÄN</t>
        </is>
      </c>
      <c r="E383" t="inlineStr">
        <is>
          <t>NORRTÄLJE</t>
        </is>
      </c>
      <c r="G383" t="n">
        <v>3.9</v>
      </c>
      <c r="H383" t="n">
        <v>0</v>
      </c>
      <c r="I383" t="n">
        <v>0</v>
      </c>
      <c r="J383" t="n">
        <v>0</v>
      </c>
      <c r="K383" t="n">
        <v>0</v>
      </c>
      <c r="L383" t="n">
        <v>0</v>
      </c>
      <c r="M383" t="n">
        <v>0</v>
      </c>
      <c r="N383" t="n">
        <v>0</v>
      </c>
      <c r="O383" t="n">
        <v>0</v>
      </c>
      <c r="P383" t="n">
        <v>0</v>
      </c>
      <c r="Q383" t="n">
        <v>0</v>
      </c>
      <c r="R383" s="2" t="inlineStr"/>
    </row>
    <row r="384" ht="15" customHeight="1">
      <c r="A384" t="inlineStr">
        <is>
          <t>A 31281-2022</t>
        </is>
      </c>
      <c r="B384" s="1" t="n">
        <v>44771</v>
      </c>
      <c r="C384" s="1" t="n">
        <v>46075</v>
      </c>
      <c r="D384" t="inlineStr">
        <is>
          <t>STOCKHOLMS LÄN</t>
        </is>
      </c>
      <c r="E384" t="inlineStr">
        <is>
          <t>NORRTÄLJE</t>
        </is>
      </c>
      <c r="F384" t="inlineStr">
        <is>
          <t>Holmen skog AB</t>
        </is>
      </c>
      <c r="G384" t="n">
        <v>5.2</v>
      </c>
      <c r="H384" t="n">
        <v>0</v>
      </c>
      <c r="I384" t="n">
        <v>0</v>
      </c>
      <c r="J384" t="n">
        <v>0</v>
      </c>
      <c r="K384" t="n">
        <v>0</v>
      </c>
      <c r="L384" t="n">
        <v>0</v>
      </c>
      <c r="M384" t="n">
        <v>0</v>
      </c>
      <c r="N384" t="n">
        <v>0</v>
      </c>
      <c r="O384" t="n">
        <v>0</v>
      </c>
      <c r="P384" t="n">
        <v>0</v>
      </c>
      <c r="Q384" t="n">
        <v>0</v>
      </c>
      <c r="R384" s="2" t="inlineStr"/>
    </row>
    <row r="385" ht="15" customHeight="1">
      <c r="A385" t="inlineStr">
        <is>
          <t>A 18665-2022</t>
        </is>
      </c>
      <c r="B385" s="1" t="n">
        <v>44687</v>
      </c>
      <c r="C385" s="1" t="n">
        <v>46075</v>
      </c>
      <c r="D385" t="inlineStr">
        <is>
          <t>STOCKHOLMS LÄN</t>
        </is>
      </c>
      <c r="E385" t="inlineStr">
        <is>
          <t>NORRTÄLJE</t>
        </is>
      </c>
      <c r="F385" t="inlineStr">
        <is>
          <t>Kyrkan</t>
        </is>
      </c>
      <c r="G385" t="n">
        <v>1.1</v>
      </c>
      <c r="H385" t="n">
        <v>0</v>
      </c>
      <c r="I385" t="n">
        <v>0</v>
      </c>
      <c r="J385" t="n">
        <v>0</v>
      </c>
      <c r="K385" t="n">
        <v>0</v>
      </c>
      <c r="L385" t="n">
        <v>0</v>
      </c>
      <c r="M385" t="n">
        <v>0</v>
      </c>
      <c r="N385" t="n">
        <v>0</v>
      </c>
      <c r="O385" t="n">
        <v>0</v>
      </c>
      <c r="P385" t="n">
        <v>0</v>
      </c>
      <c r="Q385" t="n">
        <v>0</v>
      </c>
      <c r="R385" s="2" t="inlineStr"/>
    </row>
    <row r="386" ht="15" customHeight="1">
      <c r="A386" t="inlineStr">
        <is>
          <t>A 58302-2022</t>
        </is>
      </c>
      <c r="B386" s="1" t="n">
        <v>44901</v>
      </c>
      <c r="C386" s="1" t="n">
        <v>46075</v>
      </c>
      <c r="D386" t="inlineStr">
        <is>
          <t>STOCKHOLMS LÄN</t>
        </is>
      </c>
      <c r="E386" t="inlineStr">
        <is>
          <t>NORRTÄLJE</t>
        </is>
      </c>
      <c r="G386" t="n">
        <v>3.9</v>
      </c>
      <c r="H386" t="n">
        <v>0</v>
      </c>
      <c r="I386" t="n">
        <v>0</v>
      </c>
      <c r="J386" t="n">
        <v>0</v>
      </c>
      <c r="K386" t="n">
        <v>0</v>
      </c>
      <c r="L386" t="n">
        <v>0</v>
      </c>
      <c r="M386" t="n">
        <v>0</v>
      </c>
      <c r="N386" t="n">
        <v>0</v>
      </c>
      <c r="O386" t="n">
        <v>0</v>
      </c>
      <c r="P386" t="n">
        <v>0</v>
      </c>
      <c r="Q386" t="n">
        <v>0</v>
      </c>
      <c r="R386" s="2" t="inlineStr"/>
    </row>
    <row r="387" ht="15" customHeight="1">
      <c r="A387" t="inlineStr">
        <is>
          <t>A 38591-2023</t>
        </is>
      </c>
      <c r="B387" s="1" t="n">
        <v>45162</v>
      </c>
      <c r="C387" s="1" t="n">
        <v>46075</v>
      </c>
      <c r="D387" t="inlineStr">
        <is>
          <t>STOCKHOLMS LÄN</t>
        </is>
      </c>
      <c r="E387" t="inlineStr">
        <is>
          <t>NORRTÄLJE</t>
        </is>
      </c>
      <c r="F387" t="inlineStr">
        <is>
          <t>Övriga Aktiebolag</t>
        </is>
      </c>
      <c r="G387" t="n">
        <v>3.1</v>
      </c>
      <c r="H387" t="n">
        <v>0</v>
      </c>
      <c r="I387" t="n">
        <v>0</v>
      </c>
      <c r="J387" t="n">
        <v>0</v>
      </c>
      <c r="K387" t="n">
        <v>0</v>
      </c>
      <c r="L387" t="n">
        <v>0</v>
      </c>
      <c r="M387" t="n">
        <v>0</v>
      </c>
      <c r="N387" t="n">
        <v>0</v>
      </c>
      <c r="O387" t="n">
        <v>0</v>
      </c>
      <c r="P387" t="n">
        <v>0</v>
      </c>
      <c r="Q387" t="n">
        <v>0</v>
      </c>
      <c r="R387" s="2" t="inlineStr"/>
    </row>
    <row r="388" ht="15" customHeight="1">
      <c r="A388" t="inlineStr">
        <is>
          <t>A 30338-2022</t>
        </is>
      </c>
      <c r="B388" s="1" t="n">
        <v>44760</v>
      </c>
      <c r="C388" s="1" t="n">
        <v>46075</v>
      </c>
      <c r="D388" t="inlineStr">
        <is>
          <t>STOCKHOLMS LÄN</t>
        </is>
      </c>
      <c r="E388" t="inlineStr">
        <is>
          <t>NORRTÄLJE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52686-2024</t>
        </is>
      </c>
      <c r="B389" s="1" t="n">
        <v>45610.39271990741</v>
      </c>
      <c r="C389" s="1" t="n">
        <v>46075</v>
      </c>
      <c r="D389" t="inlineStr">
        <is>
          <t>STOCKHOLMS LÄN</t>
        </is>
      </c>
      <c r="E389" t="inlineStr">
        <is>
          <t>NORRTÄLJE</t>
        </is>
      </c>
      <c r="G389" t="n">
        <v>5.7</v>
      </c>
      <c r="H389" t="n">
        <v>0</v>
      </c>
      <c r="I389" t="n">
        <v>0</v>
      </c>
      <c r="J389" t="n">
        <v>0</v>
      </c>
      <c r="K389" t="n">
        <v>0</v>
      </c>
      <c r="L389" t="n">
        <v>0</v>
      </c>
      <c r="M389" t="n">
        <v>0</v>
      </c>
      <c r="N389" t="n">
        <v>0</v>
      </c>
      <c r="O389" t="n">
        <v>0</v>
      </c>
      <c r="P389" t="n">
        <v>0</v>
      </c>
      <c r="Q389" t="n">
        <v>0</v>
      </c>
      <c r="R389" s="2" t="inlineStr"/>
    </row>
    <row r="390" ht="15" customHeight="1">
      <c r="A390" t="inlineStr">
        <is>
          <t>A 2888-2022</t>
        </is>
      </c>
      <c r="B390" s="1" t="n">
        <v>44581</v>
      </c>
      <c r="C390" s="1" t="n">
        <v>46075</v>
      </c>
      <c r="D390" t="inlineStr">
        <is>
          <t>STOCKHOLMS LÄN</t>
        </is>
      </c>
      <c r="E390" t="inlineStr">
        <is>
          <t>NORRTÄLJE</t>
        </is>
      </c>
      <c r="G390" t="n">
        <v>2.4</v>
      </c>
      <c r="H390" t="n">
        <v>0</v>
      </c>
      <c r="I390" t="n">
        <v>0</v>
      </c>
      <c r="J390" t="n">
        <v>0</v>
      </c>
      <c r="K390" t="n">
        <v>0</v>
      </c>
      <c r="L390" t="n">
        <v>0</v>
      </c>
      <c r="M390" t="n">
        <v>0</v>
      </c>
      <c r="N390" t="n">
        <v>0</v>
      </c>
      <c r="O390" t="n">
        <v>0</v>
      </c>
      <c r="P390" t="n">
        <v>0</v>
      </c>
      <c r="Q390" t="n">
        <v>0</v>
      </c>
      <c r="R390" s="2" t="inlineStr"/>
    </row>
    <row r="391" ht="15" customHeight="1">
      <c r="A391" t="inlineStr">
        <is>
          <t>A 20343-2024</t>
        </is>
      </c>
      <c r="B391" s="1" t="n">
        <v>45435.43466435185</v>
      </c>
      <c r="C391" s="1" t="n">
        <v>46075</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20345-2024</t>
        </is>
      </c>
      <c r="B392" s="1" t="n">
        <v>45435.43820601852</v>
      </c>
      <c r="C392" s="1" t="n">
        <v>46075</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9765-2024</t>
        </is>
      </c>
      <c r="B393" s="1" t="n">
        <v>45362.62811342593</v>
      </c>
      <c r="C393" s="1" t="n">
        <v>46075</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25525-2022</t>
        </is>
      </c>
      <c r="B394" s="1" t="n">
        <v>44732</v>
      </c>
      <c r="C394" s="1" t="n">
        <v>46075</v>
      </c>
      <c r="D394" t="inlineStr">
        <is>
          <t>STOCKHOLMS LÄN</t>
        </is>
      </c>
      <c r="E394" t="inlineStr">
        <is>
          <t>NORRTÄLJE</t>
        </is>
      </c>
      <c r="G394" t="n">
        <v>2.2</v>
      </c>
      <c r="H394" t="n">
        <v>0</v>
      </c>
      <c r="I394" t="n">
        <v>0</v>
      </c>
      <c r="J394" t="n">
        <v>0</v>
      </c>
      <c r="K394" t="n">
        <v>0</v>
      </c>
      <c r="L394" t="n">
        <v>0</v>
      </c>
      <c r="M394" t="n">
        <v>0</v>
      </c>
      <c r="N394" t="n">
        <v>0</v>
      </c>
      <c r="O394" t="n">
        <v>0</v>
      </c>
      <c r="P394" t="n">
        <v>0</v>
      </c>
      <c r="Q394" t="n">
        <v>0</v>
      </c>
      <c r="R394" s="2" t="inlineStr"/>
    </row>
    <row r="395" ht="15" customHeight="1">
      <c r="A395" t="inlineStr">
        <is>
          <t>A 12302-2025</t>
        </is>
      </c>
      <c r="B395" s="1" t="n">
        <v>45729.72851851852</v>
      </c>
      <c r="C395" s="1" t="n">
        <v>46075</v>
      </c>
      <c r="D395" t="inlineStr">
        <is>
          <t>STOCKHOLMS LÄN</t>
        </is>
      </c>
      <c r="E395" t="inlineStr">
        <is>
          <t>NORRTÄLJE</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59875-2024</t>
        </is>
      </c>
      <c r="B396" s="1" t="n">
        <v>45640.58716435185</v>
      </c>
      <c r="C396" s="1" t="n">
        <v>46075</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11-2024</t>
        </is>
      </c>
      <c r="B397" s="1" t="n">
        <v>45293</v>
      </c>
      <c r="C397" s="1" t="n">
        <v>46075</v>
      </c>
      <c r="D397" t="inlineStr">
        <is>
          <t>STOCKHOLMS LÄN</t>
        </is>
      </c>
      <c r="E397" t="inlineStr">
        <is>
          <t>NORRTÄLJE</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14559-2024</t>
        </is>
      </c>
      <c r="B398" s="1" t="n">
        <v>45394.72869212963</v>
      </c>
      <c r="C398" s="1" t="n">
        <v>46075</v>
      </c>
      <c r="D398" t="inlineStr">
        <is>
          <t>STOCKHOLMS LÄN</t>
        </is>
      </c>
      <c r="E398" t="inlineStr">
        <is>
          <t>NORRTÄLJE</t>
        </is>
      </c>
      <c r="G398" t="n">
        <v>4.2</v>
      </c>
      <c r="H398" t="n">
        <v>0</v>
      </c>
      <c r="I398" t="n">
        <v>0</v>
      </c>
      <c r="J398" t="n">
        <v>0</v>
      </c>
      <c r="K398" t="n">
        <v>0</v>
      </c>
      <c r="L398" t="n">
        <v>0</v>
      </c>
      <c r="M398" t="n">
        <v>0</v>
      </c>
      <c r="N398" t="n">
        <v>0</v>
      </c>
      <c r="O398" t="n">
        <v>0</v>
      </c>
      <c r="P398" t="n">
        <v>0</v>
      </c>
      <c r="Q398" t="n">
        <v>0</v>
      </c>
      <c r="R398" s="2" t="inlineStr"/>
    </row>
    <row r="399" ht="15" customHeight="1">
      <c r="A399" t="inlineStr">
        <is>
          <t>A 38889-2024</t>
        </is>
      </c>
      <c r="B399" s="1" t="n">
        <v>45547</v>
      </c>
      <c r="C399" s="1" t="n">
        <v>46075</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45451-2024</t>
        </is>
      </c>
      <c r="B400" s="1" t="n">
        <v>45576</v>
      </c>
      <c r="C400" s="1" t="n">
        <v>46075</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8433-2022</t>
        </is>
      </c>
      <c r="B401" s="1" t="n">
        <v>44611</v>
      </c>
      <c r="C401" s="1" t="n">
        <v>46075</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2982-2023</t>
        </is>
      </c>
      <c r="B402" s="1" t="n">
        <v>44945.67409722223</v>
      </c>
      <c r="C402" s="1" t="n">
        <v>46075</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27821-2025</t>
        </is>
      </c>
      <c r="B403" s="1" t="n">
        <v>45817.34083333334</v>
      </c>
      <c r="C403" s="1" t="n">
        <v>46075</v>
      </c>
      <c r="D403" t="inlineStr">
        <is>
          <t>STOCKHOLMS LÄN</t>
        </is>
      </c>
      <c r="E403" t="inlineStr">
        <is>
          <t>NORRTÄLJE</t>
        </is>
      </c>
      <c r="G403" t="n">
        <v>3.2</v>
      </c>
      <c r="H403" t="n">
        <v>0</v>
      </c>
      <c r="I403" t="n">
        <v>0</v>
      </c>
      <c r="J403" t="n">
        <v>0</v>
      </c>
      <c r="K403" t="n">
        <v>0</v>
      </c>
      <c r="L403" t="n">
        <v>0</v>
      </c>
      <c r="M403" t="n">
        <v>0</v>
      </c>
      <c r="N403" t="n">
        <v>0</v>
      </c>
      <c r="O403" t="n">
        <v>0</v>
      </c>
      <c r="P403" t="n">
        <v>0</v>
      </c>
      <c r="Q403" t="n">
        <v>0</v>
      </c>
      <c r="R403" s="2" t="inlineStr"/>
    </row>
    <row r="404" ht="15" customHeight="1">
      <c r="A404" t="inlineStr">
        <is>
          <t>A 12535-2025</t>
        </is>
      </c>
      <c r="B404" s="1" t="n">
        <v>45730.69502314815</v>
      </c>
      <c r="C404" s="1" t="n">
        <v>46075</v>
      </c>
      <c r="D404" t="inlineStr">
        <is>
          <t>STOCKHOLMS LÄN</t>
        </is>
      </c>
      <c r="E404" t="inlineStr">
        <is>
          <t>NORRTÄLJE</t>
        </is>
      </c>
      <c r="G404" t="n">
        <v>7.1</v>
      </c>
      <c r="H404" t="n">
        <v>0</v>
      </c>
      <c r="I404" t="n">
        <v>0</v>
      </c>
      <c r="J404" t="n">
        <v>0</v>
      </c>
      <c r="K404" t="n">
        <v>0</v>
      </c>
      <c r="L404" t="n">
        <v>0</v>
      </c>
      <c r="M404" t="n">
        <v>0</v>
      </c>
      <c r="N404" t="n">
        <v>0</v>
      </c>
      <c r="O404" t="n">
        <v>0</v>
      </c>
      <c r="P404" t="n">
        <v>0</v>
      </c>
      <c r="Q404" t="n">
        <v>0</v>
      </c>
      <c r="R404" s="2" t="inlineStr"/>
    </row>
    <row r="405" ht="15" customHeight="1">
      <c r="A405" t="inlineStr">
        <is>
          <t>A 26644-2024</t>
        </is>
      </c>
      <c r="B405" s="1" t="n">
        <v>45469</v>
      </c>
      <c r="C405" s="1" t="n">
        <v>46075</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37136-2023</t>
        </is>
      </c>
      <c r="B406" s="1" t="n">
        <v>45155</v>
      </c>
      <c r="C406" s="1" t="n">
        <v>46075</v>
      </c>
      <c r="D406" t="inlineStr">
        <is>
          <t>STOCKHOLMS LÄN</t>
        </is>
      </c>
      <c r="E406" t="inlineStr">
        <is>
          <t>NORRTÄLJE</t>
        </is>
      </c>
      <c r="G406" t="n">
        <v>2.5</v>
      </c>
      <c r="H406" t="n">
        <v>0</v>
      </c>
      <c r="I406" t="n">
        <v>0</v>
      </c>
      <c r="J406" t="n">
        <v>0</v>
      </c>
      <c r="K406" t="n">
        <v>0</v>
      </c>
      <c r="L406" t="n">
        <v>0</v>
      </c>
      <c r="M406" t="n">
        <v>0</v>
      </c>
      <c r="N406" t="n">
        <v>0</v>
      </c>
      <c r="O406" t="n">
        <v>0</v>
      </c>
      <c r="P406" t="n">
        <v>0</v>
      </c>
      <c r="Q406" t="n">
        <v>0</v>
      </c>
      <c r="R406" s="2" t="inlineStr"/>
    </row>
    <row r="407" ht="15" customHeight="1">
      <c r="A407" t="inlineStr">
        <is>
          <t>A 18787-2022</t>
        </is>
      </c>
      <c r="B407" s="1" t="n">
        <v>44687</v>
      </c>
      <c r="C407" s="1" t="n">
        <v>46075</v>
      </c>
      <c r="D407" t="inlineStr">
        <is>
          <t>STOCKHOLMS LÄN</t>
        </is>
      </c>
      <c r="E407" t="inlineStr">
        <is>
          <t>NORRTÄLJE</t>
        </is>
      </c>
      <c r="G407" t="n">
        <v>2</v>
      </c>
      <c r="H407" t="n">
        <v>0</v>
      </c>
      <c r="I407" t="n">
        <v>0</v>
      </c>
      <c r="J407" t="n">
        <v>0</v>
      </c>
      <c r="K407" t="n">
        <v>0</v>
      </c>
      <c r="L407" t="n">
        <v>0</v>
      </c>
      <c r="M407" t="n">
        <v>0</v>
      </c>
      <c r="N407" t="n">
        <v>0</v>
      </c>
      <c r="O407" t="n">
        <v>0</v>
      </c>
      <c r="P407" t="n">
        <v>0</v>
      </c>
      <c r="Q407" t="n">
        <v>0</v>
      </c>
      <c r="R407" s="2" t="inlineStr"/>
    </row>
    <row r="408" ht="15" customHeight="1">
      <c r="A408" t="inlineStr">
        <is>
          <t>A 13718-2022</t>
        </is>
      </c>
      <c r="B408" s="1" t="n">
        <v>44649</v>
      </c>
      <c r="C408" s="1" t="n">
        <v>46075</v>
      </c>
      <c r="D408" t="inlineStr">
        <is>
          <t>STOCKHOLMS LÄN</t>
        </is>
      </c>
      <c r="E408" t="inlineStr">
        <is>
          <t>NORRTÄLJE</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38720-2025</t>
        </is>
      </c>
      <c r="B409" s="1" t="n">
        <v>45886</v>
      </c>
      <c r="C409" s="1" t="n">
        <v>46075</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25621-2022</t>
        </is>
      </c>
      <c r="B410" s="1" t="n">
        <v>44732</v>
      </c>
      <c r="C410" s="1" t="n">
        <v>46075</v>
      </c>
      <c r="D410" t="inlineStr">
        <is>
          <t>STOCKHOLMS LÄN</t>
        </is>
      </c>
      <c r="E410" t="inlineStr">
        <is>
          <t>NORRTÄLJE</t>
        </is>
      </c>
      <c r="G410" t="n">
        <v>3.1</v>
      </c>
      <c r="H410" t="n">
        <v>0</v>
      </c>
      <c r="I410" t="n">
        <v>0</v>
      </c>
      <c r="J410" t="n">
        <v>0</v>
      </c>
      <c r="K410" t="n">
        <v>0</v>
      </c>
      <c r="L410" t="n">
        <v>0</v>
      </c>
      <c r="M410" t="n">
        <v>0</v>
      </c>
      <c r="N410" t="n">
        <v>0</v>
      </c>
      <c r="O410" t="n">
        <v>0</v>
      </c>
      <c r="P410" t="n">
        <v>0</v>
      </c>
      <c r="Q410" t="n">
        <v>0</v>
      </c>
      <c r="R410" s="2" t="inlineStr"/>
    </row>
    <row r="411" ht="15" customHeight="1">
      <c r="A411" t="inlineStr">
        <is>
          <t>A 15528-2025</t>
        </is>
      </c>
      <c r="B411" s="1" t="n">
        <v>45747.63471064815</v>
      </c>
      <c r="C411" s="1" t="n">
        <v>46075</v>
      </c>
      <c r="D411" t="inlineStr">
        <is>
          <t>STOCKHOLMS LÄN</t>
        </is>
      </c>
      <c r="E411" t="inlineStr">
        <is>
          <t>NORRTÄLJE</t>
        </is>
      </c>
      <c r="G411" t="n">
        <v>10</v>
      </c>
      <c r="H411" t="n">
        <v>0</v>
      </c>
      <c r="I411" t="n">
        <v>0</v>
      </c>
      <c r="J411" t="n">
        <v>0</v>
      </c>
      <c r="K411" t="n">
        <v>0</v>
      </c>
      <c r="L411" t="n">
        <v>0</v>
      </c>
      <c r="M411" t="n">
        <v>0</v>
      </c>
      <c r="N411" t="n">
        <v>0</v>
      </c>
      <c r="O411" t="n">
        <v>0</v>
      </c>
      <c r="P411" t="n">
        <v>0</v>
      </c>
      <c r="Q411" t="n">
        <v>0</v>
      </c>
      <c r="R411" s="2" t="inlineStr"/>
    </row>
    <row r="412" ht="15" customHeight="1">
      <c r="A412" t="inlineStr">
        <is>
          <t>A 11901-2024</t>
        </is>
      </c>
      <c r="B412" s="1" t="n">
        <v>45376.55638888889</v>
      </c>
      <c r="C412" s="1" t="n">
        <v>46075</v>
      </c>
      <c r="D412" t="inlineStr">
        <is>
          <t>STOCKHOLMS LÄN</t>
        </is>
      </c>
      <c r="E412" t="inlineStr">
        <is>
          <t>NORRTÄLJE</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36269-2022</t>
        </is>
      </c>
      <c r="B413" s="1" t="n">
        <v>44803</v>
      </c>
      <c r="C413" s="1" t="n">
        <v>46075</v>
      </c>
      <c r="D413" t="inlineStr">
        <is>
          <t>STOCKHOLMS LÄN</t>
        </is>
      </c>
      <c r="E413" t="inlineStr">
        <is>
          <t>NORRTÄLJE</t>
        </is>
      </c>
      <c r="G413" t="n">
        <v>2.3</v>
      </c>
      <c r="H413" t="n">
        <v>0</v>
      </c>
      <c r="I413" t="n">
        <v>0</v>
      </c>
      <c r="J413" t="n">
        <v>0</v>
      </c>
      <c r="K413" t="n">
        <v>0</v>
      </c>
      <c r="L413" t="n">
        <v>0</v>
      </c>
      <c r="M413" t="n">
        <v>0</v>
      </c>
      <c r="N413" t="n">
        <v>0</v>
      </c>
      <c r="O413" t="n">
        <v>0</v>
      </c>
      <c r="P413" t="n">
        <v>0</v>
      </c>
      <c r="Q413" t="n">
        <v>0</v>
      </c>
      <c r="R413" s="2" t="inlineStr"/>
    </row>
    <row r="414" ht="15" customHeight="1">
      <c r="A414" t="inlineStr">
        <is>
          <t>A 36308-2022</t>
        </is>
      </c>
      <c r="B414" s="1" t="n">
        <v>44803</v>
      </c>
      <c r="C414" s="1" t="n">
        <v>46075</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6919-2025</t>
        </is>
      </c>
      <c r="B415" s="1" t="n">
        <v>45701.44372685185</v>
      </c>
      <c r="C415" s="1" t="n">
        <v>46075</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32100-2022</t>
        </is>
      </c>
      <c r="B416" s="1" t="n">
        <v>44778</v>
      </c>
      <c r="C416" s="1" t="n">
        <v>46075</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11332-2025</t>
        </is>
      </c>
      <c r="B417" s="1" t="n">
        <v>45726.48152777777</v>
      </c>
      <c r="C417" s="1" t="n">
        <v>46075</v>
      </c>
      <c r="D417" t="inlineStr">
        <is>
          <t>STOCKHOLMS LÄN</t>
        </is>
      </c>
      <c r="E417" t="inlineStr">
        <is>
          <t>NORRTÄLJE</t>
        </is>
      </c>
      <c r="G417" t="n">
        <v>4.6</v>
      </c>
      <c r="H417" t="n">
        <v>0</v>
      </c>
      <c r="I417" t="n">
        <v>0</v>
      </c>
      <c r="J417" t="n">
        <v>0</v>
      </c>
      <c r="K417" t="n">
        <v>0</v>
      </c>
      <c r="L417" t="n">
        <v>0</v>
      </c>
      <c r="M417" t="n">
        <v>0</v>
      </c>
      <c r="N417" t="n">
        <v>0</v>
      </c>
      <c r="O417" t="n">
        <v>0</v>
      </c>
      <c r="P417" t="n">
        <v>0</v>
      </c>
      <c r="Q417" t="n">
        <v>0</v>
      </c>
      <c r="R417" s="2" t="inlineStr"/>
    </row>
    <row r="418" ht="15" customHeight="1">
      <c r="A418" t="inlineStr">
        <is>
          <t>A 37444-2021</t>
        </is>
      </c>
      <c r="B418" s="1" t="n">
        <v>44398</v>
      </c>
      <c r="C418" s="1" t="n">
        <v>46075</v>
      </c>
      <c r="D418" t="inlineStr">
        <is>
          <t>STOCKHOLMS LÄN</t>
        </is>
      </c>
      <c r="E418" t="inlineStr">
        <is>
          <t>NORRTÄLJE</t>
        </is>
      </c>
      <c r="F418" t="inlineStr">
        <is>
          <t>Holmen skog AB</t>
        </is>
      </c>
      <c r="G418" t="n">
        <v>3.2</v>
      </c>
      <c r="H418" t="n">
        <v>0</v>
      </c>
      <c r="I418" t="n">
        <v>0</v>
      </c>
      <c r="J418" t="n">
        <v>0</v>
      </c>
      <c r="K418" t="n">
        <v>0</v>
      </c>
      <c r="L418" t="n">
        <v>0</v>
      </c>
      <c r="M418" t="n">
        <v>0</v>
      </c>
      <c r="N418" t="n">
        <v>0</v>
      </c>
      <c r="O418" t="n">
        <v>0</v>
      </c>
      <c r="P418" t="n">
        <v>0</v>
      </c>
      <c r="Q418" t="n">
        <v>0</v>
      </c>
      <c r="R418" s="2" t="inlineStr"/>
    </row>
    <row r="419" ht="15" customHeight="1">
      <c r="A419" t="inlineStr">
        <is>
          <t>A 30886-2022</t>
        </is>
      </c>
      <c r="B419" s="1" t="n">
        <v>44767.60601851852</v>
      </c>
      <c r="C419" s="1" t="n">
        <v>46075</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9654-2022</t>
        </is>
      </c>
      <c r="B420" s="1" t="n">
        <v>44617</v>
      </c>
      <c r="C420" s="1" t="n">
        <v>46075</v>
      </c>
      <c r="D420" t="inlineStr">
        <is>
          <t>STOCKHOLMS LÄN</t>
        </is>
      </c>
      <c r="E420" t="inlineStr">
        <is>
          <t>NORRTÄLJE</t>
        </is>
      </c>
      <c r="G420" t="n">
        <v>6.4</v>
      </c>
      <c r="H420" t="n">
        <v>0</v>
      </c>
      <c r="I420" t="n">
        <v>0</v>
      </c>
      <c r="J420" t="n">
        <v>0</v>
      </c>
      <c r="K420" t="n">
        <v>0</v>
      </c>
      <c r="L420" t="n">
        <v>0</v>
      </c>
      <c r="M420" t="n">
        <v>0</v>
      </c>
      <c r="N420" t="n">
        <v>0</v>
      </c>
      <c r="O420" t="n">
        <v>0</v>
      </c>
      <c r="P420" t="n">
        <v>0</v>
      </c>
      <c r="Q420" t="n">
        <v>0</v>
      </c>
      <c r="R420" s="2" t="inlineStr"/>
    </row>
    <row r="421" ht="15" customHeight="1">
      <c r="A421" t="inlineStr">
        <is>
          <t>A 38593-2025</t>
        </is>
      </c>
      <c r="B421" s="1" t="n">
        <v>45884.48696759259</v>
      </c>
      <c r="C421" s="1" t="n">
        <v>46075</v>
      </c>
      <c r="D421" t="inlineStr">
        <is>
          <t>STOCKHOLMS LÄN</t>
        </is>
      </c>
      <c r="E421" t="inlineStr">
        <is>
          <t>NORRTÄLJE</t>
        </is>
      </c>
      <c r="G421" t="n">
        <v>3</v>
      </c>
      <c r="H421" t="n">
        <v>0</v>
      </c>
      <c r="I421" t="n">
        <v>0</v>
      </c>
      <c r="J421" t="n">
        <v>0</v>
      </c>
      <c r="K421" t="n">
        <v>0</v>
      </c>
      <c r="L421" t="n">
        <v>0</v>
      </c>
      <c r="M421" t="n">
        <v>0</v>
      </c>
      <c r="N421" t="n">
        <v>0</v>
      </c>
      <c r="O421" t="n">
        <v>0</v>
      </c>
      <c r="P421" t="n">
        <v>0</v>
      </c>
      <c r="Q421" t="n">
        <v>0</v>
      </c>
      <c r="R421" s="2" t="inlineStr"/>
    </row>
    <row r="422" ht="15" customHeight="1">
      <c r="A422" t="inlineStr">
        <is>
          <t>A 1453-2025</t>
        </is>
      </c>
      <c r="B422" s="1" t="n">
        <v>45670.3079050926</v>
      </c>
      <c r="C422" s="1" t="n">
        <v>46075</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5804-2025</t>
        </is>
      </c>
      <c r="B423" s="1" t="n">
        <v>45694.68207175926</v>
      </c>
      <c r="C423" s="1" t="n">
        <v>46075</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44075-2023</t>
        </is>
      </c>
      <c r="B424" s="1" t="n">
        <v>45188.41637731482</v>
      </c>
      <c r="C424" s="1" t="n">
        <v>46075</v>
      </c>
      <c r="D424" t="inlineStr">
        <is>
          <t>STOCKHOLMS LÄN</t>
        </is>
      </c>
      <c r="E424" t="inlineStr">
        <is>
          <t>NORRTÄLJE</t>
        </is>
      </c>
      <c r="F424" t="inlineStr">
        <is>
          <t>Holmen skog AB</t>
        </is>
      </c>
      <c r="G424" t="n">
        <v>2.4</v>
      </c>
      <c r="H424" t="n">
        <v>0</v>
      </c>
      <c r="I424" t="n">
        <v>0</v>
      </c>
      <c r="J424" t="n">
        <v>0</v>
      </c>
      <c r="K424" t="n">
        <v>0</v>
      </c>
      <c r="L424" t="n">
        <v>0</v>
      </c>
      <c r="M424" t="n">
        <v>0</v>
      </c>
      <c r="N424" t="n">
        <v>0</v>
      </c>
      <c r="O424" t="n">
        <v>0</v>
      </c>
      <c r="P424" t="n">
        <v>0</v>
      </c>
      <c r="Q424" t="n">
        <v>0</v>
      </c>
      <c r="R424" s="2" t="inlineStr"/>
    </row>
    <row r="425" ht="15" customHeight="1">
      <c r="A425" t="inlineStr">
        <is>
          <t>A 50907-2022</t>
        </is>
      </c>
      <c r="B425" s="1" t="n">
        <v>44867.62090277778</v>
      </c>
      <c r="C425" s="1" t="n">
        <v>46075</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29003-2023</t>
        </is>
      </c>
      <c r="B426" s="1" t="n">
        <v>45104</v>
      </c>
      <c r="C426" s="1" t="n">
        <v>46075</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33295-2023</t>
        </is>
      </c>
      <c r="B427" s="1" t="n">
        <v>45127.69371527778</v>
      </c>
      <c r="C427" s="1" t="n">
        <v>46075</v>
      </c>
      <c r="D427" t="inlineStr">
        <is>
          <t>STOCKHOLMS LÄN</t>
        </is>
      </c>
      <c r="E427" t="inlineStr">
        <is>
          <t>NORRTÄLJE</t>
        </is>
      </c>
      <c r="F427" t="inlineStr">
        <is>
          <t>Holmen skog AB</t>
        </is>
      </c>
      <c r="G427" t="n">
        <v>2</v>
      </c>
      <c r="H427" t="n">
        <v>0</v>
      </c>
      <c r="I427" t="n">
        <v>0</v>
      </c>
      <c r="J427" t="n">
        <v>0</v>
      </c>
      <c r="K427" t="n">
        <v>0</v>
      </c>
      <c r="L427" t="n">
        <v>0</v>
      </c>
      <c r="M427" t="n">
        <v>0</v>
      </c>
      <c r="N427" t="n">
        <v>0</v>
      </c>
      <c r="O427" t="n">
        <v>0</v>
      </c>
      <c r="P427" t="n">
        <v>0</v>
      </c>
      <c r="Q427" t="n">
        <v>0</v>
      </c>
      <c r="R427" s="2" t="inlineStr"/>
    </row>
    <row r="428" ht="15" customHeight="1">
      <c r="A428" t="inlineStr">
        <is>
          <t>A 14127-2025</t>
        </is>
      </c>
      <c r="B428" s="1" t="n">
        <v>45740.47055555556</v>
      </c>
      <c r="C428" s="1" t="n">
        <v>46075</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16980-2023</t>
        </is>
      </c>
      <c r="B429" s="1" t="n">
        <v>45033</v>
      </c>
      <c r="C429" s="1" t="n">
        <v>46075</v>
      </c>
      <c r="D429" t="inlineStr">
        <is>
          <t>STOCKHOLMS LÄN</t>
        </is>
      </c>
      <c r="E429" t="inlineStr">
        <is>
          <t>NORRTÄLJE</t>
        </is>
      </c>
      <c r="G429" t="n">
        <v>2.3</v>
      </c>
      <c r="H429" t="n">
        <v>0</v>
      </c>
      <c r="I429" t="n">
        <v>0</v>
      </c>
      <c r="J429" t="n">
        <v>0</v>
      </c>
      <c r="K429" t="n">
        <v>0</v>
      </c>
      <c r="L429" t="n">
        <v>0</v>
      </c>
      <c r="M429" t="n">
        <v>0</v>
      </c>
      <c r="N429" t="n">
        <v>0</v>
      </c>
      <c r="O429" t="n">
        <v>0</v>
      </c>
      <c r="P429" t="n">
        <v>0</v>
      </c>
      <c r="Q429" t="n">
        <v>0</v>
      </c>
      <c r="R429" s="2" t="inlineStr"/>
    </row>
    <row r="430" ht="15" customHeight="1">
      <c r="A430" t="inlineStr">
        <is>
          <t>A 32595-2023</t>
        </is>
      </c>
      <c r="B430" s="1" t="n">
        <v>45121</v>
      </c>
      <c r="C430" s="1" t="n">
        <v>46075</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27677-2025</t>
        </is>
      </c>
      <c r="B431" s="1" t="n">
        <v>45813.63650462963</v>
      </c>
      <c r="C431" s="1" t="n">
        <v>46075</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39152-2025</t>
        </is>
      </c>
      <c r="B432" s="1" t="n">
        <v>45888</v>
      </c>
      <c r="C432" s="1" t="n">
        <v>46075</v>
      </c>
      <c r="D432" t="inlineStr">
        <is>
          <t>STOCKHOLMS LÄN</t>
        </is>
      </c>
      <c r="E432" t="inlineStr">
        <is>
          <t>NORRTÄLJE</t>
        </is>
      </c>
      <c r="G432" t="n">
        <v>4.6</v>
      </c>
      <c r="H432" t="n">
        <v>0</v>
      </c>
      <c r="I432" t="n">
        <v>0</v>
      </c>
      <c r="J432" t="n">
        <v>0</v>
      </c>
      <c r="K432" t="n">
        <v>0</v>
      </c>
      <c r="L432" t="n">
        <v>0</v>
      </c>
      <c r="M432" t="n">
        <v>0</v>
      </c>
      <c r="N432" t="n">
        <v>0</v>
      </c>
      <c r="O432" t="n">
        <v>0</v>
      </c>
      <c r="P432" t="n">
        <v>0</v>
      </c>
      <c r="Q432" t="n">
        <v>0</v>
      </c>
      <c r="R432" s="2" t="inlineStr"/>
    </row>
    <row r="433" ht="15" customHeight="1">
      <c r="A433" t="inlineStr">
        <is>
          <t>A 37550-2022</t>
        </is>
      </c>
      <c r="B433" s="1" t="n">
        <v>44809</v>
      </c>
      <c r="C433" s="1" t="n">
        <v>46075</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39149-2025</t>
        </is>
      </c>
      <c r="B434" s="1" t="n">
        <v>45888.60714120371</v>
      </c>
      <c r="C434" s="1" t="n">
        <v>46075</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29250-2025</t>
        </is>
      </c>
      <c r="B435" s="1" t="n">
        <v>45824.37275462963</v>
      </c>
      <c r="C435" s="1" t="n">
        <v>46075</v>
      </c>
      <c r="D435" t="inlineStr">
        <is>
          <t>STOCKHOLMS LÄN</t>
        </is>
      </c>
      <c r="E435" t="inlineStr">
        <is>
          <t>NORRTÄLJE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48161-2022</t>
        </is>
      </c>
      <c r="B436" s="1" t="n">
        <v>44858</v>
      </c>
      <c r="C436" s="1" t="n">
        <v>46075</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48798-2021</t>
        </is>
      </c>
      <c r="B437" s="1" t="n">
        <v>44452</v>
      </c>
      <c r="C437" s="1" t="n">
        <v>46075</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12111-2021</t>
        </is>
      </c>
      <c r="B438" s="1" t="n">
        <v>44266</v>
      </c>
      <c r="C438" s="1" t="n">
        <v>46075</v>
      </c>
      <c r="D438" t="inlineStr">
        <is>
          <t>STOCKHOLMS LÄN</t>
        </is>
      </c>
      <c r="E438" t="inlineStr">
        <is>
          <t>NORRTÄLJE</t>
        </is>
      </c>
      <c r="G438" t="n">
        <v>5.5</v>
      </c>
      <c r="H438" t="n">
        <v>0</v>
      </c>
      <c r="I438" t="n">
        <v>0</v>
      </c>
      <c r="J438" t="n">
        <v>0</v>
      </c>
      <c r="K438" t="n">
        <v>0</v>
      </c>
      <c r="L438" t="n">
        <v>0</v>
      </c>
      <c r="M438" t="n">
        <v>0</v>
      </c>
      <c r="N438" t="n">
        <v>0</v>
      </c>
      <c r="O438" t="n">
        <v>0</v>
      </c>
      <c r="P438" t="n">
        <v>0</v>
      </c>
      <c r="Q438" t="n">
        <v>0</v>
      </c>
      <c r="R438" s="2" t="inlineStr"/>
    </row>
    <row r="439" ht="15" customHeight="1">
      <c r="A439" t="inlineStr">
        <is>
          <t>A 54776-2023</t>
        </is>
      </c>
      <c r="B439" s="1" t="n">
        <v>45236.46369212963</v>
      </c>
      <c r="C439" s="1" t="n">
        <v>46075</v>
      </c>
      <c r="D439" t="inlineStr">
        <is>
          <t>STOCKHOLMS LÄN</t>
        </is>
      </c>
      <c r="E439" t="inlineStr">
        <is>
          <t>NORRTÄLJE</t>
        </is>
      </c>
      <c r="G439" t="n">
        <v>0.3</v>
      </c>
      <c r="H439" t="n">
        <v>0</v>
      </c>
      <c r="I439" t="n">
        <v>0</v>
      </c>
      <c r="J439" t="n">
        <v>0</v>
      </c>
      <c r="K439" t="n">
        <v>0</v>
      </c>
      <c r="L439" t="n">
        <v>0</v>
      </c>
      <c r="M439" t="n">
        <v>0</v>
      </c>
      <c r="N439" t="n">
        <v>0</v>
      </c>
      <c r="O439" t="n">
        <v>0</v>
      </c>
      <c r="P439" t="n">
        <v>0</v>
      </c>
      <c r="Q439" t="n">
        <v>0</v>
      </c>
      <c r="R439" s="2" t="inlineStr"/>
    </row>
    <row r="440" ht="15" customHeight="1">
      <c r="A440" t="inlineStr">
        <is>
          <t>A 39692-2025</t>
        </is>
      </c>
      <c r="B440" s="1" t="n">
        <v>45890.68083333333</v>
      </c>
      <c r="C440" s="1" t="n">
        <v>46075</v>
      </c>
      <c r="D440" t="inlineStr">
        <is>
          <t>STOCKHOLMS LÄN</t>
        </is>
      </c>
      <c r="E440" t="inlineStr">
        <is>
          <t>NORRTÄLJE</t>
        </is>
      </c>
      <c r="G440" t="n">
        <v>10.5</v>
      </c>
      <c r="H440" t="n">
        <v>0</v>
      </c>
      <c r="I440" t="n">
        <v>0</v>
      </c>
      <c r="J440" t="n">
        <v>0</v>
      </c>
      <c r="K440" t="n">
        <v>0</v>
      </c>
      <c r="L440" t="n">
        <v>0</v>
      </c>
      <c r="M440" t="n">
        <v>0</v>
      </c>
      <c r="N440" t="n">
        <v>0</v>
      </c>
      <c r="O440" t="n">
        <v>0</v>
      </c>
      <c r="P440" t="n">
        <v>0</v>
      </c>
      <c r="Q440" t="n">
        <v>0</v>
      </c>
      <c r="R440" s="2" t="inlineStr"/>
    </row>
    <row r="441" ht="15" customHeight="1">
      <c r="A441" t="inlineStr">
        <is>
          <t>A 35639-2025</t>
        </is>
      </c>
      <c r="B441" s="1" t="n">
        <v>45859</v>
      </c>
      <c r="C441" s="1" t="n">
        <v>46075</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57442-2021</t>
        </is>
      </c>
      <c r="B442" s="1" t="n">
        <v>44483</v>
      </c>
      <c r="C442" s="1" t="n">
        <v>46075</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55952-2024</t>
        </is>
      </c>
      <c r="B443" s="1" t="n">
        <v>45623.62563657408</v>
      </c>
      <c r="C443" s="1" t="n">
        <v>46075</v>
      </c>
      <c r="D443" t="inlineStr">
        <is>
          <t>STOCKHOLMS LÄN</t>
        </is>
      </c>
      <c r="E443" t="inlineStr">
        <is>
          <t>NORRTÄLJE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8135-2025</t>
        </is>
      </c>
      <c r="B444" s="1" t="n">
        <v>45707.84997685185</v>
      </c>
      <c r="C444" s="1" t="n">
        <v>46075</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3383-2023</t>
        </is>
      </c>
      <c r="B445" s="1" t="n">
        <v>44949</v>
      </c>
      <c r="C445" s="1" t="n">
        <v>46075</v>
      </c>
      <c r="D445" t="inlineStr">
        <is>
          <t>STOCKHOLMS LÄN</t>
        </is>
      </c>
      <c r="E445" t="inlineStr">
        <is>
          <t>NORRTÄLJE</t>
        </is>
      </c>
      <c r="G445" t="n">
        <v>14.6</v>
      </c>
      <c r="H445" t="n">
        <v>0</v>
      </c>
      <c r="I445" t="n">
        <v>0</v>
      </c>
      <c r="J445" t="n">
        <v>0</v>
      </c>
      <c r="K445" t="n">
        <v>0</v>
      </c>
      <c r="L445" t="n">
        <v>0</v>
      </c>
      <c r="M445" t="n">
        <v>0</v>
      </c>
      <c r="N445" t="n">
        <v>0</v>
      </c>
      <c r="O445" t="n">
        <v>0</v>
      </c>
      <c r="P445" t="n">
        <v>0</v>
      </c>
      <c r="Q445" t="n">
        <v>0</v>
      </c>
      <c r="R445" s="2" t="inlineStr"/>
    </row>
    <row r="446" ht="15" customHeight="1">
      <c r="A446" t="inlineStr">
        <is>
          <t>A 35636-2025</t>
        </is>
      </c>
      <c r="B446" s="1" t="n">
        <v>45859</v>
      </c>
      <c r="C446" s="1" t="n">
        <v>46075</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13148-2021</t>
        </is>
      </c>
      <c r="B447" s="1" t="n">
        <v>44272</v>
      </c>
      <c r="C447" s="1" t="n">
        <v>46075</v>
      </c>
      <c r="D447" t="inlineStr">
        <is>
          <t>STOCKHOLMS LÄN</t>
        </is>
      </c>
      <c r="E447" t="inlineStr">
        <is>
          <t>NORRTÄLJE</t>
        </is>
      </c>
      <c r="G447" t="n">
        <v>12.4</v>
      </c>
      <c r="H447" t="n">
        <v>0</v>
      </c>
      <c r="I447" t="n">
        <v>0</v>
      </c>
      <c r="J447" t="n">
        <v>0</v>
      </c>
      <c r="K447" t="n">
        <v>0</v>
      </c>
      <c r="L447" t="n">
        <v>0</v>
      </c>
      <c r="M447" t="n">
        <v>0</v>
      </c>
      <c r="N447" t="n">
        <v>0</v>
      </c>
      <c r="O447" t="n">
        <v>0</v>
      </c>
      <c r="P447" t="n">
        <v>0</v>
      </c>
      <c r="Q447" t="n">
        <v>0</v>
      </c>
      <c r="R447" s="2" t="inlineStr"/>
    </row>
    <row r="448" ht="15" customHeight="1">
      <c r="A448" t="inlineStr">
        <is>
          <t>A 21732-2023</t>
        </is>
      </c>
      <c r="B448" s="1" t="n">
        <v>45063</v>
      </c>
      <c r="C448" s="1" t="n">
        <v>46075</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23307-2024</t>
        </is>
      </c>
      <c r="B449" s="1" t="n">
        <v>45453</v>
      </c>
      <c r="C449" s="1" t="n">
        <v>46075</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40172-2025</t>
        </is>
      </c>
      <c r="B450" s="1" t="n">
        <v>45894.6353125</v>
      </c>
      <c r="C450" s="1" t="n">
        <v>46075</v>
      </c>
      <c r="D450" t="inlineStr">
        <is>
          <t>STOCKHOLMS LÄN</t>
        </is>
      </c>
      <c r="E450" t="inlineStr">
        <is>
          <t>NORRTÄLJE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40033-2025</t>
        </is>
      </c>
      <c r="B451" s="1" t="n">
        <v>45893</v>
      </c>
      <c r="C451" s="1" t="n">
        <v>46075</v>
      </c>
      <c r="D451" t="inlineStr">
        <is>
          <t>STOCKHOLMS LÄN</t>
        </is>
      </c>
      <c r="E451" t="inlineStr">
        <is>
          <t>NORRTÄLJE</t>
        </is>
      </c>
      <c r="G451" t="n">
        <v>1.7</v>
      </c>
      <c r="H451" t="n">
        <v>0</v>
      </c>
      <c r="I451" t="n">
        <v>0</v>
      </c>
      <c r="J451" t="n">
        <v>0</v>
      </c>
      <c r="K451" t="n">
        <v>0</v>
      </c>
      <c r="L451" t="n">
        <v>0</v>
      </c>
      <c r="M451" t="n">
        <v>0</v>
      </c>
      <c r="N451" t="n">
        <v>0</v>
      </c>
      <c r="O451" t="n">
        <v>0</v>
      </c>
      <c r="P451" t="n">
        <v>0</v>
      </c>
      <c r="Q451" t="n">
        <v>0</v>
      </c>
      <c r="R451" s="2" t="inlineStr"/>
    </row>
    <row r="452" ht="15" customHeight="1">
      <c r="A452" t="inlineStr">
        <is>
          <t>A 40032-2025</t>
        </is>
      </c>
      <c r="B452" s="1" t="n">
        <v>45893</v>
      </c>
      <c r="C452" s="1" t="n">
        <v>46075</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40292-2025</t>
        </is>
      </c>
      <c r="B453" s="1" t="n">
        <v>45895.3867824074</v>
      </c>
      <c r="C453" s="1" t="n">
        <v>46075</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40294-2025</t>
        </is>
      </c>
      <c r="B454" s="1" t="n">
        <v>45895.38778935185</v>
      </c>
      <c r="C454" s="1" t="n">
        <v>46075</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40228-2025</t>
        </is>
      </c>
      <c r="B455" s="1" t="n">
        <v>45894.70854166667</v>
      </c>
      <c r="C455" s="1" t="n">
        <v>46075</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40230-2025</t>
        </is>
      </c>
      <c r="B456" s="1" t="n">
        <v>45894.71101851852</v>
      </c>
      <c r="C456" s="1" t="n">
        <v>46075</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40217-2025</t>
        </is>
      </c>
      <c r="B457" s="1" t="n">
        <v>45894.68864583333</v>
      </c>
      <c r="C457" s="1" t="n">
        <v>46075</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40097-2025</t>
        </is>
      </c>
      <c r="B458" s="1" t="n">
        <v>45894.48322916667</v>
      </c>
      <c r="C458" s="1" t="n">
        <v>46075</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40829-2025</t>
        </is>
      </c>
      <c r="B459" s="1" t="n">
        <v>45897.50802083333</v>
      </c>
      <c r="C459" s="1" t="n">
        <v>46075</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40837-2025</t>
        </is>
      </c>
      <c r="B460" s="1" t="n">
        <v>45897.51328703704</v>
      </c>
      <c r="C460" s="1" t="n">
        <v>46075</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30639-2025</t>
        </is>
      </c>
      <c r="B461" s="1" t="n">
        <v>45831.4844212963</v>
      </c>
      <c r="C461" s="1" t="n">
        <v>46075</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30668-2025</t>
        </is>
      </c>
      <c r="B462" s="1" t="n">
        <v>45831.51659722222</v>
      </c>
      <c r="C462" s="1" t="n">
        <v>46075</v>
      </c>
      <c r="D462" t="inlineStr">
        <is>
          <t>STOCKHOLMS LÄN</t>
        </is>
      </c>
      <c r="E462" t="inlineStr">
        <is>
          <t>NORRTÄLJE</t>
        </is>
      </c>
      <c r="G462" t="n">
        <v>4.9</v>
      </c>
      <c r="H462" t="n">
        <v>0</v>
      </c>
      <c r="I462" t="n">
        <v>0</v>
      </c>
      <c r="J462" t="n">
        <v>0</v>
      </c>
      <c r="K462" t="n">
        <v>0</v>
      </c>
      <c r="L462" t="n">
        <v>0</v>
      </c>
      <c r="M462" t="n">
        <v>0</v>
      </c>
      <c r="N462" t="n">
        <v>0</v>
      </c>
      <c r="O462" t="n">
        <v>0</v>
      </c>
      <c r="P462" t="n">
        <v>0</v>
      </c>
      <c r="Q462" t="n">
        <v>0</v>
      </c>
      <c r="R462" s="2" t="inlineStr"/>
    </row>
    <row r="463" ht="15" customHeight="1">
      <c r="A463" t="inlineStr">
        <is>
          <t>A 40529-2025</t>
        </is>
      </c>
      <c r="B463" s="1" t="n">
        <v>45896.38466435186</v>
      </c>
      <c r="C463" s="1" t="n">
        <v>46075</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37085-2021</t>
        </is>
      </c>
      <c r="B464" s="1" t="n">
        <v>44395</v>
      </c>
      <c r="C464" s="1" t="n">
        <v>46075</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40831-2025</t>
        </is>
      </c>
      <c r="B465" s="1" t="n">
        <v>45897.51077546296</v>
      </c>
      <c r="C465" s="1" t="n">
        <v>46075</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56428-2023</t>
        </is>
      </c>
      <c r="B466" s="1" t="n">
        <v>45243.45289351852</v>
      </c>
      <c r="C466" s="1" t="n">
        <v>46075</v>
      </c>
      <c r="D466" t="inlineStr">
        <is>
          <t>STOCKHOLMS LÄN</t>
        </is>
      </c>
      <c r="E466" t="inlineStr">
        <is>
          <t>NORRTÄLJE</t>
        </is>
      </c>
      <c r="F466" t="inlineStr">
        <is>
          <t>Kyrkan</t>
        </is>
      </c>
      <c r="G466" t="n">
        <v>1.3</v>
      </c>
      <c r="H466" t="n">
        <v>0</v>
      </c>
      <c r="I466" t="n">
        <v>0</v>
      </c>
      <c r="J466" t="n">
        <v>0</v>
      </c>
      <c r="K466" t="n">
        <v>0</v>
      </c>
      <c r="L466" t="n">
        <v>0</v>
      </c>
      <c r="M466" t="n">
        <v>0</v>
      </c>
      <c r="N466" t="n">
        <v>0</v>
      </c>
      <c r="O466" t="n">
        <v>0</v>
      </c>
      <c r="P466" t="n">
        <v>0</v>
      </c>
      <c r="Q466" t="n">
        <v>0</v>
      </c>
      <c r="R466" s="2" t="inlineStr"/>
    </row>
    <row r="467" ht="15" customHeight="1">
      <c r="A467" t="inlineStr">
        <is>
          <t>A 17556-2025</t>
        </is>
      </c>
      <c r="B467" s="1" t="n">
        <v>45757.62482638889</v>
      </c>
      <c r="C467" s="1" t="n">
        <v>46075</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41158-2025</t>
        </is>
      </c>
      <c r="B468" s="1" t="n">
        <v>45898.5315625</v>
      </c>
      <c r="C468" s="1" t="n">
        <v>46075</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15733-2025</t>
        </is>
      </c>
      <c r="B469" s="1" t="n">
        <v>45748</v>
      </c>
      <c r="C469" s="1" t="n">
        <v>46075</v>
      </c>
      <c r="D469" t="inlineStr">
        <is>
          <t>STOCKHOLMS LÄN</t>
        </is>
      </c>
      <c r="E469" t="inlineStr">
        <is>
          <t>NORRTÄLJE</t>
        </is>
      </c>
      <c r="G469" t="n">
        <v>13.3</v>
      </c>
      <c r="H469" t="n">
        <v>0</v>
      </c>
      <c r="I469" t="n">
        <v>0</v>
      </c>
      <c r="J469" t="n">
        <v>0</v>
      </c>
      <c r="K469" t="n">
        <v>0</v>
      </c>
      <c r="L469" t="n">
        <v>0</v>
      </c>
      <c r="M469" t="n">
        <v>0</v>
      </c>
      <c r="N469" t="n">
        <v>0</v>
      </c>
      <c r="O469" t="n">
        <v>0</v>
      </c>
      <c r="P469" t="n">
        <v>0</v>
      </c>
      <c r="Q469" t="n">
        <v>0</v>
      </c>
      <c r="R469" s="2" t="inlineStr"/>
    </row>
    <row r="470" ht="15" customHeight="1">
      <c r="A470" t="inlineStr">
        <is>
          <t>A 31170-2025</t>
        </is>
      </c>
      <c r="B470" s="1" t="n">
        <v>45832.66385416667</v>
      </c>
      <c r="C470" s="1" t="n">
        <v>46075</v>
      </c>
      <c r="D470" t="inlineStr">
        <is>
          <t>STOCKHOLMS LÄN</t>
        </is>
      </c>
      <c r="E470" t="inlineStr">
        <is>
          <t>NORRTÄLJE</t>
        </is>
      </c>
      <c r="G470" t="n">
        <v>2.7</v>
      </c>
      <c r="H470" t="n">
        <v>0</v>
      </c>
      <c r="I470" t="n">
        <v>0</v>
      </c>
      <c r="J470" t="n">
        <v>0</v>
      </c>
      <c r="K470" t="n">
        <v>0</v>
      </c>
      <c r="L470" t="n">
        <v>0</v>
      </c>
      <c r="M470" t="n">
        <v>0</v>
      </c>
      <c r="N470" t="n">
        <v>0</v>
      </c>
      <c r="O470" t="n">
        <v>0</v>
      </c>
      <c r="P470" t="n">
        <v>0</v>
      </c>
      <c r="Q470" t="n">
        <v>0</v>
      </c>
      <c r="R470" s="2" t="inlineStr"/>
    </row>
    <row r="471" ht="15" customHeight="1">
      <c r="A471" t="inlineStr">
        <is>
          <t>A 42094-2023</t>
        </is>
      </c>
      <c r="B471" s="1" t="n">
        <v>45177.61498842593</v>
      </c>
      <c r="C471" s="1" t="n">
        <v>46075</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19058-2024</t>
        </is>
      </c>
      <c r="B472" s="1" t="n">
        <v>45427.89121527778</v>
      </c>
      <c r="C472" s="1" t="n">
        <v>46075</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41053-2025</t>
        </is>
      </c>
      <c r="B473" s="1" t="n">
        <v>45898.40480324074</v>
      </c>
      <c r="C473" s="1" t="n">
        <v>46075</v>
      </c>
      <c r="D473" t="inlineStr">
        <is>
          <t>STOCKHOLMS LÄN</t>
        </is>
      </c>
      <c r="E473" t="inlineStr">
        <is>
          <t>NORRTÄLJE</t>
        </is>
      </c>
      <c r="F473" t="inlineStr">
        <is>
          <t>Holmen skog AB</t>
        </is>
      </c>
      <c r="G473" t="n">
        <v>2.5</v>
      </c>
      <c r="H473" t="n">
        <v>0</v>
      </c>
      <c r="I473" t="n">
        <v>0</v>
      </c>
      <c r="J473" t="n">
        <v>0</v>
      </c>
      <c r="K473" t="n">
        <v>0</v>
      </c>
      <c r="L473" t="n">
        <v>0</v>
      </c>
      <c r="M473" t="n">
        <v>0</v>
      </c>
      <c r="N473" t="n">
        <v>0</v>
      </c>
      <c r="O473" t="n">
        <v>0</v>
      </c>
      <c r="P473" t="n">
        <v>0</v>
      </c>
      <c r="Q473" t="n">
        <v>0</v>
      </c>
      <c r="R473" s="2" t="inlineStr"/>
    </row>
    <row r="474" ht="15" customHeight="1">
      <c r="A474" t="inlineStr">
        <is>
          <t>A 41275-2025</t>
        </is>
      </c>
      <c r="B474" s="1" t="n">
        <v>45898.62625</v>
      </c>
      <c r="C474" s="1" t="n">
        <v>46075</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41272-2025</t>
        </is>
      </c>
      <c r="B475" s="1" t="n">
        <v>45898.62373842593</v>
      </c>
      <c r="C475" s="1" t="n">
        <v>46075</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31880-2025</t>
        </is>
      </c>
      <c r="B476" s="1" t="n">
        <v>45834.65538194445</v>
      </c>
      <c r="C476" s="1" t="n">
        <v>46075</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41301-2025</t>
        </is>
      </c>
      <c r="B477" s="1" t="n">
        <v>45898.68826388889</v>
      </c>
      <c r="C477" s="1" t="n">
        <v>46075</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32122-2025</t>
        </is>
      </c>
      <c r="B478" s="1" t="n">
        <v>45835.4928125</v>
      </c>
      <c r="C478" s="1" t="n">
        <v>46075</v>
      </c>
      <c r="D478" t="inlineStr">
        <is>
          <t>STOCKHOLMS LÄN</t>
        </is>
      </c>
      <c r="E478" t="inlineStr">
        <is>
          <t>NORRTÄLJE</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31868-2025</t>
        </is>
      </c>
      <c r="B479" s="1" t="n">
        <v>45834.6447337963</v>
      </c>
      <c r="C479" s="1" t="n">
        <v>46075</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6413-2025</t>
        </is>
      </c>
      <c r="B480" s="1" t="n">
        <v>45699.46283564815</v>
      </c>
      <c r="C480" s="1" t="n">
        <v>46075</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41174-2025</t>
        </is>
      </c>
      <c r="B481" s="1" t="n">
        <v>45898.54921296296</v>
      </c>
      <c r="C481" s="1" t="n">
        <v>46075</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8370-2025</t>
        </is>
      </c>
      <c r="B482" s="1" t="n">
        <v>45708</v>
      </c>
      <c r="C482" s="1" t="n">
        <v>46075</v>
      </c>
      <c r="D482" t="inlineStr">
        <is>
          <t>STOCKHOLMS LÄN</t>
        </is>
      </c>
      <c r="E482" t="inlineStr">
        <is>
          <t>NORRTÄLJE</t>
        </is>
      </c>
      <c r="F482" t="inlineStr">
        <is>
          <t>Övriga Aktiebolag</t>
        </is>
      </c>
      <c r="G482" t="n">
        <v>5.6</v>
      </c>
      <c r="H482" t="n">
        <v>0</v>
      </c>
      <c r="I482" t="n">
        <v>0</v>
      </c>
      <c r="J482" t="n">
        <v>0</v>
      </c>
      <c r="K482" t="n">
        <v>0</v>
      </c>
      <c r="L482" t="n">
        <v>0</v>
      </c>
      <c r="M482" t="n">
        <v>0</v>
      </c>
      <c r="N482" t="n">
        <v>0</v>
      </c>
      <c r="O482" t="n">
        <v>0</v>
      </c>
      <c r="P482" t="n">
        <v>0</v>
      </c>
      <c r="Q482" t="n">
        <v>0</v>
      </c>
      <c r="R482" s="2" t="inlineStr"/>
    </row>
    <row r="483" ht="15" customHeight="1">
      <c r="A483" t="inlineStr">
        <is>
          <t>A 41030-2025</t>
        </is>
      </c>
      <c r="B483" s="1" t="n">
        <v>45898.37636574074</v>
      </c>
      <c r="C483" s="1" t="n">
        <v>46075</v>
      </c>
      <c r="D483" t="inlineStr">
        <is>
          <t>STOCKHOLMS LÄN</t>
        </is>
      </c>
      <c r="E483" t="inlineStr">
        <is>
          <t>NORRTÄLJE</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3299-2022</t>
        </is>
      </c>
      <c r="B484" s="1" t="n">
        <v>44584.91001157407</v>
      </c>
      <c r="C484" s="1" t="n">
        <v>46075</v>
      </c>
      <c r="D484" t="inlineStr">
        <is>
          <t>STOCKHOLMS LÄN</t>
        </is>
      </c>
      <c r="E484" t="inlineStr">
        <is>
          <t>NORRTÄLJE</t>
        </is>
      </c>
      <c r="G484" t="n">
        <v>2.7</v>
      </c>
      <c r="H484" t="n">
        <v>0</v>
      </c>
      <c r="I484" t="n">
        <v>0</v>
      </c>
      <c r="J484" t="n">
        <v>0</v>
      </c>
      <c r="K484" t="n">
        <v>0</v>
      </c>
      <c r="L484" t="n">
        <v>0</v>
      </c>
      <c r="M484" t="n">
        <v>0</v>
      </c>
      <c r="N484" t="n">
        <v>0</v>
      </c>
      <c r="O484" t="n">
        <v>0</v>
      </c>
      <c r="P484" t="n">
        <v>0</v>
      </c>
      <c r="Q484" t="n">
        <v>0</v>
      </c>
      <c r="R484" s="2" t="inlineStr"/>
    </row>
    <row r="485" ht="15" customHeight="1">
      <c r="A485" t="inlineStr">
        <is>
          <t>A 41036-2025</t>
        </is>
      </c>
      <c r="B485" s="1" t="n">
        <v>45898.38552083333</v>
      </c>
      <c r="C485" s="1" t="n">
        <v>46075</v>
      </c>
      <c r="D485" t="inlineStr">
        <is>
          <t>STOCKHOLMS LÄN</t>
        </is>
      </c>
      <c r="E485" t="inlineStr">
        <is>
          <t>NORRTÄLJE</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41106-2025</t>
        </is>
      </c>
      <c r="B486" s="1" t="n">
        <v>45898.45636574074</v>
      </c>
      <c r="C486" s="1" t="n">
        <v>46075</v>
      </c>
      <c r="D486" t="inlineStr">
        <is>
          <t>STOCKHOLMS LÄN</t>
        </is>
      </c>
      <c r="E486" t="inlineStr">
        <is>
          <t>NORRTÄLJE</t>
        </is>
      </c>
      <c r="G486" t="n">
        <v>2.6</v>
      </c>
      <c r="H486" t="n">
        <v>0</v>
      </c>
      <c r="I486" t="n">
        <v>0</v>
      </c>
      <c r="J486" t="n">
        <v>0</v>
      </c>
      <c r="K486" t="n">
        <v>0</v>
      </c>
      <c r="L486" t="n">
        <v>0</v>
      </c>
      <c r="M486" t="n">
        <v>0</v>
      </c>
      <c r="N486" t="n">
        <v>0</v>
      </c>
      <c r="O486" t="n">
        <v>0</v>
      </c>
      <c r="P486" t="n">
        <v>0</v>
      </c>
      <c r="Q486" t="n">
        <v>0</v>
      </c>
      <c r="R486" s="2" t="inlineStr"/>
    </row>
    <row r="487" ht="15" customHeight="1">
      <c r="A487" t="inlineStr">
        <is>
          <t>A 32016-2025</t>
        </is>
      </c>
      <c r="B487" s="1" t="n">
        <v>45835</v>
      </c>
      <c r="C487" s="1" t="n">
        <v>46075</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46075</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12348-2025</t>
        </is>
      </c>
      <c r="B489" s="1" t="n">
        <v>45730.35026620371</v>
      </c>
      <c r="C489" s="1" t="n">
        <v>46075</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41259-2025</t>
        </is>
      </c>
      <c r="B490" s="1" t="n">
        <v>45898.61054398148</v>
      </c>
      <c r="C490" s="1" t="n">
        <v>46075</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10511-2025</t>
        </is>
      </c>
      <c r="B491" s="1" t="n">
        <v>45721.40780092592</v>
      </c>
      <c r="C491" s="1" t="n">
        <v>46075</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32283-2025</t>
        </is>
      </c>
      <c r="B492" s="1" t="n">
        <v>45835.68076388889</v>
      </c>
      <c r="C492" s="1" t="n">
        <v>46075</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17545-2025</t>
        </is>
      </c>
      <c r="B493" s="1" t="n">
        <v>45757.60658564815</v>
      </c>
      <c r="C493" s="1" t="n">
        <v>46075</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19057-2024</t>
        </is>
      </c>
      <c r="B494" s="1" t="n">
        <v>45427.88731481481</v>
      </c>
      <c r="C494" s="1" t="n">
        <v>46075</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31874-2025</t>
        </is>
      </c>
      <c r="B495" s="1" t="n">
        <v>45834</v>
      </c>
      <c r="C495" s="1" t="n">
        <v>46075</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25094-2023</t>
        </is>
      </c>
      <c r="B496" s="1" t="n">
        <v>45086.3629050926</v>
      </c>
      <c r="C496" s="1" t="n">
        <v>46075</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36157-2024</t>
        </is>
      </c>
      <c r="B497" s="1" t="n">
        <v>45534.38240740741</v>
      </c>
      <c r="C497" s="1" t="n">
        <v>46075</v>
      </c>
      <c r="D497" t="inlineStr">
        <is>
          <t>STOCKHOLMS LÄN</t>
        </is>
      </c>
      <c r="E497" t="inlineStr">
        <is>
          <t>NORRTÄLJE</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32094-2025</t>
        </is>
      </c>
      <c r="B498" s="1" t="n">
        <v>45835.46034722222</v>
      </c>
      <c r="C498" s="1" t="n">
        <v>46075</v>
      </c>
      <c r="D498" t="inlineStr">
        <is>
          <t>STOCKHOLMS LÄN</t>
        </is>
      </c>
      <c r="E498" t="inlineStr">
        <is>
          <t>NORRTÄLJE</t>
        </is>
      </c>
      <c r="F498" t="inlineStr">
        <is>
          <t>Holmen skog AB</t>
        </is>
      </c>
      <c r="G498" t="n">
        <v>2.9</v>
      </c>
      <c r="H498" t="n">
        <v>0</v>
      </c>
      <c r="I498" t="n">
        <v>0</v>
      </c>
      <c r="J498" t="n">
        <v>0</v>
      </c>
      <c r="K498" t="n">
        <v>0</v>
      </c>
      <c r="L498" t="n">
        <v>0</v>
      </c>
      <c r="M498" t="n">
        <v>0</v>
      </c>
      <c r="N498" t="n">
        <v>0</v>
      </c>
      <c r="O498" t="n">
        <v>0</v>
      </c>
      <c r="P498" t="n">
        <v>0</v>
      </c>
      <c r="Q498" t="n">
        <v>0</v>
      </c>
      <c r="R498" s="2" t="inlineStr"/>
    </row>
    <row r="499" ht="15" customHeight="1">
      <c r="A499" t="inlineStr">
        <is>
          <t>A 41966-2025</t>
        </is>
      </c>
      <c r="B499" s="1" t="n">
        <v>45903.47456018518</v>
      </c>
      <c r="C499" s="1" t="n">
        <v>46075</v>
      </c>
      <c r="D499" t="inlineStr">
        <is>
          <t>STOCKHOLMS LÄN</t>
        </is>
      </c>
      <c r="E499" t="inlineStr">
        <is>
          <t>NORRTÄLJE</t>
        </is>
      </c>
      <c r="F499" t="inlineStr">
        <is>
          <t>Sveaskog</t>
        </is>
      </c>
      <c r="G499" t="n">
        <v>3.7</v>
      </c>
      <c r="H499" t="n">
        <v>0</v>
      </c>
      <c r="I499" t="n">
        <v>0</v>
      </c>
      <c r="J499" t="n">
        <v>0</v>
      </c>
      <c r="K499" t="n">
        <v>0</v>
      </c>
      <c r="L499" t="n">
        <v>0</v>
      </c>
      <c r="M499" t="n">
        <v>0</v>
      </c>
      <c r="N499" t="n">
        <v>0</v>
      </c>
      <c r="O499" t="n">
        <v>0</v>
      </c>
      <c r="P499" t="n">
        <v>0</v>
      </c>
      <c r="Q499" t="n">
        <v>0</v>
      </c>
      <c r="R499" s="2" t="inlineStr"/>
    </row>
    <row r="500" ht="15" customHeight="1">
      <c r="A500" t="inlineStr">
        <is>
          <t>A 42038-2025</t>
        </is>
      </c>
      <c r="B500" s="1" t="n">
        <v>45903.61431712963</v>
      </c>
      <c r="C500" s="1" t="n">
        <v>46075</v>
      </c>
      <c r="D500" t="inlineStr">
        <is>
          <t>STOCKHOLMS LÄN</t>
        </is>
      </c>
      <c r="E500" t="inlineStr">
        <is>
          <t>NORRTÄLJE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47694-2023</t>
        </is>
      </c>
      <c r="B501" s="1" t="n">
        <v>45203.63303240741</v>
      </c>
      <c r="C501" s="1" t="n">
        <v>46075</v>
      </c>
      <c r="D501" t="inlineStr">
        <is>
          <t>STOCKHOLMS LÄN</t>
        </is>
      </c>
      <c r="E501" t="inlineStr">
        <is>
          <t>NORRTÄLJE</t>
        </is>
      </c>
      <c r="G501" t="n">
        <v>5.2</v>
      </c>
      <c r="H501" t="n">
        <v>0</v>
      </c>
      <c r="I501" t="n">
        <v>0</v>
      </c>
      <c r="J501" t="n">
        <v>0</v>
      </c>
      <c r="K501" t="n">
        <v>0</v>
      </c>
      <c r="L501" t="n">
        <v>0</v>
      </c>
      <c r="M501" t="n">
        <v>0</v>
      </c>
      <c r="N501" t="n">
        <v>0</v>
      </c>
      <c r="O501" t="n">
        <v>0</v>
      </c>
      <c r="P501" t="n">
        <v>0</v>
      </c>
      <c r="Q501" t="n">
        <v>0</v>
      </c>
      <c r="R501" s="2" t="inlineStr"/>
    </row>
    <row r="502" ht="15" customHeight="1">
      <c r="A502" t="inlineStr">
        <is>
          <t>A 35532-2024</t>
        </is>
      </c>
      <c r="B502" s="1" t="n">
        <v>45531</v>
      </c>
      <c r="C502" s="1" t="n">
        <v>46075</v>
      </c>
      <c r="D502" t="inlineStr">
        <is>
          <t>STOCKHOLMS LÄN</t>
        </is>
      </c>
      <c r="E502" t="inlineStr">
        <is>
          <t>NORRTÄLJE</t>
        </is>
      </c>
      <c r="G502" t="n">
        <v>2.3</v>
      </c>
      <c r="H502" t="n">
        <v>0</v>
      </c>
      <c r="I502" t="n">
        <v>0</v>
      </c>
      <c r="J502" t="n">
        <v>0</v>
      </c>
      <c r="K502" t="n">
        <v>0</v>
      </c>
      <c r="L502" t="n">
        <v>0</v>
      </c>
      <c r="M502" t="n">
        <v>0</v>
      </c>
      <c r="N502" t="n">
        <v>0</v>
      </c>
      <c r="O502" t="n">
        <v>0</v>
      </c>
      <c r="P502" t="n">
        <v>0</v>
      </c>
      <c r="Q502" t="n">
        <v>0</v>
      </c>
      <c r="R502" s="2" t="inlineStr"/>
    </row>
    <row r="503" ht="15" customHeight="1">
      <c r="A503" t="inlineStr">
        <is>
          <t>A 32480-2025</t>
        </is>
      </c>
      <c r="B503" s="1" t="n">
        <v>45838.43261574074</v>
      </c>
      <c r="C503" s="1" t="n">
        <v>46075</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1654-2025</t>
        </is>
      </c>
      <c r="B504" s="1" t="n">
        <v>45670.65921296296</v>
      </c>
      <c r="C504" s="1" t="n">
        <v>46075</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41964-2025</t>
        </is>
      </c>
      <c r="B505" s="1" t="n">
        <v>45903.47270833333</v>
      </c>
      <c r="C505" s="1" t="n">
        <v>46075</v>
      </c>
      <c r="D505" t="inlineStr">
        <is>
          <t>STOCKHOLMS LÄN</t>
        </is>
      </c>
      <c r="E505" t="inlineStr">
        <is>
          <t>NORRTÄLJE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62644-2023</t>
        </is>
      </c>
      <c r="B506" s="1" t="n">
        <v>45271</v>
      </c>
      <c r="C506" s="1" t="n">
        <v>46075</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32872-2025</t>
        </is>
      </c>
      <c r="B507" s="1" t="n">
        <v>45839</v>
      </c>
      <c r="C507" s="1" t="n">
        <v>46075</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32903-2025</t>
        </is>
      </c>
      <c r="B508" s="1" t="n">
        <v>45839.62398148148</v>
      </c>
      <c r="C508" s="1" t="n">
        <v>46075</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32395-2025</t>
        </is>
      </c>
      <c r="B509" s="1" t="n">
        <v>45837.93730324074</v>
      </c>
      <c r="C509" s="1" t="n">
        <v>46075</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32396-2025</t>
        </is>
      </c>
      <c r="B510" s="1" t="n">
        <v>45837</v>
      </c>
      <c r="C510" s="1" t="n">
        <v>46075</v>
      </c>
      <c r="D510" t="inlineStr">
        <is>
          <t>STOCKHOLMS LÄN</t>
        </is>
      </c>
      <c r="E510" t="inlineStr">
        <is>
          <t>NORRTÄLJE</t>
        </is>
      </c>
      <c r="G510" t="n">
        <v>2</v>
      </c>
      <c r="H510" t="n">
        <v>0</v>
      </c>
      <c r="I510" t="n">
        <v>0</v>
      </c>
      <c r="J510" t="n">
        <v>0</v>
      </c>
      <c r="K510" t="n">
        <v>0</v>
      </c>
      <c r="L510" t="n">
        <v>0</v>
      </c>
      <c r="M510" t="n">
        <v>0</v>
      </c>
      <c r="N510" t="n">
        <v>0</v>
      </c>
      <c r="O510" t="n">
        <v>0</v>
      </c>
      <c r="P510" t="n">
        <v>0</v>
      </c>
      <c r="Q510" t="n">
        <v>0</v>
      </c>
      <c r="R510" s="2" t="inlineStr"/>
    </row>
    <row r="511" ht="15" customHeight="1">
      <c r="A511" t="inlineStr">
        <is>
          <t>A 32397-2025</t>
        </is>
      </c>
      <c r="B511" s="1" t="n">
        <v>45837.94081018519</v>
      </c>
      <c r="C511" s="1" t="n">
        <v>46075</v>
      </c>
      <c r="D511" t="inlineStr">
        <is>
          <t>STOCKHOLMS LÄN</t>
        </is>
      </c>
      <c r="E511" t="inlineStr">
        <is>
          <t>NORRTÄLJE</t>
        </is>
      </c>
      <c r="G511" t="n">
        <v>5.9</v>
      </c>
      <c r="H511" t="n">
        <v>0</v>
      </c>
      <c r="I511" t="n">
        <v>0</v>
      </c>
      <c r="J511" t="n">
        <v>0</v>
      </c>
      <c r="K511" t="n">
        <v>0</v>
      </c>
      <c r="L511" t="n">
        <v>0</v>
      </c>
      <c r="M511" t="n">
        <v>0</v>
      </c>
      <c r="N511" t="n">
        <v>0</v>
      </c>
      <c r="O511" t="n">
        <v>0</v>
      </c>
      <c r="P511" t="n">
        <v>0</v>
      </c>
      <c r="Q511" t="n">
        <v>0</v>
      </c>
      <c r="R511" s="2" t="inlineStr"/>
    </row>
    <row r="512" ht="15" customHeight="1">
      <c r="A512" t="inlineStr">
        <is>
          <t>A 11229-2022</t>
        </is>
      </c>
      <c r="B512" s="1" t="n">
        <v>44629</v>
      </c>
      <c r="C512" s="1" t="n">
        <v>46075</v>
      </c>
      <c r="D512" t="inlineStr">
        <is>
          <t>STOCKHOLMS LÄN</t>
        </is>
      </c>
      <c r="E512" t="inlineStr">
        <is>
          <t>NORRTÄLJE</t>
        </is>
      </c>
      <c r="F512" t="inlineStr">
        <is>
          <t>Övriga Aktiebolag</t>
        </is>
      </c>
      <c r="G512" t="n">
        <v>4.1</v>
      </c>
      <c r="H512" t="n">
        <v>0</v>
      </c>
      <c r="I512" t="n">
        <v>0</v>
      </c>
      <c r="J512" t="n">
        <v>0</v>
      </c>
      <c r="K512" t="n">
        <v>0</v>
      </c>
      <c r="L512" t="n">
        <v>0</v>
      </c>
      <c r="M512" t="n">
        <v>0</v>
      </c>
      <c r="N512" t="n">
        <v>0</v>
      </c>
      <c r="O512" t="n">
        <v>0</v>
      </c>
      <c r="P512" t="n">
        <v>0</v>
      </c>
      <c r="Q512" t="n">
        <v>0</v>
      </c>
      <c r="R512" s="2" t="inlineStr"/>
    </row>
    <row r="513" ht="15" customHeight="1">
      <c r="A513" t="inlineStr">
        <is>
          <t>A 30699-2025</t>
        </is>
      </c>
      <c r="B513" s="1" t="n">
        <v>45831.54618055555</v>
      </c>
      <c r="C513" s="1" t="n">
        <v>46075</v>
      </c>
      <c r="D513" t="inlineStr">
        <is>
          <t>STOCKHOLMS LÄN</t>
        </is>
      </c>
      <c r="E513" t="inlineStr">
        <is>
          <t>NORRTÄLJE</t>
        </is>
      </c>
      <c r="G513" t="n">
        <v>0.6</v>
      </c>
      <c r="H513" t="n">
        <v>0</v>
      </c>
      <c r="I513" t="n">
        <v>0</v>
      </c>
      <c r="J513" t="n">
        <v>0</v>
      </c>
      <c r="K513" t="n">
        <v>0</v>
      </c>
      <c r="L513" t="n">
        <v>0</v>
      </c>
      <c r="M513" t="n">
        <v>0</v>
      </c>
      <c r="N513" t="n">
        <v>0</v>
      </c>
      <c r="O513" t="n">
        <v>0</v>
      </c>
      <c r="P513" t="n">
        <v>0</v>
      </c>
      <c r="Q513" t="n">
        <v>0</v>
      </c>
      <c r="R513" s="2" t="inlineStr"/>
    </row>
    <row r="514" ht="15" customHeight="1">
      <c r="A514" t="inlineStr">
        <is>
          <t>A 57353-2024</t>
        </is>
      </c>
      <c r="B514" s="1" t="n">
        <v>45629.65143518519</v>
      </c>
      <c r="C514" s="1" t="n">
        <v>46075</v>
      </c>
      <c r="D514" t="inlineStr">
        <is>
          <t>STOCKHOLMS LÄN</t>
        </is>
      </c>
      <c r="E514" t="inlineStr">
        <is>
          <t>NORRTÄLJE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48587-2023</t>
        </is>
      </c>
      <c r="B515" s="1" t="n">
        <v>45208</v>
      </c>
      <c r="C515" s="1" t="n">
        <v>46075</v>
      </c>
      <c r="D515" t="inlineStr">
        <is>
          <t>STOCKHOLMS LÄN</t>
        </is>
      </c>
      <c r="E515" t="inlineStr">
        <is>
          <t>NORRTÄLJE</t>
        </is>
      </c>
      <c r="G515" t="n">
        <v>7</v>
      </c>
      <c r="H515" t="n">
        <v>0</v>
      </c>
      <c r="I515" t="n">
        <v>0</v>
      </c>
      <c r="J515" t="n">
        <v>0</v>
      </c>
      <c r="K515" t="n">
        <v>0</v>
      </c>
      <c r="L515" t="n">
        <v>0</v>
      </c>
      <c r="M515" t="n">
        <v>0</v>
      </c>
      <c r="N515" t="n">
        <v>0</v>
      </c>
      <c r="O515" t="n">
        <v>0</v>
      </c>
      <c r="P515" t="n">
        <v>0</v>
      </c>
      <c r="Q515" t="n">
        <v>0</v>
      </c>
      <c r="R515" s="2" t="inlineStr"/>
    </row>
    <row r="516" ht="15" customHeight="1">
      <c r="A516" t="inlineStr">
        <is>
          <t>A 20011-2025</t>
        </is>
      </c>
      <c r="B516" s="1" t="n">
        <v>45772.29622685185</v>
      </c>
      <c r="C516" s="1" t="n">
        <v>46075</v>
      </c>
      <c r="D516" t="inlineStr">
        <is>
          <t>STOCKHOLMS LÄN</t>
        </is>
      </c>
      <c r="E516" t="inlineStr">
        <is>
          <t>NORRTÄLJE</t>
        </is>
      </c>
      <c r="G516" t="n">
        <v>3.5</v>
      </c>
      <c r="H516" t="n">
        <v>0</v>
      </c>
      <c r="I516" t="n">
        <v>0</v>
      </c>
      <c r="J516" t="n">
        <v>0</v>
      </c>
      <c r="K516" t="n">
        <v>0</v>
      </c>
      <c r="L516" t="n">
        <v>0</v>
      </c>
      <c r="M516" t="n">
        <v>0</v>
      </c>
      <c r="N516" t="n">
        <v>0</v>
      </c>
      <c r="O516" t="n">
        <v>0</v>
      </c>
      <c r="P516" t="n">
        <v>0</v>
      </c>
      <c r="Q516" t="n">
        <v>0</v>
      </c>
      <c r="R516" s="2" t="inlineStr"/>
    </row>
    <row r="517" ht="15" customHeight="1">
      <c r="A517" t="inlineStr">
        <is>
          <t>A 42856-2025</t>
        </is>
      </c>
      <c r="B517" s="1" t="n">
        <v>45908</v>
      </c>
      <c r="C517" s="1" t="n">
        <v>46075</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2549-2022</t>
        </is>
      </c>
      <c r="B518" s="1" t="n">
        <v>44580</v>
      </c>
      <c r="C518" s="1" t="n">
        <v>46075</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4438-2023</t>
        </is>
      </c>
      <c r="B519" s="1" t="n">
        <v>44956</v>
      </c>
      <c r="C519" s="1" t="n">
        <v>46075</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47758-2023</t>
        </is>
      </c>
      <c r="B520" s="1" t="n">
        <v>45203.83891203703</v>
      </c>
      <c r="C520" s="1" t="n">
        <v>46075</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33702-2025</t>
        </is>
      </c>
      <c r="B521" s="1" t="n">
        <v>45841.74596064815</v>
      </c>
      <c r="C521" s="1" t="n">
        <v>46075</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33211-2025</t>
        </is>
      </c>
      <c r="B522" s="1" t="n">
        <v>45840.62755787037</v>
      </c>
      <c r="C522" s="1" t="n">
        <v>46075</v>
      </c>
      <c r="D522" t="inlineStr">
        <is>
          <t>STOCKHOLMS LÄN</t>
        </is>
      </c>
      <c r="E522" t="inlineStr">
        <is>
          <t>NORRTÄLJE</t>
        </is>
      </c>
      <c r="G522" t="n">
        <v>5.1</v>
      </c>
      <c r="H522" t="n">
        <v>0</v>
      </c>
      <c r="I522" t="n">
        <v>0</v>
      </c>
      <c r="J522" t="n">
        <v>0</v>
      </c>
      <c r="K522" t="n">
        <v>0</v>
      </c>
      <c r="L522" t="n">
        <v>0</v>
      </c>
      <c r="M522" t="n">
        <v>0</v>
      </c>
      <c r="N522" t="n">
        <v>0</v>
      </c>
      <c r="O522" t="n">
        <v>0</v>
      </c>
      <c r="P522" t="n">
        <v>0</v>
      </c>
      <c r="Q522" t="n">
        <v>0</v>
      </c>
      <c r="R522" s="2" t="inlineStr"/>
    </row>
    <row r="523" ht="15" customHeight="1">
      <c r="A523" t="inlineStr">
        <is>
          <t>A 51061-2023</t>
        </is>
      </c>
      <c r="B523" s="1" t="n">
        <v>45218.65849537037</v>
      </c>
      <c r="C523" s="1" t="n">
        <v>46075</v>
      </c>
      <c r="D523" t="inlineStr">
        <is>
          <t>STOCKHOLMS LÄN</t>
        </is>
      </c>
      <c r="E523" t="inlineStr">
        <is>
          <t>NORRTÄLJE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33265-2025</t>
        </is>
      </c>
      <c r="B524" s="1" t="n">
        <v>45840.67829861111</v>
      </c>
      <c r="C524" s="1" t="n">
        <v>46075</v>
      </c>
      <c r="D524" t="inlineStr">
        <is>
          <t>STOCKHOLMS LÄN</t>
        </is>
      </c>
      <c r="E524" t="inlineStr">
        <is>
          <t>NORRTÄLJE</t>
        </is>
      </c>
      <c r="G524" t="n">
        <v>5.5</v>
      </c>
      <c r="H524" t="n">
        <v>0</v>
      </c>
      <c r="I524" t="n">
        <v>0</v>
      </c>
      <c r="J524" t="n">
        <v>0</v>
      </c>
      <c r="K524" t="n">
        <v>0</v>
      </c>
      <c r="L524" t="n">
        <v>0</v>
      </c>
      <c r="M524" t="n">
        <v>0</v>
      </c>
      <c r="N524" t="n">
        <v>0</v>
      </c>
      <c r="O524" t="n">
        <v>0</v>
      </c>
      <c r="P524" t="n">
        <v>0</v>
      </c>
      <c r="Q524" t="n">
        <v>0</v>
      </c>
      <c r="R524" s="2" t="inlineStr"/>
    </row>
    <row r="525" ht="15" customHeight="1">
      <c r="A525" t="inlineStr">
        <is>
          <t>A 24835-2025</t>
        </is>
      </c>
      <c r="B525" s="1" t="n">
        <v>45799</v>
      </c>
      <c r="C525" s="1" t="n">
        <v>46075</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22697-2022</t>
        </is>
      </c>
      <c r="B526" s="1" t="n">
        <v>44714.56040509259</v>
      </c>
      <c r="C526" s="1" t="n">
        <v>46075</v>
      </c>
      <c r="D526" t="inlineStr">
        <is>
          <t>STOCKHOLMS LÄN</t>
        </is>
      </c>
      <c r="E526" t="inlineStr">
        <is>
          <t>NORRTÄLJE</t>
        </is>
      </c>
      <c r="G526" t="n">
        <v>5.6</v>
      </c>
      <c r="H526" t="n">
        <v>0</v>
      </c>
      <c r="I526" t="n">
        <v>0</v>
      </c>
      <c r="J526" t="n">
        <v>0</v>
      </c>
      <c r="K526" t="n">
        <v>0</v>
      </c>
      <c r="L526" t="n">
        <v>0</v>
      </c>
      <c r="M526" t="n">
        <v>0</v>
      </c>
      <c r="N526" t="n">
        <v>0</v>
      </c>
      <c r="O526" t="n">
        <v>0</v>
      </c>
      <c r="P526" t="n">
        <v>0</v>
      </c>
      <c r="Q526" t="n">
        <v>0</v>
      </c>
      <c r="R526" s="2" t="inlineStr"/>
    </row>
    <row r="527" ht="15" customHeight="1">
      <c r="A527" t="inlineStr">
        <is>
          <t>A 33552-2025</t>
        </is>
      </c>
      <c r="B527" s="1" t="n">
        <v>45841.5737962963</v>
      </c>
      <c r="C527" s="1" t="n">
        <v>46075</v>
      </c>
      <c r="D527" t="inlineStr">
        <is>
          <t>STOCKHOLMS LÄN</t>
        </is>
      </c>
      <c r="E527" t="inlineStr">
        <is>
          <t>NORRTÄLJE</t>
        </is>
      </c>
      <c r="G527" t="n">
        <v>8.9</v>
      </c>
      <c r="H527" t="n">
        <v>0</v>
      </c>
      <c r="I527" t="n">
        <v>0</v>
      </c>
      <c r="J527" t="n">
        <v>0</v>
      </c>
      <c r="K527" t="n">
        <v>0</v>
      </c>
      <c r="L527" t="n">
        <v>0</v>
      </c>
      <c r="M527" t="n">
        <v>0</v>
      </c>
      <c r="N527" t="n">
        <v>0</v>
      </c>
      <c r="O527" t="n">
        <v>0</v>
      </c>
      <c r="P527" t="n">
        <v>0</v>
      </c>
      <c r="Q527" t="n">
        <v>0</v>
      </c>
      <c r="R527" s="2" t="inlineStr"/>
    </row>
    <row r="528" ht="15" customHeight="1">
      <c r="A528" t="inlineStr">
        <is>
          <t>A 33336-2025</t>
        </is>
      </c>
      <c r="B528" s="1" t="n">
        <v>45841.35611111111</v>
      </c>
      <c r="C528" s="1" t="n">
        <v>46075</v>
      </c>
      <c r="D528" t="inlineStr">
        <is>
          <t>STOCKHOLMS LÄN</t>
        </is>
      </c>
      <c r="E528" t="inlineStr">
        <is>
          <t>NORRTÄLJE</t>
        </is>
      </c>
      <c r="G528" t="n">
        <v>2.4</v>
      </c>
      <c r="H528" t="n">
        <v>0</v>
      </c>
      <c r="I528" t="n">
        <v>0</v>
      </c>
      <c r="J528" t="n">
        <v>0</v>
      </c>
      <c r="K528" t="n">
        <v>0</v>
      </c>
      <c r="L528" t="n">
        <v>0</v>
      </c>
      <c r="M528" t="n">
        <v>0</v>
      </c>
      <c r="N528" t="n">
        <v>0</v>
      </c>
      <c r="O528" t="n">
        <v>0</v>
      </c>
      <c r="P528" t="n">
        <v>0</v>
      </c>
      <c r="Q528" t="n">
        <v>0</v>
      </c>
      <c r="R528" s="2" t="inlineStr"/>
    </row>
    <row r="529" ht="15" customHeight="1">
      <c r="A529" t="inlineStr">
        <is>
          <t>A 45549-2022</t>
        </is>
      </c>
      <c r="B529" s="1" t="n">
        <v>44845.48064814815</v>
      </c>
      <c r="C529" s="1" t="n">
        <v>46075</v>
      </c>
      <c r="D529" t="inlineStr">
        <is>
          <t>STOCKHOLMS LÄN</t>
        </is>
      </c>
      <c r="E529" t="inlineStr">
        <is>
          <t>NORRTÄLJE</t>
        </is>
      </c>
      <c r="G529" t="n">
        <v>0.8</v>
      </c>
      <c r="H529" t="n">
        <v>0</v>
      </c>
      <c r="I529" t="n">
        <v>0</v>
      </c>
      <c r="J529" t="n">
        <v>0</v>
      </c>
      <c r="K529" t="n">
        <v>0</v>
      </c>
      <c r="L529" t="n">
        <v>0</v>
      </c>
      <c r="M529" t="n">
        <v>0</v>
      </c>
      <c r="N529" t="n">
        <v>0</v>
      </c>
      <c r="O529" t="n">
        <v>0</v>
      </c>
      <c r="P529" t="n">
        <v>0</v>
      </c>
      <c r="Q529" t="n">
        <v>0</v>
      </c>
      <c r="R529" s="2" t="inlineStr"/>
    </row>
    <row r="530" ht="15" customHeight="1">
      <c r="A530" t="inlineStr">
        <is>
          <t>A 33824-2025</t>
        </is>
      </c>
      <c r="B530" s="1" t="n">
        <v>45842.46885416667</v>
      </c>
      <c r="C530" s="1" t="n">
        <v>46075</v>
      </c>
      <c r="D530" t="inlineStr">
        <is>
          <t>STOCKHOLMS LÄN</t>
        </is>
      </c>
      <c r="E530" t="inlineStr">
        <is>
          <t>NORRTÄLJE</t>
        </is>
      </c>
      <c r="G530" t="n">
        <v>1.9</v>
      </c>
      <c r="H530" t="n">
        <v>0</v>
      </c>
      <c r="I530" t="n">
        <v>0</v>
      </c>
      <c r="J530" t="n">
        <v>0</v>
      </c>
      <c r="K530" t="n">
        <v>0</v>
      </c>
      <c r="L530" t="n">
        <v>0</v>
      </c>
      <c r="M530" t="n">
        <v>0</v>
      </c>
      <c r="N530" t="n">
        <v>0</v>
      </c>
      <c r="O530" t="n">
        <v>0</v>
      </c>
      <c r="P530" t="n">
        <v>0</v>
      </c>
      <c r="Q530" t="n">
        <v>0</v>
      </c>
      <c r="R530" s="2" t="inlineStr"/>
    </row>
    <row r="531" ht="15" customHeight="1">
      <c r="A531" t="inlineStr">
        <is>
          <t>A 54396-2021</t>
        </is>
      </c>
      <c r="B531" s="1" t="n">
        <v>44472</v>
      </c>
      <c r="C531" s="1" t="n">
        <v>46075</v>
      </c>
      <c r="D531" t="inlineStr">
        <is>
          <t>STOCKHOLMS LÄN</t>
        </is>
      </c>
      <c r="E531" t="inlineStr">
        <is>
          <t>NORRTÄLJE</t>
        </is>
      </c>
      <c r="G531" t="n">
        <v>2.6</v>
      </c>
      <c r="H531" t="n">
        <v>0</v>
      </c>
      <c r="I531" t="n">
        <v>0</v>
      </c>
      <c r="J531" t="n">
        <v>0</v>
      </c>
      <c r="K531" t="n">
        <v>0</v>
      </c>
      <c r="L531" t="n">
        <v>0</v>
      </c>
      <c r="M531" t="n">
        <v>0</v>
      </c>
      <c r="N531" t="n">
        <v>0</v>
      </c>
      <c r="O531" t="n">
        <v>0</v>
      </c>
      <c r="P531" t="n">
        <v>0</v>
      </c>
      <c r="Q531" t="n">
        <v>0</v>
      </c>
      <c r="R531" s="2" t="inlineStr"/>
    </row>
    <row r="532" ht="15" customHeight="1">
      <c r="A532" t="inlineStr">
        <is>
          <t>A 24727-2023</t>
        </is>
      </c>
      <c r="B532" s="1" t="n">
        <v>45084.57695601852</v>
      </c>
      <c r="C532" s="1" t="n">
        <v>46075</v>
      </c>
      <c r="D532" t="inlineStr">
        <is>
          <t>STOCKHOLMS LÄN</t>
        </is>
      </c>
      <c r="E532" t="inlineStr">
        <is>
          <t>NORRTÄLJE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43169-2025</t>
        </is>
      </c>
      <c r="B533" s="1" t="n">
        <v>45910</v>
      </c>
      <c r="C533" s="1" t="n">
        <v>46075</v>
      </c>
      <c r="D533" t="inlineStr">
        <is>
          <t>STOCKHOLMS LÄN</t>
        </is>
      </c>
      <c r="E533" t="inlineStr">
        <is>
          <t>NORRTÄLJE</t>
        </is>
      </c>
      <c r="G533" t="n">
        <v>6.9</v>
      </c>
      <c r="H533" t="n">
        <v>0</v>
      </c>
      <c r="I533" t="n">
        <v>0</v>
      </c>
      <c r="J533" t="n">
        <v>0</v>
      </c>
      <c r="K533" t="n">
        <v>0</v>
      </c>
      <c r="L533" t="n">
        <v>0</v>
      </c>
      <c r="M533" t="n">
        <v>0</v>
      </c>
      <c r="N533" t="n">
        <v>0</v>
      </c>
      <c r="O533" t="n">
        <v>0</v>
      </c>
      <c r="P533" t="n">
        <v>0</v>
      </c>
      <c r="Q533" t="n">
        <v>0</v>
      </c>
      <c r="R533" s="2" t="inlineStr"/>
    </row>
    <row r="534" ht="15" customHeight="1">
      <c r="A534" t="inlineStr">
        <is>
          <t>A 48722-2023</t>
        </is>
      </c>
      <c r="B534" s="1" t="n">
        <v>45208.70996527778</v>
      </c>
      <c r="C534" s="1" t="n">
        <v>46075</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34006-2025</t>
        </is>
      </c>
      <c r="B535" s="1" t="n">
        <v>45844.62609953704</v>
      </c>
      <c r="C535" s="1" t="n">
        <v>46075</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34139-2025</t>
        </is>
      </c>
      <c r="B536" s="1" t="n">
        <v>45845</v>
      </c>
      <c r="C536" s="1" t="n">
        <v>46075</v>
      </c>
      <c r="D536" t="inlineStr">
        <is>
          <t>STOCKHOLMS LÄN</t>
        </is>
      </c>
      <c r="E536" t="inlineStr">
        <is>
          <t>NORRTÄLJE</t>
        </is>
      </c>
      <c r="G536" t="n">
        <v>5.5</v>
      </c>
      <c r="H536" t="n">
        <v>0</v>
      </c>
      <c r="I536" t="n">
        <v>0</v>
      </c>
      <c r="J536" t="n">
        <v>0</v>
      </c>
      <c r="K536" t="n">
        <v>0</v>
      </c>
      <c r="L536" t="n">
        <v>0</v>
      </c>
      <c r="M536" t="n">
        <v>0</v>
      </c>
      <c r="N536" t="n">
        <v>0</v>
      </c>
      <c r="O536" t="n">
        <v>0</v>
      </c>
      <c r="P536" t="n">
        <v>0</v>
      </c>
      <c r="Q536" t="n">
        <v>0</v>
      </c>
      <c r="R536" s="2" t="inlineStr"/>
    </row>
    <row r="537" ht="15" customHeight="1">
      <c r="A537" t="inlineStr">
        <is>
          <t>A 35235-2024</t>
        </is>
      </c>
      <c r="B537" s="1" t="n">
        <v>45530</v>
      </c>
      <c r="C537" s="1" t="n">
        <v>46075</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34010-2025</t>
        </is>
      </c>
      <c r="B538" s="1" t="n">
        <v>45844.91234953704</v>
      </c>
      <c r="C538" s="1" t="n">
        <v>46075</v>
      </c>
      <c r="D538" t="inlineStr">
        <is>
          <t>STOCKHOLMS LÄN</t>
        </is>
      </c>
      <c r="E538" t="inlineStr">
        <is>
          <t>NORRTÄLJE</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46075</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30719-2025</t>
        </is>
      </c>
      <c r="B540" s="1" t="n">
        <v>45831</v>
      </c>
      <c r="C540" s="1" t="n">
        <v>46075</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43269-2025</t>
        </is>
      </c>
      <c r="B541" s="1" t="n">
        <v>45910.5819212963</v>
      </c>
      <c r="C541" s="1" t="n">
        <v>46075</v>
      </c>
      <c r="D541" t="inlineStr">
        <is>
          <t>STOCKHOLMS LÄN</t>
        </is>
      </c>
      <c r="E541" t="inlineStr">
        <is>
          <t>NORRTÄLJE</t>
        </is>
      </c>
      <c r="G541" t="n">
        <v>3.7</v>
      </c>
      <c r="H541" t="n">
        <v>0</v>
      </c>
      <c r="I541" t="n">
        <v>0</v>
      </c>
      <c r="J541" t="n">
        <v>0</v>
      </c>
      <c r="K541" t="n">
        <v>0</v>
      </c>
      <c r="L541" t="n">
        <v>0</v>
      </c>
      <c r="M541" t="n">
        <v>0</v>
      </c>
      <c r="N541" t="n">
        <v>0</v>
      </c>
      <c r="O541" t="n">
        <v>0</v>
      </c>
      <c r="P541" t="n">
        <v>0</v>
      </c>
      <c r="Q541" t="n">
        <v>0</v>
      </c>
      <c r="R541" s="2" t="inlineStr"/>
    </row>
    <row r="542" ht="15" customHeight="1">
      <c r="A542" t="inlineStr">
        <is>
          <t>A 36689-2023</t>
        </is>
      </c>
      <c r="B542" s="1" t="n">
        <v>45152</v>
      </c>
      <c r="C542" s="1" t="n">
        <v>46075</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46073-2024</t>
        </is>
      </c>
      <c r="B543" s="1" t="n">
        <v>45581</v>
      </c>
      <c r="C543" s="1" t="n">
        <v>46075</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8736-2024</t>
        </is>
      </c>
      <c r="B544" s="1" t="n">
        <v>45356.4722800926</v>
      </c>
      <c r="C544" s="1" t="n">
        <v>46075</v>
      </c>
      <c r="D544" t="inlineStr">
        <is>
          <t>STOCKHOLMS LÄN</t>
        </is>
      </c>
      <c r="E544" t="inlineStr">
        <is>
          <t>NORRTÄLJE</t>
        </is>
      </c>
      <c r="G544" t="n">
        <v>8.9</v>
      </c>
      <c r="H544" t="n">
        <v>0</v>
      </c>
      <c r="I544" t="n">
        <v>0</v>
      </c>
      <c r="J544" t="n">
        <v>0</v>
      </c>
      <c r="K544" t="n">
        <v>0</v>
      </c>
      <c r="L544" t="n">
        <v>0</v>
      </c>
      <c r="M544" t="n">
        <v>0</v>
      </c>
      <c r="N544" t="n">
        <v>0</v>
      </c>
      <c r="O544" t="n">
        <v>0</v>
      </c>
      <c r="P544" t="n">
        <v>0</v>
      </c>
      <c r="Q544" t="n">
        <v>0</v>
      </c>
      <c r="R544" s="2" t="inlineStr"/>
    </row>
    <row r="545" ht="15" customHeight="1">
      <c r="A545" t="inlineStr">
        <is>
          <t>A 33149-2022</t>
        </is>
      </c>
      <c r="B545" s="1" t="n">
        <v>44785</v>
      </c>
      <c r="C545" s="1" t="n">
        <v>46075</v>
      </c>
      <c r="D545" t="inlineStr">
        <is>
          <t>STOCKHOLMS LÄN</t>
        </is>
      </c>
      <c r="E545" t="inlineStr">
        <is>
          <t>NORRTÄLJE</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43916-2025</t>
        </is>
      </c>
      <c r="B546" s="1" t="n">
        <v>45914.78884259259</v>
      </c>
      <c r="C546" s="1" t="n">
        <v>46075</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44354-2025</t>
        </is>
      </c>
      <c r="B547" s="1" t="n">
        <v>45916.44655092592</v>
      </c>
      <c r="C547" s="1" t="n">
        <v>46075</v>
      </c>
      <c r="D547" t="inlineStr">
        <is>
          <t>STOCKHOLMS LÄN</t>
        </is>
      </c>
      <c r="E547" t="inlineStr">
        <is>
          <t>NORRTÄLJE</t>
        </is>
      </c>
      <c r="G547" t="n">
        <v>2.3</v>
      </c>
      <c r="H547" t="n">
        <v>0</v>
      </c>
      <c r="I547" t="n">
        <v>0</v>
      </c>
      <c r="J547" t="n">
        <v>0</v>
      </c>
      <c r="K547" t="n">
        <v>0</v>
      </c>
      <c r="L547" t="n">
        <v>0</v>
      </c>
      <c r="M547" t="n">
        <v>0</v>
      </c>
      <c r="N547" t="n">
        <v>0</v>
      </c>
      <c r="O547" t="n">
        <v>0</v>
      </c>
      <c r="P547" t="n">
        <v>0</v>
      </c>
      <c r="Q547" t="n">
        <v>0</v>
      </c>
      <c r="R547" s="2" t="inlineStr"/>
    </row>
    <row r="548" ht="15" customHeight="1">
      <c r="A548" t="inlineStr">
        <is>
          <t>A 44306-2025</t>
        </is>
      </c>
      <c r="B548" s="1" t="n">
        <v>45916.37736111111</v>
      </c>
      <c r="C548" s="1" t="n">
        <v>46075</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44343-2025</t>
        </is>
      </c>
      <c r="B549" s="1" t="n">
        <v>45916.43378472222</v>
      </c>
      <c r="C549" s="1" t="n">
        <v>46075</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44349-2025</t>
        </is>
      </c>
      <c r="B550" s="1" t="n">
        <v>45916.43929398148</v>
      </c>
      <c r="C550" s="1" t="n">
        <v>46075</v>
      </c>
      <c r="D550" t="inlineStr">
        <is>
          <t>STOCKHOLMS LÄN</t>
        </is>
      </c>
      <c r="E550" t="inlineStr">
        <is>
          <t>NORRTÄLJE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44311-2025</t>
        </is>
      </c>
      <c r="B551" s="1" t="n">
        <v>45916.38394675926</v>
      </c>
      <c r="C551" s="1" t="n">
        <v>46075</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44333-2025</t>
        </is>
      </c>
      <c r="B552" s="1" t="n">
        <v>45916.42293981482</v>
      </c>
      <c r="C552" s="1" t="n">
        <v>46075</v>
      </c>
      <c r="D552" t="inlineStr">
        <is>
          <t>STOCKHOLMS LÄN</t>
        </is>
      </c>
      <c r="E552" t="inlineStr">
        <is>
          <t>NORRTÄLJE</t>
        </is>
      </c>
      <c r="G552" t="n">
        <v>1.5</v>
      </c>
      <c r="H552" t="n">
        <v>0</v>
      </c>
      <c r="I552" t="n">
        <v>0</v>
      </c>
      <c r="J552" t="n">
        <v>0</v>
      </c>
      <c r="K552" t="n">
        <v>0</v>
      </c>
      <c r="L552" t="n">
        <v>0</v>
      </c>
      <c r="M552" t="n">
        <v>0</v>
      </c>
      <c r="N552" t="n">
        <v>0</v>
      </c>
      <c r="O552" t="n">
        <v>0</v>
      </c>
      <c r="P552" t="n">
        <v>0</v>
      </c>
      <c r="Q552" t="n">
        <v>0</v>
      </c>
      <c r="R552" s="2" t="inlineStr"/>
    </row>
    <row r="553" ht="15" customHeight="1">
      <c r="A553" t="inlineStr">
        <is>
          <t>A 6537-2024</t>
        </is>
      </c>
      <c r="B553" s="1" t="n">
        <v>45341.39853009259</v>
      </c>
      <c r="C553" s="1" t="n">
        <v>46075</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40175-2024</t>
        </is>
      </c>
      <c r="B554" s="1" t="n">
        <v>45554.55707175926</v>
      </c>
      <c r="C554" s="1" t="n">
        <v>46075</v>
      </c>
      <c r="D554" t="inlineStr">
        <is>
          <t>STOCKHOLMS LÄN</t>
        </is>
      </c>
      <c r="E554" t="inlineStr">
        <is>
          <t>NORRTÄLJE</t>
        </is>
      </c>
      <c r="G554" t="n">
        <v>7.7</v>
      </c>
      <c r="H554" t="n">
        <v>0</v>
      </c>
      <c r="I554" t="n">
        <v>0</v>
      </c>
      <c r="J554" t="n">
        <v>0</v>
      </c>
      <c r="K554" t="n">
        <v>0</v>
      </c>
      <c r="L554" t="n">
        <v>0</v>
      </c>
      <c r="M554" t="n">
        <v>0</v>
      </c>
      <c r="N554" t="n">
        <v>0</v>
      </c>
      <c r="O554" t="n">
        <v>0</v>
      </c>
      <c r="P554" t="n">
        <v>0</v>
      </c>
      <c r="Q554" t="n">
        <v>0</v>
      </c>
      <c r="R554" s="2" t="inlineStr"/>
    </row>
    <row r="555" ht="15" customHeight="1">
      <c r="A555" t="inlineStr">
        <is>
          <t>A 35110-2025</t>
        </is>
      </c>
      <c r="B555" s="1" t="n">
        <v>45852.58030092593</v>
      </c>
      <c r="C555" s="1" t="n">
        <v>46075</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54558-2024</t>
        </is>
      </c>
      <c r="B556" s="1" t="n">
        <v>45617.62358796296</v>
      </c>
      <c r="C556" s="1" t="n">
        <v>46075</v>
      </c>
      <c r="D556" t="inlineStr">
        <is>
          <t>STOCKHOLMS LÄN</t>
        </is>
      </c>
      <c r="E556" t="inlineStr">
        <is>
          <t>NORRTÄLJE</t>
        </is>
      </c>
      <c r="G556" t="n">
        <v>1.2</v>
      </c>
      <c r="H556" t="n">
        <v>0</v>
      </c>
      <c r="I556" t="n">
        <v>0</v>
      </c>
      <c r="J556" t="n">
        <v>0</v>
      </c>
      <c r="K556" t="n">
        <v>0</v>
      </c>
      <c r="L556" t="n">
        <v>0</v>
      </c>
      <c r="M556" t="n">
        <v>0</v>
      </c>
      <c r="N556" t="n">
        <v>0</v>
      </c>
      <c r="O556" t="n">
        <v>0</v>
      </c>
      <c r="P556" t="n">
        <v>0</v>
      </c>
      <c r="Q556" t="n">
        <v>0</v>
      </c>
      <c r="R556" s="2" t="inlineStr"/>
    </row>
    <row r="557" ht="15" customHeight="1">
      <c r="A557" t="inlineStr">
        <is>
          <t>A 35254-2025</t>
        </is>
      </c>
      <c r="B557" s="1" t="n">
        <v>45853</v>
      </c>
      <c r="C557" s="1" t="n">
        <v>46075</v>
      </c>
      <c r="D557" t="inlineStr">
        <is>
          <t>STOCKHOLMS LÄN</t>
        </is>
      </c>
      <c r="E557" t="inlineStr">
        <is>
          <t>NORRTÄLJE</t>
        </is>
      </c>
      <c r="G557" t="n">
        <v>6.5</v>
      </c>
      <c r="H557" t="n">
        <v>0</v>
      </c>
      <c r="I557" t="n">
        <v>0</v>
      </c>
      <c r="J557" t="n">
        <v>0</v>
      </c>
      <c r="K557" t="n">
        <v>0</v>
      </c>
      <c r="L557" t="n">
        <v>0</v>
      </c>
      <c r="M557" t="n">
        <v>0</v>
      </c>
      <c r="N557" t="n">
        <v>0</v>
      </c>
      <c r="O557" t="n">
        <v>0</v>
      </c>
      <c r="P557" t="n">
        <v>0</v>
      </c>
      <c r="Q557" t="n">
        <v>0</v>
      </c>
      <c r="R557" s="2" t="inlineStr"/>
    </row>
    <row r="558" ht="15" customHeight="1">
      <c r="A558" t="inlineStr">
        <is>
          <t>A 23056-2023</t>
        </is>
      </c>
      <c r="B558" s="1" t="n">
        <v>45075</v>
      </c>
      <c r="C558" s="1" t="n">
        <v>46075</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47431-2023</t>
        </is>
      </c>
      <c r="B559" s="1" t="n">
        <v>45202</v>
      </c>
      <c r="C559" s="1" t="n">
        <v>46075</v>
      </c>
      <c r="D559" t="inlineStr">
        <is>
          <t>STOCKHOLMS LÄN</t>
        </is>
      </c>
      <c r="E559" t="inlineStr">
        <is>
          <t>NORRTÄLJE</t>
        </is>
      </c>
      <c r="F559" t="inlineStr">
        <is>
          <t>Naturvårdsverket</t>
        </is>
      </c>
      <c r="G559" t="n">
        <v>1.2</v>
      </c>
      <c r="H559" t="n">
        <v>0</v>
      </c>
      <c r="I559" t="n">
        <v>0</v>
      </c>
      <c r="J559" t="n">
        <v>0</v>
      </c>
      <c r="K559" t="n">
        <v>0</v>
      </c>
      <c r="L559" t="n">
        <v>0</v>
      </c>
      <c r="M559" t="n">
        <v>0</v>
      </c>
      <c r="N559" t="n">
        <v>0</v>
      </c>
      <c r="O559" t="n">
        <v>0</v>
      </c>
      <c r="P559" t="n">
        <v>0</v>
      </c>
      <c r="Q559" t="n">
        <v>0</v>
      </c>
      <c r="R559" s="2" t="inlineStr"/>
    </row>
    <row r="560" ht="15" customHeight="1">
      <c r="A560" t="inlineStr">
        <is>
          <t>A 59499-2023</t>
        </is>
      </c>
      <c r="B560" s="1" t="n">
        <v>45254</v>
      </c>
      <c r="C560" s="1" t="n">
        <v>46075</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59468-2023</t>
        </is>
      </c>
      <c r="B561" s="1" t="n">
        <v>45254.41509259259</v>
      </c>
      <c r="C561" s="1" t="n">
        <v>46075</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46075</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35451-2025</t>
        </is>
      </c>
      <c r="B563" s="1" t="n">
        <v>45855.57033564815</v>
      </c>
      <c r="C563" s="1" t="n">
        <v>46075</v>
      </c>
      <c r="D563" t="inlineStr">
        <is>
          <t>STOCKHOLMS LÄN</t>
        </is>
      </c>
      <c r="E563" t="inlineStr">
        <is>
          <t>NORRTÄLJE</t>
        </is>
      </c>
      <c r="F563" t="inlineStr">
        <is>
          <t>Holmen skog AB</t>
        </is>
      </c>
      <c r="G563" t="n">
        <v>7.4</v>
      </c>
      <c r="H563" t="n">
        <v>0</v>
      </c>
      <c r="I563" t="n">
        <v>0</v>
      </c>
      <c r="J563" t="n">
        <v>0</v>
      </c>
      <c r="K563" t="n">
        <v>0</v>
      </c>
      <c r="L563" t="n">
        <v>0</v>
      </c>
      <c r="M563" t="n">
        <v>0</v>
      </c>
      <c r="N563" t="n">
        <v>0</v>
      </c>
      <c r="O563" t="n">
        <v>0</v>
      </c>
      <c r="P563" t="n">
        <v>0</v>
      </c>
      <c r="Q563" t="n">
        <v>0</v>
      </c>
      <c r="R563" s="2" t="inlineStr"/>
    </row>
    <row r="564" ht="15" customHeight="1">
      <c r="A564" t="inlineStr">
        <is>
          <t>A 44937-2025</t>
        </is>
      </c>
      <c r="B564" s="1" t="n">
        <v>45918</v>
      </c>
      <c r="C564" s="1" t="n">
        <v>46075</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35478-2025</t>
        </is>
      </c>
      <c r="B565" s="1" t="n">
        <v>45855.68413194444</v>
      </c>
      <c r="C565" s="1" t="n">
        <v>46075</v>
      </c>
      <c r="D565" t="inlineStr">
        <is>
          <t>STOCKHOLMS LÄN</t>
        </is>
      </c>
      <c r="E565" t="inlineStr">
        <is>
          <t>NORRTÄLJE</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12532-2025</t>
        </is>
      </c>
      <c r="B566" s="1" t="n">
        <v>45730.69143518519</v>
      </c>
      <c r="C566" s="1" t="n">
        <v>46075</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5732-2023</t>
        </is>
      </c>
      <c r="B567" s="1" t="n">
        <v>44962</v>
      </c>
      <c r="C567" s="1" t="n">
        <v>46075</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10653-2022</t>
        </is>
      </c>
      <c r="B568" s="1" t="n">
        <v>44624.59434027778</v>
      </c>
      <c r="C568" s="1" t="n">
        <v>46075</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21729-2024</t>
        </is>
      </c>
      <c r="B569" s="1" t="n">
        <v>45442</v>
      </c>
      <c r="C569" s="1" t="n">
        <v>46075</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11854-2025</t>
        </is>
      </c>
      <c r="B570" s="1" t="n">
        <v>45728.38924768518</v>
      </c>
      <c r="C570" s="1" t="n">
        <v>46075</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14762-2024</t>
        </is>
      </c>
      <c r="B571" s="1" t="n">
        <v>45397</v>
      </c>
      <c r="C571" s="1" t="n">
        <v>46075</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22359-2025</t>
        </is>
      </c>
      <c r="B572" s="1" t="n">
        <v>45786</v>
      </c>
      <c r="C572" s="1" t="n">
        <v>46075</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45697-2025</t>
        </is>
      </c>
      <c r="B573" s="1" t="n">
        <v>45923.39877314815</v>
      </c>
      <c r="C573" s="1" t="n">
        <v>46075</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59712-2024</t>
        </is>
      </c>
      <c r="B574" s="1" t="n">
        <v>45639.45166666667</v>
      </c>
      <c r="C574" s="1" t="n">
        <v>46075</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34444-2024</t>
        </is>
      </c>
      <c r="B575" s="1" t="n">
        <v>45525</v>
      </c>
      <c r="C575" s="1" t="n">
        <v>46075</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46415-2025</t>
        </is>
      </c>
      <c r="B576" s="1" t="n">
        <v>45925.58636574074</v>
      </c>
      <c r="C576" s="1" t="n">
        <v>46075</v>
      </c>
      <c r="D576" t="inlineStr">
        <is>
          <t>STOCKHOLMS LÄN</t>
        </is>
      </c>
      <c r="E576" t="inlineStr">
        <is>
          <t>NORRTÄLJE</t>
        </is>
      </c>
      <c r="G576" t="n">
        <v>3.8</v>
      </c>
      <c r="H576" t="n">
        <v>0</v>
      </c>
      <c r="I576" t="n">
        <v>0</v>
      </c>
      <c r="J576" t="n">
        <v>0</v>
      </c>
      <c r="K576" t="n">
        <v>0</v>
      </c>
      <c r="L576" t="n">
        <v>0</v>
      </c>
      <c r="M576" t="n">
        <v>0</v>
      </c>
      <c r="N576" t="n">
        <v>0</v>
      </c>
      <c r="O576" t="n">
        <v>0</v>
      </c>
      <c r="P576" t="n">
        <v>0</v>
      </c>
      <c r="Q576" t="n">
        <v>0</v>
      </c>
      <c r="R576" s="2" t="inlineStr"/>
    </row>
    <row r="577" ht="15" customHeight="1">
      <c r="A577" t="inlineStr">
        <is>
          <t>A 20698-2025</t>
        </is>
      </c>
      <c r="B577" s="1" t="n">
        <v>45776.47122685185</v>
      </c>
      <c r="C577" s="1" t="n">
        <v>46075</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35127-2023</t>
        </is>
      </c>
      <c r="B578" s="1" t="n">
        <v>45145.51</v>
      </c>
      <c r="C578" s="1" t="n">
        <v>46075</v>
      </c>
      <c r="D578" t="inlineStr">
        <is>
          <t>STOCKHOLMS LÄN</t>
        </is>
      </c>
      <c r="E578" t="inlineStr">
        <is>
          <t>NORRTÄLJE</t>
        </is>
      </c>
      <c r="G578" t="n">
        <v>4.7</v>
      </c>
      <c r="H578" t="n">
        <v>0</v>
      </c>
      <c r="I578" t="n">
        <v>0</v>
      </c>
      <c r="J578" t="n">
        <v>0</v>
      </c>
      <c r="K578" t="n">
        <v>0</v>
      </c>
      <c r="L578" t="n">
        <v>0</v>
      </c>
      <c r="M578" t="n">
        <v>0</v>
      </c>
      <c r="N578" t="n">
        <v>0</v>
      </c>
      <c r="O578" t="n">
        <v>0</v>
      </c>
      <c r="P578" t="n">
        <v>0</v>
      </c>
      <c r="Q578" t="n">
        <v>0</v>
      </c>
      <c r="R578" s="2" t="inlineStr"/>
    </row>
    <row r="579" ht="15" customHeight="1">
      <c r="A579" t="inlineStr">
        <is>
          <t>A 45255-2022</t>
        </is>
      </c>
      <c r="B579" s="1" t="n">
        <v>44840</v>
      </c>
      <c r="C579" s="1" t="n">
        <v>46075</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22232-2024</t>
        </is>
      </c>
      <c r="B580" s="1" t="n">
        <v>45446.4287962963</v>
      </c>
      <c r="C580" s="1" t="n">
        <v>46075</v>
      </c>
      <c r="D580" t="inlineStr">
        <is>
          <t>STOCKHOLMS LÄN</t>
        </is>
      </c>
      <c r="E580" t="inlineStr">
        <is>
          <t>NORRTÄLJE</t>
        </is>
      </c>
      <c r="G580" t="n">
        <v>12.8</v>
      </c>
      <c r="H580" t="n">
        <v>0</v>
      </c>
      <c r="I580" t="n">
        <v>0</v>
      </c>
      <c r="J580" t="n">
        <v>0</v>
      </c>
      <c r="K580" t="n">
        <v>0</v>
      </c>
      <c r="L580" t="n">
        <v>0</v>
      </c>
      <c r="M580" t="n">
        <v>0</v>
      </c>
      <c r="N580" t="n">
        <v>0</v>
      </c>
      <c r="O580" t="n">
        <v>0</v>
      </c>
      <c r="P580" t="n">
        <v>0</v>
      </c>
      <c r="Q580" t="n">
        <v>0</v>
      </c>
      <c r="R580" s="2" t="inlineStr"/>
    </row>
    <row r="581" ht="15" customHeight="1">
      <c r="A581" t="inlineStr">
        <is>
          <t>A 46900-2025</t>
        </is>
      </c>
      <c r="B581" s="1" t="n">
        <v>45929.38712962963</v>
      </c>
      <c r="C581" s="1" t="n">
        <v>46075</v>
      </c>
      <c r="D581" t="inlineStr">
        <is>
          <t>STOCKHOLMS LÄN</t>
        </is>
      </c>
      <c r="E581" t="inlineStr">
        <is>
          <t>NORRTÄLJE</t>
        </is>
      </c>
      <c r="F581" t="inlineStr">
        <is>
          <t>Holmen skog AB</t>
        </is>
      </c>
      <c r="G581" t="n">
        <v>6.2</v>
      </c>
      <c r="H581" t="n">
        <v>0</v>
      </c>
      <c r="I581" t="n">
        <v>0</v>
      </c>
      <c r="J581" t="n">
        <v>0</v>
      </c>
      <c r="K581" t="n">
        <v>0</v>
      </c>
      <c r="L581" t="n">
        <v>0</v>
      </c>
      <c r="M581" t="n">
        <v>0</v>
      </c>
      <c r="N581" t="n">
        <v>0</v>
      </c>
      <c r="O581" t="n">
        <v>0</v>
      </c>
      <c r="P581" t="n">
        <v>0</v>
      </c>
      <c r="Q581" t="n">
        <v>0</v>
      </c>
      <c r="R581" s="2" t="inlineStr"/>
    </row>
    <row r="582" ht="15" customHeight="1">
      <c r="A582" t="inlineStr">
        <is>
          <t>A 36396-2025</t>
        </is>
      </c>
      <c r="B582" s="1" t="n">
        <v>45868.62267361111</v>
      </c>
      <c r="C582" s="1" t="n">
        <v>46075</v>
      </c>
      <c r="D582" t="inlineStr">
        <is>
          <t>STOCKHOLMS LÄN</t>
        </is>
      </c>
      <c r="E582" t="inlineStr">
        <is>
          <t>NORRTÄLJE</t>
        </is>
      </c>
      <c r="G582" t="n">
        <v>4.1</v>
      </c>
      <c r="H582" t="n">
        <v>0</v>
      </c>
      <c r="I582" t="n">
        <v>0</v>
      </c>
      <c r="J582" t="n">
        <v>0</v>
      </c>
      <c r="K582" t="n">
        <v>0</v>
      </c>
      <c r="L582" t="n">
        <v>0</v>
      </c>
      <c r="M582" t="n">
        <v>0</v>
      </c>
      <c r="N582" t="n">
        <v>0</v>
      </c>
      <c r="O582" t="n">
        <v>0</v>
      </c>
      <c r="P582" t="n">
        <v>0</v>
      </c>
      <c r="Q582" t="n">
        <v>0</v>
      </c>
      <c r="R582" s="2" t="inlineStr"/>
    </row>
    <row r="583" ht="15" customHeight="1">
      <c r="A583" t="inlineStr">
        <is>
          <t>A 59893-2022</t>
        </is>
      </c>
      <c r="B583" s="1" t="n">
        <v>44908.77368055555</v>
      </c>
      <c r="C583" s="1" t="n">
        <v>46075</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39905-2023</t>
        </is>
      </c>
      <c r="B584" s="1" t="n">
        <v>45168.44489583333</v>
      </c>
      <c r="C584" s="1" t="n">
        <v>46075</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5645-2023</t>
        </is>
      </c>
      <c r="B585" s="1" t="n">
        <v>44960.60469907407</v>
      </c>
      <c r="C585" s="1" t="n">
        <v>46075</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68361-2021</t>
        </is>
      </c>
      <c r="B586" s="1" t="n">
        <v>44528.91494212963</v>
      </c>
      <c r="C586" s="1" t="n">
        <v>46075</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60529-2023</t>
        </is>
      </c>
      <c r="B587" s="1" t="n">
        <v>45259</v>
      </c>
      <c r="C587" s="1" t="n">
        <v>46075</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35256-2025</t>
        </is>
      </c>
      <c r="B588" s="1" t="n">
        <v>45853</v>
      </c>
      <c r="C588" s="1" t="n">
        <v>46075</v>
      </c>
      <c r="D588" t="inlineStr">
        <is>
          <t>STOCKHOLMS LÄN</t>
        </is>
      </c>
      <c r="E588" t="inlineStr">
        <is>
          <t>NORRTÄLJE</t>
        </is>
      </c>
      <c r="G588" t="n">
        <v>6.4</v>
      </c>
      <c r="H588" t="n">
        <v>0</v>
      </c>
      <c r="I588" t="n">
        <v>0</v>
      </c>
      <c r="J588" t="n">
        <v>0</v>
      </c>
      <c r="K588" t="n">
        <v>0</v>
      </c>
      <c r="L588" t="n">
        <v>0</v>
      </c>
      <c r="M588" t="n">
        <v>0</v>
      </c>
      <c r="N588" t="n">
        <v>0</v>
      </c>
      <c r="O588" t="n">
        <v>0</v>
      </c>
      <c r="P588" t="n">
        <v>0</v>
      </c>
      <c r="Q588" t="n">
        <v>0</v>
      </c>
      <c r="R588" s="2" t="inlineStr"/>
    </row>
    <row r="589" ht="15" customHeight="1">
      <c r="A589" t="inlineStr">
        <is>
          <t>A 19706-2023</t>
        </is>
      </c>
      <c r="B589" s="1" t="n">
        <v>45051.455</v>
      </c>
      <c r="C589" s="1" t="n">
        <v>46075</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18539-2021</t>
        </is>
      </c>
      <c r="B590" s="1" t="n">
        <v>44306</v>
      </c>
      <c r="C590" s="1" t="n">
        <v>46075</v>
      </c>
      <c r="D590" t="inlineStr">
        <is>
          <t>STOCKHOLMS LÄN</t>
        </is>
      </c>
      <c r="E590" t="inlineStr">
        <is>
          <t>NORRTÄLJE</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17612-2022</t>
        </is>
      </c>
      <c r="B591" s="1" t="n">
        <v>44680</v>
      </c>
      <c r="C591" s="1" t="n">
        <v>46075</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16835-2022</t>
        </is>
      </c>
      <c r="B592" s="1" t="n">
        <v>44673</v>
      </c>
      <c r="C592" s="1" t="n">
        <v>46075</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62765-2022</t>
        </is>
      </c>
      <c r="B593" s="1" t="n">
        <v>44637</v>
      </c>
      <c r="C593" s="1" t="n">
        <v>46075</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58404-2023</t>
        </is>
      </c>
      <c r="B594" s="1" t="n">
        <v>45245</v>
      </c>
      <c r="C594" s="1" t="n">
        <v>46075</v>
      </c>
      <c r="D594" t="inlineStr">
        <is>
          <t>STOCKHOLMS LÄN</t>
        </is>
      </c>
      <c r="E594" t="inlineStr">
        <is>
          <t>NORRTÄLJE</t>
        </is>
      </c>
      <c r="G594" t="n">
        <v>53.5</v>
      </c>
      <c r="H594" t="n">
        <v>0</v>
      </c>
      <c r="I594" t="n">
        <v>0</v>
      </c>
      <c r="J594" t="n">
        <v>0</v>
      </c>
      <c r="K594" t="n">
        <v>0</v>
      </c>
      <c r="L594" t="n">
        <v>0</v>
      </c>
      <c r="M594" t="n">
        <v>0</v>
      </c>
      <c r="N594" t="n">
        <v>0</v>
      </c>
      <c r="O594" t="n">
        <v>0</v>
      </c>
      <c r="P594" t="n">
        <v>0</v>
      </c>
      <c r="Q594" t="n">
        <v>0</v>
      </c>
      <c r="R594" s="2" t="inlineStr"/>
    </row>
    <row r="595" ht="15" customHeight="1">
      <c r="A595" t="inlineStr">
        <is>
          <t>A 47498-2025</t>
        </is>
      </c>
      <c r="B595" s="1" t="n">
        <v>45930.8134375</v>
      </c>
      <c r="C595" s="1" t="n">
        <v>46075</v>
      </c>
      <c r="D595" t="inlineStr">
        <is>
          <t>STOCKHOLMS LÄN</t>
        </is>
      </c>
      <c r="E595" t="inlineStr">
        <is>
          <t>NORRTÄLJE</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47460-2025</t>
        </is>
      </c>
      <c r="B596" s="1" t="n">
        <v>45930.66012731481</v>
      </c>
      <c r="C596" s="1" t="n">
        <v>46075</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47496-2025</t>
        </is>
      </c>
      <c r="B597" s="1" t="n">
        <v>45930.79252314815</v>
      </c>
      <c r="C597" s="1" t="n">
        <v>46075</v>
      </c>
      <c r="D597" t="inlineStr">
        <is>
          <t>STOCKHOLMS LÄN</t>
        </is>
      </c>
      <c r="E597" t="inlineStr">
        <is>
          <t>NORRTÄLJE</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47497-2025</t>
        </is>
      </c>
      <c r="B598" s="1" t="n">
        <v>45930.80217592593</v>
      </c>
      <c r="C598" s="1" t="n">
        <v>46075</v>
      </c>
      <c r="D598" t="inlineStr">
        <is>
          <t>STOCKHOLMS LÄN</t>
        </is>
      </c>
      <c r="E598" t="inlineStr">
        <is>
          <t>NORRTÄLJE</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8586-2023</t>
        </is>
      </c>
      <c r="B599" s="1" t="n">
        <v>44977</v>
      </c>
      <c r="C599" s="1" t="n">
        <v>46075</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48360-2025</t>
        </is>
      </c>
      <c r="B600" s="1" t="n">
        <v>45933.66253472222</v>
      </c>
      <c r="C600" s="1" t="n">
        <v>46075</v>
      </c>
      <c r="D600" t="inlineStr">
        <is>
          <t>STOCKHOLMS LÄN</t>
        </is>
      </c>
      <c r="E600" t="inlineStr">
        <is>
          <t>NORRTÄLJE</t>
        </is>
      </c>
      <c r="G600" t="n">
        <v>4.1</v>
      </c>
      <c r="H600" t="n">
        <v>0</v>
      </c>
      <c r="I600" t="n">
        <v>0</v>
      </c>
      <c r="J600" t="n">
        <v>0</v>
      </c>
      <c r="K600" t="n">
        <v>0</v>
      </c>
      <c r="L600" t="n">
        <v>0</v>
      </c>
      <c r="M600" t="n">
        <v>0</v>
      </c>
      <c r="N600" t="n">
        <v>0</v>
      </c>
      <c r="O600" t="n">
        <v>0</v>
      </c>
      <c r="P600" t="n">
        <v>0</v>
      </c>
      <c r="Q600" t="n">
        <v>0</v>
      </c>
      <c r="R600" s="2" t="inlineStr"/>
    </row>
    <row r="601" ht="15" customHeight="1">
      <c r="A601" t="inlineStr">
        <is>
          <t>A 48370-2025</t>
        </is>
      </c>
      <c r="B601" s="1" t="n">
        <v>45933.67854166667</v>
      </c>
      <c r="C601" s="1" t="n">
        <v>46075</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37261-2025</t>
        </is>
      </c>
      <c r="B602" s="1" t="n">
        <v>45876.45253472222</v>
      </c>
      <c r="C602" s="1" t="n">
        <v>46075</v>
      </c>
      <c r="D602" t="inlineStr">
        <is>
          <t>STOCKHOLMS LÄN</t>
        </is>
      </c>
      <c r="E602" t="inlineStr">
        <is>
          <t>NORRTÄLJE</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16202-2022</t>
        </is>
      </c>
      <c r="B603" s="1" t="n">
        <v>44670</v>
      </c>
      <c r="C603" s="1" t="n">
        <v>46075</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48364-2025</t>
        </is>
      </c>
      <c r="B604" s="1" t="n">
        <v>45933.66796296297</v>
      </c>
      <c r="C604" s="1" t="n">
        <v>46075</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55018-2024</t>
        </is>
      </c>
      <c r="B605" s="1" t="n">
        <v>45621.35712962963</v>
      </c>
      <c r="C605" s="1" t="n">
        <v>46075</v>
      </c>
      <c r="D605" t="inlineStr">
        <is>
          <t>STOCKHOLMS LÄN</t>
        </is>
      </c>
      <c r="E605" t="inlineStr">
        <is>
          <t>NORRTÄLJE</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50136-2023</t>
        </is>
      </c>
      <c r="B606" s="1" t="n">
        <v>45215</v>
      </c>
      <c r="C606" s="1" t="n">
        <v>46075</v>
      </c>
      <c r="D606" t="inlineStr">
        <is>
          <t>STOCKHOLMS LÄN</t>
        </is>
      </c>
      <c r="E606" t="inlineStr">
        <is>
          <t>NORRTÄLJE</t>
        </is>
      </c>
      <c r="G606" t="n">
        <v>5.2</v>
      </c>
      <c r="H606" t="n">
        <v>0</v>
      </c>
      <c r="I606" t="n">
        <v>0</v>
      </c>
      <c r="J606" t="n">
        <v>0</v>
      </c>
      <c r="K606" t="n">
        <v>0</v>
      </c>
      <c r="L606" t="n">
        <v>0</v>
      </c>
      <c r="M606" t="n">
        <v>0</v>
      </c>
      <c r="N606" t="n">
        <v>0</v>
      </c>
      <c r="O606" t="n">
        <v>0</v>
      </c>
      <c r="P606" t="n">
        <v>0</v>
      </c>
      <c r="Q606" t="n">
        <v>0</v>
      </c>
      <c r="R606" s="2" t="inlineStr"/>
    </row>
    <row r="607" ht="15" customHeight="1">
      <c r="A607" t="inlineStr">
        <is>
          <t>A 25656-2023</t>
        </is>
      </c>
      <c r="B607" s="1" t="n">
        <v>45089</v>
      </c>
      <c r="C607" s="1" t="n">
        <v>46075</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6003-2025</t>
        </is>
      </c>
      <c r="B608" s="1" t="n">
        <v>45695.57881944445</v>
      </c>
      <c r="C608" s="1" t="n">
        <v>46075</v>
      </c>
      <c r="D608" t="inlineStr">
        <is>
          <t>STOCKHOLMS LÄN</t>
        </is>
      </c>
      <c r="E608" t="inlineStr">
        <is>
          <t>NORRTÄLJE</t>
        </is>
      </c>
      <c r="F608" t="inlineStr">
        <is>
          <t>Holmen skog AB</t>
        </is>
      </c>
      <c r="G608" t="n">
        <v>2.3</v>
      </c>
      <c r="H608" t="n">
        <v>0</v>
      </c>
      <c r="I608" t="n">
        <v>0</v>
      </c>
      <c r="J608" t="n">
        <v>0</v>
      </c>
      <c r="K608" t="n">
        <v>0</v>
      </c>
      <c r="L608" t="n">
        <v>0</v>
      </c>
      <c r="M608" t="n">
        <v>0</v>
      </c>
      <c r="N608" t="n">
        <v>0</v>
      </c>
      <c r="O608" t="n">
        <v>0</v>
      </c>
      <c r="P608" t="n">
        <v>0</v>
      </c>
      <c r="Q608" t="n">
        <v>0</v>
      </c>
      <c r="R608" s="2" t="inlineStr"/>
    </row>
    <row r="609" ht="15" customHeight="1">
      <c r="A609" t="inlineStr">
        <is>
          <t>A 48174-2025</t>
        </is>
      </c>
      <c r="B609" s="1" t="n">
        <v>45933.44230324074</v>
      </c>
      <c r="C609" s="1" t="n">
        <v>46075</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11902-2024</t>
        </is>
      </c>
      <c r="B610" s="1" t="n">
        <v>45376.55704861111</v>
      </c>
      <c r="C610" s="1" t="n">
        <v>46075</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37628-2025</t>
        </is>
      </c>
      <c r="B611" s="1" t="n">
        <v>45880.46189814815</v>
      </c>
      <c r="C611" s="1" t="n">
        <v>46075</v>
      </c>
      <c r="D611" t="inlineStr">
        <is>
          <t>STOCKHOLMS LÄN</t>
        </is>
      </c>
      <c r="E611" t="inlineStr">
        <is>
          <t>NORRTÄLJE</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48127-2025</t>
        </is>
      </c>
      <c r="B612" s="1" t="n">
        <v>45933.36621527778</v>
      </c>
      <c r="C612" s="1" t="n">
        <v>46075</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29369-2024</t>
        </is>
      </c>
      <c r="B613" s="1" t="n">
        <v>45483.57244212963</v>
      </c>
      <c r="C613" s="1" t="n">
        <v>46075</v>
      </c>
      <c r="D613" t="inlineStr">
        <is>
          <t>STOCKHOLMS LÄN</t>
        </is>
      </c>
      <c r="E613" t="inlineStr">
        <is>
          <t>NORRTÄLJE</t>
        </is>
      </c>
      <c r="G613" t="n">
        <v>15.9</v>
      </c>
      <c r="H613" t="n">
        <v>0</v>
      </c>
      <c r="I613" t="n">
        <v>0</v>
      </c>
      <c r="J613" t="n">
        <v>0</v>
      </c>
      <c r="K613" t="n">
        <v>0</v>
      </c>
      <c r="L613" t="n">
        <v>0</v>
      </c>
      <c r="M613" t="n">
        <v>0</v>
      </c>
      <c r="N613" t="n">
        <v>0</v>
      </c>
      <c r="O613" t="n">
        <v>0</v>
      </c>
      <c r="P613" t="n">
        <v>0</v>
      </c>
      <c r="Q613" t="n">
        <v>0</v>
      </c>
      <c r="R613" s="2" t="inlineStr"/>
    </row>
    <row r="614" ht="15" customHeight="1">
      <c r="A614" t="inlineStr">
        <is>
          <t>A 38049-2023</t>
        </is>
      </c>
      <c r="B614" s="1" t="n">
        <v>45159</v>
      </c>
      <c r="C614" s="1" t="n">
        <v>46075</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37632-2025</t>
        </is>
      </c>
      <c r="B615" s="1" t="n">
        <v>45880.46524305556</v>
      </c>
      <c r="C615" s="1" t="n">
        <v>46075</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46075</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59535-2024</t>
        </is>
      </c>
      <c r="B617" s="1" t="n">
        <v>45638.59979166667</v>
      </c>
      <c r="C617" s="1" t="n">
        <v>46075</v>
      </c>
      <c r="D617" t="inlineStr">
        <is>
          <t>STOCKHOLMS LÄN</t>
        </is>
      </c>
      <c r="E617" t="inlineStr">
        <is>
          <t>NORRTÄLJE</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29841-2024</t>
        </is>
      </c>
      <c r="B618" s="1" t="n">
        <v>45485.60261574074</v>
      </c>
      <c r="C618" s="1" t="n">
        <v>46075</v>
      </c>
      <c r="D618" t="inlineStr">
        <is>
          <t>STOCKHOLMS LÄN</t>
        </is>
      </c>
      <c r="E618" t="inlineStr">
        <is>
          <t>NORRTÄLJE</t>
        </is>
      </c>
      <c r="G618" t="n">
        <v>15.9</v>
      </c>
      <c r="H618" t="n">
        <v>0</v>
      </c>
      <c r="I618" t="n">
        <v>0</v>
      </c>
      <c r="J618" t="n">
        <v>0</v>
      </c>
      <c r="K618" t="n">
        <v>0</v>
      </c>
      <c r="L618" t="n">
        <v>0</v>
      </c>
      <c r="M618" t="n">
        <v>0</v>
      </c>
      <c r="N618" t="n">
        <v>0</v>
      </c>
      <c r="O618" t="n">
        <v>0</v>
      </c>
      <c r="P618" t="n">
        <v>0</v>
      </c>
      <c r="Q618" t="n">
        <v>0</v>
      </c>
      <c r="R618" s="2" t="inlineStr"/>
    </row>
    <row r="619" ht="15" customHeight="1">
      <c r="A619" t="inlineStr">
        <is>
          <t>A 20692-2025</t>
        </is>
      </c>
      <c r="B619" s="1" t="n">
        <v>45776.46369212963</v>
      </c>
      <c r="C619" s="1" t="n">
        <v>46075</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48718-2025</t>
        </is>
      </c>
      <c r="B620" s="1" t="n">
        <v>45936</v>
      </c>
      <c r="C620" s="1" t="n">
        <v>46075</v>
      </c>
      <c r="D620" t="inlineStr">
        <is>
          <t>STOCKHOLMS LÄN</t>
        </is>
      </c>
      <c r="E620" t="inlineStr">
        <is>
          <t>NORRTÄLJE</t>
        </is>
      </c>
      <c r="G620" t="n">
        <v>2.1</v>
      </c>
      <c r="H620" t="n">
        <v>0</v>
      </c>
      <c r="I620" t="n">
        <v>0</v>
      </c>
      <c r="J620" t="n">
        <v>0</v>
      </c>
      <c r="K620" t="n">
        <v>0</v>
      </c>
      <c r="L620" t="n">
        <v>0</v>
      </c>
      <c r="M620" t="n">
        <v>0</v>
      </c>
      <c r="N620" t="n">
        <v>0</v>
      </c>
      <c r="O620" t="n">
        <v>0</v>
      </c>
      <c r="P620" t="n">
        <v>0</v>
      </c>
      <c r="Q620" t="n">
        <v>0</v>
      </c>
      <c r="R620" s="2" t="inlineStr"/>
    </row>
    <row r="621" ht="15" customHeight="1">
      <c r="A621" t="inlineStr">
        <is>
          <t>A 37630-2025</t>
        </is>
      </c>
      <c r="B621" s="1" t="n">
        <v>45880.46372685185</v>
      </c>
      <c r="C621" s="1" t="n">
        <v>46075</v>
      </c>
      <c r="D621" t="inlineStr">
        <is>
          <t>STOCKHOLMS LÄN</t>
        </is>
      </c>
      <c r="E621" t="inlineStr">
        <is>
          <t>NORRTÄLJE</t>
        </is>
      </c>
      <c r="F621" t="inlineStr">
        <is>
          <t>Sveaskog</t>
        </is>
      </c>
      <c r="G621" t="n">
        <v>12.9</v>
      </c>
      <c r="H621" t="n">
        <v>0</v>
      </c>
      <c r="I621" t="n">
        <v>0</v>
      </c>
      <c r="J621" t="n">
        <v>0</v>
      </c>
      <c r="K621" t="n">
        <v>0</v>
      </c>
      <c r="L621" t="n">
        <v>0</v>
      </c>
      <c r="M621" t="n">
        <v>0</v>
      </c>
      <c r="N621" t="n">
        <v>0</v>
      </c>
      <c r="O621" t="n">
        <v>0</v>
      </c>
      <c r="P621" t="n">
        <v>0</v>
      </c>
      <c r="Q621" t="n">
        <v>0</v>
      </c>
      <c r="R621" s="2" t="inlineStr"/>
    </row>
    <row r="622" ht="15" customHeight="1">
      <c r="A622" t="inlineStr">
        <is>
          <t>A 48593-2025</t>
        </is>
      </c>
      <c r="B622" s="1" t="n">
        <v>45936.4627662037</v>
      </c>
      <c r="C622" s="1" t="n">
        <v>46075</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4183-2025</t>
        </is>
      </c>
      <c r="B623" s="1" t="n">
        <v>45685.44592592592</v>
      </c>
      <c r="C623" s="1" t="n">
        <v>46075</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46071-2024</t>
        </is>
      </c>
      <c r="B624" s="1" t="n">
        <v>45581</v>
      </c>
      <c r="C624" s="1" t="n">
        <v>46075</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48443-2025</t>
        </is>
      </c>
      <c r="B625" s="1" t="n">
        <v>45935.55326388889</v>
      </c>
      <c r="C625" s="1" t="n">
        <v>46075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9480-2025</t>
        </is>
      </c>
      <c r="B626" s="1" t="n">
        <v>45715</v>
      </c>
      <c r="C626" s="1" t="n">
        <v>46075</v>
      </c>
      <c r="D626" t="inlineStr">
        <is>
          <t>STOCKHOLMS LÄN</t>
        </is>
      </c>
      <c r="E626" t="inlineStr">
        <is>
          <t>NORRTÄLJE</t>
        </is>
      </c>
      <c r="F626" t="inlineStr">
        <is>
          <t>Övriga Aktiebolag</t>
        </is>
      </c>
      <c r="G626" t="n">
        <v>3.9</v>
      </c>
      <c r="H626" t="n">
        <v>0</v>
      </c>
      <c r="I626" t="n">
        <v>0</v>
      </c>
      <c r="J626" t="n">
        <v>0</v>
      </c>
      <c r="K626" t="n">
        <v>0</v>
      </c>
      <c r="L626" t="n">
        <v>0</v>
      </c>
      <c r="M626" t="n">
        <v>0</v>
      </c>
      <c r="N626" t="n">
        <v>0</v>
      </c>
      <c r="O626" t="n">
        <v>0</v>
      </c>
      <c r="P626" t="n">
        <v>0</v>
      </c>
      <c r="Q626" t="n">
        <v>0</v>
      </c>
      <c r="R626" s="2" t="inlineStr"/>
    </row>
    <row r="627" ht="15" customHeight="1">
      <c r="A627" t="inlineStr">
        <is>
          <t>A 13137-2024</t>
        </is>
      </c>
      <c r="B627" s="1" t="n">
        <v>45386.34175925926</v>
      </c>
      <c r="C627" s="1" t="n">
        <v>46075</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24350-2025</t>
        </is>
      </c>
      <c r="B628" s="1" t="n">
        <v>45797.58350694444</v>
      </c>
      <c r="C628" s="1" t="n">
        <v>46075</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26703-2025</t>
        </is>
      </c>
      <c r="B629" s="1" t="n">
        <v>45810.45263888889</v>
      </c>
      <c r="C629" s="1" t="n">
        <v>46075</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48780-2025</t>
        </is>
      </c>
      <c r="B630" s="1" t="n">
        <v>45937.30377314815</v>
      </c>
      <c r="C630" s="1" t="n">
        <v>46075</v>
      </c>
      <c r="D630" t="inlineStr">
        <is>
          <t>STOCKHOLMS LÄN</t>
        </is>
      </c>
      <c r="E630" t="inlineStr">
        <is>
          <t>NORRTÄLJE</t>
        </is>
      </c>
      <c r="G630" t="n">
        <v>7.7</v>
      </c>
      <c r="H630" t="n">
        <v>0</v>
      </c>
      <c r="I630" t="n">
        <v>0</v>
      </c>
      <c r="J630" t="n">
        <v>0</v>
      </c>
      <c r="K630" t="n">
        <v>0</v>
      </c>
      <c r="L630" t="n">
        <v>0</v>
      </c>
      <c r="M630" t="n">
        <v>0</v>
      </c>
      <c r="N630" t="n">
        <v>0</v>
      </c>
      <c r="O630" t="n">
        <v>0</v>
      </c>
      <c r="P630" t="n">
        <v>0</v>
      </c>
      <c r="Q630" t="n">
        <v>0</v>
      </c>
      <c r="R630" s="2" t="inlineStr"/>
    </row>
    <row r="631" ht="15" customHeight="1">
      <c r="A631" t="inlineStr">
        <is>
          <t>A 38153-2025</t>
        </is>
      </c>
      <c r="B631" s="1" t="n">
        <v>45882.59722222222</v>
      </c>
      <c r="C631" s="1" t="n">
        <v>46075</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24522-2023</t>
        </is>
      </c>
      <c r="B632" s="1" t="n">
        <v>45082.69179398148</v>
      </c>
      <c r="C632" s="1" t="n">
        <v>46075</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25625-2023</t>
        </is>
      </c>
      <c r="B633" s="1" t="n">
        <v>45089</v>
      </c>
      <c r="C633" s="1" t="n">
        <v>46075</v>
      </c>
      <c r="D633" t="inlineStr">
        <is>
          <t>STOCKHOLMS LÄN</t>
        </is>
      </c>
      <c r="E633" t="inlineStr">
        <is>
          <t>NORRTÄLJE</t>
        </is>
      </c>
      <c r="G633" t="n">
        <v>5.5</v>
      </c>
      <c r="H633" t="n">
        <v>0</v>
      </c>
      <c r="I633" t="n">
        <v>0</v>
      </c>
      <c r="J633" t="n">
        <v>0</v>
      </c>
      <c r="K633" t="n">
        <v>0</v>
      </c>
      <c r="L633" t="n">
        <v>0</v>
      </c>
      <c r="M633" t="n">
        <v>0</v>
      </c>
      <c r="N633" t="n">
        <v>0</v>
      </c>
      <c r="O633" t="n">
        <v>0</v>
      </c>
      <c r="P633" t="n">
        <v>0</v>
      </c>
      <c r="Q633" t="n">
        <v>0</v>
      </c>
      <c r="R633" s="2" t="inlineStr"/>
    </row>
    <row r="634" ht="15" customHeight="1">
      <c r="A634" t="inlineStr">
        <is>
          <t>A 22816-2021</t>
        </is>
      </c>
      <c r="B634" s="1" t="n">
        <v>44325</v>
      </c>
      <c r="C634" s="1" t="n">
        <v>46075</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37147-2023</t>
        </is>
      </c>
      <c r="B635" s="1" t="n">
        <v>45155</v>
      </c>
      <c r="C635" s="1" t="n">
        <v>46075</v>
      </c>
      <c r="D635" t="inlineStr">
        <is>
          <t>STOCKHOLMS LÄN</t>
        </is>
      </c>
      <c r="E635" t="inlineStr">
        <is>
          <t>NORRTÄLJE</t>
        </is>
      </c>
      <c r="G635" t="n">
        <v>8</v>
      </c>
      <c r="H635" t="n">
        <v>0</v>
      </c>
      <c r="I635" t="n">
        <v>0</v>
      </c>
      <c r="J635" t="n">
        <v>0</v>
      </c>
      <c r="K635" t="n">
        <v>0</v>
      </c>
      <c r="L635" t="n">
        <v>0</v>
      </c>
      <c r="M635" t="n">
        <v>0</v>
      </c>
      <c r="N635" t="n">
        <v>0</v>
      </c>
      <c r="O635" t="n">
        <v>0</v>
      </c>
      <c r="P635" t="n">
        <v>0</v>
      </c>
      <c r="Q635" t="n">
        <v>0</v>
      </c>
      <c r="R635" s="2" t="inlineStr"/>
    </row>
    <row r="636" ht="15" customHeight="1">
      <c r="A636" t="inlineStr">
        <is>
          <t>A 7186-2024</t>
        </is>
      </c>
      <c r="B636" s="1" t="n">
        <v>45344</v>
      </c>
      <c r="C636" s="1" t="n">
        <v>46075</v>
      </c>
      <c r="D636" t="inlineStr">
        <is>
          <t>STOCKHOLMS LÄN</t>
        </is>
      </c>
      <c r="E636" t="inlineStr">
        <is>
          <t>NORRTÄLJE</t>
        </is>
      </c>
      <c r="G636" t="n">
        <v>4.9</v>
      </c>
      <c r="H636" t="n">
        <v>0</v>
      </c>
      <c r="I636" t="n">
        <v>0</v>
      </c>
      <c r="J636" t="n">
        <v>0</v>
      </c>
      <c r="K636" t="n">
        <v>0</v>
      </c>
      <c r="L636" t="n">
        <v>0</v>
      </c>
      <c r="M636" t="n">
        <v>0</v>
      </c>
      <c r="N636" t="n">
        <v>0</v>
      </c>
      <c r="O636" t="n">
        <v>0</v>
      </c>
      <c r="P636" t="n">
        <v>0</v>
      </c>
      <c r="Q636" t="n">
        <v>0</v>
      </c>
      <c r="R636" s="2" t="inlineStr"/>
    </row>
    <row r="637" ht="15" customHeight="1">
      <c r="A637" t="inlineStr">
        <is>
          <t>A 57602-2024</t>
        </is>
      </c>
      <c r="B637" s="1" t="n">
        <v>45630.52866898148</v>
      </c>
      <c r="C637" s="1" t="n">
        <v>46075</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44511.70518518519</v>
      </c>
      <c r="C638" s="1" t="n">
        <v>46075</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46075</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26365-2024</t>
        </is>
      </c>
      <c r="B640" s="1" t="n">
        <v>45469</v>
      </c>
      <c r="C640" s="1" t="n">
        <v>46075</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49129-2025</t>
        </is>
      </c>
      <c r="B641" s="1" t="n">
        <v>45937.89517361111</v>
      </c>
      <c r="C641" s="1" t="n">
        <v>46075</v>
      </c>
      <c r="D641" t="inlineStr">
        <is>
          <t>STOCKHOLMS LÄN</t>
        </is>
      </c>
      <c r="E641" t="inlineStr">
        <is>
          <t>NORRTÄLJE</t>
        </is>
      </c>
      <c r="G641" t="n">
        <v>0.5</v>
      </c>
      <c r="H641" t="n">
        <v>0</v>
      </c>
      <c r="I641" t="n">
        <v>0</v>
      </c>
      <c r="J641" t="n">
        <v>0</v>
      </c>
      <c r="K641" t="n">
        <v>0</v>
      </c>
      <c r="L641" t="n">
        <v>0</v>
      </c>
      <c r="M641" t="n">
        <v>0</v>
      </c>
      <c r="N641" t="n">
        <v>0</v>
      </c>
      <c r="O641" t="n">
        <v>0</v>
      </c>
      <c r="P641" t="n">
        <v>0</v>
      </c>
      <c r="Q641" t="n">
        <v>0</v>
      </c>
      <c r="R641" s="2" t="inlineStr"/>
    </row>
    <row r="642" ht="15" customHeight="1">
      <c r="A642" t="inlineStr">
        <is>
          <t>A 26640-2023</t>
        </is>
      </c>
      <c r="B642" s="1" t="n">
        <v>45092</v>
      </c>
      <c r="C642" s="1" t="n">
        <v>46075</v>
      </c>
      <c r="D642" t="inlineStr">
        <is>
          <t>STOCKHOLMS LÄN</t>
        </is>
      </c>
      <c r="E642" t="inlineStr">
        <is>
          <t>NORRTÄLJE</t>
        </is>
      </c>
      <c r="G642" t="n">
        <v>5.7</v>
      </c>
      <c r="H642" t="n">
        <v>0</v>
      </c>
      <c r="I642" t="n">
        <v>0</v>
      </c>
      <c r="J642" t="n">
        <v>0</v>
      </c>
      <c r="K642" t="n">
        <v>0</v>
      </c>
      <c r="L642" t="n">
        <v>0</v>
      </c>
      <c r="M642" t="n">
        <v>0</v>
      </c>
      <c r="N642" t="n">
        <v>0</v>
      </c>
      <c r="O642" t="n">
        <v>0</v>
      </c>
      <c r="P642" t="n">
        <v>0</v>
      </c>
      <c r="Q642" t="n">
        <v>0</v>
      </c>
      <c r="R642" s="2" t="inlineStr"/>
    </row>
    <row r="643" ht="15" customHeight="1">
      <c r="A643" t="inlineStr">
        <is>
          <t>A 31827-2023</t>
        </is>
      </c>
      <c r="B643" s="1" t="n">
        <v>45118</v>
      </c>
      <c r="C643" s="1" t="n">
        <v>46075</v>
      </c>
      <c r="D643" t="inlineStr">
        <is>
          <t>STOCKHOLMS LÄN</t>
        </is>
      </c>
      <c r="E643" t="inlineStr">
        <is>
          <t>NORRTÄLJE</t>
        </is>
      </c>
      <c r="F643" t="inlineStr">
        <is>
          <t>Kyrkan</t>
        </is>
      </c>
      <c r="G643" t="n">
        <v>4.9</v>
      </c>
      <c r="H643" t="n">
        <v>0</v>
      </c>
      <c r="I643" t="n">
        <v>0</v>
      </c>
      <c r="J643" t="n">
        <v>0</v>
      </c>
      <c r="K643" t="n">
        <v>0</v>
      </c>
      <c r="L643" t="n">
        <v>0</v>
      </c>
      <c r="M643" t="n">
        <v>0</v>
      </c>
      <c r="N643" t="n">
        <v>0</v>
      </c>
      <c r="O643" t="n">
        <v>0</v>
      </c>
      <c r="P643" t="n">
        <v>0</v>
      </c>
      <c r="Q643" t="n">
        <v>0</v>
      </c>
      <c r="R643" s="2" t="inlineStr"/>
    </row>
    <row r="644" ht="15" customHeight="1">
      <c r="A644" t="inlineStr">
        <is>
          <t>A 58993-2022</t>
        </is>
      </c>
      <c r="B644" s="1" t="n">
        <v>44903</v>
      </c>
      <c r="C644" s="1" t="n">
        <v>46075</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28900-2022</t>
        </is>
      </c>
      <c r="B645" s="1" t="n">
        <v>44749.55258101852</v>
      </c>
      <c r="C645" s="1" t="n">
        <v>46075</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17574-2025</t>
        </is>
      </c>
      <c r="B646" s="1" t="n">
        <v>45757.65178240741</v>
      </c>
      <c r="C646" s="1" t="n">
        <v>46075</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46075</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50097-2025</t>
        </is>
      </c>
      <c r="B648" s="1" t="n">
        <v>45943.50207175926</v>
      </c>
      <c r="C648" s="1" t="n">
        <v>46075</v>
      </c>
      <c r="D648" t="inlineStr">
        <is>
          <t>STOCKHOLMS LÄN</t>
        </is>
      </c>
      <c r="E648" t="inlineStr">
        <is>
          <t>NORRTÄLJE</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46075</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58297-2023</t>
        </is>
      </c>
      <c r="B650" s="1" t="n">
        <v>45245</v>
      </c>
      <c r="C650" s="1" t="n">
        <v>46075</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20304-2023</t>
        </is>
      </c>
      <c r="B651" s="1" t="n">
        <v>45056</v>
      </c>
      <c r="C651" s="1" t="n">
        <v>46075</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12299-2025</t>
        </is>
      </c>
      <c r="B652" s="1" t="n">
        <v>45729.71065972222</v>
      </c>
      <c r="C652" s="1" t="n">
        <v>46075</v>
      </c>
      <c r="D652" t="inlineStr">
        <is>
          <t>STOCKHOLMS LÄN</t>
        </is>
      </c>
      <c r="E652" t="inlineStr">
        <is>
          <t>NORRTÄLJE</t>
        </is>
      </c>
      <c r="F652" t="inlineStr">
        <is>
          <t>Holmen skog AB</t>
        </is>
      </c>
      <c r="G652" t="n">
        <v>6.9</v>
      </c>
      <c r="H652" t="n">
        <v>0</v>
      </c>
      <c r="I652" t="n">
        <v>0</v>
      </c>
      <c r="J652" t="n">
        <v>0</v>
      </c>
      <c r="K652" t="n">
        <v>0</v>
      </c>
      <c r="L652" t="n">
        <v>0</v>
      </c>
      <c r="M652" t="n">
        <v>0</v>
      </c>
      <c r="N652" t="n">
        <v>0</v>
      </c>
      <c r="O652" t="n">
        <v>0</v>
      </c>
      <c r="P652" t="n">
        <v>0</v>
      </c>
      <c r="Q652" t="n">
        <v>0</v>
      </c>
      <c r="R652" s="2" t="inlineStr"/>
    </row>
    <row r="653" ht="15" customHeight="1">
      <c r="A653" t="inlineStr">
        <is>
          <t>A 22157-2023</t>
        </is>
      </c>
      <c r="B653" s="1" t="n">
        <v>45069</v>
      </c>
      <c r="C653" s="1" t="n">
        <v>46075</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c r="U653">
        <f>HYPERLINK("https://klasma.github.io/Logging_0188/knärot/A 22157-2023 karta knärot.png", "A 22157-2023")</f>
        <v/>
      </c>
      <c r="V653">
        <f>HYPERLINK("https://klasma.github.io/Logging_0188/klagomål/A 22157-2023 FSC-klagomål.docx", "A 22157-2023")</f>
        <v/>
      </c>
      <c r="W653">
        <f>HYPERLINK("https://klasma.github.io/Logging_0188/klagomålsmail/A 22157-2023 FSC-klagomål mail.docx", "A 22157-2023")</f>
        <v/>
      </c>
      <c r="X653">
        <f>HYPERLINK("https://klasma.github.io/Logging_0188/tillsyn/A 22157-2023 tillsynsbegäran.docx", "A 22157-2023")</f>
        <v/>
      </c>
      <c r="Y653">
        <f>HYPERLINK("https://klasma.github.io/Logging_0188/tillsynsmail/A 22157-2023 tillsynsbegäran mail.docx", "A 22157-2023")</f>
        <v/>
      </c>
    </row>
    <row r="654" ht="15" customHeight="1">
      <c r="A654" t="inlineStr">
        <is>
          <t>A 50327-2025</t>
        </is>
      </c>
      <c r="B654" s="1" t="n">
        <v>45944.46387731482</v>
      </c>
      <c r="C654" s="1" t="n">
        <v>46075</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46075</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11929-2024</t>
        </is>
      </c>
      <c r="B656" s="1" t="n">
        <v>45376.64532407407</v>
      </c>
      <c r="C656" s="1" t="n">
        <v>46075</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50563-2025</t>
        </is>
      </c>
      <c r="B657" s="1" t="n">
        <v>45944</v>
      </c>
      <c r="C657" s="1" t="n">
        <v>46075</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50333-2025</t>
        </is>
      </c>
      <c r="B658" s="1" t="n">
        <v>45944.47178240741</v>
      </c>
      <c r="C658" s="1" t="n">
        <v>46075</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51122-2025</t>
        </is>
      </c>
      <c r="B659" s="1" t="n">
        <v>45947.53693287037</v>
      </c>
      <c r="C659" s="1" t="n">
        <v>46075</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46075</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46075</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46075</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8296-2023</t>
        </is>
      </c>
      <c r="B663" s="1" t="n">
        <v>44974</v>
      </c>
      <c r="C663" s="1" t="n">
        <v>46075</v>
      </c>
      <c r="D663" t="inlineStr">
        <is>
          <t>STOCKHOLMS LÄN</t>
        </is>
      </c>
      <c r="E663" t="inlineStr">
        <is>
          <t>NORRTÄLJE</t>
        </is>
      </c>
      <c r="G663" t="n">
        <v>3.8</v>
      </c>
      <c r="H663" t="n">
        <v>0</v>
      </c>
      <c r="I663" t="n">
        <v>0</v>
      </c>
      <c r="J663" t="n">
        <v>0</v>
      </c>
      <c r="K663" t="n">
        <v>0</v>
      </c>
      <c r="L663" t="n">
        <v>0</v>
      </c>
      <c r="M663" t="n">
        <v>0</v>
      </c>
      <c r="N663" t="n">
        <v>0</v>
      </c>
      <c r="O663" t="n">
        <v>0</v>
      </c>
      <c r="P663" t="n">
        <v>0</v>
      </c>
      <c r="Q663" t="n">
        <v>0</v>
      </c>
      <c r="R663" s="2" t="inlineStr"/>
    </row>
    <row r="664" ht="15" customHeight="1">
      <c r="A664" t="inlineStr">
        <is>
          <t>A 51240-2025</t>
        </is>
      </c>
      <c r="B664" s="1" t="n">
        <v>45947.70420138889</v>
      </c>
      <c r="C664" s="1" t="n">
        <v>46075</v>
      </c>
      <c r="D664" t="inlineStr">
        <is>
          <t>STOCKHOLMS LÄN</t>
        </is>
      </c>
      <c r="E664" t="inlineStr">
        <is>
          <t>NORRTÄLJE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24575-2024</t>
        </is>
      </c>
      <c r="B665" s="1" t="n">
        <v>45460.45523148148</v>
      </c>
      <c r="C665" s="1" t="n">
        <v>46075</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64899-2023</t>
        </is>
      </c>
      <c r="B666" s="1" t="n">
        <v>45282</v>
      </c>
      <c r="C666" s="1" t="n">
        <v>46075</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51121-2025</t>
        </is>
      </c>
      <c r="B667" s="1" t="n">
        <v>45947.53293981482</v>
      </c>
      <c r="C667" s="1" t="n">
        <v>46075</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52593-2024</t>
        </is>
      </c>
      <c r="B668" s="1" t="n">
        <v>45609.70778935185</v>
      </c>
      <c r="C668" s="1" t="n">
        <v>46075</v>
      </c>
      <c r="D668" t="inlineStr">
        <is>
          <t>STOCKHOLMS LÄN</t>
        </is>
      </c>
      <c r="E668" t="inlineStr">
        <is>
          <t>NORRTÄLJE</t>
        </is>
      </c>
      <c r="F668" t="inlineStr">
        <is>
          <t>Holmen skog AB</t>
        </is>
      </c>
      <c r="G668" t="n">
        <v>2.4</v>
      </c>
      <c r="H668" t="n">
        <v>0</v>
      </c>
      <c r="I668" t="n">
        <v>0</v>
      </c>
      <c r="J668" t="n">
        <v>0</v>
      </c>
      <c r="K668" t="n">
        <v>0</v>
      </c>
      <c r="L668" t="n">
        <v>0</v>
      </c>
      <c r="M668" t="n">
        <v>0</v>
      </c>
      <c r="N668" t="n">
        <v>0</v>
      </c>
      <c r="O668" t="n">
        <v>0</v>
      </c>
      <c r="P668" t="n">
        <v>0</v>
      </c>
      <c r="Q668" t="n">
        <v>0</v>
      </c>
      <c r="R668" s="2" t="inlineStr"/>
    </row>
    <row r="669" ht="15" customHeight="1">
      <c r="A669" t="inlineStr">
        <is>
          <t>A 52617-2024</t>
        </is>
      </c>
      <c r="B669" s="1" t="n">
        <v>45609.85146990741</v>
      </c>
      <c r="C669" s="1" t="n">
        <v>46075</v>
      </c>
      <c r="D669" t="inlineStr">
        <is>
          <t>STOCKHOLMS LÄN</t>
        </is>
      </c>
      <c r="E669" t="inlineStr">
        <is>
          <t>NORRTÄLJE</t>
        </is>
      </c>
      <c r="G669" t="n">
        <v>0.8</v>
      </c>
      <c r="H669" t="n">
        <v>0</v>
      </c>
      <c r="I669" t="n">
        <v>0</v>
      </c>
      <c r="J669" t="n">
        <v>0</v>
      </c>
      <c r="K669" t="n">
        <v>0</v>
      </c>
      <c r="L669" t="n">
        <v>0</v>
      </c>
      <c r="M669" t="n">
        <v>0</v>
      </c>
      <c r="N669" t="n">
        <v>0</v>
      </c>
      <c r="O669" t="n">
        <v>0</v>
      </c>
      <c r="P669" t="n">
        <v>0</v>
      </c>
      <c r="Q669" t="n">
        <v>0</v>
      </c>
      <c r="R669" s="2" t="inlineStr"/>
    </row>
    <row r="670" ht="15" customHeight="1">
      <c r="A670" t="inlineStr">
        <is>
          <t>A 59477-2025</t>
        </is>
      </c>
      <c r="B670" s="1" t="n">
        <v>45989.58679398148</v>
      </c>
      <c r="C670" s="1" t="n">
        <v>46075</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22816-2021</t>
        </is>
      </c>
      <c r="B671" s="1" t="n">
        <v>44325</v>
      </c>
      <c r="C671" s="1" t="n">
        <v>46075</v>
      </c>
      <c r="D671" t="inlineStr">
        <is>
          <t>STOCKHOLMS LÄN</t>
        </is>
      </c>
      <c r="E671" t="inlineStr">
        <is>
          <t>NORRTÄLJE</t>
        </is>
      </c>
      <c r="G671" t="n">
        <v>4.5</v>
      </c>
      <c r="H671" t="n">
        <v>0</v>
      </c>
      <c r="I671" t="n">
        <v>0</v>
      </c>
      <c r="J671" t="n">
        <v>0</v>
      </c>
      <c r="K671" t="n">
        <v>0</v>
      </c>
      <c r="L671" t="n">
        <v>0</v>
      </c>
      <c r="M671" t="n">
        <v>0</v>
      </c>
      <c r="N671" t="n">
        <v>0</v>
      </c>
      <c r="O671" t="n">
        <v>0</v>
      </c>
      <c r="P671" t="n">
        <v>0</v>
      </c>
      <c r="Q671" t="n">
        <v>0</v>
      </c>
      <c r="R671" s="2" t="inlineStr"/>
    </row>
    <row r="672" ht="15" customHeight="1">
      <c r="A672" t="inlineStr">
        <is>
          <t>A 59904-2023</t>
        </is>
      </c>
      <c r="B672" s="1" t="n">
        <v>45257</v>
      </c>
      <c r="C672" s="1" t="n">
        <v>46075</v>
      </c>
      <c r="D672" t="inlineStr">
        <is>
          <t>STOCKHOLMS LÄN</t>
        </is>
      </c>
      <c r="E672" t="inlineStr">
        <is>
          <t>NORRTÄLJE</t>
        </is>
      </c>
      <c r="G672" t="n">
        <v>17.4</v>
      </c>
      <c r="H672" t="n">
        <v>0</v>
      </c>
      <c r="I672" t="n">
        <v>0</v>
      </c>
      <c r="J672" t="n">
        <v>0</v>
      </c>
      <c r="K672" t="n">
        <v>0</v>
      </c>
      <c r="L672" t="n">
        <v>0</v>
      </c>
      <c r="M672" t="n">
        <v>0</v>
      </c>
      <c r="N672" t="n">
        <v>0</v>
      </c>
      <c r="O672" t="n">
        <v>0</v>
      </c>
      <c r="P672" t="n">
        <v>0</v>
      </c>
      <c r="Q672" t="n">
        <v>0</v>
      </c>
      <c r="R672" s="2" t="inlineStr"/>
    </row>
    <row r="673" ht="15" customHeight="1">
      <c r="A673" t="inlineStr">
        <is>
          <t>A 9914-2023</t>
        </is>
      </c>
      <c r="B673" s="1" t="n">
        <v>44985</v>
      </c>
      <c r="C673" s="1" t="n">
        <v>46075</v>
      </c>
      <c r="D673" t="inlineStr">
        <is>
          <t>STOCKHOLMS LÄN</t>
        </is>
      </c>
      <c r="E673" t="inlineStr">
        <is>
          <t>NORRTÄLJE</t>
        </is>
      </c>
      <c r="G673" t="n">
        <v>4.2</v>
      </c>
      <c r="H673" t="n">
        <v>0</v>
      </c>
      <c r="I673" t="n">
        <v>0</v>
      </c>
      <c r="J673" t="n">
        <v>0</v>
      </c>
      <c r="K673" t="n">
        <v>0</v>
      </c>
      <c r="L673" t="n">
        <v>0</v>
      </c>
      <c r="M673" t="n">
        <v>0</v>
      </c>
      <c r="N673" t="n">
        <v>0</v>
      </c>
      <c r="O673" t="n">
        <v>0</v>
      </c>
      <c r="P673" t="n">
        <v>0</v>
      </c>
      <c r="Q673" t="n">
        <v>0</v>
      </c>
      <c r="R673" s="2" t="inlineStr"/>
    </row>
    <row r="674" ht="15" customHeight="1">
      <c r="A674" t="inlineStr">
        <is>
          <t>A 51532-2025</t>
        </is>
      </c>
      <c r="B674" s="1" t="n">
        <v>45950.68297453703</v>
      </c>
      <c r="C674" s="1" t="n">
        <v>46075</v>
      </c>
      <c r="D674" t="inlineStr">
        <is>
          <t>STOCKHOLMS LÄN</t>
        </is>
      </c>
      <c r="E674" t="inlineStr">
        <is>
          <t>NORRTÄLJE</t>
        </is>
      </c>
      <c r="F674" t="inlineStr">
        <is>
          <t>Naturvårdsverket</t>
        </is>
      </c>
      <c r="G674" t="n">
        <v>17.3</v>
      </c>
      <c r="H674" t="n">
        <v>0</v>
      </c>
      <c r="I674" t="n">
        <v>0</v>
      </c>
      <c r="J674" t="n">
        <v>0</v>
      </c>
      <c r="K674" t="n">
        <v>0</v>
      </c>
      <c r="L674" t="n">
        <v>0</v>
      </c>
      <c r="M674" t="n">
        <v>0</v>
      </c>
      <c r="N674" t="n">
        <v>0</v>
      </c>
      <c r="O674" t="n">
        <v>0</v>
      </c>
      <c r="P674" t="n">
        <v>0</v>
      </c>
      <c r="Q674" t="n">
        <v>0</v>
      </c>
      <c r="R674" s="2" t="inlineStr"/>
    </row>
    <row r="675" ht="15" customHeight="1">
      <c r="A675" t="inlineStr">
        <is>
          <t>A 51789-2025</t>
        </is>
      </c>
      <c r="B675" s="1" t="n">
        <v>45951.68046296296</v>
      </c>
      <c r="C675" s="1" t="n">
        <v>46075</v>
      </c>
      <c r="D675" t="inlineStr">
        <is>
          <t>STOCKHOLMS LÄN</t>
        </is>
      </c>
      <c r="E675" t="inlineStr">
        <is>
          <t>NORRTÄLJE</t>
        </is>
      </c>
      <c r="F675" t="inlineStr">
        <is>
          <t>Naturvårdsverket</t>
        </is>
      </c>
      <c r="G675" t="n">
        <v>8.9</v>
      </c>
      <c r="H675" t="n">
        <v>0</v>
      </c>
      <c r="I675" t="n">
        <v>0</v>
      </c>
      <c r="J675" t="n">
        <v>0</v>
      </c>
      <c r="K675" t="n">
        <v>0</v>
      </c>
      <c r="L675" t="n">
        <v>0</v>
      </c>
      <c r="M675" t="n">
        <v>0</v>
      </c>
      <c r="N675" t="n">
        <v>0</v>
      </c>
      <c r="O675" t="n">
        <v>0</v>
      </c>
      <c r="P675" t="n">
        <v>0</v>
      </c>
      <c r="Q675" t="n">
        <v>0</v>
      </c>
      <c r="R675" s="2" t="inlineStr"/>
    </row>
    <row r="676" ht="15" customHeight="1">
      <c r="A676" t="inlineStr">
        <is>
          <t>A 11062-2024</t>
        </is>
      </c>
      <c r="B676" s="1" t="n">
        <v>45370</v>
      </c>
      <c r="C676" s="1" t="n">
        <v>46075</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33569-2023</t>
        </is>
      </c>
      <c r="B677" s="1" t="n">
        <v>45131.666875</v>
      </c>
      <c r="C677" s="1" t="n">
        <v>46075</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15905-2023</t>
        </is>
      </c>
      <c r="B678" s="1" t="n">
        <v>45022</v>
      </c>
      <c r="C678" s="1" t="n">
        <v>46075</v>
      </c>
      <c r="D678" t="inlineStr">
        <is>
          <t>STOCKHOLMS LÄN</t>
        </is>
      </c>
      <c r="E678" t="inlineStr">
        <is>
          <t>NORRTÄLJE</t>
        </is>
      </c>
      <c r="G678" t="n">
        <v>3.2</v>
      </c>
      <c r="H678" t="n">
        <v>0</v>
      </c>
      <c r="I678" t="n">
        <v>0</v>
      </c>
      <c r="J678" t="n">
        <v>0</v>
      </c>
      <c r="K678" t="n">
        <v>0</v>
      </c>
      <c r="L678" t="n">
        <v>0</v>
      </c>
      <c r="M678" t="n">
        <v>0</v>
      </c>
      <c r="N678" t="n">
        <v>0</v>
      </c>
      <c r="O678" t="n">
        <v>0</v>
      </c>
      <c r="P678" t="n">
        <v>0</v>
      </c>
      <c r="Q678" t="n">
        <v>0</v>
      </c>
      <c r="R678" s="2" t="inlineStr"/>
    </row>
    <row r="679" ht="15" customHeight="1">
      <c r="A679" t="inlineStr">
        <is>
          <t>A 15956-2023</t>
        </is>
      </c>
      <c r="B679" s="1" t="n">
        <v>45022.61003472222</v>
      </c>
      <c r="C679" s="1" t="n">
        <v>46075</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47626-2022</t>
        </is>
      </c>
      <c r="B680" s="1" t="n">
        <v>44854</v>
      </c>
      <c r="C680" s="1" t="n">
        <v>46075</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51960-2025</t>
        </is>
      </c>
      <c r="B681" s="1" t="n">
        <v>45952.54755787037</v>
      </c>
      <c r="C681" s="1" t="n">
        <v>46075</v>
      </c>
      <c r="D681" t="inlineStr">
        <is>
          <t>STOCKHOLMS LÄN</t>
        </is>
      </c>
      <c r="E681" t="inlineStr">
        <is>
          <t>NORRTÄLJE</t>
        </is>
      </c>
      <c r="G681" t="n">
        <v>2</v>
      </c>
      <c r="H681" t="n">
        <v>0</v>
      </c>
      <c r="I681" t="n">
        <v>0</v>
      </c>
      <c r="J681" t="n">
        <v>0</v>
      </c>
      <c r="K681" t="n">
        <v>0</v>
      </c>
      <c r="L681" t="n">
        <v>0</v>
      </c>
      <c r="M681" t="n">
        <v>0</v>
      </c>
      <c r="N681" t="n">
        <v>0</v>
      </c>
      <c r="O681" t="n">
        <v>0</v>
      </c>
      <c r="P681" t="n">
        <v>0</v>
      </c>
      <c r="Q681" t="n">
        <v>0</v>
      </c>
      <c r="R681" s="2" t="inlineStr"/>
    </row>
    <row r="682" ht="15" customHeight="1">
      <c r="A682" t="inlineStr">
        <is>
          <t>A 62206-2022</t>
        </is>
      </c>
      <c r="B682" s="1" t="n">
        <v>44922</v>
      </c>
      <c r="C682" s="1" t="n">
        <v>46075</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20618-2022</t>
        </is>
      </c>
      <c r="B683" s="1" t="n">
        <v>44700.50659722222</v>
      </c>
      <c r="C683" s="1" t="n">
        <v>46075</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40192-2023</t>
        </is>
      </c>
      <c r="B684" s="1" t="n">
        <v>45169</v>
      </c>
      <c r="C684" s="1" t="n">
        <v>46075</v>
      </c>
      <c r="D684" t="inlineStr">
        <is>
          <t>STOCKHOLMS LÄN</t>
        </is>
      </c>
      <c r="E684" t="inlineStr">
        <is>
          <t>NORRTÄLJE</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51941-2025</t>
        </is>
      </c>
      <c r="B685" s="1" t="n">
        <v>45952.52261574074</v>
      </c>
      <c r="C685" s="1" t="n">
        <v>46075</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11900-2022</t>
        </is>
      </c>
      <c r="B686" s="1" t="n">
        <v>44635</v>
      </c>
      <c r="C686" s="1" t="n">
        <v>46075</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46075</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51945-2025</t>
        </is>
      </c>
      <c r="B688" s="1" t="n">
        <v>45952.52679398148</v>
      </c>
      <c r="C688" s="1" t="n">
        <v>46075</v>
      </c>
      <c r="D688" t="inlineStr">
        <is>
          <t>STOCKHOLMS LÄN</t>
        </is>
      </c>
      <c r="E688" t="inlineStr">
        <is>
          <t>NORRTÄLJE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10973-2025</t>
        </is>
      </c>
      <c r="B689" s="1" t="n">
        <v>45723</v>
      </c>
      <c r="C689" s="1" t="n">
        <v>46075</v>
      </c>
      <c r="D689" t="inlineStr">
        <is>
          <t>STOCKHOLMS LÄN</t>
        </is>
      </c>
      <c r="E689" t="inlineStr">
        <is>
          <t>NORRTÄLJE</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27885-2022</t>
        </is>
      </c>
      <c r="B690" s="1" t="n">
        <v>44743.67418981482</v>
      </c>
      <c r="C690" s="1" t="n">
        <v>46075</v>
      </c>
      <c r="D690" t="inlineStr">
        <is>
          <t>STOCKHOLMS LÄN</t>
        </is>
      </c>
      <c r="E690" t="inlineStr">
        <is>
          <t>NORRTÄLJE</t>
        </is>
      </c>
      <c r="F690" t="inlineStr">
        <is>
          <t>Holmen skog AB</t>
        </is>
      </c>
      <c r="G690" t="n">
        <v>0.8</v>
      </c>
      <c r="H690" t="n">
        <v>0</v>
      </c>
      <c r="I690" t="n">
        <v>0</v>
      </c>
      <c r="J690" t="n">
        <v>0</v>
      </c>
      <c r="K690" t="n">
        <v>0</v>
      </c>
      <c r="L690" t="n">
        <v>0</v>
      </c>
      <c r="M690" t="n">
        <v>0</v>
      </c>
      <c r="N690" t="n">
        <v>0</v>
      </c>
      <c r="O690" t="n">
        <v>0</v>
      </c>
      <c r="P690" t="n">
        <v>0</v>
      </c>
      <c r="Q690" t="n">
        <v>0</v>
      </c>
      <c r="R690" s="2" t="inlineStr"/>
    </row>
    <row r="691" ht="15" customHeight="1">
      <c r="A691" t="inlineStr">
        <is>
          <t>A 52251-2025</t>
        </is>
      </c>
      <c r="B691" s="1" t="n">
        <v>45953.49185185185</v>
      </c>
      <c r="C691" s="1" t="n">
        <v>46075</v>
      </c>
      <c r="D691" t="inlineStr">
        <is>
          <t>STOCKHOLMS LÄN</t>
        </is>
      </c>
      <c r="E691" t="inlineStr">
        <is>
          <t>NORRTÄLJE</t>
        </is>
      </c>
      <c r="G691" t="n">
        <v>6.2</v>
      </c>
      <c r="H691" t="n">
        <v>0</v>
      </c>
      <c r="I691" t="n">
        <v>0</v>
      </c>
      <c r="J691" t="n">
        <v>0</v>
      </c>
      <c r="K691" t="n">
        <v>0</v>
      </c>
      <c r="L691" t="n">
        <v>0</v>
      </c>
      <c r="M691" t="n">
        <v>0</v>
      </c>
      <c r="N691" t="n">
        <v>0</v>
      </c>
      <c r="O691" t="n">
        <v>0</v>
      </c>
      <c r="P691" t="n">
        <v>0</v>
      </c>
      <c r="Q691" t="n">
        <v>0</v>
      </c>
      <c r="R691" s="2" t="inlineStr"/>
    </row>
    <row r="692" ht="15" customHeight="1">
      <c r="A692" t="inlineStr">
        <is>
          <t>A 52254-2025</t>
        </is>
      </c>
      <c r="B692" s="1" t="n">
        <v>45953.49519675926</v>
      </c>
      <c r="C692" s="1" t="n">
        <v>46075</v>
      </c>
      <c r="D692" t="inlineStr">
        <is>
          <t>STOCKHOLMS LÄN</t>
        </is>
      </c>
      <c r="E692" t="inlineStr">
        <is>
          <t>NORRTÄLJE</t>
        </is>
      </c>
      <c r="G692" t="n">
        <v>2.2</v>
      </c>
      <c r="H692" t="n">
        <v>0</v>
      </c>
      <c r="I692" t="n">
        <v>0</v>
      </c>
      <c r="J692" t="n">
        <v>0</v>
      </c>
      <c r="K692" t="n">
        <v>0</v>
      </c>
      <c r="L692" t="n">
        <v>0</v>
      </c>
      <c r="M692" t="n">
        <v>0</v>
      </c>
      <c r="N692" t="n">
        <v>0</v>
      </c>
      <c r="O692" t="n">
        <v>0</v>
      </c>
      <c r="P692" t="n">
        <v>0</v>
      </c>
      <c r="Q692" t="n">
        <v>0</v>
      </c>
      <c r="R692" s="2" t="inlineStr"/>
    </row>
    <row r="693" ht="15" customHeight="1">
      <c r="A693" t="inlineStr">
        <is>
          <t>A 52773-2025</t>
        </is>
      </c>
      <c r="B693" s="1" t="n">
        <v>45957.41457175926</v>
      </c>
      <c r="C693" s="1" t="n">
        <v>46075</v>
      </c>
      <c r="D693" t="inlineStr">
        <is>
          <t>STOCKHOLMS LÄN</t>
        </is>
      </c>
      <c r="E693" t="inlineStr">
        <is>
          <t>NORRTÄLJE</t>
        </is>
      </c>
      <c r="F693" t="inlineStr">
        <is>
          <t>Sveaskog</t>
        </is>
      </c>
      <c r="G693" t="n">
        <v>10.5</v>
      </c>
      <c r="H693" t="n">
        <v>0</v>
      </c>
      <c r="I693" t="n">
        <v>0</v>
      </c>
      <c r="J693" t="n">
        <v>0</v>
      </c>
      <c r="K693" t="n">
        <v>0</v>
      </c>
      <c r="L693" t="n">
        <v>0</v>
      </c>
      <c r="M693" t="n">
        <v>0</v>
      </c>
      <c r="N693" t="n">
        <v>0</v>
      </c>
      <c r="O693" t="n">
        <v>0</v>
      </c>
      <c r="P693" t="n">
        <v>0</v>
      </c>
      <c r="Q693" t="n">
        <v>0</v>
      </c>
      <c r="R693" s="2" t="inlineStr"/>
    </row>
    <row r="694" ht="15" customHeight="1">
      <c r="A694" t="inlineStr">
        <is>
          <t>A 52777-2025</t>
        </is>
      </c>
      <c r="B694" s="1" t="n">
        <v>45957.41832175926</v>
      </c>
      <c r="C694" s="1" t="n">
        <v>46075</v>
      </c>
      <c r="D694" t="inlineStr">
        <is>
          <t>STOCKHOLMS LÄN</t>
        </is>
      </c>
      <c r="E694" t="inlineStr">
        <is>
          <t>NORRTÄLJE</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52526-2025</t>
        </is>
      </c>
      <c r="B695" s="1" t="n">
        <v>45954.53061342592</v>
      </c>
      <c r="C695" s="1" t="n">
        <v>46075</v>
      </c>
      <c r="D695" t="inlineStr">
        <is>
          <t>STOCKHOLMS LÄN</t>
        </is>
      </c>
      <c r="E695" t="inlineStr">
        <is>
          <t>NORRTÄLJE</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53000-2025</t>
        </is>
      </c>
      <c r="B696" s="1" t="n">
        <v>45957.74357638889</v>
      </c>
      <c r="C696" s="1" t="n">
        <v>46075</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52703-2025</t>
        </is>
      </c>
      <c r="B697" s="1" t="n">
        <v>45956.88643518519</v>
      </c>
      <c r="C697" s="1" t="n">
        <v>46075</v>
      </c>
      <c r="D697" t="inlineStr">
        <is>
          <t>STOCKHOLMS LÄN</t>
        </is>
      </c>
      <c r="E697" t="inlineStr">
        <is>
          <t>NORRTÄLJE</t>
        </is>
      </c>
      <c r="G697" t="n">
        <v>4.7</v>
      </c>
      <c r="H697" t="n">
        <v>0</v>
      </c>
      <c r="I697" t="n">
        <v>0</v>
      </c>
      <c r="J697" t="n">
        <v>0</v>
      </c>
      <c r="K697" t="n">
        <v>0</v>
      </c>
      <c r="L697" t="n">
        <v>0</v>
      </c>
      <c r="M697" t="n">
        <v>0</v>
      </c>
      <c r="N697" t="n">
        <v>0</v>
      </c>
      <c r="O697" t="n">
        <v>0</v>
      </c>
      <c r="P697" t="n">
        <v>0</v>
      </c>
      <c r="Q697" t="n">
        <v>0</v>
      </c>
      <c r="R697" s="2" t="inlineStr"/>
    </row>
    <row r="698" ht="15" customHeight="1">
      <c r="A698" t="inlineStr">
        <is>
          <t>A 52729-2025</t>
        </is>
      </c>
      <c r="B698" s="1" t="n">
        <v>45957.3636574074</v>
      </c>
      <c r="C698" s="1" t="n">
        <v>46075</v>
      </c>
      <c r="D698" t="inlineStr">
        <is>
          <t>STOCKHOLMS LÄN</t>
        </is>
      </c>
      <c r="E698" t="inlineStr">
        <is>
          <t>NORRTÄLJE</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52734-2025</t>
        </is>
      </c>
      <c r="B699" s="1" t="n">
        <v>45957.3710300926</v>
      </c>
      <c r="C699" s="1" t="n">
        <v>46075</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52776-2025</t>
        </is>
      </c>
      <c r="B700" s="1" t="n">
        <v>45957.41724537037</v>
      </c>
      <c r="C700" s="1" t="n">
        <v>46075</v>
      </c>
      <c r="D700" t="inlineStr">
        <is>
          <t>STOCKHOLMS LÄN</t>
        </is>
      </c>
      <c r="E700" t="inlineStr">
        <is>
          <t>NORRTÄLJE</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52529-2025</t>
        </is>
      </c>
      <c r="B701" s="1" t="n">
        <v>45954.53229166667</v>
      </c>
      <c r="C701" s="1" t="n">
        <v>46075</v>
      </c>
      <c r="D701" t="inlineStr">
        <is>
          <t>STOCKHOLMS LÄN</t>
        </is>
      </c>
      <c r="E701" t="inlineStr">
        <is>
          <t>NORRTÄLJE</t>
        </is>
      </c>
      <c r="F701" t="inlineStr">
        <is>
          <t>Sveaskog</t>
        </is>
      </c>
      <c r="G701" t="n">
        <v>7.8</v>
      </c>
      <c r="H701" t="n">
        <v>0</v>
      </c>
      <c r="I701" t="n">
        <v>0</v>
      </c>
      <c r="J701" t="n">
        <v>0</v>
      </c>
      <c r="K701" t="n">
        <v>0</v>
      </c>
      <c r="L701" t="n">
        <v>0</v>
      </c>
      <c r="M701" t="n">
        <v>0</v>
      </c>
      <c r="N701" t="n">
        <v>0</v>
      </c>
      <c r="O701" t="n">
        <v>0</v>
      </c>
      <c r="P701" t="n">
        <v>0</v>
      </c>
      <c r="Q701" t="n">
        <v>0</v>
      </c>
      <c r="R701" s="2" t="inlineStr"/>
    </row>
    <row r="702" ht="15" customHeight="1">
      <c r="A702" t="inlineStr">
        <is>
          <t>A 52704-2025</t>
        </is>
      </c>
      <c r="B702" s="1" t="n">
        <v>45956.89097222222</v>
      </c>
      <c r="C702" s="1" t="n">
        <v>46075</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52553-2025</t>
        </is>
      </c>
      <c r="B703" s="1" t="n">
        <v>45954.5624537037</v>
      </c>
      <c r="C703" s="1" t="n">
        <v>46075</v>
      </c>
      <c r="D703" t="inlineStr">
        <is>
          <t>STOCKHOLMS LÄN</t>
        </is>
      </c>
      <c r="E703" t="inlineStr">
        <is>
          <t>NORRTÄLJE</t>
        </is>
      </c>
      <c r="G703" t="n">
        <v>4.4</v>
      </c>
      <c r="H703" t="n">
        <v>0</v>
      </c>
      <c r="I703" t="n">
        <v>0</v>
      </c>
      <c r="J703" t="n">
        <v>0</v>
      </c>
      <c r="K703" t="n">
        <v>0</v>
      </c>
      <c r="L703" t="n">
        <v>0</v>
      </c>
      <c r="M703" t="n">
        <v>0</v>
      </c>
      <c r="N703" t="n">
        <v>0</v>
      </c>
      <c r="O703" t="n">
        <v>0</v>
      </c>
      <c r="P703" t="n">
        <v>0</v>
      </c>
      <c r="Q703" t="n">
        <v>0</v>
      </c>
      <c r="R703" s="2" t="inlineStr"/>
    </row>
    <row r="704" ht="15" customHeight="1">
      <c r="A704" t="inlineStr">
        <is>
          <t>A 60224-2023</t>
        </is>
      </c>
      <c r="B704" s="1" t="n">
        <v>45257</v>
      </c>
      <c r="C704" s="1" t="n">
        <v>46075</v>
      </c>
      <c r="D704" t="inlineStr">
        <is>
          <t>STOCKHOLMS LÄN</t>
        </is>
      </c>
      <c r="E704" t="inlineStr">
        <is>
          <t>NORRTÄLJE</t>
        </is>
      </c>
      <c r="G704" t="n">
        <v>8.1</v>
      </c>
      <c r="H704" t="n">
        <v>0</v>
      </c>
      <c r="I704" t="n">
        <v>0</v>
      </c>
      <c r="J704" t="n">
        <v>0</v>
      </c>
      <c r="K704" t="n">
        <v>0</v>
      </c>
      <c r="L704" t="n">
        <v>0</v>
      </c>
      <c r="M704" t="n">
        <v>0</v>
      </c>
      <c r="N704" t="n">
        <v>0</v>
      </c>
      <c r="O704" t="n">
        <v>0</v>
      </c>
      <c r="P704" t="n">
        <v>0</v>
      </c>
      <c r="Q704" t="n">
        <v>0</v>
      </c>
      <c r="R704" s="2" t="inlineStr"/>
    </row>
    <row r="705" ht="15" customHeight="1">
      <c r="A705" t="inlineStr">
        <is>
          <t>A 5158-2024</t>
        </is>
      </c>
      <c r="B705" s="1" t="n">
        <v>45330.50098379629</v>
      </c>
      <c r="C705" s="1" t="n">
        <v>46075</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46075</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53087-2025</t>
        </is>
      </c>
      <c r="B707" s="1" t="n">
        <v>45958.41065972222</v>
      </c>
      <c r="C707" s="1" t="n">
        <v>46075</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53115-2025</t>
        </is>
      </c>
      <c r="B708" s="1" t="n">
        <v>45958.44614583333</v>
      </c>
      <c r="C708" s="1" t="n">
        <v>46075</v>
      </c>
      <c r="D708" t="inlineStr">
        <is>
          <t>STOCKHOLMS LÄN</t>
        </is>
      </c>
      <c r="E708" t="inlineStr">
        <is>
          <t>NORRTÄLJE</t>
        </is>
      </c>
      <c r="F708" t="inlineStr">
        <is>
          <t>Kyrkan</t>
        </is>
      </c>
      <c r="G708" t="n">
        <v>2.5</v>
      </c>
      <c r="H708" t="n">
        <v>0</v>
      </c>
      <c r="I708" t="n">
        <v>0</v>
      </c>
      <c r="J708" t="n">
        <v>0</v>
      </c>
      <c r="K708" t="n">
        <v>0</v>
      </c>
      <c r="L708" t="n">
        <v>0</v>
      </c>
      <c r="M708" t="n">
        <v>0</v>
      </c>
      <c r="N708" t="n">
        <v>0</v>
      </c>
      <c r="O708" t="n">
        <v>0</v>
      </c>
      <c r="P708" t="n">
        <v>0</v>
      </c>
      <c r="Q708" t="n">
        <v>0</v>
      </c>
      <c r="R708" s="2" t="inlineStr"/>
    </row>
    <row r="709" ht="15" customHeight="1">
      <c r="A709" t="inlineStr">
        <is>
          <t>A 9130-2025</t>
        </is>
      </c>
      <c r="B709" s="1" t="n">
        <v>45713.92623842593</v>
      </c>
      <c r="C709" s="1" t="n">
        <v>46075</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53629-2025</t>
        </is>
      </c>
      <c r="B710" s="1" t="n">
        <v>45960.49570601852</v>
      </c>
      <c r="C710" s="1" t="n">
        <v>46075</v>
      </c>
      <c r="D710" t="inlineStr">
        <is>
          <t>STOCKHOLMS LÄN</t>
        </is>
      </c>
      <c r="E710" t="inlineStr">
        <is>
          <t>NORRTÄLJE</t>
        </is>
      </c>
      <c r="F710" t="inlineStr">
        <is>
          <t>Naturvårdsverket</t>
        </is>
      </c>
      <c r="G710" t="n">
        <v>7.9</v>
      </c>
      <c r="H710" t="n">
        <v>0</v>
      </c>
      <c r="I710" t="n">
        <v>0</v>
      </c>
      <c r="J710" t="n">
        <v>0</v>
      </c>
      <c r="K710" t="n">
        <v>0</v>
      </c>
      <c r="L710" t="n">
        <v>0</v>
      </c>
      <c r="M710" t="n">
        <v>0</v>
      </c>
      <c r="N710" t="n">
        <v>0</v>
      </c>
      <c r="O710" t="n">
        <v>0</v>
      </c>
      <c r="P710" t="n">
        <v>0</v>
      </c>
      <c r="Q710" t="n">
        <v>0</v>
      </c>
      <c r="R710" s="2" t="inlineStr"/>
    </row>
    <row r="711" ht="15" customHeight="1">
      <c r="A711" t="inlineStr">
        <is>
          <t>A 17551-2025</t>
        </is>
      </c>
      <c r="B711" s="1" t="n">
        <v>45757.61421296297</v>
      </c>
      <c r="C711" s="1" t="n">
        <v>46075</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55010-2024</t>
        </is>
      </c>
      <c r="B712" s="1" t="n">
        <v>45621.34425925926</v>
      </c>
      <c r="C712" s="1" t="n">
        <v>46075</v>
      </c>
      <c r="D712" t="inlineStr">
        <is>
          <t>STOCKHOLMS LÄN</t>
        </is>
      </c>
      <c r="E712" t="inlineStr">
        <is>
          <t>NORRTÄLJE</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31105-2022</t>
        </is>
      </c>
      <c r="B713" s="1" t="n">
        <v>44769.66039351852</v>
      </c>
      <c r="C713" s="1" t="n">
        <v>46075</v>
      </c>
      <c r="D713" t="inlineStr">
        <is>
          <t>STOCKHOLMS LÄN</t>
        </is>
      </c>
      <c r="E713" t="inlineStr">
        <is>
          <t>NORRTÄLJE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53747-2025</t>
        </is>
      </c>
      <c r="B714" s="1" t="n">
        <v>45960.65415509259</v>
      </c>
      <c r="C714" s="1" t="n">
        <v>46075</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30620-2022</t>
        </is>
      </c>
      <c r="B715" s="1" t="n">
        <v>44763.40914351852</v>
      </c>
      <c r="C715" s="1" t="n">
        <v>46075</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50113-2024</t>
        </is>
      </c>
      <c r="B716" s="1" t="n">
        <v>45600.411875</v>
      </c>
      <c r="C716" s="1" t="n">
        <v>46075</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28365-2022</t>
        </is>
      </c>
      <c r="B717" s="1" t="n">
        <v>44747</v>
      </c>
      <c r="C717" s="1" t="n">
        <v>46075</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42955-2022</t>
        </is>
      </c>
      <c r="B718" s="1" t="n">
        <v>44833.40876157407</v>
      </c>
      <c r="C718" s="1" t="n">
        <v>46075</v>
      </c>
      <c r="D718" t="inlineStr">
        <is>
          <t>STOCKHOLMS LÄN</t>
        </is>
      </c>
      <c r="E718" t="inlineStr">
        <is>
          <t>NORRTÄLJE</t>
        </is>
      </c>
      <c r="G718" t="n">
        <v>13.1</v>
      </c>
      <c r="H718" t="n">
        <v>0</v>
      </c>
      <c r="I718" t="n">
        <v>0</v>
      </c>
      <c r="J718" t="n">
        <v>0</v>
      </c>
      <c r="K718" t="n">
        <v>0</v>
      </c>
      <c r="L718" t="n">
        <v>0</v>
      </c>
      <c r="M718" t="n">
        <v>0</v>
      </c>
      <c r="N718" t="n">
        <v>0</v>
      </c>
      <c r="O718" t="n">
        <v>0</v>
      </c>
      <c r="P718" t="n">
        <v>0</v>
      </c>
      <c r="Q718" t="n">
        <v>0</v>
      </c>
      <c r="R718" s="2" t="inlineStr"/>
    </row>
    <row r="719" ht="15" customHeight="1">
      <c r="A719" t="inlineStr">
        <is>
          <t>A 1283-2025</t>
        </is>
      </c>
      <c r="B719" s="1" t="n">
        <v>45667.49878472222</v>
      </c>
      <c r="C719" s="1" t="n">
        <v>46075</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9703-2021</t>
        </is>
      </c>
      <c r="B720" s="1" t="n">
        <v>44252</v>
      </c>
      <c r="C720" s="1" t="n">
        <v>46075</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13767-2025</t>
        </is>
      </c>
      <c r="B721" s="1" t="n">
        <v>45737.43347222222</v>
      </c>
      <c r="C721" s="1" t="n">
        <v>46075</v>
      </c>
      <c r="D721" t="inlineStr">
        <is>
          <t>STOCKHOLMS LÄN</t>
        </is>
      </c>
      <c r="E721" t="inlineStr">
        <is>
          <t>NORRTÄLJE</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20013-2025</t>
        </is>
      </c>
      <c r="B722" s="1" t="n">
        <v>45772.30436342592</v>
      </c>
      <c r="C722" s="1" t="n">
        <v>46075</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53362-2023</t>
        </is>
      </c>
      <c r="B723" s="1" t="n">
        <v>45223</v>
      </c>
      <c r="C723" s="1" t="n">
        <v>46075</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15422-2024</t>
        </is>
      </c>
      <c r="B724" s="1" t="n">
        <v>45401.3653125</v>
      </c>
      <c r="C724" s="1" t="n">
        <v>46075</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30508-2023</t>
        </is>
      </c>
      <c r="B725" s="1" t="n">
        <v>45111</v>
      </c>
      <c r="C725" s="1" t="n">
        <v>46075</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54907-2025</t>
        </is>
      </c>
      <c r="B726" s="1" t="n">
        <v>45967.37137731481</v>
      </c>
      <c r="C726" s="1" t="n">
        <v>46075</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16008-2025</t>
        </is>
      </c>
      <c r="B727" s="1" t="n">
        <v>45749</v>
      </c>
      <c r="C727" s="1" t="n">
        <v>46075</v>
      </c>
      <c r="D727" t="inlineStr">
        <is>
          <t>STOCKHOLMS LÄN</t>
        </is>
      </c>
      <c r="E727" t="inlineStr">
        <is>
          <t>NORRTÄLJE</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55503-2025</t>
        </is>
      </c>
      <c r="B728" s="1" t="n">
        <v>45971</v>
      </c>
      <c r="C728" s="1" t="n">
        <v>46075</v>
      </c>
      <c r="D728" t="inlineStr">
        <is>
          <t>STOCKHOLMS LÄN</t>
        </is>
      </c>
      <c r="E728" t="inlineStr">
        <is>
          <t>NORRTÄLJE</t>
        </is>
      </c>
      <c r="G728" t="n">
        <v>3</v>
      </c>
      <c r="H728" t="n">
        <v>0</v>
      </c>
      <c r="I728" t="n">
        <v>0</v>
      </c>
      <c r="J728" t="n">
        <v>0</v>
      </c>
      <c r="K728" t="n">
        <v>0</v>
      </c>
      <c r="L728" t="n">
        <v>0</v>
      </c>
      <c r="M728" t="n">
        <v>0</v>
      </c>
      <c r="N728" t="n">
        <v>0</v>
      </c>
      <c r="O728" t="n">
        <v>0</v>
      </c>
      <c r="P728" t="n">
        <v>0</v>
      </c>
      <c r="Q728" t="n">
        <v>0</v>
      </c>
      <c r="R728" s="2" t="inlineStr"/>
    </row>
    <row r="729" ht="15" customHeight="1">
      <c r="A729" t="inlineStr">
        <is>
          <t>A 21158-2022</t>
        </is>
      </c>
      <c r="B729" s="1" t="n">
        <v>44704</v>
      </c>
      <c r="C729" s="1" t="n">
        <v>46075</v>
      </c>
      <c r="D729" t="inlineStr">
        <is>
          <t>STOCKHOLMS LÄN</t>
        </is>
      </c>
      <c r="E729" t="inlineStr">
        <is>
          <t>NORRTÄLJE</t>
        </is>
      </c>
      <c r="G729" t="n">
        <v>17.8</v>
      </c>
      <c r="H729" t="n">
        <v>0</v>
      </c>
      <c r="I729" t="n">
        <v>0</v>
      </c>
      <c r="J729" t="n">
        <v>0</v>
      </c>
      <c r="K729" t="n">
        <v>0</v>
      </c>
      <c r="L729" t="n">
        <v>0</v>
      </c>
      <c r="M729" t="n">
        <v>0</v>
      </c>
      <c r="N729" t="n">
        <v>0</v>
      </c>
      <c r="O729" t="n">
        <v>0</v>
      </c>
      <c r="P729" t="n">
        <v>0</v>
      </c>
      <c r="Q729" t="n">
        <v>0</v>
      </c>
      <c r="R729" s="2" t="inlineStr"/>
    </row>
    <row r="730" ht="15" customHeight="1">
      <c r="A730" t="inlineStr">
        <is>
          <t>A 32101-2022</t>
        </is>
      </c>
      <c r="B730" s="1" t="n">
        <v>44778.69210648148</v>
      </c>
      <c r="C730" s="1" t="n">
        <v>46075</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23150-2024</t>
        </is>
      </c>
      <c r="B731" s="1" t="n">
        <v>45450.64643518518</v>
      </c>
      <c r="C731" s="1" t="n">
        <v>46075</v>
      </c>
      <c r="D731" t="inlineStr">
        <is>
          <t>STOCKHOLMS LÄN</t>
        </is>
      </c>
      <c r="E731" t="inlineStr">
        <is>
          <t>NORRTÄLJE</t>
        </is>
      </c>
      <c r="F731" t="inlineStr">
        <is>
          <t>Kommuner</t>
        </is>
      </c>
      <c r="G731" t="n">
        <v>2.7</v>
      </c>
      <c r="H731" t="n">
        <v>0</v>
      </c>
      <c r="I731" t="n">
        <v>0</v>
      </c>
      <c r="J731" t="n">
        <v>0</v>
      </c>
      <c r="K731" t="n">
        <v>0</v>
      </c>
      <c r="L731" t="n">
        <v>0</v>
      </c>
      <c r="M731" t="n">
        <v>0</v>
      </c>
      <c r="N731" t="n">
        <v>0</v>
      </c>
      <c r="O731" t="n">
        <v>0</v>
      </c>
      <c r="P731" t="n">
        <v>0</v>
      </c>
      <c r="Q731" t="n">
        <v>0</v>
      </c>
      <c r="R731" s="2" t="inlineStr"/>
    </row>
    <row r="732" ht="15" customHeight="1">
      <c r="A732" t="inlineStr">
        <is>
          <t>A 24933-2023</t>
        </is>
      </c>
      <c r="B732" s="1" t="n">
        <v>45085.5309375</v>
      </c>
      <c r="C732" s="1" t="n">
        <v>46075</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55599-2025</t>
        </is>
      </c>
      <c r="B733" s="1" t="n">
        <v>45971.76810185185</v>
      </c>
      <c r="C733" s="1" t="n">
        <v>46075</v>
      </c>
      <c r="D733" t="inlineStr">
        <is>
          <t>STOCKHOLMS LÄN</t>
        </is>
      </c>
      <c r="E733" t="inlineStr">
        <is>
          <t>NORRTÄLJE</t>
        </is>
      </c>
      <c r="F733" t="inlineStr">
        <is>
          <t>Holmen skog AB</t>
        </is>
      </c>
      <c r="G733" t="n">
        <v>6.4</v>
      </c>
      <c r="H733" t="n">
        <v>0</v>
      </c>
      <c r="I733" t="n">
        <v>0</v>
      </c>
      <c r="J733" t="n">
        <v>0</v>
      </c>
      <c r="K733" t="n">
        <v>0</v>
      </c>
      <c r="L733" t="n">
        <v>0</v>
      </c>
      <c r="M733" t="n">
        <v>0</v>
      </c>
      <c r="N733" t="n">
        <v>0</v>
      </c>
      <c r="O733" t="n">
        <v>0</v>
      </c>
      <c r="P733" t="n">
        <v>0</v>
      </c>
      <c r="Q733" t="n">
        <v>0</v>
      </c>
      <c r="R733" s="2" t="inlineStr"/>
    </row>
    <row r="734" ht="15" customHeight="1">
      <c r="A734" t="inlineStr">
        <is>
          <t>A 56114-2025</t>
        </is>
      </c>
      <c r="B734" s="1" t="n">
        <v>45973.74474537037</v>
      </c>
      <c r="C734" s="1" t="n">
        <v>46075</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56631-2024</t>
        </is>
      </c>
      <c r="B735" s="1" t="n">
        <v>45625</v>
      </c>
      <c r="C735" s="1" t="n">
        <v>46075</v>
      </c>
      <c r="D735" t="inlineStr">
        <is>
          <t>STOCKHOLMS LÄN</t>
        </is>
      </c>
      <c r="E735" t="inlineStr">
        <is>
          <t>NORRTÄLJE</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652-2025</t>
        </is>
      </c>
      <c r="B736" s="1" t="n">
        <v>45664</v>
      </c>
      <c r="C736" s="1" t="n">
        <v>46075</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5389-2025</t>
        </is>
      </c>
      <c r="B737" s="1" t="n">
        <v>45692</v>
      </c>
      <c r="C737" s="1" t="n">
        <v>46075</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13051-2021</t>
        </is>
      </c>
      <c r="B738" s="1" t="n">
        <v>44272</v>
      </c>
      <c r="C738" s="1" t="n">
        <v>46075</v>
      </c>
      <c r="D738" t="inlineStr">
        <is>
          <t>STOCKHOLMS LÄN</t>
        </is>
      </c>
      <c r="E738" t="inlineStr">
        <is>
          <t>NORRTÄLJE</t>
        </is>
      </c>
      <c r="G738" t="n">
        <v>9.1</v>
      </c>
      <c r="H738" t="n">
        <v>0</v>
      </c>
      <c r="I738" t="n">
        <v>0</v>
      </c>
      <c r="J738" t="n">
        <v>0</v>
      </c>
      <c r="K738" t="n">
        <v>0</v>
      </c>
      <c r="L738" t="n">
        <v>0</v>
      </c>
      <c r="M738" t="n">
        <v>0</v>
      </c>
      <c r="N738" t="n">
        <v>0</v>
      </c>
      <c r="O738" t="n">
        <v>0</v>
      </c>
      <c r="P738" t="n">
        <v>0</v>
      </c>
      <c r="Q738" t="n">
        <v>0</v>
      </c>
      <c r="R738" s="2" t="inlineStr"/>
    </row>
    <row r="739" ht="15" customHeight="1">
      <c r="A739" t="inlineStr">
        <is>
          <t>A 56207-2025</t>
        </is>
      </c>
      <c r="B739" s="1" t="n">
        <v>45974.47329861111</v>
      </c>
      <c r="C739" s="1" t="n">
        <v>46075</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11499-2023</t>
        </is>
      </c>
      <c r="B740" s="1" t="n">
        <v>44993.66707175926</v>
      </c>
      <c r="C740" s="1" t="n">
        <v>46075</v>
      </c>
      <c r="D740" t="inlineStr">
        <is>
          <t>STOCKHOLMS LÄN</t>
        </is>
      </c>
      <c r="E740" t="inlineStr">
        <is>
          <t>NORRTÄLJE</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576-2023</t>
        </is>
      </c>
      <c r="B741" s="1" t="n">
        <v>44925</v>
      </c>
      <c r="C741" s="1" t="n">
        <v>46075</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10678-2025</t>
        </is>
      </c>
      <c r="B742" s="1" t="n">
        <v>45721.89123842592</v>
      </c>
      <c r="C742" s="1" t="n">
        <v>46075</v>
      </c>
      <c r="D742" t="inlineStr">
        <is>
          <t>STOCKHOLMS LÄN</t>
        </is>
      </c>
      <c r="E742" t="inlineStr">
        <is>
          <t>NORRTÄLJE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31936-2022</t>
        </is>
      </c>
      <c r="B743" s="1" t="n">
        <v>44777</v>
      </c>
      <c r="C743" s="1" t="n">
        <v>46075</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59873-2024</t>
        </is>
      </c>
      <c r="B744" s="1" t="n">
        <v>45640.57305555556</v>
      </c>
      <c r="C744" s="1" t="n">
        <v>46075</v>
      </c>
      <c r="D744" t="inlineStr">
        <is>
          <t>STOCKHOLMS LÄN</t>
        </is>
      </c>
      <c r="E744" t="inlineStr">
        <is>
          <t>NORRTÄLJE</t>
        </is>
      </c>
      <c r="G744" t="n">
        <v>3.3</v>
      </c>
      <c r="H744" t="n">
        <v>0</v>
      </c>
      <c r="I744" t="n">
        <v>0</v>
      </c>
      <c r="J744" t="n">
        <v>0</v>
      </c>
      <c r="K744" t="n">
        <v>0</v>
      </c>
      <c r="L744" t="n">
        <v>0</v>
      </c>
      <c r="M744" t="n">
        <v>0</v>
      </c>
      <c r="N744" t="n">
        <v>0</v>
      </c>
      <c r="O744" t="n">
        <v>0</v>
      </c>
      <c r="P744" t="n">
        <v>0</v>
      </c>
      <c r="Q744" t="n">
        <v>0</v>
      </c>
      <c r="R744" s="2" t="inlineStr"/>
    </row>
    <row r="745" ht="15" customHeight="1">
      <c r="A745" t="inlineStr">
        <is>
          <t>A 35916-2024</t>
        </is>
      </c>
      <c r="B745" s="1" t="n">
        <v>45533</v>
      </c>
      <c r="C745" s="1" t="n">
        <v>46075</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46075</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63161-2023</t>
        </is>
      </c>
      <c r="B747" s="1" t="n">
        <v>45273</v>
      </c>
      <c r="C747" s="1" t="n">
        <v>46075</v>
      </c>
      <c r="D747" t="inlineStr">
        <is>
          <t>STOCKHOLMS LÄN</t>
        </is>
      </c>
      <c r="E747" t="inlineStr">
        <is>
          <t>NORRTÄLJE</t>
        </is>
      </c>
      <c r="G747" t="n">
        <v>1.6</v>
      </c>
      <c r="H747" t="n">
        <v>0</v>
      </c>
      <c r="I747" t="n">
        <v>0</v>
      </c>
      <c r="J747" t="n">
        <v>0</v>
      </c>
      <c r="K747" t="n">
        <v>0</v>
      </c>
      <c r="L747" t="n">
        <v>0</v>
      </c>
      <c r="M747" t="n">
        <v>0</v>
      </c>
      <c r="N747" t="n">
        <v>0</v>
      </c>
      <c r="O747" t="n">
        <v>0</v>
      </c>
      <c r="P747" t="n">
        <v>0</v>
      </c>
      <c r="Q747" t="n">
        <v>0</v>
      </c>
      <c r="R747" s="2" t="inlineStr"/>
    </row>
    <row r="748" ht="15" customHeight="1">
      <c r="A748" t="inlineStr">
        <is>
          <t>A 7796-2025</t>
        </is>
      </c>
      <c r="B748" s="1" t="n">
        <v>45706.60130787037</v>
      </c>
      <c r="C748" s="1" t="n">
        <v>46075</v>
      </c>
      <c r="D748" t="inlineStr">
        <is>
          <t>STOCKHOLMS LÄN</t>
        </is>
      </c>
      <c r="E748" t="inlineStr">
        <is>
          <t>NORRTÄLJE</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15552-2021</t>
        </is>
      </c>
      <c r="B749" s="1" t="n">
        <v>44285</v>
      </c>
      <c r="C749" s="1" t="n">
        <v>46075</v>
      </c>
      <c r="D749" t="inlineStr">
        <is>
          <t>STOCKHOLMS LÄN</t>
        </is>
      </c>
      <c r="E749" t="inlineStr">
        <is>
          <t>NORRTÄLJE</t>
        </is>
      </c>
      <c r="G749" t="n">
        <v>10</v>
      </c>
      <c r="H749" t="n">
        <v>0</v>
      </c>
      <c r="I749" t="n">
        <v>0</v>
      </c>
      <c r="J749" t="n">
        <v>0</v>
      </c>
      <c r="K749" t="n">
        <v>0</v>
      </c>
      <c r="L749" t="n">
        <v>0</v>
      </c>
      <c r="M749" t="n">
        <v>0</v>
      </c>
      <c r="N749" t="n">
        <v>0</v>
      </c>
      <c r="O749" t="n">
        <v>0</v>
      </c>
      <c r="P749" t="n">
        <v>0</v>
      </c>
      <c r="Q749" t="n">
        <v>0</v>
      </c>
      <c r="R749" s="2" t="inlineStr"/>
    </row>
    <row r="750" ht="15" customHeight="1">
      <c r="A750" t="inlineStr">
        <is>
          <t>A 58040-2024</t>
        </is>
      </c>
      <c r="B750" s="1" t="n">
        <v>45631.73952546297</v>
      </c>
      <c r="C750" s="1" t="n">
        <v>46075</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58041-2024</t>
        </is>
      </c>
      <c r="B751" s="1" t="n">
        <v>45631.74673611111</v>
      </c>
      <c r="C751" s="1" t="n">
        <v>46075</v>
      </c>
      <c r="D751" t="inlineStr">
        <is>
          <t>STOCKHOLMS LÄN</t>
        </is>
      </c>
      <c r="E751" t="inlineStr">
        <is>
          <t>NORRTÄLJE</t>
        </is>
      </c>
      <c r="G751" t="n">
        <v>0.7</v>
      </c>
      <c r="H751" t="n">
        <v>0</v>
      </c>
      <c r="I751" t="n">
        <v>0</v>
      </c>
      <c r="J751" t="n">
        <v>0</v>
      </c>
      <c r="K751" t="n">
        <v>0</v>
      </c>
      <c r="L751" t="n">
        <v>0</v>
      </c>
      <c r="M751" t="n">
        <v>0</v>
      </c>
      <c r="N751" t="n">
        <v>0</v>
      </c>
      <c r="O751" t="n">
        <v>0</v>
      </c>
      <c r="P751" t="n">
        <v>0</v>
      </c>
      <c r="Q751" t="n">
        <v>0</v>
      </c>
      <c r="R751" s="2" t="inlineStr"/>
    </row>
    <row r="752" ht="15" customHeight="1">
      <c r="A752" t="inlineStr">
        <is>
          <t>A 30268-2024</t>
        </is>
      </c>
      <c r="B752" s="1" t="n">
        <v>45490.60572916667</v>
      </c>
      <c r="C752" s="1" t="n">
        <v>46075</v>
      </c>
      <c r="D752" t="inlineStr">
        <is>
          <t>STOCKHOLMS LÄN</t>
        </is>
      </c>
      <c r="E752" t="inlineStr">
        <is>
          <t>NORRTÄLJE</t>
        </is>
      </c>
      <c r="G752" t="n">
        <v>5.6</v>
      </c>
      <c r="H752" t="n">
        <v>0</v>
      </c>
      <c r="I752" t="n">
        <v>0</v>
      </c>
      <c r="J752" t="n">
        <v>0</v>
      </c>
      <c r="K752" t="n">
        <v>0</v>
      </c>
      <c r="L752" t="n">
        <v>0</v>
      </c>
      <c r="M752" t="n">
        <v>0</v>
      </c>
      <c r="N752" t="n">
        <v>0</v>
      </c>
      <c r="O752" t="n">
        <v>0</v>
      </c>
      <c r="P752" t="n">
        <v>0</v>
      </c>
      <c r="Q752" t="n">
        <v>0</v>
      </c>
      <c r="R752" s="2" t="inlineStr"/>
    </row>
    <row r="753" ht="15" customHeight="1">
      <c r="A753" t="inlineStr">
        <is>
          <t>A 58403-2025</t>
        </is>
      </c>
      <c r="B753" s="1" t="n">
        <v>45985.56777777777</v>
      </c>
      <c r="C753" s="1" t="n">
        <v>46075</v>
      </c>
      <c r="D753" t="inlineStr">
        <is>
          <t>STOCKHOLMS LÄN</t>
        </is>
      </c>
      <c r="E753" t="inlineStr">
        <is>
          <t>NORRTÄLJE</t>
        </is>
      </c>
      <c r="F753" t="inlineStr">
        <is>
          <t>Naturvårdsverket</t>
        </is>
      </c>
      <c r="G753" t="n">
        <v>13.5</v>
      </c>
      <c r="H753" t="n">
        <v>0</v>
      </c>
      <c r="I753" t="n">
        <v>0</v>
      </c>
      <c r="J753" t="n">
        <v>0</v>
      </c>
      <c r="K753" t="n">
        <v>0</v>
      </c>
      <c r="L753" t="n">
        <v>0</v>
      </c>
      <c r="M753" t="n">
        <v>0</v>
      </c>
      <c r="N753" t="n">
        <v>0</v>
      </c>
      <c r="O753" t="n">
        <v>0</v>
      </c>
      <c r="P753" t="n">
        <v>0</v>
      </c>
      <c r="Q753" t="n">
        <v>0</v>
      </c>
      <c r="R753" s="2" t="inlineStr"/>
    </row>
    <row r="754" ht="15" customHeight="1">
      <c r="A754" t="inlineStr">
        <is>
          <t>A 12407-2025</t>
        </is>
      </c>
      <c r="B754" s="1" t="n">
        <v>45730.42851851852</v>
      </c>
      <c r="C754" s="1" t="n">
        <v>46075</v>
      </c>
      <c r="D754" t="inlineStr">
        <is>
          <t>STOCKHOLMS LÄN</t>
        </is>
      </c>
      <c r="E754" t="inlineStr">
        <is>
          <t>NORRTÄLJE</t>
        </is>
      </c>
      <c r="F754" t="inlineStr">
        <is>
          <t>Holmen skog AB</t>
        </is>
      </c>
      <c r="G754" t="n">
        <v>2.6</v>
      </c>
      <c r="H754" t="n">
        <v>0</v>
      </c>
      <c r="I754" t="n">
        <v>0</v>
      </c>
      <c r="J754" t="n">
        <v>0</v>
      </c>
      <c r="K754" t="n">
        <v>0</v>
      </c>
      <c r="L754" t="n">
        <v>0</v>
      </c>
      <c r="M754" t="n">
        <v>0</v>
      </c>
      <c r="N754" t="n">
        <v>0</v>
      </c>
      <c r="O754" t="n">
        <v>0</v>
      </c>
      <c r="P754" t="n">
        <v>0</v>
      </c>
      <c r="Q754" t="n">
        <v>0</v>
      </c>
      <c r="R754" s="2" t="inlineStr"/>
    </row>
    <row r="755" ht="15" customHeight="1">
      <c r="A755" t="inlineStr">
        <is>
          <t>A 19025-2025</t>
        </is>
      </c>
      <c r="B755" s="1" t="n">
        <v>45764.6359837963</v>
      </c>
      <c r="C755" s="1" t="n">
        <v>46075</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54276-2021</t>
        </is>
      </c>
      <c r="B756" s="1" t="n">
        <v>44470</v>
      </c>
      <c r="C756" s="1" t="n">
        <v>46075</v>
      </c>
      <c r="D756" t="inlineStr">
        <is>
          <t>STOCKHOLMS LÄN</t>
        </is>
      </c>
      <c r="E756" t="inlineStr">
        <is>
          <t>NORRTÄLJE</t>
        </is>
      </c>
      <c r="G756" t="n">
        <v>7.3</v>
      </c>
      <c r="H756" t="n">
        <v>0</v>
      </c>
      <c r="I756" t="n">
        <v>0</v>
      </c>
      <c r="J756" t="n">
        <v>0</v>
      </c>
      <c r="K756" t="n">
        <v>0</v>
      </c>
      <c r="L756" t="n">
        <v>0</v>
      </c>
      <c r="M756" t="n">
        <v>0</v>
      </c>
      <c r="N756" t="n">
        <v>0</v>
      </c>
      <c r="O756" t="n">
        <v>0</v>
      </c>
      <c r="P756" t="n">
        <v>0</v>
      </c>
      <c r="Q756" t="n">
        <v>0</v>
      </c>
      <c r="R756" s="2" t="inlineStr"/>
    </row>
    <row r="757" ht="15" customHeight="1">
      <c r="A757" t="inlineStr">
        <is>
          <t>A 4316-2023</t>
        </is>
      </c>
      <c r="B757" s="1" t="n">
        <v>44953.67443287037</v>
      </c>
      <c r="C757" s="1" t="n">
        <v>46075</v>
      </c>
      <c r="D757" t="inlineStr">
        <is>
          <t>STOCKHOLMS LÄN</t>
        </is>
      </c>
      <c r="E757" t="inlineStr">
        <is>
          <t>NORRTÄLJE</t>
        </is>
      </c>
      <c r="G757" t="n">
        <v>2.1</v>
      </c>
      <c r="H757" t="n">
        <v>0</v>
      </c>
      <c r="I757" t="n">
        <v>0</v>
      </c>
      <c r="J757" t="n">
        <v>0</v>
      </c>
      <c r="K757" t="n">
        <v>0</v>
      </c>
      <c r="L757" t="n">
        <v>0</v>
      </c>
      <c r="M757" t="n">
        <v>0</v>
      </c>
      <c r="N757" t="n">
        <v>0</v>
      </c>
      <c r="O757" t="n">
        <v>0</v>
      </c>
      <c r="P757" t="n">
        <v>0</v>
      </c>
      <c r="Q757" t="n">
        <v>0</v>
      </c>
      <c r="R757" s="2" t="inlineStr"/>
    </row>
    <row r="758" ht="15" customHeight="1">
      <c r="A758" t="inlineStr">
        <is>
          <t>A 58142-2025</t>
        </is>
      </c>
      <c r="B758" s="1" t="n">
        <v>45982.63791666667</v>
      </c>
      <c r="C758" s="1" t="n">
        <v>46075</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57953-2025</t>
        </is>
      </c>
      <c r="B759" s="1" t="n">
        <v>45982.35016203704</v>
      </c>
      <c r="C759" s="1" t="n">
        <v>46075</v>
      </c>
      <c r="D759" t="inlineStr">
        <is>
          <t>STOCKHOLMS LÄN</t>
        </is>
      </c>
      <c r="E759" t="inlineStr">
        <is>
          <t>NORRTÄLJE</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41587-2023</t>
        </is>
      </c>
      <c r="B760" s="1" t="n">
        <v>45175</v>
      </c>
      <c r="C760" s="1" t="n">
        <v>46075</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58939-2025</t>
        </is>
      </c>
      <c r="B761" s="1" t="n">
        <v>45987.5681712963</v>
      </c>
      <c r="C761" s="1" t="n">
        <v>46075</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17304-2024</t>
        </is>
      </c>
      <c r="B762" s="1" t="n">
        <v>45414</v>
      </c>
      <c r="C762" s="1" t="n">
        <v>46075</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11280-2023</t>
        </is>
      </c>
      <c r="B763" s="1" t="n">
        <v>44992</v>
      </c>
      <c r="C763" s="1" t="n">
        <v>46075</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26668-2024</t>
        </is>
      </c>
      <c r="B764" s="1" t="n">
        <v>45469</v>
      </c>
      <c r="C764" s="1" t="n">
        <v>46075</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31926-2022</t>
        </is>
      </c>
      <c r="B765" s="1" t="n">
        <v>44777</v>
      </c>
      <c r="C765" s="1" t="n">
        <v>46075</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21480-2022</t>
        </is>
      </c>
      <c r="B766" s="1" t="n">
        <v>44704</v>
      </c>
      <c r="C766" s="1" t="n">
        <v>46075</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11041-2025</t>
        </is>
      </c>
      <c r="B767" s="1" t="n">
        <v>45723</v>
      </c>
      <c r="C767" s="1" t="n">
        <v>46075</v>
      </c>
      <c r="D767" t="inlineStr">
        <is>
          <t>STOCKHOLMS LÄN</t>
        </is>
      </c>
      <c r="E767" t="inlineStr">
        <is>
          <t>NORRTÄLJE</t>
        </is>
      </c>
      <c r="F767" t="inlineStr">
        <is>
          <t>Övriga Aktiebolag</t>
        </is>
      </c>
      <c r="G767" t="n">
        <v>1.8</v>
      </c>
      <c r="H767" t="n">
        <v>0</v>
      </c>
      <c r="I767" t="n">
        <v>0</v>
      </c>
      <c r="J767" t="n">
        <v>0</v>
      </c>
      <c r="K767" t="n">
        <v>0</v>
      </c>
      <c r="L767" t="n">
        <v>0</v>
      </c>
      <c r="M767" t="n">
        <v>0</v>
      </c>
      <c r="N767" t="n">
        <v>0</v>
      </c>
      <c r="O767" t="n">
        <v>0</v>
      </c>
      <c r="P767" t="n">
        <v>0</v>
      </c>
      <c r="Q767" t="n">
        <v>0</v>
      </c>
      <c r="R767" s="2" t="inlineStr"/>
    </row>
    <row r="768" ht="15" customHeight="1">
      <c r="A768" t="inlineStr">
        <is>
          <t>A 9469-2021</t>
        </is>
      </c>
      <c r="B768" s="1" t="n">
        <v>44251</v>
      </c>
      <c r="C768" s="1" t="n">
        <v>46075</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24024-2024</t>
        </is>
      </c>
      <c r="B769" s="1" t="n">
        <v>45456</v>
      </c>
      <c r="C769" s="1" t="n">
        <v>46075</v>
      </c>
      <c r="D769" t="inlineStr">
        <is>
          <t>STOCKHOLMS LÄN</t>
        </is>
      </c>
      <c r="E769" t="inlineStr">
        <is>
          <t>NORRTÄLJE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28809-2023</t>
        </is>
      </c>
      <c r="B770" s="1" t="n">
        <v>45104</v>
      </c>
      <c r="C770" s="1" t="n">
        <v>46075</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28813-2023</t>
        </is>
      </c>
      <c r="B771" s="1" t="n">
        <v>45104</v>
      </c>
      <c r="C771" s="1" t="n">
        <v>46075</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40656-2022</t>
        </is>
      </c>
      <c r="B772" s="1" t="n">
        <v>44824.36069444445</v>
      </c>
      <c r="C772" s="1" t="n">
        <v>46075</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59041-2025</t>
        </is>
      </c>
      <c r="B773" s="1" t="n">
        <v>45988</v>
      </c>
      <c r="C773" s="1" t="n">
        <v>46075</v>
      </c>
      <c r="D773" t="inlineStr">
        <is>
          <t>STOCKHOLMS LÄN</t>
        </is>
      </c>
      <c r="E773" t="inlineStr">
        <is>
          <t>NORRTÄLJE</t>
        </is>
      </c>
      <c r="G773" t="n">
        <v>6.6</v>
      </c>
      <c r="H773" t="n">
        <v>0</v>
      </c>
      <c r="I773" t="n">
        <v>0</v>
      </c>
      <c r="J773" t="n">
        <v>0</v>
      </c>
      <c r="K773" t="n">
        <v>0</v>
      </c>
      <c r="L773" t="n">
        <v>0</v>
      </c>
      <c r="M773" t="n">
        <v>0</v>
      </c>
      <c r="N773" t="n">
        <v>0</v>
      </c>
      <c r="O773" t="n">
        <v>0</v>
      </c>
      <c r="P773" t="n">
        <v>0</v>
      </c>
      <c r="Q773" t="n">
        <v>0</v>
      </c>
      <c r="R773" s="2" t="inlineStr"/>
    </row>
    <row r="774" ht="15" customHeight="1">
      <c r="A774" t="inlineStr">
        <is>
          <t>A 60694-2024</t>
        </is>
      </c>
      <c r="B774" s="1" t="n">
        <v>45644.47878472223</v>
      </c>
      <c r="C774" s="1" t="n">
        <v>46075</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59914-2025</t>
        </is>
      </c>
      <c r="B775" s="1" t="n">
        <v>45993.37056712963</v>
      </c>
      <c r="C775" s="1" t="n">
        <v>46075</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59672-2025</t>
        </is>
      </c>
      <c r="B776" s="1" t="n">
        <v>45992.45884259259</v>
      </c>
      <c r="C776" s="1" t="n">
        <v>46075</v>
      </c>
      <c r="D776" t="inlineStr">
        <is>
          <t>STOCKHOLMS LÄN</t>
        </is>
      </c>
      <c r="E776" t="inlineStr">
        <is>
          <t>NORRTÄLJE</t>
        </is>
      </c>
      <c r="G776" t="n">
        <v>4</v>
      </c>
      <c r="H776" t="n">
        <v>0</v>
      </c>
      <c r="I776" t="n">
        <v>0</v>
      </c>
      <c r="J776" t="n">
        <v>0</v>
      </c>
      <c r="K776" t="n">
        <v>0</v>
      </c>
      <c r="L776" t="n">
        <v>0</v>
      </c>
      <c r="M776" t="n">
        <v>0</v>
      </c>
      <c r="N776" t="n">
        <v>0</v>
      </c>
      <c r="O776" t="n">
        <v>0</v>
      </c>
      <c r="P776" t="n">
        <v>0</v>
      </c>
      <c r="Q776" t="n">
        <v>0</v>
      </c>
      <c r="R776" s="2" t="inlineStr"/>
    </row>
    <row r="777" ht="15" customHeight="1">
      <c r="A777" t="inlineStr">
        <is>
          <t>A 57788-2025</t>
        </is>
      </c>
      <c r="B777" s="1" t="n">
        <v>45981.5778125</v>
      </c>
      <c r="C777" s="1" t="n">
        <v>46075</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59907-2025</t>
        </is>
      </c>
      <c r="B778" s="1" t="n">
        <v>45993.35350694445</v>
      </c>
      <c r="C778" s="1" t="n">
        <v>46075</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1755-2026</t>
        </is>
      </c>
      <c r="B779" s="1" t="n">
        <v>46034.66230324074</v>
      </c>
      <c r="C779" s="1" t="n">
        <v>46075</v>
      </c>
      <c r="D779" t="inlineStr">
        <is>
          <t>STOCKHOLMS LÄN</t>
        </is>
      </c>
      <c r="E779" t="inlineStr">
        <is>
          <t>NORRTÄLJE</t>
        </is>
      </c>
      <c r="F779" t="inlineStr">
        <is>
          <t>Holmen skog AB</t>
        </is>
      </c>
      <c r="G779" t="n">
        <v>3.5</v>
      </c>
      <c r="H779" t="n">
        <v>0</v>
      </c>
      <c r="I779" t="n">
        <v>0</v>
      </c>
      <c r="J779" t="n">
        <v>0</v>
      </c>
      <c r="K779" t="n">
        <v>0</v>
      </c>
      <c r="L779" t="n">
        <v>0</v>
      </c>
      <c r="M779" t="n">
        <v>0</v>
      </c>
      <c r="N779" t="n">
        <v>0</v>
      </c>
      <c r="O779" t="n">
        <v>0</v>
      </c>
      <c r="P779" t="n">
        <v>0</v>
      </c>
      <c r="Q779" t="n">
        <v>0</v>
      </c>
      <c r="R779" s="2" t="inlineStr"/>
    </row>
    <row r="780" ht="15" customHeight="1">
      <c r="A780" t="inlineStr">
        <is>
          <t>A 19450-2025</t>
        </is>
      </c>
      <c r="B780" s="1" t="n">
        <v>45770</v>
      </c>
      <c r="C780" s="1" t="n">
        <v>46075</v>
      </c>
      <c r="D780" t="inlineStr">
        <is>
          <t>STOCKHOLMS LÄN</t>
        </is>
      </c>
      <c r="E780" t="inlineStr">
        <is>
          <t>NORRTÄLJE</t>
        </is>
      </c>
      <c r="G780" t="n">
        <v>5.3</v>
      </c>
      <c r="H780" t="n">
        <v>0</v>
      </c>
      <c r="I780" t="n">
        <v>0</v>
      </c>
      <c r="J780" t="n">
        <v>0</v>
      </c>
      <c r="K780" t="n">
        <v>0</v>
      </c>
      <c r="L780" t="n">
        <v>0</v>
      </c>
      <c r="M780" t="n">
        <v>0</v>
      </c>
      <c r="N780" t="n">
        <v>0</v>
      </c>
      <c r="O780" t="n">
        <v>0</v>
      </c>
      <c r="P780" t="n">
        <v>0</v>
      </c>
      <c r="Q780" t="n">
        <v>0</v>
      </c>
      <c r="R780" s="2" t="inlineStr"/>
    </row>
    <row r="781" ht="15" customHeight="1">
      <c r="A781" t="inlineStr">
        <is>
          <t>A 59924-2025</t>
        </is>
      </c>
      <c r="B781" s="1" t="n">
        <v>45993.38928240741</v>
      </c>
      <c r="C781" s="1" t="n">
        <v>46075</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2116-2026</t>
        </is>
      </c>
      <c r="B782" s="1" t="n">
        <v>46036.38108796296</v>
      </c>
      <c r="C782" s="1" t="n">
        <v>46075</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60253-2025</t>
        </is>
      </c>
      <c r="B783" s="1" t="n">
        <v>45994.59827546297</v>
      </c>
      <c r="C783" s="1" t="n">
        <v>46075</v>
      </c>
      <c r="D783" t="inlineStr">
        <is>
          <t>STOCKHOLMS LÄN</t>
        </is>
      </c>
      <c r="E783" t="inlineStr">
        <is>
          <t>NORRTÄLJE</t>
        </is>
      </c>
      <c r="F783" t="inlineStr">
        <is>
          <t>Holmen skog AB</t>
        </is>
      </c>
      <c r="G783" t="n">
        <v>3.6</v>
      </c>
      <c r="H783" t="n">
        <v>0</v>
      </c>
      <c r="I783" t="n">
        <v>0</v>
      </c>
      <c r="J783" t="n">
        <v>0</v>
      </c>
      <c r="K783" t="n">
        <v>0</v>
      </c>
      <c r="L783" t="n">
        <v>0</v>
      </c>
      <c r="M783" t="n">
        <v>0</v>
      </c>
      <c r="N783" t="n">
        <v>0</v>
      </c>
      <c r="O783" t="n">
        <v>0</v>
      </c>
      <c r="P783" t="n">
        <v>0</v>
      </c>
      <c r="Q783" t="n">
        <v>0</v>
      </c>
      <c r="R783" s="2" t="inlineStr"/>
    </row>
    <row r="784" ht="15" customHeight="1">
      <c r="A784" t="inlineStr">
        <is>
          <t>A 33353-2023</t>
        </is>
      </c>
      <c r="B784" s="1" t="n">
        <v>45128</v>
      </c>
      <c r="C784" s="1" t="n">
        <v>46075</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3966-2024</t>
        </is>
      </c>
      <c r="B785" s="1" t="n">
        <v>45322</v>
      </c>
      <c r="C785" s="1" t="n">
        <v>46075</v>
      </c>
      <c r="D785" t="inlineStr">
        <is>
          <t>STOCKHOLMS LÄN</t>
        </is>
      </c>
      <c r="E785" t="inlineStr">
        <is>
          <t>NORRTÄLJE</t>
        </is>
      </c>
      <c r="G785" t="n">
        <v>5.3</v>
      </c>
      <c r="H785" t="n">
        <v>0</v>
      </c>
      <c r="I785" t="n">
        <v>0</v>
      </c>
      <c r="J785" t="n">
        <v>0</v>
      </c>
      <c r="K785" t="n">
        <v>0</v>
      </c>
      <c r="L785" t="n">
        <v>0</v>
      </c>
      <c r="M785" t="n">
        <v>0</v>
      </c>
      <c r="N785" t="n">
        <v>0</v>
      </c>
      <c r="O785" t="n">
        <v>0</v>
      </c>
      <c r="P785" t="n">
        <v>0</v>
      </c>
      <c r="Q785" t="n">
        <v>0</v>
      </c>
      <c r="R785" s="2" t="inlineStr"/>
    </row>
    <row r="786" ht="15" customHeight="1">
      <c r="A786" t="inlineStr">
        <is>
          <t>A 60214-2025</t>
        </is>
      </c>
      <c r="B786" s="1" t="n">
        <v>45994.53761574074</v>
      </c>
      <c r="C786" s="1" t="n">
        <v>46075</v>
      </c>
      <c r="D786" t="inlineStr">
        <is>
          <t>STOCKHOLMS LÄN</t>
        </is>
      </c>
      <c r="E786" t="inlineStr">
        <is>
          <t>NORRTÄLJE</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2088-2026</t>
        </is>
      </c>
      <c r="B787" s="1" t="n">
        <v>46036.35909722222</v>
      </c>
      <c r="C787" s="1" t="n">
        <v>46075</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60223-2025</t>
        </is>
      </c>
      <c r="B788" s="1" t="n">
        <v>45994.54497685185</v>
      </c>
      <c r="C788" s="1" t="n">
        <v>46075</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23262-2023</t>
        </is>
      </c>
      <c r="B789" s="1" t="n">
        <v>45075.90270833333</v>
      </c>
      <c r="C789" s="1" t="n">
        <v>46075</v>
      </c>
      <c r="D789" t="inlineStr">
        <is>
          <t>STOCKHOLMS LÄN</t>
        </is>
      </c>
      <c r="E789" t="inlineStr">
        <is>
          <t>NORRTÄLJE</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23268-2023</t>
        </is>
      </c>
      <c r="B790" s="1" t="n">
        <v>45075.91042824074</v>
      </c>
      <c r="C790" s="1" t="n">
        <v>46075</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23270-2023</t>
        </is>
      </c>
      <c r="B791" s="1" t="n">
        <v>45075.91265046296</v>
      </c>
      <c r="C791" s="1" t="n">
        <v>46075</v>
      </c>
      <c r="D791" t="inlineStr">
        <is>
          <t>STOCKHOLMS LÄN</t>
        </is>
      </c>
      <c r="E791" t="inlineStr">
        <is>
          <t>NORRTÄLJE</t>
        </is>
      </c>
      <c r="G791" t="n">
        <v>12.3</v>
      </c>
      <c r="H791" t="n">
        <v>0</v>
      </c>
      <c r="I791" t="n">
        <v>0</v>
      </c>
      <c r="J791" t="n">
        <v>0</v>
      </c>
      <c r="K791" t="n">
        <v>0</v>
      </c>
      <c r="L791" t="n">
        <v>0</v>
      </c>
      <c r="M791" t="n">
        <v>0</v>
      </c>
      <c r="N791" t="n">
        <v>0</v>
      </c>
      <c r="O791" t="n">
        <v>0</v>
      </c>
      <c r="P791" t="n">
        <v>0</v>
      </c>
      <c r="Q791" t="n">
        <v>0</v>
      </c>
      <c r="R791" s="2" t="inlineStr"/>
    </row>
    <row r="792" ht="15" customHeight="1">
      <c r="A792" t="inlineStr">
        <is>
          <t>A 23274-2023</t>
        </is>
      </c>
      <c r="B792" s="1" t="n">
        <v>45075.92153935185</v>
      </c>
      <c r="C792" s="1" t="n">
        <v>46075</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60745-2025</t>
        </is>
      </c>
      <c r="B793" s="1" t="n">
        <v>45999.37753472223</v>
      </c>
      <c r="C793" s="1" t="n">
        <v>46075</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17843-2024</t>
        </is>
      </c>
      <c r="B794" s="1" t="n">
        <v>45418</v>
      </c>
      <c r="C794" s="1" t="n">
        <v>46075</v>
      </c>
      <c r="D794" t="inlineStr">
        <is>
          <t>STOCKHOLMS LÄN</t>
        </is>
      </c>
      <c r="E794" t="inlineStr">
        <is>
          <t>NORRTÄLJE</t>
        </is>
      </c>
      <c r="G794" t="n">
        <v>5.4</v>
      </c>
      <c r="H794" t="n">
        <v>0</v>
      </c>
      <c r="I794" t="n">
        <v>0</v>
      </c>
      <c r="J794" t="n">
        <v>0</v>
      </c>
      <c r="K794" t="n">
        <v>0</v>
      </c>
      <c r="L794" t="n">
        <v>0</v>
      </c>
      <c r="M794" t="n">
        <v>0</v>
      </c>
      <c r="N794" t="n">
        <v>0</v>
      </c>
      <c r="O794" t="n">
        <v>0</v>
      </c>
      <c r="P794" t="n">
        <v>0</v>
      </c>
      <c r="Q794" t="n">
        <v>0</v>
      </c>
      <c r="R794" s="2" t="inlineStr"/>
    </row>
    <row r="795" ht="15" customHeight="1">
      <c r="A795" t="inlineStr">
        <is>
          <t>A 60649-2025</t>
        </is>
      </c>
      <c r="B795" s="1" t="n">
        <v>45996.4560300926</v>
      </c>
      <c r="C795" s="1" t="n">
        <v>46075</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60948-2025</t>
        </is>
      </c>
      <c r="B796" s="1" t="n">
        <v>45999.650625</v>
      </c>
      <c r="C796" s="1" t="n">
        <v>46075</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1789-2026</t>
        </is>
      </c>
      <c r="B797" s="1" t="n">
        <v>46034</v>
      </c>
      <c r="C797" s="1" t="n">
        <v>46075</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26636-2023</t>
        </is>
      </c>
      <c r="B798" s="1" t="n">
        <v>45092</v>
      </c>
      <c r="C798" s="1" t="n">
        <v>46075</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26637-2023</t>
        </is>
      </c>
      <c r="B799" s="1" t="n">
        <v>45092</v>
      </c>
      <c r="C799" s="1" t="n">
        <v>46075</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72704-2021</t>
        </is>
      </c>
      <c r="B800" s="1" t="n">
        <v>44546</v>
      </c>
      <c r="C800" s="1" t="n">
        <v>46075</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52743-2024</t>
        </is>
      </c>
      <c r="B801" s="1" t="n">
        <v>45610.47414351852</v>
      </c>
      <c r="C801" s="1" t="n">
        <v>46075</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16852-2024</t>
        </is>
      </c>
      <c r="B802" s="1" t="n">
        <v>45411.54768518519</v>
      </c>
      <c r="C802" s="1" t="n">
        <v>46075</v>
      </c>
      <c r="D802" t="inlineStr">
        <is>
          <t>STOCKHOLMS LÄN</t>
        </is>
      </c>
      <c r="E802" t="inlineStr">
        <is>
          <t>NORRTÄLJE</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60928-2025</t>
        </is>
      </c>
      <c r="B803" s="1" t="n">
        <v>45999.633125</v>
      </c>
      <c r="C803" s="1" t="n">
        <v>46075</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3933-2026</t>
        </is>
      </c>
      <c r="B804" s="1" t="n">
        <v>46043.79916666666</v>
      </c>
      <c r="C804" s="1" t="n">
        <v>46075</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61160-2025</t>
        </is>
      </c>
      <c r="B805" s="1" t="n">
        <v>46000.55262731481</v>
      </c>
      <c r="C805" s="1" t="n">
        <v>46075</v>
      </c>
      <c r="D805" t="inlineStr">
        <is>
          <t>STOCKHOLMS LÄN</t>
        </is>
      </c>
      <c r="E805" t="inlineStr">
        <is>
          <t>NORRTÄLJE</t>
        </is>
      </c>
      <c r="G805" t="n">
        <v>5.3</v>
      </c>
      <c r="H805" t="n">
        <v>0</v>
      </c>
      <c r="I805" t="n">
        <v>0</v>
      </c>
      <c r="J805" t="n">
        <v>0</v>
      </c>
      <c r="K805" t="n">
        <v>0</v>
      </c>
      <c r="L805" t="n">
        <v>0</v>
      </c>
      <c r="M805" t="n">
        <v>0</v>
      </c>
      <c r="N805" t="n">
        <v>0</v>
      </c>
      <c r="O805" t="n">
        <v>0</v>
      </c>
      <c r="P805" t="n">
        <v>0</v>
      </c>
      <c r="Q805" t="n">
        <v>0</v>
      </c>
      <c r="R805" s="2" t="inlineStr"/>
    </row>
    <row r="806" ht="15" customHeight="1">
      <c r="A806" t="inlineStr">
        <is>
          <t>A 55755-2023</t>
        </is>
      </c>
      <c r="B806" s="1" t="n">
        <v>45239</v>
      </c>
      <c r="C806" s="1" t="n">
        <v>46075</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61419-2025</t>
        </is>
      </c>
      <c r="B807" s="1" t="n">
        <v>46001.54137731482</v>
      </c>
      <c r="C807" s="1" t="n">
        <v>46075</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61430-2025</t>
        </is>
      </c>
      <c r="B808" s="1" t="n">
        <v>46001.55583333333</v>
      </c>
      <c r="C808" s="1" t="n">
        <v>46075</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17348-2024</t>
        </is>
      </c>
      <c r="B809" s="1" t="n">
        <v>45414.58650462963</v>
      </c>
      <c r="C809" s="1" t="n">
        <v>46075</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61452-2025</t>
        </is>
      </c>
      <c r="B810" s="1" t="n">
        <v>46001.58043981482</v>
      </c>
      <c r="C810" s="1" t="n">
        <v>46075</v>
      </c>
      <c r="D810" t="inlineStr">
        <is>
          <t>STOCKHOLMS LÄN</t>
        </is>
      </c>
      <c r="E810" t="inlineStr">
        <is>
          <t>NORRTÄLJE</t>
        </is>
      </c>
      <c r="F810" t="inlineStr">
        <is>
          <t>Holmen skog AB</t>
        </is>
      </c>
      <c r="G810" t="n">
        <v>3.7</v>
      </c>
      <c r="H810" t="n">
        <v>0</v>
      </c>
      <c r="I810" t="n">
        <v>0</v>
      </c>
      <c r="J810" t="n">
        <v>0</v>
      </c>
      <c r="K810" t="n">
        <v>0</v>
      </c>
      <c r="L810" t="n">
        <v>0</v>
      </c>
      <c r="M810" t="n">
        <v>0</v>
      </c>
      <c r="N810" t="n">
        <v>0</v>
      </c>
      <c r="O810" t="n">
        <v>0</v>
      </c>
      <c r="P810" t="n">
        <v>0</v>
      </c>
      <c r="Q810" t="n">
        <v>0</v>
      </c>
      <c r="R810" s="2" t="inlineStr"/>
    </row>
    <row r="811" ht="15" customHeight="1">
      <c r="A811" t="inlineStr">
        <is>
          <t>A 61289-2025</t>
        </is>
      </c>
      <c r="B811" s="1" t="n">
        <v>46000.73659722223</v>
      </c>
      <c r="C811" s="1" t="n">
        <v>46075</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61769-2025</t>
        </is>
      </c>
      <c r="B812" s="1" t="n">
        <v>46002.64556712963</v>
      </c>
      <c r="C812" s="1" t="n">
        <v>46075</v>
      </c>
      <c r="D812" t="inlineStr">
        <is>
          <t>STOCKHOLMS LÄN</t>
        </is>
      </c>
      <c r="E812" t="inlineStr">
        <is>
          <t>NORRTÄLJE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13089-2022</t>
        </is>
      </c>
      <c r="B813" s="1" t="n">
        <v>44643</v>
      </c>
      <c r="C813" s="1" t="n">
        <v>46075</v>
      </c>
      <c r="D813" t="inlineStr">
        <is>
          <t>STOCKHOLMS LÄN</t>
        </is>
      </c>
      <c r="E813" t="inlineStr">
        <is>
          <t>NORRTÄLJE</t>
        </is>
      </c>
      <c r="G813" t="n">
        <v>4.5</v>
      </c>
      <c r="H813" t="n">
        <v>0</v>
      </c>
      <c r="I813" t="n">
        <v>0</v>
      </c>
      <c r="J813" t="n">
        <v>0</v>
      </c>
      <c r="K813" t="n">
        <v>0</v>
      </c>
      <c r="L813" t="n">
        <v>0</v>
      </c>
      <c r="M813" t="n">
        <v>0</v>
      </c>
      <c r="N813" t="n">
        <v>0</v>
      </c>
      <c r="O813" t="n">
        <v>0</v>
      </c>
      <c r="P813" t="n">
        <v>0</v>
      </c>
      <c r="Q813" t="n">
        <v>0</v>
      </c>
      <c r="R813" s="2" t="inlineStr"/>
    </row>
    <row r="814" ht="15" customHeight="1">
      <c r="A814" t="inlineStr">
        <is>
          <t>A 48145-2024</t>
        </is>
      </c>
      <c r="B814" s="1" t="n">
        <v>45589.6756712963</v>
      </c>
      <c r="C814" s="1" t="n">
        <v>46075</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23998-2024</t>
        </is>
      </c>
      <c r="B815" s="1" t="n">
        <v>45456</v>
      </c>
      <c r="C815" s="1" t="n">
        <v>46075</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15447-2023</t>
        </is>
      </c>
      <c r="B816" s="1" t="n">
        <v>45020</v>
      </c>
      <c r="C816" s="1" t="n">
        <v>46075</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61764-2025</t>
        </is>
      </c>
      <c r="B817" s="1" t="n">
        <v>46002.62763888889</v>
      </c>
      <c r="C817" s="1" t="n">
        <v>46075</v>
      </c>
      <c r="D817" t="inlineStr">
        <is>
          <t>STOCKHOLMS LÄN</t>
        </is>
      </c>
      <c r="E817" t="inlineStr">
        <is>
          <t>NORRTÄLJE</t>
        </is>
      </c>
      <c r="G817" t="n">
        <v>2.3</v>
      </c>
      <c r="H817" t="n">
        <v>0</v>
      </c>
      <c r="I817" t="n">
        <v>0</v>
      </c>
      <c r="J817" t="n">
        <v>0</v>
      </c>
      <c r="K817" t="n">
        <v>0</v>
      </c>
      <c r="L817" t="n">
        <v>0</v>
      </c>
      <c r="M817" t="n">
        <v>0</v>
      </c>
      <c r="N817" t="n">
        <v>0</v>
      </c>
      <c r="O817" t="n">
        <v>0</v>
      </c>
      <c r="P817" t="n">
        <v>0</v>
      </c>
      <c r="Q817" t="n">
        <v>0</v>
      </c>
      <c r="R817" s="2" t="inlineStr"/>
    </row>
    <row r="818" ht="15" customHeight="1">
      <c r="A818" t="inlineStr">
        <is>
          <t>A 4232-2026</t>
        </is>
      </c>
      <c r="B818" s="1" t="n">
        <v>46044.89594907407</v>
      </c>
      <c r="C818" s="1" t="n">
        <v>46075</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54358-2022</t>
        </is>
      </c>
      <c r="B819" s="1" t="n">
        <v>44882</v>
      </c>
      <c r="C819" s="1" t="n">
        <v>46075</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23263-2023</t>
        </is>
      </c>
      <c r="B820" s="1" t="n">
        <v>45075</v>
      </c>
      <c r="C820" s="1" t="n">
        <v>46075</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23264-2023</t>
        </is>
      </c>
      <c r="B821" s="1" t="n">
        <v>45075</v>
      </c>
      <c r="C821" s="1" t="n">
        <v>46075</v>
      </c>
      <c r="D821" t="inlineStr">
        <is>
          <t>STOCKHOLMS LÄN</t>
        </is>
      </c>
      <c r="E821" t="inlineStr">
        <is>
          <t>NORRTÄLJE</t>
        </is>
      </c>
      <c r="G821" t="n">
        <v>2.9</v>
      </c>
      <c r="H821" t="n">
        <v>0</v>
      </c>
      <c r="I821" t="n">
        <v>0</v>
      </c>
      <c r="J821" t="n">
        <v>0</v>
      </c>
      <c r="K821" t="n">
        <v>0</v>
      </c>
      <c r="L821" t="n">
        <v>0</v>
      </c>
      <c r="M821" t="n">
        <v>0</v>
      </c>
      <c r="N821" t="n">
        <v>0</v>
      </c>
      <c r="O821" t="n">
        <v>0</v>
      </c>
      <c r="P821" t="n">
        <v>0</v>
      </c>
      <c r="Q821" t="n">
        <v>0</v>
      </c>
      <c r="R821" s="2" t="inlineStr"/>
    </row>
    <row r="822" ht="15" customHeight="1">
      <c r="A822" t="inlineStr">
        <is>
          <t>A 23267-2023</t>
        </is>
      </c>
      <c r="B822" s="1" t="n">
        <v>45075.90934027778</v>
      </c>
      <c r="C822" s="1" t="n">
        <v>46075</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23269-2023</t>
        </is>
      </c>
      <c r="B823" s="1" t="n">
        <v>45075.91148148148</v>
      </c>
      <c r="C823" s="1" t="n">
        <v>46075</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19911-2025</t>
        </is>
      </c>
      <c r="B824" s="1" t="n">
        <v>45771</v>
      </c>
      <c r="C824" s="1" t="n">
        <v>46075</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5831-2022</t>
        </is>
      </c>
      <c r="B825" s="1" t="n">
        <v>44596</v>
      </c>
      <c r="C825" s="1" t="n">
        <v>46075</v>
      </c>
      <c r="D825" t="inlineStr">
        <is>
          <t>STOCKHOLMS LÄN</t>
        </is>
      </c>
      <c r="E825" t="inlineStr">
        <is>
          <t>NORRTÄLJE</t>
        </is>
      </c>
      <c r="G825" t="n">
        <v>4.8</v>
      </c>
      <c r="H825" t="n">
        <v>0</v>
      </c>
      <c r="I825" t="n">
        <v>0</v>
      </c>
      <c r="J825" t="n">
        <v>0</v>
      </c>
      <c r="K825" t="n">
        <v>0</v>
      </c>
      <c r="L825" t="n">
        <v>0</v>
      </c>
      <c r="M825" t="n">
        <v>0</v>
      </c>
      <c r="N825" t="n">
        <v>0</v>
      </c>
      <c r="O825" t="n">
        <v>0</v>
      </c>
      <c r="P825" t="n">
        <v>0</v>
      </c>
      <c r="Q825" t="n">
        <v>0</v>
      </c>
      <c r="R825" s="2" t="inlineStr"/>
    </row>
    <row r="826" ht="15" customHeight="1">
      <c r="A826" t="inlineStr">
        <is>
          <t>A 5867-2022</t>
        </is>
      </c>
      <c r="B826" s="1" t="n">
        <v>44596.66335648148</v>
      </c>
      <c r="C826" s="1" t="n">
        <v>46075</v>
      </c>
      <c r="D826" t="inlineStr">
        <is>
          <t>STOCKHOLMS LÄN</t>
        </is>
      </c>
      <c r="E826" t="inlineStr">
        <is>
          <t>NORRTÄLJE</t>
        </is>
      </c>
      <c r="F826" t="inlineStr">
        <is>
          <t>Naturvårdsverket</t>
        </is>
      </c>
      <c r="G826" t="n">
        <v>1.6</v>
      </c>
      <c r="H826" t="n">
        <v>0</v>
      </c>
      <c r="I826" t="n">
        <v>0</v>
      </c>
      <c r="J826" t="n">
        <v>0</v>
      </c>
      <c r="K826" t="n">
        <v>0</v>
      </c>
      <c r="L826" t="n">
        <v>0</v>
      </c>
      <c r="M826" t="n">
        <v>0</v>
      </c>
      <c r="N826" t="n">
        <v>0</v>
      </c>
      <c r="O826" t="n">
        <v>0</v>
      </c>
      <c r="P826" t="n">
        <v>0</v>
      </c>
      <c r="Q826" t="n">
        <v>0</v>
      </c>
      <c r="R826" s="2" t="inlineStr"/>
    </row>
    <row r="827" ht="15" customHeight="1">
      <c r="A827" t="inlineStr">
        <is>
          <t>A 4230-2026</t>
        </is>
      </c>
      <c r="B827" s="1" t="n">
        <v>46044.89366898148</v>
      </c>
      <c r="C827" s="1" t="n">
        <v>46075</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20244-2025</t>
        </is>
      </c>
      <c r="B828" s="1" t="n">
        <v>45772.71221064815</v>
      </c>
      <c r="C828" s="1" t="n">
        <v>46075</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48633-2023</t>
        </is>
      </c>
      <c r="B829" s="1" t="n">
        <v>45208.58004629629</v>
      </c>
      <c r="C829" s="1" t="n">
        <v>46075</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5227-2026</t>
        </is>
      </c>
      <c r="B830" s="1" t="n">
        <v>46049.80460648148</v>
      </c>
      <c r="C830" s="1" t="n">
        <v>46075</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5241-2026</t>
        </is>
      </c>
      <c r="B831" s="1" t="n">
        <v>46049.86471064815</v>
      </c>
      <c r="C831" s="1" t="n">
        <v>46075</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5224-2026</t>
        </is>
      </c>
      <c r="B832" s="1" t="n">
        <v>46049.79521990741</v>
      </c>
      <c r="C832" s="1" t="n">
        <v>46075</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39669-2024</t>
        </is>
      </c>
      <c r="B833" s="1" t="n">
        <v>45552.52827546297</v>
      </c>
      <c r="C833" s="1" t="n">
        <v>46075</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4886-2026</t>
        </is>
      </c>
      <c r="B834" s="1" t="n">
        <v>46048.66328703704</v>
      </c>
      <c r="C834" s="1" t="n">
        <v>46075</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5226-2026</t>
        </is>
      </c>
      <c r="B835" s="1" t="n">
        <v>46049.79961805556</v>
      </c>
      <c r="C835" s="1" t="n">
        <v>46075</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33279-2025</t>
        </is>
      </c>
      <c r="B836" s="1" t="n">
        <v>45840</v>
      </c>
      <c r="C836" s="1" t="n">
        <v>46075</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53499-2025</t>
        </is>
      </c>
      <c r="B837" s="1" t="n">
        <v>45960</v>
      </c>
      <c r="C837" s="1" t="n">
        <v>46075</v>
      </c>
      <c r="D837" t="inlineStr">
        <is>
          <t>STOCKHOLMS LÄN</t>
        </is>
      </c>
      <c r="E837" t="inlineStr">
        <is>
          <t>NORRTÄLJE</t>
        </is>
      </c>
      <c r="G837" t="n">
        <v>23.8</v>
      </c>
      <c r="H837" t="n">
        <v>0</v>
      </c>
      <c r="I837" t="n">
        <v>0</v>
      </c>
      <c r="J837" t="n">
        <v>0</v>
      </c>
      <c r="K837" t="n">
        <v>0</v>
      </c>
      <c r="L837" t="n">
        <v>0</v>
      </c>
      <c r="M837" t="n">
        <v>0</v>
      </c>
      <c r="N837" t="n">
        <v>0</v>
      </c>
      <c r="O837" t="n">
        <v>0</v>
      </c>
      <c r="P837" t="n">
        <v>0</v>
      </c>
      <c r="Q837" t="n">
        <v>0</v>
      </c>
      <c r="R837" s="2" t="inlineStr"/>
    </row>
    <row r="838" ht="15" customHeight="1">
      <c r="A838" t="inlineStr">
        <is>
          <t>A 43170-2023</t>
        </is>
      </c>
      <c r="B838" s="1" t="n">
        <v>45183</v>
      </c>
      <c r="C838" s="1" t="n">
        <v>46075</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9-2024</t>
        </is>
      </c>
      <c r="B839" s="1" t="n">
        <v>45293</v>
      </c>
      <c r="C839" s="1" t="n">
        <v>46075</v>
      </c>
      <c r="D839" t="inlineStr">
        <is>
          <t>STOCKHOLMS LÄN</t>
        </is>
      </c>
      <c r="E839" t="inlineStr">
        <is>
          <t>NORRTÄLJE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22832-2021</t>
        </is>
      </c>
      <c r="B840" s="1" t="n">
        <v>44325</v>
      </c>
      <c r="C840" s="1" t="n">
        <v>46075</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16913-2025</t>
        </is>
      </c>
      <c r="B841" s="1" t="n">
        <v>45755.36583333334</v>
      </c>
      <c r="C841" s="1" t="n">
        <v>46075</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4035-2023</t>
        </is>
      </c>
      <c r="B842" s="1" t="n">
        <v>44952.57989583333</v>
      </c>
      <c r="C842" s="1" t="n">
        <v>46075</v>
      </c>
      <c r="D842" t="inlineStr">
        <is>
          <t>STOCKHOLMS LÄN</t>
        </is>
      </c>
      <c r="E842" t="inlineStr">
        <is>
          <t>NORRTÄLJE</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33793-2022</t>
        </is>
      </c>
      <c r="B843" s="1" t="n">
        <v>44790</v>
      </c>
      <c r="C843" s="1" t="n">
        <v>46075</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53600-2022</t>
        </is>
      </c>
      <c r="B844" s="1" t="n">
        <v>44879.70518518519</v>
      </c>
      <c r="C844" s="1" t="n">
        <v>46075</v>
      </c>
      <c r="D844" t="inlineStr">
        <is>
          <t>STOCKHOLMS LÄN</t>
        </is>
      </c>
      <c r="E844" t="inlineStr">
        <is>
          <t>NORRTÄLJE</t>
        </is>
      </c>
      <c r="G844" t="n">
        <v>4.3</v>
      </c>
      <c r="H844" t="n">
        <v>0</v>
      </c>
      <c r="I844" t="n">
        <v>0</v>
      </c>
      <c r="J844" t="n">
        <v>0</v>
      </c>
      <c r="K844" t="n">
        <v>0</v>
      </c>
      <c r="L844" t="n">
        <v>0</v>
      </c>
      <c r="M844" t="n">
        <v>0</v>
      </c>
      <c r="N844" t="n">
        <v>0</v>
      </c>
      <c r="O844" t="n">
        <v>0</v>
      </c>
      <c r="P844" t="n">
        <v>0</v>
      </c>
      <c r="Q844" t="n">
        <v>0</v>
      </c>
      <c r="R844" s="2" t="inlineStr"/>
    </row>
    <row r="845" ht="15" customHeight="1">
      <c r="A845" t="inlineStr">
        <is>
          <t>A 7697-2025</t>
        </is>
      </c>
      <c r="B845" s="1" t="n">
        <v>45706.40086805556</v>
      </c>
      <c r="C845" s="1" t="n">
        <v>46075</v>
      </c>
      <c r="D845" t="inlineStr">
        <is>
          <t>STOCKHOLMS LÄN</t>
        </is>
      </c>
      <c r="E845" t="inlineStr">
        <is>
          <t>NORRTÄLJE</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30221-2024</t>
        </is>
      </c>
      <c r="B846" s="1" t="n">
        <v>45490.45342592592</v>
      </c>
      <c r="C846" s="1" t="n">
        <v>46075</v>
      </c>
      <c r="D846" t="inlineStr">
        <is>
          <t>STOCKHOLMS LÄN</t>
        </is>
      </c>
      <c r="E846" t="inlineStr">
        <is>
          <t>NORRTÄLJE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4227-2026</t>
        </is>
      </c>
      <c r="B847" s="1" t="n">
        <v>46044</v>
      </c>
      <c r="C847" s="1" t="n">
        <v>46075</v>
      </c>
      <c r="D847" t="inlineStr">
        <is>
          <t>STOCKHOLMS LÄN</t>
        </is>
      </c>
      <c r="E847" t="inlineStr">
        <is>
          <t>NORRTÄLJE</t>
        </is>
      </c>
      <c r="G847" t="n">
        <v>3.6</v>
      </c>
      <c r="H847" t="n">
        <v>0</v>
      </c>
      <c r="I847" t="n">
        <v>0</v>
      </c>
      <c r="J847" t="n">
        <v>0</v>
      </c>
      <c r="K847" t="n">
        <v>0</v>
      </c>
      <c r="L847" t="n">
        <v>0</v>
      </c>
      <c r="M847" t="n">
        <v>0</v>
      </c>
      <c r="N847" t="n">
        <v>0</v>
      </c>
      <c r="O847" t="n">
        <v>0</v>
      </c>
      <c r="P847" t="n">
        <v>0</v>
      </c>
      <c r="Q847" t="n">
        <v>0</v>
      </c>
      <c r="R847" s="2" t="inlineStr"/>
    </row>
    <row r="848" ht="15" customHeight="1">
      <c r="A848" t="inlineStr">
        <is>
          <t>A 4235-2026</t>
        </is>
      </c>
      <c r="B848" s="1" t="n">
        <v>46044</v>
      </c>
      <c r="C848" s="1" t="n">
        <v>46075</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62708-2025</t>
        </is>
      </c>
      <c r="B849" s="1" t="n">
        <v>46008.50986111111</v>
      </c>
      <c r="C849" s="1" t="n">
        <v>46075</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13-2024</t>
        </is>
      </c>
      <c r="B850" s="1" t="n">
        <v>45293.37263888889</v>
      </c>
      <c r="C850" s="1" t="n">
        <v>46075</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19-2024</t>
        </is>
      </c>
      <c r="B851" s="1" t="n">
        <v>45293</v>
      </c>
      <c r="C851" s="1" t="n">
        <v>46075</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34478-2025</t>
        </is>
      </c>
      <c r="B852" s="1" t="n">
        <v>45847</v>
      </c>
      <c r="C852" s="1" t="n">
        <v>46075</v>
      </c>
      <c r="D852" t="inlineStr">
        <is>
          <t>STOCKHOLMS LÄN</t>
        </is>
      </c>
      <c r="E852" t="inlineStr">
        <is>
          <t>NORRTÄLJE</t>
        </is>
      </c>
      <c r="F852" t="inlineStr">
        <is>
          <t>Övriga Aktiebolag</t>
        </is>
      </c>
      <c r="G852" t="n">
        <v>10.8</v>
      </c>
      <c r="H852" t="n">
        <v>0</v>
      </c>
      <c r="I852" t="n">
        <v>0</v>
      </c>
      <c r="J852" t="n">
        <v>0</v>
      </c>
      <c r="K852" t="n">
        <v>0</v>
      </c>
      <c r="L852" t="n">
        <v>0</v>
      </c>
      <c r="M852" t="n">
        <v>0</v>
      </c>
      <c r="N852" t="n">
        <v>0</v>
      </c>
      <c r="O852" t="n">
        <v>0</v>
      </c>
      <c r="P852" t="n">
        <v>0</v>
      </c>
      <c r="Q852" t="n">
        <v>0</v>
      </c>
      <c r="R852" s="2" t="inlineStr"/>
    </row>
    <row r="853" ht="15" customHeight="1">
      <c r="A853" t="inlineStr">
        <is>
          <t>A 31559-2022</t>
        </is>
      </c>
      <c r="B853" s="1" t="n">
        <v>44775</v>
      </c>
      <c r="C853" s="1" t="n">
        <v>46075</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8419-2025</t>
        </is>
      </c>
      <c r="B854" s="1" t="n">
        <v>45709.40231481481</v>
      </c>
      <c r="C854" s="1" t="n">
        <v>46075</v>
      </c>
      <c r="D854" t="inlineStr">
        <is>
          <t>STOCKHOLMS LÄN</t>
        </is>
      </c>
      <c r="E854" t="inlineStr">
        <is>
          <t>NORRTÄLJE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4231-2026</t>
        </is>
      </c>
      <c r="B855" s="1" t="n">
        <v>46044</v>
      </c>
      <c r="C855" s="1" t="n">
        <v>46075</v>
      </c>
      <c r="D855" t="inlineStr">
        <is>
          <t>STOCKHOLMS LÄN</t>
        </is>
      </c>
      <c r="E855" t="inlineStr">
        <is>
          <t>NORRTÄLJE</t>
        </is>
      </c>
      <c r="G855" t="n">
        <v>2.9</v>
      </c>
      <c r="H855" t="n">
        <v>0</v>
      </c>
      <c r="I855" t="n">
        <v>0</v>
      </c>
      <c r="J855" t="n">
        <v>0</v>
      </c>
      <c r="K855" t="n">
        <v>0</v>
      </c>
      <c r="L855" t="n">
        <v>0</v>
      </c>
      <c r="M855" t="n">
        <v>0</v>
      </c>
      <c r="N855" t="n">
        <v>0</v>
      </c>
      <c r="O855" t="n">
        <v>0</v>
      </c>
      <c r="P855" t="n">
        <v>0</v>
      </c>
      <c r="Q855" t="n">
        <v>0</v>
      </c>
      <c r="R855" s="2" t="inlineStr"/>
    </row>
    <row r="856" ht="15" customHeight="1">
      <c r="A856" t="inlineStr">
        <is>
          <t>A 62681-2025</t>
        </is>
      </c>
      <c r="B856" s="1" t="n">
        <v>46008.45534722223</v>
      </c>
      <c r="C856" s="1" t="n">
        <v>46075</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62922-2025</t>
        </is>
      </c>
      <c r="B857" s="1" t="n">
        <v>46009.38064814815</v>
      </c>
      <c r="C857" s="1" t="n">
        <v>46075</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35161-2022</t>
        </is>
      </c>
      <c r="B858" s="1" t="n">
        <v>44797</v>
      </c>
      <c r="C858" s="1" t="n">
        <v>46075</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58989-2021</t>
        </is>
      </c>
      <c r="B859" s="1" t="n">
        <v>44490.02482638889</v>
      </c>
      <c r="C859" s="1" t="n">
        <v>46075</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46988-2024</t>
        </is>
      </c>
      <c r="B860" s="1" t="n">
        <v>45586</v>
      </c>
      <c r="C860" s="1" t="n">
        <v>46075</v>
      </c>
      <c r="D860" t="inlineStr">
        <is>
          <t>STOCKHOLMS LÄN</t>
        </is>
      </c>
      <c r="E860" t="inlineStr">
        <is>
          <t>NORRTÄLJE</t>
        </is>
      </c>
      <c r="G860" t="n">
        <v>1.1</v>
      </c>
      <c r="H860" t="n">
        <v>0</v>
      </c>
      <c r="I860" t="n">
        <v>0</v>
      </c>
      <c r="J860" t="n">
        <v>0</v>
      </c>
      <c r="K860" t="n">
        <v>0</v>
      </c>
      <c r="L860" t="n">
        <v>0</v>
      </c>
      <c r="M860" t="n">
        <v>0</v>
      </c>
      <c r="N860" t="n">
        <v>0</v>
      </c>
      <c r="O860" t="n">
        <v>0</v>
      </c>
      <c r="P860" t="n">
        <v>0</v>
      </c>
      <c r="Q860" t="n">
        <v>0</v>
      </c>
      <c r="R860" s="2" t="inlineStr"/>
    </row>
    <row r="861" ht="15" customHeight="1">
      <c r="A861" t="inlineStr">
        <is>
          <t>A 21529-2021</t>
        </is>
      </c>
      <c r="B861" s="1" t="n">
        <v>44321</v>
      </c>
      <c r="C861" s="1" t="n">
        <v>46075</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13701-2022</t>
        </is>
      </c>
      <c r="B862" s="1" t="n">
        <v>44648</v>
      </c>
      <c r="C862" s="1" t="n">
        <v>46075</v>
      </c>
      <c r="D862" t="inlineStr">
        <is>
          <t>STOCKHOLMS LÄN</t>
        </is>
      </c>
      <c r="E862" t="inlineStr">
        <is>
          <t>NORRTÄLJE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62689-2025</t>
        </is>
      </c>
      <c r="B863" s="1" t="n">
        <v>46008.47171296296</v>
      </c>
      <c r="C863" s="1" t="n">
        <v>46075</v>
      </c>
      <c r="D863" t="inlineStr">
        <is>
          <t>STOCKHOLMS LÄN</t>
        </is>
      </c>
      <c r="E863" t="inlineStr">
        <is>
          <t>NORRTÄLJE</t>
        </is>
      </c>
      <c r="F863" t="inlineStr">
        <is>
          <t>Kyrkan</t>
        </is>
      </c>
      <c r="G863" t="n">
        <v>0.7</v>
      </c>
      <c r="H863" t="n">
        <v>0</v>
      </c>
      <c r="I863" t="n">
        <v>0</v>
      </c>
      <c r="J863" t="n">
        <v>0</v>
      </c>
      <c r="K863" t="n">
        <v>0</v>
      </c>
      <c r="L863" t="n">
        <v>0</v>
      </c>
      <c r="M863" t="n">
        <v>0</v>
      </c>
      <c r="N863" t="n">
        <v>0</v>
      </c>
      <c r="O863" t="n">
        <v>0</v>
      </c>
      <c r="P863" t="n">
        <v>0</v>
      </c>
      <c r="Q863" t="n">
        <v>0</v>
      </c>
      <c r="R863" s="2" t="inlineStr"/>
    </row>
    <row r="864" ht="15" customHeight="1">
      <c r="A864" t="inlineStr">
        <is>
          <t>A 14132-2025</t>
        </is>
      </c>
      <c r="B864" s="1" t="n">
        <v>45740.47550925926</v>
      </c>
      <c r="C864" s="1" t="n">
        <v>46075</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14133-2025</t>
        </is>
      </c>
      <c r="B865" s="1" t="n">
        <v>45740.47724537037</v>
      </c>
      <c r="C865" s="1" t="n">
        <v>46075</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8792-2025</t>
        </is>
      </c>
      <c r="B866" s="1" t="n">
        <v>45712</v>
      </c>
      <c r="C866" s="1" t="n">
        <v>46075</v>
      </c>
      <c r="D866" t="inlineStr">
        <is>
          <t>STOCKHOLMS LÄN</t>
        </is>
      </c>
      <c r="E866" t="inlineStr">
        <is>
          <t>NORRTÄLJE</t>
        </is>
      </c>
      <c r="F866" t="inlineStr">
        <is>
          <t>Övriga Aktiebolag</t>
        </is>
      </c>
      <c r="G866" t="n">
        <v>6.6</v>
      </c>
      <c r="H866" t="n">
        <v>0</v>
      </c>
      <c r="I866" t="n">
        <v>0</v>
      </c>
      <c r="J866" t="n">
        <v>0</v>
      </c>
      <c r="K866" t="n">
        <v>0</v>
      </c>
      <c r="L866" t="n">
        <v>0</v>
      </c>
      <c r="M866" t="n">
        <v>0</v>
      </c>
      <c r="N866" t="n">
        <v>0</v>
      </c>
      <c r="O866" t="n">
        <v>0</v>
      </c>
      <c r="P866" t="n">
        <v>0</v>
      </c>
      <c r="Q866" t="n">
        <v>0</v>
      </c>
      <c r="R866" s="2" t="inlineStr"/>
    </row>
    <row r="867" ht="15" customHeight="1">
      <c r="A867" t="inlineStr">
        <is>
          <t>A 24887-2023</t>
        </is>
      </c>
      <c r="B867" s="1" t="n">
        <v>45085</v>
      </c>
      <c r="C867" s="1" t="n">
        <v>46075</v>
      </c>
      <c r="D867" t="inlineStr">
        <is>
          <t>STOCKHOLMS LÄN</t>
        </is>
      </c>
      <c r="E867" t="inlineStr">
        <is>
          <t>NORRTÄLJE</t>
        </is>
      </c>
      <c r="G867" t="n">
        <v>13.9</v>
      </c>
      <c r="H867" t="n">
        <v>0</v>
      </c>
      <c r="I867" t="n">
        <v>0</v>
      </c>
      <c r="J867" t="n">
        <v>0</v>
      </c>
      <c r="K867" t="n">
        <v>0</v>
      </c>
      <c r="L867" t="n">
        <v>0</v>
      </c>
      <c r="M867" t="n">
        <v>0</v>
      </c>
      <c r="N867" t="n">
        <v>0</v>
      </c>
      <c r="O867" t="n">
        <v>0</v>
      </c>
      <c r="P867" t="n">
        <v>0</v>
      </c>
      <c r="Q867" t="n">
        <v>0</v>
      </c>
      <c r="R867" s="2" t="inlineStr"/>
    </row>
    <row r="868" ht="15" customHeight="1">
      <c r="A868" t="inlineStr">
        <is>
          <t>A 38612-2022</t>
        </is>
      </c>
      <c r="B868" s="1" t="n">
        <v>44813</v>
      </c>
      <c r="C868" s="1" t="n">
        <v>46075</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4326-2023</t>
        </is>
      </c>
      <c r="B869" s="1" t="n">
        <v>44953.70481481482</v>
      </c>
      <c r="C869" s="1" t="n">
        <v>46075</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54504-2024</t>
        </is>
      </c>
      <c r="B870" s="1" t="n">
        <v>45617.58453703704</v>
      </c>
      <c r="C870" s="1" t="n">
        <v>46075</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5934-2026</t>
        </is>
      </c>
      <c r="B871" s="1" t="n">
        <v>46052.47082175926</v>
      </c>
      <c r="C871" s="1" t="n">
        <v>46075</v>
      </c>
      <c r="D871" t="inlineStr">
        <is>
          <t>STOCKHOLMS LÄN</t>
        </is>
      </c>
      <c r="E871" t="inlineStr">
        <is>
          <t>NORRTÄLJE</t>
        </is>
      </c>
      <c r="F871" t="inlineStr">
        <is>
          <t>Holmen skog AB</t>
        </is>
      </c>
      <c r="G871" t="n">
        <v>5.5</v>
      </c>
      <c r="H871" t="n">
        <v>0</v>
      </c>
      <c r="I871" t="n">
        <v>0</v>
      </c>
      <c r="J871" t="n">
        <v>0</v>
      </c>
      <c r="K871" t="n">
        <v>0</v>
      </c>
      <c r="L871" t="n">
        <v>0</v>
      </c>
      <c r="M871" t="n">
        <v>0</v>
      </c>
      <c r="N871" t="n">
        <v>0</v>
      </c>
      <c r="O871" t="n">
        <v>0</v>
      </c>
      <c r="P871" t="n">
        <v>0</v>
      </c>
      <c r="Q871" t="n">
        <v>0</v>
      </c>
      <c r="R871" s="2" t="inlineStr"/>
    </row>
    <row r="872" ht="15" customHeight="1">
      <c r="A872" t="inlineStr">
        <is>
          <t>A 21745-2023</t>
        </is>
      </c>
      <c r="B872" s="1" t="n">
        <v>45065.55917824074</v>
      </c>
      <c r="C872" s="1" t="n">
        <v>46075</v>
      </c>
      <c r="D872" t="inlineStr">
        <is>
          <t>STOCKHOLMS LÄN</t>
        </is>
      </c>
      <c r="E872" t="inlineStr">
        <is>
          <t>NORRTÄLJE</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21894-2023</t>
        </is>
      </c>
      <c r="B873" s="1" t="n">
        <v>45068.51783564815</v>
      </c>
      <c r="C873" s="1" t="n">
        <v>46075</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13276-2022</t>
        </is>
      </c>
      <c r="B874" s="1" t="n">
        <v>44644</v>
      </c>
      <c r="C874" s="1" t="n">
        <v>46075</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46075</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34461-2023</t>
        </is>
      </c>
      <c r="B876" s="1" t="n">
        <v>45139</v>
      </c>
      <c r="C876" s="1" t="n">
        <v>46075</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51046-2023</t>
        </is>
      </c>
      <c r="B877" s="1" t="n">
        <v>45218</v>
      </c>
      <c r="C877" s="1" t="n">
        <v>46075</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4549-2026</t>
        </is>
      </c>
      <c r="B878" s="1" t="n">
        <v>46047</v>
      </c>
      <c r="C878" s="1" t="n">
        <v>46075</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17382-2024</t>
        </is>
      </c>
      <c r="B879" s="1" t="n">
        <v>45414.65855324074</v>
      </c>
      <c r="C879" s="1" t="n">
        <v>46075</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6701-2026</t>
        </is>
      </c>
      <c r="B880" s="1" t="n">
        <v>46056.64357638889</v>
      </c>
      <c r="C880" s="1" t="n">
        <v>46075</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6724-2026</t>
        </is>
      </c>
      <c r="B881" s="1" t="n">
        <v>46056.67717592593</v>
      </c>
      <c r="C881" s="1" t="n">
        <v>46075</v>
      </c>
      <c r="D881" t="inlineStr">
        <is>
          <t>STOCKHOLMS LÄN</t>
        </is>
      </c>
      <c r="E881" t="inlineStr">
        <is>
          <t>NORRTÄLJE</t>
        </is>
      </c>
      <c r="F881" t="inlineStr">
        <is>
          <t>Holmen skog AB</t>
        </is>
      </c>
      <c r="G881" t="n">
        <v>16.2</v>
      </c>
      <c r="H881" t="n">
        <v>0</v>
      </c>
      <c r="I881" t="n">
        <v>0</v>
      </c>
      <c r="J881" t="n">
        <v>0</v>
      </c>
      <c r="K881" t="n">
        <v>0</v>
      </c>
      <c r="L881" t="n">
        <v>0</v>
      </c>
      <c r="M881" t="n">
        <v>0</v>
      </c>
      <c r="N881" t="n">
        <v>0</v>
      </c>
      <c r="O881" t="n">
        <v>0</v>
      </c>
      <c r="P881" t="n">
        <v>0</v>
      </c>
      <c r="Q881" t="n">
        <v>0</v>
      </c>
      <c r="R881" s="2" t="inlineStr"/>
    </row>
    <row r="882" ht="15" customHeight="1">
      <c r="A882" t="inlineStr">
        <is>
          <t>A 6838-2026</t>
        </is>
      </c>
      <c r="B882" s="1" t="n">
        <v>46057.41151620371</v>
      </c>
      <c r="C882" s="1" t="n">
        <v>46075</v>
      </c>
      <c r="D882" t="inlineStr">
        <is>
          <t>STOCKHOLMS LÄN</t>
        </is>
      </c>
      <c r="E882" t="inlineStr">
        <is>
          <t>NORRTÄLJE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6070-2022</t>
        </is>
      </c>
      <c r="B883" s="1" t="n">
        <v>44599.58428240741</v>
      </c>
      <c r="C883" s="1" t="n">
        <v>46075</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17039-2024</t>
        </is>
      </c>
      <c r="B884" s="1" t="n">
        <v>45412.4104050926</v>
      </c>
      <c r="C884" s="1" t="n">
        <v>46075</v>
      </c>
      <c r="D884" t="inlineStr">
        <is>
          <t>STOCKHOLMS LÄN</t>
        </is>
      </c>
      <c r="E884" t="inlineStr">
        <is>
          <t>NORRTÄLJE</t>
        </is>
      </c>
      <c r="G884" t="n">
        <v>5.9</v>
      </c>
      <c r="H884" t="n">
        <v>0</v>
      </c>
      <c r="I884" t="n">
        <v>0</v>
      </c>
      <c r="J884" t="n">
        <v>0</v>
      </c>
      <c r="K884" t="n">
        <v>0</v>
      </c>
      <c r="L884" t="n">
        <v>0</v>
      </c>
      <c r="M884" t="n">
        <v>0</v>
      </c>
      <c r="N884" t="n">
        <v>0</v>
      </c>
      <c r="O884" t="n">
        <v>0</v>
      </c>
      <c r="P884" t="n">
        <v>0</v>
      </c>
      <c r="Q884" t="n">
        <v>0</v>
      </c>
      <c r="R884" s="2" t="inlineStr"/>
    </row>
    <row r="885" ht="15" customHeight="1">
      <c r="A885" t="inlineStr">
        <is>
          <t>A 6532-2026</t>
        </is>
      </c>
      <c r="B885" s="1" t="n">
        <v>46056.41300925926</v>
      </c>
      <c r="C885" s="1" t="n">
        <v>46075</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48180-2023</t>
        </is>
      </c>
      <c r="B886" s="1" t="n">
        <v>45205</v>
      </c>
      <c r="C886" s="1" t="n">
        <v>46075</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35695-2023</t>
        </is>
      </c>
      <c r="B887" s="1" t="n">
        <v>45147.65407407407</v>
      </c>
      <c r="C887" s="1" t="n">
        <v>46075</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45173-2023</t>
        </is>
      </c>
      <c r="B888" s="1" t="n">
        <v>45191</v>
      </c>
      <c r="C888" s="1" t="n">
        <v>46075</v>
      </c>
      <c r="D888" t="inlineStr">
        <is>
          <t>STOCKHOLMS LÄN</t>
        </is>
      </c>
      <c r="E888" t="inlineStr">
        <is>
          <t>NORRTÄLJE</t>
        </is>
      </c>
      <c r="F888" t="inlineStr">
        <is>
          <t>Sveaskog</t>
        </is>
      </c>
      <c r="G888" t="n">
        <v>3.6</v>
      </c>
      <c r="H888" t="n">
        <v>0</v>
      </c>
      <c r="I888" t="n">
        <v>0</v>
      </c>
      <c r="J888" t="n">
        <v>0</v>
      </c>
      <c r="K888" t="n">
        <v>0</v>
      </c>
      <c r="L888" t="n">
        <v>0</v>
      </c>
      <c r="M888" t="n">
        <v>0</v>
      </c>
      <c r="N888" t="n">
        <v>0</v>
      </c>
      <c r="O888" t="n">
        <v>0</v>
      </c>
      <c r="P888" t="n">
        <v>0</v>
      </c>
      <c r="Q888" t="n">
        <v>0</v>
      </c>
      <c r="R888" s="2" t="inlineStr"/>
    </row>
    <row r="889" ht="15" customHeight="1">
      <c r="A889" t="inlineStr">
        <is>
          <t>A 6874-2026</t>
        </is>
      </c>
      <c r="B889" s="1" t="n">
        <v>46057.45295138889</v>
      </c>
      <c r="C889" s="1" t="n">
        <v>46075</v>
      </c>
      <c r="D889" t="inlineStr">
        <is>
          <t>STOCKHOLMS LÄN</t>
        </is>
      </c>
      <c r="E889" t="inlineStr">
        <is>
          <t>NORRTÄLJE</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24705-2023</t>
        </is>
      </c>
      <c r="B890" s="1" t="n">
        <v>45084.54459490741</v>
      </c>
      <c r="C890" s="1" t="n">
        <v>46075</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7532-2026</t>
        </is>
      </c>
      <c r="B891" s="1" t="n">
        <v>46059.61903935186</v>
      </c>
      <c r="C891" s="1" t="n">
        <v>46075</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21696-2024</t>
        </is>
      </c>
      <c r="B892" s="1" t="n">
        <v>45442.45686342593</v>
      </c>
      <c r="C892" s="1" t="n">
        <v>46075</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67990-2021</t>
        </is>
      </c>
      <c r="B893" s="1" t="n">
        <v>44525</v>
      </c>
      <c r="C893" s="1" t="n">
        <v>46075</v>
      </c>
      <c r="D893" t="inlineStr">
        <is>
          <t>STOCKHOLMS LÄN</t>
        </is>
      </c>
      <c r="E893" t="inlineStr">
        <is>
          <t>NORRTÄLJE</t>
        </is>
      </c>
      <c r="F893" t="inlineStr">
        <is>
          <t>Sveaskog</t>
        </is>
      </c>
      <c r="G893" t="n">
        <v>7.8</v>
      </c>
      <c r="H893" t="n">
        <v>0</v>
      </c>
      <c r="I893" t="n">
        <v>0</v>
      </c>
      <c r="J893" t="n">
        <v>0</v>
      </c>
      <c r="K893" t="n">
        <v>0</v>
      </c>
      <c r="L893" t="n">
        <v>0</v>
      </c>
      <c r="M893" t="n">
        <v>0</v>
      </c>
      <c r="N893" t="n">
        <v>0</v>
      </c>
      <c r="O893" t="n">
        <v>0</v>
      </c>
      <c r="P893" t="n">
        <v>0</v>
      </c>
      <c r="Q893" t="n">
        <v>0</v>
      </c>
      <c r="R893" s="2" t="inlineStr"/>
    </row>
    <row r="894" ht="15" customHeight="1">
      <c r="A894" t="inlineStr">
        <is>
          <t>A 71552-2021</t>
        </is>
      </c>
      <c r="B894" s="1" t="n">
        <v>44540</v>
      </c>
      <c r="C894" s="1" t="n">
        <v>46075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73992-2021</t>
        </is>
      </c>
      <c r="B895" s="1" t="n">
        <v>44556</v>
      </c>
      <c r="C895" s="1" t="n">
        <v>46075</v>
      </c>
      <c r="D895" t="inlineStr">
        <is>
          <t>STOCKHOLMS LÄN</t>
        </is>
      </c>
      <c r="E895" t="inlineStr">
        <is>
          <t>NORRTÄLJE</t>
        </is>
      </c>
      <c r="G895" t="n">
        <v>12.5</v>
      </c>
      <c r="H895" t="n">
        <v>0</v>
      </c>
      <c r="I895" t="n">
        <v>0</v>
      </c>
      <c r="J895" t="n">
        <v>0</v>
      </c>
      <c r="K895" t="n">
        <v>0</v>
      </c>
      <c r="L895" t="n">
        <v>0</v>
      </c>
      <c r="M895" t="n">
        <v>0</v>
      </c>
      <c r="N895" t="n">
        <v>0</v>
      </c>
      <c r="O895" t="n">
        <v>0</v>
      </c>
      <c r="P895" t="n">
        <v>0</v>
      </c>
      <c r="Q895" t="n">
        <v>0</v>
      </c>
      <c r="R895" s="2" t="inlineStr"/>
    </row>
    <row r="896" ht="15" customHeight="1">
      <c r="A896" t="inlineStr">
        <is>
          <t>A 3549-2026</t>
        </is>
      </c>
      <c r="B896" s="1" t="n">
        <v>46042</v>
      </c>
      <c r="C896" s="1" t="n">
        <v>46075</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26113-2024</t>
        </is>
      </c>
      <c r="B897" s="1" t="n">
        <v>45468.45541666666</v>
      </c>
      <c r="C897" s="1" t="n">
        <v>46075</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26116-2024</t>
        </is>
      </c>
      <c r="B898" s="1" t="n">
        <v>45468.45747685185</v>
      </c>
      <c r="C898" s="1" t="n">
        <v>46075</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7308-2026</t>
        </is>
      </c>
      <c r="B899" s="1" t="n">
        <v>46058.66025462963</v>
      </c>
      <c r="C899" s="1" t="n">
        <v>46075</v>
      </c>
      <c r="D899" t="inlineStr">
        <is>
          <t>STOCKHOLMS LÄN</t>
        </is>
      </c>
      <c r="E899" t="inlineStr">
        <is>
          <t>NORRTÄLJE</t>
        </is>
      </c>
      <c r="F899" t="inlineStr">
        <is>
          <t>Holmen skog AB</t>
        </is>
      </c>
      <c r="G899" t="n">
        <v>1.7</v>
      </c>
      <c r="H899" t="n">
        <v>0</v>
      </c>
      <c r="I899" t="n">
        <v>0</v>
      </c>
      <c r="J899" t="n">
        <v>0</v>
      </c>
      <c r="K899" t="n">
        <v>0</v>
      </c>
      <c r="L899" t="n">
        <v>0</v>
      </c>
      <c r="M899" t="n">
        <v>0</v>
      </c>
      <c r="N899" t="n">
        <v>0</v>
      </c>
      <c r="O899" t="n">
        <v>0</v>
      </c>
      <c r="P899" t="n">
        <v>0</v>
      </c>
      <c r="Q899" t="n">
        <v>0</v>
      </c>
      <c r="R899" s="2" t="inlineStr"/>
    </row>
    <row r="900" ht="15" customHeight="1">
      <c r="A900" t="inlineStr">
        <is>
          <t>A 15978-2024</t>
        </is>
      </c>
      <c r="B900" s="1" t="n">
        <v>45405.57927083333</v>
      </c>
      <c r="C900" s="1" t="n">
        <v>46075</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11333-2025</t>
        </is>
      </c>
      <c r="B901" s="1" t="n">
        <v>45726.48377314815</v>
      </c>
      <c r="C901" s="1" t="n">
        <v>46075</v>
      </c>
      <c r="D901" t="inlineStr">
        <is>
          <t>STOCKHOLMS LÄN</t>
        </is>
      </c>
      <c r="E901" t="inlineStr">
        <is>
          <t>NORRTÄLJE</t>
        </is>
      </c>
      <c r="G901" t="n">
        <v>1.4</v>
      </c>
      <c r="H901" t="n">
        <v>0</v>
      </c>
      <c r="I901" t="n">
        <v>0</v>
      </c>
      <c r="J901" t="n">
        <v>0</v>
      </c>
      <c r="K901" t="n">
        <v>0</v>
      </c>
      <c r="L901" t="n">
        <v>0</v>
      </c>
      <c r="M901" t="n">
        <v>0</v>
      </c>
      <c r="N901" t="n">
        <v>0</v>
      </c>
      <c r="O901" t="n">
        <v>0</v>
      </c>
      <c r="P901" t="n">
        <v>0</v>
      </c>
      <c r="Q901" t="n">
        <v>0</v>
      </c>
      <c r="R901" s="2" t="inlineStr"/>
    </row>
    <row r="902" ht="15" customHeight="1">
      <c r="A902" t="inlineStr">
        <is>
          <t>A 7582-2026</t>
        </is>
      </c>
      <c r="B902" s="1" t="n">
        <v>46061.6455324074</v>
      </c>
      <c r="C902" s="1" t="n">
        <v>46075</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8091-2026</t>
        </is>
      </c>
      <c r="B903" s="1" t="n">
        <v>46063.70944444444</v>
      </c>
      <c r="C903" s="1" t="n">
        <v>46075</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34391-2023</t>
        </is>
      </c>
      <c r="B904" s="1" t="n">
        <v>45139.51457175926</v>
      </c>
      <c r="C904" s="1" t="n">
        <v>46075</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7793-2026</t>
        </is>
      </c>
      <c r="B905" s="1" t="n">
        <v>46062.59496527778</v>
      </c>
      <c r="C905" s="1" t="n">
        <v>46075</v>
      </c>
      <c r="D905" t="inlineStr">
        <is>
          <t>STOCKHOLMS LÄN</t>
        </is>
      </c>
      <c r="E905" t="inlineStr">
        <is>
          <t>NORRTÄLJE</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67921-2021</t>
        </is>
      </c>
      <c r="B906" s="1" t="n">
        <v>44525</v>
      </c>
      <c r="C906" s="1" t="n">
        <v>46075</v>
      </c>
      <c r="D906" t="inlineStr">
        <is>
          <t>STOCKHOLMS LÄN</t>
        </is>
      </c>
      <c r="E906" t="inlineStr">
        <is>
          <t>NORRTÄLJE</t>
        </is>
      </c>
      <c r="G906" t="n">
        <v>6.3</v>
      </c>
      <c r="H906" t="n">
        <v>0</v>
      </c>
      <c r="I906" t="n">
        <v>0</v>
      </c>
      <c r="J906" t="n">
        <v>0</v>
      </c>
      <c r="K906" t="n">
        <v>0</v>
      </c>
      <c r="L906" t="n">
        <v>0</v>
      </c>
      <c r="M906" t="n">
        <v>0</v>
      </c>
      <c r="N906" t="n">
        <v>0</v>
      </c>
      <c r="O906" t="n">
        <v>0</v>
      </c>
      <c r="P906" t="n">
        <v>0</v>
      </c>
      <c r="Q906" t="n">
        <v>0</v>
      </c>
      <c r="R906" s="2" t="inlineStr"/>
    </row>
    <row r="907" ht="15" customHeight="1">
      <c r="A907" t="inlineStr">
        <is>
          <t>A 7723-2026</t>
        </is>
      </c>
      <c r="B907" s="1" t="n">
        <v>46062.49905092592</v>
      </c>
      <c r="C907" s="1" t="n">
        <v>46075</v>
      </c>
      <c r="D907" t="inlineStr">
        <is>
          <t>STOCKHOLMS LÄN</t>
        </is>
      </c>
      <c r="E907" t="inlineStr">
        <is>
          <t>NORRTÄLJE</t>
        </is>
      </c>
      <c r="G907" t="n">
        <v>0.8</v>
      </c>
      <c r="H907" t="n">
        <v>0</v>
      </c>
      <c r="I907" t="n">
        <v>0</v>
      </c>
      <c r="J907" t="n">
        <v>0</v>
      </c>
      <c r="K907" t="n">
        <v>0</v>
      </c>
      <c r="L907" t="n">
        <v>0</v>
      </c>
      <c r="M907" t="n">
        <v>0</v>
      </c>
      <c r="N907" t="n">
        <v>0</v>
      </c>
      <c r="O907" t="n">
        <v>0</v>
      </c>
      <c r="P907" t="n">
        <v>0</v>
      </c>
      <c r="Q907" t="n">
        <v>0</v>
      </c>
      <c r="R907" s="2" t="inlineStr"/>
    </row>
    <row r="908" ht="15" customHeight="1">
      <c r="A908" t="inlineStr">
        <is>
          <t>A 25681-2024</t>
        </is>
      </c>
      <c r="B908" s="1" t="n">
        <v>45463.80486111111</v>
      </c>
      <c r="C908" s="1" t="n">
        <v>46075</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58853-2024</t>
        </is>
      </c>
      <c r="B909" s="1" t="n">
        <v>45636.38974537037</v>
      </c>
      <c r="C909" s="1" t="n">
        <v>46075</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35438-2023</t>
        </is>
      </c>
      <c r="B910" s="1" t="n">
        <v>45146</v>
      </c>
      <c r="C910" s="1" t="n">
        <v>46075</v>
      </c>
      <c r="D910" t="inlineStr">
        <is>
          <t>STOCKHOLMS LÄN</t>
        </is>
      </c>
      <c r="E910" t="inlineStr">
        <is>
          <t>NORRTÄLJE</t>
        </is>
      </c>
      <c r="F910" t="inlineStr">
        <is>
          <t>Kommuner</t>
        </is>
      </c>
      <c r="G910" t="n">
        <v>1.9</v>
      </c>
      <c r="H910" t="n">
        <v>0</v>
      </c>
      <c r="I910" t="n">
        <v>0</v>
      </c>
      <c r="J910" t="n">
        <v>0</v>
      </c>
      <c r="K910" t="n">
        <v>0</v>
      </c>
      <c r="L910" t="n">
        <v>0</v>
      </c>
      <c r="M910" t="n">
        <v>0</v>
      </c>
      <c r="N910" t="n">
        <v>0</v>
      </c>
      <c r="O910" t="n">
        <v>0</v>
      </c>
      <c r="P910" t="n">
        <v>0</v>
      </c>
      <c r="Q910" t="n">
        <v>0</v>
      </c>
      <c r="R910" s="2" t="inlineStr"/>
    </row>
    <row r="911" ht="15" customHeight="1">
      <c r="A911" t="inlineStr">
        <is>
          <t>A 8096-2026</t>
        </is>
      </c>
      <c r="B911" s="1" t="n">
        <v>46063.714375</v>
      </c>
      <c r="C911" s="1" t="n">
        <v>46075</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8055-2026</t>
        </is>
      </c>
      <c r="B912" s="1" t="n">
        <v>46063.62002314815</v>
      </c>
      <c r="C912" s="1" t="n">
        <v>46075</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7729-2026</t>
        </is>
      </c>
      <c r="B913" s="1" t="n">
        <v>46062.51100694444</v>
      </c>
      <c r="C913" s="1" t="n">
        <v>46075</v>
      </c>
      <c r="D913" t="inlineStr">
        <is>
          <t>STOCKHOLMS LÄN</t>
        </is>
      </c>
      <c r="E913" t="inlineStr">
        <is>
          <t>NORRTÄLJE</t>
        </is>
      </c>
      <c r="G913" t="n">
        <v>6.6</v>
      </c>
      <c r="H913" t="n">
        <v>0</v>
      </c>
      <c r="I913" t="n">
        <v>0</v>
      </c>
      <c r="J913" t="n">
        <v>0</v>
      </c>
      <c r="K913" t="n">
        <v>0</v>
      </c>
      <c r="L913" t="n">
        <v>0</v>
      </c>
      <c r="M913" t="n">
        <v>0</v>
      </c>
      <c r="N913" t="n">
        <v>0</v>
      </c>
      <c r="O913" t="n">
        <v>0</v>
      </c>
      <c r="P913" t="n">
        <v>0</v>
      </c>
      <c r="Q913" t="n">
        <v>0</v>
      </c>
      <c r="R913" s="2" t="inlineStr"/>
    </row>
    <row r="914" ht="15" customHeight="1">
      <c r="A914" t="inlineStr">
        <is>
          <t>A 20291-2022</t>
        </is>
      </c>
      <c r="B914" s="1" t="n">
        <v>44698</v>
      </c>
      <c r="C914" s="1" t="n">
        <v>46075</v>
      </c>
      <c r="D914" t="inlineStr">
        <is>
          <t>STOCKHOLMS LÄN</t>
        </is>
      </c>
      <c r="E914" t="inlineStr">
        <is>
          <t>NORRTÄLJE</t>
        </is>
      </c>
      <c r="F914" t="inlineStr">
        <is>
          <t>Naturvårdsverket</t>
        </is>
      </c>
      <c r="G914" t="n">
        <v>2</v>
      </c>
      <c r="H914" t="n">
        <v>0</v>
      </c>
      <c r="I914" t="n">
        <v>0</v>
      </c>
      <c r="J914" t="n">
        <v>0</v>
      </c>
      <c r="K914" t="n">
        <v>0</v>
      </c>
      <c r="L914" t="n">
        <v>0</v>
      </c>
      <c r="M914" t="n">
        <v>0</v>
      </c>
      <c r="N914" t="n">
        <v>0</v>
      </c>
      <c r="O914" t="n">
        <v>0</v>
      </c>
      <c r="P914" t="n">
        <v>0</v>
      </c>
      <c r="Q914" t="n">
        <v>0</v>
      </c>
      <c r="R914" s="2" t="inlineStr"/>
    </row>
    <row r="915" ht="15" customHeight="1">
      <c r="A915" t="inlineStr">
        <is>
          <t>A 26115-2024</t>
        </is>
      </c>
      <c r="B915" s="1" t="n">
        <v>45468.45628472222</v>
      </c>
      <c r="C915" s="1" t="n">
        <v>46075</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8489-2026</t>
        </is>
      </c>
      <c r="B916" s="1" t="n">
        <v>46065.48268518518</v>
      </c>
      <c r="C916" s="1" t="n">
        <v>46075</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19118-2022</t>
        </is>
      </c>
      <c r="B917" s="1" t="n">
        <v>44691.5652662037</v>
      </c>
      <c r="C917" s="1" t="n">
        <v>46075</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8410-2026</t>
        </is>
      </c>
      <c r="B918" s="1" t="n">
        <v>46065.34261574074</v>
      </c>
      <c r="C918" s="1" t="n">
        <v>46075</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8454-2026</t>
        </is>
      </c>
      <c r="B919" s="1" t="n">
        <v>46065.42506944444</v>
      </c>
      <c r="C919" s="1" t="n">
        <v>46075</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8739-2024</t>
        </is>
      </c>
      <c r="B920" s="1" t="n">
        <v>45356.47784722222</v>
      </c>
      <c r="C920" s="1" t="n">
        <v>46075</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8465-2026</t>
        </is>
      </c>
      <c r="B921" s="1" t="n">
        <v>46065.44141203703</v>
      </c>
      <c r="C921" s="1" t="n">
        <v>46075</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38759-2022</t>
        </is>
      </c>
      <c r="B922" s="1" t="n">
        <v>44816</v>
      </c>
      <c r="C922" s="1" t="n">
        <v>46075</v>
      </c>
      <c r="D922" t="inlineStr">
        <is>
          <t>STOCKHOLMS LÄN</t>
        </is>
      </c>
      <c r="E922" t="inlineStr">
        <is>
          <t>NORRTÄLJE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197-2026</t>
        </is>
      </c>
      <c r="B923" s="1" t="n">
        <v>46026</v>
      </c>
      <c r="C923" s="1" t="n">
        <v>46075</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32857-2021</t>
        </is>
      </c>
      <c r="B924" s="1" t="n">
        <v>44375</v>
      </c>
      <c r="C924" s="1" t="n">
        <v>46075</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124-2026</t>
        </is>
      </c>
      <c r="B925" s="1" t="n">
        <v>46024.58378472222</v>
      </c>
      <c r="C925" s="1" t="n">
        <v>46075</v>
      </c>
      <c r="D925" t="inlineStr">
        <is>
          <t>STOCKHOLMS LÄN</t>
        </is>
      </c>
      <c r="E925" t="inlineStr">
        <is>
          <t>NORRTÄLJE</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29714-2023</t>
        </is>
      </c>
      <c r="B926" s="1" t="n">
        <v>45107.42538194444</v>
      </c>
      <c r="C926" s="1" t="n">
        <v>46075</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23271-2023</t>
        </is>
      </c>
      <c r="B927" s="1" t="n">
        <v>45075.91362268518</v>
      </c>
      <c r="C927" s="1" t="n">
        <v>46075</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23273-2023</t>
        </is>
      </c>
      <c r="B928" s="1" t="n">
        <v>45075.91971064815</v>
      </c>
      <c r="C928" s="1" t="n">
        <v>46075</v>
      </c>
      <c r="D928" t="inlineStr">
        <is>
          <t>STOCKHOLMS LÄN</t>
        </is>
      </c>
      <c r="E928" t="inlineStr">
        <is>
          <t>NORRTÄLJE</t>
        </is>
      </c>
      <c r="G928" t="n">
        <v>7.5</v>
      </c>
      <c r="H928" t="n">
        <v>0</v>
      </c>
      <c r="I928" t="n">
        <v>0</v>
      </c>
      <c r="J928" t="n">
        <v>0</v>
      </c>
      <c r="K928" t="n">
        <v>0</v>
      </c>
      <c r="L928" t="n">
        <v>0</v>
      </c>
      <c r="M928" t="n">
        <v>0</v>
      </c>
      <c r="N928" t="n">
        <v>0</v>
      </c>
      <c r="O928" t="n">
        <v>0</v>
      </c>
      <c r="P928" t="n">
        <v>0</v>
      </c>
      <c r="Q928" t="n">
        <v>0</v>
      </c>
      <c r="R928" s="2" t="inlineStr"/>
    </row>
    <row r="929" ht="15" customHeight="1">
      <c r="A929" t="inlineStr">
        <is>
          <t>A 9103-2026</t>
        </is>
      </c>
      <c r="B929" s="1" t="n">
        <v>46069.65039351852</v>
      </c>
      <c r="C929" s="1" t="n">
        <v>46075</v>
      </c>
      <c r="D929" t="inlineStr">
        <is>
          <t>STOCKHOLMS LÄN</t>
        </is>
      </c>
      <c r="E929" t="inlineStr">
        <is>
          <t>NORRTÄLJE</t>
        </is>
      </c>
      <c r="F929" t="inlineStr">
        <is>
          <t>Holmen skog AB</t>
        </is>
      </c>
      <c r="G929" t="n">
        <v>3.6</v>
      </c>
      <c r="H929" t="n">
        <v>0</v>
      </c>
      <c r="I929" t="n">
        <v>0</v>
      </c>
      <c r="J929" t="n">
        <v>0</v>
      </c>
      <c r="K929" t="n">
        <v>0</v>
      </c>
      <c r="L929" t="n">
        <v>0</v>
      </c>
      <c r="M929" t="n">
        <v>0</v>
      </c>
      <c r="N929" t="n">
        <v>0</v>
      </c>
      <c r="O929" t="n">
        <v>0</v>
      </c>
      <c r="P929" t="n">
        <v>0</v>
      </c>
      <c r="Q929" t="n">
        <v>0</v>
      </c>
      <c r="R929" s="2" t="inlineStr"/>
    </row>
    <row r="930" ht="15" customHeight="1">
      <c r="A930" t="inlineStr">
        <is>
          <t>A 8962-2026</t>
        </is>
      </c>
      <c r="B930" s="1" t="n">
        <v>46069.41644675926</v>
      </c>
      <c r="C930" s="1" t="n">
        <v>46075</v>
      </c>
      <c r="D930" t="inlineStr">
        <is>
          <t>STOCKHOLMS LÄN</t>
        </is>
      </c>
      <c r="E930" t="inlineStr">
        <is>
          <t>NORRTÄLJE</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8989-2026</t>
        </is>
      </c>
      <c r="B931" s="1" t="n">
        <v>46069.45789351852</v>
      </c>
      <c r="C931" s="1" t="n">
        <v>46075</v>
      </c>
      <c r="D931" t="inlineStr">
        <is>
          <t>STOCKHOLMS LÄN</t>
        </is>
      </c>
      <c r="E931" t="inlineStr">
        <is>
          <t>NORRTÄLJE</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7603-2025</t>
        </is>
      </c>
      <c r="B932" s="1" t="n">
        <v>45705.66126157407</v>
      </c>
      <c r="C932" s="1" t="n">
        <v>46075</v>
      </c>
      <c r="D932" t="inlineStr">
        <is>
          <t>STOCKHOLMS LÄN</t>
        </is>
      </c>
      <c r="E932" t="inlineStr">
        <is>
          <t>NORRTÄLJE</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8985-2026</t>
        </is>
      </c>
      <c r="B933" s="1" t="n">
        <v>46069.45234953704</v>
      </c>
      <c r="C933" s="1" t="n">
        <v>46075</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30802-2022</t>
        </is>
      </c>
      <c r="B934" s="1" t="n">
        <v>44764</v>
      </c>
      <c r="C934" s="1" t="n">
        <v>46075</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55369-2023</t>
        </is>
      </c>
      <c r="B935" s="1" t="n">
        <v>45238</v>
      </c>
      <c r="C935" s="1" t="n">
        <v>46075</v>
      </c>
      <c r="D935" t="inlineStr">
        <is>
          <t>STOCKHOLMS LÄN</t>
        </is>
      </c>
      <c r="E935" t="inlineStr">
        <is>
          <t>NORRTÄLJE</t>
        </is>
      </c>
      <c r="G935" t="n">
        <v>0.4</v>
      </c>
      <c r="H935" t="n">
        <v>0</v>
      </c>
      <c r="I935" t="n">
        <v>0</v>
      </c>
      <c r="J935" t="n">
        <v>0</v>
      </c>
      <c r="K935" t="n">
        <v>0</v>
      </c>
      <c r="L935" t="n">
        <v>0</v>
      </c>
      <c r="M935" t="n">
        <v>0</v>
      </c>
      <c r="N935" t="n">
        <v>0</v>
      </c>
      <c r="O935" t="n">
        <v>0</v>
      </c>
      <c r="P935" t="n">
        <v>0</v>
      </c>
      <c r="Q935" t="n">
        <v>0</v>
      </c>
      <c r="R935" s="2" t="inlineStr"/>
    </row>
    <row r="936" ht="15" customHeight="1">
      <c r="A936" t="inlineStr">
        <is>
          <t>A 718-2026</t>
        </is>
      </c>
      <c r="B936" s="1" t="n">
        <v>46029.63174768518</v>
      </c>
      <c r="C936" s="1" t="n">
        <v>46075</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61113-2023</t>
        </is>
      </c>
      <c r="B937" s="1" t="n">
        <v>45261</v>
      </c>
      <c r="C937" s="1" t="n">
        <v>46075</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3283-2025</t>
        </is>
      </c>
      <c r="B938" s="1" t="n">
        <v>45679</v>
      </c>
      <c r="C938" s="1" t="n">
        <v>46075</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9447-2026</t>
        </is>
      </c>
      <c r="B939" s="1" t="n">
        <v>46071.47133101852</v>
      </c>
      <c r="C939" s="1" t="n">
        <v>46075</v>
      </c>
      <c r="D939" t="inlineStr">
        <is>
          <t>STOCKHOLMS LÄN</t>
        </is>
      </c>
      <c r="E939" t="inlineStr">
        <is>
          <t>NORRTÄLJE</t>
        </is>
      </c>
      <c r="G939" t="n">
        <v>28.6</v>
      </c>
      <c r="H939" t="n">
        <v>0</v>
      </c>
      <c r="I939" t="n">
        <v>0</v>
      </c>
      <c r="J939" t="n">
        <v>0</v>
      </c>
      <c r="K939" t="n">
        <v>0</v>
      </c>
      <c r="L939" t="n">
        <v>0</v>
      </c>
      <c r="M939" t="n">
        <v>0</v>
      </c>
      <c r="N939" t="n">
        <v>0</v>
      </c>
      <c r="O939" t="n">
        <v>0</v>
      </c>
      <c r="P939" t="n">
        <v>0</v>
      </c>
      <c r="Q939" t="n">
        <v>0</v>
      </c>
      <c r="R939" s="2" t="inlineStr"/>
    </row>
    <row r="940" ht="15" customHeight="1">
      <c r="A940" t="inlineStr">
        <is>
          <t>A 34295-2024</t>
        </is>
      </c>
      <c r="B940" s="1" t="n">
        <v>45524</v>
      </c>
      <c r="C940" s="1" t="n">
        <v>46075</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694-2026</t>
        </is>
      </c>
      <c r="B941" s="1" t="n">
        <v>46029.61375</v>
      </c>
      <c r="C941" s="1" t="n">
        <v>46075</v>
      </c>
      <c r="D941" t="inlineStr">
        <is>
          <t>STOCKHOLMS LÄN</t>
        </is>
      </c>
      <c r="E941" t="inlineStr">
        <is>
          <t>NORRTÄLJE</t>
        </is>
      </c>
      <c r="G941" t="n">
        <v>9.6</v>
      </c>
      <c r="H941" t="n">
        <v>0</v>
      </c>
      <c r="I941" t="n">
        <v>0</v>
      </c>
      <c r="J941" t="n">
        <v>0</v>
      </c>
      <c r="K941" t="n">
        <v>0</v>
      </c>
      <c r="L941" t="n">
        <v>0</v>
      </c>
      <c r="M941" t="n">
        <v>0</v>
      </c>
      <c r="N941" t="n">
        <v>0</v>
      </c>
      <c r="O941" t="n">
        <v>0</v>
      </c>
      <c r="P941" t="n">
        <v>0</v>
      </c>
      <c r="Q941" t="n">
        <v>0</v>
      </c>
      <c r="R941" s="2" t="inlineStr"/>
    </row>
    <row r="942" ht="15" customHeight="1">
      <c r="A942" t="inlineStr">
        <is>
          <t>A 58311-2023</t>
        </is>
      </c>
      <c r="B942" s="1" t="n">
        <v>45245</v>
      </c>
      <c r="C942" s="1" t="n">
        <v>46075</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23692-2024</t>
        </is>
      </c>
      <c r="B943" s="1" t="n">
        <v>45454.65774305556</v>
      </c>
      <c r="C943" s="1" t="n">
        <v>46075</v>
      </c>
      <c r="D943" t="inlineStr">
        <is>
          <t>STOCKHOLMS LÄN</t>
        </is>
      </c>
      <c r="E943" t="inlineStr">
        <is>
          <t>NORRTÄLJE</t>
        </is>
      </c>
      <c r="G943" t="n">
        <v>3.7</v>
      </c>
      <c r="H943" t="n">
        <v>0</v>
      </c>
      <c r="I943" t="n">
        <v>0</v>
      </c>
      <c r="J943" t="n">
        <v>0</v>
      </c>
      <c r="K943" t="n">
        <v>0</v>
      </c>
      <c r="L943" t="n">
        <v>0</v>
      </c>
      <c r="M943" t="n">
        <v>0</v>
      </c>
      <c r="N943" t="n">
        <v>0</v>
      </c>
      <c r="O943" t="n">
        <v>0</v>
      </c>
      <c r="P943" t="n">
        <v>0</v>
      </c>
      <c r="Q943" t="n">
        <v>0</v>
      </c>
      <c r="R943" s="2" t="inlineStr"/>
    </row>
    <row r="944" ht="15" customHeight="1">
      <c r="A944" t="inlineStr">
        <is>
          <t>A 20473-2021</t>
        </is>
      </c>
      <c r="B944" s="1" t="n">
        <v>44315</v>
      </c>
      <c r="C944" s="1" t="n">
        <v>46075</v>
      </c>
      <c r="D944" t="inlineStr">
        <is>
          <t>STOCKHOLMS LÄN</t>
        </is>
      </c>
      <c r="E944" t="inlineStr">
        <is>
          <t>NORRTÄLJE</t>
        </is>
      </c>
      <c r="F944" t="inlineStr">
        <is>
          <t>Övriga Aktiebolag</t>
        </is>
      </c>
      <c r="G944" t="n">
        <v>3.6</v>
      </c>
      <c r="H944" t="n">
        <v>0</v>
      </c>
      <c r="I944" t="n">
        <v>0</v>
      </c>
      <c r="J944" t="n">
        <v>0</v>
      </c>
      <c r="K944" t="n">
        <v>0</v>
      </c>
      <c r="L944" t="n">
        <v>0</v>
      </c>
      <c r="M944" t="n">
        <v>0</v>
      </c>
      <c r="N944" t="n">
        <v>0</v>
      </c>
      <c r="O944" t="n">
        <v>0</v>
      </c>
      <c r="P944" t="n">
        <v>0</v>
      </c>
      <c r="Q944" t="n">
        <v>0</v>
      </c>
      <c r="R944" s="2" t="inlineStr"/>
    </row>
    <row r="945" ht="15" customHeight="1">
      <c r="A945" t="inlineStr">
        <is>
          <t>A 693-2026</t>
        </is>
      </c>
      <c r="B945" s="1" t="n">
        <v>46029.6133449074</v>
      </c>
      <c r="C945" s="1" t="n">
        <v>46075</v>
      </c>
      <c r="D945" t="inlineStr">
        <is>
          <t>STOCKHOLMS LÄN</t>
        </is>
      </c>
      <c r="E945" t="inlineStr">
        <is>
          <t>NORRTÄLJE</t>
        </is>
      </c>
      <c r="G945" t="n">
        <v>9.6</v>
      </c>
      <c r="H945" t="n">
        <v>0</v>
      </c>
      <c r="I945" t="n">
        <v>0</v>
      </c>
      <c r="J945" t="n">
        <v>0</v>
      </c>
      <c r="K945" t="n">
        <v>0</v>
      </c>
      <c r="L945" t="n">
        <v>0</v>
      </c>
      <c r="M945" t="n">
        <v>0</v>
      </c>
      <c r="N945" t="n">
        <v>0</v>
      </c>
      <c r="O945" t="n">
        <v>0</v>
      </c>
      <c r="P945" t="n">
        <v>0</v>
      </c>
      <c r="Q945" t="n">
        <v>0</v>
      </c>
      <c r="R945" s="2" t="inlineStr"/>
    </row>
    <row r="946" ht="15" customHeight="1">
      <c r="A946" t="inlineStr">
        <is>
          <t>A 475-2026</t>
        </is>
      </c>
      <c r="B946" s="1" t="n">
        <v>46029.39351851852</v>
      </c>
      <c r="C946" s="1" t="n">
        <v>46075</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717-2026</t>
        </is>
      </c>
      <c r="B947" s="1" t="n">
        <v>46029.63028935185</v>
      </c>
      <c r="C947" s="1" t="n">
        <v>46075</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54273-2021</t>
        </is>
      </c>
      <c r="B948" s="1" t="n">
        <v>44470.72987268519</v>
      </c>
      <c r="C948" s="1" t="n">
        <v>46075</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812-2026</t>
        </is>
      </c>
      <c r="B949" s="1" t="n">
        <v>46030.33358796296</v>
      </c>
      <c r="C949" s="1" t="n">
        <v>46075</v>
      </c>
      <c r="D949" t="inlineStr">
        <is>
          <t>STOCKHOLMS LÄN</t>
        </is>
      </c>
      <c r="E949" t="inlineStr">
        <is>
          <t>NORRTÄLJE</t>
        </is>
      </c>
      <c r="G949" t="n">
        <v>2.4</v>
      </c>
      <c r="H949" t="n">
        <v>0</v>
      </c>
      <c r="I949" t="n">
        <v>0</v>
      </c>
      <c r="J949" t="n">
        <v>0</v>
      </c>
      <c r="K949" t="n">
        <v>0</v>
      </c>
      <c r="L949" t="n">
        <v>0</v>
      </c>
      <c r="M949" t="n">
        <v>0</v>
      </c>
      <c r="N949" t="n">
        <v>0</v>
      </c>
      <c r="O949" t="n">
        <v>0</v>
      </c>
      <c r="P949" t="n">
        <v>0</v>
      </c>
      <c r="Q949" t="n">
        <v>0</v>
      </c>
      <c r="R949" s="2" t="inlineStr"/>
    </row>
    <row r="950" ht="15" customHeight="1">
      <c r="A950" t="inlineStr">
        <is>
          <t>A 39610-2025</t>
        </is>
      </c>
      <c r="B950" s="1" t="n">
        <v>45890</v>
      </c>
      <c r="C950" s="1" t="n">
        <v>46075</v>
      </c>
      <c r="D950" t="inlineStr">
        <is>
          <t>STOCKHOLMS LÄN</t>
        </is>
      </c>
      <c r="E950" t="inlineStr">
        <is>
          <t>NORRTÄLJE</t>
        </is>
      </c>
      <c r="G950" t="n">
        <v>28.6</v>
      </c>
      <c r="H950" t="n">
        <v>0</v>
      </c>
      <c r="I950" t="n">
        <v>0</v>
      </c>
      <c r="J950" t="n">
        <v>0</v>
      </c>
      <c r="K950" t="n">
        <v>0</v>
      </c>
      <c r="L950" t="n">
        <v>0</v>
      </c>
      <c r="M950" t="n">
        <v>0</v>
      </c>
      <c r="N950" t="n">
        <v>0</v>
      </c>
      <c r="O950" t="n">
        <v>0</v>
      </c>
      <c r="P950" t="n">
        <v>0</v>
      </c>
      <c r="Q950" t="n">
        <v>0</v>
      </c>
      <c r="R950" s="2" t="inlineStr"/>
    </row>
    <row r="951" ht="15" customHeight="1">
      <c r="A951" t="inlineStr">
        <is>
          <t>A 7806-2025</t>
        </is>
      </c>
      <c r="B951" s="1" t="n">
        <v>45706.61178240741</v>
      </c>
      <c r="C951" s="1" t="n">
        <v>46075</v>
      </c>
      <c r="D951" t="inlineStr">
        <is>
          <t>STOCKHOLMS LÄN</t>
        </is>
      </c>
      <c r="E951" t="inlineStr">
        <is>
          <t>NORRTÄLJE</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53792-2023</t>
        </is>
      </c>
      <c r="B952" s="1" t="n">
        <v>45231.34144675926</v>
      </c>
      <c r="C952" s="1" t="n">
        <v>46075</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21329-2022</t>
        </is>
      </c>
      <c r="B953" s="1" t="n">
        <v>44705.60626157407</v>
      </c>
      <c r="C953" s="1" t="n">
        <v>46075</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50569-2022</t>
        </is>
      </c>
      <c r="B954" s="1" t="n">
        <v>44866.63775462963</v>
      </c>
      <c r="C954" s="1" t="n">
        <v>46075</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24501-2023</t>
        </is>
      </c>
      <c r="B955" s="1" t="n">
        <v>45082</v>
      </c>
      <c r="C955" s="1" t="n">
        <v>46075</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24520-2023</t>
        </is>
      </c>
      <c r="B956" s="1" t="n">
        <v>45082.68922453704</v>
      </c>
      <c r="C956" s="1" t="n">
        <v>46075</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60654-2023</t>
        </is>
      </c>
      <c r="B957" s="1" t="n">
        <v>45260.43225694444</v>
      </c>
      <c r="C957" s="1" t="n">
        <v>46075</v>
      </c>
      <c r="D957" t="inlineStr">
        <is>
          <t>STOCKHOLMS LÄN</t>
        </is>
      </c>
      <c r="E957" t="inlineStr">
        <is>
          <t>NORRTÄLJE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60656-2023</t>
        </is>
      </c>
      <c r="B958" s="1" t="n">
        <v>45260.4333449074</v>
      </c>
      <c r="C958" s="1" t="n">
        <v>46075</v>
      </c>
      <c r="D958" t="inlineStr">
        <is>
          <t>STOCKHOLMS LÄN</t>
        </is>
      </c>
      <c r="E958" t="inlineStr">
        <is>
          <t>NORRTÄLJE</t>
        </is>
      </c>
      <c r="G958" t="n">
        <v>4.8</v>
      </c>
      <c r="H958" t="n">
        <v>0</v>
      </c>
      <c r="I958" t="n">
        <v>0</v>
      </c>
      <c r="J958" t="n">
        <v>0</v>
      </c>
      <c r="K958" t="n">
        <v>0</v>
      </c>
      <c r="L958" t="n">
        <v>0</v>
      </c>
      <c r="M958" t="n">
        <v>0</v>
      </c>
      <c r="N958" t="n">
        <v>0</v>
      </c>
      <c r="O958" t="n">
        <v>0</v>
      </c>
      <c r="P958" t="n">
        <v>0</v>
      </c>
      <c r="Q958" t="n">
        <v>0</v>
      </c>
      <c r="R958" s="2" t="inlineStr"/>
    </row>
    <row r="959" ht="15" customHeight="1">
      <c r="A959" t="inlineStr">
        <is>
          <t>A 54496-2024</t>
        </is>
      </c>
      <c r="B959" s="1" t="n">
        <v>45617.57439814815</v>
      </c>
      <c r="C959" s="1" t="n">
        <v>46075</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21386-2023</t>
        </is>
      </c>
      <c r="B960" s="1" t="n">
        <v>45063.35880787037</v>
      </c>
      <c r="C960" s="1" t="n">
        <v>46075</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10642-2025</t>
        </is>
      </c>
      <c r="B961" s="1" t="n">
        <v>45721.65858796296</v>
      </c>
      <c r="C961" s="1" t="n">
        <v>46075</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9720-2026</t>
        </is>
      </c>
      <c r="B962" s="1" t="n">
        <v>46072.45061342593</v>
      </c>
      <c r="C962" s="1" t="n">
        <v>46075</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6828-2026</t>
        </is>
      </c>
      <c r="B963" s="1" t="n">
        <v>46057</v>
      </c>
      <c r="C963" s="1" t="n">
        <v>46075</v>
      </c>
      <c r="D963" t="inlineStr">
        <is>
          <t>STOCKHOLMS LÄN</t>
        </is>
      </c>
      <c r="E963" t="inlineStr">
        <is>
          <t>NORRTÄLJE</t>
        </is>
      </c>
      <c r="F963" t="inlineStr">
        <is>
          <t>Holmen skog AB</t>
        </is>
      </c>
      <c r="G963" t="n">
        <v>2.8</v>
      </c>
      <c r="H963" t="n">
        <v>0</v>
      </c>
      <c r="I963" t="n">
        <v>0</v>
      </c>
      <c r="J963" t="n">
        <v>0</v>
      </c>
      <c r="K963" t="n">
        <v>0</v>
      </c>
      <c r="L963" t="n">
        <v>0</v>
      </c>
      <c r="M963" t="n">
        <v>0</v>
      </c>
      <c r="N963" t="n">
        <v>0</v>
      </c>
      <c r="O963" t="n">
        <v>0</v>
      </c>
      <c r="P963" t="n">
        <v>0</v>
      </c>
      <c r="Q963" t="n">
        <v>0</v>
      </c>
      <c r="R963" s="2" t="inlineStr"/>
    </row>
    <row r="964" ht="15" customHeight="1">
      <c r="A964" t="inlineStr">
        <is>
          <t>A 20144-2023</t>
        </is>
      </c>
      <c r="B964" s="1" t="n">
        <v>45055.43509259259</v>
      </c>
      <c r="C964" s="1" t="n">
        <v>46075</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53312-2024</t>
        </is>
      </c>
      <c r="B965" s="1" t="n">
        <v>45614.39627314815</v>
      </c>
      <c r="C965" s="1" t="n">
        <v>46075</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39202-2024</t>
        </is>
      </c>
      <c r="B966" s="1" t="n">
        <v>45548.72306712963</v>
      </c>
      <c r="C966" s="1" t="n">
        <v>46075</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22756-2022</t>
        </is>
      </c>
      <c r="B967" s="1" t="n">
        <v>44714.92253472222</v>
      </c>
      <c r="C967" s="1" t="n">
        <v>46075</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4581-2025</t>
        </is>
      </c>
      <c r="B968" s="1" t="n">
        <v>45687</v>
      </c>
      <c r="C968" s="1" t="n">
        <v>46075</v>
      </c>
      <c r="D968" t="inlineStr">
        <is>
          <t>STOCKHOLMS LÄN</t>
        </is>
      </c>
      <c r="E968" t="inlineStr">
        <is>
          <t>NORRTÄLJE</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60765-2023</t>
        </is>
      </c>
      <c r="B969" s="1" t="n">
        <v>45260</v>
      </c>
      <c r="C969" s="1" t="n">
        <v>46075</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23801-2022</t>
        </is>
      </c>
      <c r="B970" s="1" t="n">
        <v>44722</v>
      </c>
      <c r="C970" s="1" t="n">
        <v>46075</v>
      </c>
      <c r="D970" t="inlineStr">
        <is>
          <t>STOCKHOLMS LÄN</t>
        </is>
      </c>
      <c r="E970" t="inlineStr">
        <is>
          <t>NORRTÄLJE</t>
        </is>
      </c>
      <c r="G970" t="n">
        <v>6.8</v>
      </c>
      <c r="H970" t="n">
        <v>0</v>
      </c>
      <c r="I970" t="n">
        <v>0</v>
      </c>
      <c r="J970" t="n">
        <v>0</v>
      </c>
      <c r="K970" t="n">
        <v>0</v>
      </c>
      <c r="L970" t="n">
        <v>0</v>
      </c>
      <c r="M970" t="n">
        <v>0</v>
      </c>
      <c r="N970" t="n">
        <v>0</v>
      </c>
      <c r="O970" t="n">
        <v>0</v>
      </c>
      <c r="P970" t="n">
        <v>0</v>
      </c>
      <c r="Q970" t="n">
        <v>0</v>
      </c>
      <c r="R970" s="2" t="inlineStr"/>
    </row>
    <row r="971" ht="15" customHeight="1">
      <c r="A971" t="inlineStr">
        <is>
          <t>A 59276-2023</t>
        </is>
      </c>
      <c r="B971" s="1" t="n">
        <v>45253.55641203704</v>
      </c>
      <c r="C971" s="1" t="n">
        <v>46075</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46914-2022</t>
        </is>
      </c>
      <c r="B972" s="1" t="n">
        <v>44851</v>
      </c>
      <c r="C972" s="1" t="n">
        <v>46075</v>
      </c>
      <c r="D972" t="inlineStr">
        <is>
          <t>STOCKHOLMS LÄN</t>
        </is>
      </c>
      <c r="E972" t="inlineStr">
        <is>
          <t>NORRTÄLJE</t>
        </is>
      </c>
      <c r="G972" t="n">
        <v>2.4</v>
      </c>
      <c r="H972" t="n">
        <v>0</v>
      </c>
      <c r="I972" t="n">
        <v>0</v>
      </c>
      <c r="J972" t="n">
        <v>0</v>
      </c>
      <c r="K972" t="n">
        <v>0</v>
      </c>
      <c r="L972" t="n">
        <v>0</v>
      </c>
      <c r="M972" t="n">
        <v>0</v>
      </c>
      <c r="N972" t="n">
        <v>0</v>
      </c>
      <c r="O972" t="n">
        <v>0</v>
      </c>
      <c r="P972" t="n">
        <v>0</v>
      </c>
      <c r="Q972" t="n">
        <v>0</v>
      </c>
      <c r="R972" s="2" t="inlineStr"/>
    </row>
    <row r="973" ht="15" customHeight="1">
      <c r="A973" t="inlineStr">
        <is>
          <t>A 18541-2023</t>
        </is>
      </c>
      <c r="B973" s="1" t="n">
        <v>45042.74291666667</v>
      </c>
      <c r="C973" s="1" t="n">
        <v>46075</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3509-2022</t>
        </is>
      </c>
      <c r="B974" s="1" t="n">
        <v>44585</v>
      </c>
      <c r="C974" s="1" t="n">
        <v>46075</v>
      </c>
      <c r="D974" t="inlineStr">
        <is>
          <t>STOCKHOLMS LÄN</t>
        </is>
      </c>
      <c r="E974" t="inlineStr">
        <is>
          <t>NORRTÄLJE</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26407-2024</t>
        </is>
      </c>
      <c r="B975" s="1" t="n">
        <v>45469</v>
      </c>
      <c r="C975" s="1" t="n">
        <v>46075</v>
      </c>
      <c r="D975" t="inlineStr">
        <is>
          <t>STOCKHOLMS LÄN</t>
        </is>
      </c>
      <c r="E975" t="inlineStr">
        <is>
          <t>NORRTÄLJE</t>
        </is>
      </c>
      <c r="G975" t="n">
        <v>3.5</v>
      </c>
      <c r="H975" t="n">
        <v>0</v>
      </c>
      <c r="I975" t="n">
        <v>0</v>
      </c>
      <c r="J975" t="n">
        <v>0</v>
      </c>
      <c r="K975" t="n">
        <v>0</v>
      </c>
      <c r="L975" t="n">
        <v>0</v>
      </c>
      <c r="M975" t="n">
        <v>0</v>
      </c>
      <c r="N975" t="n">
        <v>0</v>
      </c>
      <c r="O975" t="n">
        <v>0</v>
      </c>
      <c r="P975" t="n">
        <v>0</v>
      </c>
      <c r="Q975" t="n">
        <v>0</v>
      </c>
      <c r="R975" s="2" t="inlineStr"/>
    </row>
    <row r="976" ht="15" customHeight="1">
      <c r="A976" t="inlineStr">
        <is>
          <t>A 12890-2024</t>
        </is>
      </c>
      <c r="B976" s="1" t="n">
        <v>45385.36243055556</v>
      </c>
      <c r="C976" s="1" t="n">
        <v>46075</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47419-2023</t>
        </is>
      </c>
      <c r="B977" s="1" t="n">
        <v>45202.65660879629</v>
      </c>
      <c r="C977" s="1" t="n">
        <v>46075</v>
      </c>
      <c r="D977" t="inlineStr">
        <is>
          <t>STOCKHOLMS LÄN</t>
        </is>
      </c>
      <c r="E977" t="inlineStr">
        <is>
          <t>NORRTÄLJE</t>
        </is>
      </c>
      <c r="G977" t="n">
        <v>11.4</v>
      </c>
      <c r="H977" t="n">
        <v>0</v>
      </c>
      <c r="I977" t="n">
        <v>0</v>
      </c>
      <c r="J977" t="n">
        <v>0</v>
      </c>
      <c r="K977" t="n">
        <v>0</v>
      </c>
      <c r="L977" t="n">
        <v>0</v>
      </c>
      <c r="M977" t="n">
        <v>0</v>
      </c>
      <c r="N977" t="n">
        <v>0</v>
      </c>
      <c r="O977" t="n">
        <v>0</v>
      </c>
      <c r="P977" t="n">
        <v>0</v>
      </c>
      <c r="Q977" t="n">
        <v>0</v>
      </c>
      <c r="R977" s="2" t="inlineStr"/>
    </row>
    <row r="978" ht="15" customHeight="1">
      <c r="A978" t="inlineStr">
        <is>
          <t>A 23070-2023</t>
        </is>
      </c>
      <c r="B978" s="1" t="n">
        <v>45075</v>
      </c>
      <c r="C978" s="1" t="n">
        <v>46075</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27824-2022</t>
        </is>
      </c>
      <c r="B979" s="1" t="n">
        <v>44743.59331018518</v>
      </c>
      <c r="C979" s="1" t="n">
        <v>46075</v>
      </c>
      <c r="D979" t="inlineStr">
        <is>
          <t>STOCKHOLMS LÄN</t>
        </is>
      </c>
      <c r="E979" t="inlineStr">
        <is>
          <t>NORRTÄLJE</t>
        </is>
      </c>
      <c r="F979" t="inlineStr">
        <is>
          <t>Kommuner</t>
        </is>
      </c>
      <c r="G979" t="n">
        <v>3.1</v>
      </c>
      <c r="H979" t="n">
        <v>0</v>
      </c>
      <c r="I979" t="n">
        <v>0</v>
      </c>
      <c r="J979" t="n">
        <v>0</v>
      </c>
      <c r="K979" t="n">
        <v>0</v>
      </c>
      <c r="L979" t="n">
        <v>0</v>
      </c>
      <c r="M979" t="n">
        <v>0</v>
      </c>
      <c r="N979" t="n">
        <v>0</v>
      </c>
      <c r="O979" t="n">
        <v>0</v>
      </c>
      <c r="P979" t="n">
        <v>0</v>
      </c>
      <c r="Q979" t="n">
        <v>0</v>
      </c>
      <c r="R979" s="2" t="inlineStr"/>
    </row>
    <row r="980" ht="15" customHeight="1">
      <c r="A980" t="inlineStr">
        <is>
          <t>A 25619-2022</t>
        </is>
      </c>
      <c r="B980" s="1" t="n">
        <v>44732</v>
      </c>
      <c r="C980" s="1" t="n">
        <v>46075</v>
      </c>
      <c r="D980" t="inlineStr">
        <is>
          <t>STOCKHOLMS LÄN</t>
        </is>
      </c>
      <c r="E980" t="inlineStr">
        <is>
          <t>NORRTÄLJE</t>
        </is>
      </c>
      <c r="G980" t="n">
        <v>3.9</v>
      </c>
      <c r="H980" t="n">
        <v>0</v>
      </c>
      <c r="I980" t="n">
        <v>0</v>
      </c>
      <c r="J980" t="n">
        <v>0</v>
      </c>
      <c r="K980" t="n">
        <v>0</v>
      </c>
      <c r="L980" t="n">
        <v>0</v>
      </c>
      <c r="M980" t="n">
        <v>0</v>
      </c>
      <c r="N980" t="n">
        <v>0</v>
      </c>
      <c r="O980" t="n">
        <v>0</v>
      </c>
      <c r="P980" t="n">
        <v>0</v>
      </c>
      <c r="Q980" t="n">
        <v>0</v>
      </c>
      <c r="R980" s="2" t="inlineStr"/>
    </row>
    <row r="981" ht="15" customHeight="1">
      <c r="A981" t="inlineStr">
        <is>
          <t>A 36246-2021</t>
        </is>
      </c>
      <c r="B981" s="1" t="n">
        <v>44390</v>
      </c>
      <c r="C981" s="1" t="n">
        <v>46075</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19952-2023</t>
        </is>
      </c>
      <c r="B982" s="1" t="n">
        <v>45054.54091435186</v>
      </c>
      <c r="C982" s="1" t="n">
        <v>46075</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19994-2023</t>
        </is>
      </c>
      <c r="B983" s="1" t="n">
        <v>45054</v>
      </c>
      <c r="C983" s="1" t="n">
        <v>46075</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14130-2025</t>
        </is>
      </c>
      <c r="B984" s="1" t="n">
        <v>45740.47288194444</v>
      </c>
      <c r="C984" s="1" t="n">
        <v>46075</v>
      </c>
      <c r="D984" t="inlineStr">
        <is>
          <t>STOCKHOLMS LÄN</t>
        </is>
      </c>
      <c r="E984" t="inlineStr">
        <is>
          <t>NORRTÄLJE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574-2023</t>
        </is>
      </c>
      <c r="B985" s="1" t="n">
        <v>44925</v>
      </c>
      <c r="C985" s="1" t="n">
        <v>46075</v>
      </c>
      <c r="D985" t="inlineStr">
        <is>
          <t>STOCKHOLMS LÄN</t>
        </is>
      </c>
      <c r="E985" t="inlineStr">
        <is>
          <t>NORRTÄLJE</t>
        </is>
      </c>
      <c r="G985" t="n">
        <v>5</v>
      </c>
      <c r="H985" t="n">
        <v>0</v>
      </c>
      <c r="I985" t="n">
        <v>0</v>
      </c>
      <c r="J985" t="n">
        <v>0</v>
      </c>
      <c r="K985" t="n">
        <v>0</v>
      </c>
      <c r="L985" t="n">
        <v>0</v>
      </c>
      <c r="M985" t="n">
        <v>0</v>
      </c>
      <c r="N985" t="n">
        <v>0</v>
      </c>
      <c r="O985" t="n">
        <v>0</v>
      </c>
      <c r="P985" t="n">
        <v>0</v>
      </c>
      <c r="Q985" t="n">
        <v>0</v>
      </c>
      <c r="R985" s="2" t="inlineStr"/>
    </row>
    <row r="986" ht="15" customHeight="1">
      <c r="A986" t="inlineStr">
        <is>
          <t>A 30283-2022</t>
        </is>
      </c>
      <c r="B986" s="1" t="n">
        <v>44760</v>
      </c>
      <c r="C986" s="1" t="n">
        <v>46075</v>
      </c>
      <c r="D986" t="inlineStr">
        <is>
          <t>STOCKHOLMS LÄN</t>
        </is>
      </c>
      <c r="E986" t="inlineStr">
        <is>
          <t>NORRTÄLJE</t>
        </is>
      </c>
      <c r="G986" t="n">
        <v>6.2</v>
      </c>
      <c r="H986" t="n">
        <v>0</v>
      </c>
      <c r="I986" t="n">
        <v>0</v>
      </c>
      <c r="J986" t="n">
        <v>0</v>
      </c>
      <c r="K986" t="n">
        <v>0</v>
      </c>
      <c r="L986" t="n">
        <v>0</v>
      </c>
      <c r="M986" t="n">
        <v>0</v>
      </c>
      <c r="N986" t="n">
        <v>0</v>
      </c>
      <c r="O986" t="n">
        <v>0</v>
      </c>
      <c r="P986" t="n">
        <v>0</v>
      </c>
      <c r="Q986" t="n">
        <v>0</v>
      </c>
      <c r="R986" s="2" t="inlineStr"/>
    </row>
    <row r="987" ht="15" customHeight="1">
      <c r="A987" t="inlineStr">
        <is>
          <t>A 30290-2022</t>
        </is>
      </c>
      <c r="B987" s="1" t="n">
        <v>44760</v>
      </c>
      <c r="C987" s="1" t="n">
        <v>46075</v>
      </c>
      <c r="D987" t="inlineStr">
        <is>
          <t>STOCKHOLMS LÄN</t>
        </is>
      </c>
      <c r="E987" t="inlineStr">
        <is>
          <t>NORRTÄLJE</t>
        </is>
      </c>
      <c r="G987" t="n">
        <v>4.8</v>
      </c>
      <c r="H987" t="n">
        <v>0</v>
      </c>
      <c r="I987" t="n">
        <v>0</v>
      </c>
      <c r="J987" t="n">
        <v>0</v>
      </c>
      <c r="K987" t="n">
        <v>0</v>
      </c>
      <c r="L987" t="n">
        <v>0</v>
      </c>
      <c r="M987" t="n">
        <v>0</v>
      </c>
      <c r="N987" t="n">
        <v>0</v>
      </c>
      <c r="O987" t="n">
        <v>0</v>
      </c>
      <c r="P987" t="n">
        <v>0</v>
      </c>
      <c r="Q987" t="n">
        <v>0</v>
      </c>
      <c r="R987" s="2" t="inlineStr"/>
    </row>
    <row r="988" ht="15" customHeight="1">
      <c r="A988" t="inlineStr">
        <is>
          <t>A 29684-2021</t>
        </is>
      </c>
      <c r="B988" s="1" t="n">
        <v>44362.37172453704</v>
      </c>
      <c r="C988" s="1" t="n">
        <v>46075</v>
      </c>
      <c r="D988" t="inlineStr">
        <is>
          <t>STOCKHOLMS LÄN</t>
        </is>
      </c>
      <c r="E988" t="inlineStr">
        <is>
          <t>NORRTÄLJE</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60884-2024</t>
        </is>
      </c>
      <c r="B989" s="1" t="n">
        <v>45644.90815972222</v>
      </c>
      <c r="C989" s="1" t="n">
        <v>46075</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38610-2022</t>
        </is>
      </c>
      <c r="B990" s="1" t="n">
        <v>44813.59915509259</v>
      </c>
      <c r="C990" s="1" t="n">
        <v>46075</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10090-2022</t>
        </is>
      </c>
      <c r="B991" s="1" t="n">
        <v>44621</v>
      </c>
      <c r="C991" s="1" t="n">
        <v>46075</v>
      </c>
      <c r="D991" t="inlineStr">
        <is>
          <t>STOCKHOLMS LÄN</t>
        </is>
      </c>
      <c r="E991" t="inlineStr">
        <is>
          <t>NORRTÄLJE</t>
        </is>
      </c>
      <c r="G991" t="n">
        <v>5.2</v>
      </c>
      <c r="H991" t="n">
        <v>0</v>
      </c>
      <c r="I991" t="n">
        <v>0</v>
      </c>
      <c r="J991" t="n">
        <v>0</v>
      </c>
      <c r="K991" t="n">
        <v>0</v>
      </c>
      <c r="L991" t="n">
        <v>0</v>
      </c>
      <c r="M991" t="n">
        <v>0</v>
      </c>
      <c r="N991" t="n">
        <v>0</v>
      </c>
      <c r="O991" t="n">
        <v>0</v>
      </c>
      <c r="P991" t="n">
        <v>0</v>
      </c>
      <c r="Q991" t="n">
        <v>0</v>
      </c>
      <c r="R991" s="2" t="inlineStr"/>
    </row>
    <row r="992" ht="15" customHeight="1">
      <c r="A992" t="inlineStr">
        <is>
          <t>A 14724-2022</t>
        </is>
      </c>
      <c r="B992" s="1" t="n">
        <v>44656</v>
      </c>
      <c r="C992" s="1" t="n">
        <v>46075</v>
      </c>
      <c r="D992" t="inlineStr">
        <is>
          <t>STOCKHOLMS LÄN</t>
        </is>
      </c>
      <c r="E992" t="inlineStr">
        <is>
          <t>NORRTÄLJE</t>
        </is>
      </c>
      <c r="F992" t="inlineStr">
        <is>
          <t>Sveaskog</t>
        </is>
      </c>
      <c r="G992" t="n">
        <v>9</v>
      </c>
      <c r="H992" t="n">
        <v>0</v>
      </c>
      <c r="I992" t="n">
        <v>0</v>
      </c>
      <c r="J992" t="n">
        <v>0</v>
      </c>
      <c r="K992" t="n">
        <v>0</v>
      </c>
      <c r="L992" t="n">
        <v>0</v>
      </c>
      <c r="M992" t="n">
        <v>0</v>
      </c>
      <c r="N992" t="n">
        <v>0</v>
      </c>
      <c r="O992" t="n">
        <v>0</v>
      </c>
      <c r="P992" t="n">
        <v>0</v>
      </c>
      <c r="Q992" t="n">
        <v>0</v>
      </c>
      <c r="R992" s="2" t="inlineStr"/>
    </row>
    <row r="993" ht="15" customHeight="1">
      <c r="A993" t="inlineStr">
        <is>
          <t>A 18846-2022</t>
        </is>
      </c>
      <c r="B993" s="1" t="n">
        <v>44690</v>
      </c>
      <c r="C993" s="1" t="n">
        <v>46075</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43300-2023</t>
        </is>
      </c>
      <c r="B994" s="1" t="n">
        <v>45183</v>
      </c>
      <c r="C994" s="1" t="n">
        <v>46075</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25654-2023</t>
        </is>
      </c>
      <c r="B995" s="1" t="n">
        <v>45089</v>
      </c>
      <c r="C995" s="1" t="n">
        <v>46075</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23125-2022</t>
        </is>
      </c>
      <c r="B996" s="1" t="n">
        <v>44719</v>
      </c>
      <c r="C996" s="1" t="n">
        <v>46075</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20121-2022</t>
        </is>
      </c>
      <c r="B997" s="1" t="n">
        <v>44698</v>
      </c>
      <c r="C997" s="1" t="n">
        <v>46075</v>
      </c>
      <c r="D997" t="inlineStr">
        <is>
          <t>STOCKHOLMS LÄN</t>
        </is>
      </c>
      <c r="E997" t="inlineStr">
        <is>
          <t>NORRTÄLJE</t>
        </is>
      </c>
      <c r="G997" t="n">
        <v>4.2</v>
      </c>
      <c r="H997" t="n">
        <v>0</v>
      </c>
      <c r="I997" t="n">
        <v>0</v>
      </c>
      <c r="J997" t="n">
        <v>0</v>
      </c>
      <c r="K997" t="n">
        <v>0</v>
      </c>
      <c r="L997" t="n">
        <v>0</v>
      </c>
      <c r="M997" t="n">
        <v>0</v>
      </c>
      <c r="N997" t="n">
        <v>0</v>
      </c>
      <c r="O997" t="n">
        <v>0</v>
      </c>
      <c r="P997" t="n">
        <v>0</v>
      </c>
      <c r="Q997" t="n">
        <v>0</v>
      </c>
      <c r="R997" s="2" t="inlineStr"/>
    </row>
    <row r="998" ht="15" customHeight="1">
      <c r="A998" t="inlineStr">
        <is>
          <t>A 33385-2024</t>
        </is>
      </c>
      <c r="B998" s="1" t="n">
        <v>45519</v>
      </c>
      <c r="C998" s="1" t="n">
        <v>46075</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41172-2023</t>
        </is>
      </c>
      <c r="B999" s="1" t="n">
        <v>45170</v>
      </c>
      <c r="C999" s="1" t="n">
        <v>46075</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73307-2021</t>
        </is>
      </c>
      <c r="B1000" s="1" t="n">
        <v>44549</v>
      </c>
      <c r="C1000" s="1" t="n">
        <v>46075</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50534-2024</t>
        </is>
      </c>
      <c r="B1001" s="1" t="n">
        <v>45601.56726851852</v>
      </c>
      <c r="C1001" s="1" t="n">
        <v>46075</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11988-2021</t>
        </is>
      </c>
      <c r="B1002" s="1" t="n">
        <v>44266</v>
      </c>
      <c r="C1002" s="1" t="n">
        <v>46075</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12132-2021</t>
        </is>
      </c>
      <c r="B1003" s="1" t="n">
        <v>44266</v>
      </c>
      <c r="C1003" s="1" t="n">
        <v>46075</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65499-2021</t>
        </is>
      </c>
      <c r="B1004" s="1" t="n">
        <v>44516</v>
      </c>
      <c r="C1004" s="1" t="n">
        <v>46075</v>
      </c>
      <c r="D1004" t="inlineStr">
        <is>
          <t>STOCKHOLMS LÄN</t>
        </is>
      </c>
      <c r="E1004" t="inlineStr">
        <is>
          <t>NORRTÄLJE</t>
        </is>
      </c>
      <c r="F1004" t="inlineStr">
        <is>
          <t>Kommuner</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65511-2021</t>
        </is>
      </c>
      <c r="B1005" s="1" t="n">
        <v>44516.40674768519</v>
      </c>
      <c r="C1005" s="1" t="n">
        <v>46075</v>
      </c>
      <c r="D1005" t="inlineStr">
        <is>
          <t>STOCKHOLMS LÄN</t>
        </is>
      </c>
      <c r="E1005" t="inlineStr">
        <is>
          <t>NORRTÄLJE</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22833-2024</t>
        </is>
      </c>
      <c r="B1006" s="1" t="n">
        <v>45448.56746527777</v>
      </c>
      <c r="C1006" s="1" t="n">
        <v>46075</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32514-2022</t>
        </is>
      </c>
      <c r="B1007" s="1" t="n">
        <v>44782</v>
      </c>
      <c r="C1007" s="1" t="n">
        <v>46075</v>
      </c>
      <c r="D1007" t="inlineStr">
        <is>
          <t>STOCKHOLMS LÄN</t>
        </is>
      </c>
      <c r="E1007" t="inlineStr">
        <is>
          <t>NORRTÄLJE</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29362-2022</t>
        </is>
      </c>
      <c r="B1008" s="1" t="n">
        <v>44753</v>
      </c>
      <c r="C1008" s="1" t="n">
        <v>46075</v>
      </c>
      <c r="D1008" t="inlineStr">
        <is>
          <t>STOCKHOLMS LÄN</t>
        </is>
      </c>
      <c r="E1008" t="inlineStr">
        <is>
          <t>NORRTÄLJE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58492-2022</t>
        </is>
      </c>
      <c r="B1009" s="1" t="n">
        <v>44902</v>
      </c>
      <c r="C1009" s="1" t="n">
        <v>46075</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51315-2021</t>
        </is>
      </c>
      <c r="B1010" s="1" t="n">
        <v>44461</v>
      </c>
      <c r="C1010" s="1" t="n">
        <v>46075</v>
      </c>
      <c r="D1010" t="inlineStr">
        <is>
          <t>STOCKHOLMS LÄN</t>
        </is>
      </c>
      <c r="E1010" t="inlineStr">
        <is>
          <t>NORRTÄLJE</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14873-2025</t>
        </is>
      </c>
      <c r="B1011" s="1" t="n">
        <v>45743.44953703704</v>
      </c>
      <c r="C1011" s="1" t="n">
        <v>46075</v>
      </c>
      <c r="D1011" t="inlineStr">
        <is>
          <t>STOCKHOLMS LÄN</t>
        </is>
      </c>
      <c r="E1011" t="inlineStr">
        <is>
          <t>NORRTÄLJE</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34773-2022</t>
        </is>
      </c>
      <c r="B1012" s="1" t="n">
        <v>44795</v>
      </c>
      <c r="C1012" s="1" t="n">
        <v>46075</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33173-2024</t>
        </is>
      </c>
      <c r="B1013" s="1" t="n">
        <v>45518</v>
      </c>
      <c r="C1013" s="1" t="n">
        <v>46075</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4484-2025</t>
        </is>
      </c>
      <c r="B1014" s="1" t="n">
        <v>45686.65545138889</v>
      </c>
      <c r="C1014" s="1" t="n">
        <v>46075</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33878-2024</t>
        </is>
      </c>
      <c r="B1015" s="1" t="n">
        <v>45522.44414351852</v>
      </c>
      <c r="C1015" s="1" t="n">
        <v>46075</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9246-2024</t>
        </is>
      </c>
      <c r="B1016" s="1" t="n">
        <v>45357</v>
      </c>
      <c r="C1016" s="1" t="n">
        <v>46075</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35698-2023</t>
        </is>
      </c>
      <c r="B1017" s="1" t="n">
        <v>45147</v>
      </c>
      <c r="C1017" s="1" t="n">
        <v>46075</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44923.90159722222</v>
      </c>
      <c r="C1018" s="1" t="n">
        <v>46075</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49700-2023</t>
        </is>
      </c>
      <c r="B1019" s="1" t="n">
        <v>45212</v>
      </c>
      <c r="C1019" s="1" t="n">
        <v>46075</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32071-2023</t>
        </is>
      </c>
      <c r="B1020" s="1" t="n">
        <v>45119.57728009259</v>
      </c>
      <c r="C1020" s="1" t="n">
        <v>46075</v>
      </c>
      <c r="D1020" t="inlineStr">
        <is>
          <t>STOCKHOLMS LÄN</t>
        </is>
      </c>
      <c r="E1020" t="inlineStr">
        <is>
          <t>NORRTÄLJE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1425-2025</t>
        </is>
      </c>
      <c r="B1021" s="1" t="n">
        <v>45668.67446759259</v>
      </c>
      <c r="C1021" s="1" t="n">
        <v>46075</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17775-2022</t>
        </is>
      </c>
      <c r="B1022" s="1" t="n">
        <v>44682.78430555556</v>
      </c>
      <c r="C1022" s="1" t="n">
        <v>46075</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38720-2022</t>
        </is>
      </c>
      <c r="B1023" s="1" t="n">
        <v>44815.74539351852</v>
      </c>
      <c r="C1023" s="1" t="n">
        <v>46075</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10215-2023</t>
        </is>
      </c>
      <c r="B1024" s="1" t="n">
        <v>44986.5887962963</v>
      </c>
      <c r="C1024" s="1" t="n">
        <v>46075</v>
      </c>
      <c r="D1024" t="inlineStr">
        <is>
          <t>STOCKHOLMS LÄN</t>
        </is>
      </c>
      <c r="E1024" t="inlineStr">
        <is>
          <t>NORRTÄLJE</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25609-2023</t>
        </is>
      </c>
      <c r="B1025" s="1" t="n">
        <v>45089</v>
      </c>
      <c r="C1025" s="1" t="n">
        <v>46075</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20014-2025</t>
        </is>
      </c>
      <c r="B1026" s="1" t="n">
        <v>45772.3078125</v>
      </c>
      <c r="C1026" s="1" t="n">
        <v>46075</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20136-2025</t>
        </is>
      </c>
      <c r="B1027" s="1" t="n">
        <v>45772.51127314815</v>
      </c>
      <c r="C1027" s="1" t="n">
        <v>46075</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2287-2024</t>
        </is>
      </c>
      <c r="B1028" s="1" t="n">
        <v>45310</v>
      </c>
      <c r="C1028" s="1" t="n">
        <v>46075</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13785-2024</t>
        </is>
      </c>
      <c r="B1029" s="1" t="n">
        <v>45391.3395949074</v>
      </c>
      <c r="C1029" s="1" t="n">
        <v>46075</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50469-2022</t>
        </is>
      </c>
      <c r="B1030" s="1" t="n">
        <v>44866.49827546296</v>
      </c>
      <c r="C1030" s="1" t="n">
        <v>46075</v>
      </c>
      <c r="D1030" t="inlineStr">
        <is>
          <t>STOCKHOLMS LÄN</t>
        </is>
      </c>
      <c r="E1030" t="inlineStr">
        <is>
          <t>NORRTÄLJE</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51116-2022</t>
        </is>
      </c>
      <c r="B1031" s="1" t="n">
        <v>44868.45741898148</v>
      </c>
      <c r="C1031" s="1" t="n">
        <v>46075</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60217-2021</t>
        </is>
      </c>
      <c r="B1032" s="1" t="n">
        <v>44495.5893287037</v>
      </c>
      <c r="C1032" s="1" t="n">
        <v>46075</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5839-2023</t>
        </is>
      </c>
      <c r="B1033" s="1" t="n">
        <v>44963</v>
      </c>
      <c r="C1033" s="1" t="n">
        <v>46075</v>
      </c>
      <c r="D1033" t="inlineStr">
        <is>
          <t>STOCKHOLMS LÄN</t>
        </is>
      </c>
      <c r="E1033" t="inlineStr">
        <is>
          <t>NORRTÄLJE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38985-2022</t>
        </is>
      </c>
      <c r="B1034" s="1" t="n">
        <v>44816</v>
      </c>
      <c r="C1034" s="1" t="n">
        <v>46075</v>
      </c>
      <c r="D1034" t="inlineStr">
        <is>
          <t>STOCKHOLMS LÄN</t>
        </is>
      </c>
      <c r="E1034" t="inlineStr">
        <is>
          <t>NORRTÄLJE</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5665-2025</t>
        </is>
      </c>
      <c r="B1035" s="1" t="n">
        <v>45693</v>
      </c>
      <c r="C1035" s="1" t="n">
        <v>46075</v>
      </c>
      <c r="D1035" t="inlineStr">
        <is>
          <t>STOCKHOLMS LÄN</t>
        </is>
      </c>
      <c r="E1035" t="inlineStr">
        <is>
          <t>NORRTÄLJE</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3426-2025</t>
        </is>
      </c>
      <c r="B1036" s="1" t="n">
        <v>45680.42665509259</v>
      </c>
      <c r="C1036" s="1" t="n">
        <v>46075</v>
      </c>
      <c r="D1036" t="inlineStr">
        <is>
          <t>STOCKHOLMS LÄN</t>
        </is>
      </c>
      <c r="E1036" t="inlineStr">
        <is>
          <t>NORRTÄLJE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58530-2024</t>
        </is>
      </c>
      <c r="B1037" s="1" t="n">
        <v>45635.44788194444</v>
      </c>
      <c r="C1037" s="1" t="n">
        <v>46075</v>
      </c>
      <c r="D1037" t="inlineStr">
        <is>
          <t>STOCKHOLMS LÄN</t>
        </is>
      </c>
      <c r="E1037" t="inlineStr">
        <is>
          <t>NORRTÄLJE</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22421-2021</t>
        </is>
      </c>
      <c r="B1038" s="1" t="n">
        <v>44326</v>
      </c>
      <c r="C1038" s="1" t="n">
        <v>46075</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40761-2024</t>
        </is>
      </c>
      <c r="B1039" s="1" t="n">
        <v>45558.46283564815</v>
      </c>
      <c r="C1039" s="1" t="n">
        <v>46075</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4553-2023</t>
        </is>
      </c>
      <c r="B1040" s="1" t="n">
        <v>44956.65920138889</v>
      </c>
      <c r="C1040" s="1" t="n">
        <v>46075</v>
      </c>
      <c r="D1040" t="inlineStr">
        <is>
          <t>STOCKHOLMS LÄN</t>
        </is>
      </c>
      <c r="E1040" t="inlineStr">
        <is>
          <t>NORRTÄLJE</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4593-2023</t>
        </is>
      </c>
      <c r="B1041" s="1" t="n">
        <v>44956</v>
      </c>
      <c r="C1041" s="1" t="n">
        <v>46075</v>
      </c>
      <c r="D1041" t="inlineStr">
        <is>
          <t>STOCKHOLMS LÄN</t>
        </is>
      </c>
      <c r="E1041" t="inlineStr">
        <is>
          <t>NORRTÄLJE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13171-2025</t>
        </is>
      </c>
      <c r="B1042" s="1" t="n">
        <v>45735.36594907408</v>
      </c>
      <c r="C1042" s="1" t="n">
        <v>46075</v>
      </c>
      <c r="D1042" t="inlineStr">
        <is>
          <t>STOCKHOLMS LÄN</t>
        </is>
      </c>
      <c r="E1042" t="inlineStr">
        <is>
          <t>NORRTÄLJE</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51978-2023</t>
        </is>
      </c>
      <c r="B1043" s="1" t="n">
        <v>45223</v>
      </c>
      <c r="C1043" s="1" t="n">
        <v>46075</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18092-2022</t>
        </is>
      </c>
      <c r="B1044" s="1" t="n">
        <v>44684</v>
      </c>
      <c r="C1044" s="1" t="n">
        <v>46075</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59310-2023</t>
        </is>
      </c>
      <c r="B1045" s="1" t="n">
        <v>45253.61146990741</v>
      </c>
      <c r="C1045" s="1" t="n">
        <v>46075</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9329-2023</t>
        </is>
      </c>
      <c r="B1046" s="1" t="n">
        <v>44980</v>
      </c>
      <c r="C1046" s="1" t="n">
        <v>46075</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59878-2024</t>
        </is>
      </c>
      <c r="B1047" s="1" t="n">
        <v>45640.60240740741</v>
      </c>
      <c r="C1047" s="1" t="n">
        <v>46075</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41335-2023</t>
        </is>
      </c>
      <c r="B1048" s="1" t="n">
        <v>45174.68702546296</v>
      </c>
      <c r="C1048" s="1" t="n">
        <v>46075</v>
      </c>
      <c r="D1048" t="inlineStr">
        <is>
          <t>STOCKHOLMS LÄN</t>
        </is>
      </c>
      <c r="E1048" t="inlineStr">
        <is>
          <t>NORRTÄLJE</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33040-2021</t>
        </is>
      </c>
      <c r="B1049" s="1" t="n">
        <v>44376.50728009259</v>
      </c>
      <c r="C1049" s="1" t="n">
        <v>46075</v>
      </c>
      <c r="D1049" t="inlineStr">
        <is>
          <t>STOCKHOLMS LÄN</t>
        </is>
      </c>
      <c r="E1049" t="inlineStr">
        <is>
          <t>NORRTÄLJE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33053-2021</t>
        </is>
      </c>
      <c r="B1050" s="1" t="n">
        <v>44376</v>
      </c>
      <c r="C1050" s="1" t="n">
        <v>46075</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43150-2023</t>
        </is>
      </c>
      <c r="B1051" s="1" t="n">
        <v>45183</v>
      </c>
      <c r="C1051" s="1" t="n">
        <v>46075</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54259-2023</t>
        </is>
      </c>
      <c r="B1052" s="1" t="n">
        <v>45232</v>
      </c>
      <c r="C1052" s="1" t="n">
        <v>46075</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60822-2023</t>
        </is>
      </c>
      <c r="B1053" s="1" t="n">
        <v>45259</v>
      </c>
      <c r="C1053" s="1" t="n">
        <v>46075</v>
      </c>
      <c r="D1053" t="inlineStr">
        <is>
          <t>STOCKHOLMS LÄN</t>
        </is>
      </c>
      <c r="E1053" t="inlineStr">
        <is>
          <t>NORRTÄLJE</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12031-2021</t>
        </is>
      </c>
      <c r="B1054" s="1" t="n">
        <v>44266</v>
      </c>
      <c r="C1054" s="1" t="n">
        <v>46075</v>
      </c>
      <c r="D1054" t="inlineStr">
        <is>
          <t>STOCKHOLMS LÄN</t>
        </is>
      </c>
      <c r="E1054" t="inlineStr">
        <is>
          <t>NORRTÄLJE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27381-2024</t>
        </is>
      </c>
      <c r="B1055" s="1" t="n">
        <v>45473.94501157408</v>
      </c>
      <c r="C1055" s="1" t="n">
        <v>46075</v>
      </c>
      <c r="D1055" t="inlineStr">
        <is>
          <t>STOCKHOLMS LÄN</t>
        </is>
      </c>
      <c r="E1055" t="inlineStr">
        <is>
          <t>NORRTÄLJE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23265-2023</t>
        </is>
      </c>
      <c r="B1056" s="1" t="n">
        <v>45075.90703703704</v>
      </c>
      <c r="C1056" s="1" t="n">
        <v>46075</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26117-2024</t>
        </is>
      </c>
      <c r="B1057" s="1" t="n">
        <v>45468.45877314815</v>
      </c>
      <c r="C1057" s="1" t="n">
        <v>46075</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20336-2024</t>
        </is>
      </c>
      <c r="B1058" s="1" t="n">
        <v>45435.43123842592</v>
      </c>
      <c r="C1058" s="1" t="n">
        <v>46075</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46075</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59721-2024</t>
        </is>
      </c>
      <c r="B1060" s="1" t="n">
        <v>45639.47385416667</v>
      </c>
      <c r="C1060" s="1" t="n">
        <v>46075</v>
      </c>
      <c r="D1060" t="inlineStr">
        <is>
          <t>STOCKHOLMS LÄN</t>
        </is>
      </c>
      <c r="E1060" t="inlineStr">
        <is>
          <t>NORRTÄLJE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37010-2022</t>
        </is>
      </c>
      <c r="B1061" s="1" t="n">
        <v>44806.41576388889</v>
      </c>
      <c r="C1061" s="1" t="n">
        <v>46075</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46075</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5423-2023</t>
        </is>
      </c>
      <c r="B1063" s="1" t="n">
        <v>44959.74533564815</v>
      </c>
      <c r="C1063" s="1" t="n">
        <v>46075</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50182-2024</t>
        </is>
      </c>
      <c r="B1064" s="1" t="n">
        <v>45600.47275462963</v>
      </c>
      <c r="C1064" s="1" t="n">
        <v>46075</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12629-2024</t>
        </is>
      </c>
      <c r="B1065" s="1" t="n">
        <v>45383</v>
      </c>
      <c r="C1065" s="1" t="n">
        <v>46075</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35708-2022</t>
        </is>
      </c>
      <c r="B1066" s="1" t="n">
        <v>44799.65013888889</v>
      </c>
      <c r="C1066" s="1" t="n">
        <v>46075</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45220-2024</t>
        </is>
      </c>
      <c r="B1067" s="1" t="n">
        <v>45575</v>
      </c>
      <c r="C1067" s="1" t="n">
        <v>46075</v>
      </c>
      <c r="D1067" t="inlineStr">
        <is>
          <t>STOCKHOLMS LÄN</t>
        </is>
      </c>
      <c r="E1067" t="inlineStr">
        <is>
          <t>NORRTÄLJE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21731-2023</t>
        </is>
      </c>
      <c r="B1068" s="1" t="n">
        <v>45063</v>
      </c>
      <c r="C1068" s="1" t="n">
        <v>46075</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23266-2023</t>
        </is>
      </c>
      <c r="B1069" s="1" t="n">
        <v>45075.90817129629</v>
      </c>
      <c r="C1069" s="1" t="n">
        <v>46075</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47521-2024</t>
        </is>
      </c>
      <c r="B1070" s="1" t="n">
        <v>45587.62565972222</v>
      </c>
      <c r="C1070" s="1" t="n">
        <v>46075</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58260-2023</t>
        </is>
      </c>
      <c r="B1071" s="1" t="n">
        <v>45245</v>
      </c>
      <c r="C1071" s="1" t="n">
        <v>46075</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58261-2023</t>
        </is>
      </c>
      <c r="B1072" s="1" t="n">
        <v>45245</v>
      </c>
      <c r="C1072" s="1" t="n">
        <v>46075</v>
      </c>
      <c r="D1072" t="inlineStr">
        <is>
          <t>STOCKHOLMS LÄN</t>
        </is>
      </c>
      <c r="E1072" t="inlineStr">
        <is>
          <t>NORRTÄLJE</t>
        </is>
      </c>
      <c r="G1072" t="n">
        <v>53.5</v>
      </c>
      <c r="H1072" t="n">
        <v>0</v>
      </c>
      <c r="I1072" t="n">
        <v>0</v>
      </c>
      <c r="J1072" t="n">
        <v>0</v>
      </c>
      <c r="K1072" t="n">
        <v>0</v>
      </c>
      <c r="L1072" t="n">
        <v>0</v>
      </c>
      <c r="M1072" t="n">
        <v>0</v>
      </c>
      <c r="N1072" t="n">
        <v>0</v>
      </c>
      <c r="O1072" t="n">
        <v>0</v>
      </c>
      <c r="P1072" t="n">
        <v>0</v>
      </c>
      <c r="Q1072" t="n">
        <v>0</v>
      </c>
      <c r="R1072" s="2" t="inlineStr"/>
    </row>
    <row r="1073" ht="15" customHeight="1">
      <c r="A1073" t="inlineStr">
        <is>
          <t>A 29266-2022</t>
        </is>
      </c>
      <c r="B1073" s="1" t="n">
        <v>44750.66068287037</v>
      </c>
      <c r="C1073" s="1" t="n">
        <v>46075</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29278-2022</t>
        </is>
      </c>
      <c r="B1074" s="1" t="n">
        <v>44750</v>
      </c>
      <c r="C1074" s="1" t="n">
        <v>46075</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37273-2024</t>
        </is>
      </c>
      <c r="B1075" s="1" t="n">
        <v>45540</v>
      </c>
      <c r="C1075" s="1" t="n">
        <v>46075</v>
      </c>
      <c r="D1075" t="inlineStr">
        <is>
          <t>STOCKHOLMS LÄN</t>
        </is>
      </c>
      <c r="E1075" t="inlineStr">
        <is>
          <t>NORRTÄLJE</t>
        </is>
      </c>
      <c r="F1075" t="inlineStr">
        <is>
          <t>Sveaskog</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12908-2025</t>
        </is>
      </c>
      <c r="B1076" s="1" t="n">
        <v>45733.82105324074</v>
      </c>
      <c r="C1076" s="1" t="n">
        <v>46075</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23060-2023</t>
        </is>
      </c>
      <c r="B1077" s="1" t="n">
        <v>45075</v>
      </c>
      <c r="C1077" s="1" t="n">
        <v>46075</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32103-2022</t>
        </is>
      </c>
      <c r="B1078" s="1" t="n">
        <v>44778</v>
      </c>
      <c r="C1078" s="1" t="n">
        <v>46075</v>
      </c>
      <c r="D1078" t="inlineStr">
        <is>
          <t>STOCKHOLMS LÄN</t>
        </is>
      </c>
      <c r="E1078" t="inlineStr">
        <is>
          <t>NORRTÄLJE</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6401-2024</t>
        </is>
      </c>
      <c r="B1079" s="1" t="n">
        <v>45338</v>
      </c>
      <c r="C1079" s="1" t="n">
        <v>46075</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59504-2023</t>
        </is>
      </c>
      <c r="B1080" s="1" t="n">
        <v>45254</v>
      </c>
      <c r="C1080" s="1" t="n">
        <v>46075</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52321-2024</t>
        </is>
      </c>
      <c r="B1081" s="1" t="n">
        <v>45608</v>
      </c>
      <c r="C1081" s="1" t="n">
        <v>46075</v>
      </c>
      <c r="D1081" t="inlineStr">
        <is>
          <t>STOCKHOLMS LÄN</t>
        </is>
      </c>
      <c r="E1081" t="inlineStr">
        <is>
          <t>NORRTÄLJE</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48151-2024</t>
        </is>
      </c>
      <c r="B1082" s="1" t="n">
        <v>45589.68289351852</v>
      </c>
      <c r="C1082" s="1" t="n">
        <v>46075</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20370-2025</t>
        </is>
      </c>
      <c r="B1083" s="1" t="n">
        <v>45775.41451388889</v>
      </c>
      <c r="C1083" s="1" t="n">
        <v>46075</v>
      </c>
      <c r="D1083" t="inlineStr">
        <is>
          <t>STOCKHOLMS LÄN</t>
        </is>
      </c>
      <c r="E1083" t="inlineStr">
        <is>
          <t>NORRTÄLJE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19580-2022</t>
        </is>
      </c>
      <c r="B1084" s="1" t="n">
        <v>44693</v>
      </c>
      <c r="C1084" s="1" t="n">
        <v>46075</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30731-2023</t>
        </is>
      </c>
      <c r="B1085" s="1" t="n">
        <v>45112</v>
      </c>
      <c r="C1085" s="1" t="n">
        <v>46075</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4580-2025</t>
        </is>
      </c>
      <c r="B1086" s="1" t="n">
        <v>45687.5038425926</v>
      </c>
      <c r="C1086" s="1" t="n">
        <v>46075</v>
      </c>
      <c r="D1086" t="inlineStr">
        <is>
          <t>STOCKHOLMS LÄN</t>
        </is>
      </c>
      <c r="E1086" t="inlineStr">
        <is>
          <t>NORRTÄLJE</t>
        </is>
      </c>
      <c r="F1086" t="inlineStr">
        <is>
          <t>Holmen skog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31057-2022</t>
        </is>
      </c>
      <c r="B1087" s="1" t="n">
        <v>44769</v>
      </c>
      <c r="C1087" s="1" t="n">
        <v>46075</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31140-2023</t>
        </is>
      </c>
      <c r="B1088" s="1" t="n">
        <v>45113</v>
      </c>
      <c r="C1088" s="1" t="n">
        <v>46075</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31149-2023</t>
        </is>
      </c>
      <c r="B1089" s="1" t="n">
        <v>45113</v>
      </c>
      <c r="C1089" s="1" t="n">
        <v>46075</v>
      </c>
      <c r="D1089" t="inlineStr">
        <is>
          <t>STOCKHOLMS LÄN</t>
        </is>
      </c>
      <c r="E1089" t="inlineStr">
        <is>
          <t>NORRTÄLJE</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4658-2024</t>
        </is>
      </c>
      <c r="B1090" s="1" t="n">
        <v>45328.46336805556</v>
      </c>
      <c r="C1090" s="1" t="n">
        <v>46075</v>
      </c>
      <c r="D1090" t="inlineStr">
        <is>
          <t>STOCKHOLMS LÄN</t>
        </is>
      </c>
      <c r="E1090" t="inlineStr">
        <is>
          <t>NORRTÄLJE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19131-2025</t>
        </is>
      </c>
      <c r="B1091" s="1" t="n">
        <v>45769</v>
      </c>
      <c r="C1091" s="1" t="n">
        <v>46075</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7571-2024</t>
        </is>
      </c>
      <c r="B1092" s="1" t="n">
        <v>45348.46300925926</v>
      </c>
      <c r="C1092" s="1" t="n">
        <v>46075</v>
      </c>
      <c r="D1092" t="inlineStr">
        <is>
          <t>STOCKHOLMS LÄN</t>
        </is>
      </c>
      <c r="E1092" t="inlineStr">
        <is>
          <t>NORRTÄLJE</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11849-2025</t>
        </is>
      </c>
      <c r="B1093" s="1" t="n">
        <v>45728.38409722222</v>
      </c>
      <c r="C1093" s="1" t="n">
        <v>46075</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40425-2021</t>
        </is>
      </c>
      <c r="B1094" s="1" t="n">
        <v>44419</v>
      </c>
      <c r="C1094" s="1" t="n">
        <v>46075</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58990-2021</t>
        </is>
      </c>
      <c r="B1095" s="1" t="n">
        <v>44490.03621527777</v>
      </c>
      <c r="C1095" s="1" t="n">
        <v>46075</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20790-2025</t>
        </is>
      </c>
      <c r="B1096" s="1" t="n">
        <v>45776.62563657408</v>
      </c>
      <c r="C1096" s="1" t="n">
        <v>46075</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20699-2025</t>
        </is>
      </c>
      <c r="B1097" s="1" t="n">
        <v>45776.47346064815</v>
      </c>
      <c r="C1097" s="1" t="n">
        <v>46075</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3152-2024</t>
        </is>
      </c>
      <c r="B1098" s="1" t="n">
        <v>45316.60306712963</v>
      </c>
      <c r="C1098" s="1" t="n">
        <v>46075</v>
      </c>
      <c r="D1098" t="inlineStr">
        <is>
          <t>STOCKHOLMS LÄN</t>
        </is>
      </c>
      <c r="E1098" t="inlineStr">
        <is>
          <t>NORRTÄLJE</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59326-2023</t>
        </is>
      </c>
      <c r="B1099" s="1" t="n">
        <v>45253.63089120371</v>
      </c>
      <c r="C1099" s="1" t="n">
        <v>46075</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44836-2023</t>
        </is>
      </c>
      <c r="B1100" s="1" t="n">
        <v>45190.55609953704</v>
      </c>
      <c r="C1100" s="1" t="n">
        <v>46075</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20779-2025</t>
        </is>
      </c>
      <c r="B1101" s="1" t="n">
        <v>45776.59871527777</v>
      </c>
      <c r="C1101" s="1" t="n">
        <v>46075</v>
      </c>
      <c r="D1101" t="inlineStr">
        <is>
          <t>STOCKHOLMS LÄN</t>
        </is>
      </c>
      <c r="E1101" t="inlineStr">
        <is>
          <t>NORRTÄLJE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21771-2025</t>
        </is>
      </c>
      <c r="B1102" s="1" t="n">
        <v>45783</v>
      </c>
      <c r="C1102" s="1" t="n">
        <v>46075</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21778-2025</t>
        </is>
      </c>
      <c r="B1103" s="1" t="n">
        <v>45783.66429398148</v>
      </c>
      <c r="C1103" s="1" t="n">
        <v>46075</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22202-2025</t>
        </is>
      </c>
      <c r="B1104" s="1" t="n">
        <v>45785.65300925926</v>
      </c>
      <c r="C1104" s="1" t="n">
        <v>46075</v>
      </c>
      <c r="D1104" t="inlineStr">
        <is>
          <t>STOCKHOLMS LÄN</t>
        </is>
      </c>
      <c r="E1104" t="inlineStr">
        <is>
          <t>NORRTÄLJE</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16620-2024</t>
        </is>
      </c>
      <c r="B1105" s="1" t="n">
        <v>45408.57707175926</v>
      </c>
      <c r="C1105" s="1" t="n">
        <v>46075</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22416-2025</t>
        </is>
      </c>
      <c r="B1106" s="1" t="n">
        <v>45786.55645833333</v>
      </c>
      <c r="C1106" s="1" t="n">
        <v>46075</v>
      </c>
      <c r="D1106" t="inlineStr">
        <is>
          <t>STOCKHOLMS LÄN</t>
        </is>
      </c>
      <c r="E1106" t="inlineStr">
        <is>
          <t>NORRTÄLJE</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58785-2024</t>
        </is>
      </c>
      <c r="B1107" s="1" t="n">
        <v>45635.88849537037</v>
      </c>
      <c r="C1107" s="1" t="n">
        <v>46075</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2182-2022</t>
        </is>
      </c>
      <c r="B1108" s="1" t="n">
        <v>44578</v>
      </c>
      <c r="C1108" s="1" t="n">
        <v>46075</v>
      </c>
      <c r="D1108" t="inlineStr">
        <is>
          <t>STOCKHOLMS LÄN</t>
        </is>
      </c>
      <c r="E1108" t="inlineStr">
        <is>
          <t>NORRTÄLJE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13268-2025</t>
        </is>
      </c>
      <c r="B1109" s="1" t="n">
        <v>45735</v>
      </c>
      <c r="C1109" s="1" t="n">
        <v>46075</v>
      </c>
      <c r="D1109" t="inlineStr">
        <is>
          <t>STOCKHOLMS LÄN</t>
        </is>
      </c>
      <c r="E1109" t="inlineStr">
        <is>
          <t>NORRTÄLJE</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8414-2025</t>
        </is>
      </c>
      <c r="B1110" s="1" t="n">
        <v>45709.39361111111</v>
      </c>
      <c r="C1110" s="1" t="n">
        <v>46075</v>
      </c>
      <c r="D1110" t="inlineStr">
        <is>
          <t>STOCKHOLMS LÄN</t>
        </is>
      </c>
      <c r="E1110" t="inlineStr">
        <is>
          <t>NORRTÄLJE</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36625-2024</t>
        </is>
      </c>
      <c r="B1111" s="1" t="n">
        <v>45537</v>
      </c>
      <c r="C1111" s="1" t="n">
        <v>46075</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46075</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12902-2024</t>
        </is>
      </c>
      <c r="B1113" s="1" t="n">
        <v>45385.38146990741</v>
      </c>
      <c r="C1113" s="1" t="n">
        <v>46075</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44032-2024</t>
        </is>
      </c>
      <c r="B1114" s="1" t="n">
        <v>45572.57828703704</v>
      </c>
      <c r="C1114" s="1" t="n">
        <v>46075</v>
      </c>
      <c r="D1114" t="inlineStr">
        <is>
          <t>STOCKHOLMS LÄN</t>
        </is>
      </c>
      <c r="E1114" t="inlineStr">
        <is>
          <t>NORRTÄLJE</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24563-2024</t>
        </is>
      </c>
      <c r="B1115" s="1" t="n">
        <v>45460.44347222222</v>
      </c>
      <c r="C1115" s="1" t="n">
        <v>46075</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39237-2024</t>
        </is>
      </c>
      <c r="B1116" s="1" t="n">
        <v>45549</v>
      </c>
      <c r="C1116" s="1" t="n">
        <v>46075</v>
      </c>
      <c r="D1116" t="inlineStr">
        <is>
          <t>STOCKHOLMS LÄN</t>
        </is>
      </c>
      <c r="E1116" t="inlineStr">
        <is>
          <t>NORRTÄLJE</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45746-2024</t>
        </is>
      </c>
      <c r="B1117" s="1" t="n">
        <v>45579</v>
      </c>
      <c r="C1117" s="1" t="n">
        <v>46075</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8400-2024</t>
        </is>
      </c>
      <c r="B1118" s="1" t="n">
        <v>45352.74090277778</v>
      </c>
      <c r="C1118" s="1" t="n">
        <v>46075</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62998-2023</t>
        </is>
      </c>
      <c r="B1119" s="1" t="n">
        <v>45272.64479166667</v>
      </c>
      <c r="C1119" s="1" t="n">
        <v>46075</v>
      </c>
      <c r="D1119" t="inlineStr">
        <is>
          <t>STOCKHOLMS LÄN</t>
        </is>
      </c>
      <c r="E1119" t="inlineStr">
        <is>
          <t>NORRTÄLJE</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63015-2023</t>
        </is>
      </c>
      <c r="B1120" s="1" t="n">
        <v>45272</v>
      </c>
      <c r="C1120" s="1" t="n">
        <v>46075</v>
      </c>
      <c r="D1120" t="inlineStr">
        <is>
          <t>STOCKHOLMS LÄN</t>
        </is>
      </c>
      <c r="E1120" t="inlineStr">
        <is>
          <t>NORRTÄLJE</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27831-2024</t>
        </is>
      </c>
      <c r="B1121" s="1" t="n">
        <v>45475.61896990741</v>
      </c>
      <c r="C1121" s="1" t="n">
        <v>46075</v>
      </c>
      <c r="D1121" t="inlineStr">
        <is>
          <t>STOCKHOLMS LÄN</t>
        </is>
      </c>
      <c r="E1121" t="inlineStr">
        <is>
          <t>NORRTÄLJE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33175-2024</t>
        </is>
      </c>
      <c r="B1122" s="1" t="n">
        <v>45518</v>
      </c>
      <c r="C1122" s="1" t="n">
        <v>46075</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21803-2022</t>
        </is>
      </c>
      <c r="B1123" s="1" t="n">
        <v>44708.67822916667</v>
      </c>
      <c r="C1123" s="1" t="n">
        <v>46075</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20730-2024</t>
        </is>
      </c>
      <c r="B1124" s="1" t="n">
        <v>45436</v>
      </c>
      <c r="C1124" s="1" t="n">
        <v>46075</v>
      </c>
      <c r="D1124" t="inlineStr">
        <is>
          <t>STOCKHOLMS LÄN</t>
        </is>
      </c>
      <c r="E1124" t="inlineStr">
        <is>
          <t>NORRTÄLJE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12901-2024</t>
        </is>
      </c>
      <c r="B1125" s="1" t="n">
        <v>45385.37922453704</v>
      </c>
      <c r="C1125" s="1" t="n">
        <v>46075</v>
      </c>
      <c r="D1125" t="inlineStr">
        <is>
          <t>STOCKHOLMS LÄN</t>
        </is>
      </c>
      <c r="E1125" t="inlineStr">
        <is>
          <t>NORRTÄLJE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8950-2025</t>
        </is>
      </c>
      <c r="B1126" s="1" t="n">
        <v>45713</v>
      </c>
      <c r="C1126" s="1" t="n">
        <v>46075</v>
      </c>
      <c r="D1126" t="inlineStr">
        <is>
          <t>STOCKHOLMS LÄN</t>
        </is>
      </c>
      <c r="E1126" t="inlineStr">
        <is>
          <t>NORRTÄLJE</t>
        </is>
      </c>
      <c r="F1126" t="inlineStr">
        <is>
          <t>Övriga Aktiebolag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12301-2025</t>
        </is>
      </c>
      <c r="B1127" s="1" t="n">
        <v>45729.7271875</v>
      </c>
      <c r="C1127" s="1" t="n">
        <v>46075</v>
      </c>
      <c r="D1127" t="inlineStr">
        <is>
          <t>STOCKHOLMS LÄN</t>
        </is>
      </c>
      <c r="E1127" t="inlineStr">
        <is>
          <t>NORRTÄLJE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24351-2025</t>
        </is>
      </c>
      <c r="B1128" s="1" t="n">
        <v>45797.58399305555</v>
      </c>
      <c r="C1128" s="1" t="n">
        <v>46075</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13283-2025</t>
        </is>
      </c>
      <c r="B1129" s="1" t="n">
        <v>45735</v>
      </c>
      <c r="C1129" s="1" t="n">
        <v>46075</v>
      </c>
      <c r="D1129" t="inlineStr">
        <is>
          <t>STOCKHOLMS LÄN</t>
        </is>
      </c>
      <c r="E1129" t="inlineStr">
        <is>
          <t>NORRTÄLJE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24687-2025</t>
        </is>
      </c>
      <c r="B1130" s="1" t="n">
        <v>45798.66767361111</v>
      </c>
      <c r="C1130" s="1" t="n">
        <v>46075</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24638-2025</t>
        </is>
      </c>
      <c r="B1131" s="1" t="n">
        <v>45798</v>
      </c>
      <c r="C1131" s="1" t="n">
        <v>46075</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28603-2024</t>
        </is>
      </c>
      <c r="B1132" s="1" t="n">
        <v>45478.42887731481</v>
      </c>
      <c r="C1132" s="1" t="n">
        <v>46075</v>
      </c>
      <c r="D1132" t="inlineStr">
        <is>
          <t>STOCKHOLMS LÄN</t>
        </is>
      </c>
      <c r="E1132" t="inlineStr">
        <is>
          <t>NORRTÄLJE</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24690-2025</t>
        </is>
      </c>
      <c r="B1133" s="1" t="n">
        <v>45798.67082175926</v>
      </c>
      <c r="C1133" s="1" t="n">
        <v>46075</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47259-2024</t>
        </is>
      </c>
      <c r="B1134" s="1" t="n">
        <v>45586</v>
      </c>
      <c r="C1134" s="1" t="n">
        <v>46075</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25702-2025</t>
        </is>
      </c>
      <c r="B1135" s="1" t="n">
        <v>45800</v>
      </c>
      <c r="C1135" s="1" t="n">
        <v>46075</v>
      </c>
      <c r="D1135" t="inlineStr">
        <is>
          <t>STOCKHOLMS LÄN</t>
        </is>
      </c>
      <c r="E1135" t="inlineStr">
        <is>
          <t>NORRTÄLJE</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25712-2025</t>
        </is>
      </c>
      <c r="B1136" s="1" t="n">
        <v>45803.69228009259</v>
      </c>
      <c r="C1136" s="1" t="n">
        <v>46075</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25733-2025</t>
        </is>
      </c>
      <c r="B1137" s="1" t="n">
        <v>45800</v>
      </c>
      <c r="C1137" s="1" t="n">
        <v>46075</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39238-2024</t>
        </is>
      </c>
      <c r="B1138" s="1" t="n">
        <v>45549</v>
      </c>
      <c r="C1138" s="1" t="n">
        <v>46075</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25571-2025</t>
        </is>
      </c>
      <c r="B1139" s="1" t="n">
        <v>45803.4675</v>
      </c>
      <c r="C1139" s="1" t="n">
        <v>46075</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25721-2025</t>
        </is>
      </c>
      <c r="B1140" s="1" t="n">
        <v>45800</v>
      </c>
      <c r="C1140" s="1" t="n">
        <v>46075</v>
      </c>
      <c r="D1140" t="inlineStr">
        <is>
          <t>STOCKHOLMS LÄN</t>
        </is>
      </c>
      <c r="E1140" t="inlineStr">
        <is>
          <t>NORRTÄLJE</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25697-2025</t>
        </is>
      </c>
      <c r="B1141" s="1" t="n">
        <v>45803.66587962963</v>
      </c>
      <c r="C1141" s="1" t="n">
        <v>46075</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41218-2024</t>
        </is>
      </c>
      <c r="B1142" s="1" t="n">
        <v>45559.54706018518</v>
      </c>
      <c r="C1142" s="1" t="n">
        <v>46075</v>
      </c>
      <c r="D1142" t="inlineStr">
        <is>
          <t>STOCKHOLMS LÄN</t>
        </is>
      </c>
      <c r="E1142" t="inlineStr">
        <is>
          <t>NORRTÄLJE</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38449-2022</t>
        </is>
      </c>
      <c r="B1143" s="1" t="n">
        <v>44813</v>
      </c>
      <c r="C1143" s="1" t="n">
        <v>46075</v>
      </c>
      <c r="D1143" t="inlineStr">
        <is>
          <t>STOCKHOLMS LÄN</t>
        </is>
      </c>
      <c r="E1143" t="inlineStr">
        <is>
          <t>NORRTÄLJE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53561-2023</t>
        </is>
      </c>
      <c r="B1144" s="1" t="n">
        <v>45224</v>
      </c>
      <c r="C1144" s="1" t="n">
        <v>46075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26051-2025</t>
        </is>
      </c>
      <c r="B1145" s="1" t="n">
        <v>45804.74479166666</v>
      </c>
      <c r="C1145" s="1" t="n">
        <v>46075</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26708-2025</t>
        </is>
      </c>
      <c r="B1146" s="1" t="n">
        <v>45810.45633101852</v>
      </c>
      <c r="C1146" s="1" t="n">
        <v>46075</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26702-2025</t>
        </is>
      </c>
      <c r="B1147" s="1" t="n">
        <v>45810.45236111111</v>
      </c>
      <c r="C1147" s="1" t="n">
        <v>46075</v>
      </c>
      <c r="D1147" t="inlineStr">
        <is>
          <t>STOCKHOLMS LÄN</t>
        </is>
      </c>
      <c r="E1147" t="inlineStr">
        <is>
          <t>NORRTÄLJE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23061-2025</t>
        </is>
      </c>
      <c r="B1148" s="1" t="n">
        <v>45790.81410879629</v>
      </c>
      <c r="C1148" s="1" t="n">
        <v>46075</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27040-2025</t>
        </is>
      </c>
      <c r="B1149" s="1" t="n">
        <v>45811.60451388889</v>
      </c>
      <c r="C1149" s="1" t="n">
        <v>46075</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26747-2025</t>
        </is>
      </c>
      <c r="B1150" s="1" t="n">
        <v>45810.5333912037</v>
      </c>
      <c r="C1150" s="1" t="n">
        <v>46075</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26675-2025</t>
        </is>
      </c>
      <c r="B1151" s="1" t="n">
        <v>45810.42393518519</v>
      </c>
      <c r="C1151" s="1" t="n">
        <v>46075</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27554-2025</t>
        </is>
      </c>
      <c r="B1152" s="1" t="n">
        <v>45813.4709375</v>
      </c>
      <c r="C1152" s="1" t="n">
        <v>46075</v>
      </c>
      <c r="D1152" t="inlineStr">
        <is>
          <t>STOCKHOLMS LÄN</t>
        </is>
      </c>
      <c r="E1152" t="inlineStr">
        <is>
          <t>NORRTÄLJE</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27700-2025</t>
        </is>
      </c>
      <c r="B1153" s="1" t="n">
        <v>45813.6799537037</v>
      </c>
      <c r="C1153" s="1" t="n">
        <v>46075</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27697-2025</t>
        </is>
      </c>
      <c r="B1154" s="1" t="n">
        <v>45813.66961805556</v>
      </c>
      <c r="C1154" s="1" t="n">
        <v>46075</v>
      </c>
      <c r="D1154" t="inlineStr">
        <is>
          <t>STOCKHOLMS LÄN</t>
        </is>
      </c>
      <c r="E1154" t="inlineStr">
        <is>
          <t>NORRTÄLJE</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27802-2025</t>
        </is>
      </c>
      <c r="B1155" s="1" t="n">
        <v>45817.2565625</v>
      </c>
      <c r="C1155" s="1" t="n">
        <v>46075</v>
      </c>
      <c r="D1155" t="inlineStr">
        <is>
          <t>STOCKHOLMS LÄN</t>
        </is>
      </c>
      <c r="E1155" t="inlineStr">
        <is>
          <t>NORRTÄLJE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27806-2025</t>
        </is>
      </c>
      <c r="B1156" s="1" t="n">
        <v>45817.30329861111</v>
      </c>
      <c r="C1156" s="1" t="n">
        <v>46075</v>
      </c>
      <c r="D1156" t="inlineStr">
        <is>
          <t>STOCKHOLMS LÄN</t>
        </is>
      </c>
      <c r="E1156" t="inlineStr">
        <is>
          <t>NORRTÄLJE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27808-2025</t>
        </is>
      </c>
      <c r="B1157" s="1" t="n">
        <v>45817.31085648148</v>
      </c>
      <c r="C1157" s="1" t="n">
        <v>46075</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27810-2025</t>
        </is>
      </c>
      <c r="B1158" s="1" t="n">
        <v>45817.31708333334</v>
      </c>
      <c r="C1158" s="1" t="n">
        <v>46075</v>
      </c>
      <c r="D1158" t="inlineStr">
        <is>
          <t>STOCKHOLMS LÄN</t>
        </is>
      </c>
      <c r="E1158" t="inlineStr">
        <is>
          <t>NORRTÄLJE</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27811-2025</t>
        </is>
      </c>
      <c r="B1159" s="1" t="n">
        <v>45817.31986111111</v>
      </c>
      <c r="C1159" s="1" t="n">
        <v>46075</v>
      </c>
      <c r="D1159" t="inlineStr">
        <is>
          <t>STOCKHOLMS LÄN</t>
        </is>
      </c>
      <c r="E1159" t="inlineStr">
        <is>
          <t>NORRTÄLJE</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27818-2025</t>
        </is>
      </c>
      <c r="B1160" s="1" t="n">
        <v>45817.33503472222</v>
      </c>
      <c r="C1160" s="1" t="n">
        <v>46075</v>
      </c>
      <c r="D1160" t="inlineStr">
        <is>
          <t>STOCKHOLMS LÄN</t>
        </is>
      </c>
      <c r="E1160" t="inlineStr">
        <is>
          <t>NORRTÄLJE</t>
        </is>
      </c>
      <c r="F1160" t="inlineStr">
        <is>
          <t>Sveaskog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27801-2025</t>
        </is>
      </c>
      <c r="B1161" s="1" t="n">
        <v>45817.25471064815</v>
      </c>
      <c r="C1161" s="1" t="n">
        <v>46075</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27803-2025</t>
        </is>
      </c>
      <c r="B1162" s="1" t="n">
        <v>45817.291875</v>
      </c>
      <c r="C1162" s="1" t="n">
        <v>46075</v>
      </c>
      <c r="D1162" t="inlineStr">
        <is>
          <t>STOCKHOLMS LÄN</t>
        </is>
      </c>
      <c r="E1162" t="inlineStr">
        <is>
          <t>NORRTÄLJE</t>
        </is>
      </c>
      <c r="G1162" t="n">
        <v>8.300000000000001</v>
      </c>
      <c r="H1162" t="n">
        <v>0</v>
      </c>
      <c r="I1162" t="n">
        <v>0</v>
      </c>
      <c r="J1162" t="n">
        <v>0</v>
      </c>
      <c r="K1162" t="n">
        <v>0</v>
      </c>
      <c r="L1162" t="n">
        <v>0</v>
      </c>
      <c r="M1162" t="n">
        <v>0</v>
      </c>
      <c r="N1162" t="n">
        <v>0</v>
      </c>
      <c r="O1162" t="n">
        <v>0</v>
      </c>
      <c r="P1162" t="n">
        <v>0</v>
      </c>
      <c r="Q1162" t="n">
        <v>0</v>
      </c>
      <c r="R1162" s="2" t="inlineStr"/>
    </row>
    <row r="1163">
      <c r="A1163" t="inlineStr">
        <is>
          <t>A 27813-2025</t>
        </is>
      </c>
      <c r="B1163" s="1" t="n">
        <v>45817.32538194444</v>
      </c>
      <c r="C1163" s="1" t="n">
        <v>46075</v>
      </c>
      <c r="D1163" t="inlineStr">
        <is>
          <t>STOCKHOLMS LÄN</t>
        </is>
      </c>
      <c r="E1163" t="inlineStr">
        <is>
          <t>NORRTÄLJE</t>
        </is>
      </c>
      <c r="G1163" t="n">
        <v>1.6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2026-02-22T10:59:01Z</dcterms:created>
  <dcterms:modified xmlns:dcterms="http://purl.org/dc/terms/" xmlns:xsi="http://www.w3.org/2001/XMLSchema-instance" xsi:type="dcterms:W3CDTF">2026-02-22T10:59:02Z</dcterms:modified>
</cp:coreProperties>
</file>