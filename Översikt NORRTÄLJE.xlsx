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46025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46025</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46025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46025</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46025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46025</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46025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46025</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46025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60941-2025</t>
        </is>
      </c>
      <c r="B13" s="1" t="n">
        <v>45999.64359953703</v>
      </c>
      <c r="C13" s="1" t="n">
        <v>46025</v>
      </c>
      <c r="D13" t="inlineStr">
        <is>
          <t>STOCKHOLMS LÄN</t>
        </is>
      </c>
      <c r="E13" t="inlineStr">
        <is>
          <t>NORRTÄLJE</t>
        </is>
      </c>
      <c r="G13" t="n">
        <v>4.3</v>
      </c>
      <c r="H13" t="n">
        <v>5</v>
      </c>
      <c r="I13" t="n">
        <v>12</v>
      </c>
      <c r="J13" t="n">
        <v>4</v>
      </c>
      <c r="K13" t="n">
        <v>3</v>
      </c>
      <c r="L13" t="n">
        <v>0</v>
      </c>
      <c r="M13" t="n">
        <v>0</v>
      </c>
      <c r="N13" t="n">
        <v>0</v>
      </c>
      <c r="O13" t="n">
        <v>7</v>
      </c>
      <c r="P13" t="n">
        <v>3</v>
      </c>
      <c r="Q13" t="n">
        <v>21</v>
      </c>
      <c r="R13"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3">
        <f>HYPERLINK("https://klasma.github.io/Logging_0188/artfynd/A 60941-2025 artfynd.xlsx", "A 60941-2025")</f>
        <v/>
      </c>
      <c r="T13">
        <f>HYPERLINK("https://klasma.github.io/Logging_0188/kartor/A 60941-2025 karta.png", "A 60941-2025")</f>
        <v/>
      </c>
      <c r="U13">
        <f>HYPERLINK("https://klasma.github.io/Logging_0188/knärot/A 60941-2025 karta knärot.png", "A 60941-2025")</f>
        <v/>
      </c>
      <c r="V13">
        <f>HYPERLINK("https://klasma.github.io/Logging_0188/klagomål/A 60941-2025 FSC-klagomål.docx", "A 60941-2025")</f>
        <v/>
      </c>
      <c r="W13">
        <f>HYPERLINK("https://klasma.github.io/Logging_0188/klagomålsmail/A 60941-2025 FSC-klagomål mail.docx", "A 60941-2025")</f>
        <v/>
      </c>
      <c r="X13">
        <f>HYPERLINK("https://klasma.github.io/Logging_0188/tillsyn/A 60941-2025 tillsynsbegäran.docx", "A 60941-2025")</f>
        <v/>
      </c>
      <c r="Y13">
        <f>HYPERLINK("https://klasma.github.io/Logging_0188/tillsynsmail/A 60941-2025 tillsynsbegäran mail.docx", "A 60941-2025")</f>
        <v/>
      </c>
      <c r="Z13">
        <f>HYPERLINK("https://klasma.github.io/Logging_0188/fåglar/A 60941-2025 prioriterade fågelarter.docx", "A 60941-2025")</f>
        <v/>
      </c>
    </row>
    <row r="14" ht="15" customHeight="1">
      <c r="A14" t="inlineStr">
        <is>
          <t>A 56024-2025</t>
        </is>
      </c>
      <c r="B14" s="1" t="n">
        <v>45973</v>
      </c>
      <c r="C14" s="1" t="n">
        <v>46025</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21837-2025</t>
        </is>
      </c>
      <c r="B15" s="1" t="n">
        <v>45784.32179398148</v>
      </c>
      <c r="C15" s="1" t="n">
        <v>46025</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46025</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46025</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46025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46025</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46025</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46025</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46025</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46025</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46025</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61292-2025</t>
        </is>
      </c>
      <c r="B25" s="1" t="n">
        <v>46000.75015046296</v>
      </c>
      <c r="C25" s="1" t="n">
        <v>46025</v>
      </c>
      <c r="D25" t="inlineStr">
        <is>
          <t>STOCKHOLMS LÄN</t>
        </is>
      </c>
      <c r="E25" t="inlineStr">
        <is>
          <t>NORRTÄLJE</t>
        </is>
      </c>
      <c r="G25" t="n">
        <v>3.8</v>
      </c>
      <c r="H25" t="n">
        <v>4</v>
      </c>
      <c r="I25" t="n">
        <v>5</v>
      </c>
      <c r="J25" t="n">
        <v>2</v>
      </c>
      <c r="K25" t="n">
        <v>1</v>
      </c>
      <c r="L25" t="n">
        <v>0</v>
      </c>
      <c r="M25" t="n">
        <v>0</v>
      </c>
      <c r="N25" t="n">
        <v>0</v>
      </c>
      <c r="O25" t="n">
        <v>3</v>
      </c>
      <c r="P25" t="n">
        <v>1</v>
      </c>
      <c r="Q25" t="n">
        <v>9</v>
      </c>
      <c r="R25" s="2" t="inlineStr">
        <is>
          <t>Knärot
Spillkråka
Ullticka
Bronshjon
Grön sköldmossa
Grönpyrola
Stubbspretmossa
Vågbandad barkbock
Kungsfågel</t>
        </is>
      </c>
      <c r="S25">
        <f>HYPERLINK("https://klasma.github.io/Logging_0188/artfynd/A 61292-2025 artfynd.xlsx", "A 61292-2025")</f>
        <v/>
      </c>
      <c r="T25">
        <f>HYPERLINK("https://klasma.github.io/Logging_0188/kartor/A 61292-2025 karta.png", "A 61292-2025")</f>
        <v/>
      </c>
      <c r="U25">
        <f>HYPERLINK("https://klasma.github.io/Logging_0188/knärot/A 61292-2025 karta knärot.png", "A 61292-2025")</f>
        <v/>
      </c>
      <c r="V25">
        <f>HYPERLINK("https://klasma.github.io/Logging_0188/klagomål/A 61292-2025 FSC-klagomål.docx", "A 61292-2025")</f>
        <v/>
      </c>
      <c r="W25">
        <f>HYPERLINK("https://klasma.github.io/Logging_0188/klagomålsmail/A 61292-2025 FSC-klagomål mail.docx", "A 61292-2025")</f>
        <v/>
      </c>
      <c r="X25">
        <f>HYPERLINK("https://klasma.github.io/Logging_0188/tillsyn/A 61292-2025 tillsynsbegäran.docx", "A 61292-2025")</f>
        <v/>
      </c>
      <c r="Y25">
        <f>HYPERLINK("https://klasma.github.io/Logging_0188/tillsynsmail/A 61292-2025 tillsynsbegäran mail.docx", "A 61292-2025")</f>
        <v/>
      </c>
      <c r="Z25">
        <f>HYPERLINK("https://klasma.github.io/Logging_0188/fåglar/A 61292-2025 prioriterade fågelarter.docx", "A 61292-2025")</f>
        <v/>
      </c>
    </row>
    <row r="26" ht="15" customHeight="1">
      <c r="A26" t="inlineStr">
        <is>
          <t>A 50326-2024</t>
        </is>
      </c>
      <c r="B26" s="1" t="n">
        <v>45600</v>
      </c>
      <c r="C26" s="1" t="n">
        <v>46025</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46025</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46025</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52815-2021</t>
        </is>
      </c>
      <c r="B29" s="1" t="n">
        <v>44467</v>
      </c>
      <c r="C29" s="1" t="n">
        <v>46025</v>
      </c>
      <c r="D29" t="inlineStr">
        <is>
          <t>STOCKHOLMS LÄN</t>
        </is>
      </c>
      <c r="E29" t="inlineStr">
        <is>
          <t>NORRTÄLJE</t>
        </is>
      </c>
      <c r="G29" t="n">
        <v>2.8</v>
      </c>
      <c r="H29" t="n">
        <v>0</v>
      </c>
      <c r="I29" t="n">
        <v>2</v>
      </c>
      <c r="J29" t="n">
        <v>2</v>
      </c>
      <c r="K29" t="n">
        <v>4</v>
      </c>
      <c r="L29" t="n">
        <v>1</v>
      </c>
      <c r="M29" t="n">
        <v>0</v>
      </c>
      <c r="N29" t="n">
        <v>0</v>
      </c>
      <c r="O29" t="n">
        <v>7</v>
      </c>
      <c r="P29" t="n">
        <v>5</v>
      </c>
      <c r="Q29" t="n">
        <v>9</v>
      </c>
      <c r="R29" s="2" t="inlineStr">
        <is>
          <t>Raggtaggsvamp
Gul lammticka
Koppartaggsvamp
Spricktaggsvamp
Svartfjällig musseron
Bittermusseron
Flattoppad klubbsvamp
Diskvaxskivling
Fjällig taggsvamp s.str.</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25732-2025</t>
        </is>
      </c>
      <c r="B30" s="1" t="n">
        <v>45800</v>
      </c>
      <c r="C30" s="1" t="n">
        <v>46025</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46025</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61099-2025</t>
        </is>
      </c>
      <c r="B32" s="1" t="n">
        <v>46000.44185185185</v>
      </c>
      <c r="C32" s="1" t="n">
        <v>46025</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47951-2025</t>
        </is>
      </c>
      <c r="B33" s="1" t="n">
        <v>45932.58491898148</v>
      </c>
      <c r="C33" s="1" t="n">
        <v>46025</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45811-2022</t>
        </is>
      </c>
      <c r="B34" s="1" t="n">
        <v>44846</v>
      </c>
      <c r="C34" s="1" t="n">
        <v>46025</v>
      </c>
      <c r="D34" t="inlineStr">
        <is>
          <t>STOCKHOLMS LÄN</t>
        </is>
      </c>
      <c r="E34" t="inlineStr">
        <is>
          <t>NORRTÄLJE</t>
        </is>
      </c>
      <c r="G34" t="n">
        <v>0.8</v>
      </c>
      <c r="H34" t="n">
        <v>0</v>
      </c>
      <c r="I34" t="n">
        <v>5</v>
      </c>
      <c r="J34" t="n">
        <v>0</v>
      </c>
      <c r="K34" t="n">
        <v>0</v>
      </c>
      <c r="L34" t="n">
        <v>1</v>
      </c>
      <c r="M34" t="n">
        <v>1</v>
      </c>
      <c r="N34" t="n">
        <v>0</v>
      </c>
      <c r="O34" t="n">
        <v>2</v>
      </c>
      <c r="P34" t="n">
        <v>2</v>
      </c>
      <c r="Q34" t="n">
        <v>7</v>
      </c>
      <c r="R34" s="2" t="inlineStr">
        <is>
          <t>Skogsalm
Ask
Hässleklocka
Myskmadra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46025</v>
      </c>
      <c r="D35" t="inlineStr">
        <is>
          <t>STOCKHOLMS LÄN</t>
        </is>
      </c>
      <c r="E35" t="inlineStr">
        <is>
          <t>NORRTÄLJE</t>
        </is>
      </c>
      <c r="G35" t="n">
        <v>15.8</v>
      </c>
      <c r="H35" t="n">
        <v>2</v>
      </c>
      <c r="I35" t="n">
        <v>6</v>
      </c>
      <c r="J35" t="n">
        <v>0</v>
      </c>
      <c r="K35" t="n">
        <v>0</v>
      </c>
      <c r="L35" t="n">
        <v>0</v>
      </c>
      <c r="M35" t="n">
        <v>0</v>
      </c>
      <c r="N35" t="n">
        <v>0</v>
      </c>
      <c r="O35" t="n">
        <v>0</v>
      </c>
      <c r="P35" t="n">
        <v>0</v>
      </c>
      <c r="Q35" t="n">
        <v>7</v>
      </c>
      <c r="R35" s="2" t="inlineStr">
        <is>
          <t>Kragjordstjärna
Skogsknipprot
Svart trolldruva
Svavelriska
Tibast
Vårärt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46025</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15278-2024</t>
        </is>
      </c>
      <c r="B37" s="1" t="n">
        <v>45400.5958912037</v>
      </c>
      <c r="C37" s="1" t="n">
        <v>46025</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13933-2022</t>
        </is>
      </c>
      <c r="B38" s="1" t="n">
        <v>44650</v>
      </c>
      <c r="C38" s="1" t="n">
        <v>46025</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34528-2025</t>
        </is>
      </c>
      <c r="B39" s="1" t="n">
        <v>45847.48436342592</v>
      </c>
      <c r="C39" s="1" t="n">
        <v>46025</v>
      </c>
      <c r="D39" t="inlineStr">
        <is>
          <t>STOCKHOLMS LÄN</t>
        </is>
      </c>
      <c r="E39" t="inlineStr">
        <is>
          <t>NORRTÄLJE</t>
        </is>
      </c>
      <c r="G39" t="n">
        <v>1</v>
      </c>
      <c r="H39" t="n">
        <v>1</v>
      </c>
      <c r="I39" t="n">
        <v>2</v>
      </c>
      <c r="J39" t="n">
        <v>3</v>
      </c>
      <c r="K39" t="n">
        <v>1</v>
      </c>
      <c r="L39" t="n">
        <v>0</v>
      </c>
      <c r="M39" t="n">
        <v>0</v>
      </c>
      <c r="N39" t="n">
        <v>0</v>
      </c>
      <c r="O39" t="n">
        <v>4</v>
      </c>
      <c r="P39" t="n">
        <v>1</v>
      </c>
      <c r="Q39" t="n">
        <v>6</v>
      </c>
      <c r="R39" s="2" t="inlineStr">
        <is>
          <t>Gyllenfingersvamp
Gammelgransskål
Motaggsvamp
Spillkråka
Fjällig taggsvamp s.str.
Svavelriska</t>
        </is>
      </c>
      <c r="S39">
        <f>HYPERLINK("https://klasma.github.io/Logging_0188/artfynd/A 34528-2025 artfynd.xlsx", "A 34528-2025")</f>
        <v/>
      </c>
      <c r="T39">
        <f>HYPERLINK("https://klasma.github.io/Logging_0188/kartor/A 34528-2025 karta.png", "A 34528-2025")</f>
        <v/>
      </c>
      <c r="V39">
        <f>HYPERLINK("https://klasma.github.io/Logging_0188/klagomål/A 34528-2025 FSC-klagomål.docx", "A 34528-2025")</f>
        <v/>
      </c>
      <c r="W39">
        <f>HYPERLINK("https://klasma.github.io/Logging_0188/klagomålsmail/A 34528-2025 FSC-klagomål mail.docx", "A 34528-2025")</f>
        <v/>
      </c>
      <c r="X39">
        <f>HYPERLINK("https://klasma.github.io/Logging_0188/tillsyn/A 34528-2025 tillsynsbegäran.docx", "A 34528-2025")</f>
        <v/>
      </c>
      <c r="Y39">
        <f>HYPERLINK("https://klasma.github.io/Logging_0188/tillsynsmail/A 34528-2025 tillsynsbegäran mail.docx", "A 34528-2025")</f>
        <v/>
      </c>
      <c r="Z39">
        <f>HYPERLINK("https://klasma.github.io/Logging_0188/fåglar/A 34528-2025 prioriterade fågelarter.docx", "A 34528-2025")</f>
        <v/>
      </c>
    </row>
    <row r="40" ht="15" customHeight="1">
      <c r="A40" t="inlineStr">
        <is>
          <t>A 1054-2022</t>
        </is>
      </c>
      <c r="B40" s="1" t="n">
        <v>44571</v>
      </c>
      <c r="C40" s="1" t="n">
        <v>46025</v>
      </c>
      <c r="D40" t="inlineStr">
        <is>
          <t>STOCKHOLMS LÄN</t>
        </is>
      </c>
      <c r="E40" t="inlineStr">
        <is>
          <t>NORRTÄLJE</t>
        </is>
      </c>
      <c r="G40" t="n">
        <v>5</v>
      </c>
      <c r="H40" t="n">
        <v>0</v>
      </c>
      <c r="I40" t="n">
        <v>4</v>
      </c>
      <c r="J40" t="n">
        <v>1</v>
      </c>
      <c r="K40" t="n">
        <v>0</v>
      </c>
      <c r="L40" t="n">
        <v>0</v>
      </c>
      <c r="M40" t="n">
        <v>0</v>
      </c>
      <c r="N40" t="n">
        <v>0</v>
      </c>
      <c r="O40" t="n">
        <v>1</v>
      </c>
      <c r="P40" t="n">
        <v>0</v>
      </c>
      <c r="Q40" t="n">
        <v>5</v>
      </c>
      <c r="R40" s="2" t="inlineStr">
        <is>
          <t>Fyrflikig jordstjärna
Fjällig taggsvamp s.str.
Kryddspindling
Olivspindling
Svavelriska</t>
        </is>
      </c>
      <c r="S40">
        <f>HYPERLINK("https://klasma.github.io/Logging_0188/artfynd/A 1054-2022 artfynd.xlsx", "A 1054-2022")</f>
        <v/>
      </c>
      <c r="T40">
        <f>HYPERLINK("https://klasma.github.io/Logging_0188/kartor/A 1054-2022 karta.png", "A 1054-2022")</f>
        <v/>
      </c>
      <c r="V40">
        <f>HYPERLINK("https://klasma.github.io/Logging_0188/klagomål/A 1054-2022 FSC-klagomål.docx", "A 1054-2022")</f>
        <v/>
      </c>
      <c r="W40">
        <f>HYPERLINK("https://klasma.github.io/Logging_0188/klagomålsmail/A 1054-2022 FSC-klagomål mail.docx", "A 1054-2022")</f>
        <v/>
      </c>
      <c r="X40">
        <f>HYPERLINK("https://klasma.github.io/Logging_0188/tillsyn/A 1054-2022 tillsynsbegäran.docx", "A 1054-2022")</f>
        <v/>
      </c>
      <c r="Y40">
        <f>HYPERLINK("https://klasma.github.io/Logging_0188/tillsynsmail/A 1054-2022 tillsynsbegäran mail.docx", "A 1054-2022")</f>
        <v/>
      </c>
    </row>
    <row r="41" ht="15" customHeight="1">
      <c r="A41" t="inlineStr">
        <is>
          <t>A 15804-2025</t>
        </is>
      </c>
      <c r="B41" s="1" t="n">
        <v>45748.6521875</v>
      </c>
      <c r="C41" s="1" t="n">
        <v>46025</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30687-2025</t>
        </is>
      </c>
      <c r="B42" s="1" t="n">
        <v>45831.53390046296</v>
      </c>
      <c r="C42" s="1" t="n">
        <v>46025</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21922-2023</t>
        </is>
      </c>
      <c r="B43" s="1" t="n">
        <v>45068</v>
      </c>
      <c r="C43" s="1" t="n">
        <v>46025</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46025</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56791-2025</t>
        </is>
      </c>
      <c r="B45" s="1" t="n">
        <v>45978</v>
      </c>
      <c r="C45" s="1" t="n">
        <v>46025</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72111-2021</t>
        </is>
      </c>
      <c r="B46" s="1" t="n">
        <v>44544</v>
      </c>
      <c r="C46" s="1" t="n">
        <v>46025</v>
      </c>
      <c r="D46" t="inlineStr">
        <is>
          <t>STOCKHOLMS LÄN</t>
        </is>
      </c>
      <c r="E46" t="inlineStr">
        <is>
          <t>NORRTÄLJE</t>
        </is>
      </c>
      <c r="G46" t="n">
        <v>5.1</v>
      </c>
      <c r="H46" t="n">
        <v>1</v>
      </c>
      <c r="I46" t="n">
        <v>3</v>
      </c>
      <c r="J46" t="n">
        <v>1</v>
      </c>
      <c r="K46" t="n">
        <v>0</v>
      </c>
      <c r="L46" t="n">
        <v>0</v>
      </c>
      <c r="M46" t="n">
        <v>0</v>
      </c>
      <c r="N46" t="n">
        <v>0</v>
      </c>
      <c r="O46" t="n">
        <v>1</v>
      </c>
      <c r="P46" t="n">
        <v>0</v>
      </c>
      <c r="Q46" t="n">
        <v>5</v>
      </c>
      <c r="R46" s="2" t="inlineStr">
        <is>
          <t>Lunglav
Scharlakansvårskål agg.
Sårläka
Vårärt
Blåsippa</t>
        </is>
      </c>
      <c r="S46">
        <f>HYPERLINK("https://klasma.github.io/Logging_0188/artfynd/A 72111-2021 artfynd.xlsx", "A 72111-2021")</f>
        <v/>
      </c>
      <c r="T46">
        <f>HYPERLINK("https://klasma.github.io/Logging_0188/kartor/A 72111-2021 karta.png", "A 72111-2021")</f>
        <v/>
      </c>
      <c r="V46">
        <f>HYPERLINK("https://klasma.github.io/Logging_0188/klagomål/A 72111-2021 FSC-klagomål.docx", "A 72111-2021")</f>
        <v/>
      </c>
      <c r="W46">
        <f>HYPERLINK("https://klasma.github.io/Logging_0188/klagomålsmail/A 72111-2021 FSC-klagomål mail.docx", "A 72111-2021")</f>
        <v/>
      </c>
      <c r="X46">
        <f>HYPERLINK("https://klasma.github.io/Logging_0188/tillsyn/A 72111-2021 tillsynsbegäran.docx", "A 72111-2021")</f>
        <v/>
      </c>
      <c r="Y46">
        <f>HYPERLINK("https://klasma.github.io/Logging_0188/tillsynsmail/A 72111-2021 tillsynsbegäran mail.docx", "A 72111-2021")</f>
        <v/>
      </c>
    </row>
    <row r="47" ht="15" customHeight="1">
      <c r="A47" t="inlineStr">
        <is>
          <t>A 22071-2022</t>
        </is>
      </c>
      <c r="B47" s="1" t="n">
        <v>44711</v>
      </c>
      <c r="C47" s="1" t="n">
        <v>46025</v>
      </c>
      <c r="D47" t="inlineStr">
        <is>
          <t>STOCKHOLMS LÄN</t>
        </is>
      </c>
      <c r="E47" t="inlineStr">
        <is>
          <t>NORRTÄLJE</t>
        </is>
      </c>
      <c r="G47" t="n">
        <v>7</v>
      </c>
      <c r="H47" t="n">
        <v>1</v>
      </c>
      <c r="I47" t="n">
        <v>2</v>
      </c>
      <c r="J47" t="n">
        <v>2</v>
      </c>
      <c r="K47" t="n">
        <v>0</v>
      </c>
      <c r="L47" t="n">
        <v>0</v>
      </c>
      <c r="M47" t="n">
        <v>0</v>
      </c>
      <c r="N47" t="n">
        <v>0</v>
      </c>
      <c r="O47" t="n">
        <v>2</v>
      </c>
      <c r="P47" t="n">
        <v>0</v>
      </c>
      <c r="Q47" t="n">
        <v>4</v>
      </c>
      <c r="R47" s="2" t="inlineStr">
        <is>
          <t>Spillkråka
Vedskivlav
Björksplintborre
Kattfotslav</t>
        </is>
      </c>
      <c r="S47">
        <f>HYPERLINK("https://klasma.github.io/Logging_0188/artfynd/A 22071-2022 artfynd.xlsx", "A 22071-2022")</f>
        <v/>
      </c>
      <c r="T47">
        <f>HYPERLINK("https://klasma.github.io/Logging_0188/kartor/A 22071-2022 karta.png", "A 22071-2022")</f>
        <v/>
      </c>
      <c r="V47">
        <f>HYPERLINK("https://klasma.github.io/Logging_0188/klagomål/A 22071-2022 FSC-klagomål.docx", "A 22071-2022")</f>
        <v/>
      </c>
      <c r="W47">
        <f>HYPERLINK("https://klasma.github.io/Logging_0188/klagomålsmail/A 22071-2022 FSC-klagomål mail.docx", "A 22071-2022")</f>
        <v/>
      </c>
      <c r="X47">
        <f>HYPERLINK("https://klasma.github.io/Logging_0188/tillsyn/A 22071-2022 tillsynsbegäran.docx", "A 22071-2022")</f>
        <v/>
      </c>
      <c r="Y47">
        <f>HYPERLINK("https://klasma.github.io/Logging_0188/tillsynsmail/A 22071-2022 tillsynsbegäran mail.docx", "A 22071-2022")</f>
        <v/>
      </c>
      <c r="Z47">
        <f>HYPERLINK("https://klasma.github.io/Logging_0188/fåglar/A 22071-2022 prioriterade fågelarter.docx", "A 22071-2022")</f>
        <v/>
      </c>
    </row>
    <row r="48" ht="15" customHeight="1">
      <c r="A48" t="inlineStr">
        <is>
          <t>A 41276-2025</t>
        </is>
      </c>
      <c r="B48" s="1" t="n">
        <v>45898.62723379629</v>
      </c>
      <c r="C48" s="1" t="n">
        <v>46025</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46025</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46025</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34521-2025</t>
        </is>
      </c>
      <c r="B51" s="1" t="n">
        <v>45847.47052083333</v>
      </c>
      <c r="C51" s="1" t="n">
        <v>46025</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72305-2021</t>
        </is>
      </c>
      <c r="B52" s="1" t="n">
        <v>44545</v>
      </c>
      <c r="C52" s="1" t="n">
        <v>46025</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46025</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46025</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46025</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46025</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17673-2021</t>
        </is>
      </c>
      <c r="B57" s="1" t="n">
        <v>44300</v>
      </c>
      <c r="C57" s="1" t="n">
        <v>46025</v>
      </c>
      <c r="D57" t="inlineStr">
        <is>
          <t>STOCKHOLMS LÄN</t>
        </is>
      </c>
      <c r="E57" t="inlineStr">
        <is>
          <t>NORRTÄLJE</t>
        </is>
      </c>
      <c r="G57" t="n">
        <v>9.199999999999999</v>
      </c>
      <c r="H57" t="n">
        <v>3</v>
      </c>
      <c r="I57" t="n">
        <v>0</v>
      </c>
      <c r="J57" t="n">
        <v>2</v>
      </c>
      <c r="K57" t="n">
        <v>0</v>
      </c>
      <c r="L57" t="n">
        <v>0</v>
      </c>
      <c r="M57" t="n">
        <v>0</v>
      </c>
      <c r="N57" t="n">
        <v>0</v>
      </c>
      <c r="O57" t="n">
        <v>2</v>
      </c>
      <c r="P57" t="n">
        <v>0</v>
      </c>
      <c r="Q57" t="n">
        <v>3</v>
      </c>
      <c r="R57" s="2" t="inlineStr">
        <is>
          <t>Grönsångare
Havsörn
Blåsippa</t>
        </is>
      </c>
      <c r="S57">
        <f>HYPERLINK("https://klasma.github.io/Logging_0188/artfynd/A 17673-2021 artfynd.xlsx", "A 17673-2021")</f>
        <v/>
      </c>
      <c r="T57">
        <f>HYPERLINK("https://klasma.github.io/Logging_0188/kartor/A 17673-2021 karta.png", "A 17673-2021")</f>
        <v/>
      </c>
      <c r="V57">
        <f>HYPERLINK("https://klasma.github.io/Logging_0188/klagomål/A 17673-2021 FSC-klagomål.docx", "A 17673-2021")</f>
        <v/>
      </c>
      <c r="W57">
        <f>HYPERLINK("https://klasma.github.io/Logging_0188/klagomålsmail/A 17673-2021 FSC-klagomål mail.docx", "A 17673-2021")</f>
        <v/>
      </c>
      <c r="X57">
        <f>HYPERLINK("https://klasma.github.io/Logging_0188/tillsyn/A 17673-2021 tillsynsbegäran.docx", "A 17673-2021")</f>
        <v/>
      </c>
      <c r="Y57">
        <f>HYPERLINK("https://klasma.github.io/Logging_0188/tillsynsmail/A 17673-2021 tillsynsbegäran mail.docx", "A 17673-2021")</f>
        <v/>
      </c>
      <c r="Z57">
        <f>HYPERLINK("https://klasma.github.io/Logging_0188/fåglar/A 17673-2021 prioriterade fågelarter.docx", "A 17673-2021")</f>
        <v/>
      </c>
    </row>
    <row r="58" ht="15" customHeight="1">
      <c r="A58" t="inlineStr">
        <is>
          <t>A 45113-2022</t>
        </is>
      </c>
      <c r="B58" s="1" t="n">
        <v>44843</v>
      </c>
      <c r="C58" s="1" t="n">
        <v>46025</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46025</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14560-2021</t>
        </is>
      </c>
      <c r="B60" s="1" t="n">
        <v>44279</v>
      </c>
      <c r="C60" s="1" t="n">
        <v>46025</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29185-2025</t>
        </is>
      </c>
      <c r="B61" s="1" t="n">
        <v>45821</v>
      </c>
      <c r="C61" s="1" t="n">
        <v>46025</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46025</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46025</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34524-2025</t>
        </is>
      </c>
      <c r="B64" s="1" t="n">
        <v>45847.47685185185</v>
      </c>
      <c r="C64" s="1" t="n">
        <v>46025</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61288-2025</t>
        </is>
      </c>
      <c r="B65" s="1" t="n">
        <v>46000.73247685185</v>
      </c>
      <c r="C65" s="1" t="n">
        <v>46025</v>
      </c>
      <c r="D65" t="inlineStr">
        <is>
          <t>STOCKHOLMS LÄN</t>
        </is>
      </c>
      <c r="E65" t="inlineStr">
        <is>
          <t>NORRTÄLJE</t>
        </is>
      </c>
      <c r="G65" t="n">
        <v>2</v>
      </c>
      <c r="H65" t="n">
        <v>2</v>
      </c>
      <c r="I65" t="n">
        <v>1</v>
      </c>
      <c r="J65" t="n">
        <v>0</v>
      </c>
      <c r="K65" t="n">
        <v>1</v>
      </c>
      <c r="L65" t="n">
        <v>0</v>
      </c>
      <c r="M65" t="n">
        <v>0</v>
      </c>
      <c r="N65" t="n">
        <v>0</v>
      </c>
      <c r="O65" t="n">
        <v>1</v>
      </c>
      <c r="P65" t="n">
        <v>1</v>
      </c>
      <c r="Q65" t="n">
        <v>3</v>
      </c>
      <c r="R65" s="2" t="inlineStr">
        <is>
          <t>Knärot
Kattfotslav
Kungsfågel</t>
        </is>
      </c>
      <c r="S65">
        <f>HYPERLINK("https://klasma.github.io/Logging_0188/artfynd/A 61288-2025 artfynd.xlsx", "A 61288-2025")</f>
        <v/>
      </c>
      <c r="T65">
        <f>HYPERLINK("https://klasma.github.io/Logging_0188/kartor/A 61288-2025 karta.png", "A 61288-2025")</f>
        <v/>
      </c>
      <c r="U65">
        <f>HYPERLINK("https://klasma.github.io/Logging_0188/knärot/A 61288-2025 karta knärot.png", "A 61288-2025")</f>
        <v/>
      </c>
      <c r="V65">
        <f>HYPERLINK("https://klasma.github.io/Logging_0188/klagomål/A 61288-2025 FSC-klagomål.docx", "A 61288-2025")</f>
        <v/>
      </c>
      <c r="W65">
        <f>HYPERLINK("https://klasma.github.io/Logging_0188/klagomålsmail/A 61288-2025 FSC-klagomål mail.docx", "A 61288-2025")</f>
        <v/>
      </c>
      <c r="X65">
        <f>HYPERLINK("https://klasma.github.io/Logging_0188/tillsyn/A 61288-2025 tillsynsbegäran.docx", "A 61288-2025")</f>
        <v/>
      </c>
      <c r="Y65">
        <f>HYPERLINK("https://klasma.github.io/Logging_0188/tillsynsmail/A 61288-2025 tillsynsbegäran mail.docx", "A 61288-2025")</f>
        <v/>
      </c>
      <c r="Z65">
        <f>HYPERLINK("https://klasma.github.io/Logging_0188/fåglar/A 61288-2025 prioriterade fågelarter.docx", "A 61288-2025")</f>
        <v/>
      </c>
    </row>
    <row r="66" ht="15" customHeight="1">
      <c r="A66" t="inlineStr">
        <is>
          <t>A 52726-2025</t>
        </is>
      </c>
      <c r="B66" s="1" t="n">
        <v>45957.34722222222</v>
      </c>
      <c r="C66" s="1" t="n">
        <v>46025</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53065-2024</t>
        </is>
      </c>
      <c r="B67" s="1" t="n">
        <v>45611.47233796296</v>
      </c>
      <c r="C67" s="1" t="n">
        <v>46025</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50618-2022</t>
        </is>
      </c>
      <c r="B68" s="1" t="n">
        <v>44866</v>
      </c>
      <c r="C68" s="1" t="n">
        <v>46025</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46025</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54110-2024</t>
        </is>
      </c>
      <c r="B70" s="1" t="n">
        <v>45616.54866898148</v>
      </c>
      <c r="C70" s="1" t="n">
        <v>46025</v>
      </c>
      <c r="D70" t="inlineStr">
        <is>
          <t>STOCKHOLMS LÄN</t>
        </is>
      </c>
      <c r="E70" t="inlineStr">
        <is>
          <t>NORRTÄLJE</t>
        </is>
      </c>
      <c r="G70" t="n">
        <v>6.7</v>
      </c>
      <c r="H70" t="n">
        <v>2</v>
      </c>
      <c r="I70" t="n">
        <v>0</v>
      </c>
      <c r="J70" t="n">
        <v>1</v>
      </c>
      <c r="K70" t="n">
        <v>0</v>
      </c>
      <c r="L70" t="n">
        <v>0</v>
      </c>
      <c r="M70" t="n">
        <v>0</v>
      </c>
      <c r="N70" t="n">
        <v>0</v>
      </c>
      <c r="O70" t="n">
        <v>1</v>
      </c>
      <c r="P70" t="n">
        <v>0</v>
      </c>
      <c r="Q70" t="n">
        <v>3</v>
      </c>
      <c r="R70" s="2" t="inlineStr">
        <is>
          <t>Klasefibbla
Nattviol
Gullviva</t>
        </is>
      </c>
      <c r="S70">
        <f>HYPERLINK("https://klasma.github.io/Logging_0188/artfynd/A 54110-2024 artfynd.xlsx", "A 54110-2024")</f>
        <v/>
      </c>
      <c r="T70">
        <f>HYPERLINK("https://klasma.github.io/Logging_0188/kartor/A 54110-2024 karta.png", "A 54110-2024")</f>
        <v/>
      </c>
      <c r="V70">
        <f>HYPERLINK("https://klasma.github.io/Logging_0188/klagomål/A 54110-2024 FSC-klagomål.docx", "A 54110-2024")</f>
        <v/>
      </c>
      <c r="W70">
        <f>HYPERLINK("https://klasma.github.io/Logging_0188/klagomålsmail/A 54110-2024 FSC-klagomål mail.docx", "A 54110-2024")</f>
        <v/>
      </c>
      <c r="X70">
        <f>HYPERLINK("https://klasma.github.io/Logging_0188/tillsyn/A 54110-2024 tillsynsbegäran.docx", "A 54110-2024")</f>
        <v/>
      </c>
      <c r="Y70">
        <f>HYPERLINK("https://klasma.github.io/Logging_0188/tillsynsmail/A 54110-2024 tillsynsbegäran mail.docx", "A 54110-2024")</f>
        <v/>
      </c>
    </row>
    <row r="71" ht="15" customHeight="1">
      <c r="A71" t="inlineStr">
        <is>
          <t>A 25270-2025</t>
        </is>
      </c>
      <c r="B71" s="1" t="n">
        <v>45800</v>
      </c>
      <c r="C71" s="1" t="n">
        <v>46025</v>
      </c>
      <c r="D71" t="inlineStr">
        <is>
          <t>STOCKHOLMS LÄN</t>
        </is>
      </c>
      <c r="E71" t="inlineStr">
        <is>
          <t>NORRTÄLJE</t>
        </is>
      </c>
      <c r="F71" t="inlineStr">
        <is>
          <t>Övriga Aktiebolag</t>
        </is>
      </c>
      <c r="G71" t="n">
        <v>30</v>
      </c>
      <c r="H71" t="n">
        <v>0</v>
      </c>
      <c r="I71" t="n">
        <v>2</v>
      </c>
      <c r="J71" t="n">
        <v>1</v>
      </c>
      <c r="K71" t="n">
        <v>0</v>
      </c>
      <c r="L71" t="n">
        <v>0</v>
      </c>
      <c r="M71" t="n">
        <v>0</v>
      </c>
      <c r="N71" t="n">
        <v>0</v>
      </c>
      <c r="O71" t="n">
        <v>1</v>
      </c>
      <c r="P71" t="n">
        <v>0</v>
      </c>
      <c r="Q71" t="n">
        <v>3</v>
      </c>
      <c r="R71" s="2" t="inlineStr">
        <is>
          <t>Kandelabersvamp
Fjällig taggsvamp s.str.
Skarp dropptaggsvamp</t>
        </is>
      </c>
      <c r="S71">
        <f>HYPERLINK("https://klasma.github.io/Logging_0188/artfynd/A 25270-2025 artfynd.xlsx", "A 25270-2025")</f>
        <v/>
      </c>
      <c r="T71">
        <f>HYPERLINK("https://klasma.github.io/Logging_0188/kartor/A 25270-2025 karta.png", "A 25270-2025")</f>
        <v/>
      </c>
      <c r="V71">
        <f>HYPERLINK("https://klasma.github.io/Logging_0188/klagomål/A 25270-2025 FSC-klagomål.docx", "A 25270-2025")</f>
        <v/>
      </c>
      <c r="W71">
        <f>HYPERLINK("https://klasma.github.io/Logging_0188/klagomålsmail/A 25270-2025 FSC-klagomål mail.docx", "A 25270-2025")</f>
        <v/>
      </c>
      <c r="X71">
        <f>HYPERLINK("https://klasma.github.io/Logging_0188/tillsyn/A 25270-2025 tillsynsbegäran.docx", "A 25270-2025")</f>
        <v/>
      </c>
      <c r="Y71">
        <f>HYPERLINK("https://klasma.github.io/Logging_0188/tillsynsmail/A 25270-2025 tillsynsbegäran mail.docx", "A 25270-2025")</f>
        <v/>
      </c>
    </row>
    <row r="72" ht="15" customHeight="1">
      <c r="A72" t="inlineStr">
        <is>
          <t>A 52133-2022</t>
        </is>
      </c>
      <c r="B72" s="1" t="n">
        <v>44868</v>
      </c>
      <c r="C72" s="1" t="n">
        <v>46025</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46025</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4634-2021</t>
        </is>
      </c>
      <c r="B74" s="1" t="n">
        <v>44224</v>
      </c>
      <c r="C74" s="1" t="n">
        <v>46025</v>
      </c>
      <c r="D74" t="inlineStr">
        <is>
          <t>STOCKHOLMS LÄN</t>
        </is>
      </c>
      <c r="E74" t="inlineStr">
        <is>
          <t>NORRTÄLJE</t>
        </is>
      </c>
      <c r="G74" t="n">
        <v>3.7</v>
      </c>
      <c r="H74" t="n">
        <v>2</v>
      </c>
      <c r="I74" t="n">
        <v>1</v>
      </c>
      <c r="J74" t="n">
        <v>0</v>
      </c>
      <c r="K74" t="n">
        <v>0</v>
      </c>
      <c r="L74" t="n">
        <v>0</v>
      </c>
      <c r="M74" t="n">
        <v>0</v>
      </c>
      <c r="N74" t="n">
        <v>0</v>
      </c>
      <c r="O74" t="n">
        <v>0</v>
      </c>
      <c r="P74" t="n">
        <v>0</v>
      </c>
      <c r="Q74" t="n">
        <v>2</v>
      </c>
      <c r="R74" s="2" t="inlineStr">
        <is>
          <t>Grön sköldmossa
Tjäder</t>
        </is>
      </c>
      <c r="S74">
        <f>HYPERLINK("https://klasma.github.io/Logging_0188/artfynd/A 4634-2021 artfynd.xlsx", "A 4634-2021")</f>
        <v/>
      </c>
      <c r="T74">
        <f>HYPERLINK("https://klasma.github.io/Logging_0188/kartor/A 4634-2021 karta.png", "A 4634-2021")</f>
        <v/>
      </c>
      <c r="V74">
        <f>HYPERLINK("https://klasma.github.io/Logging_0188/klagomål/A 4634-2021 FSC-klagomål.docx", "A 4634-2021")</f>
        <v/>
      </c>
      <c r="W74">
        <f>HYPERLINK("https://klasma.github.io/Logging_0188/klagomålsmail/A 4634-2021 FSC-klagomål mail.docx", "A 4634-2021")</f>
        <v/>
      </c>
      <c r="X74">
        <f>HYPERLINK("https://klasma.github.io/Logging_0188/tillsyn/A 4634-2021 tillsynsbegäran.docx", "A 4634-2021")</f>
        <v/>
      </c>
      <c r="Y74">
        <f>HYPERLINK("https://klasma.github.io/Logging_0188/tillsynsmail/A 4634-2021 tillsynsbegäran mail.docx", "A 4634-2021")</f>
        <v/>
      </c>
      <c r="Z74">
        <f>HYPERLINK("https://klasma.github.io/Logging_0188/fåglar/A 4634-2021 prioriterade fågelarter.docx", "A 4634-2021")</f>
        <v/>
      </c>
    </row>
    <row r="75" ht="15" customHeight="1">
      <c r="A75" t="inlineStr">
        <is>
          <t>A 58676-2021</t>
        </is>
      </c>
      <c r="B75" s="1" t="n">
        <v>44489</v>
      </c>
      <c r="C75" s="1" t="n">
        <v>46025</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46025</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51220-2023</t>
        </is>
      </c>
      <c r="B77" s="1" t="n">
        <v>45219</v>
      </c>
      <c r="C77" s="1" t="n">
        <v>46025</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30693-2022</t>
        </is>
      </c>
      <c r="B78" s="1" t="n">
        <v>44763</v>
      </c>
      <c r="C78" s="1" t="n">
        <v>46025</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11031-2025</t>
        </is>
      </c>
      <c r="B79" s="1" t="n">
        <v>45723</v>
      </c>
      <c r="C79" s="1" t="n">
        <v>46025</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16260-2022</t>
        </is>
      </c>
      <c r="B80" s="1" t="n">
        <v>44670</v>
      </c>
      <c r="C80" s="1" t="n">
        <v>46025</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22190-2024</t>
        </is>
      </c>
      <c r="B81" s="1" t="n">
        <v>45446.35888888889</v>
      </c>
      <c r="C81" s="1" t="n">
        <v>46025</v>
      </c>
      <c r="D81" t="inlineStr">
        <is>
          <t>STOCKHOLMS LÄN</t>
        </is>
      </c>
      <c r="E81" t="inlineStr">
        <is>
          <t>NORRTÄLJE</t>
        </is>
      </c>
      <c r="G81" t="n">
        <v>2.8</v>
      </c>
      <c r="H81" t="n">
        <v>2</v>
      </c>
      <c r="I81" t="n">
        <v>1</v>
      </c>
      <c r="J81" t="n">
        <v>0</v>
      </c>
      <c r="K81" t="n">
        <v>0</v>
      </c>
      <c r="L81" t="n">
        <v>0</v>
      </c>
      <c r="M81" t="n">
        <v>0</v>
      </c>
      <c r="N81" t="n">
        <v>0</v>
      </c>
      <c r="O81" t="n">
        <v>0</v>
      </c>
      <c r="P81" t="n">
        <v>0</v>
      </c>
      <c r="Q81" t="n">
        <v>2</v>
      </c>
      <c r="R81" s="2" t="inlineStr">
        <is>
          <t>Skogsknipprot
Vanlig groda</t>
        </is>
      </c>
      <c r="S81">
        <f>HYPERLINK("https://klasma.github.io/Logging_0188/artfynd/A 22190-2024 artfynd.xlsx", "A 22190-2024")</f>
        <v/>
      </c>
      <c r="T81">
        <f>HYPERLINK("https://klasma.github.io/Logging_0188/kartor/A 22190-2024 karta.png", "A 22190-2024")</f>
        <v/>
      </c>
      <c r="V81">
        <f>HYPERLINK("https://klasma.github.io/Logging_0188/klagomål/A 22190-2024 FSC-klagomål.docx", "A 22190-2024")</f>
        <v/>
      </c>
      <c r="W81">
        <f>HYPERLINK("https://klasma.github.io/Logging_0188/klagomålsmail/A 22190-2024 FSC-klagomål mail.docx", "A 22190-2024")</f>
        <v/>
      </c>
      <c r="X81">
        <f>HYPERLINK("https://klasma.github.io/Logging_0188/tillsyn/A 22190-2024 tillsynsbegäran.docx", "A 22190-2024")</f>
        <v/>
      </c>
      <c r="Y81">
        <f>HYPERLINK("https://klasma.github.io/Logging_0188/tillsynsmail/A 22190-2024 tillsynsbegäran mail.docx", "A 22190-2024")</f>
        <v/>
      </c>
    </row>
    <row r="82" ht="15" customHeight="1">
      <c r="A82" t="inlineStr">
        <is>
          <t>A 50697-2025</t>
        </is>
      </c>
      <c r="B82" s="1" t="n">
        <v>45945.90854166666</v>
      </c>
      <c r="C82" s="1" t="n">
        <v>46025</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52360-2024</t>
        </is>
      </c>
      <c r="B83" s="1" t="n">
        <v>45609.37094907407</v>
      </c>
      <c r="C83" s="1" t="n">
        <v>46025</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53608-2025</t>
        </is>
      </c>
      <c r="B84" s="1" t="n">
        <v>45960</v>
      </c>
      <c r="C84" s="1" t="n">
        <v>46025</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52825-2023</t>
        </is>
      </c>
      <c r="B85" s="1" t="n">
        <v>45226</v>
      </c>
      <c r="C85" s="1" t="n">
        <v>46025</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46025</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46025</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46025</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46025</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46025</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46025</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46025</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46025</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46025</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46025</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4860-2022</t>
        </is>
      </c>
      <c r="B96" s="1" t="n">
        <v>44592</v>
      </c>
      <c r="C96" s="1" t="n">
        <v>46025</v>
      </c>
      <c r="D96" t="inlineStr">
        <is>
          <t>STOCKHOLMS LÄN</t>
        </is>
      </c>
      <c r="E96" t="inlineStr">
        <is>
          <t>NORRTÄLJE</t>
        </is>
      </c>
      <c r="G96" t="n">
        <v>22.3</v>
      </c>
      <c r="H96" t="n">
        <v>0</v>
      </c>
      <c r="I96" t="n">
        <v>0</v>
      </c>
      <c r="J96" t="n">
        <v>1</v>
      </c>
      <c r="K96" t="n">
        <v>0</v>
      </c>
      <c r="L96" t="n">
        <v>0</v>
      </c>
      <c r="M96" t="n">
        <v>0</v>
      </c>
      <c r="N96" t="n">
        <v>0</v>
      </c>
      <c r="O96" t="n">
        <v>1</v>
      </c>
      <c r="P96" t="n">
        <v>0</v>
      </c>
      <c r="Q96" t="n">
        <v>1</v>
      </c>
      <c r="R96" s="2" t="inlineStr">
        <is>
          <t>Igelkott</t>
        </is>
      </c>
      <c r="S96">
        <f>HYPERLINK("https://klasma.github.io/Logging_0188/artfynd/A 4860-2022 artfynd.xlsx", "A 4860-2022")</f>
        <v/>
      </c>
      <c r="T96">
        <f>HYPERLINK("https://klasma.github.io/Logging_0188/kartor/A 4860-2022 karta.png", "A 4860-2022")</f>
        <v/>
      </c>
      <c r="V96">
        <f>HYPERLINK("https://klasma.github.io/Logging_0188/klagomål/A 4860-2022 FSC-klagomål.docx", "A 4860-2022")</f>
        <v/>
      </c>
      <c r="W96">
        <f>HYPERLINK("https://klasma.github.io/Logging_0188/klagomålsmail/A 4860-2022 FSC-klagomål mail.docx", "A 4860-2022")</f>
        <v/>
      </c>
      <c r="X96">
        <f>HYPERLINK("https://klasma.github.io/Logging_0188/tillsyn/A 4860-2022 tillsynsbegäran.docx", "A 4860-2022")</f>
        <v/>
      </c>
      <c r="Y96">
        <f>HYPERLINK("https://klasma.github.io/Logging_0188/tillsynsmail/A 4860-2022 tillsynsbegäran mail.docx", "A 4860-2022")</f>
        <v/>
      </c>
    </row>
    <row r="97" ht="15" customHeight="1">
      <c r="A97" t="inlineStr">
        <is>
          <t>A 6381-2023</t>
        </is>
      </c>
      <c r="B97" s="1" t="n">
        <v>44965</v>
      </c>
      <c r="C97" s="1" t="n">
        <v>46025</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13291-2025</t>
        </is>
      </c>
      <c r="B98" s="1" t="n">
        <v>45735</v>
      </c>
      <c r="C98" s="1" t="n">
        <v>46025</v>
      </c>
      <c r="D98" t="inlineStr">
        <is>
          <t>STOCKHOLMS LÄN</t>
        </is>
      </c>
      <c r="E98" t="inlineStr">
        <is>
          <t>NORRTÄLJE</t>
        </is>
      </c>
      <c r="G98" t="n">
        <v>3.8</v>
      </c>
      <c r="H98" t="n">
        <v>1</v>
      </c>
      <c r="I98" t="n">
        <v>0</v>
      </c>
      <c r="J98" t="n">
        <v>0</v>
      </c>
      <c r="K98" t="n">
        <v>0</v>
      </c>
      <c r="L98" t="n">
        <v>0</v>
      </c>
      <c r="M98" t="n">
        <v>0</v>
      </c>
      <c r="N98" t="n">
        <v>0</v>
      </c>
      <c r="O98" t="n">
        <v>0</v>
      </c>
      <c r="P98" t="n">
        <v>0</v>
      </c>
      <c r="Q98" t="n">
        <v>1</v>
      </c>
      <c r="R98" s="2" t="inlineStr">
        <is>
          <t>Blåsippa</t>
        </is>
      </c>
      <c r="S98">
        <f>HYPERLINK("https://klasma.github.io/Logging_0188/artfynd/A 13291-2025 artfynd.xlsx", "A 13291-2025")</f>
        <v/>
      </c>
      <c r="T98">
        <f>HYPERLINK("https://klasma.github.io/Logging_0188/kartor/A 13291-2025 karta.png", "A 13291-2025")</f>
        <v/>
      </c>
      <c r="V98">
        <f>HYPERLINK("https://klasma.github.io/Logging_0188/klagomål/A 13291-2025 FSC-klagomål.docx", "A 13291-2025")</f>
        <v/>
      </c>
      <c r="W98">
        <f>HYPERLINK("https://klasma.github.io/Logging_0188/klagomålsmail/A 13291-2025 FSC-klagomål mail.docx", "A 13291-2025")</f>
        <v/>
      </c>
      <c r="X98">
        <f>HYPERLINK("https://klasma.github.io/Logging_0188/tillsyn/A 13291-2025 tillsynsbegäran.docx", "A 13291-2025")</f>
        <v/>
      </c>
      <c r="Y98">
        <f>HYPERLINK("https://klasma.github.io/Logging_0188/tillsynsmail/A 13291-2025 tillsynsbegäran mail.docx", "A 13291-2025")</f>
        <v/>
      </c>
    </row>
    <row r="99" ht="15" customHeight="1">
      <c r="A99" t="inlineStr">
        <is>
          <t>A 29946-2025</t>
        </is>
      </c>
      <c r="B99" s="1" t="n">
        <v>45826.46392361111</v>
      </c>
      <c r="C99" s="1" t="n">
        <v>46025</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46025</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58888-2021</t>
        </is>
      </c>
      <c r="B101" s="1" t="n">
        <v>44489</v>
      </c>
      <c r="C101" s="1" t="n">
        <v>46025</v>
      </c>
      <c r="D101" t="inlineStr">
        <is>
          <t>STOCKHOLMS LÄN</t>
        </is>
      </c>
      <c r="E101" t="inlineStr">
        <is>
          <t>NORRTÄLJE</t>
        </is>
      </c>
      <c r="F101" t="inlineStr">
        <is>
          <t>Holmen skog AB</t>
        </is>
      </c>
      <c r="G101" t="n">
        <v>2.5</v>
      </c>
      <c r="H101" t="n">
        <v>1</v>
      </c>
      <c r="I101" t="n">
        <v>0</v>
      </c>
      <c r="J101" t="n">
        <v>0</v>
      </c>
      <c r="K101" t="n">
        <v>0</v>
      </c>
      <c r="L101" t="n">
        <v>1</v>
      </c>
      <c r="M101" t="n">
        <v>0</v>
      </c>
      <c r="N101" t="n">
        <v>0</v>
      </c>
      <c r="O101" t="n">
        <v>1</v>
      </c>
      <c r="P101" t="n">
        <v>1</v>
      </c>
      <c r="Q101" t="n">
        <v>1</v>
      </c>
      <c r="R101" s="2" t="inlineStr">
        <is>
          <t>Asknätfjäril</t>
        </is>
      </c>
      <c r="S101">
        <f>HYPERLINK("https://klasma.github.io/Logging_0188/artfynd/A 58888-2021 artfynd.xlsx", "A 58888-2021")</f>
        <v/>
      </c>
      <c r="T101">
        <f>HYPERLINK("https://klasma.github.io/Logging_0188/kartor/A 58888-2021 karta.png", "A 58888-2021")</f>
        <v/>
      </c>
      <c r="V101">
        <f>HYPERLINK("https://klasma.github.io/Logging_0188/klagomål/A 58888-2021 FSC-klagomål.docx", "A 58888-2021")</f>
        <v/>
      </c>
      <c r="W101">
        <f>HYPERLINK("https://klasma.github.io/Logging_0188/klagomålsmail/A 58888-2021 FSC-klagomål mail.docx", "A 58888-2021")</f>
        <v/>
      </c>
      <c r="X101">
        <f>HYPERLINK("https://klasma.github.io/Logging_0188/tillsyn/A 58888-2021 tillsynsbegäran.docx", "A 58888-2021")</f>
        <v/>
      </c>
      <c r="Y101">
        <f>HYPERLINK("https://klasma.github.io/Logging_0188/tillsynsmail/A 58888-2021 tillsynsbegäran mail.docx", "A 58888-2021")</f>
        <v/>
      </c>
    </row>
    <row r="102" ht="15" customHeight="1">
      <c r="A102" t="inlineStr">
        <is>
          <t>A 13271-2025</t>
        </is>
      </c>
      <c r="B102" s="1" t="n">
        <v>45735.54510416667</v>
      </c>
      <c r="C102" s="1" t="n">
        <v>46025</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42313-2025</t>
        </is>
      </c>
      <c r="B103" s="1" t="n">
        <v>45904.6575</v>
      </c>
      <c r="C103" s="1" t="n">
        <v>46025</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33548-2025</t>
        </is>
      </c>
      <c r="B104" s="1" t="n">
        <v>45841.5721875</v>
      </c>
      <c r="C104" s="1" t="n">
        <v>46025</v>
      </c>
      <c r="D104" t="inlineStr">
        <is>
          <t>STOCKHOLMS LÄN</t>
        </is>
      </c>
      <c r="E104" t="inlineStr">
        <is>
          <t>NORRTÄLJE</t>
        </is>
      </c>
      <c r="G104" t="n">
        <v>12.2</v>
      </c>
      <c r="H104" t="n">
        <v>0</v>
      </c>
      <c r="I104" t="n">
        <v>0</v>
      </c>
      <c r="J104" t="n">
        <v>1</v>
      </c>
      <c r="K104" t="n">
        <v>0</v>
      </c>
      <c r="L104" t="n">
        <v>0</v>
      </c>
      <c r="M104" t="n">
        <v>0</v>
      </c>
      <c r="N104" t="n">
        <v>0</v>
      </c>
      <c r="O104" t="n">
        <v>1</v>
      </c>
      <c r="P104" t="n">
        <v>0</v>
      </c>
      <c r="Q104" t="n">
        <v>1</v>
      </c>
      <c r="R104" s="2" t="inlineStr">
        <is>
          <t>Dofttaggsvamp</t>
        </is>
      </c>
      <c r="S104">
        <f>HYPERLINK("https://klasma.github.io/Logging_0188/artfynd/A 33548-2025 artfynd.xlsx", "A 33548-2025")</f>
        <v/>
      </c>
      <c r="T104">
        <f>HYPERLINK("https://klasma.github.io/Logging_0188/kartor/A 33548-2025 karta.png", "A 33548-2025")</f>
        <v/>
      </c>
      <c r="V104">
        <f>HYPERLINK("https://klasma.github.io/Logging_0188/klagomål/A 33548-2025 FSC-klagomål.docx", "A 33548-2025")</f>
        <v/>
      </c>
      <c r="W104">
        <f>HYPERLINK("https://klasma.github.io/Logging_0188/klagomålsmail/A 33548-2025 FSC-klagomål mail.docx", "A 33548-2025")</f>
        <v/>
      </c>
      <c r="X104">
        <f>HYPERLINK("https://klasma.github.io/Logging_0188/tillsyn/A 33548-2025 tillsynsbegäran.docx", "A 33548-2025")</f>
        <v/>
      </c>
      <c r="Y104">
        <f>HYPERLINK("https://klasma.github.io/Logging_0188/tillsynsmail/A 33548-2025 tillsynsbegäran mail.docx", "A 33548-2025")</f>
        <v/>
      </c>
    </row>
    <row r="105" ht="15" customHeight="1">
      <c r="A105" t="inlineStr">
        <is>
          <t>A 33546-2025</t>
        </is>
      </c>
      <c r="B105" s="1" t="n">
        <v>45841.56996527778</v>
      </c>
      <c r="C105" s="1" t="n">
        <v>46025</v>
      </c>
      <c r="D105" t="inlineStr">
        <is>
          <t>STOCKHOLMS LÄN</t>
        </is>
      </c>
      <c r="E105" t="inlineStr">
        <is>
          <t>NORRTÄLJE</t>
        </is>
      </c>
      <c r="G105" t="n">
        <v>7.2</v>
      </c>
      <c r="H105" t="n">
        <v>1</v>
      </c>
      <c r="I105" t="n">
        <v>1</v>
      </c>
      <c r="J105" t="n">
        <v>0</v>
      </c>
      <c r="K105" t="n">
        <v>0</v>
      </c>
      <c r="L105" t="n">
        <v>0</v>
      </c>
      <c r="M105" t="n">
        <v>0</v>
      </c>
      <c r="N105" t="n">
        <v>0</v>
      </c>
      <c r="O105" t="n">
        <v>0</v>
      </c>
      <c r="P105" t="n">
        <v>0</v>
      </c>
      <c r="Q105" t="n">
        <v>1</v>
      </c>
      <c r="R105" s="2" t="inlineStr">
        <is>
          <t>Nästrot</t>
        </is>
      </c>
      <c r="S105">
        <f>HYPERLINK("https://klasma.github.io/Logging_0188/artfynd/A 33546-2025 artfynd.xlsx", "A 33546-2025")</f>
        <v/>
      </c>
      <c r="T105">
        <f>HYPERLINK("https://klasma.github.io/Logging_0188/kartor/A 33546-2025 karta.png", "A 33546-2025")</f>
        <v/>
      </c>
      <c r="V105">
        <f>HYPERLINK("https://klasma.github.io/Logging_0188/klagomål/A 33546-2025 FSC-klagomål.docx", "A 33546-2025")</f>
        <v/>
      </c>
      <c r="W105">
        <f>HYPERLINK("https://klasma.github.io/Logging_0188/klagomålsmail/A 33546-2025 FSC-klagomål mail.docx", "A 33546-2025")</f>
        <v/>
      </c>
      <c r="X105">
        <f>HYPERLINK("https://klasma.github.io/Logging_0188/tillsyn/A 33546-2025 tillsynsbegäran.docx", "A 33546-2025")</f>
        <v/>
      </c>
      <c r="Y105">
        <f>HYPERLINK("https://klasma.github.io/Logging_0188/tillsynsmail/A 33546-2025 tillsynsbegäran mail.docx", "A 33546-2025")</f>
        <v/>
      </c>
    </row>
    <row r="106" ht="15" customHeight="1">
      <c r="A106" t="inlineStr">
        <is>
          <t>A 21744-2023</t>
        </is>
      </c>
      <c r="B106" s="1" t="n">
        <v>45065</v>
      </c>
      <c r="C106" s="1" t="n">
        <v>46025</v>
      </c>
      <c r="D106" t="inlineStr">
        <is>
          <t>STOCKHOLMS LÄN</t>
        </is>
      </c>
      <c r="E106" t="inlineStr">
        <is>
          <t>NORRTÄLJE</t>
        </is>
      </c>
      <c r="F106" t="inlineStr">
        <is>
          <t>Holmen skog AB</t>
        </is>
      </c>
      <c r="G106" t="n">
        <v>4.2</v>
      </c>
      <c r="H106" t="n">
        <v>0</v>
      </c>
      <c r="I106" t="n">
        <v>1</v>
      </c>
      <c r="J106" t="n">
        <v>0</v>
      </c>
      <c r="K106" t="n">
        <v>0</v>
      </c>
      <c r="L106" t="n">
        <v>0</v>
      </c>
      <c r="M106" t="n">
        <v>0</v>
      </c>
      <c r="N106" t="n">
        <v>0</v>
      </c>
      <c r="O106" t="n">
        <v>0</v>
      </c>
      <c r="P106" t="n">
        <v>0</v>
      </c>
      <c r="Q106" t="n">
        <v>1</v>
      </c>
      <c r="R106" s="2" t="inlineStr">
        <is>
          <t>Korallblylav</t>
        </is>
      </c>
      <c r="S106">
        <f>HYPERLINK("https://klasma.github.io/Logging_0188/artfynd/A 21744-2023 artfynd.xlsx", "A 21744-2023")</f>
        <v/>
      </c>
      <c r="T106">
        <f>HYPERLINK("https://klasma.github.io/Logging_0188/kartor/A 21744-2023 karta.png", "A 21744-2023")</f>
        <v/>
      </c>
      <c r="V106">
        <f>HYPERLINK("https://klasma.github.io/Logging_0188/klagomål/A 21744-2023 FSC-klagomål.docx", "A 21744-2023")</f>
        <v/>
      </c>
      <c r="W106">
        <f>HYPERLINK("https://klasma.github.io/Logging_0188/klagomålsmail/A 21744-2023 FSC-klagomål mail.docx", "A 21744-2023")</f>
        <v/>
      </c>
      <c r="X106">
        <f>HYPERLINK("https://klasma.github.io/Logging_0188/tillsyn/A 21744-2023 tillsynsbegäran.docx", "A 21744-2023")</f>
        <v/>
      </c>
      <c r="Y106">
        <f>HYPERLINK("https://klasma.github.io/Logging_0188/tillsynsmail/A 21744-2023 tillsynsbegäran mail.docx", "A 21744-2023")</f>
        <v/>
      </c>
    </row>
    <row r="107" ht="15" customHeight="1">
      <c r="A107" t="inlineStr">
        <is>
          <t>A 17952-2022</t>
        </is>
      </c>
      <c r="B107" s="1" t="n">
        <v>44683</v>
      </c>
      <c r="C107" s="1" t="n">
        <v>46025</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39158-2025</t>
        </is>
      </c>
      <c r="B108" s="1" t="n">
        <v>45888</v>
      </c>
      <c r="C108" s="1" t="n">
        <v>46025</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23146-2024</t>
        </is>
      </c>
      <c r="B109" s="1" t="n">
        <v>45450.63958333333</v>
      </c>
      <c r="C109" s="1" t="n">
        <v>46025</v>
      </c>
      <c r="D109" t="inlineStr">
        <is>
          <t>STOCKHOLMS LÄN</t>
        </is>
      </c>
      <c r="E109" t="inlineStr">
        <is>
          <t>NORRTÄLJE</t>
        </is>
      </c>
      <c r="F109" t="inlineStr">
        <is>
          <t>Kommuner</t>
        </is>
      </c>
      <c r="G109" t="n">
        <v>6</v>
      </c>
      <c r="H109" t="n">
        <v>0</v>
      </c>
      <c r="I109" t="n">
        <v>0</v>
      </c>
      <c r="J109" t="n">
        <v>1</v>
      </c>
      <c r="K109" t="n">
        <v>0</v>
      </c>
      <c r="L109" t="n">
        <v>0</v>
      </c>
      <c r="M109" t="n">
        <v>0</v>
      </c>
      <c r="N109" t="n">
        <v>0</v>
      </c>
      <c r="O109" t="n">
        <v>1</v>
      </c>
      <c r="P109" t="n">
        <v>0</v>
      </c>
      <c r="Q109" t="n">
        <v>1</v>
      </c>
      <c r="R109" s="2" t="inlineStr">
        <is>
          <t>Motaggsvamp</t>
        </is>
      </c>
      <c r="S109">
        <f>HYPERLINK("https://klasma.github.io/Logging_0188/artfynd/A 23146-2024 artfynd.xlsx", "A 23146-2024")</f>
        <v/>
      </c>
      <c r="T109">
        <f>HYPERLINK("https://klasma.github.io/Logging_0188/kartor/A 23146-2024 karta.png", "A 23146-2024")</f>
        <v/>
      </c>
      <c r="V109">
        <f>HYPERLINK("https://klasma.github.io/Logging_0188/klagomål/A 23146-2024 FSC-klagomål.docx", "A 23146-2024")</f>
        <v/>
      </c>
      <c r="W109">
        <f>HYPERLINK("https://klasma.github.io/Logging_0188/klagomålsmail/A 23146-2024 FSC-klagomål mail.docx", "A 23146-2024")</f>
        <v/>
      </c>
      <c r="X109">
        <f>HYPERLINK("https://klasma.github.io/Logging_0188/tillsyn/A 23146-2024 tillsynsbegäran.docx", "A 23146-2024")</f>
        <v/>
      </c>
      <c r="Y109">
        <f>HYPERLINK("https://klasma.github.io/Logging_0188/tillsynsmail/A 23146-2024 tillsynsbegäran mail.docx", "A 23146-2024")</f>
        <v/>
      </c>
    </row>
    <row r="110" ht="15" customHeight="1">
      <c r="A110" t="inlineStr">
        <is>
          <t>A 27538-2024</t>
        </is>
      </c>
      <c r="B110" s="1" t="n">
        <v>45474</v>
      </c>
      <c r="C110" s="1" t="n">
        <v>46025</v>
      </c>
      <c r="D110" t="inlineStr">
        <is>
          <t>STOCKHOLMS LÄN</t>
        </is>
      </c>
      <c r="E110" t="inlineStr">
        <is>
          <t>NORRTÄLJE</t>
        </is>
      </c>
      <c r="G110" t="n">
        <v>1.5</v>
      </c>
      <c r="H110" t="n">
        <v>1</v>
      </c>
      <c r="I110" t="n">
        <v>1</v>
      </c>
      <c r="J110" t="n">
        <v>0</v>
      </c>
      <c r="K110" t="n">
        <v>0</v>
      </c>
      <c r="L110" t="n">
        <v>0</v>
      </c>
      <c r="M110" t="n">
        <v>0</v>
      </c>
      <c r="N110" t="n">
        <v>0</v>
      </c>
      <c r="O110" t="n">
        <v>0</v>
      </c>
      <c r="P110" t="n">
        <v>0</v>
      </c>
      <c r="Q110" t="n">
        <v>1</v>
      </c>
      <c r="R110" s="2" t="inlineStr">
        <is>
          <t>Skogsknipprot</t>
        </is>
      </c>
      <c r="S110">
        <f>HYPERLINK("https://klasma.github.io/Logging_0188/artfynd/A 27538-2024 artfynd.xlsx", "A 27538-2024")</f>
        <v/>
      </c>
      <c r="T110">
        <f>HYPERLINK("https://klasma.github.io/Logging_0188/kartor/A 27538-2024 karta.png", "A 27538-2024")</f>
        <v/>
      </c>
      <c r="V110">
        <f>HYPERLINK("https://klasma.github.io/Logging_0188/klagomål/A 27538-2024 FSC-klagomål.docx", "A 27538-2024")</f>
        <v/>
      </c>
      <c r="W110">
        <f>HYPERLINK("https://klasma.github.io/Logging_0188/klagomålsmail/A 27538-2024 FSC-klagomål mail.docx", "A 27538-2024")</f>
        <v/>
      </c>
      <c r="X110">
        <f>HYPERLINK("https://klasma.github.io/Logging_0188/tillsyn/A 27538-2024 tillsynsbegäran.docx", "A 27538-2024")</f>
        <v/>
      </c>
      <c r="Y110">
        <f>HYPERLINK("https://klasma.github.io/Logging_0188/tillsynsmail/A 27538-2024 tillsynsbegäran mail.docx", "A 27538-2024")</f>
        <v/>
      </c>
    </row>
    <row r="111" ht="15" customHeight="1">
      <c r="A111" t="inlineStr">
        <is>
          <t>A 4385-2023</t>
        </is>
      </c>
      <c r="B111" s="1" t="n">
        <v>44955.71322916666</v>
      </c>
      <c r="C111" s="1" t="n">
        <v>46025</v>
      </c>
      <c r="D111" t="inlineStr">
        <is>
          <t>STOCKHOLMS LÄN</t>
        </is>
      </c>
      <c r="E111" t="inlineStr">
        <is>
          <t>NORRTÄLJE</t>
        </is>
      </c>
      <c r="G111" t="n">
        <v>7.8</v>
      </c>
      <c r="H111" t="n">
        <v>1</v>
      </c>
      <c r="I111" t="n">
        <v>1</v>
      </c>
      <c r="J111" t="n">
        <v>0</v>
      </c>
      <c r="K111" t="n">
        <v>0</v>
      </c>
      <c r="L111" t="n">
        <v>0</v>
      </c>
      <c r="M111" t="n">
        <v>0</v>
      </c>
      <c r="N111" t="n">
        <v>0</v>
      </c>
      <c r="O111" t="n">
        <v>0</v>
      </c>
      <c r="P111" t="n">
        <v>0</v>
      </c>
      <c r="Q111" t="n">
        <v>1</v>
      </c>
      <c r="R111" s="2" t="inlineStr">
        <is>
          <t>Skogsknipprot</t>
        </is>
      </c>
      <c r="S111">
        <f>HYPERLINK("https://klasma.github.io/Logging_0188/artfynd/A 4385-2023 artfynd.xlsx", "A 4385-2023")</f>
        <v/>
      </c>
      <c r="T111">
        <f>HYPERLINK("https://klasma.github.io/Logging_0188/kartor/A 4385-2023 karta.png", "A 4385-2023")</f>
        <v/>
      </c>
      <c r="V111">
        <f>HYPERLINK("https://klasma.github.io/Logging_0188/klagomål/A 4385-2023 FSC-klagomål.docx", "A 4385-2023")</f>
        <v/>
      </c>
      <c r="W111">
        <f>HYPERLINK("https://klasma.github.io/Logging_0188/klagomålsmail/A 4385-2023 FSC-klagomål mail.docx", "A 4385-2023")</f>
        <v/>
      </c>
      <c r="X111">
        <f>HYPERLINK("https://klasma.github.io/Logging_0188/tillsyn/A 4385-2023 tillsynsbegäran.docx", "A 4385-2023")</f>
        <v/>
      </c>
      <c r="Y111">
        <f>HYPERLINK("https://klasma.github.io/Logging_0188/tillsynsmail/A 4385-2023 tillsynsbegäran mail.docx", "A 4385-2023")</f>
        <v/>
      </c>
    </row>
    <row r="112" ht="15" customHeight="1">
      <c r="A112" t="inlineStr">
        <is>
          <t>A 24330-2023</t>
        </is>
      </c>
      <c r="B112" s="1" t="n">
        <v>45081</v>
      </c>
      <c r="C112" s="1" t="n">
        <v>46025</v>
      </c>
      <c r="D112" t="inlineStr">
        <is>
          <t>STOCKHOLMS LÄN</t>
        </is>
      </c>
      <c r="E112" t="inlineStr">
        <is>
          <t>NORRTÄLJE</t>
        </is>
      </c>
      <c r="G112" t="n">
        <v>5</v>
      </c>
      <c r="H112" t="n">
        <v>1</v>
      </c>
      <c r="I112" t="n">
        <v>0</v>
      </c>
      <c r="J112" t="n">
        <v>1</v>
      </c>
      <c r="K112" t="n">
        <v>0</v>
      </c>
      <c r="L112" t="n">
        <v>0</v>
      </c>
      <c r="M112" t="n">
        <v>0</v>
      </c>
      <c r="N112" t="n">
        <v>0</v>
      </c>
      <c r="O112" t="n">
        <v>1</v>
      </c>
      <c r="P112" t="n">
        <v>0</v>
      </c>
      <c r="Q112" t="n">
        <v>1</v>
      </c>
      <c r="R112" s="2" t="inlineStr">
        <is>
          <t>Mindre hackspett</t>
        </is>
      </c>
      <c r="S112">
        <f>HYPERLINK("https://klasma.github.io/Logging_0188/artfynd/A 24330-2023 artfynd.xlsx", "A 24330-2023")</f>
        <v/>
      </c>
      <c r="T112">
        <f>HYPERLINK("https://klasma.github.io/Logging_0188/kartor/A 24330-2023 karta.png", "A 24330-2023")</f>
        <v/>
      </c>
      <c r="V112">
        <f>HYPERLINK("https://klasma.github.io/Logging_0188/klagomål/A 24330-2023 FSC-klagomål.docx", "A 24330-2023")</f>
        <v/>
      </c>
      <c r="W112">
        <f>HYPERLINK("https://klasma.github.io/Logging_0188/klagomålsmail/A 24330-2023 FSC-klagomål mail.docx", "A 24330-2023")</f>
        <v/>
      </c>
      <c r="X112">
        <f>HYPERLINK("https://klasma.github.io/Logging_0188/tillsyn/A 24330-2023 tillsynsbegäran.docx", "A 24330-2023")</f>
        <v/>
      </c>
      <c r="Y112">
        <f>HYPERLINK("https://klasma.github.io/Logging_0188/tillsynsmail/A 24330-2023 tillsynsbegäran mail.docx", "A 24330-2023")</f>
        <v/>
      </c>
      <c r="Z112">
        <f>HYPERLINK("https://klasma.github.io/Logging_0188/fåglar/A 24330-2023 prioriterade fågelarter.docx", "A 24330-2023")</f>
        <v/>
      </c>
    </row>
    <row r="113" ht="15" customHeight="1">
      <c r="A113" t="inlineStr">
        <is>
          <t>A 24535-2023</t>
        </is>
      </c>
      <c r="B113" s="1" t="n">
        <v>45082</v>
      </c>
      <c r="C113" s="1" t="n">
        <v>46025</v>
      </c>
      <c r="D113" t="inlineStr">
        <is>
          <t>STOCKHOLMS LÄN</t>
        </is>
      </c>
      <c r="E113" t="inlineStr">
        <is>
          <t>NORRTÄLJE</t>
        </is>
      </c>
      <c r="F113" t="inlineStr">
        <is>
          <t>Kommuner</t>
        </is>
      </c>
      <c r="G113" t="n">
        <v>2</v>
      </c>
      <c r="H113" t="n">
        <v>1</v>
      </c>
      <c r="I113" t="n">
        <v>0</v>
      </c>
      <c r="J113" t="n">
        <v>0</v>
      </c>
      <c r="K113" t="n">
        <v>0</v>
      </c>
      <c r="L113" t="n">
        <v>0</v>
      </c>
      <c r="M113" t="n">
        <v>0</v>
      </c>
      <c r="N113" t="n">
        <v>0</v>
      </c>
      <c r="O113" t="n">
        <v>0</v>
      </c>
      <c r="P113" t="n">
        <v>0</v>
      </c>
      <c r="Q113" t="n">
        <v>1</v>
      </c>
      <c r="R113" s="2" t="inlineStr">
        <is>
          <t>Blåsippa</t>
        </is>
      </c>
      <c r="S113">
        <f>HYPERLINK("https://klasma.github.io/Logging_0188/artfynd/A 24535-2023 artfynd.xlsx", "A 24535-2023")</f>
        <v/>
      </c>
      <c r="T113">
        <f>HYPERLINK("https://klasma.github.io/Logging_0188/kartor/A 24535-2023 karta.png", "A 24535-2023")</f>
        <v/>
      </c>
      <c r="V113">
        <f>HYPERLINK("https://klasma.github.io/Logging_0188/klagomål/A 24535-2023 FSC-klagomål.docx", "A 24535-2023")</f>
        <v/>
      </c>
      <c r="W113">
        <f>HYPERLINK("https://klasma.github.io/Logging_0188/klagomålsmail/A 24535-2023 FSC-klagomål mail.docx", "A 24535-2023")</f>
        <v/>
      </c>
      <c r="X113">
        <f>HYPERLINK("https://klasma.github.io/Logging_0188/tillsyn/A 24535-2023 tillsynsbegäran.docx", "A 24535-2023")</f>
        <v/>
      </c>
      <c r="Y113">
        <f>HYPERLINK("https://klasma.github.io/Logging_0188/tillsynsmail/A 24535-2023 tillsynsbegäran mail.docx", "A 24535-2023")</f>
        <v/>
      </c>
    </row>
    <row r="114" ht="15" customHeight="1">
      <c r="A114" t="inlineStr">
        <is>
          <t>A 59682-2025</t>
        </is>
      </c>
      <c r="B114" s="1" t="n">
        <v>45992.47116898148</v>
      </c>
      <c r="C114" s="1" t="n">
        <v>46025</v>
      </c>
      <c r="D114" t="inlineStr">
        <is>
          <t>STOCKHOLMS LÄN</t>
        </is>
      </c>
      <c r="E114" t="inlineStr">
        <is>
          <t>NORRTÄLJE</t>
        </is>
      </c>
      <c r="G114" t="n">
        <v>1.6</v>
      </c>
      <c r="H114" t="n">
        <v>0</v>
      </c>
      <c r="I114" t="n">
        <v>1</v>
      </c>
      <c r="J114" t="n">
        <v>0</v>
      </c>
      <c r="K114" t="n">
        <v>0</v>
      </c>
      <c r="L114" t="n">
        <v>0</v>
      </c>
      <c r="M114" t="n">
        <v>0</v>
      </c>
      <c r="N114" t="n">
        <v>0</v>
      </c>
      <c r="O114" t="n">
        <v>0</v>
      </c>
      <c r="P114" t="n">
        <v>0</v>
      </c>
      <c r="Q114" t="n">
        <v>1</v>
      </c>
      <c r="R114" s="2" t="inlineStr">
        <is>
          <t>Grönpyrola</t>
        </is>
      </c>
      <c r="S114">
        <f>HYPERLINK("https://klasma.github.io/Logging_0188/artfynd/A 59682-2025 artfynd.xlsx", "A 59682-2025")</f>
        <v/>
      </c>
      <c r="T114">
        <f>HYPERLINK("https://klasma.github.io/Logging_0188/kartor/A 59682-2025 karta.png", "A 59682-2025")</f>
        <v/>
      </c>
      <c r="V114">
        <f>HYPERLINK("https://klasma.github.io/Logging_0188/klagomål/A 59682-2025 FSC-klagomål.docx", "A 59682-2025")</f>
        <v/>
      </c>
      <c r="W114">
        <f>HYPERLINK("https://klasma.github.io/Logging_0188/klagomålsmail/A 59682-2025 FSC-klagomål mail.docx", "A 59682-2025")</f>
        <v/>
      </c>
      <c r="X114">
        <f>HYPERLINK("https://klasma.github.io/Logging_0188/tillsyn/A 59682-2025 tillsynsbegäran.docx", "A 59682-2025")</f>
        <v/>
      </c>
      <c r="Y114">
        <f>HYPERLINK("https://klasma.github.io/Logging_0188/tillsynsmail/A 59682-2025 tillsynsbegäran mail.docx", "A 59682-2025")</f>
        <v/>
      </c>
    </row>
    <row r="115" ht="15" customHeight="1">
      <c r="A115" t="inlineStr">
        <is>
          <t>A 8371-2025</t>
        </is>
      </c>
      <c r="B115" s="1" t="n">
        <v>45708</v>
      </c>
      <c r="C115" s="1" t="n">
        <v>46025</v>
      </c>
      <c r="D115" t="inlineStr">
        <is>
          <t>STOCKHOLMS LÄN</t>
        </is>
      </c>
      <c r="E115" t="inlineStr">
        <is>
          <t>NORRTÄLJE</t>
        </is>
      </c>
      <c r="F115" t="inlineStr">
        <is>
          <t>Övriga Aktiebolag</t>
        </is>
      </c>
      <c r="G115" t="n">
        <v>2.9</v>
      </c>
      <c r="H115" t="n">
        <v>1</v>
      </c>
      <c r="I115" t="n">
        <v>0</v>
      </c>
      <c r="J115" t="n">
        <v>1</v>
      </c>
      <c r="K115" t="n">
        <v>0</v>
      </c>
      <c r="L115" t="n">
        <v>0</v>
      </c>
      <c r="M115" t="n">
        <v>0</v>
      </c>
      <c r="N115" t="n">
        <v>0</v>
      </c>
      <c r="O115" t="n">
        <v>1</v>
      </c>
      <c r="P115" t="n">
        <v>0</v>
      </c>
      <c r="Q115" t="n">
        <v>1</v>
      </c>
      <c r="R115" s="2" t="inlineStr">
        <is>
          <t>Spillkråka</t>
        </is>
      </c>
      <c r="S115">
        <f>HYPERLINK("https://klasma.github.io/Logging_0188/artfynd/A 8371-2025 artfynd.xlsx", "A 8371-2025")</f>
        <v/>
      </c>
      <c r="T115">
        <f>HYPERLINK("https://klasma.github.io/Logging_0188/kartor/A 8371-2025 karta.png", "A 8371-2025")</f>
        <v/>
      </c>
      <c r="V115">
        <f>HYPERLINK("https://klasma.github.io/Logging_0188/klagomål/A 8371-2025 FSC-klagomål.docx", "A 8371-2025")</f>
        <v/>
      </c>
      <c r="W115">
        <f>HYPERLINK("https://klasma.github.io/Logging_0188/klagomålsmail/A 8371-2025 FSC-klagomål mail.docx", "A 8371-2025")</f>
        <v/>
      </c>
      <c r="X115">
        <f>HYPERLINK("https://klasma.github.io/Logging_0188/tillsyn/A 8371-2025 tillsynsbegäran.docx", "A 8371-2025")</f>
        <v/>
      </c>
      <c r="Y115">
        <f>HYPERLINK("https://klasma.github.io/Logging_0188/tillsynsmail/A 8371-2025 tillsynsbegäran mail.docx", "A 8371-2025")</f>
        <v/>
      </c>
      <c r="Z115">
        <f>HYPERLINK("https://klasma.github.io/Logging_0188/fåglar/A 8371-2025 prioriterade fågelarter.docx", "A 8371-2025")</f>
        <v/>
      </c>
    </row>
    <row r="116" ht="15" customHeight="1">
      <c r="A116" t="inlineStr">
        <is>
          <t>A 26635-2023</t>
        </is>
      </c>
      <c r="B116" s="1" t="n">
        <v>45092</v>
      </c>
      <c r="C116" s="1" t="n">
        <v>46025</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19829-2022</t>
        </is>
      </c>
      <c r="B117" s="1" t="n">
        <v>44695.43527777777</v>
      </c>
      <c r="C117" s="1" t="n">
        <v>46025</v>
      </c>
      <c r="D117" t="inlineStr">
        <is>
          <t>STOCKHOLMS LÄN</t>
        </is>
      </c>
      <c r="E117" t="inlineStr">
        <is>
          <t>NORRTÄLJE</t>
        </is>
      </c>
      <c r="G117" t="n">
        <v>2</v>
      </c>
      <c r="H117" t="n">
        <v>1</v>
      </c>
      <c r="I117" t="n">
        <v>1</v>
      </c>
      <c r="J117" t="n">
        <v>0</v>
      </c>
      <c r="K117" t="n">
        <v>0</v>
      </c>
      <c r="L117" t="n">
        <v>0</v>
      </c>
      <c r="M117" t="n">
        <v>0</v>
      </c>
      <c r="N117" t="n">
        <v>0</v>
      </c>
      <c r="O117" t="n">
        <v>0</v>
      </c>
      <c r="P117" t="n">
        <v>0</v>
      </c>
      <c r="Q117" t="n">
        <v>1</v>
      </c>
      <c r="R117" s="2" t="inlineStr">
        <is>
          <t>Guckusko</t>
        </is>
      </c>
      <c r="S117">
        <f>HYPERLINK("https://klasma.github.io/Logging_0188/artfynd/A 19829-2022 artfynd.xlsx", "A 19829-2022")</f>
        <v/>
      </c>
      <c r="T117">
        <f>HYPERLINK("https://klasma.github.io/Logging_0188/kartor/A 19829-2022 karta.png", "A 19829-2022")</f>
        <v/>
      </c>
      <c r="V117">
        <f>HYPERLINK("https://klasma.github.io/Logging_0188/klagomål/A 19829-2022 FSC-klagomål.docx", "A 19829-2022")</f>
        <v/>
      </c>
      <c r="W117">
        <f>HYPERLINK("https://klasma.github.io/Logging_0188/klagomålsmail/A 19829-2022 FSC-klagomål mail.docx", "A 19829-2022")</f>
        <v/>
      </c>
      <c r="X117">
        <f>HYPERLINK("https://klasma.github.io/Logging_0188/tillsyn/A 19829-2022 tillsynsbegäran.docx", "A 19829-2022")</f>
        <v/>
      </c>
      <c r="Y117">
        <f>HYPERLINK("https://klasma.github.io/Logging_0188/tillsynsmail/A 19829-2022 tillsynsbegäran mail.docx", "A 19829-2022")</f>
        <v/>
      </c>
    </row>
    <row r="118" ht="15" customHeight="1">
      <c r="A118" t="inlineStr">
        <is>
          <t>A 52775-2025</t>
        </is>
      </c>
      <c r="B118" s="1" t="n">
        <v>45957.41608796296</v>
      </c>
      <c r="C118" s="1" t="n">
        <v>46025</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35691-2023</t>
        </is>
      </c>
      <c r="B119" s="1" t="n">
        <v>45147.65222222222</v>
      </c>
      <c r="C119" s="1" t="n">
        <v>46025</v>
      </c>
      <c r="D119" t="inlineStr">
        <is>
          <t>STOCKHOLMS LÄN</t>
        </is>
      </c>
      <c r="E119" t="inlineStr">
        <is>
          <t>NORRTÄLJE</t>
        </is>
      </c>
      <c r="G119" t="n">
        <v>2.3</v>
      </c>
      <c r="H119" t="n">
        <v>1</v>
      </c>
      <c r="I119" t="n">
        <v>0</v>
      </c>
      <c r="J119" t="n">
        <v>0</v>
      </c>
      <c r="K119" t="n">
        <v>0</v>
      </c>
      <c r="L119" t="n">
        <v>0</v>
      </c>
      <c r="M119" t="n">
        <v>0</v>
      </c>
      <c r="N119" t="n">
        <v>0</v>
      </c>
      <c r="O119" t="n">
        <v>0</v>
      </c>
      <c r="P119" t="n">
        <v>0</v>
      </c>
      <c r="Q119" t="n">
        <v>1</v>
      </c>
      <c r="R119" s="2" t="inlineStr">
        <is>
          <t>Kungsfågel</t>
        </is>
      </c>
      <c r="S119">
        <f>HYPERLINK("https://klasma.github.io/Logging_0188/artfynd/A 35691-2023 artfynd.xlsx", "A 35691-2023")</f>
        <v/>
      </c>
      <c r="T119">
        <f>HYPERLINK("https://klasma.github.io/Logging_0188/kartor/A 35691-2023 karta.png", "A 35691-2023")</f>
        <v/>
      </c>
      <c r="V119">
        <f>HYPERLINK("https://klasma.github.io/Logging_0188/klagomål/A 35691-2023 FSC-klagomål.docx", "A 35691-2023")</f>
        <v/>
      </c>
      <c r="W119">
        <f>HYPERLINK("https://klasma.github.io/Logging_0188/klagomålsmail/A 35691-2023 FSC-klagomål mail.docx", "A 35691-2023")</f>
        <v/>
      </c>
      <c r="X119">
        <f>HYPERLINK("https://klasma.github.io/Logging_0188/tillsyn/A 35691-2023 tillsynsbegäran.docx", "A 35691-2023")</f>
        <v/>
      </c>
      <c r="Y119">
        <f>HYPERLINK("https://klasma.github.io/Logging_0188/tillsynsmail/A 35691-2023 tillsynsbegäran mail.docx", "A 35691-2023")</f>
        <v/>
      </c>
      <c r="Z119">
        <f>HYPERLINK("https://klasma.github.io/Logging_0188/fåglar/A 35691-2023 prioriterade fågelarter.docx", "A 35691-2023")</f>
        <v/>
      </c>
    </row>
    <row r="120" ht="15" customHeight="1">
      <c r="A120" t="inlineStr">
        <is>
          <t>A 35693-2023</t>
        </is>
      </c>
      <c r="B120" s="1" t="n">
        <v>45147.65311342593</v>
      </c>
      <c r="C120" s="1" t="n">
        <v>46025</v>
      </c>
      <c r="D120" t="inlineStr">
        <is>
          <t>STOCKHOLMS LÄN</t>
        </is>
      </c>
      <c r="E120" t="inlineStr">
        <is>
          <t>NORRTÄLJE</t>
        </is>
      </c>
      <c r="G120" t="n">
        <v>2.2</v>
      </c>
      <c r="H120" t="n">
        <v>0</v>
      </c>
      <c r="I120" t="n">
        <v>0</v>
      </c>
      <c r="J120" t="n">
        <v>1</v>
      </c>
      <c r="K120" t="n">
        <v>0</v>
      </c>
      <c r="L120" t="n">
        <v>0</v>
      </c>
      <c r="M120" t="n">
        <v>0</v>
      </c>
      <c r="N120" t="n">
        <v>0</v>
      </c>
      <c r="O120" t="n">
        <v>1</v>
      </c>
      <c r="P120" t="n">
        <v>0</v>
      </c>
      <c r="Q120" t="n">
        <v>1</v>
      </c>
      <c r="R120" s="2" t="inlineStr">
        <is>
          <t>Motaggsvamp</t>
        </is>
      </c>
      <c r="S120">
        <f>HYPERLINK("https://klasma.github.io/Logging_0188/artfynd/A 35693-2023 artfynd.xlsx", "A 35693-2023")</f>
        <v/>
      </c>
      <c r="T120">
        <f>HYPERLINK("https://klasma.github.io/Logging_0188/kartor/A 35693-2023 karta.png", "A 35693-2023")</f>
        <v/>
      </c>
      <c r="V120">
        <f>HYPERLINK("https://klasma.github.io/Logging_0188/klagomål/A 35693-2023 FSC-klagomål.docx", "A 35693-2023")</f>
        <v/>
      </c>
      <c r="W120">
        <f>HYPERLINK("https://klasma.github.io/Logging_0188/klagomålsmail/A 35693-2023 FSC-klagomål mail.docx", "A 35693-2023")</f>
        <v/>
      </c>
      <c r="X120">
        <f>HYPERLINK("https://klasma.github.io/Logging_0188/tillsyn/A 35693-2023 tillsynsbegäran.docx", "A 35693-2023")</f>
        <v/>
      </c>
      <c r="Y120">
        <f>HYPERLINK("https://klasma.github.io/Logging_0188/tillsynsmail/A 35693-2023 tillsynsbegäran mail.docx", "A 35693-2023")</f>
        <v/>
      </c>
    </row>
    <row r="121" ht="15" customHeight="1">
      <c r="A121" t="inlineStr">
        <is>
          <t>A 53716-2025</t>
        </is>
      </c>
      <c r="B121" s="1" t="n">
        <v>45960.61782407408</v>
      </c>
      <c r="C121" s="1" t="n">
        <v>46025</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16870-2025</t>
        </is>
      </c>
      <c r="B122" s="1" t="n">
        <v>45754</v>
      </c>
      <c r="C122" s="1" t="n">
        <v>46025</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62715-2025</t>
        </is>
      </c>
      <c r="B123" s="1" t="n">
        <v>46008.52034722222</v>
      </c>
      <c r="C123" s="1" t="n">
        <v>46025</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46025</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4532-2025</t>
        </is>
      </c>
      <c r="B125" s="1" t="n">
        <v>45687.34177083334</v>
      </c>
      <c r="C125" s="1" t="n">
        <v>46025</v>
      </c>
      <c r="D125" t="inlineStr">
        <is>
          <t>STOCKHOLMS LÄN</t>
        </is>
      </c>
      <c r="E125" t="inlineStr">
        <is>
          <t>NORRTÄLJE</t>
        </is>
      </c>
      <c r="F125" t="inlineStr">
        <is>
          <t>Holmen skog AB</t>
        </is>
      </c>
      <c r="G125" t="n">
        <v>6.4</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4532-2025 artfynd.xlsx", "A 4532-2025")</f>
        <v/>
      </c>
      <c r="T125">
        <f>HYPERLINK("https://klasma.github.io/Logging_0188/kartor/A 4532-2025 karta.png", "A 4532-2025")</f>
        <v/>
      </c>
      <c r="V125">
        <f>HYPERLINK("https://klasma.github.io/Logging_0188/klagomål/A 4532-2025 FSC-klagomål.docx", "A 4532-2025")</f>
        <v/>
      </c>
      <c r="W125">
        <f>HYPERLINK("https://klasma.github.io/Logging_0188/klagomålsmail/A 4532-2025 FSC-klagomål mail.docx", "A 4532-2025")</f>
        <v/>
      </c>
      <c r="X125">
        <f>HYPERLINK("https://klasma.github.io/Logging_0188/tillsyn/A 4532-2025 tillsynsbegäran.docx", "A 4532-2025")</f>
        <v/>
      </c>
      <c r="Y125">
        <f>HYPERLINK("https://klasma.github.io/Logging_0188/tillsynsmail/A 4532-2025 tillsynsbegäran mail.docx", "A 4532-2025")</f>
        <v/>
      </c>
    </row>
    <row r="126" ht="15" customHeight="1">
      <c r="A126" t="inlineStr">
        <is>
          <t>A 14365-2025</t>
        </is>
      </c>
      <c r="B126" s="1" t="n">
        <v>45741.38688657407</v>
      </c>
      <c r="C126" s="1" t="n">
        <v>46025</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21150-2022</t>
        </is>
      </c>
      <c r="B127" s="1" t="n">
        <v>44704</v>
      </c>
      <c r="C127" s="1" t="n">
        <v>46025</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1162-2021</t>
        </is>
      </c>
      <c r="B128" s="1" t="n">
        <v>44207</v>
      </c>
      <c r="C128" s="1" t="n">
        <v>46025</v>
      </c>
      <c r="D128" t="inlineStr">
        <is>
          <t>STOCKHOLMS LÄN</t>
        </is>
      </c>
      <c r="E128" t="inlineStr">
        <is>
          <t>NORRTÄLJE</t>
        </is>
      </c>
      <c r="G128" t="n">
        <v>2.2</v>
      </c>
      <c r="H128" t="n">
        <v>1</v>
      </c>
      <c r="I128" t="n">
        <v>0</v>
      </c>
      <c r="J128" t="n">
        <v>0</v>
      </c>
      <c r="K128" t="n">
        <v>1</v>
      </c>
      <c r="L128" t="n">
        <v>0</v>
      </c>
      <c r="M128" t="n">
        <v>0</v>
      </c>
      <c r="N128" t="n">
        <v>0</v>
      </c>
      <c r="O128" t="n">
        <v>1</v>
      </c>
      <c r="P128" t="n">
        <v>1</v>
      </c>
      <c r="Q128" t="n">
        <v>1</v>
      </c>
      <c r="R128" s="2" t="inlineStr">
        <is>
          <t>Hällebräcka</t>
        </is>
      </c>
      <c r="S128">
        <f>HYPERLINK("https://klasma.github.io/Logging_0188/artfynd/A 1162-2021 artfynd.xlsx", "A 1162-2021")</f>
        <v/>
      </c>
      <c r="T128">
        <f>HYPERLINK("https://klasma.github.io/Logging_0188/kartor/A 1162-2021 karta.png", "A 1162-2021")</f>
        <v/>
      </c>
      <c r="V128">
        <f>HYPERLINK("https://klasma.github.io/Logging_0188/klagomål/A 1162-2021 FSC-klagomål.docx", "A 1162-2021")</f>
        <v/>
      </c>
      <c r="W128">
        <f>HYPERLINK("https://klasma.github.io/Logging_0188/klagomålsmail/A 1162-2021 FSC-klagomål mail.docx", "A 1162-2021")</f>
        <v/>
      </c>
      <c r="X128">
        <f>HYPERLINK("https://klasma.github.io/Logging_0188/tillsyn/A 1162-2021 tillsynsbegäran.docx", "A 1162-2021")</f>
        <v/>
      </c>
      <c r="Y128">
        <f>HYPERLINK("https://klasma.github.io/Logging_0188/tillsynsmail/A 1162-2021 tillsynsbegäran mail.docx", "A 1162-2021")</f>
        <v/>
      </c>
    </row>
    <row r="129" ht="15" customHeight="1">
      <c r="A129" t="inlineStr">
        <is>
          <t>A 26120-2024</t>
        </is>
      </c>
      <c r="B129" s="1" t="n">
        <v>45468.45995370371</v>
      </c>
      <c r="C129" s="1" t="n">
        <v>46025</v>
      </c>
      <c r="D129" t="inlineStr">
        <is>
          <t>STOCKHOLMS LÄN</t>
        </is>
      </c>
      <c r="E129" t="inlineStr">
        <is>
          <t>NORRTÄLJE</t>
        </is>
      </c>
      <c r="G129" t="n">
        <v>1.8</v>
      </c>
      <c r="H129" t="n">
        <v>0</v>
      </c>
      <c r="I129" t="n">
        <v>0</v>
      </c>
      <c r="J129" t="n">
        <v>1</v>
      </c>
      <c r="K129" t="n">
        <v>0</v>
      </c>
      <c r="L129" t="n">
        <v>0</v>
      </c>
      <c r="M129" t="n">
        <v>0</v>
      </c>
      <c r="N129" t="n">
        <v>0</v>
      </c>
      <c r="O129" t="n">
        <v>1</v>
      </c>
      <c r="P129" t="n">
        <v>0</v>
      </c>
      <c r="Q129" t="n">
        <v>1</v>
      </c>
      <c r="R129" s="2" t="inlineStr">
        <is>
          <t>Majviva</t>
        </is>
      </c>
      <c r="S129">
        <f>HYPERLINK("https://klasma.github.io/Logging_0188/artfynd/A 26120-2024 artfynd.xlsx", "A 26120-2024")</f>
        <v/>
      </c>
      <c r="T129">
        <f>HYPERLINK("https://klasma.github.io/Logging_0188/kartor/A 26120-2024 karta.png", "A 26120-2024")</f>
        <v/>
      </c>
      <c r="V129">
        <f>HYPERLINK("https://klasma.github.io/Logging_0188/klagomål/A 26120-2024 FSC-klagomål.docx", "A 26120-2024")</f>
        <v/>
      </c>
      <c r="W129">
        <f>HYPERLINK("https://klasma.github.io/Logging_0188/klagomålsmail/A 26120-2024 FSC-klagomål mail.docx", "A 26120-2024")</f>
        <v/>
      </c>
      <c r="X129">
        <f>HYPERLINK("https://klasma.github.io/Logging_0188/tillsyn/A 26120-2024 tillsynsbegäran.docx", "A 26120-2024")</f>
        <v/>
      </c>
      <c r="Y129">
        <f>HYPERLINK("https://klasma.github.io/Logging_0188/tillsynsmail/A 26120-2024 tillsynsbegäran mail.docx", "A 26120-2024")</f>
        <v/>
      </c>
    </row>
    <row r="130" ht="15" customHeight="1">
      <c r="A130" t="inlineStr">
        <is>
          <t>A 11429-2023</t>
        </is>
      </c>
      <c r="B130" s="1" t="n">
        <v>44993</v>
      </c>
      <c r="C130" s="1" t="n">
        <v>46025</v>
      </c>
      <c r="D130" t="inlineStr">
        <is>
          <t>STOCKHOLMS LÄN</t>
        </is>
      </c>
      <c r="E130" t="inlineStr">
        <is>
          <t>NORRTÄLJE</t>
        </is>
      </c>
      <c r="G130" t="n">
        <v>2</v>
      </c>
      <c r="H130" t="n">
        <v>0</v>
      </c>
      <c r="I130" t="n">
        <v>0</v>
      </c>
      <c r="J130" t="n">
        <v>1</v>
      </c>
      <c r="K130" t="n">
        <v>0</v>
      </c>
      <c r="L130" t="n">
        <v>0</v>
      </c>
      <c r="M130" t="n">
        <v>0</v>
      </c>
      <c r="N130" t="n">
        <v>0</v>
      </c>
      <c r="O130" t="n">
        <v>1</v>
      </c>
      <c r="P130" t="n">
        <v>0</v>
      </c>
      <c r="Q130" t="n">
        <v>1</v>
      </c>
      <c r="R130" s="2" t="inlineStr">
        <is>
          <t>Skogsklocka</t>
        </is>
      </c>
      <c r="S130">
        <f>HYPERLINK("https://klasma.github.io/Logging_0188/artfynd/A 11429-2023 artfynd.xlsx", "A 11429-2023")</f>
        <v/>
      </c>
      <c r="T130">
        <f>HYPERLINK("https://klasma.github.io/Logging_0188/kartor/A 11429-2023 karta.png", "A 11429-2023")</f>
        <v/>
      </c>
      <c r="V130">
        <f>HYPERLINK("https://klasma.github.io/Logging_0188/klagomål/A 11429-2023 FSC-klagomål.docx", "A 11429-2023")</f>
        <v/>
      </c>
      <c r="W130">
        <f>HYPERLINK("https://klasma.github.io/Logging_0188/klagomålsmail/A 11429-2023 FSC-klagomål mail.docx", "A 11429-2023")</f>
        <v/>
      </c>
      <c r="X130">
        <f>HYPERLINK("https://klasma.github.io/Logging_0188/tillsyn/A 11429-2023 tillsynsbegäran.docx", "A 11429-2023")</f>
        <v/>
      </c>
      <c r="Y130">
        <f>HYPERLINK("https://klasma.github.io/Logging_0188/tillsynsmail/A 11429-2023 tillsynsbegäran mail.docx", "A 11429-2023")</f>
        <v/>
      </c>
    </row>
    <row r="131" ht="15" customHeight="1">
      <c r="A131" t="inlineStr">
        <is>
          <t>A 50854-2022</t>
        </is>
      </c>
      <c r="B131" s="1" t="n">
        <v>44863</v>
      </c>
      <c r="C131" s="1" t="n">
        <v>46025</v>
      </c>
      <c r="D131" t="inlineStr">
        <is>
          <t>STOCKHOLMS LÄN</t>
        </is>
      </c>
      <c r="E131" t="inlineStr">
        <is>
          <t>NORRTÄLJE</t>
        </is>
      </c>
      <c r="G131" t="n">
        <v>2.9</v>
      </c>
      <c r="H131" t="n">
        <v>0</v>
      </c>
      <c r="I131" t="n">
        <v>1</v>
      </c>
      <c r="J131" t="n">
        <v>0</v>
      </c>
      <c r="K131" t="n">
        <v>0</v>
      </c>
      <c r="L131" t="n">
        <v>0</v>
      </c>
      <c r="M131" t="n">
        <v>0</v>
      </c>
      <c r="N131" t="n">
        <v>0</v>
      </c>
      <c r="O131" t="n">
        <v>0</v>
      </c>
      <c r="P131" t="n">
        <v>0</v>
      </c>
      <c r="Q131" t="n">
        <v>1</v>
      </c>
      <c r="R131" s="2" t="inlineStr">
        <is>
          <t>Tibast</t>
        </is>
      </c>
      <c r="S131">
        <f>HYPERLINK("https://klasma.github.io/Logging_0188/artfynd/A 50854-2022 artfynd.xlsx", "A 50854-2022")</f>
        <v/>
      </c>
      <c r="T131">
        <f>HYPERLINK("https://klasma.github.io/Logging_0188/kartor/A 50854-2022 karta.png", "A 50854-2022")</f>
        <v/>
      </c>
      <c r="V131">
        <f>HYPERLINK("https://klasma.github.io/Logging_0188/klagomål/A 50854-2022 FSC-klagomål.docx", "A 50854-2022")</f>
        <v/>
      </c>
      <c r="W131">
        <f>HYPERLINK("https://klasma.github.io/Logging_0188/klagomålsmail/A 50854-2022 FSC-klagomål mail.docx", "A 50854-2022")</f>
        <v/>
      </c>
      <c r="X131">
        <f>HYPERLINK("https://klasma.github.io/Logging_0188/tillsyn/A 50854-2022 tillsynsbegäran.docx", "A 50854-2022")</f>
        <v/>
      </c>
      <c r="Y131">
        <f>HYPERLINK("https://klasma.github.io/Logging_0188/tillsynsmail/A 50854-2022 tillsynsbegäran mail.docx", "A 50854-2022")</f>
        <v/>
      </c>
    </row>
    <row r="132" ht="15" customHeight="1">
      <c r="A132" t="inlineStr">
        <is>
          <t>A 64456-2023</t>
        </is>
      </c>
      <c r="B132" s="1" t="n">
        <v>45280</v>
      </c>
      <c r="C132" s="1" t="n">
        <v>46025</v>
      </c>
      <c r="D132" t="inlineStr">
        <is>
          <t>STOCKHOLMS LÄN</t>
        </is>
      </c>
      <c r="E132" t="inlineStr">
        <is>
          <t>NORRTÄLJE</t>
        </is>
      </c>
      <c r="G132" t="n">
        <v>2.5</v>
      </c>
      <c r="H132" t="n">
        <v>0</v>
      </c>
      <c r="I132" t="n">
        <v>1</v>
      </c>
      <c r="J132" t="n">
        <v>0</v>
      </c>
      <c r="K132" t="n">
        <v>0</v>
      </c>
      <c r="L132" t="n">
        <v>0</v>
      </c>
      <c r="M132" t="n">
        <v>0</v>
      </c>
      <c r="N132" t="n">
        <v>0</v>
      </c>
      <c r="O132" t="n">
        <v>0</v>
      </c>
      <c r="P132" t="n">
        <v>0</v>
      </c>
      <c r="Q132" t="n">
        <v>1</v>
      </c>
      <c r="R132" s="2" t="inlineStr">
        <is>
          <t>Rödgul trumpetsvamp</t>
        </is>
      </c>
      <c r="S132">
        <f>HYPERLINK("https://klasma.github.io/Logging_0188/artfynd/A 64456-2023 artfynd.xlsx", "A 64456-2023")</f>
        <v/>
      </c>
      <c r="T132">
        <f>HYPERLINK("https://klasma.github.io/Logging_0188/kartor/A 64456-2023 karta.png", "A 64456-2023")</f>
        <v/>
      </c>
      <c r="V132">
        <f>HYPERLINK("https://klasma.github.io/Logging_0188/klagomål/A 64456-2023 FSC-klagomål.docx", "A 64456-2023")</f>
        <v/>
      </c>
      <c r="W132">
        <f>HYPERLINK("https://klasma.github.io/Logging_0188/klagomålsmail/A 64456-2023 FSC-klagomål mail.docx", "A 64456-2023")</f>
        <v/>
      </c>
      <c r="X132">
        <f>HYPERLINK("https://klasma.github.io/Logging_0188/tillsyn/A 64456-2023 tillsynsbegäran.docx", "A 64456-2023")</f>
        <v/>
      </c>
      <c r="Y132">
        <f>HYPERLINK("https://klasma.github.io/Logging_0188/tillsynsmail/A 64456-2023 tillsynsbegäran mail.docx", "A 64456-2023")</f>
        <v/>
      </c>
    </row>
    <row r="133" ht="15" customHeight="1">
      <c r="A133" t="inlineStr">
        <is>
          <t>A 52611-2024</t>
        </is>
      </c>
      <c r="B133" s="1" t="n">
        <v>45609.83747685186</v>
      </c>
      <c r="C133" s="1" t="n">
        <v>46025</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46025</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46025</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27827-2022</t>
        </is>
      </c>
      <c r="B136" s="1" t="n">
        <v>44743.59504629629</v>
      </c>
      <c r="C136" s="1" t="n">
        <v>46025</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9955-2022</t>
        </is>
      </c>
      <c r="B137" s="1" t="n">
        <v>44620</v>
      </c>
      <c r="C137" s="1" t="n">
        <v>46025</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23905-2025</t>
        </is>
      </c>
      <c r="B138" s="1" t="n">
        <v>45794.63298611111</v>
      </c>
      <c r="C138" s="1" t="n">
        <v>46025</v>
      </c>
      <c r="D138" t="inlineStr">
        <is>
          <t>STOCKHOLMS LÄN</t>
        </is>
      </c>
      <c r="E138" t="inlineStr">
        <is>
          <t>NORRTÄLJE</t>
        </is>
      </c>
      <c r="G138" t="n">
        <v>8.4</v>
      </c>
      <c r="H138" t="n">
        <v>1</v>
      </c>
      <c r="I138" t="n">
        <v>0</v>
      </c>
      <c r="J138" t="n">
        <v>0</v>
      </c>
      <c r="K138" t="n">
        <v>0</v>
      </c>
      <c r="L138" t="n">
        <v>0</v>
      </c>
      <c r="M138" t="n">
        <v>0</v>
      </c>
      <c r="N138" t="n">
        <v>0</v>
      </c>
      <c r="O138" t="n">
        <v>0</v>
      </c>
      <c r="P138" t="n">
        <v>0</v>
      </c>
      <c r="Q138" t="n">
        <v>1</v>
      </c>
      <c r="R138" s="2" t="inlineStr">
        <is>
          <t>Blåsippa</t>
        </is>
      </c>
      <c r="S138">
        <f>HYPERLINK("https://klasma.github.io/Logging_0188/artfynd/A 23905-2025 artfynd.xlsx", "A 23905-2025")</f>
        <v/>
      </c>
      <c r="T138">
        <f>HYPERLINK("https://klasma.github.io/Logging_0188/kartor/A 23905-2025 karta.png", "A 23905-2025")</f>
        <v/>
      </c>
      <c r="V138">
        <f>HYPERLINK("https://klasma.github.io/Logging_0188/klagomål/A 23905-2025 FSC-klagomål.docx", "A 23905-2025")</f>
        <v/>
      </c>
      <c r="W138">
        <f>HYPERLINK("https://klasma.github.io/Logging_0188/klagomålsmail/A 23905-2025 FSC-klagomål mail.docx", "A 23905-2025")</f>
        <v/>
      </c>
      <c r="X138">
        <f>HYPERLINK("https://klasma.github.io/Logging_0188/tillsyn/A 23905-2025 tillsynsbegäran.docx", "A 23905-2025")</f>
        <v/>
      </c>
      <c r="Y138">
        <f>HYPERLINK("https://klasma.github.io/Logging_0188/tillsynsmail/A 23905-2025 tillsynsbegäran mail.docx", "A 23905-2025")</f>
        <v/>
      </c>
    </row>
    <row r="139" ht="15" customHeight="1">
      <c r="A139" t="inlineStr">
        <is>
          <t>A 25709-2025</t>
        </is>
      </c>
      <c r="B139" s="1" t="n">
        <v>45800</v>
      </c>
      <c r="C139" s="1" t="n">
        <v>46025</v>
      </c>
      <c r="D139" t="inlineStr">
        <is>
          <t>STOCKHOLMS LÄN</t>
        </is>
      </c>
      <c r="E139" t="inlineStr">
        <is>
          <t>NORRTÄLJE</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HYPERLINK("https://klasma.github.io/Logging_0188/artfynd/A 25709-2025 artfynd.xlsx", "A 25709-2025")</f>
        <v/>
      </c>
      <c r="T139">
        <f>HYPERLINK("https://klasma.github.io/Logging_0188/kartor/A 25709-2025 karta.png", "A 25709-2025")</f>
        <v/>
      </c>
      <c r="V139">
        <f>HYPERLINK("https://klasma.github.io/Logging_0188/klagomål/A 25709-2025 FSC-klagomål.docx", "A 25709-2025")</f>
        <v/>
      </c>
      <c r="W139">
        <f>HYPERLINK("https://klasma.github.io/Logging_0188/klagomålsmail/A 25709-2025 FSC-klagomål mail.docx", "A 25709-2025")</f>
        <v/>
      </c>
      <c r="X139">
        <f>HYPERLINK("https://klasma.github.io/Logging_0188/tillsyn/A 25709-2025 tillsynsbegäran.docx", "A 25709-2025")</f>
        <v/>
      </c>
      <c r="Y139">
        <f>HYPERLINK("https://klasma.github.io/Logging_0188/tillsynsmail/A 25709-2025 tillsynsbegäran mail.docx", "A 25709-2025")</f>
        <v/>
      </c>
    </row>
    <row r="140" ht="15" customHeight="1">
      <c r="A140" t="inlineStr">
        <is>
          <t>A 25725-2025</t>
        </is>
      </c>
      <c r="B140" s="1" t="n">
        <v>45800</v>
      </c>
      <c r="C140" s="1" t="n">
        <v>46025</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35649-2023</t>
        </is>
      </c>
      <c r="B141" s="1" t="n">
        <v>45146</v>
      </c>
      <c r="C141" s="1" t="n">
        <v>46025</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35764-2024</t>
        </is>
      </c>
      <c r="B142" s="1" t="n">
        <v>45532</v>
      </c>
      <c r="C142" s="1" t="n">
        <v>46025</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25669-2025</t>
        </is>
      </c>
      <c r="B143" s="1" t="n">
        <v>45803.62766203703</v>
      </c>
      <c r="C143" s="1" t="n">
        <v>46025</v>
      </c>
      <c r="D143" t="inlineStr">
        <is>
          <t>STOCKHOLMS LÄN</t>
        </is>
      </c>
      <c r="E143" t="inlineStr">
        <is>
          <t>NORRTÄLJE</t>
        </is>
      </c>
      <c r="F143" t="inlineStr">
        <is>
          <t>Holmen skog AB</t>
        </is>
      </c>
      <c r="G143" t="n">
        <v>3.1</v>
      </c>
      <c r="H143" t="n">
        <v>1</v>
      </c>
      <c r="I143" t="n">
        <v>0</v>
      </c>
      <c r="J143" t="n">
        <v>0</v>
      </c>
      <c r="K143" t="n">
        <v>0</v>
      </c>
      <c r="L143" t="n">
        <v>0</v>
      </c>
      <c r="M143" t="n">
        <v>0</v>
      </c>
      <c r="N143" t="n">
        <v>0</v>
      </c>
      <c r="O143" t="n">
        <v>0</v>
      </c>
      <c r="P143" t="n">
        <v>0</v>
      </c>
      <c r="Q143" t="n">
        <v>1</v>
      </c>
      <c r="R143" s="2" t="inlineStr">
        <is>
          <t>Tjäder</t>
        </is>
      </c>
      <c r="S143">
        <f>HYPERLINK("https://klasma.github.io/Logging_0188/artfynd/A 25669-2025 artfynd.xlsx", "A 25669-2025")</f>
        <v/>
      </c>
      <c r="T143">
        <f>HYPERLINK("https://klasma.github.io/Logging_0188/kartor/A 25669-2025 karta.png", "A 25669-2025")</f>
        <v/>
      </c>
      <c r="V143">
        <f>HYPERLINK("https://klasma.github.io/Logging_0188/klagomål/A 25669-2025 FSC-klagomål.docx", "A 25669-2025")</f>
        <v/>
      </c>
      <c r="W143">
        <f>HYPERLINK("https://klasma.github.io/Logging_0188/klagomålsmail/A 25669-2025 FSC-klagomål mail.docx", "A 25669-2025")</f>
        <v/>
      </c>
      <c r="X143">
        <f>HYPERLINK("https://klasma.github.io/Logging_0188/tillsyn/A 25669-2025 tillsynsbegäran.docx", "A 25669-2025")</f>
        <v/>
      </c>
      <c r="Y143">
        <f>HYPERLINK("https://klasma.github.io/Logging_0188/tillsynsmail/A 25669-2025 tillsynsbegäran mail.docx", "A 25669-2025")</f>
        <v/>
      </c>
      <c r="Z143">
        <f>HYPERLINK("https://klasma.github.io/Logging_0188/fåglar/A 25669-2025 prioriterade fågelarter.docx", "A 25669-2025")</f>
        <v/>
      </c>
    </row>
    <row r="144" ht="15" customHeight="1">
      <c r="A144" t="inlineStr">
        <is>
          <t>A 1970-2021</t>
        </is>
      </c>
      <c r="B144" s="1" t="n">
        <v>44210</v>
      </c>
      <c r="C144" s="1" t="n">
        <v>46025</v>
      </c>
      <c r="D144" t="inlineStr">
        <is>
          <t>STOCKHOLMS LÄN</t>
        </is>
      </c>
      <c r="E144" t="inlineStr">
        <is>
          <t>NORRTÄLJE</t>
        </is>
      </c>
      <c r="G144" t="n">
        <v>3.1</v>
      </c>
      <c r="H144" t="n">
        <v>0</v>
      </c>
      <c r="I144" t="n">
        <v>0</v>
      </c>
      <c r="J144" t="n">
        <v>0</v>
      </c>
      <c r="K144" t="n">
        <v>0</v>
      </c>
      <c r="L144" t="n">
        <v>0</v>
      </c>
      <c r="M144" t="n">
        <v>0</v>
      </c>
      <c r="N144" t="n">
        <v>0</v>
      </c>
      <c r="O144" t="n">
        <v>0</v>
      </c>
      <c r="P144" t="n">
        <v>0</v>
      </c>
      <c r="Q144" t="n">
        <v>0</v>
      </c>
      <c r="R144" s="2" t="inlineStr"/>
    </row>
    <row r="145" ht="15" customHeight="1">
      <c r="A145" t="inlineStr">
        <is>
          <t>A 1637-2021</t>
        </is>
      </c>
      <c r="B145" s="1" t="n">
        <v>44209</v>
      </c>
      <c r="C145" s="1" t="n">
        <v>46025</v>
      </c>
      <c r="D145" t="inlineStr">
        <is>
          <t>STOCKHOLMS LÄN</t>
        </is>
      </c>
      <c r="E145" t="inlineStr">
        <is>
          <t>NORRTÄLJE</t>
        </is>
      </c>
      <c r="G145" t="n">
        <v>1.6</v>
      </c>
      <c r="H145" t="n">
        <v>0</v>
      </c>
      <c r="I145" t="n">
        <v>0</v>
      </c>
      <c r="J145" t="n">
        <v>0</v>
      </c>
      <c r="K145" t="n">
        <v>0</v>
      </c>
      <c r="L145" t="n">
        <v>0</v>
      </c>
      <c r="M145" t="n">
        <v>0</v>
      </c>
      <c r="N145" t="n">
        <v>0</v>
      </c>
      <c r="O145" t="n">
        <v>0</v>
      </c>
      <c r="P145" t="n">
        <v>0</v>
      </c>
      <c r="Q145" t="n">
        <v>0</v>
      </c>
      <c r="R145" s="2" t="inlineStr"/>
    </row>
    <row r="146" ht="15" customHeight="1">
      <c r="A146" t="inlineStr">
        <is>
          <t>A 18580-2021</t>
        </is>
      </c>
      <c r="B146" s="1" t="n">
        <v>44306</v>
      </c>
      <c r="C146" s="1" t="n">
        <v>46025</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46025</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46025</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46025</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46025</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46025</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46025</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46025</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46025</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46025</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46025</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46025</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46025</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46025</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46025</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46025</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46025</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46025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46025</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46025</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46025</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46025</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11821-2022</t>
        </is>
      </c>
      <c r="B168" s="1" t="n">
        <v>44634</v>
      </c>
      <c r="C168" s="1" t="n">
        <v>46025</v>
      </c>
      <c r="D168" t="inlineStr">
        <is>
          <t>STOCKHOLMS LÄN</t>
        </is>
      </c>
      <c r="E168" t="inlineStr">
        <is>
          <t>NORRTÄLJE</t>
        </is>
      </c>
      <c r="G168" t="n">
        <v>1.1</v>
      </c>
      <c r="H168" t="n">
        <v>0</v>
      </c>
      <c r="I168" t="n">
        <v>0</v>
      </c>
      <c r="J168" t="n">
        <v>0</v>
      </c>
      <c r="K168" t="n">
        <v>0</v>
      </c>
      <c r="L168" t="n">
        <v>0</v>
      </c>
      <c r="M168" t="n">
        <v>0</v>
      </c>
      <c r="N168" t="n">
        <v>0</v>
      </c>
      <c r="O168" t="n">
        <v>0</v>
      </c>
      <c r="P168" t="n">
        <v>0</v>
      </c>
      <c r="Q168" t="n">
        <v>0</v>
      </c>
      <c r="R168" s="2" t="inlineStr"/>
    </row>
    <row r="169" ht="15" customHeight="1">
      <c r="A169" t="inlineStr">
        <is>
          <t>A 2977-2022</t>
        </is>
      </c>
      <c r="B169" s="1" t="n">
        <v>44581.75819444445</v>
      </c>
      <c r="C169" s="1" t="n">
        <v>46025</v>
      </c>
      <c r="D169" t="inlineStr">
        <is>
          <t>STOCKHOLMS LÄN</t>
        </is>
      </c>
      <c r="E169" t="inlineStr">
        <is>
          <t>NORRTÄLJE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46025</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46025</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46025</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9719-2021</t>
        </is>
      </c>
      <c r="B173" s="1" t="n">
        <v>44252</v>
      </c>
      <c r="C173" s="1" t="n">
        <v>46025</v>
      </c>
      <c r="D173" t="inlineStr">
        <is>
          <t>STOCKHOLMS LÄN</t>
        </is>
      </c>
      <c r="E173" t="inlineStr">
        <is>
          <t>NORRTÄLJE</t>
        </is>
      </c>
      <c r="F173" t="inlineStr">
        <is>
          <t>Holmen skog AB</t>
        </is>
      </c>
      <c r="G173" t="n">
        <v>2</v>
      </c>
      <c r="H173" t="n">
        <v>0</v>
      </c>
      <c r="I173" t="n">
        <v>0</v>
      </c>
      <c r="J173" t="n">
        <v>0</v>
      </c>
      <c r="K173" t="n">
        <v>0</v>
      </c>
      <c r="L173" t="n">
        <v>0</v>
      </c>
      <c r="M173" t="n">
        <v>0</v>
      </c>
      <c r="N173" t="n">
        <v>0</v>
      </c>
      <c r="O173" t="n">
        <v>0</v>
      </c>
      <c r="P173" t="n">
        <v>0</v>
      </c>
      <c r="Q173" t="n">
        <v>0</v>
      </c>
      <c r="R173" s="2" t="inlineStr"/>
    </row>
    <row r="174" ht="15" customHeight="1">
      <c r="A174" t="inlineStr">
        <is>
          <t>A 48384-2021</t>
        </is>
      </c>
      <c r="B174" s="1" t="n">
        <v>44451</v>
      </c>
      <c r="C174" s="1" t="n">
        <v>46025</v>
      </c>
      <c r="D174" t="inlineStr">
        <is>
          <t>STOCKHOLMS LÄN</t>
        </is>
      </c>
      <c r="E174" t="inlineStr">
        <is>
          <t>NORRTÄLJE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46025</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46025</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46025</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46025</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46025</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46025</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46025</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46025</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46025</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46025</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2447-2021</t>
        </is>
      </c>
      <c r="B185" s="1" t="n">
        <v>44214</v>
      </c>
      <c r="C185" s="1" t="n">
        <v>46025</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18609-2021</t>
        </is>
      </c>
      <c r="B186" s="1" t="n">
        <v>44306</v>
      </c>
      <c r="C186" s="1" t="n">
        <v>46025</v>
      </c>
      <c r="D186" t="inlineStr">
        <is>
          <t>STOCKHOLMS LÄN</t>
        </is>
      </c>
      <c r="E186" t="inlineStr">
        <is>
          <t>NORRTÄLJE</t>
        </is>
      </c>
      <c r="G186" t="n">
        <v>9.5</v>
      </c>
      <c r="H186" t="n">
        <v>0</v>
      </c>
      <c r="I186" t="n">
        <v>0</v>
      </c>
      <c r="J186" t="n">
        <v>0</v>
      </c>
      <c r="K186" t="n">
        <v>0</v>
      </c>
      <c r="L186" t="n">
        <v>0</v>
      </c>
      <c r="M186" t="n">
        <v>0</v>
      </c>
      <c r="N186" t="n">
        <v>0</v>
      </c>
      <c r="O186" t="n">
        <v>0</v>
      </c>
      <c r="P186" t="n">
        <v>0</v>
      </c>
      <c r="Q186" t="n">
        <v>0</v>
      </c>
      <c r="R186" s="2" t="inlineStr"/>
    </row>
    <row r="187" ht="15" customHeight="1">
      <c r="A187" t="inlineStr">
        <is>
          <t>A 24534-2022</t>
        </is>
      </c>
      <c r="B187" s="1" t="n">
        <v>44727</v>
      </c>
      <c r="C187" s="1" t="n">
        <v>46025</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45539-2022</t>
        </is>
      </c>
      <c r="B188" s="1" t="n">
        <v>44845.47585648148</v>
      </c>
      <c r="C188" s="1" t="n">
        <v>46025</v>
      </c>
      <c r="D188" t="inlineStr">
        <is>
          <t>STOCKHOLMS LÄN</t>
        </is>
      </c>
      <c r="E188" t="inlineStr">
        <is>
          <t>NORRTÄLJE</t>
        </is>
      </c>
      <c r="G188" t="n">
        <v>0.3</v>
      </c>
      <c r="H188" t="n">
        <v>0</v>
      </c>
      <c r="I188" t="n">
        <v>0</v>
      </c>
      <c r="J188" t="n">
        <v>0</v>
      </c>
      <c r="K188" t="n">
        <v>0</v>
      </c>
      <c r="L188" t="n">
        <v>0</v>
      </c>
      <c r="M188" t="n">
        <v>0</v>
      </c>
      <c r="N188" t="n">
        <v>0</v>
      </c>
      <c r="O188" t="n">
        <v>0</v>
      </c>
      <c r="P188" t="n">
        <v>0</v>
      </c>
      <c r="Q188" t="n">
        <v>0</v>
      </c>
      <c r="R188" s="2" t="inlineStr"/>
    </row>
    <row r="189" ht="15" customHeight="1">
      <c r="A189" t="inlineStr">
        <is>
          <t>A 71876-2021</t>
        </is>
      </c>
      <c r="B189" s="1" t="n">
        <v>44543</v>
      </c>
      <c r="C189" s="1" t="n">
        <v>46025</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71878-2021</t>
        </is>
      </c>
      <c r="B190" s="1" t="n">
        <v>44543</v>
      </c>
      <c r="C190" s="1" t="n">
        <v>46025</v>
      </c>
      <c r="D190" t="inlineStr">
        <is>
          <t>STOCKHOLMS LÄN</t>
        </is>
      </c>
      <c r="E190" t="inlineStr">
        <is>
          <t>NORRTÄLJE</t>
        </is>
      </c>
      <c r="G190" t="n">
        <v>1.2</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46025</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46025</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46025</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46025</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46025</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46025</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20073-2021</t>
        </is>
      </c>
      <c r="B197" s="1" t="n">
        <v>44314</v>
      </c>
      <c r="C197" s="1" t="n">
        <v>46025</v>
      </c>
      <c r="D197" t="inlineStr">
        <is>
          <t>STOCKHOLMS LÄN</t>
        </is>
      </c>
      <c r="E197" t="inlineStr">
        <is>
          <t>NORRTÄLJE</t>
        </is>
      </c>
      <c r="G197" t="n">
        <v>4.6</v>
      </c>
      <c r="H197" t="n">
        <v>0</v>
      </c>
      <c r="I197" t="n">
        <v>0</v>
      </c>
      <c r="J197" t="n">
        <v>0</v>
      </c>
      <c r="K197" t="n">
        <v>0</v>
      </c>
      <c r="L197" t="n">
        <v>0</v>
      </c>
      <c r="M197" t="n">
        <v>0</v>
      </c>
      <c r="N197" t="n">
        <v>0</v>
      </c>
      <c r="O197" t="n">
        <v>0</v>
      </c>
      <c r="P197" t="n">
        <v>0</v>
      </c>
      <c r="Q197" t="n">
        <v>0</v>
      </c>
      <c r="R197" s="2" t="inlineStr"/>
    </row>
    <row r="198" ht="15" customHeight="1">
      <c r="A198" t="inlineStr">
        <is>
          <t>A 17703-2021</t>
        </is>
      </c>
      <c r="B198" s="1" t="n">
        <v>44300</v>
      </c>
      <c r="C198" s="1" t="n">
        <v>46025</v>
      </c>
      <c r="D198" t="inlineStr">
        <is>
          <t>STOCKHOLMS LÄN</t>
        </is>
      </c>
      <c r="E198" t="inlineStr">
        <is>
          <t>NORRTÄLJE</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46025</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46025</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29868-2022</t>
        </is>
      </c>
      <c r="B201" s="1" t="n">
        <v>44756.40881944444</v>
      </c>
      <c r="C201" s="1" t="n">
        <v>46025</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16668-2021</t>
        </is>
      </c>
      <c r="B202" s="1" t="n">
        <v>44294</v>
      </c>
      <c r="C202" s="1" t="n">
        <v>46025</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36975-2022</t>
        </is>
      </c>
      <c r="B203" s="1" t="n">
        <v>44806.34577546296</v>
      </c>
      <c r="C203" s="1" t="n">
        <v>46025</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23122-2021</t>
        </is>
      </c>
      <c r="B204" s="1" t="n">
        <v>44330</v>
      </c>
      <c r="C204" s="1" t="n">
        <v>46025</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46025</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64599-2021</t>
        </is>
      </c>
      <c r="B206" s="1" t="n">
        <v>44511.69885416667</v>
      </c>
      <c r="C206" s="1" t="n">
        <v>46025</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64212-2021</t>
        </is>
      </c>
      <c r="B207" s="1" t="n">
        <v>44510</v>
      </c>
      <c r="C207" s="1" t="n">
        <v>46025</v>
      </c>
      <c r="D207" t="inlineStr">
        <is>
          <t>STOCKHOLMS LÄN</t>
        </is>
      </c>
      <c r="E207" t="inlineStr">
        <is>
          <t>NORRTÄLJE</t>
        </is>
      </c>
      <c r="G207" t="n">
        <v>28.7</v>
      </c>
      <c r="H207" t="n">
        <v>0</v>
      </c>
      <c r="I207" t="n">
        <v>0</v>
      </c>
      <c r="J207" t="n">
        <v>0</v>
      </c>
      <c r="K207" t="n">
        <v>0</v>
      </c>
      <c r="L207" t="n">
        <v>0</v>
      </c>
      <c r="M207" t="n">
        <v>0</v>
      </c>
      <c r="N207" t="n">
        <v>0</v>
      </c>
      <c r="O207" t="n">
        <v>0</v>
      </c>
      <c r="P207" t="n">
        <v>0</v>
      </c>
      <c r="Q207" t="n">
        <v>0</v>
      </c>
      <c r="R207" s="2" t="inlineStr"/>
    </row>
    <row r="208" ht="15" customHeight="1">
      <c r="A208" t="inlineStr">
        <is>
          <t>A 47349-2021</t>
        </is>
      </c>
      <c r="B208" s="1" t="n">
        <v>44447</v>
      </c>
      <c r="C208" s="1" t="n">
        <v>46025</v>
      </c>
      <c r="D208" t="inlineStr">
        <is>
          <t>STOCKHOLMS LÄN</t>
        </is>
      </c>
      <c r="E208" t="inlineStr">
        <is>
          <t>NORRTÄLJE</t>
        </is>
      </c>
      <c r="G208" t="n">
        <v>3.3</v>
      </c>
      <c r="H208" t="n">
        <v>0</v>
      </c>
      <c r="I208" t="n">
        <v>0</v>
      </c>
      <c r="J208" t="n">
        <v>0</v>
      </c>
      <c r="K208" t="n">
        <v>0</v>
      </c>
      <c r="L208" t="n">
        <v>0</v>
      </c>
      <c r="M208" t="n">
        <v>0</v>
      </c>
      <c r="N208" t="n">
        <v>0</v>
      </c>
      <c r="O208" t="n">
        <v>0</v>
      </c>
      <c r="P208" t="n">
        <v>0</v>
      </c>
      <c r="Q208" t="n">
        <v>0</v>
      </c>
      <c r="R208" s="2" t="inlineStr"/>
    </row>
    <row r="209" ht="15" customHeight="1">
      <c r="A209" t="inlineStr">
        <is>
          <t>A 36565-2021</t>
        </is>
      </c>
      <c r="B209" s="1" t="n">
        <v>44391.5580787037</v>
      </c>
      <c r="C209" s="1" t="n">
        <v>46025</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46025</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46025</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46025</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46025</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46025</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17803-2022</t>
        </is>
      </c>
      <c r="B215" s="1" t="n">
        <v>44683</v>
      </c>
      <c r="C215" s="1" t="n">
        <v>46025</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348-2021</t>
        </is>
      </c>
      <c r="B216" s="1" t="n">
        <v>44201</v>
      </c>
      <c r="C216" s="1" t="n">
        <v>46025</v>
      </c>
      <c r="D216" t="inlineStr">
        <is>
          <t>STOCKHOLMS LÄN</t>
        </is>
      </c>
      <c r="E216" t="inlineStr">
        <is>
          <t>NORRTÄLJE</t>
        </is>
      </c>
      <c r="G216" t="n">
        <v>0.1</v>
      </c>
      <c r="H216" t="n">
        <v>0</v>
      </c>
      <c r="I216" t="n">
        <v>0</v>
      </c>
      <c r="J216" t="n">
        <v>0</v>
      </c>
      <c r="K216" t="n">
        <v>0</v>
      </c>
      <c r="L216" t="n">
        <v>0</v>
      </c>
      <c r="M216" t="n">
        <v>0</v>
      </c>
      <c r="N216" t="n">
        <v>0</v>
      </c>
      <c r="O216" t="n">
        <v>0</v>
      </c>
      <c r="P216" t="n">
        <v>0</v>
      </c>
      <c r="Q216" t="n">
        <v>0</v>
      </c>
      <c r="R216" s="2" t="inlineStr"/>
    </row>
    <row r="217" ht="15" customHeight="1">
      <c r="A217" t="inlineStr">
        <is>
          <t>A 367-2021</t>
        </is>
      </c>
      <c r="B217" s="1" t="n">
        <v>44201</v>
      </c>
      <c r="C217" s="1" t="n">
        <v>46025</v>
      </c>
      <c r="D217" t="inlineStr">
        <is>
          <t>STOCKHOLMS LÄN</t>
        </is>
      </c>
      <c r="E217" t="inlineStr">
        <is>
          <t>NORRTÄLJE</t>
        </is>
      </c>
      <c r="G217" t="n">
        <v>0.1</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46025</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46025</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46025</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46025</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46025</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17460-2021</t>
        </is>
      </c>
      <c r="B223" s="1" t="n">
        <v>44299</v>
      </c>
      <c r="C223" s="1" t="n">
        <v>46025</v>
      </c>
      <c r="D223" t="inlineStr">
        <is>
          <t>STOCKHOLMS LÄN</t>
        </is>
      </c>
      <c r="E223" t="inlineStr">
        <is>
          <t>NORRTÄLJE</t>
        </is>
      </c>
      <c r="G223" t="n">
        <v>3.2</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46025</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5351-2022</t>
        </is>
      </c>
      <c r="B225" s="1" t="n">
        <v>44594.75950231482</v>
      </c>
      <c r="C225" s="1" t="n">
        <v>46025</v>
      </c>
      <c r="D225" t="inlineStr">
        <is>
          <t>STOCKHOLMS LÄN</t>
        </is>
      </c>
      <c r="E225" t="inlineStr">
        <is>
          <t>NORRTÄLJE</t>
        </is>
      </c>
      <c r="G225" t="n">
        <v>4</v>
      </c>
      <c r="H225" t="n">
        <v>0</v>
      </c>
      <c r="I225" t="n">
        <v>0</v>
      </c>
      <c r="J225" t="n">
        <v>0</v>
      </c>
      <c r="K225" t="n">
        <v>0</v>
      </c>
      <c r="L225" t="n">
        <v>0</v>
      </c>
      <c r="M225" t="n">
        <v>0</v>
      </c>
      <c r="N225" t="n">
        <v>0</v>
      </c>
      <c r="O225" t="n">
        <v>0</v>
      </c>
      <c r="P225" t="n">
        <v>0</v>
      </c>
      <c r="Q225" t="n">
        <v>0</v>
      </c>
      <c r="R225" s="2" t="inlineStr"/>
    </row>
    <row r="226" ht="15" customHeight="1">
      <c r="A226" t="inlineStr">
        <is>
          <t>A 30129-2021</t>
        </is>
      </c>
      <c r="B226" s="1" t="n">
        <v>44363.5784375</v>
      </c>
      <c r="C226" s="1" t="n">
        <v>46025</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46025</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31092-2022</t>
        </is>
      </c>
      <c r="B228" s="1" t="n">
        <v>44769.62320601852</v>
      </c>
      <c r="C228" s="1" t="n">
        <v>46025</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9467-2021</t>
        </is>
      </c>
      <c r="B229" s="1" t="n">
        <v>44251.43971064815</v>
      </c>
      <c r="C229" s="1" t="n">
        <v>46025</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46025</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46025</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46025</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46025</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46025</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46025</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46025</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46025</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26335-2022</t>
        </is>
      </c>
      <c r="B238" s="1" t="n">
        <v>44735</v>
      </c>
      <c r="C238" s="1" t="n">
        <v>46025</v>
      </c>
      <c r="D238" t="inlineStr">
        <is>
          <t>STOCKHOLMS LÄN</t>
        </is>
      </c>
      <c r="E238" t="inlineStr">
        <is>
          <t>NORRTÄLJE</t>
        </is>
      </c>
      <c r="G238" t="n">
        <v>3.3</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46025</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52449-2021</t>
        </is>
      </c>
      <c r="B240" s="1" t="n">
        <v>44466.37496527778</v>
      </c>
      <c r="C240" s="1" t="n">
        <v>46025</v>
      </c>
      <c r="D240" t="inlineStr">
        <is>
          <t>STOCKHOLMS LÄN</t>
        </is>
      </c>
      <c r="E240" t="inlineStr">
        <is>
          <t>NORRTÄLJE</t>
        </is>
      </c>
      <c r="F240" t="inlineStr">
        <is>
          <t>Holmen skog AB</t>
        </is>
      </c>
      <c r="G240" t="n">
        <v>1.8</v>
      </c>
      <c r="H240" t="n">
        <v>0</v>
      </c>
      <c r="I240" t="n">
        <v>0</v>
      </c>
      <c r="J240" t="n">
        <v>0</v>
      </c>
      <c r="K240" t="n">
        <v>0</v>
      </c>
      <c r="L240" t="n">
        <v>0</v>
      </c>
      <c r="M240" t="n">
        <v>0</v>
      </c>
      <c r="N240" t="n">
        <v>0</v>
      </c>
      <c r="O240" t="n">
        <v>0</v>
      </c>
      <c r="P240" t="n">
        <v>0</v>
      </c>
      <c r="Q240" t="n">
        <v>0</v>
      </c>
      <c r="R240" s="2" t="inlineStr"/>
    </row>
    <row r="241" ht="15" customHeight="1">
      <c r="A241" t="inlineStr">
        <is>
          <t>A 33046-2021</t>
        </is>
      </c>
      <c r="B241" s="1" t="n">
        <v>44376</v>
      </c>
      <c r="C241" s="1" t="n">
        <v>46025</v>
      </c>
      <c r="D241" t="inlineStr">
        <is>
          <t>STOCKHOLMS LÄN</t>
        </is>
      </c>
      <c r="E241" t="inlineStr">
        <is>
          <t>NORRTÄLJE</t>
        </is>
      </c>
      <c r="G241" t="n">
        <v>2.1</v>
      </c>
      <c r="H241" t="n">
        <v>0</v>
      </c>
      <c r="I241" t="n">
        <v>0</v>
      </c>
      <c r="J241" t="n">
        <v>0</v>
      </c>
      <c r="K241" t="n">
        <v>0</v>
      </c>
      <c r="L241" t="n">
        <v>0</v>
      </c>
      <c r="M241" t="n">
        <v>0</v>
      </c>
      <c r="N241" t="n">
        <v>0</v>
      </c>
      <c r="O241" t="n">
        <v>0</v>
      </c>
      <c r="P241" t="n">
        <v>0</v>
      </c>
      <c r="Q241" t="n">
        <v>0</v>
      </c>
      <c r="R241" s="2" t="inlineStr"/>
    </row>
    <row r="242" ht="15" customHeight="1">
      <c r="A242" t="inlineStr">
        <is>
          <t>A 26328-2022</t>
        </is>
      </c>
      <c r="B242" s="1" t="n">
        <v>44735</v>
      </c>
      <c r="C242" s="1" t="n">
        <v>46025</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46025</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67598-2021</t>
        </is>
      </c>
      <c r="B244" s="1" t="n">
        <v>44524</v>
      </c>
      <c r="C244" s="1" t="n">
        <v>46025</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34520-2021</t>
        </is>
      </c>
      <c r="B245" s="1" t="n">
        <v>44379</v>
      </c>
      <c r="C245" s="1" t="n">
        <v>46025</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46025</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46025</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14051-2022</t>
        </is>
      </c>
      <c r="B248" s="1" t="n">
        <v>44650.92714120371</v>
      </c>
      <c r="C248" s="1" t="n">
        <v>46025</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46025</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46025</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46025</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46025</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46025</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46025</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46025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46025</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46025</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46025</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46025</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46025</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46025</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12782-2021</t>
        </is>
      </c>
      <c r="B262" s="1" t="n">
        <v>44270</v>
      </c>
      <c r="C262" s="1" t="n">
        <v>46025</v>
      </c>
      <c r="D262" t="inlineStr">
        <is>
          <t>STOCKHOLMS LÄN</t>
        </is>
      </c>
      <c r="E262" t="inlineStr">
        <is>
          <t>NORRTÄLJE</t>
        </is>
      </c>
      <c r="G262" t="n">
        <v>3.8</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46025</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46025</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46025</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52139-2022</t>
        </is>
      </c>
      <c r="B266" s="1" t="n">
        <v>44868</v>
      </c>
      <c r="C266" s="1" t="n">
        <v>46025</v>
      </c>
      <c r="D266" t="inlineStr">
        <is>
          <t>STOCKHOLMS LÄN</t>
        </is>
      </c>
      <c r="E266" t="inlineStr">
        <is>
          <t>NORRTÄLJE</t>
        </is>
      </c>
      <c r="G266" t="n">
        <v>3.2</v>
      </c>
      <c r="H266" t="n">
        <v>0</v>
      </c>
      <c r="I266" t="n">
        <v>0</v>
      </c>
      <c r="J266" t="n">
        <v>0</v>
      </c>
      <c r="K266" t="n">
        <v>0</v>
      </c>
      <c r="L266" t="n">
        <v>0</v>
      </c>
      <c r="M266" t="n">
        <v>0</v>
      </c>
      <c r="N266" t="n">
        <v>0</v>
      </c>
      <c r="O266" t="n">
        <v>0</v>
      </c>
      <c r="P266" t="n">
        <v>0</v>
      </c>
      <c r="Q266" t="n">
        <v>0</v>
      </c>
      <c r="R266" s="2" t="inlineStr"/>
      <c r="U266">
        <f>HYPERLINK("https://klasma.github.io/Logging_0188/knärot/A 52139-2022 karta knärot.png", "A 52139-2022")</f>
        <v/>
      </c>
      <c r="V266">
        <f>HYPERLINK("https://klasma.github.io/Logging_0188/klagomål/A 52139-2022 FSC-klagomål.docx", "A 52139-2022")</f>
        <v/>
      </c>
      <c r="W266">
        <f>HYPERLINK("https://klasma.github.io/Logging_0188/klagomålsmail/A 52139-2022 FSC-klagomål mail.docx", "A 52139-2022")</f>
        <v/>
      </c>
      <c r="X266">
        <f>HYPERLINK("https://klasma.github.io/Logging_0188/tillsyn/A 52139-2022 tillsynsbegäran.docx", "A 52139-2022")</f>
        <v/>
      </c>
      <c r="Y266">
        <f>HYPERLINK("https://klasma.github.io/Logging_0188/tillsynsmail/A 52139-2022 tillsynsbegäran mail.docx", "A 52139-2022")</f>
        <v/>
      </c>
    </row>
    <row r="267" ht="15" customHeight="1">
      <c r="A267" t="inlineStr">
        <is>
          <t>A 9446-2021</t>
        </is>
      </c>
      <c r="B267" s="1" t="n">
        <v>44251</v>
      </c>
      <c r="C267" s="1" t="n">
        <v>46025</v>
      </c>
      <c r="D267" t="inlineStr">
        <is>
          <t>STOCKHOLMS LÄN</t>
        </is>
      </c>
      <c r="E267" t="inlineStr">
        <is>
          <t>NORRTÄLJE</t>
        </is>
      </c>
      <c r="F267" t="inlineStr">
        <is>
          <t>Holmen skog AB</t>
        </is>
      </c>
      <c r="G267" t="n">
        <v>0.7</v>
      </c>
      <c r="H267" t="n">
        <v>0</v>
      </c>
      <c r="I267" t="n">
        <v>0</v>
      </c>
      <c r="J267" t="n">
        <v>0</v>
      </c>
      <c r="K267" t="n">
        <v>0</v>
      </c>
      <c r="L267" t="n">
        <v>0</v>
      </c>
      <c r="M267" t="n">
        <v>0</v>
      </c>
      <c r="N267" t="n">
        <v>0</v>
      </c>
      <c r="O267" t="n">
        <v>0</v>
      </c>
      <c r="P267" t="n">
        <v>0</v>
      </c>
      <c r="Q267" t="n">
        <v>0</v>
      </c>
      <c r="R267" s="2" t="inlineStr"/>
    </row>
    <row r="268" ht="15" customHeight="1">
      <c r="A268" t="inlineStr">
        <is>
          <t>A 45541-2022</t>
        </is>
      </c>
      <c r="B268" s="1" t="n">
        <v>44845.47672453704</v>
      </c>
      <c r="C268" s="1" t="n">
        <v>46025</v>
      </c>
      <c r="D268" t="inlineStr">
        <is>
          <t>STOCKHOLMS LÄN</t>
        </is>
      </c>
      <c r="E268" t="inlineStr">
        <is>
          <t>NORRTÄLJE</t>
        </is>
      </c>
      <c r="G268" t="n">
        <v>0.4</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46025</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27217-2021</t>
        </is>
      </c>
      <c r="B270" s="1" t="n">
        <v>44350</v>
      </c>
      <c r="C270" s="1" t="n">
        <v>46025</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46025</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46025</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46025</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27214-2021</t>
        </is>
      </c>
      <c r="B274" s="1" t="n">
        <v>44350</v>
      </c>
      <c r="C274" s="1" t="n">
        <v>46025</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12355-2022</t>
        </is>
      </c>
      <c r="B275" s="1" t="n">
        <v>44637</v>
      </c>
      <c r="C275" s="1" t="n">
        <v>46025</v>
      </c>
      <c r="D275" t="inlineStr">
        <is>
          <t>STOCKHOLMS LÄN</t>
        </is>
      </c>
      <c r="E275" t="inlineStr">
        <is>
          <t>NORRTÄLJE</t>
        </is>
      </c>
      <c r="G275" t="n">
        <v>10.4</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46025</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46025</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46025</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46025</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46025</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8160-2022</t>
        </is>
      </c>
      <c r="B281" s="1" t="n">
        <v>44609</v>
      </c>
      <c r="C281" s="1" t="n">
        <v>46025</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30286-2022</t>
        </is>
      </c>
      <c r="B282" s="1" t="n">
        <v>44760</v>
      </c>
      <c r="C282" s="1" t="n">
        <v>46025</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46025</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46025</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46025</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46025</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46025</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10521-2022</t>
        </is>
      </c>
      <c r="B288" s="1" t="n">
        <v>44623</v>
      </c>
      <c r="C288" s="1" t="n">
        <v>46025</v>
      </c>
      <c r="D288" t="inlineStr">
        <is>
          <t>STOCKHOLMS LÄN</t>
        </is>
      </c>
      <c r="E288" t="inlineStr">
        <is>
          <t>NORRTÄLJE</t>
        </is>
      </c>
      <c r="G288" t="n">
        <v>2.9</v>
      </c>
      <c r="H288" t="n">
        <v>0</v>
      </c>
      <c r="I288" t="n">
        <v>0</v>
      </c>
      <c r="J288" t="n">
        <v>0</v>
      </c>
      <c r="K288" t="n">
        <v>0</v>
      </c>
      <c r="L288" t="n">
        <v>0</v>
      </c>
      <c r="M288" t="n">
        <v>0</v>
      </c>
      <c r="N288" t="n">
        <v>0</v>
      </c>
      <c r="O288" t="n">
        <v>0</v>
      </c>
      <c r="P288" t="n">
        <v>0</v>
      </c>
      <c r="Q288" t="n">
        <v>0</v>
      </c>
      <c r="R288" s="2" t="inlineStr"/>
    </row>
    <row r="289" ht="15" customHeight="1">
      <c r="A289" t="inlineStr">
        <is>
          <t>A 17771-2022</t>
        </is>
      </c>
      <c r="B289" s="1" t="n">
        <v>44682.75924768519</v>
      </c>
      <c r="C289" s="1" t="n">
        <v>46025</v>
      </c>
      <c r="D289" t="inlineStr">
        <is>
          <t>STOCKHOLMS LÄN</t>
        </is>
      </c>
      <c r="E289" t="inlineStr">
        <is>
          <t>NORRTÄLJE</t>
        </is>
      </c>
      <c r="G289" t="n">
        <v>13.3</v>
      </c>
      <c r="H289" t="n">
        <v>0</v>
      </c>
      <c r="I289" t="n">
        <v>0</v>
      </c>
      <c r="J289" t="n">
        <v>0</v>
      </c>
      <c r="K289" t="n">
        <v>0</v>
      </c>
      <c r="L289" t="n">
        <v>0</v>
      </c>
      <c r="M289" t="n">
        <v>0</v>
      </c>
      <c r="N289" t="n">
        <v>0</v>
      </c>
      <c r="O289" t="n">
        <v>0</v>
      </c>
      <c r="P289" t="n">
        <v>0</v>
      </c>
      <c r="Q289" t="n">
        <v>0</v>
      </c>
      <c r="R289" s="2" t="inlineStr"/>
    </row>
    <row r="290" ht="15" customHeight="1">
      <c r="A290" t="inlineStr">
        <is>
          <t>A 17773-2022</t>
        </is>
      </c>
      <c r="B290" s="1" t="n">
        <v>44682.77616898148</v>
      </c>
      <c r="C290" s="1" t="n">
        <v>46025</v>
      </c>
      <c r="D290" t="inlineStr">
        <is>
          <t>STOCKHOLMS LÄN</t>
        </is>
      </c>
      <c r="E290" t="inlineStr">
        <is>
          <t>NORRTÄLJE</t>
        </is>
      </c>
      <c r="G290" t="n">
        <v>10.8</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46025</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46025</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46025</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46025</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71880-2021</t>
        </is>
      </c>
      <c r="B295" s="1" t="n">
        <v>44543</v>
      </c>
      <c r="C295" s="1" t="n">
        <v>46025</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21102-2022</t>
        </is>
      </c>
      <c r="B296" s="1" t="n">
        <v>44704</v>
      </c>
      <c r="C296" s="1" t="n">
        <v>46025</v>
      </c>
      <c r="D296" t="inlineStr">
        <is>
          <t>STOCKHOLMS LÄN</t>
        </is>
      </c>
      <c r="E296" t="inlineStr">
        <is>
          <t>NORRTÄLJE</t>
        </is>
      </c>
      <c r="G296" t="n">
        <v>0.2</v>
      </c>
      <c r="H296" t="n">
        <v>0</v>
      </c>
      <c r="I296" t="n">
        <v>0</v>
      </c>
      <c r="J296" t="n">
        <v>0</v>
      </c>
      <c r="K296" t="n">
        <v>0</v>
      </c>
      <c r="L296" t="n">
        <v>0</v>
      </c>
      <c r="M296" t="n">
        <v>0</v>
      </c>
      <c r="N296" t="n">
        <v>0</v>
      </c>
      <c r="O296" t="n">
        <v>0</v>
      </c>
      <c r="P296" t="n">
        <v>0</v>
      </c>
      <c r="Q296" t="n">
        <v>0</v>
      </c>
      <c r="R296" s="2" t="inlineStr"/>
    </row>
    <row r="297" ht="15" customHeight="1">
      <c r="A297" t="inlineStr">
        <is>
          <t>A 17772-2022</t>
        </is>
      </c>
      <c r="B297" s="1" t="n">
        <v>44682.76528935185</v>
      </c>
      <c r="C297" s="1" t="n">
        <v>46025</v>
      </c>
      <c r="D297" t="inlineStr">
        <is>
          <t>STOCKHOLMS LÄN</t>
        </is>
      </c>
      <c r="E297" t="inlineStr">
        <is>
          <t>NORRTÄLJE</t>
        </is>
      </c>
      <c r="G297" t="n">
        <v>4</v>
      </c>
      <c r="H297" t="n">
        <v>0</v>
      </c>
      <c r="I297" t="n">
        <v>0</v>
      </c>
      <c r="J297" t="n">
        <v>0</v>
      </c>
      <c r="K297" t="n">
        <v>0</v>
      </c>
      <c r="L297" t="n">
        <v>0</v>
      </c>
      <c r="M297" t="n">
        <v>0</v>
      </c>
      <c r="N297" t="n">
        <v>0</v>
      </c>
      <c r="O297" t="n">
        <v>0</v>
      </c>
      <c r="P297" t="n">
        <v>0</v>
      </c>
      <c r="Q297" t="n">
        <v>0</v>
      </c>
      <c r="R297" s="2" t="inlineStr"/>
    </row>
    <row r="298" ht="15" customHeight="1">
      <c r="A298" t="inlineStr">
        <is>
          <t>A 24101-2022</t>
        </is>
      </c>
      <c r="B298" s="1" t="n">
        <v>44725</v>
      </c>
      <c r="C298" s="1" t="n">
        <v>46025</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67285-2021</t>
        </is>
      </c>
      <c r="B299" s="1" t="n">
        <v>44523.61635416667</v>
      </c>
      <c r="C299" s="1" t="n">
        <v>46025</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5611-2022</t>
        </is>
      </c>
      <c r="B300" s="1" t="n">
        <v>44595</v>
      </c>
      <c r="C300" s="1" t="n">
        <v>46025</v>
      </c>
      <c r="D300" t="inlineStr">
        <is>
          <t>STOCKHOLMS LÄN</t>
        </is>
      </c>
      <c r="E300" t="inlineStr">
        <is>
          <t>NORRTÄLJE</t>
        </is>
      </c>
      <c r="G300" t="n">
        <v>0.5</v>
      </c>
      <c r="H300" t="n">
        <v>0</v>
      </c>
      <c r="I300" t="n">
        <v>0</v>
      </c>
      <c r="J300" t="n">
        <v>0</v>
      </c>
      <c r="K300" t="n">
        <v>0</v>
      </c>
      <c r="L300" t="n">
        <v>0</v>
      </c>
      <c r="M300" t="n">
        <v>0</v>
      </c>
      <c r="N300" t="n">
        <v>0</v>
      </c>
      <c r="O300" t="n">
        <v>0</v>
      </c>
      <c r="P300" t="n">
        <v>0</v>
      </c>
      <c r="Q300" t="n">
        <v>0</v>
      </c>
      <c r="R300" s="2" t="inlineStr"/>
    </row>
    <row r="301" ht="15" customHeight="1">
      <c r="A301" t="inlineStr">
        <is>
          <t>A 32055-2021</t>
        </is>
      </c>
      <c r="B301" s="1" t="n">
        <v>44370.72197916666</v>
      </c>
      <c r="C301" s="1" t="n">
        <v>46025</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38721-2022</t>
        </is>
      </c>
      <c r="B302" s="1" t="n">
        <v>44815</v>
      </c>
      <c r="C302" s="1" t="n">
        <v>46025</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60184-2021</t>
        </is>
      </c>
      <c r="B303" s="1" t="n">
        <v>44495</v>
      </c>
      <c r="C303" s="1" t="n">
        <v>46025</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55012-2024</t>
        </is>
      </c>
      <c r="B304" s="1" t="n">
        <v>45621.34813657407</v>
      </c>
      <c r="C304" s="1" t="n">
        <v>46025</v>
      </c>
      <c r="D304" t="inlineStr">
        <is>
          <t>STOCKHOLMS LÄN</t>
        </is>
      </c>
      <c r="E304" t="inlineStr">
        <is>
          <t>NORRTÄLJE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46025</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12111-2021</t>
        </is>
      </c>
      <c r="B306" s="1" t="n">
        <v>44266</v>
      </c>
      <c r="C306" s="1" t="n">
        <v>46025</v>
      </c>
      <c r="D306" t="inlineStr">
        <is>
          <t>STOCKHOLMS LÄN</t>
        </is>
      </c>
      <c r="E306" t="inlineStr">
        <is>
          <t>NORRTÄLJE</t>
        </is>
      </c>
      <c r="G306" t="n">
        <v>5.5</v>
      </c>
      <c r="H306" t="n">
        <v>0</v>
      </c>
      <c r="I306" t="n">
        <v>0</v>
      </c>
      <c r="J306" t="n">
        <v>0</v>
      </c>
      <c r="K306" t="n">
        <v>0</v>
      </c>
      <c r="L306" t="n">
        <v>0</v>
      </c>
      <c r="M306" t="n">
        <v>0</v>
      </c>
      <c r="N306" t="n">
        <v>0</v>
      </c>
      <c r="O306" t="n">
        <v>0</v>
      </c>
      <c r="P306" t="n">
        <v>0</v>
      </c>
      <c r="Q306" t="n">
        <v>0</v>
      </c>
      <c r="R306" s="2" t="inlineStr"/>
    </row>
    <row r="307" ht="15" customHeight="1">
      <c r="A307" t="inlineStr">
        <is>
          <t>A 33053-2021</t>
        </is>
      </c>
      <c r="B307" s="1" t="n">
        <v>44376</v>
      </c>
      <c r="C307" s="1" t="n">
        <v>46025</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20013-2025</t>
        </is>
      </c>
      <c r="B308" s="1" t="n">
        <v>45772.30436342592</v>
      </c>
      <c r="C308" s="1" t="n">
        <v>46025</v>
      </c>
      <c r="D308" t="inlineStr">
        <is>
          <t>STOCKHOLMS LÄN</t>
        </is>
      </c>
      <c r="E308" t="inlineStr">
        <is>
          <t>NORRTÄLJE</t>
        </is>
      </c>
      <c r="G308" t="n">
        <v>2.3</v>
      </c>
      <c r="H308" t="n">
        <v>0</v>
      </c>
      <c r="I308" t="n">
        <v>0</v>
      </c>
      <c r="J308" t="n">
        <v>0</v>
      </c>
      <c r="K308" t="n">
        <v>0</v>
      </c>
      <c r="L308" t="n">
        <v>0</v>
      </c>
      <c r="M308" t="n">
        <v>0</v>
      </c>
      <c r="N308" t="n">
        <v>0</v>
      </c>
      <c r="O308" t="n">
        <v>0</v>
      </c>
      <c r="P308" t="n">
        <v>0</v>
      </c>
      <c r="Q308" t="n">
        <v>0</v>
      </c>
      <c r="R308" s="2" t="inlineStr"/>
    </row>
    <row r="309" ht="15" customHeight="1">
      <c r="A309" t="inlineStr">
        <is>
          <t>A 23271-2023</t>
        </is>
      </c>
      <c r="B309" s="1" t="n">
        <v>45075.91362268518</v>
      </c>
      <c r="C309" s="1" t="n">
        <v>46025</v>
      </c>
      <c r="D309" t="inlineStr">
        <is>
          <t>STOCKHOLMS LÄN</t>
        </is>
      </c>
      <c r="E309" t="inlineStr">
        <is>
          <t>NORRTÄLJE</t>
        </is>
      </c>
      <c r="G309" t="n">
        <v>5.1</v>
      </c>
      <c r="H309" t="n">
        <v>0</v>
      </c>
      <c r="I309" t="n">
        <v>0</v>
      </c>
      <c r="J309" t="n">
        <v>0</v>
      </c>
      <c r="K309" t="n">
        <v>0</v>
      </c>
      <c r="L309" t="n">
        <v>0</v>
      </c>
      <c r="M309" t="n">
        <v>0</v>
      </c>
      <c r="N309" t="n">
        <v>0</v>
      </c>
      <c r="O309" t="n">
        <v>0</v>
      </c>
      <c r="P309" t="n">
        <v>0</v>
      </c>
      <c r="Q309" t="n">
        <v>0</v>
      </c>
      <c r="R309" s="2" t="inlineStr"/>
    </row>
    <row r="310" ht="15" customHeight="1">
      <c r="A310" t="inlineStr">
        <is>
          <t>A 23273-2023</t>
        </is>
      </c>
      <c r="B310" s="1" t="n">
        <v>45075.91971064815</v>
      </c>
      <c r="C310" s="1" t="n">
        <v>46025</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30802-2022</t>
        </is>
      </c>
      <c r="B311" s="1" t="n">
        <v>44764</v>
      </c>
      <c r="C311" s="1" t="n">
        <v>46025</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19706-2023</t>
        </is>
      </c>
      <c r="B312" s="1" t="n">
        <v>45051.455</v>
      </c>
      <c r="C312" s="1" t="n">
        <v>46025</v>
      </c>
      <c r="D312" t="inlineStr">
        <is>
          <t>STOCKHOLMS LÄN</t>
        </is>
      </c>
      <c r="E312" t="inlineStr">
        <is>
          <t>NORRTÄLJE</t>
        </is>
      </c>
      <c r="G312" t="n">
        <v>0.2</v>
      </c>
      <c r="H312" t="n">
        <v>0</v>
      </c>
      <c r="I312" t="n">
        <v>0</v>
      </c>
      <c r="J312" t="n">
        <v>0</v>
      </c>
      <c r="K312" t="n">
        <v>0</v>
      </c>
      <c r="L312" t="n">
        <v>0</v>
      </c>
      <c r="M312" t="n">
        <v>0</v>
      </c>
      <c r="N312" t="n">
        <v>0</v>
      </c>
      <c r="O312" t="n">
        <v>0</v>
      </c>
      <c r="P312" t="n">
        <v>0</v>
      </c>
      <c r="Q312" t="n">
        <v>0</v>
      </c>
      <c r="R312" s="2" t="inlineStr"/>
    </row>
    <row r="313" ht="15" customHeight="1">
      <c r="A313" t="inlineStr">
        <is>
          <t>A 13148-2021</t>
        </is>
      </c>
      <c r="B313" s="1" t="n">
        <v>44272</v>
      </c>
      <c r="C313" s="1" t="n">
        <v>46025</v>
      </c>
      <c r="D313" t="inlineStr">
        <is>
          <t>STOCKHOLMS LÄN</t>
        </is>
      </c>
      <c r="E313" t="inlineStr">
        <is>
          <t>NORRTÄLJE</t>
        </is>
      </c>
      <c r="G313" t="n">
        <v>12.4</v>
      </c>
      <c r="H313" t="n">
        <v>0</v>
      </c>
      <c r="I313" t="n">
        <v>0</v>
      </c>
      <c r="J313" t="n">
        <v>0</v>
      </c>
      <c r="K313" t="n">
        <v>0</v>
      </c>
      <c r="L313" t="n">
        <v>0</v>
      </c>
      <c r="M313" t="n">
        <v>0</v>
      </c>
      <c r="N313" t="n">
        <v>0</v>
      </c>
      <c r="O313" t="n">
        <v>0</v>
      </c>
      <c r="P313" t="n">
        <v>0</v>
      </c>
      <c r="Q313" t="n">
        <v>0</v>
      </c>
      <c r="R313" s="2" t="inlineStr"/>
    </row>
    <row r="314" ht="15" customHeight="1">
      <c r="A314" t="inlineStr">
        <is>
          <t>A 27715-2022</t>
        </is>
      </c>
      <c r="B314" s="1" t="n">
        <v>44743.47407407407</v>
      </c>
      <c r="C314" s="1" t="n">
        <v>46025</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16008-2025</t>
        </is>
      </c>
      <c r="B315" s="1" t="n">
        <v>45749</v>
      </c>
      <c r="C315" s="1" t="n">
        <v>46025</v>
      </c>
      <c r="D315" t="inlineStr">
        <is>
          <t>STOCKHOLMS LÄN</t>
        </is>
      </c>
      <c r="E315" t="inlineStr">
        <is>
          <t>NORRTÄLJE</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63161-2023</t>
        </is>
      </c>
      <c r="B316" s="1" t="n">
        <v>45273</v>
      </c>
      <c r="C316" s="1" t="n">
        <v>46025</v>
      </c>
      <c r="D316" t="inlineStr">
        <is>
          <t>STOCKHOLMS LÄN</t>
        </is>
      </c>
      <c r="E316" t="inlineStr">
        <is>
          <t>NORRTÄLJE</t>
        </is>
      </c>
      <c r="G316" t="n">
        <v>1.6</v>
      </c>
      <c r="H316" t="n">
        <v>0</v>
      </c>
      <c r="I316" t="n">
        <v>0</v>
      </c>
      <c r="J316" t="n">
        <v>0</v>
      </c>
      <c r="K316" t="n">
        <v>0</v>
      </c>
      <c r="L316" t="n">
        <v>0</v>
      </c>
      <c r="M316" t="n">
        <v>0</v>
      </c>
      <c r="N316" t="n">
        <v>0</v>
      </c>
      <c r="O316" t="n">
        <v>0</v>
      </c>
      <c r="P316" t="n">
        <v>0</v>
      </c>
      <c r="Q316" t="n">
        <v>0</v>
      </c>
      <c r="R316" s="2" t="inlineStr"/>
    </row>
    <row r="317" ht="15" customHeight="1">
      <c r="A317" t="inlineStr">
        <is>
          <t>A 9765-2024</t>
        </is>
      </c>
      <c r="B317" s="1" t="n">
        <v>45362.62811342593</v>
      </c>
      <c r="C317" s="1" t="n">
        <v>46025</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40425-2021</t>
        </is>
      </c>
      <c r="B318" s="1" t="n">
        <v>44419</v>
      </c>
      <c r="C318" s="1" t="n">
        <v>46025</v>
      </c>
      <c r="D318" t="inlineStr">
        <is>
          <t>STOCKHOLMS LÄN</t>
        </is>
      </c>
      <c r="E318" t="inlineStr">
        <is>
          <t>NORRTÄLJE</t>
        </is>
      </c>
      <c r="G318" t="n">
        <v>5</v>
      </c>
      <c r="H318" t="n">
        <v>0</v>
      </c>
      <c r="I318" t="n">
        <v>0</v>
      </c>
      <c r="J318" t="n">
        <v>0</v>
      </c>
      <c r="K318" t="n">
        <v>0</v>
      </c>
      <c r="L318" t="n">
        <v>0</v>
      </c>
      <c r="M318" t="n">
        <v>0</v>
      </c>
      <c r="N318" t="n">
        <v>0</v>
      </c>
      <c r="O318" t="n">
        <v>0</v>
      </c>
      <c r="P318" t="n">
        <v>0</v>
      </c>
      <c r="Q318" t="n">
        <v>0</v>
      </c>
      <c r="R318" s="2" t="inlineStr"/>
    </row>
    <row r="319" ht="15" customHeight="1">
      <c r="A319" t="inlineStr">
        <is>
          <t>A 20014-2025</t>
        </is>
      </c>
      <c r="B319" s="1" t="n">
        <v>45772.3078125</v>
      </c>
      <c r="C319" s="1" t="n">
        <v>46025</v>
      </c>
      <c r="D319" t="inlineStr">
        <is>
          <t>STOCKHOLMS LÄN</t>
        </is>
      </c>
      <c r="E319" t="inlineStr">
        <is>
          <t>NORRTÄLJE</t>
        </is>
      </c>
      <c r="G319" t="n">
        <v>4.4</v>
      </c>
      <c r="H319" t="n">
        <v>0</v>
      </c>
      <c r="I319" t="n">
        <v>0</v>
      </c>
      <c r="J319" t="n">
        <v>0</v>
      </c>
      <c r="K319" t="n">
        <v>0</v>
      </c>
      <c r="L319" t="n">
        <v>0</v>
      </c>
      <c r="M319" t="n">
        <v>0</v>
      </c>
      <c r="N319" t="n">
        <v>0</v>
      </c>
      <c r="O319" t="n">
        <v>0</v>
      </c>
      <c r="P319" t="n">
        <v>0</v>
      </c>
      <c r="Q319" t="n">
        <v>0</v>
      </c>
      <c r="R319" s="2" t="inlineStr"/>
    </row>
    <row r="320" ht="15" customHeight="1">
      <c r="A320" t="inlineStr">
        <is>
          <t>A 47694-2023</t>
        </is>
      </c>
      <c r="B320" s="1" t="n">
        <v>45203.63303240741</v>
      </c>
      <c r="C320" s="1" t="n">
        <v>46025</v>
      </c>
      <c r="D320" t="inlineStr">
        <is>
          <t>STOCKHOLMS LÄN</t>
        </is>
      </c>
      <c r="E320" t="inlineStr">
        <is>
          <t>NORRTÄLJE</t>
        </is>
      </c>
      <c r="G320" t="n">
        <v>5.2</v>
      </c>
      <c r="H320" t="n">
        <v>0</v>
      </c>
      <c r="I320" t="n">
        <v>0</v>
      </c>
      <c r="J320" t="n">
        <v>0</v>
      </c>
      <c r="K320" t="n">
        <v>0</v>
      </c>
      <c r="L320" t="n">
        <v>0</v>
      </c>
      <c r="M320" t="n">
        <v>0</v>
      </c>
      <c r="N320" t="n">
        <v>0</v>
      </c>
      <c r="O320" t="n">
        <v>0</v>
      </c>
      <c r="P320" t="n">
        <v>0</v>
      </c>
      <c r="Q320" t="n">
        <v>0</v>
      </c>
      <c r="R320" s="2" t="inlineStr"/>
    </row>
    <row r="321" ht="15" customHeight="1">
      <c r="A321" t="inlineStr">
        <is>
          <t>A 56631-2024</t>
        </is>
      </c>
      <c r="B321" s="1" t="n">
        <v>45625</v>
      </c>
      <c r="C321" s="1" t="n">
        <v>46025</v>
      </c>
      <c r="D321" t="inlineStr">
        <is>
          <t>STOCKHOLMS LÄN</t>
        </is>
      </c>
      <c r="E321" t="inlineStr">
        <is>
          <t>NORRTÄLJE</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48587-2023</t>
        </is>
      </c>
      <c r="B322" s="1" t="n">
        <v>45208</v>
      </c>
      <c r="C322" s="1" t="n">
        <v>46025</v>
      </c>
      <c r="D322" t="inlineStr">
        <is>
          <t>STOCKHOLMS LÄN</t>
        </is>
      </c>
      <c r="E322" t="inlineStr">
        <is>
          <t>NORRTÄLJE</t>
        </is>
      </c>
      <c r="G322" t="n">
        <v>7</v>
      </c>
      <c r="H322" t="n">
        <v>0</v>
      </c>
      <c r="I322" t="n">
        <v>0</v>
      </c>
      <c r="J322" t="n">
        <v>0</v>
      </c>
      <c r="K322" t="n">
        <v>0</v>
      </c>
      <c r="L322" t="n">
        <v>0</v>
      </c>
      <c r="M322" t="n">
        <v>0</v>
      </c>
      <c r="N322" t="n">
        <v>0</v>
      </c>
      <c r="O322" t="n">
        <v>0</v>
      </c>
      <c r="P322" t="n">
        <v>0</v>
      </c>
      <c r="Q322" t="n">
        <v>0</v>
      </c>
      <c r="R322" s="2" t="inlineStr"/>
    </row>
    <row r="323" ht="15" customHeight="1">
      <c r="A323" t="inlineStr">
        <is>
          <t>A 40656-2022</t>
        </is>
      </c>
      <c r="B323" s="1" t="n">
        <v>44824.36069444445</v>
      </c>
      <c r="C323" s="1" t="n">
        <v>46025</v>
      </c>
      <c r="D323" t="inlineStr">
        <is>
          <t>STOCKHOLMS LÄN</t>
        </is>
      </c>
      <c r="E323" t="inlineStr">
        <is>
          <t>NORRTÄLJE</t>
        </is>
      </c>
      <c r="G323" t="n">
        <v>2.7</v>
      </c>
      <c r="H323" t="n">
        <v>0</v>
      </c>
      <c r="I323" t="n">
        <v>0</v>
      </c>
      <c r="J323" t="n">
        <v>0</v>
      </c>
      <c r="K323" t="n">
        <v>0</v>
      </c>
      <c r="L323" t="n">
        <v>0</v>
      </c>
      <c r="M323" t="n">
        <v>0</v>
      </c>
      <c r="N323" t="n">
        <v>0</v>
      </c>
      <c r="O323" t="n">
        <v>0</v>
      </c>
      <c r="P323" t="n">
        <v>0</v>
      </c>
      <c r="Q323" t="n">
        <v>0</v>
      </c>
      <c r="R323" s="2" t="inlineStr"/>
    </row>
    <row r="324" ht="15" customHeight="1">
      <c r="A324" t="inlineStr">
        <is>
          <t>A 53600-2022</t>
        </is>
      </c>
      <c r="B324" s="1" t="n">
        <v>44879.70518518519</v>
      </c>
      <c r="C324" s="1" t="n">
        <v>46025</v>
      </c>
      <c r="D324" t="inlineStr">
        <is>
          <t>STOCKHOLMS LÄN</t>
        </is>
      </c>
      <c r="E324" t="inlineStr">
        <is>
          <t>NORRTÄLJE</t>
        </is>
      </c>
      <c r="G324" t="n">
        <v>4.3</v>
      </c>
      <c r="H324" t="n">
        <v>0</v>
      </c>
      <c r="I324" t="n">
        <v>0</v>
      </c>
      <c r="J324" t="n">
        <v>0</v>
      </c>
      <c r="K324" t="n">
        <v>0</v>
      </c>
      <c r="L324" t="n">
        <v>0</v>
      </c>
      <c r="M324" t="n">
        <v>0</v>
      </c>
      <c r="N324" t="n">
        <v>0</v>
      </c>
      <c r="O324" t="n">
        <v>0</v>
      </c>
      <c r="P324" t="n">
        <v>0</v>
      </c>
      <c r="Q324" t="n">
        <v>0</v>
      </c>
      <c r="R324" s="2" t="inlineStr"/>
    </row>
    <row r="325" ht="15" customHeight="1">
      <c r="A325" t="inlineStr">
        <is>
          <t>A 42955-2022</t>
        </is>
      </c>
      <c r="B325" s="1" t="n">
        <v>44833.40876157407</v>
      </c>
      <c r="C325" s="1" t="n">
        <v>46025</v>
      </c>
      <c r="D325" t="inlineStr">
        <is>
          <t>STOCKHOLMS LÄN</t>
        </is>
      </c>
      <c r="E325" t="inlineStr">
        <is>
          <t>NORRTÄLJE</t>
        </is>
      </c>
      <c r="G325" t="n">
        <v>13.1</v>
      </c>
      <c r="H325" t="n">
        <v>0</v>
      </c>
      <c r="I325" t="n">
        <v>0</v>
      </c>
      <c r="J325" t="n">
        <v>0</v>
      </c>
      <c r="K325" t="n">
        <v>0</v>
      </c>
      <c r="L325" t="n">
        <v>0</v>
      </c>
      <c r="M325" t="n">
        <v>0</v>
      </c>
      <c r="N325" t="n">
        <v>0</v>
      </c>
      <c r="O325" t="n">
        <v>0</v>
      </c>
      <c r="P325" t="n">
        <v>0</v>
      </c>
      <c r="Q325" t="n">
        <v>0</v>
      </c>
      <c r="R325" s="2" t="inlineStr"/>
    </row>
    <row r="326" ht="15" customHeight="1">
      <c r="A326" t="inlineStr">
        <is>
          <t>A 20136-2025</t>
        </is>
      </c>
      <c r="B326" s="1" t="n">
        <v>45772.51127314815</v>
      </c>
      <c r="C326" s="1" t="n">
        <v>46025</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15978-2024</t>
        </is>
      </c>
      <c r="B327" s="1" t="n">
        <v>45405.57927083333</v>
      </c>
      <c r="C327" s="1" t="n">
        <v>46025</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20473-2021</t>
        </is>
      </c>
      <c r="B328" s="1" t="n">
        <v>44315</v>
      </c>
      <c r="C328" s="1" t="n">
        <v>46025</v>
      </c>
      <c r="D328" t="inlineStr">
        <is>
          <t>STOCKHOLMS LÄN</t>
        </is>
      </c>
      <c r="E328" t="inlineStr">
        <is>
          <t>NORRTÄLJE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46025</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51046-2023</t>
        </is>
      </c>
      <c r="B330" s="1" t="n">
        <v>45218</v>
      </c>
      <c r="C330" s="1" t="n">
        <v>46025</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5158-2024</t>
        </is>
      </c>
      <c r="B331" s="1" t="n">
        <v>45330.50098379629</v>
      </c>
      <c r="C331" s="1" t="n">
        <v>46025</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8736-2024</t>
        </is>
      </c>
      <c r="B332" s="1" t="n">
        <v>45356.4722800926</v>
      </c>
      <c r="C332" s="1" t="n">
        <v>46025</v>
      </c>
      <c r="D332" t="inlineStr">
        <is>
          <t>STOCKHOLMS LÄN</t>
        </is>
      </c>
      <c r="E332" t="inlineStr">
        <is>
          <t>NORRTÄLJE</t>
        </is>
      </c>
      <c r="G332" t="n">
        <v>8.9</v>
      </c>
      <c r="H332" t="n">
        <v>0</v>
      </c>
      <c r="I332" t="n">
        <v>0</v>
      </c>
      <c r="J332" t="n">
        <v>0</v>
      </c>
      <c r="K332" t="n">
        <v>0</v>
      </c>
      <c r="L332" t="n">
        <v>0</v>
      </c>
      <c r="M332" t="n">
        <v>0</v>
      </c>
      <c r="N332" t="n">
        <v>0</v>
      </c>
      <c r="O332" t="n">
        <v>0</v>
      </c>
      <c r="P332" t="n">
        <v>0</v>
      </c>
      <c r="Q332" t="n">
        <v>0</v>
      </c>
      <c r="R332" s="2" t="inlineStr"/>
    </row>
    <row r="333" ht="15" customHeight="1">
      <c r="A333" t="inlineStr">
        <is>
          <t>A 15552-2021</t>
        </is>
      </c>
      <c r="B333" s="1" t="n">
        <v>44285</v>
      </c>
      <c r="C333" s="1" t="n">
        <v>46025</v>
      </c>
      <c r="D333" t="inlineStr">
        <is>
          <t>STOCKHOLMS LÄN</t>
        </is>
      </c>
      <c r="E333" t="inlineStr">
        <is>
          <t>NORRTÄLJE</t>
        </is>
      </c>
      <c r="G333" t="n">
        <v>10</v>
      </c>
      <c r="H333" t="n">
        <v>0</v>
      </c>
      <c r="I333" t="n">
        <v>0</v>
      </c>
      <c r="J333" t="n">
        <v>0</v>
      </c>
      <c r="K333" t="n">
        <v>0</v>
      </c>
      <c r="L333" t="n">
        <v>0</v>
      </c>
      <c r="M333" t="n">
        <v>0</v>
      </c>
      <c r="N333" t="n">
        <v>0</v>
      </c>
      <c r="O333" t="n">
        <v>0</v>
      </c>
      <c r="P333" t="n">
        <v>0</v>
      </c>
      <c r="Q333" t="n">
        <v>0</v>
      </c>
      <c r="R333" s="2" t="inlineStr"/>
    </row>
    <row r="334" ht="15" customHeight="1">
      <c r="A334" t="inlineStr">
        <is>
          <t>A 45255-2022</t>
        </is>
      </c>
      <c r="B334" s="1" t="n">
        <v>44840</v>
      </c>
      <c r="C334" s="1" t="n">
        <v>46025</v>
      </c>
      <c r="D334" t="inlineStr">
        <is>
          <t>STOCKHOLMS LÄN</t>
        </is>
      </c>
      <c r="E334" t="inlineStr">
        <is>
          <t>NORRTÄLJE</t>
        </is>
      </c>
      <c r="G334" t="n">
        <v>4.1</v>
      </c>
      <c r="H334" t="n">
        <v>0</v>
      </c>
      <c r="I334" t="n">
        <v>0</v>
      </c>
      <c r="J334" t="n">
        <v>0</v>
      </c>
      <c r="K334" t="n">
        <v>0</v>
      </c>
      <c r="L334" t="n">
        <v>0</v>
      </c>
      <c r="M334" t="n">
        <v>0</v>
      </c>
      <c r="N334" t="n">
        <v>0</v>
      </c>
      <c r="O334" t="n">
        <v>0</v>
      </c>
      <c r="P334" t="n">
        <v>0</v>
      </c>
      <c r="Q334" t="n">
        <v>0</v>
      </c>
      <c r="R334" s="2" t="inlineStr"/>
    </row>
    <row r="335" ht="15" customHeight="1">
      <c r="A335" t="inlineStr">
        <is>
          <t>A 19915-2024</t>
        </is>
      </c>
      <c r="B335" s="1" t="n">
        <v>45433.58431712963</v>
      </c>
      <c r="C335" s="1" t="n">
        <v>46025</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12629-2024</t>
        </is>
      </c>
      <c r="B336" s="1" t="n">
        <v>45383</v>
      </c>
      <c r="C336" s="1" t="n">
        <v>46025</v>
      </c>
      <c r="D336" t="inlineStr">
        <is>
          <t>STOCKHOLMS LÄN</t>
        </is>
      </c>
      <c r="E336" t="inlineStr">
        <is>
          <t>NORRTÄLJE</t>
        </is>
      </c>
      <c r="G336" t="n">
        <v>2.6</v>
      </c>
      <c r="H336" t="n">
        <v>0</v>
      </c>
      <c r="I336" t="n">
        <v>0</v>
      </c>
      <c r="J336" t="n">
        <v>0</v>
      </c>
      <c r="K336" t="n">
        <v>0</v>
      </c>
      <c r="L336" t="n">
        <v>0</v>
      </c>
      <c r="M336" t="n">
        <v>0</v>
      </c>
      <c r="N336" t="n">
        <v>0</v>
      </c>
      <c r="O336" t="n">
        <v>0</v>
      </c>
      <c r="P336" t="n">
        <v>0</v>
      </c>
      <c r="Q336" t="n">
        <v>0</v>
      </c>
      <c r="R336" s="2" t="inlineStr"/>
    </row>
    <row r="337" ht="15" customHeight="1">
      <c r="A337" t="inlineStr">
        <is>
          <t>A 14762-2024</t>
        </is>
      </c>
      <c r="B337" s="1" t="n">
        <v>45397</v>
      </c>
      <c r="C337" s="1" t="n">
        <v>46025</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20428-2024</t>
        </is>
      </c>
      <c r="B338" s="1" t="n">
        <v>45435</v>
      </c>
      <c r="C338" s="1" t="n">
        <v>46025</v>
      </c>
      <c r="D338" t="inlineStr">
        <is>
          <t>STOCKHOLMS LÄN</t>
        </is>
      </c>
      <c r="E338" t="inlineStr">
        <is>
          <t>NORRTÄLJE</t>
        </is>
      </c>
      <c r="G338" t="n">
        <v>3.7</v>
      </c>
      <c r="H338" t="n">
        <v>0</v>
      </c>
      <c r="I338" t="n">
        <v>0</v>
      </c>
      <c r="J338" t="n">
        <v>0</v>
      </c>
      <c r="K338" t="n">
        <v>0</v>
      </c>
      <c r="L338" t="n">
        <v>0</v>
      </c>
      <c r="M338" t="n">
        <v>0</v>
      </c>
      <c r="N338" t="n">
        <v>0</v>
      </c>
      <c r="O338" t="n">
        <v>0</v>
      </c>
      <c r="P338" t="n">
        <v>0</v>
      </c>
      <c r="Q338" t="n">
        <v>0</v>
      </c>
      <c r="R338" s="2" t="inlineStr"/>
    </row>
    <row r="339" ht="15" customHeight="1">
      <c r="A339" t="inlineStr">
        <is>
          <t>A 57037-2022</t>
        </is>
      </c>
      <c r="B339" s="1" t="n">
        <v>44895</v>
      </c>
      <c r="C339" s="1" t="n">
        <v>46025</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13051-2021</t>
        </is>
      </c>
      <c r="B340" s="1" t="n">
        <v>44272</v>
      </c>
      <c r="C340" s="1" t="n">
        <v>46025</v>
      </c>
      <c r="D340" t="inlineStr">
        <is>
          <t>STOCKHOLMS LÄN</t>
        </is>
      </c>
      <c r="E340" t="inlineStr">
        <is>
          <t>NORRTÄLJE</t>
        </is>
      </c>
      <c r="G340" t="n">
        <v>9.1</v>
      </c>
      <c r="H340" t="n">
        <v>0</v>
      </c>
      <c r="I340" t="n">
        <v>0</v>
      </c>
      <c r="J340" t="n">
        <v>0</v>
      </c>
      <c r="K340" t="n">
        <v>0</v>
      </c>
      <c r="L340" t="n">
        <v>0</v>
      </c>
      <c r="M340" t="n">
        <v>0</v>
      </c>
      <c r="N340" t="n">
        <v>0</v>
      </c>
      <c r="O340" t="n">
        <v>0</v>
      </c>
      <c r="P340" t="n">
        <v>0</v>
      </c>
      <c r="Q340" t="n">
        <v>0</v>
      </c>
      <c r="R340" s="2" t="inlineStr"/>
    </row>
    <row r="341" ht="15" customHeight="1">
      <c r="A341" t="inlineStr">
        <is>
          <t>A 55755-2023</t>
        </is>
      </c>
      <c r="B341" s="1" t="n">
        <v>45239</v>
      </c>
      <c r="C341" s="1" t="n">
        <v>46025</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23149-2024</t>
        </is>
      </c>
      <c r="B342" s="1" t="n">
        <v>45450.64208333333</v>
      </c>
      <c r="C342" s="1" t="n">
        <v>46025</v>
      </c>
      <c r="D342" t="inlineStr">
        <is>
          <t>STOCKHOLMS LÄN</t>
        </is>
      </c>
      <c r="E342" t="inlineStr">
        <is>
          <t>NORRTÄLJE</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23151-2024</t>
        </is>
      </c>
      <c r="B343" s="1" t="n">
        <v>45450</v>
      </c>
      <c r="C343" s="1" t="n">
        <v>46025</v>
      </c>
      <c r="D343" t="inlineStr">
        <is>
          <t>STOCKHOLMS LÄN</t>
        </is>
      </c>
      <c r="E343" t="inlineStr">
        <is>
          <t>NORRTÄLJE</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46025</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45549-2022</t>
        </is>
      </c>
      <c r="B345" s="1" t="n">
        <v>44845.48064814815</v>
      </c>
      <c r="C345" s="1" t="n">
        <v>46025</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40761-2024</t>
        </is>
      </c>
      <c r="B346" s="1" t="n">
        <v>45558.46283564815</v>
      </c>
      <c r="C346" s="1" t="n">
        <v>46025</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51978-2023</t>
        </is>
      </c>
      <c r="B347" s="1" t="n">
        <v>45223</v>
      </c>
      <c r="C347" s="1" t="n">
        <v>46025</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47431-2023</t>
        </is>
      </c>
      <c r="B348" s="1" t="n">
        <v>45202</v>
      </c>
      <c r="C348" s="1" t="n">
        <v>46025</v>
      </c>
      <c r="D348" t="inlineStr">
        <is>
          <t>STOCKHOLMS LÄN</t>
        </is>
      </c>
      <c r="E348" t="inlineStr">
        <is>
          <t>NORRTÄLJE</t>
        </is>
      </c>
      <c r="F348" t="inlineStr">
        <is>
          <t>Naturvårdsverket</t>
        </is>
      </c>
      <c r="G348" t="n">
        <v>1.2</v>
      </c>
      <c r="H348" t="n">
        <v>0</v>
      </c>
      <c r="I348" t="n">
        <v>0</v>
      </c>
      <c r="J348" t="n">
        <v>0</v>
      </c>
      <c r="K348" t="n">
        <v>0</v>
      </c>
      <c r="L348" t="n">
        <v>0</v>
      </c>
      <c r="M348" t="n">
        <v>0</v>
      </c>
      <c r="N348" t="n">
        <v>0</v>
      </c>
      <c r="O348" t="n">
        <v>0</v>
      </c>
      <c r="P348" t="n">
        <v>0</v>
      </c>
      <c r="Q348" t="n">
        <v>0</v>
      </c>
      <c r="R348" s="2" t="inlineStr"/>
    </row>
    <row r="349" ht="15" customHeight="1">
      <c r="A349" t="inlineStr">
        <is>
          <t>A 23692-2024</t>
        </is>
      </c>
      <c r="B349" s="1" t="n">
        <v>45454.65774305556</v>
      </c>
      <c r="C349" s="1" t="n">
        <v>46025</v>
      </c>
      <c r="D349" t="inlineStr">
        <is>
          <t>STOCKHOLMS LÄN</t>
        </is>
      </c>
      <c r="E349" t="inlineStr">
        <is>
          <t>NORRTÄLJE</t>
        </is>
      </c>
      <c r="G349" t="n">
        <v>3.7</v>
      </c>
      <c r="H349" t="n">
        <v>0</v>
      </c>
      <c r="I349" t="n">
        <v>0</v>
      </c>
      <c r="J349" t="n">
        <v>0</v>
      </c>
      <c r="K349" t="n">
        <v>0</v>
      </c>
      <c r="L349" t="n">
        <v>0</v>
      </c>
      <c r="M349" t="n">
        <v>0</v>
      </c>
      <c r="N349" t="n">
        <v>0</v>
      </c>
      <c r="O349" t="n">
        <v>0</v>
      </c>
      <c r="P349" t="n">
        <v>0</v>
      </c>
      <c r="Q349" t="n">
        <v>0</v>
      </c>
      <c r="R349" s="2" t="inlineStr"/>
    </row>
    <row r="350" ht="15" customHeight="1">
      <c r="A350" t="inlineStr">
        <is>
          <t>A 23262-2023</t>
        </is>
      </c>
      <c r="B350" s="1" t="n">
        <v>45075.90270833333</v>
      </c>
      <c r="C350" s="1" t="n">
        <v>46025</v>
      </c>
      <c r="D350" t="inlineStr">
        <is>
          <t>STOCKHOLMS LÄN</t>
        </is>
      </c>
      <c r="E350" t="inlineStr">
        <is>
          <t>NORRTÄLJE</t>
        </is>
      </c>
      <c r="F350" t="inlineStr">
        <is>
          <t>Kommuner</t>
        </is>
      </c>
      <c r="G350" t="n">
        <v>1.9</v>
      </c>
      <c r="H350" t="n">
        <v>0</v>
      </c>
      <c r="I350" t="n">
        <v>0</v>
      </c>
      <c r="J350" t="n">
        <v>0</v>
      </c>
      <c r="K350" t="n">
        <v>0</v>
      </c>
      <c r="L350" t="n">
        <v>0</v>
      </c>
      <c r="M350" t="n">
        <v>0</v>
      </c>
      <c r="N350" t="n">
        <v>0</v>
      </c>
      <c r="O350" t="n">
        <v>0</v>
      </c>
      <c r="P350" t="n">
        <v>0</v>
      </c>
      <c r="Q350" t="n">
        <v>0</v>
      </c>
      <c r="R350" s="2" t="inlineStr"/>
    </row>
    <row r="351" ht="15" customHeight="1">
      <c r="A351" t="inlineStr">
        <is>
          <t>A 23268-2023</t>
        </is>
      </c>
      <c r="B351" s="1" t="n">
        <v>45075.91042824074</v>
      </c>
      <c r="C351" s="1" t="n">
        <v>46025</v>
      </c>
      <c r="D351" t="inlineStr">
        <is>
          <t>STOCKHOLMS LÄN</t>
        </is>
      </c>
      <c r="E351" t="inlineStr">
        <is>
          <t>NORRTÄLJE</t>
        </is>
      </c>
      <c r="G351" t="n">
        <v>3.3</v>
      </c>
      <c r="H351" t="n">
        <v>0</v>
      </c>
      <c r="I351" t="n">
        <v>0</v>
      </c>
      <c r="J351" t="n">
        <v>0</v>
      </c>
      <c r="K351" t="n">
        <v>0</v>
      </c>
      <c r="L351" t="n">
        <v>0</v>
      </c>
      <c r="M351" t="n">
        <v>0</v>
      </c>
      <c r="N351" t="n">
        <v>0</v>
      </c>
      <c r="O351" t="n">
        <v>0</v>
      </c>
      <c r="P351" t="n">
        <v>0</v>
      </c>
      <c r="Q351" t="n">
        <v>0</v>
      </c>
      <c r="R351" s="2" t="inlineStr"/>
    </row>
    <row r="352" ht="15" customHeight="1">
      <c r="A352" t="inlineStr">
        <is>
          <t>A 23270-2023</t>
        </is>
      </c>
      <c r="B352" s="1" t="n">
        <v>45075.91265046296</v>
      </c>
      <c r="C352" s="1" t="n">
        <v>46025</v>
      </c>
      <c r="D352" t="inlineStr">
        <is>
          <t>STOCKHOLMS LÄN</t>
        </is>
      </c>
      <c r="E352" t="inlineStr">
        <is>
          <t>NORRTÄLJE</t>
        </is>
      </c>
      <c r="G352" t="n">
        <v>12.3</v>
      </c>
      <c r="H352" t="n">
        <v>0</v>
      </c>
      <c r="I352" t="n">
        <v>0</v>
      </c>
      <c r="J352" t="n">
        <v>0</v>
      </c>
      <c r="K352" t="n">
        <v>0</v>
      </c>
      <c r="L352" t="n">
        <v>0</v>
      </c>
      <c r="M352" t="n">
        <v>0</v>
      </c>
      <c r="N352" t="n">
        <v>0</v>
      </c>
      <c r="O352" t="n">
        <v>0</v>
      </c>
      <c r="P352" t="n">
        <v>0</v>
      </c>
      <c r="Q352" t="n">
        <v>0</v>
      </c>
      <c r="R352" s="2" t="inlineStr"/>
    </row>
    <row r="353" ht="15" customHeight="1">
      <c r="A353" t="inlineStr">
        <is>
          <t>A 23274-2023</t>
        </is>
      </c>
      <c r="B353" s="1" t="n">
        <v>45075.92153935185</v>
      </c>
      <c r="C353" s="1" t="n">
        <v>46025</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5732-2023</t>
        </is>
      </c>
      <c r="B354" s="1" t="n">
        <v>44962</v>
      </c>
      <c r="C354" s="1" t="n">
        <v>46025</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37550-2022</t>
        </is>
      </c>
      <c r="B355" s="1" t="n">
        <v>44809</v>
      </c>
      <c r="C355" s="1" t="n">
        <v>46025</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25609-2023</t>
        </is>
      </c>
      <c r="B356" s="1" t="n">
        <v>45089</v>
      </c>
      <c r="C356" s="1" t="n">
        <v>46025</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50569-2022</t>
        </is>
      </c>
      <c r="B357" s="1" t="n">
        <v>44866.63775462963</v>
      </c>
      <c r="C357" s="1" t="n">
        <v>46025</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60224-2023</t>
        </is>
      </c>
      <c r="B358" s="1" t="n">
        <v>45257</v>
      </c>
      <c r="C358" s="1" t="n">
        <v>46025</v>
      </c>
      <c r="D358" t="inlineStr">
        <is>
          <t>STOCKHOLMS LÄN</t>
        </is>
      </c>
      <c r="E358" t="inlineStr">
        <is>
          <t>NORRTÄLJE</t>
        </is>
      </c>
      <c r="G358" t="n">
        <v>8.1</v>
      </c>
      <c r="H358" t="n">
        <v>0</v>
      </c>
      <c r="I358" t="n">
        <v>0</v>
      </c>
      <c r="J358" t="n">
        <v>0</v>
      </c>
      <c r="K358" t="n">
        <v>0</v>
      </c>
      <c r="L358" t="n">
        <v>0</v>
      </c>
      <c r="M358" t="n">
        <v>0</v>
      </c>
      <c r="N358" t="n">
        <v>0</v>
      </c>
      <c r="O358" t="n">
        <v>0</v>
      </c>
      <c r="P358" t="n">
        <v>0</v>
      </c>
      <c r="Q358" t="n">
        <v>0</v>
      </c>
      <c r="R358" s="2" t="inlineStr"/>
    </row>
    <row r="359" ht="15" customHeight="1">
      <c r="A359" t="inlineStr">
        <is>
          <t>A 33569-2023</t>
        </is>
      </c>
      <c r="B359" s="1" t="n">
        <v>45131.666875</v>
      </c>
      <c r="C359" s="1" t="n">
        <v>46025</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17785-2024</t>
        </is>
      </c>
      <c r="B360" s="1" t="n">
        <v>45418.6968287037</v>
      </c>
      <c r="C360" s="1" t="n">
        <v>46025</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29684-2021</t>
        </is>
      </c>
      <c r="B361" s="1" t="n">
        <v>44362.37172453704</v>
      </c>
      <c r="C361" s="1" t="n">
        <v>46025</v>
      </c>
      <c r="D361" t="inlineStr">
        <is>
          <t>STOCKHOLMS LÄN</t>
        </is>
      </c>
      <c r="E361" t="inlineStr">
        <is>
          <t>NORRTÄLJE</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21386-2023</t>
        </is>
      </c>
      <c r="B362" s="1" t="n">
        <v>45063.35880787037</v>
      </c>
      <c r="C362" s="1" t="n">
        <v>46025</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22833-2024</t>
        </is>
      </c>
      <c r="B363" s="1" t="n">
        <v>45448.56746527777</v>
      </c>
      <c r="C363" s="1" t="n">
        <v>46025</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4593-2023</t>
        </is>
      </c>
      <c r="B364" s="1" t="n">
        <v>44956</v>
      </c>
      <c r="C364" s="1" t="n">
        <v>46025</v>
      </c>
      <c r="D364" t="inlineStr">
        <is>
          <t>STOCKHOLMS LÄN</t>
        </is>
      </c>
      <c r="E364" t="inlineStr">
        <is>
          <t>NORRTÄLJE</t>
        </is>
      </c>
      <c r="G364" t="n">
        <v>0.4</v>
      </c>
      <c r="H364" t="n">
        <v>0</v>
      </c>
      <c r="I364" t="n">
        <v>0</v>
      </c>
      <c r="J364" t="n">
        <v>0</v>
      </c>
      <c r="K364" t="n">
        <v>0</v>
      </c>
      <c r="L364" t="n">
        <v>0</v>
      </c>
      <c r="M364" t="n">
        <v>0</v>
      </c>
      <c r="N364" t="n">
        <v>0</v>
      </c>
      <c r="O364" t="n">
        <v>0</v>
      </c>
      <c r="P364" t="n">
        <v>0</v>
      </c>
      <c r="Q364" t="n">
        <v>0</v>
      </c>
      <c r="R364" s="2" t="inlineStr"/>
    </row>
    <row r="365" ht="15" customHeight="1">
      <c r="A365" t="inlineStr">
        <is>
          <t>A 32071-2023</t>
        </is>
      </c>
      <c r="B365" s="1" t="n">
        <v>45119.57728009259</v>
      </c>
      <c r="C365" s="1" t="n">
        <v>46025</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26115-2024</t>
        </is>
      </c>
      <c r="B366" s="1" t="n">
        <v>45468.45628472222</v>
      </c>
      <c r="C366" s="1" t="n">
        <v>46025</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25681-2024</t>
        </is>
      </c>
      <c r="B367" s="1" t="n">
        <v>45463.80486111111</v>
      </c>
      <c r="C367" s="1" t="n">
        <v>46025</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54396-2021</t>
        </is>
      </c>
      <c r="B368" s="1" t="n">
        <v>44472</v>
      </c>
      <c r="C368" s="1" t="n">
        <v>46025</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24245-2024</t>
        </is>
      </c>
      <c r="B369" s="1" t="n">
        <v>45457</v>
      </c>
      <c r="C369" s="1" t="n">
        <v>46025</v>
      </c>
      <c r="D369" t="inlineStr">
        <is>
          <t>STOCKHOLMS LÄN</t>
        </is>
      </c>
      <c r="E369" t="inlineStr">
        <is>
          <t>NORRTÄLJE</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54273-2021</t>
        </is>
      </c>
      <c r="B370" s="1" t="n">
        <v>44470.72987268519</v>
      </c>
      <c r="C370" s="1" t="n">
        <v>46025</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43212-2022</t>
        </is>
      </c>
      <c r="B371" s="1" t="n">
        <v>44834.38636574074</v>
      </c>
      <c r="C371" s="1" t="n">
        <v>46025</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6537-2024</t>
        </is>
      </c>
      <c r="B372" s="1" t="n">
        <v>45341.39853009259</v>
      </c>
      <c r="C372" s="1" t="n">
        <v>46025</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34295-2024</t>
        </is>
      </c>
      <c r="B373" s="1" t="n">
        <v>45524</v>
      </c>
      <c r="C373" s="1" t="n">
        <v>46025</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52260-2022</t>
        </is>
      </c>
      <c r="B374" s="1" t="n">
        <v>44869</v>
      </c>
      <c r="C374" s="1" t="n">
        <v>46025</v>
      </c>
      <c r="D374" t="inlineStr">
        <is>
          <t>STOCKHOLMS LÄN</t>
        </is>
      </c>
      <c r="E374" t="inlineStr">
        <is>
          <t>NORRTÄLJE</t>
        </is>
      </c>
      <c r="G374" t="n">
        <v>3.1</v>
      </c>
      <c r="H374" t="n">
        <v>0</v>
      </c>
      <c r="I374" t="n">
        <v>0</v>
      </c>
      <c r="J374" t="n">
        <v>0</v>
      </c>
      <c r="K374" t="n">
        <v>0</v>
      </c>
      <c r="L374" t="n">
        <v>0</v>
      </c>
      <c r="M374" t="n">
        <v>0</v>
      </c>
      <c r="N374" t="n">
        <v>0</v>
      </c>
      <c r="O374" t="n">
        <v>0</v>
      </c>
      <c r="P374" t="n">
        <v>0</v>
      </c>
      <c r="Q374" t="n">
        <v>0</v>
      </c>
      <c r="R374" s="2" t="inlineStr"/>
    </row>
    <row r="375" ht="15" customHeight="1">
      <c r="A375" t="inlineStr">
        <is>
          <t>A 4035-2023</t>
        </is>
      </c>
      <c r="B375" s="1" t="n">
        <v>44952.57989583333</v>
      </c>
      <c r="C375" s="1" t="n">
        <v>46025</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55058-2021</t>
        </is>
      </c>
      <c r="B376" s="1" t="n">
        <v>44474.62141203704</v>
      </c>
      <c r="C376" s="1" t="n">
        <v>46025</v>
      </c>
      <c r="D376" t="inlineStr">
        <is>
          <t>STOCKHOLMS LÄN</t>
        </is>
      </c>
      <c r="E376" t="inlineStr">
        <is>
          <t>NORRTÄLJE</t>
        </is>
      </c>
      <c r="G376" t="n">
        <v>1.9</v>
      </c>
      <c r="H376" t="n">
        <v>0</v>
      </c>
      <c r="I376" t="n">
        <v>0</v>
      </c>
      <c r="J376" t="n">
        <v>0</v>
      </c>
      <c r="K376" t="n">
        <v>0</v>
      </c>
      <c r="L376" t="n">
        <v>0</v>
      </c>
      <c r="M376" t="n">
        <v>0</v>
      </c>
      <c r="N376" t="n">
        <v>0</v>
      </c>
      <c r="O376" t="n">
        <v>0</v>
      </c>
      <c r="P376" t="n">
        <v>0</v>
      </c>
      <c r="Q376" t="n">
        <v>0</v>
      </c>
      <c r="R376" s="2" t="inlineStr"/>
    </row>
    <row r="377" ht="15" customHeight="1">
      <c r="A377" t="inlineStr">
        <is>
          <t>A 40192-2023</t>
        </is>
      </c>
      <c r="B377" s="1" t="n">
        <v>45169</v>
      </c>
      <c r="C377" s="1" t="n">
        <v>46025</v>
      </c>
      <c r="D377" t="inlineStr">
        <is>
          <t>STOCKHOLMS LÄN</t>
        </is>
      </c>
      <c r="E377" t="inlineStr">
        <is>
          <t>NORRTÄLJE</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26644-2024</t>
        </is>
      </c>
      <c r="B378" s="1" t="n">
        <v>45469</v>
      </c>
      <c r="C378" s="1" t="n">
        <v>46025</v>
      </c>
      <c r="D378" t="inlineStr">
        <is>
          <t>STOCKHOLMS LÄN</t>
        </is>
      </c>
      <c r="E378" t="inlineStr">
        <is>
          <t>NORRTÄLJE</t>
        </is>
      </c>
      <c r="G378" t="n">
        <v>4.3</v>
      </c>
      <c r="H378" t="n">
        <v>0</v>
      </c>
      <c r="I378" t="n">
        <v>0</v>
      </c>
      <c r="J378" t="n">
        <v>0</v>
      </c>
      <c r="K378" t="n">
        <v>0</v>
      </c>
      <c r="L378" t="n">
        <v>0</v>
      </c>
      <c r="M378" t="n">
        <v>0</v>
      </c>
      <c r="N378" t="n">
        <v>0</v>
      </c>
      <c r="O378" t="n">
        <v>0</v>
      </c>
      <c r="P378" t="n">
        <v>0</v>
      </c>
      <c r="Q378" t="n">
        <v>0</v>
      </c>
      <c r="R378" s="2" t="inlineStr"/>
    </row>
    <row r="379" ht="15" customHeight="1">
      <c r="A379" t="inlineStr">
        <is>
          <t>A 26668-2024</t>
        </is>
      </c>
      <c r="B379" s="1" t="n">
        <v>45469</v>
      </c>
      <c r="C379" s="1" t="n">
        <v>46025</v>
      </c>
      <c r="D379" t="inlineStr">
        <is>
          <t>STOCKHOLMS LÄN</t>
        </is>
      </c>
      <c r="E379" t="inlineStr">
        <is>
          <t>NORRTÄLJE</t>
        </is>
      </c>
      <c r="G379" t="n">
        <v>4.8</v>
      </c>
      <c r="H379" t="n">
        <v>0</v>
      </c>
      <c r="I379" t="n">
        <v>0</v>
      </c>
      <c r="J379" t="n">
        <v>0</v>
      </c>
      <c r="K379" t="n">
        <v>0</v>
      </c>
      <c r="L379" t="n">
        <v>0</v>
      </c>
      <c r="M379" t="n">
        <v>0</v>
      </c>
      <c r="N379" t="n">
        <v>0</v>
      </c>
      <c r="O379" t="n">
        <v>0</v>
      </c>
      <c r="P379" t="n">
        <v>0</v>
      </c>
      <c r="Q379" t="n">
        <v>0</v>
      </c>
      <c r="R379" s="2" t="inlineStr"/>
    </row>
    <row r="380" ht="15" customHeight="1">
      <c r="A380" t="inlineStr">
        <is>
          <t>A 46988-2024</t>
        </is>
      </c>
      <c r="B380" s="1" t="n">
        <v>45586</v>
      </c>
      <c r="C380" s="1" t="n">
        <v>46025</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9914-2023</t>
        </is>
      </c>
      <c r="B381" s="1" t="n">
        <v>44985</v>
      </c>
      <c r="C381" s="1" t="n">
        <v>46025</v>
      </c>
      <c r="D381" t="inlineStr">
        <is>
          <t>STOCKHOLMS LÄN</t>
        </is>
      </c>
      <c r="E381" t="inlineStr">
        <is>
          <t>NORRTÄLJE</t>
        </is>
      </c>
      <c r="G381" t="n">
        <v>4.2</v>
      </c>
      <c r="H381" t="n">
        <v>0</v>
      </c>
      <c r="I381" t="n">
        <v>0</v>
      </c>
      <c r="J381" t="n">
        <v>0</v>
      </c>
      <c r="K381" t="n">
        <v>0</v>
      </c>
      <c r="L381" t="n">
        <v>0</v>
      </c>
      <c r="M381" t="n">
        <v>0</v>
      </c>
      <c r="N381" t="n">
        <v>0</v>
      </c>
      <c r="O381" t="n">
        <v>0</v>
      </c>
      <c r="P381" t="n">
        <v>0</v>
      </c>
      <c r="Q381" t="n">
        <v>0</v>
      </c>
      <c r="R381" s="2" t="inlineStr"/>
    </row>
    <row r="382" ht="15" customHeight="1">
      <c r="A382" t="inlineStr">
        <is>
          <t>A 71552-2021</t>
        </is>
      </c>
      <c r="B382" s="1" t="n">
        <v>44540</v>
      </c>
      <c r="C382" s="1" t="n">
        <v>46025</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60525-2022</t>
        </is>
      </c>
      <c r="B383" s="1" t="n">
        <v>44904</v>
      </c>
      <c r="C383" s="1" t="n">
        <v>46025</v>
      </c>
      <c r="D383" t="inlineStr">
        <is>
          <t>STOCKHOLMS LÄN</t>
        </is>
      </c>
      <c r="E383" t="inlineStr">
        <is>
          <t>NORRTÄLJE</t>
        </is>
      </c>
      <c r="G383" t="n">
        <v>13.4</v>
      </c>
      <c r="H383" t="n">
        <v>0</v>
      </c>
      <c r="I383" t="n">
        <v>0</v>
      </c>
      <c r="J383" t="n">
        <v>0</v>
      </c>
      <c r="K383" t="n">
        <v>0</v>
      </c>
      <c r="L383" t="n">
        <v>0</v>
      </c>
      <c r="M383" t="n">
        <v>0</v>
      </c>
      <c r="N383" t="n">
        <v>0</v>
      </c>
      <c r="O383" t="n">
        <v>0</v>
      </c>
      <c r="P383" t="n">
        <v>0</v>
      </c>
      <c r="Q383" t="n">
        <v>0</v>
      </c>
      <c r="R383" s="2" t="inlineStr"/>
    </row>
    <row r="384" ht="15" customHeight="1">
      <c r="A384" t="inlineStr">
        <is>
          <t>A 17382-2024</t>
        </is>
      </c>
      <c r="B384" s="1" t="n">
        <v>45414.65855324074</v>
      </c>
      <c r="C384" s="1" t="n">
        <v>46025</v>
      </c>
      <c r="D384" t="inlineStr">
        <is>
          <t>STOCKHOLMS LÄN</t>
        </is>
      </c>
      <c r="E384" t="inlineStr">
        <is>
          <t>NORRTÄLJE</t>
        </is>
      </c>
      <c r="G384" t="n">
        <v>1.2</v>
      </c>
      <c r="H384" t="n">
        <v>0</v>
      </c>
      <c r="I384" t="n">
        <v>0</v>
      </c>
      <c r="J384" t="n">
        <v>0</v>
      </c>
      <c r="K384" t="n">
        <v>0</v>
      </c>
      <c r="L384" t="n">
        <v>0</v>
      </c>
      <c r="M384" t="n">
        <v>0</v>
      </c>
      <c r="N384" t="n">
        <v>0</v>
      </c>
      <c r="O384" t="n">
        <v>0</v>
      </c>
      <c r="P384" t="n">
        <v>0</v>
      </c>
      <c r="Q384" t="n">
        <v>0</v>
      </c>
      <c r="R384" s="2" t="inlineStr"/>
    </row>
    <row r="385" ht="15" customHeight="1">
      <c r="A385" t="inlineStr">
        <is>
          <t>A 58302-2022</t>
        </is>
      </c>
      <c r="B385" s="1" t="n">
        <v>44901</v>
      </c>
      <c r="C385" s="1" t="n">
        <v>46025</v>
      </c>
      <c r="D385" t="inlineStr">
        <is>
          <t>STOCKHOLMS LÄN</t>
        </is>
      </c>
      <c r="E385" t="inlineStr">
        <is>
          <t>NORRTÄLJE</t>
        </is>
      </c>
      <c r="G385" t="n">
        <v>3.9</v>
      </c>
      <c r="H385" t="n">
        <v>0</v>
      </c>
      <c r="I385" t="n">
        <v>0</v>
      </c>
      <c r="J385" t="n">
        <v>0</v>
      </c>
      <c r="K385" t="n">
        <v>0</v>
      </c>
      <c r="L385" t="n">
        <v>0</v>
      </c>
      <c r="M385" t="n">
        <v>0</v>
      </c>
      <c r="N385" t="n">
        <v>0</v>
      </c>
      <c r="O385" t="n">
        <v>0</v>
      </c>
      <c r="P385" t="n">
        <v>0</v>
      </c>
      <c r="Q385" t="n">
        <v>0</v>
      </c>
      <c r="R385" s="2" t="inlineStr"/>
    </row>
    <row r="386" ht="15" customHeight="1">
      <c r="A386" t="inlineStr">
        <is>
          <t>A 25557-2023</t>
        </is>
      </c>
      <c r="B386" s="1" t="n">
        <v>45089</v>
      </c>
      <c r="C386" s="1" t="n">
        <v>46025</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23060-2023</t>
        </is>
      </c>
      <c r="B387" s="1" t="n">
        <v>45075</v>
      </c>
      <c r="C387" s="1" t="n">
        <v>46025</v>
      </c>
      <c r="D387" t="inlineStr">
        <is>
          <t>STOCKHOLMS LÄN</t>
        </is>
      </c>
      <c r="E387" t="inlineStr">
        <is>
          <t>NORRTÄLJE</t>
        </is>
      </c>
      <c r="G387" t="n">
        <v>0.5</v>
      </c>
      <c r="H387" t="n">
        <v>0</v>
      </c>
      <c r="I387" t="n">
        <v>0</v>
      </c>
      <c r="J387" t="n">
        <v>0</v>
      </c>
      <c r="K387" t="n">
        <v>0</v>
      </c>
      <c r="L387" t="n">
        <v>0</v>
      </c>
      <c r="M387" t="n">
        <v>0</v>
      </c>
      <c r="N387" t="n">
        <v>0</v>
      </c>
      <c r="O387" t="n">
        <v>0</v>
      </c>
      <c r="P387" t="n">
        <v>0</v>
      </c>
      <c r="Q387" t="n">
        <v>0</v>
      </c>
      <c r="R387" s="2" t="inlineStr"/>
    </row>
    <row r="388" ht="15" customHeight="1">
      <c r="A388" t="inlineStr">
        <is>
          <t>A 23269-2023</t>
        </is>
      </c>
      <c r="B388" s="1" t="n">
        <v>45075.91148148148</v>
      </c>
      <c r="C388" s="1" t="n">
        <v>46025</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8586-2023</t>
        </is>
      </c>
      <c r="B389" s="1" t="n">
        <v>44977</v>
      </c>
      <c r="C389" s="1" t="n">
        <v>46025</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11499-2023</t>
        </is>
      </c>
      <c r="B390" s="1" t="n">
        <v>44993.66707175926</v>
      </c>
      <c r="C390" s="1" t="n">
        <v>46025</v>
      </c>
      <c r="D390" t="inlineStr">
        <is>
          <t>STOCKHOLMS LÄN</t>
        </is>
      </c>
      <c r="E390" t="inlineStr">
        <is>
          <t>NORRTÄLJE</t>
        </is>
      </c>
      <c r="F390" t="inlineStr">
        <is>
          <t>Holmen skog AB</t>
        </is>
      </c>
      <c r="G390" t="n">
        <v>2.8</v>
      </c>
      <c r="H390" t="n">
        <v>0</v>
      </c>
      <c r="I390" t="n">
        <v>0</v>
      </c>
      <c r="J390" t="n">
        <v>0</v>
      </c>
      <c r="K390" t="n">
        <v>0</v>
      </c>
      <c r="L390" t="n">
        <v>0</v>
      </c>
      <c r="M390" t="n">
        <v>0</v>
      </c>
      <c r="N390" t="n">
        <v>0</v>
      </c>
      <c r="O390" t="n">
        <v>0</v>
      </c>
      <c r="P390" t="n">
        <v>0</v>
      </c>
      <c r="Q390" t="n">
        <v>0</v>
      </c>
      <c r="R390" s="2" t="inlineStr"/>
    </row>
    <row r="391" ht="15" customHeight="1">
      <c r="A391" t="inlineStr">
        <is>
          <t>A 64600-2021</t>
        </is>
      </c>
      <c r="B391" s="1" t="n">
        <v>44511.70518518519</v>
      </c>
      <c r="C391" s="1" t="n">
        <v>46025</v>
      </c>
      <c r="D391" t="inlineStr">
        <is>
          <t>STOCKHOLMS LÄN</t>
        </is>
      </c>
      <c r="E391" t="inlineStr">
        <is>
          <t>NORRTÄLJE</t>
        </is>
      </c>
      <c r="G391" t="n">
        <v>6.2</v>
      </c>
      <c r="H391" t="n">
        <v>0</v>
      </c>
      <c r="I391" t="n">
        <v>0</v>
      </c>
      <c r="J391" t="n">
        <v>0</v>
      </c>
      <c r="K391" t="n">
        <v>0</v>
      </c>
      <c r="L391" t="n">
        <v>0</v>
      </c>
      <c r="M391" t="n">
        <v>0</v>
      </c>
      <c r="N391" t="n">
        <v>0</v>
      </c>
      <c r="O391" t="n">
        <v>0</v>
      </c>
      <c r="P391" t="n">
        <v>0</v>
      </c>
      <c r="Q391" t="n">
        <v>0</v>
      </c>
      <c r="R391" s="2" t="inlineStr"/>
    </row>
    <row r="392" ht="15" customHeight="1">
      <c r="A392" t="inlineStr">
        <is>
          <t>A 35640-2024</t>
        </is>
      </c>
      <c r="B392" s="1" t="n">
        <v>45531</v>
      </c>
      <c r="C392" s="1" t="n">
        <v>46025</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52743-2024</t>
        </is>
      </c>
      <c r="B393" s="1" t="n">
        <v>45610.47414351852</v>
      </c>
      <c r="C393" s="1" t="n">
        <v>46025</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67990-2021</t>
        </is>
      </c>
      <c r="B394" s="1" t="n">
        <v>44525</v>
      </c>
      <c r="C394" s="1" t="n">
        <v>46025</v>
      </c>
      <c r="D394" t="inlineStr">
        <is>
          <t>STOCKHOLMS LÄN</t>
        </is>
      </c>
      <c r="E394" t="inlineStr">
        <is>
          <t>NORRTÄLJE</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1740-2023</t>
        </is>
      </c>
      <c r="B395" s="1" t="n">
        <v>44938</v>
      </c>
      <c r="C395" s="1" t="n">
        <v>46025</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21696-2024</t>
        </is>
      </c>
      <c r="B396" s="1" t="n">
        <v>45442.45686342593</v>
      </c>
      <c r="C396" s="1" t="n">
        <v>46025</v>
      </c>
      <c r="D396" t="inlineStr">
        <is>
          <t>STOCKHOLMS LÄN</t>
        </is>
      </c>
      <c r="E396" t="inlineStr">
        <is>
          <t>NORRTÄLJE</t>
        </is>
      </c>
      <c r="G396" t="n">
        <v>2.9</v>
      </c>
      <c r="H396" t="n">
        <v>0</v>
      </c>
      <c r="I396" t="n">
        <v>0</v>
      </c>
      <c r="J396" t="n">
        <v>0</v>
      </c>
      <c r="K396" t="n">
        <v>0</v>
      </c>
      <c r="L396" t="n">
        <v>0</v>
      </c>
      <c r="M396" t="n">
        <v>0</v>
      </c>
      <c r="N396" t="n">
        <v>0</v>
      </c>
      <c r="O396" t="n">
        <v>0</v>
      </c>
      <c r="P396" t="n">
        <v>0</v>
      </c>
      <c r="Q396" t="n">
        <v>0</v>
      </c>
      <c r="R396" s="2" t="inlineStr"/>
    </row>
    <row r="397" ht="15" customHeight="1">
      <c r="A397" t="inlineStr">
        <is>
          <t>A 37085-2021</t>
        </is>
      </c>
      <c r="B397" s="1" t="n">
        <v>44395</v>
      </c>
      <c r="C397" s="1" t="n">
        <v>46025</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37136-2023</t>
        </is>
      </c>
      <c r="B398" s="1" t="n">
        <v>45155</v>
      </c>
      <c r="C398" s="1" t="n">
        <v>46025</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5423-2023</t>
        </is>
      </c>
      <c r="B399" s="1" t="n">
        <v>44959.74533564815</v>
      </c>
      <c r="C399" s="1" t="n">
        <v>46025</v>
      </c>
      <c r="D399" t="inlineStr">
        <is>
          <t>STOCKHOLMS LÄN</t>
        </is>
      </c>
      <c r="E399" t="inlineStr">
        <is>
          <t>NORRTÄLJE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58492-2022</t>
        </is>
      </c>
      <c r="B400" s="1" t="n">
        <v>44902</v>
      </c>
      <c r="C400" s="1" t="n">
        <v>46025</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27801-2025</t>
        </is>
      </c>
      <c r="B401" s="1" t="n">
        <v>45817.25471064815</v>
      </c>
      <c r="C401" s="1" t="n">
        <v>46025</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27821-2025</t>
        </is>
      </c>
      <c r="B402" s="1" t="n">
        <v>45817.34083333334</v>
      </c>
      <c r="C402" s="1" t="n">
        <v>46025</v>
      </c>
      <c r="D402" t="inlineStr">
        <is>
          <t>STOCKHOLMS LÄN</t>
        </is>
      </c>
      <c r="E402" t="inlineStr">
        <is>
          <t>NORRTÄLJE</t>
        </is>
      </c>
      <c r="G402" t="n">
        <v>3.2</v>
      </c>
      <c r="H402" t="n">
        <v>0</v>
      </c>
      <c r="I402" t="n">
        <v>0</v>
      </c>
      <c r="J402" t="n">
        <v>0</v>
      </c>
      <c r="K402" t="n">
        <v>0</v>
      </c>
      <c r="L402" t="n">
        <v>0</v>
      </c>
      <c r="M402" t="n">
        <v>0</v>
      </c>
      <c r="N402" t="n">
        <v>0</v>
      </c>
      <c r="O402" t="n">
        <v>0</v>
      </c>
      <c r="P402" t="n">
        <v>0</v>
      </c>
      <c r="Q402" t="n">
        <v>0</v>
      </c>
      <c r="R402" s="2" t="inlineStr"/>
    </row>
    <row r="403" ht="15" customHeight="1">
      <c r="A403" t="inlineStr">
        <is>
          <t>A 4581-2025</t>
        </is>
      </c>
      <c r="B403" s="1" t="n">
        <v>45687</v>
      </c>
      <c r="C403" s="1" t="n">
        <v>46025</v>
      </c>
      <c r="D403" t="inlineStr">
        <is>
          <t>STOCKHOLMS LÄN</t>
        </is>
      </c>
      <c r="E403" t="inlineStr">
        <is>
          <t>NORRTÄLJE</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22816-2021</t>
        </is>
      </c>
      <c r="B404" s="1" t="n">
        <v>44325</v>
      </c>
      <c r="C404" s="1" t="n">
        <v>46025</v>
      </c>
      <c r="D404" t="inlineStr">
        <is>
          <t>STOCKHOLMS LÄN</t>
        </is>
      </c>
      <c r="E404" t="inlineStr">
        <is>
          <t>NORRTÄLJE</t>
        </is>
      </c>
      <c r="G404" t="n">
        <v>4.5</v>
      </c>
      <c r="H404" t="n">
        <v>0</v>
      </c>
      <c r="I404" t="n">
        <v>0</v>
      </c>
      <c r="J404" t="n">
        <v>0</v>
      </c>
      <c r="K404" t="n">
        <v>0</v>
      </c>
      <c r="L404" t="n">
        <v>0</v>
      </c>
      <c r="M404" t="n">
        <v>0</v>
      </c>
      <c r="N404" t="n">
        <v>0</v>
      </c>
      <c r="O404" t="n">
        <v>0</v>
      </c>
      <c r="P404" t="n">
        <v>0</v>
      </c>
      <c r="Q404" t="n">
        <v>0</v>
      </c>
      <c r="R404" s="2" t="inlineStr"/>
    </row>
    <row r="405" ht="15" customHeight="1">
      <c r="A405" t="inlineStr">
        <is>
          <t>A 36157-2024</t>
        </is>
      </c>
      <c r="B405" s="1" t="n">
        <v>45534.38240740741</v>
      </c>
      <c r="C405" s="1" t="n">
        <v>46025</v>
      </c>
      <c r="D405" t="inlineStr">
        <is>
          <t>STOCKHOLMS LÄN</t>
        </is>
      </c>
      <c r="E405" t="inlineStr">
        <is>
          <t>NORRTÄLJE</t>
        </is>
      </c>
      <c r="F405" t="inlineStr">
        <is>
          <t>Övriga Aktiebolag</t>
        </is>
      </c>
      <c r="G405" t="n">
        <v>1.1</v>
      </c>
      <c r="H405" t="n">
        <v>0</v>
      </c>
      <c r="I405" t="n">
        <v>0</v>
      </c>
      <c r="J405" t="n">
        <v>0</v>
      </c>
      <c r="K405" t="n">
        <v>0</v>
      </c>
      <c r="L405" t="n">
        <v>0</v>
      </c>
      <c r="M405" t="n">
        <v>0</v>
      </c>
      <c r="N405" t="n">
        <v>0</v>
      </c>
      <c r="O405" t="n">
        <v>0</v>
      </c>
      <c r="P405" t="n">
        <v>0</v>
      </c>
      <c r="Q405" t="n">
        <v>0</v>
      </c>
      <c r="R405" s="2" t="inlineStr"/>
    </row>
    <row r="406" ht="15" customHeight="1">
      <c r="A406" t="inlineStr">
        <is>
          <t>A 62398-2022</t>
        </is>
      </c>
      <c r="B406" s="1" t="n">
        <v>44923.90159722222</v>
      </c>
      <c r="C406" s="1" t="n">
        <v>46025</v>
      </c>
      <c r="D406" t="inlineStr">
        <is>
          <t>STOCKHOLMS LÄN</t>
        </is>
      </c>
      <c r="E406" t="inlineStr">
        <is>
          <t>NORRTÄLJE</t>
        </is>
      </c>
      <c r="G406" t="n">
        <v>4</v>
      </c>
      <c r="H406" t="n">
        <v>0</v>
      </c>
      <c r="I406" t="n">
        <v>0</v>
      </c>
      <c r="J406" t="n">
        <v>0</v>
      </c>
      <c r="K406" t="n">
        <v>0</v>
      </c>
      <c r="L406" t="n">
        <v>0</v>
      </c>
      <c r="M406" t="n">
        <v>0</v>
      </c>
      <c r="N406" t="n">
        <v>0</v>
      </c>
      <c r="O406" t="n">
        <v>0</v>
      </c>
      <c r="P406" t="n">
        <v>0</v>
      </c>
      <c r="Q406" t="n">
        <v>0</v>
      </c>
      <c r="R406" s="2" t="inlineStr"/>
    </row>
    <row r="407" ht="15" customHeight="1">
      <c r="A407" t="inlineStr">
        <is>
          <t>A 17039-2024</t>
        </is>
      </c>
      <c r="B407" s="1" t="n">
        <v>45412.4104050926</v>
      </c>
      <c r="C407" s="1" t="n">
        <v>46025</v>
      </c>
      <c r="D407" t="inlineStr">
        <is>
          <t>STOCKHOLMS LÄN</t>
        </is>
      </c>
      <c r="E407" t="inlineStr">
        <is>
          <t>NORRTÄLJE</t>
        </is>
      </c>
      <c r="G407" t="n">
        <v>5.9</v>
      </c>
      <c r="H407" t="n">
        <v>0</v>
      </c>
      <c r="I407" t="n">
        <v>0</v>
      </c>
      <c r="J407" t="n">
        <v>0</v>
      </c>
      <c r="K407" t="n">
        <v>0</v>
      </c>
      <c r="L407" t="n">
        <v>0</v>
      </c>
      <c r="M407" t="n">
        <v>0</v>
      </c>
      <c r="N407" t="n">
        <v>0</v>
      </c>
      <c r="O407" t="n">
        <v>0</v>
      </c>
      <c r="P407" t="n">
        <v>0</v>
      </c>
      <c r="Q407" t="n">
        <v>0</v>
      </c>
      <c r="R407" s="2" t="inlineStr"/>
    </row>
    <row r="408" ht="15" customHeight="1">
      <c r="A408" t="inlineStr">
        <is>
          <t>A 65499-2021</t>
        </is>
      </c>
      <c r="B408" s="1" t="n">
        <v>44516</v>
      </c>
      <c r="C408" s="1" t="n">
        <v>46025</v>
      </c>
      <c r="D408" t="inlineStr">
        <is>
          <t>STOCKHOLMS LÄN</t>
        </is>
      </c>
      <c r="E408" t="inlineStr">
        <is>
          <t>NORRTÄLJE</t>
        </is>
      </c>
      <c r="F408" t="inlineStr">
        <is>
          <t>Kommuner</t>
        </is>
      </c>
      <c r="G408" t="n">
        <v>5.2</v>
      </c>
      <c r="H408" t="n">
        <v>0</v>
      </c>
      <c r="I408" t="n">
        <v>0</v>
      </c>
      <c r="J408" t="n">
        <v>0</v>
      </c>
      <c r="K408" t="n">
        <v>0</v>
      </c>
      <c r="L408" t="n">
        <v>0</v>
      </c>
      <c r="M408" t="n">
        <v>0</v>
      </c>
      <c r="N408" t="n">
        <v>0</v>
      </c>
      <c r="O408" t="n">
        <v>0</v>
      </c>
      <c r="P408" t="n">
        <v>0</v>
      </c>
      <c r="Q408" t="n">
        <v>0</v>
      </c>
      <c r="R408" s="2" t="inlineStr"/>
    </row>
    <row r="409" ht="15" customHeight="1">
      <c r="A409" t="inlineStr">
        <is>
          <t>A 3509-2022</t>
        </is>
      </c>
      <c r="B409" s="1" t="n">
        <v>44585</v>
      </c>
      <c r="C409" s="1" t="n">
        <v>46025</v>
      </c>
      <c r="D409" t="inlineStr">
        <is>
          <t>STOCKHOLMS LÄN</t>
        </is>
      </c>
      <c r="E409" t="inlineStr">
        <is>
          <t>NORRTÄLJE</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7697-2025</t>
        </is>
      </c>
      <c r="B410" s="1" t="n">
        <v>45706.40086805556</v>
      </c>
      <c r="C410" s="1" t="n">
        <v>46025</v>
      </c>
      <c r="D410" t="inlineStr">
        <is>
          <t>STOCKHOLMS LÄN</t>
        </is>
      </c>
      <c r="E410" t="inlineStr">
        <is>
          <t>NORRTÄLJE</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44075-2023</t>
        </is>
      </c>
      <c r="B411" s="1" t="n">
        <v>45188.41637731482</v>
      </c>
      <c r="C411" s="1" t="n">
        <v>46025</v>
      </c>
      <c r="D411" t="inlineStr">
        <is>
          <t>STOCKHOLMS LÄN</t>
        </is>
      </c>
      <c r="E411" t="inlineStr">
        <is>
          <t>NORRTÄLJE</t>
        </is>
      </c>
      <c r="F411" t="inlineStr">
        <is>
          <t>Holmen skog AB</t>
        </is>
      </c>
      <c r="G411" t="n">
        <v>2.4</v>
      </c>
      <c r="H411" t="n">
        <v>0</v>
      </c>
      <c r="I411" t="n">
        <v>0</v>
      </c>
      <c r="J411" t="n">
        <v>0</v>
      </c>
      <c r="K411" t="n">
        <v>0</v>
      </c>
      <c r="L411" t="n">
        <v>0</v>
      </c>
      <c r="M411" t="n">
        <v>0</v>
      </c>
      <c r="N411" t="n">
        <v>0</v>
      </c>
      <c r="O411" t="n">
        <v>0</v>
      </c>
      <c r="P411" t="n">
        <v>0</v>
      </c>
      <c r="Q411" t="n">
        <v>0</v>
      </c>
      <c r="R411" s="2" t="inlineStr"/>
    </row>
    <row r="412" ht="15" customHeight="1">
      <c r="A412" t="inlineStr">
        <is>
          <t>A 39669-2024</t>
        </is>
      </c>
      <c r="B412" s="1" t="n">
        <v>45552.52827546297</v>
      </c>
      <c r="C412" s="1" t="n">
        <v>46025</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2982-2023</t>
        </is>
      </c>
      <c r="B413" s="1" t="n">
        <v>44945.67409722223</v>
      </c>
      <c r="C413" s="1" t="n">
        <v>46025</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1448-2023</t>
        </is>
      </c>
      <c r="B414" s="1" t="n">
        <v>44937</v>
      </c>
      <c r="C414" s="1" t="n">
        <v>46025</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35127-2023</t>
        </is>
      </c>
      <c r="B415" s="1" t="n">
        <v>45145.51</v>
      </c>
      <c r="C415" s="1" t="n">
        <v>46025</v>
      </c>
      <c r="D415" t="inlineStr">
        <is>
          <t>STOCKHOLMS LÄN</t>
        </is>
      </c>
      <c r="E415" t="inlineStr">
        <is>
          <t>NORRTÄLJE</t>
        </is>
      </c>
      <c r="G415" t="n">
        <v>4.7</v>
      </c>
      <c r="H415" t="n">
        <v>0</v>
      </c>
      <c r="I415" t="n">
        <v>0</v>
      </c>
      <c r="J415" t="n">
        <v>0</v>
      </c>
      <c r="K415" t="n">
        <v>0</v>
      </c>
      <c r="L415" t="n">
        <v>0</v>
      </c>
      <c r="M415" t="n">
        <v>0</v>
      </c>
      <c r="N415" t="n">
        <v>0</v>
      </c>
      <c r="O415" t="n">
        <v>0</v>
      </c>
      <c r="P415" t="n">
        <v>0</v>
      </c>
      <c r="Q415" t="n">
        <v>0</v>
      </c>
      <c r="R415" s="2" t="inlineStr"/>
    </row>
    <row r="416" ht="15" customHeight="1">
      <c r="A416" t="inlineStr">
        <is>
          <t>A 50136-2023</t>
        </is>
      </c>
      <c r="B416" s="1" t="n">
        <v>45215</v>
      </c>
      <c r="C416" s="1" t="n">
        <v>46025</v>
      </c>
      <c r="D416" t="inlineStr">
        <is>
          <t>STOCKHOLMS LÄN</t>
        </is>
      </c>
      <c r="E416" t="inlineStr">
        <is>
          <t>NORRTÄLJE</t>
        </is>
      </c>
      <c r="G416" t="n">
        <v>5.2</v>
      </c>
      <c r="H416" t="n">
        <v>0</v>
      </c>
      <c r="I416" t="n">
        <v>0</v>
      </c>
      <c r="J416" t="n">
        <v>0</v>
      </c>
      <c r="K416" t="n">
        <v>0</v>
      </c>
      <c r="L416" t="n">
        <v>0</v>
      </c>
      <c r="M416" t="n">
        <v>0</v>
      </c>
      <c r="N416" t="n">
        <v>0</v>
      </c>
      <c r="O416" t="n">
        <v>0</v>
      </c>
      <c r="P416" t="n">
        <v>0</v>
      </c>
      <c r="Q416" t="n">
        <v>0</v>
      </c>
      <c r="R416" s="2" t="inlineStr"/>
    </row>
    <row r="417" ht="15" customHeight="1">
      <c r="A417" t="inlineStr">
        <is>
          <t>A 29250-2025</t>
        </is>
      </c>
      <c r="B417" s="1" t="n">
        <v>45824.37275462963</v>
      </c>
      <c r="C417" s="1" t="n">
        <v>46025</v>
      </c>
      <c r="D417" t="inlineStr">
        <is>
          <t>STOCKHOLMS LÄN</t>
        </is>
      </c>
      <c r="E417" t="inlineStr">
        <is>
          <t>NORRTÄLJE</t>
        </is>
      </c>
      <c r="F417" t="inlineStr">
        <is>
          <t>Sveaskog</t>
        </is>
      </c>
      <c r="G417" t="n">
        <v>6.4</v>
      </c>
      <c r="H417" t="n">
        <v>0</v>
      </c>
      <c r="I417" t="n">
        <v>0</v>
      </c>
      <c r="J417" t="n">
        <v>0</v>
      </c>
      <c r="K417" t="n">
        <v>0</v>
      </c>
      <c r="L417" t="n">
        <v>0</v>
      </c>
      <c r="M417" t="n">
        <v>0</v>
      </c>
      <c r="N417" t="n">
        <v>0</v>
      </c>
      <c r="O417" t="n">
        <v>0</v>
      </c>
      <c r="P417" t="n">
        <v>0</v>
      </c>
      <c r="Q417" t="n">
        <v>0</v>
      </c>
      <c r="R417" s="2" t="inlineStr"/>
    </row>
    <row r="418" ht="15" customHeight="1">
      <c r="A418" t="inlineStr">
        <is>
          <t>A 11229-2022</t>
        </is>
      </c>
      <c r="B418" s="1" t="n">
        <v>44629</v>
      </c>
      <c r="C418" s="1" t="n">
        <v>46025</v>
      </c>
      <c r="D418" t="inlineStr">
        <is>
          <t>STOCKHOLMS LÄN</t>
        </is>
      </c>
      <c r="E418" t="inlineStr">
        <is>
          <t>NORRTÄLJE</t>
        </is>
      </c>
      <c r="F418" t="inlineStr">
        <is>
          <t>Övriga Aktiebolag</t>
        </is>
      </c>
      <c r="G418" t="n">
        <v>4.1</v>
      </c>
      <c r="H418" t="n">
        <v>0</v>
      </c>
      <c r="I418" t="n">
        <v>0</v>
      </c>
      <c r="J418" t="n">
        <v>0</v>
      </c>
      <c r="K418" t="n">
        <v>0</v>
      </c>
      <c r="L418" t="n">
        <v>0</v>
      </c>
      <c r="M418" t="n">
        <v>0</v>
      </c>
      <c r="N418" t="n">
        <v>0</v>
      </c>
      <c r="O418" t="n">
        <v>0</v>
      </c>
      <c r="P418" t="n">
        <v>0</v>
      </c>
      <c r="Q418" t="n">
        <v>0</v>
      </c>
      <c r="R418" s="2" t="inlineStr"/>
    </row>
    <row r="419" ht="15" customHeight="1">
      <c r="A419" t="inlineStr">
        <is>
          <t>A 9654-2022</t>
        </is>
      </c>
      <c r="B419" s="1" t="n">
        <v>44617</v>
      </c>
      <c r="C419" s="1" t="n">
        <v>46025</v>
      </c>
      <c r="D419" t="inlineStr">
        <is>
          <t>STOCKHOLMS LÄN</t>
        </is>
      </c>
      <c r="E419" t="inlineStr">
        <is>
          <t>NORRTÄLJE</t>
        </is>
      </c>
      <c r="G419" t="n">
        <v>6.4</v>
      </c>
      <c r="H419" t="n">
        <v>0</v>
      </c>
      <c r="I419" t="n">
        <v>0</v>
      </c>
      <c r="J419" t="n">
        <v>0</v>
      </c>
      <c r="K419" t="n">
        <v>0</v>
      </c>
      <c r="L419" t="n">
        <v>0</v>
      </c>
      <c r="M419" t="n">
        <v>0</v>
      </c>
      <c r="N419" t="n">
        <v>0</v>
      </c>
      <c r="O419" t="n">
        <v>0</v>
      </c>
      <c r="P419" t="n">
        <v>0</v>
      </c>
      <c r="Q419" t="n">
        <v>0</v>
      </c>
      <c r="R419" s="2" t="inlineStr"/>
    </row>
    <row r="420" ht="15" customHeight="1">
      <c r="A420" t="inlineStr">
        <is>
          <t>A 5389-2025</t>
        </is>
      </c>
      <c r="B420" s="1" t="n">
        <v>45692</v>
      </c>
      <c r="C420" s="1" t="n">
        <v>46025</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37147-2023</t>
        </is>
      </c>
      <c r="B421" s="1" t="n">
        <v>45155</v>
      </c>
      <c r="C421" s="1" t="n">
        <v>46025</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59499-2023</t>
        </is>
      </c>
      <c r="B422" s="1" t="n">
        <v>45254</v>
      </c>
      <c r="C422" s="1" t="n">
        <v>46025</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60654-2023</t>
        </is>
      </c>
      <c r="B423" s="1" t="n">
        <v>45260.43225694444</v>
      </c>
      <c r="C423" s="1" t="n">
        <v>46025</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60656-2023</t>
        </is>
      </c>
      <c r="B424" s="1" t="n">
        <v>45260.4333449074</v>
      </c>
      <c r="C424" s="1" t="n">
        <v>46025</v>
      </c>
      <c r="D424" t="inlineStr">
        <is>
          <t>STOCKHOLMS LÄN</t>
        </is>
      </c>
      <c r="E424" t="inlineStr">
        <is>
          <t>NORRTÄLJE</t>
        </is>
      </c>
      <c r="G424" t="n">
        <v>4.8</v>
      </c>
      <c r="H424" t="n">
        <v>0</v>
      </c>
      <c r="I424" t="n">
        <v>0</v>
      </c>
      <c r="J424" t="n">
        <v>0</v>
      </c>
      <c r="K424" t="n">
        <v>0</v>
      </c>
      <c r="L424" t="n">
        <v>0</v>
      </c>
      <c r="M424" t="n">
        <v>0</v>
      </c>
      <c r="N424" t="n">
        <v>0</v>
      </c>
      <c r="O424" t="n">
        <v>0</v>
      </c>
      <c r="P424" t="n">
        <v>0</v>
      </c>
      <c r="Q424" t="n">
        <v>0</v>
      </c>
      <c r="R424" s="2" t="inlineStr"/>
    </row>
    <row r="425" ht="15" customHeight="1">
      <c r="A425" t="inlineStr">
        <is>
          <t>A 22697-2022</t>
        </is>
      </c>
      <c r="B425" s="1" t="n">
        <v>44714.56040509259</v>
      </c>
      <c r="C425" s="1" t="n">
        <v>46025</v>
      </c>
      <c r="D425" t="inlineStr">
        <is>
          <t>STOCKHOLMS LÄN</t>
        </is>
      </c>
      <c r="E425" t="inlineStr">
        <is>
          <t>NORRTÄLJE</t>
        </is>
      </c>
      <c r="G425" t="n">
        <v>5.6</v>
      </c>
      <c r="H425" t="n">
        <v>0</v>
      </c>
      <c r="I425" t="n">
        <v>0</v>
      </c>
      <c r="J425" t="n">
        <v>0</v>
      </c>
      <c r="K425" t="n">
        <v>0</v>
      </c>
      <c r="L425" t="n">
        <v>0</v>
      </c>
      <c r="M425" t="n">
        <v>0</v>
      </c>
      <c r="N425" t="n">
        <v>0</v>
      </c>
      <c r="O425" t="n">
        <v>0</v>
      </c>
      <c r="P425" t="n">
        <v>0</v>
      </c>
      <c r="Q425" t="n">
        <v>0</v>
      </c>
      <c r="R425" s="2" t="inlineStr"/>
    </row>
    <row r="426" ht="15" customHeight="1">
      <c r="A426" t="inlineStr">
        <is>
          <t>A 39149-2025</t>
        </is>
      </c>
      <c r="B426" s="1" t="n">
        <v>45888.60714120371</v>
      </c>
      <c r="C426" s="1" t="n">
        <v>46025</v>
      </c>
      <c r="D426" t="inlineStr">
        <is>
          <t>STOCKHOLMS LÄN</t>
        </is>
      </c>
      <c r="E426" t="inlineStr">
        <is>
          <t>NORRTÄLJE</t>
        </is>
      </c>
      <c r="G426" t="n">
        <v>3.5</v>
      </c>
      <c r="H426" t="n">
        <v>0</v>
      </c>
      <c r="I426" t="n">
        <v>0</v>
      </c>
      <c r="J426" t="n">
        <v>0</v>
      </c>
      <c r="K426" t="n">
        <v>0</v>
      </c>
      <c r="L426" t="n">
        <v>0</v>
      </c>
      <c r="M426" t="n">
        <v>0</v>
      </c>
      <c r="N426" t="n">
        <v>0</v>
      </c>
      <c r="O426" t="n">
        <v>0</v>
      </c>
      <c r="P426" t="n">
        <v>0</v>
      </c>
      <c r="Q426" t="n">
        <v>0</v>
      </c>
      <c r="R426" s="2" t="inlineStr"/>
    </row>
    <row r="427" ht="15" customHeight="1">
      <c r="A427" t="inlineStr">
        <is>
          <t>A 38720-2025</t>
        </is>
      </c>
      <c r="B427" s="1" t="n">
        <v>45886</v>
      </c>
      <c r="C427" s="1" t="n">
        <v>46025</v>
      </c>
      <c r="D427" t="inlineStr">
        <is>
          <t>STOCKHOLMS LÄN</t>
        </is>
      </c>
      <c r="E427" t="inlineStr">
        <is>
          <t>NORRTÄLJE</t>
        </is>
      </c>
      <c r="G427" t="n">
        <v>1.6</v>
      </c>
      <c r="H427" t="n">
        <v>0</v>
      </c>
      <c r="I427" t="n">
        <v>0</v>
      </c>
      <c r="J427" t="n">
        <v>0</v>
      </c>
      <c r="K427" t="n">
        <v>0</v>
      </c>
      <c r="L427" t="n">
        <v>0</v>
      </c>
      <c r="M427" t="n">
        <v>0</v>
      </c>
      <c r="N427" t="n">
        <v>0</v>
      </c>
      <c r="O427" t="n">
        <v>0</v>
      </c>
      <c r="P427" t="n">
        <v>0</v>
      </c>
      <c r="Q427" t="n">
        <v>0</v>
      </c>
      <c r="R427" s="2" t="inlineStr"/>
    </row>
    <row r="428" ht="15" customHeight="1">
      <c r="A428" t="inlineStr">
        <is>
          <t>A 39152-2025</t>
        </is>
      </c>
      <c r="B428" s="1" t="n">
        <v>45888</v>
      </c>
      <c r="C428" s="1" t="n">
        <v>46025</v>
      </c>
      <c r="D428" t="inlineStr">
        <is>
          <t>STOCKHOLMS LÄN</t>
        </is>
      </c>
      <c r="E428" t="inlineStr">
        <is>
          <t>NORRTÄLJE</t>
        </is>
      </c>
      <c r="G428" t="n">
        <v>4.6</v>
      </c>
      <c r="H428" t="n">
        <v>0</v>
      </c>
      <c r="I428" t="n">
        <v>0</v>
      </c>
      <c r="J428" t="n">
        <v>0</v>
      </c>
      <c r="K428" t="n">
        <v>0</v>
      </c>
      <c r="L428" t="n">
        <v>0</v>
      </c>
      <c r="M428" t="n">
        <v>0</v>
      </c>
      <c r="N428" t="n">
        <v>0</v>
      </c>
      <c r="O428" t="n">
        <v>0</v>
      </c>
      <c r="P428" t="n">
        <v>0</v>
      </c>
      <c r="Q428" t="n">
        <v>0</v>
      </c>
      <c r="R428" s="2" t="inlineStr"/>
    </row>
    <row r="429" ht="15" customHeight="1">
      <c r="A429" t="inlineStr">
        <is>
          <t>A 48180-2023</t>
        </is>
      </c>
      <c r="B429" s="1" t="n">
        <v>45205</v>
      </c>
      <c r="C429" s="1" t="n">
        <v>46025</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57353-2024</t>
        </is>
      </c>
      <c r="B430" s="1" t="n">
        <v>45629.65143518519</v>
      </c>
      <c r="C430" s="1" t="n">
        <v>46025</v>
      </c>
      <c r="D430" t="inlineStr">
        <is>
          <t>STOCKHOLMS LÄN</t>
        </is>
      </c>
      <c r="E430" t="inlineStr">
        <is>
          <t>NORRTÄLJE</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55696-2022</t>
        </is>
      </c>
      <c r="B431" s="1" t="n">
        <v>44888</v>
      </c>
      <c r="C431" s="1" t="n">
        <v>46025</v>
      </c>
      <c r="D431" t="inlineStr">
        <is>
          <t>STOCKHOLMS LÄN</t>
        </is>
      </c>
      <c r="E431" t="inlineStr">
        <is>
          <t>NORRTÄLJE</t>
        </is>
      </c>
      <c r="G431" t="n">
        <v>2.2</v>
      </c>
      <c r="H431" t="n">
        <v>0</v>
      </c>
      <c r="I431" t="n">
        <v>0</v>
      </c>
      <c r="J431" t="n">
        <v>0</v>
      </c>
      <c r="K431" t="n">
        <v>0</v>
      </c>
      <c r="L431" t="n">
        <v>0</v>
      </c>
      <c r="M431" t="n">
        <v>0</v>
      </c>
      <c r="N431" t="n">
        <v>0</v>
      </c>
      <c r="O431" t="n">
        <v>0</v>
      </c>
      <c r="P431" t="n">
        <v>0</v>
      </c>
      <c r="Q431" t="n">
        <v>0</v>
      </c>
      <c r="R431" s="2" t="inlineStr"/>
    </row>
    <row r="432" ht="15" customHeight="1">
      <c r="A432" t="inlineStr">
        <is>
          <t>A 50907-2022</t>
        </is>
      </c>
      <c r="B432" s="1" t="n">
        <v>44867.62090277778</v>
      </c>
      <c r="C432" s="1" t="n">
        <v>46025</v>
      </c>
      <c r="D432" t="inlineStr">
        <is>
          <t>STOCKHOLMS LÄN</t>
        </is>
      </c>
      <c r="E432" t="inlineStr">
        <is>
          <t>NORRTÄLJE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6919-2025</t>
        </is>
      </c>
      <c r="B433" s="1" t="n">
        <v>45701.44372685185</v>
      </c>
      <c r="C433" s="1" t="n">
        <v>46025</v>
      </c>
      <c r="D433" t="inlineStr">
        <is>
          <t>STOCKHOLMS LÄN</t>
        </is>
      </c>
      <c r="E433" t="inlineStr">
        <is>
          <t>NORRTÄLJE</t>
        </is>
      </c>
      <c r="G433" t="n">
        <v>3.5</v>
      </c>
      <c r="H433" t="n">
        <v>0</v>
      </c>
      <c r="I433" t="n">
        <v>0</v>
      </c>
      <c r="J433" t="n">
        <v>0</v>
      </c>
      <c r="K433" t="n">
        <v>0</v>
      </c>
      <c r="L433" t="n">
        <v>0</v>
      </c>
      <c r="M433" t="n">
        <v>0</v>
      </c>
      <c r="N433" t="n">
        <v>0</v>
      </c>
      <c r="O433" t="n">
        <v>0</v>
      </c>
      <c r="P433" t="n">
        <v>0</v>
      </c>
      <c r="Q433" t="n">
        <v>0</v>
      </c>
      <c r="R433" s="2" t="inlineStr"/>
    </row>
    <row r="434" ht="15" customHeight="1">
      <c r="A434" t="inlineStr">
        <is>
          <t>A 53362-2023</t>
        </is>
      </c>
      <c r="B434" s="1" t="n">
        <v>45223</v>
      </c>
      <c r="C434" s="1" t="n">
        <v>46025</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39692-2025</t>
        </is>
      </c>
      <c r="B435" s="1" t="n">
        <v>45890.68083333333</v>
      </c>
      <c r="C435" s="1" t="n">
        <v>46025</v>
      </c>
      <c r="D435" t="inlineStr">
        <is>
          <t>STOCKHOLMS LÄN</t>
        </is>
      </c>
      <c r="E435" t="inlineStr">
        <is>
          <t>NORRTÄLJE</t>
        </is>
      </c>
      <c r="G435" t="n">
        <v>10.5</v>
      </c>
      <c r="H435" t="n">
        <v>0</v>
      </c>
      <c r="I435" t="n">
        <v>0</v>
      </c>
      <c r="J435" t="n">
        <v>0</v>
      </c>
      <c r="K435" t="n">
        <v>0</v>
      </c>
      <c r="L435" t="n">
        <v>0</v>
      </c>
      <c r="M435" t="n">
        <v>0</v>
      </c>
      <c r="N435" t="n">
        <v>0</v>
      </c>
      <c r="O435" t="n">
        <v>0</v>
      </c>
      <c r="P435" t="n">
        <v>0</v>
      </c>
      <c r="Q435" t="n">
        <v>0</v>
      </c>
      <c r="R435" s="2" t="inlineStr"/>
    </row>
    <row r="436" ht="15" customHeight="1">
      <c r="A436" t="inlineStr">
        <is>
          <t>A 8433-2022</t>
        </is>
      </c>
      <c r="B436" s="1" t="n">
        <v>44611</v>
      </c>
      <c r="C436" s="1" t="n">
        <v>46025</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27677-2025</t>
        </is>
      </c>
      <c r="B437" s="1" t="n">
        <v>45813.63650462963</v>
      </c>
      <c r="C437" s="1" t="n">
        <v>46025</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10215-2023</t>
        </is>
      </c>
      <c r="B438" s="1" t="n">
        <v>44986.5887962963</v>
      </c>
      <c r="C438" s="1" t="n">
        <v>46025</v>
      </c>
      <c r="D438" t="inlineStr">
        <is>
          <t>STOCKHOLMS LÄN</t>
        </is>
      </c>
      <c r="E438" t="inlineStr">
        <is>
          <t>NORRTÄLJE</t>
        </is>
      </c>
      <c r="G438" t="n">
        <v>6.5</v>
      </c>
      <c r="H438" t="n">
        <v>0</v>
      </c>
      <c r="I438" t="n">
        <v>0</v>
      </c>
      <c r="J438" t="n">
        <v>0</v>
      </c>
      <c r="K438" t="n">
        <v>0</v>
      </c>
      <c r="L438" t="n">
        <v>0</v>
      </c>
      <c r="M438" t="n">
        <v>0</v>
      </c>
      <c r="N438" t="n">
        <v>0</v>
      </c>
      <c r="O438" t="n">
        <v>0</v>
      </c>
      <c r="P438" t="n">
        <v>0</v>
      </c>
      <c r="Q438" t="n">
        <v>0</v>
      </c>
      <c r="R438" s="2" t="inlineStr"/>
    </row>
    <row r="439" ht="15" customHeight="1">
      <c r="A439" t="inlineStr">
        <is>
          <t>A 40230-2025</t>
        </is>
      </c>
      <c r="B439" s="1" t="n">
        <v>45894.71101851852</v>
      </c>
      <c r="C439" s="1" t="n">
        <v>46025</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40228-2025</t>
        </is>
      </c>
      <c r="B440" s="1" t="n">
        <v>45894.70854166667</v>
      </c>
      <c r="C440" s="1" t="n">
        <v>46025</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35636-2025</t>
        </is>
      </c>
      <c r="B441" s="1" t="n">
        <v>45859</v>
      </c>
      <c r="C441" s="1" t="n">
        <v>46025</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14127-2025</t>
        </is>
      </c>
      <c r="B442" s="1" t="n">
        <v>45740.47055555556</v>
      </c>
      <c r="C442" s="1" t="n">
        <v>46025</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30668-2025</t>
        </is>
      </c>
      <c r="B443" s="1" t="n">
        <v>45831.51659722222</v>
      </c>
      <c r="C443" s="1" t="n">
        <v>46025</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40172-2025</t>
        </is>
      </c>
      <c r="B444" s="1" t="n">
        <v>45894.6353125</v>
      </c>
      <c r="C444" s="1" t="n">
        <v>46025</v>
      </c>
      <c r="D444" t="inlineStr">
        <is>
          <t>STOCKHOLMS LÄN</t>
        </is>
      </c>
      <c r="E444" t="inlineStr">
        <is>
          <t>NORRTÄLJE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31559-2022</t>
        </is>
      </c>
      <c r="B445" s="1" t="n">
        <v>44775</v>
      </c>
      <c r="C445" s="1" t="n">
        <v>46025</v>
      </c>
      <c r="D445" t="inlineStr">
        <is>
          <t>STOCKHOLMS LÄN</t>
        </is>
      </c>
      <c r="E445" t="inlineStr">
        <is>
          <t>NORRTÄLJE</t>
        </is>
      </c>
      <c r="G445" t="n">
        <v>5.6</v>
      </c>
      <c r="H445" t="n">
        <v>0</v>
      </c>
      <c r="I445" t="n">
        <v>0</v>
      </c>
      <c r="J445" t="n">
        <v>0</v>
      </c>
      <c r="K445" t="n">
        <v>0</v>
      </c>
      <c r="L445" t="n">
        <v>0</v>
      </c>
      <c r="M445" t="n">
        <v>0</v>
      </c>
      <c r="N445" t="n">
        <v>0</v>
      </c>
      <c r="O445" t="n">
        <v>0</v>
      </c>
      <c r="P445" t="n">
        <v>0</v>
      </c>
      <c r="Q445" t="n">
        <v>0</v>
      </c>
      <c r="R445" s="2" t="inlineStr"/>
    </row>
    <row r="446" ht="15" customHeight="1">
      <c r="A446" t="inlineStr">
        <is>
          <t>A 40033-2025</t>
        </is>
      </c>
      <c r="B446" s="1" t="n">
        <v>45893</v>
      </c>
      <c r="C446" s="1" t="n">
        <v>46025</v>
      </c>
      <c r="D446" t="inlineStr">
        <is>
          <t>STOCKHOLMS LÄN</t>
        </is>
      </c>
      <c r="E446" t="inlineStr">
        <is>
          <t>NORRTÄLJE</t>
        </is>
      </c>
      <c r="G446" t="n">
        <v>1.7</v>
      </c>
      <c r="H446" t="n">
        <v>0</v>
      </c>
      <c r="I446" t="n">
        <v>0</v>
      </c>
      <c r="J446" t="n">
        <v>0</v>
      </c>
      <c r="K446" t="n">
        <v>0</v>
      </c>
      <c r="L446" t="n">
        <v>0</v>
      </c>
      <c r="M446" t="n">
        <v>0</v>
      </c>
      <c r="N446" t="n">
        <v>0</v>
      </c>
      <c r="O446" t="n">
        <v>0</v>
      </c>
      <c r="P446" t="n">
        <v>0</v>
      </c>
      <c r="Q446" t="n">
        <v>0</v>
      </c>
      <c r="R446" s="2" t="inlineStr"/>
    </row>
    <row r="447" ht="15" customHeight="1">
      <c r="A447" t="inlineStr">
        <is>
          <t>A 40217-2025</t>
        </is>
      </c>
      <c r="B447" s="1" t="n">
        <v>45894.68864583333</v>
      </c>
      <c r="C447" s="1" t="n">
        <v>46025</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52001-2023</t>
        </is>
      </c>
      <c r="B448" s="1" t="n">
        <v>45223</v>
      </c>
      <c r="C448" s="1" t="n">
        <v>46025</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35639-2025</t>
        </is>
      </c>
      <c r="B449" s="1" t="n">
        <v>45859</v>
      </c>
      <c r="C449" s="1" t="n">
        <v>46025</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40032-2025</t>
        </is>
      </c>
      <c r="B450" s="1" t="n">
        <v>45893</v>
      </c>
      <c r="C450" s="1" t="n">
        <v>46025</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40097-2025</t>
        </is>
      </c>
      <c r="B451" s="1" t="n">
        <v>45894.48322916667</v>
      </c>
      <c r="C451" s="1" t="n">
        <v>46025</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40529-2025</t>
        </is>
      </c>
      <c r="B452" s="1" t="n">
        <v>45896.38466435186</v>
      </c>
      <c r="C452" s="1" t="n">
        <v>46025</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40292-2025</t>
        </is>
      </c>
      <c r="B453" s="1" t="n">
        <v>45895.3867824074</v>
      </c>
      <c r="C453" s="1" t="n">
        <v>46025</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40294-2025</t>
        </is>
      </c>
      <c r="B454" s="1" t="n">
        <v>45895.38778935185</v>
      </c>
      <c r="C454" s="1" t="n">
        <v>46025</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22456-2023</t>
        </is>
      </c>
      <c r="B455" s="1" t="n">
        <v>45070</v>
      </c>
      <c r="C455" s="1" t="n">
        <v>46025</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41275-2025</t>
        </is>
      </c>
      <c r="B456" s="1" t="n">
        <v>45898.62625</v>
      </c>
      <c r="C456" s="1" t="n">
        <v>46025</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19580-2022</t>
        </is>
      </c>
      <c r="B457" s="1" t="n">
        <v>44693</v>
      </c>
      <c r="C457" s="1" t="n">
        <v>46025</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40837-2025</t>
        </is>
      </c>
      <c r="B458" s="1" t="n">
        <v>45897.51328703704</v>
      </c>
      <c r="C458" s="1" t="n">
        <v>46025</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41030-2025</t>
        </is>
      </c>
      <c r="B459" s="1" t="n">
        <v>45898.37636574074</v>
      </c>
      <c r="C459" s="1" t="n">
        <v>46025</v>
      </c>
      <c r="D459" t="inlineStr">
        <is>
          <t>STOCKHOLMS LÄN</t>
        </is>
      </c>
      <c r="E459" t="inlineStr">
        <is>
          <t>NORRTÄLJE</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41158-2025</t>
        </is>
      </c>
      <c r="B460" s="1" t="n">
        <v>45898.5315625</v>
      </c>
      <c r="C460" s="1" t="n">
        <v>46025</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41301-2025</t>
        </is>
      </c>
      <c r="B461" s="1" t="n">
        <v>45898.68826388889</v>
      </c>
      <c r="C461" s="1" t="n">
        <v>46025</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41106-2025</t>
        </is>
      </c>
      <c r="B462" s="1" t="n">
        <v>45898.45636574074</v>
      </c>
      <c r="C462" s="1" t="n">
        <v>46025</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5823-2023</t>
        </is>
      </c>
      <c r="B463" s="1" t="n">
        <v>44963</v>
      </c>
      <c r="C463" s="1" t="n">
        <v>46025</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30731-2023</t>
        </is>
      </c>
      <c r="B464" s="1" t="n">
        <v>45112</v>
      </c>
      <c r="C464" s="1" t="n">
        <v>46025</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41174-2025</t>
        </is>
      </c>
      <c r="B465" s="1" t="n">
        <v>45898.54921296296</v>
      </c>
      <c r="C465" s="1" t="n">
        <v>46025</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41110-2025</t>
        </is>
      </c>
      <c r="B466" s="1" t="n">
        <v>45898.45976851852</v>
      </c>
      <c r="C466" s="1" t="n">
        <v>46025</v>
      </c>
      <c r="D466" t="inlineStr">
        <is>
          <t>STOCKHOLMS LÄN</t>
        </is>
      </c>
      <c r="E466" t="inlineStr">
        <is>
          <t>NORRTÄLJE</t>
        </is>
      </c>
      <c r="F466" t="inlineStr">
        <is>
          <t>Holmen skog AB</t>
        </is>
      </c>
      <c r="G466" t="n">
        <v>6.7</v>
      </c>
      <c r="H466" t="n">
        <v>0</v>
      </c>
      <c r="I466" t="n">
        <v>0</v>
      </c>
      <c r="J466" t="n">
        <v>0</v>
      </c>
      <c r="K466" t="n">
        <v>0</v>
      </c>
      <c r="L466" t="n">
        <v>0</v>
      </c>
      <c r="M466" t="n">
        <v>0</v>
      </c>
      <c r="N466" t="n">
        <v>0</v>
      </c>
      <c r="O466" t="n">
        <v>0</v>
      </c>
      <c r="P466" t="n">
        <v>0</v>
      </c>
      <c r="Q466" t="n">
        <v>0</v>
      </c>
      <c r="R466" s="2" t="inlineStr"/>
    </row>
    <row r="467" ht="15" customHeight="1">
      <c r="A467" t="inlineStr">
        <is>
          <t>A 11988-2021</t>
        </is>
      </c>
      <c r="B467" s="1" t="n">
        <v>44266</v>
      </c>
      <c r="C467" s="1" t="n">
        <v>46025</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12132-2021</t>
        </is>
      </c>
      <c r="B468" s="1" t="n">
        <v>44266</v>
      </c>
      <c r="C468" s="1" t="n">
        <v>46025</v>
      </c>
      <c r="D468" t="inlineStr">
        <is>
          <t>STOCKHOLMS LÄN</t>
        </is>
      </c>
      <c r="E468" t="inlineStr">
        <is>
          <t>NORRTÄLJE</t>
        </is>
      </c>
      <c r="G468" t="n">
        <v>4</v>
      </c>
      <c r="H468" t="n">
        <v>0</v>
      </c>
      <c r="I468" t="n">
        <v>0</v>
      </c>
      <c r="J468" t="n">
        <v>0</v>
      </c>
      <c r="K468" t="n">
        <v>0</v>
      </c>
      <c r="L468" t="n">
        <v>0</v>
      </c>
      <c r="M468" t="n">
        <v>0</v>
      </c>
      <c r="N468" t="n">
        <v>0</v>
      </c>
      <c r="O468" t="n">
        <v>0</v>
      </c>
      <c r="P468" t="n">
        <v>0</v>
      </c>
      <c r="Q468" t="n">
        <v>0</v>
      </c>
      <c r="R468" s="2" t="inlineStr"/>
    </row>
    <row r="469" ht="15" customHeight="1">
      <c r="A469" t="inlineStr">
        <is>
          <t>A 41259-2025</t>
        </is>
      </c>
      <c r="B469" s="1" t="n">
        <v>45898.61054398148</v>
      </c>
      <c r="C469" s="1" t="n">
        <v>46025</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30639-2025</t>
        </is>
      </c>
      <c r="B470" s="1" t="n">
        <v>45831.4844212963</v>
      </c>
      <c r="C470" s="1" t="n">
        <v>46025</v>
      </c>
      <c r="D470" t="inlineStr">
        <is>
          <t>STOCKHOLMS LÄN</t>
        </is>
      </c>
      <c r="E470" t="inlineStr">
        <is>
          <t>NORRTÄLJE</t>
        </is>
      </c>
      <c r="G470" t="n">
        <v>2</v>
      </c>
      <c r="H470" t="n">
        <v>0</v>
      </c>
      <c r="I470" t="n">
        <v>0</v>
      </c>
      <c r="J470" t="n">
        <v>0</v>
      </c>
      <c r="K470" t="n">
        <v>0</v>
      </c>
      <c r="L470" t="n">
        <v>0</v>
      </c>
      <c r="M470" t="n">
        <v>0</v>
      </c>
      <c r="N470" t="n">
        <v>0</v>
      </c>
      <c r="O470" t="n">
        <v>0</v>
      </c>
      <c r="P470" t="n">
        <v>0</v>
      </c>
      <c r="Q470" t="n">
        <v>0</v>
      </c>
      <c r="R470" s="2" t="inlineStr"/>
    </row>
    <row r="471" ht="15" customHeight="1">
      <c r="A471" t="inlineStr">
        <is>
          <t>A 41053-2025</t>
        </is>
      </c>
      <c r="B471" s="1" t="n">
        <v>45898.40480324074</v>
      </c>
      <c r="C471" s="1" t="n">
        <v>46025</v>
      </c>
      <c r="D471" t="inlineStr">
        <is>
          <t>STOCKHOLMS LÄN</t>
        </is>
      </c>
      <c r="E471" t="inlineStr">
        <is>
          <t>NORRTÄLJE</t>
        </is>
      </c>
      <c r="F471" t="inlineStr">
        <is>
          <t>Holmen skog AB</t>
        </is>
      </c>
      <c r="G471" t="n">
        <v>2.5</v>
      </c>
      <c r="H471" t="n">
        <v>0</v>
      </c>
      <c r="I471" t="n">
        <v>0</v>
      </c>
      <c r="J471" t="n">
        <v>0</v>
      </c>
      <c r="K471" t="n">
        <v>0</v>
      </c>
      <c r="L471" t="n">
        <v>0</v>
      </c>
      <c r="M471" t="n">
        <v>0</v>
      </c>
      <c r="N471" t="n">
        <v>0</v>
      </c>
      <c r="O471" t="n">
        <v>0</v>
      </c>
      <c r="P471" t="n">
        <v>0</v>
      </c>
      <c r="Q471" t="n">
        <v>0</v>
      </c>
      <c r="R471" s="2" t="inlineStr"/>
    </row>
    <row r="472" ht="15" customHeight="1">
      <c r="A472" t="inlineStr">
        <is>
          <t>A 40829-2025</t>
        </is>
      </c>
      <c r="B472" s="1" t="n">
        <v>45897.50802083333</v>
      </c>
      <c r="C472" s="1" t="n">
        <v>46025</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40831-2025</t>
        </is>
      </c>
      <c r="B473" s="1" t="n">
        <v>45897.51077546296</v>
      </c>
      <c r="C473" s="1" t="n">
        <v>46025</v>
      </c>
      <c r="D473" t="inlineStr">
        <is>
          <t>STOCKHOLMS LÄN</t>
        </is>
      </c>
      <c r="E473" t="inlineStr">
        <is>
          <t>NORRTÄLJE</t>
        </is>
      </c>
      <c r="G473" t="n">
        <v>1.8</v>
      </c>
      <c r="H473" t="n">
        <v>0</v>
      </c>
      <c r="I473" t="n">
        <v>0</v>
      </c>
      <c r="J473" t="n">
        <v>0</v>
      </c>
      <c r="K473" t="n">
        <v>0</v>
      </c>
      <c r="L473" t="n">
        <v>0</v>
      </c>
      <c r="M473" t="n">
        <v>0</v>
      </c>
      <c r="N473" t="n">
        <v>0</v>
      </c>
      <c r="O473" t="n">
        <v>0</v>
      </c>
      <c r="P473" t="n">
        <v>0</v>
      </c>
      <c r="Q473" t="n">
        <v>0</v>
      </c>
      <c r="R473" s="2" t="inlineStr"/>
    </row>
    <row r="474" ht="15" customHeight="1">
      <c r="A474" t="inlineStr">
        <is>
          <t>A 51653-2022</t>
        </is>
      </c>
      <c r="B474" s="1" t="n">
        <v>44867</v>
      </c>
      <c r="C474" s="1" t="n">
        <v>46025</v>
      </c>
      <c r="D474" t="inlineStr">
        <is>
          <t>STOCKHOLMS LÄN</t>
        </is>
      </c>
      <c r="E474" t="inlineStr">
        <is>
          <t>NORRTÄLJE</t>
        </is>
      </c>
      <c r="G474" t="n">
        <v>6.6</v>
      </c>
      <c r="H474" t="n">
        <v>0</v>
      </c>
      <c r="I474" t="n">
        <v>0</v>
      </c>
      <c r="J474" t="n">
        <v>0</v>
      </c>
      <c r="K474" t="n">
        <v>0</v>
      </c>
      <c r="L474" t="n">
        <v>0</v>
      </c>
      <c r="M474" t="n">
        <v>0</v>
      </c>
      <c r="N474" t="n">
        <v>0</v>
      </c>
      <c r="O474" t="n">
        <v>0</v>
      </c>
      <c r="P474" t="n">
        <v>0</v>
      </c>
      <c r="Q474" t="n">
        <v>0</v>
      </c>
      <c r="R474" s="2" t="inlineStr"/>
    </row>
    <row r="475" ht="15" customHeight="1">
      <c r="A475" t="inlineStr">
        <is>
          <t>A 31170-2025</t>
        </is>
      </c>
      <c r="B475" s="1" t="n">
        <v>45832.66385416667</v>
      </c>
      <c r="C475" s="1" t="n">
        <v>46025</v>
      </c>
      <c r="D475" t="inlineStr">
        <is>
          <t>STOCKHOLMS LÄN</t>
        </is>
      </c>
      <c r="E475" t="inlineStr">
        <is>
          <t>NORRTÄLJE</t>
        </is>
      </c>
      <c r="G475" t="n">
        <v>2.7</v>
      </c>
      <c r="H475" t="n">
        <v>0</v>
      </c>
      <c r="I475" t="n">
        <v>0</v>
      </c>
      <c r="J475" t="n">
        <v>0</v>
      </c>
      <c r="K475" t="n">
        <v>0</v>
      </c>
      <c r="L475" t="n">
        <v>0</v>
      </c>
      <c r="M475" t="n">
        <v>0</v>
      </c>
      <c r="N475" t="n">
        <v>0</v>
      </c>
      <c r="O475" t="n">
        <v>0</v>
      </c>
      <c r="P475" t="n">
        <v>0</v>
      </c>
      <c r="Q475" t="n">
        <v>0</v>
      </c>
      <c r="R475" s="2" t="inlineStr"/>
    </row>
    <row r="476" ht="15" customHeight="1">
      <c r="A476" t="inlineStr">
        <is>
          <t>A 41272-2025</t>
        </is>
      </c>
      <c r="B476" s="1" t="n">
        <v>45898.62373842593</v>
      </c>
      <c r="C476" s="1" t="n">
        <v>46025</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32103-2022</t>
        </is>
      </c>
      <c r="B477" s="1" t="n">
        <v>44778</v>
      </c>
      <c r="C477" s="1" t="n">
        <v>46025</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55952-2024</t>
        </is>
      </c>
      <c r="B478" s="1" t="n">
        <v>45623.62563657408</v>
      </c>
      <c r="C478" s="1" t="n">
        <v>46025</v>
      </c>
      <c r="D478" t="inlineStr">
        <is>
          <t>STOCKHOLMS LÄN</t>
        </is>
      </c>
      <c r="E478" t="inlineStr">
        <is>
          <t>NORRTÄLJE</t>
        </is>
      </c>
      <c r="F478" t="inlineStr">
        <is>
          <t>Holmen skog AB</t>
        </is>
      </c>
      <c r="G478" t="n">
        <v>2.8</v>
      </c>
      <c r="H478" t="n">
        <v>0</v>
      </c>
      <c r="I478" t="n">
        <v>0</v>
      </c>
      <c r="J478" t="n">
        <v>0</v>
      </c>
      <c r="K478" t="n">
        <v>0</v>
      </c>
      <c r="L478" t="n">
        <v>0</v>
      </c>
      <c r="M478" t="n">
        <v>0</v>
      </c>
      <c r="N478" t="n">
        <v>0</v>
      </c>
      <c r="O478" t="n">
        <v>0</v>
      </c>
      <c r="P478" t="n">
        <v>0</v>
      </c>
      <c r="Q478" t="n">
        <v>0</v>
      </c>
      <c r="R478" s="2" t="inlineStr"/>
    </row>
    <row r="479" ht="15" customHeight="1">
      <c r="A479" t="inlineStr">
        <is>
          <t>A 41036-2025</t>
        </is>
      </c>
      <c r="B479" s="1" t="n">
        <v>45898.38552083333</v>
      </c>
      <c r="C479" s="1" t="n">
        <v>46025</v>
      </c>
      <c r="D479" t="inlineStr">
        <is>
          <t>STOCKHOLMS LÄN</t>
        </is>
      </c>
      <c r="E479" t="inlineStr">
        <is>
          <t>NORRTÄLJE</t>
        </is>
      </c>
      <c r="F479" t="inlineStr">
        <is>
          <t>Holmen skog AB</t>
        </is>
      </c>
      <c r="G479" t="n">
        <v>2.7</v>
      </c>
      <c r="H479" t="n">
        <v>0</v>
      </c>
      <c r="I479" t="n">
        <v>0</v>
      </c>
      <c r="J479" t="n">
        <v>0</v>
      </c>
      <c r="K479" t="n">
        <v>0</v>
      </c>
      <c r="L479" t="n">
        <v>0</v>
      </c>
      <c r="M479" t="n">
        <v>0</v>
      </c>
      <c r="N479" t="n">
        <v>0</v>
      </c>
      <c r="O479" t="n">
        <v>0</v>
      </c>
      <c r="P479" t="n">
        <v>0</v>
      </c>
      <c r="Q479" t="n">
        <v>0</v>
      </c>
      <c r="R479" s="2" t="inlineStr"/>
    </row>
    <row r="480" ht="15" customHeight="1">
      <c r="A480" t="inlineStr">
        <is>
          <t>A 23070-2023</t>
        </is>
      </c>
      <c r="B480" s="1" t="n">
        <v>45075</v>
      </c>
      <c r="C480" s="1" t="n">
        <v>46025</v>
      </c>
      <c r="D480" t="inlineStr">
        <is>
          <t>STOCKHOLMS LÄN</t>
        </is>
      </c>
      <c r="E480" t="inlineStr">
        <is>
          <t>NORRTÄLJE</t>
        </is>
      </c>
      <c r="G480" t="n">
        <v>1.5</v>
      </c>
      <c r="H480" t="n">
        <v>0</v>
      </c>
      <c r="I480" t="n">
        <v>0</v>
      </c>
      <c r="J480" t="n">
        <v>0</v>
      </c>
      <c r="K480" t="n">
        <v>0</v>
      </c>
      <c r="L480" t="n">
        <v>0</v>
      </c>
      <c r="M480" t="n">
        <v>0</v>
      </c>
      <c r="N480" t="n">
        <v>0</v>
      </c>
      <c r="O480" t="n">
        <v>0</v>
      </c>
      <c r="P480" t="n">
        <v>0</v>
      </c>
      <c r="Q480" t="n">
        <v>0</v>
      </c>
      <c r="R480" s="2" t="inlineStr"/>
    </row>
    <row r="481" ht="15" customHeight="1">
      <c r="A481" t="inlineStr">
        <is>
          <t>A 19058-2024</t>
        </is>
      </c>
      <c r="B481" s="1" t="n">
        <v>45427.89121527778</v>
      </c>
      <c r="C481" s="1" t="n">
        <v>46025</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8792-2025</t>
        </is>
      </c>
      <c r="B482" s="1" t="n">
        <v>45712</v>
      </c>
      <c r="C482" s="1" t="n">
        <v>46025</v>
      </c>
      <c r="D482" t="inlineStr">
        <is>
          <t>STOCKHOLMS LÄN</t>
        </is>
      </c>
      <c r="E482" t="inlineStr">
        <is>
          <t>NORRTÄLJE</t>
        </is>
      </c>
      <c r="F482" t="inlineStr">
        <is>
          <t>Övriga Aktiebolag</t>
        </is>
      </c>
      <c r="G482" t="n">
        <v>6.6</v>
      </c>
      <c r="H482" t="n">
        <v>0</v>
      </c>
      <c r="I482" t="n">
        <v>0</v>
      </c>
      <c r="J482" t="n">
        <v>0</v>
      </c>
      <c r="K482" t="n">
        <v>0</v>
      </c>
      <c r="L482" t="n">
        <v>0</v>
      </c>
      <c r="M482" t="n">
        <v>0</v>
      </c>
      <c r="N482" t="n">
        <v>0</v>
      </c>
      <c r="O482" t="n">
        <v>0</v>
      </c>
      <c r="P482" t="n">
        <v>0</v>
      </c>
      <c r="Q482" t="n">
        <v>0</v>
      </c>
      <c r="R482" s="2" t="inlineStr"/>
    </row>
    <row r="483" ht="15" customHeight="1">
      <c r="A483" t="inlineStr">
        <is>
          <t>A 19057-2024</t>
        </is>
      </c>
      <c r="B483" s="1" t="n">
        <v>45427.88731481481</v>
      </c>
      <c r="C483" s="1" t="n">
        <v>46025</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7571-2024</t>
        </is>
      </c>
      <c r="B484" s="1" t="n">
        <v>45348.46300925926</v>
      </c>
      <c r="C484" s="1" t="n">
        <v>46025</v>
      </c>
      <c r="D484" t="inlineStr">
        <is>
          <t>STOCKHOLMS LÄN</t>
        </is>
      </c>
      <c r="E484" t="inlineStr">
        <is>
          <t>NORRTÄLJE</t>
        </is>
      </c>
      <c r="F484" t="inlineStr">
        <is>
          <t>Holmen skog AB</t>
        </is>
      </c>
      <c r="G484" t="n">
        <v>1.8</v>
      </c>
      <c r="H484" t="n">
        <v>0</v>
      </c>
      <c r="I484" t="n">
        <v>0</v>
      </c>
      <c r="J484" t="n">
        <v>0</v>
      </c>
      <c r="K484" t="n">
        <v>0</v>
      </c>
      <c r="L484" t="n">
        <v>0</v>
      </c>
      <c r="M484" t="n">
        <v>0</v>
      </c>
      <c r="N484" t="n">
        <v>0</v>
      </c>
      <c r="O484" t="n">
        <v>0</v>
      </c>
      <c r="P484" t="n">
        <v>0</v>
      </c>
      <c r="Q484" t="n">
        <v>0</v>
      </c>
      <c r="R484" s="2" t="inlineStr"/>
    </row>
    <row r="485" ht="15" customHeight="1">
      <c r="A485" t="inlineStr">
        <is>
          <t>A 15733-2025</t>
        </is>
      </c>
      <c r="B485" s="1" t="n">
        <v>45748</v>
      </c>
      <c r="C485" s="1" t="n">
        <v>46025</v>
      </c>
      <c r="D485" t="inlineStr">
        <is>
          <t>STOCKHOLMS LÄN</t>
        </is>
      </c>
      <c r="E485" t="inlineStr">
        <is>
          <t>NORRTÄLJE</t>
        </is>
      </c>
      <c r="G485" t="n">
        <v>13.3</v>
      </c>
      <c r="H485" t="n">
        <v>0</v>
      </c>
      <c r="I485" t="n">
        <v>0</v>
      </c>
      <c r="J485" t="n">
        <v>0</v>
      </c>
      <c r="K485" t="n">
        <v>0</v>
      </c>
      <c r="L485" t="n">
        <v>0</v>
      </c>
      <c r="M485" t="n">
        <v>0</v>
      </c>
      <c r="N485" t="n">
        <v>0</v>
      </c>
      <c r="O485" t="n">
        <v>0</v>
      </c>
      <c r="P485" t="n">
        <v>0</v>
      </c>
      <c r="Q485" t="n">
        <v>0</v>
      </c>
      <c r="R485" s="2" t="inlineStr"/>
    </row>
    <row r="486" ht="15" customHeight="1">
      <c r="A486" t="inlineStr">
        <is>
          <t>A 36269-2022</t>
        </is>
      </c>
      <c r="B486" s="1" t="n">
        <v>44803</v>
      </c>
      <c r="C486" s="1" t="n">
        <v>46025</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10511-2025</t>
        </is>
      </c>
      <c r="B487" s="1" t="n">
        <v>45721.40780092592</v>
      </c>
      <c r="C487" s="1" t="n">
        <v>46025</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42038-2025</t>
        </is>
      </c>
      <c r="B488" s="1" t="n">
        <v>45903.61431712963</v>
      </c>
      <c r="C488" s="1" t="n">
        <v>46025</v>
      </c>
      <c r="D488" t="inlineStr">
        <is>
          <t>STOCKHOLMS LÄN</t>
        </is>
      </c>
      <c r="E488" t="inlineStr">
        <is>
          <t>NORRTÄLJE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5665-2025</t>
        </is>
      </c>
      <c r="B489" s="1" t="n">
        <v>45693</v>
      </c>
      <c r="C489" s="1" t="n">
        <v>46025</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12407-2025</t>
        </is>
      </c>
      <c r="B490" s="1" t="n">
        <v>45730.42851851852</v>
      </c>
      <c r="C490" s="1" t="n">
        <v>46025</v>
      </c>
      <c r="D490" t="inlineStr">
        <is>
          <t>STOCKHOLMS LÄN</t>
        </is>
      </c>
      <c r="E490" t="inlineStr">
        <is>
          <t>NORRTÄLJE</t>
        </is>
      </c>
      <c r="F490" t="inlineStr">
        <is>
          <t>Holmen skog AB</t>
        </is>
      </c>
      <c r="G490" t="n">
        <v>2.6</v>
      </c>
      <c r="H490" t="n">
        <v>0</v>
      </c>
      <c r="I490" t="n">
        <v>0</v>
      </c>
      <c r="J490" t="n">
        <v>0</v>
      </c>
      <c r="K490" t="n">
        <v>0</v>
      </c>
      <c r="L490" t="n">
        <v>0</v>
      </c>
      <c r="M490" t="n">
        <v>0</v>
      </c>
      <c r="N490" t="n">
        <v>0</v>
      </c>
      <c r="O490" t="n">
        <v>0</v>
      </c>
      <c r="P490" t="n">
        <v>0</v>
      </c>
      <c r="Q490" t="n">
        <v>0</v>
      </c>
      <c r="R490" s="2" t="inlineStr"/>
    </row>
    <row r="491" ht="15" customHeight="1">
      <c r="A491" t="inlineStr">
        <is>
          <t>A 26636-2023</t>
        </is>
      </c>
      <c r="B491" s="1" t="n">
        <v>45092</v>
      </c>
      <c r="C491" s="1" t="n">
        <v>46025</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26637-2023</t>
        </is>
      </c>
      <c r="B492" s="1" t="n">
        <v>45092</v>
      </c>
      <c r="C492" s="1" t="n">
        <v>46025</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31874-2025</t>
        </is>
      </c>
      <c r="B493" s="1" t="n">
        <v>45834</v>
      </c>
      <c r="C493" s="1" t="n">
        <v>46025</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23266-2023</t>
        </is>
      </c>
      <c r="B494" s="1" t="n">
        <v>45075.90817129629</v>
      </c>
      <c r="C494" s="1" t="n">
        <v>46025</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31868-2025</t>
        </is>
      </c>
      <c r="B495" s="1" t="n">
        <v>45834.6447337963</v>
      </c>
      <c r="C495" s="1" t="n">
        <v>46025</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6413-2025</t>
        </is>
      </c>
      <c r="B496" s="1" t="n">
        <v>45699.46283564815</v>
      </c>
      <c r="C496" s="1" t="n">
        <v>46025</v>
      </c>
      <c r="D496" t="inlineStr">
        <is>
          <t>STOCKHOLMS LÄN</t>
        </is>
      </c>
      <c r="E496" t="inlineStr">
        <is>
          <t>NORRTÄLJE</t>
        </is>
      </c>
      <c r="G496" t="n">
        <v>3.6</v>
      </c>
      <c r="H496" t="n">
        <v>0</v>
      </c>
      <c r="I496" t="n">
        <v>0</v>
      </c>
      <c r="J496" t="n">
        <v>0</v>
      </c>
      <c r="K496" t="n">
        <v>0</v>
      </c>
      <c r="L496" t="n">
        <v>0</v>
      </c>
      <c r="M496" t="n">
        <v>0</v>
      </c>
      <c r="N496" t="n">
        <v>0</v>
      </c>
      <c r="O496" t="n">
        <v>0</v>
      </c>
      <c r="P496" t="n">
        <v>0</v>
      </c>
      <c r="Q496" t="n">
        <v>0</v>
      </c>
      <c r="R496" s="2" t="inlineStr"/>
    </row>
    <row r="497" ht="15" customHeight="1">
      <c r="A497" t="inlineStr">
        <is>
          <t>A 41964-2025</t>
        </is>
      </c>
      <c r="B497" s="1" t="n">
        <v>45903.47270833333</v>
      </c>
      <c r="C497" s="1" t="n">
        <v>46025</v>
      </c>
      <c r="D497" t="inlineStr">
        <is>
          <t>STOCKHOLMS LÄN</t>
        </is>
      </c>
      <c r="E497" t="inlineStr">
        <is>
          <t>NORRTÄLJE</t>
        </is>
      </c>
      <c r="F497" t="inlineStr">
        <is>
          <t>Sveaskog</t>
        </is>
      </c>
      <c r="G497" t="n">
        <v>4</v>
      </c>
      <c r="H497" t="n">
        <v>0</v>
      </c>
      <c r="I497" t="n">
        <v>0</v>
      </c>
      <c r="J497" t="n">
        <v>0</v>
      </c>
      <c r="K497" t="n">
        <v>0</v>
      </c>
      <c r="L497" t="n">
        <v>0</v>
      </c>
      <c r="M497" t="n">
        <v>0</v>
      </c>
      <c r="N497" t="n">
        <v>0</v>
      </c>
      <c r="O497" t="n">
        <v>0</v>
      </c>
      <c r="P497" t="n">
        <v>0</v>
      </c>
      <c r="Q497" t="n">
        <v>0</v>
      </c>
      <c r="R497" s="2" t="inlineStr"/>
    </row>
    <row r="498" ht="15" customHeight="1">
      <c r="A498" t="inlineStr">
        <is>
          <t>A 35161-2022</t>
        </is>
      </c>
      <c r="B498" s="1" t="n">
        <v>44797</v>
      </c>
      <c r="C498" s="1" t="n">
        <v>46025</v>
      </c>
      <c r="D498" t="inlineStr">
        <is>
          <t>STOCKHOLMS LÄN</t>
        </is>
      </c>
      <c r="E498" t="inlineStr">
        <is>
          <t>NORRTÄLJE</t>
        </is>
      </c>
      <c r="G498" t="n">
        <v>6</v>
      </c>
      <c r="H498" t="n">
        <v>0</v>
      </c>
      <c r="I498" t="n">
        <v>0</v>
      </c>
      <c r="J498" t="n">
        <v>0</v>
      </c>
      <c r="K498" t="n">
        <v>0</v>
      </c>
      <c r="L498" t="n">
        <v>0</v>
      </c>
      <c r="M498" t="n">
        <v>0</v>
      </c>
      <c r="N498" t="n">
        <v>0</v>
      </c>
      <c r="O498" t="n">
        <v>0</v>
      </c>
      <c r="P498" t="n">
        <v>0</v>
      </c>
      <c r="Q498" t="n">
        <v>0</v>
      </c>
      <c r="R498" s="2" t="inlineStr"/>
    </row>
    <row r="499" ht="15" customHeight="1">
      <c r="A499" t="inlineStr">
        <is>
          <t>A 41966-2025</t>
        </is>
      </c>
      <c r="B499" s="1" t="n">
        <v>45903.47456018518</v>
      </c>
      <c r="C499" s="1" t="n">
        <v>46025</v>
      </c>
      <c r="D499" t="inlineStr">
        <is>
          <t>STOCKHOLMS LÄN</t>
        </is>
      </c>
      <c r="E499" t="inlineStr">
        <is>
          <t>NORRTÄLJE</t>
        </is>
      </c>
      <c r="F499" t="inlineStr">
        <is>
          <t>Sveaskog</t>
        </is>
      </c>
      <c r="G499" t="n">
        <v>3.7</v>
      </c>
      <c r="H499" t="n">
        <v>0</v>
      </c>
      <c r="I499" t="n">
        <v>0</v>
      </c>
      <c r="J499" t="n">
        <v>0</v>
      </c>
      <c r="K499" t="n">
        <v>0</v>
      </c>
      <c r="L499" t="n">
        <v>0</v>
      </c>
      <c r="M499" t="n">
        <v>0</v>
      </c>
      <c r="N499" t="n">
        <v>0</v>
      </c>
      <c r="O499" t="n">
        <v>0</v>
      </c>
      <c r="P499" t="n">
        <v>0</v>
      </c>
      <c r="Q499" t="n">
        <v>0</v>
      </c>
      <c r="R499" s="2" t="inlineStr"/>
    </row>
    <row r="500" ht="15" customHeight="1">
      <c r="A500" t="inlineStr">
        <is>
          <t>A 31880-2025</t>
        </is>
      </c>
      <c r="B500" s="1" t="n">
        <v>45834.65538194445</v>
      </c>
      <c r="C500" s="1" t="n">
        <v>46025</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30699-2025</t>
        </is>
      </c>
      <c r="B501" s="1" t="n">
        <v>45831.54618055555</v>
      </c>
      <c r="C501" s="1" t="n">
        <v>46025</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7903-2021</t>
        </is>
      </c>
      <c r="B502" s="1" t="n">
        <v>44243.33587962963</v>
      </c>
      <c r="C502" s="1" t="n">
        <v>46025</v>
      </c>
      <c r="D502" t="inlineStr">
        <is>
          <t>STOCKHOLMS LÄN</t>
        </is>
      </c>
      <c r="E502" t="inlineStr">
        <is>
          <t>NORRTÄLJE</t>
        </is>
      </c>
      <c r="G502" t="n">
        <v>3.5</v>
      </c>
      <c r="H502" t="n">
        <v>0</v>
      </c>
      <c r="I502" t="n">
        <v>0</v>
      </c>
      <c r="J502" t="n">
        <v>0</v>
      </c>
      <c r="K502" t="n">
        <v>0</v>
      </c>
      <c r="L502" t="n">
        <v>0</v>
      </c>
      <c r="M502" t="n">
        <v>0</v>
      </c>
      <c r="N502" t="n">
        <v>0</v>
      </c>
      <c r="O502" t="n">
        <v>0</v>
      </c>
      <c r="P502" t="n">
        <v>0</v>
      </c>
      <c r="Q502" t="n">
        <v>0</v>
      </c>
      <c r="R502" s="2" t="inlineStr"/>
    </row>
    <row r="503" ht="15" customHeight="1">
      <c r="A503" t="inlineStr">
        <is>
          <t>A 58863-2024</t>
        </is>
      </c>
      <c r="B503" s="1" t="n">
        <v>45636.41572916666</v>
      </c>
      <c r="C503" s="1" t="n">
        <v>46025</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15447-2023</t>
        </is>
      </c>
      <c r="B504" s="1" t="n">
        <v>45020</v>
      </c>
      <c r="C504" s="1" t="n">
        <v>46025</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34391-2023</t>
        </is>
      </c>
      <c r="B505" s="1" t="n">
        <v>45139.51457175926</v>
      </c>
      <c r="C505" s="1" t="n">
        <v>46025</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42856-2025</t>
        </is>
      </c>
      <c r="B506" s="1" t="n">
        <v>45908</v>
      </c>
      <c r="C506" s="1" t="n">
        <v>46025</v>
      </c>
      <c r="D506" t="inlineStr">
        <is>
          <t>STOCKHOLMS LÄN</t>
        </is>
      </c>
      <c r="E506" t="inlineStr">
        <is>
          <t>NORRTÄLJE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32283-2025</t>
        </is>
      </c>
      <c r="B507" s="1" t="n">
        <v>45835.68076388889</v>
      </c>
      <c r="C507" s="1" t="n">
        <v>46025</v>
      </c>
      <c r="D507" t="inlineStr">
        <is>
          <t>STOCKHOLMS LÄN</t>
        </is>
      </c>
      <c r="E507" t="inlineStr">
        <is>
          <t>NORRTÄLJE</t>
        </is>
      </c>
      <c r="G507" t="n">
        <v>1.8</v>
      </c>
      <c r="H507" t="n">
        <v>0</v>
      </c>
      <c r="I507" t="n">
        <v>0</v>
      </c>
      <c r="J507" t="n">
        <v>0</v>
      </c>
      <c r="K507" t="n">
        <v>0</v>
      </c>
      <c r="L507" t="n">
        <v>0</v>
      </c>
      <c r="M507" t="n">
        <v>0</v>
      </c>
      <c r="N507" t="n">
        <v>0</v>
      </c>
      <c r="O507" t="n">
        <v>0</v>
      </c>
      <c r="P507" t="n">
        <v>0</v>
      </c>
      <c r="Q507" t="n">
        <v>0</v>
      </c>
      <c r="R507" s="2" t="inlineStr"/>
    </row>
    <row r="508" ht="15" customHeight="1">
      <c r="A508" t="inlineStr">
        <is>
          <t>A 20011-2025</t>
        </is>
      </c>
      <c r="B508" s="1" t="n">
        <v>45772.29622685185</v>
      </c>
      <c r="C508" s="1" t="n">
        <v>46025</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53312-2024</t>
        </is>
      </c>
      <c r="B509" s="1" t="n">
        <v>45614.39627314815</v>
      </c>
      <c r="C509" s="1" t="n">
        <v>46025</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32122-2025</t>
        </is>
      </c>
      <c r="B510" s="1" t="n">
        <v>45835.4928125</v>
      </c>
      <c r="C510" s="1" t="n">
        <v>46025</v>
      </c>
      <c r="D510" t="inlineStr">
        <is>
          <t>STOCKHOLMS LÄN</t>
        </is>
      </c>
      <c r="E510" t="inlineStr">
        <is>
          <t>NORRTÄLJE</t>
        </is>
      </c>
      <c r="F510" t="inlineStr">
        <is>
          <t>Holmen skog AB</t>
        </is>
      </c>
      <c r="G510" t="n">
        <v>1.9</v>
      </c>
      <c r="H510" t="n">
        <v>0</v>
      </c>
      <c r="I510" t="n">
        <v>0</v>
      </c>
      <c r="J510" t="n">
        <v>0</v>
      </c>
      <c r="K510" t="n">
        <v>0</v>
      </c>
      <c r="L510" t="n">
        <v>0</v>
      </c>
      <c r="M510" t="n">
        <v>0</v>
      </c>
      <c r="N510" t="n">
        <v>0</v>
      </c>
      <c r="O510" t="n">
        <v>0</v>
      </c>
      <c r="P510" t="n">
        <v>0</v>
      </c>
      <c r="Q510" t="n">
        <v>0</v>
      </c>
      <c r="R510" s="2" t="inlineStr"/>
    </row>
    <row r="511" ht="15" customHeight="1">
      <c r="A511" t="inlineStr">
        <is>
          <t>A 21158-2022</t>
        </is>
      </c>
      <c r="B511" s="1" t="n">
        <v>44704</v>
      </c>
      <c r="C511" s="1" t="n">
        <v>46025</v>
      </c>
      <c r="D511" t="inlineStr">
        <is>
          <t>STOCKHOLMS LÄN</t>
        </is>
      </c>
      <c r="E511" t="inlineStr">
        <is>
          <t>NORRTÄLJE</t>
        </is>
      </c>
      <c r="G511" t="n">
        <v>17.8</v>
      </c>
      <c r="H511" t="n">
        <v>0</v>
      </c>
      <c r="I511" t="n">
        <v>0</v>
      </c>
      <c r="J511" t="n">
        <v>0</v>
      </c>
      <c r="K511" t="n">
        <v>0</v>
      </c>
      <c r="L511" t="n">
        <v>0</v>
      </c>
      <c r="M511" t="n">
        <v>0</v>
      </c>
      <c r="N511" t="n">
        <v>0</v>
      </c>
      <c r="O511" t="n">
        <v>0</v>
      </c>
      <c r="P511" t="n">
        <v>0</v>
      </c>
      <c r="Q511" t="n">
        <v>0</v>
      </c>
      <c r="R511" s="2" t="inlineStr"/>
    </row>
    <row r="512" ht="15" customHeight="1">
      <c r="A512" t="inlineStr">
        <is>
          <t>A 15915-2023</t>
        </is>
      </c>
      <c r="B512" s="1" t="n">
        <v>45022</v>
      </c>
      <c r="C512" s="1" t="n">
        <v>46025</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58993-2022</t>
        </is>
      </c>
      <c r="B513" s="1" t="n">
        <v>44903</v>
      </c>
      <c r="C513" s="1" t="n">
        <v>46025</v>
      </c>
      <c r="D513" t="inlineStr">
        <is>
          <t>STOCKHOLMS LÄN</t>
        </is>
      </c>
      <c r="E513" t="inlineStr">
        <is>
          <t>NORRTÄLJE</t>
        </is>
      </c>
      <c r="G513" t="n">
        <v>2.3</v>
      </c>
      <c r="H513" t="n">
        <v>0</v>
      </c>
      <c r="I513" t="n">
        <v>0</v>
      </c>
      <c r="J513" t="n">
        <v>0</v>
      </c>
      <c r="K513" t="n">
        <v>0</v>
      </c>
      <c r="L513" t="n">
        <v>0</v>
      </c>
      <c r="M513" t="n">
        <v>0</v>
      </c>
      <c r="N513" t="n">
        <v>0</v>
      </c>
      <c r="O513" t="n">
        <v>0</v>
      </c>
      <c r="P513" t="n">
        <v>0</v>
      </c>
      <c r="Q513" t="n">
        <v>0</v>
      </c>
      <c r="R513" s="2" t="inlineStr"/>
    </row>
    <row r="514" ht="15" customHeight="1">
      <c r="A514" t="inlineStr">
        <is>
          <t>A 39905-2023</t>
        </is>
      </c>
      <c r="B514" s="1" t="n">
        <v>45168.44489583333</v>
      </c>
      <c r="C514" s="1" t="n">
        <v>46025</v>
      </c>
      <c r="D514" t="inlineStr">
        <is>
          <t>STOCKHOLMS LÄN</t>
        </is>
      </c>
      <c r="E514" t="inlineStr">
        <is>
          <t>NORRTÄLJE</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32094-2025</t>
        </is>
      </c>
      <c r="B515" s="1" t="n">
        <v>45835.46034722222</v>
      </c>
      <c r="C515" s="1" t="n">
        <v>46025</v>
      </c>
      <c r="D515" t="inlineStr">
        <is>
          <t>STOCKHOLMS LÄN</t>
        </is>
      </c>
      <c r="E515" t="inlineStr">
        <is>
          <t>NORRTÄLJE</t>
        </is>
      </c>
      <c r="F515" t="inlineStr">
        <is>
          <t>Holmen skog AB</t>
        </is>
      </c>
      <c r="G515" t="n">
        <v>2.9</v>
      </c>
      <c r="H515" t="n">
        <v>0</v>
      </c>
      <c r="I515" t="n">
        <v>0</v>
      </c>
      <c r="J515" t="n">
        <v>0</v>
      </c>
      <c r="K515" t="n">
        <v>0</v>
      </c>
      <c r="L515" t="n">
        <v>0</v>
      </c>
      <c r="M515" t="n">
        <v>0</v>
      </c>
      <c r="N515" t="n">
        <v>0</v>
      </c>
      <c r="O515" t="n">
        <v>0</v>
      </c>
      <c r="P515" t="n">
        <v>0</v>
      </c>
      <c r="Q515" t="n">
        <v>0</v>
      </c>
      <c r="R515" s="2" t="inlineStr"/>
    </row>
    <row r="516" ht="15" customHeight="1">
      <c r="A516" t="inlineStr">
        <is>
          <t>A 33793-2022</t>
        </is>
      </c>
      <c r="B516" s="1" t="n">
        <v>44790</v>
      </c>
      <c r="C516" s="1" t="n">
        <v>46025</v>
      </c>
      <c r="D516" t="inlineStr">
        <is>
          <t>STOCKHOLMS LÄN</t>
        </is>
      </c>
      <c r="E516" t="inlineStr">
        <is>
          <t>NORRTÄLJE</t>
        </is>
      </c>
      <c r="G516" t="n">
        <v>1.5</v>
      </c>
      <c r="H516" t="n">
        <v>0</v>
      </c>
      <c r="I516" t="n">
        <v>0</v>
      </c>
      <c r="J516" t="n">
        <v>0</v>
      </c>
      <c r="K516" t="n">
        <v>0</v>
      </c>
      <c r="L516" t="n">
        <v>0</v>
      </c>
      <c r="M516" t="n">
        <v>0</v>
      </c>
      <c r="N516" t="n">
        <v>0</v>
      </c>
      <c r="O516" t="n">
        <v>0</v>
      </c>
      <c r="P516" t="n">
        <v>0</v>
      </c>
      <c r="Q516" t="n">
        <v>0</v>
      </c>
      <c r="R516" s="2" t="inlineStr"/>
    </row>
    <row r="517" ht="15" customHeight="1">
      <c r="A517" t="inlineStr">
        <is>
          <t>A 24835-2025</t>
        </is>
      </c>
      <c r="B517" s="1" t="n">
        <v>45799</v>
      </c>
      <c r="C517" s="1" t="n">
        <v>46025</v>
      </c>
      <c r="D517" t="inlineStr">
        <is>
          <t>STOCKHOLMS LÄN</t>
        </is>
      </c>
      <c r="E517" t="inlineStr">
        <is>
          <t>NORRTÄLJE</t>
        </is>
      </c>
      <c r="G517" t="n">
        <v>2.5</v>
      </c>
      <c r="H517" t="n">
        <v>0</v>
      </c>
      <c r="I517" t="n">
        <v>0</v>
      </c>
      <c r="J517" t="n">
        <v>0</v>
      </c>
      <c r="K517" t="n">
        <v>0</v>
      </c>
      <c r="L517" t="n">
        <v>0</v>
      </c>
      <c r="M517" t="n">
        <v>0</v>
      </c>
      <c r="N517" t="n">
        <v>0</v>
      </c>
      <c r="O517" t="n">
        <v>0</v>
      </c>
      <c r="P517" t="n">
        <v>0</v>
      </c>
      <c r="Q517" t="n">
        <v>0</v>
      </c>
      <c r="R517" s="2" t="inlineStr"/>
    </row>
    <row r="518" ht="15" customHeight="1">
      <c r="A518" t="inlineStr">
        <is>
          <t>A 17304-2024</t>
        </is>
      </c>
      <c r="B518" s="1" t="n">
        <v>45414</v>
      </c>
      <c r="C518" s="1" t="n">
        <v>46025</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43169-2025</t>
        </is>
      </c>
      <c r="B519" s="1" t="n">
        <v>45910</v>
      </c>
      <c r="C519" s="1" t="n">
        <v>46025</v>
      </c>
      <c r="D519" t="inlineStr">
        <is>
          <t>STOCKHOLMS LÄN</t>
        </is>
      </c>
      <c r="E519" t="inlineStr">
        <is>
          <t>NORRTÄLJE</t>
        </is>
      </c>
      <c r="G519" t="n">
        <v>6.9</v>
      </c>
      <c r="H519" t="n">
        <v>0</v>
      </c>
      <c r="I519" t="n">
        <v>0</v>
      </c>
      <c r="J519" t="n">
        <v>0</v>
      </c>
      <c r="K519" t="n">
        <v>0</v>
      </c>
      <c r="L519" t="n">
        <v>0</v>
      </c>
      <c r="M519" t="n">
        <v>0</v>
      </c>
      <c r="N519" t="n">
        <v>0</v>
      </c>
      <c r="O519" t="n">
        <v>0</v>
      </c>
      <c r="P519" t="n">
        <v>0</v>
      </c>
      <c r="Q519" t="n">
        <v>0</v>
      </c>
      <c r="R519" s="2" t="inlineStr"/>
    </row>
    <row r="520" ht="15" customHeight="1">
      <c r="A520" t="inlineStr">
        <is>
          <t>A 43269-2025</t>
        </is>
      </c>
      <c r="B520" s="1" t="n">
        <v>45910.5819212963</v>
      </c>
      <c r="C520" s="1" t="n">
        <v>46025</v>
      </c>
      <c r="D520" t="inlineStr">
        <is>
          <t>STOCKHOLMS LÄN</t>
        </is>
      </c>
      <c r="E520" t="inlineStr">
        <is>
          <t>NORRTÄLJE</t>
        </is>
      </c>
      <c r="G520" t="n">
        <v>3.7</v>
      </c>
      <c r="H520" t="n">
        <v>0</v>
      </c>
      <c r="I520" t="n">
        <v>0</v>
      </c>
      <c r="J520" t="n">
        <v>0</v>
      </c>
      <c r="K520" t="n">
        <v>0</v>
      </c>
      <c r="L520" t="n">
        <v>0</v>
      </c>
      <c r="M520" t="n">
        <v>0</v>
      </c>
      <c r="N520" t="n">
        <v>0</v>
      </c>
      <c r="O520" t="n">
        <v>0</v>
      </c>
      <c r="P520" t="n">
        <v>0</v>
      </c>
      <c r="Q520" t="n">
        <v>0</v>
      </c>
      <c r="R520" s="2" t="inlineStr"/>
    </row>
    <row r="521" ht="15" customHeight="1">
      <c r="A521" t="inlineStr">
        <is>
          <t>A 32016-2025</t>
        </is>
      </c>
      <c r="B521" s="1" t="n">
        <v>45835</v>
      </c>
      <c r="C521" s="1" t="n">
        <v>46025</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16852-2024</t>
        </is>
      </c>
      <c r="B522" s="1" t="n">
        <v>45411.54768518519</v>
      </c>
      <c r="C522" s="1" t="n">
        <v>46025</v>
      </c>
      <c r="D522" t="inlineStr">
        <is>
          <t>STOCKHOLMS LÄN</t>
        </is>
      </c>
      <c r="E522" t="inlineStr">
        <is>
          <t>NORRTÄLJE</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4326-2023</t>
        </is>
      </c>
      <c r="B523" s="1" t="n">
        <v>44953.70481481482</v>
      </c>
      <c r="C523" s="1" t="n">
        <v>46025</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32396-2025</t>
        </is>
      </c>
      <c r="B524" s="1" t="n">
        <v>45837</v>
      </c>
      <c r="C524" s="1" t="n">
        <v>46025</v>
      </c>
      <c r="D524" t="inlineStr">
        <is>
          <t>STOCKHOLMS LÄN</t>
        </is>
      </c>
      <c r="E524" t="inlineStr">
        <is>
          <t>NORRTÄLJE</t>
        </is>
      </c>
      <c r="G524" t="n">
        <v>2</v>
      </c>
      <c r="H524" t="n">
        <v>0</v>
      </c>
      <c r="I524" t="n">
        <v>0</v>
      </c>
      <c r="J524" t="n">
        <v>0</v>
      </c>
      <c r="K524" t="n">
        <v>0</v>
      </c>
      <c r="L524" t="n">
        <v>0</v>
      </c>
      <c r="M524" t="n">
        <v>0</v>
      </c>
      <c r="N524" t="n">
        <v>0</v>
      </c>
      <c r="O524" t="n">
        <v>0</v>
      </c>
      <c r="P524" t="n">
        <v>0</v>
      </c>
      <c r="Q524" t="n">
        <v>0</v>
      </c>
      <c r="R524" s="2" t="inlineStr"/>
    </row>
    <row r="525" ht="15" customHeight="1">
      <c r="A525" t="inlineStr">
        <is>
          <t>A 32397-2025</t>
        </is>
      </c>
      <c r="B525" s="1" t="n">
        <v>45837.94081018519</v>
      </c>
      <c r="C525" s="1" t="n">
        <v>46025</v>
      </c>
      <c r="D525" t="inlineStr">
        <is>
          <t>STOCKHOLMS LÄN</t>
        </is>
      </c>
      <c r="E525" t="inlineStr">
        <is>
          <t>NORRTÄLJE</t>
        </is>
      </c>
      <c r="G525" t="n">
        <v>5.9</v>
      </c>
      <c r="H525" t="n">
        <v>0</v>
      </c>
      <c r="I525" t="n">
        <v>0</v>
      </c>
      <c r="J525" t="n">
        <v>0</v>
      </c>
      <c r="K525" t="n">
        <v>0</v>
      </c>
      <c r="L525" t="n">
        <v>0</v>
      </c>
      <c r="M525" t="n">
        <v>0</v>
      </c>
      <c r="N525" t="n">
        <v>0</v>
      </c>
      <c r="O525" t="n">
        <v>0</v>
      </c>
      <c r="P525" t="n">
        <v>0</v>
      </c>
      <c r="Q525" t="n">
        <v>0</v>
      </c>
      <c r="R525" s="2" t="inlineStr"/>
    </row>
    <row r="526" ht="15" customHeight="1">
      <c r="A526" t="inlineStr">
        <is>
          <t>A 32480-2025</t>
        </is>
      </c>
      <c r="B526" s="1" t="n">
        <v>45838.43261574074</v>
      </c>
      <c r="C526" s="1" t="n">
        <v>46025</v>
      </c>
      <c r="D526" t="inlineStr">
        <is>
          <t>STOCKHOLMS LÄN</t>
        </is>
      </c>
      <c r="E526" t="inlineStr">
        <is>
          <t>NORRTÄLJE</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33385-2024</t>
        </is>
      </c>
      <c r="B527" s="1" t="n">
        <v>45519</v>
      </c>
      <c r="C527" s="1" t="n">
        <v>46025</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29714-2023</t>
        </is>
      </c>
      <c r="B528" s="1" t="n">
        <v>45107.42538194444</v>
      </c>
      <c r="C528" s="1" t="n">
        <v>46025</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30508-2023</t>
        </is>
      </c>
      <c r="B529" s="1" t="n">
        <v>45111</v>
      </c>
      <c r="C529" s="1" t="n">
        <v>46025</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12031-2021</t>
        </is>
      </c>
      <c r="B530" s="1" t="n">
        <v>44266</v>
      </c>
      <c r="C530" s="1" t="n">
        <v>46025</v>
      </c>
      <c r="D530" t="inlineStr">
        <is>
          <t>STOCKHOLMS LÄN</t>
        </is>
      </c>
      <c r="E530" t="inlineStr">
        <is>
          <t>NORRTÄLJE</t>
        </is>
      </c>
      <c r="G530" t="n">
        <v>2.6</v>
      </c>
      <c r="H530" t="n">
        <v>0</v>
      </c>
      <c r="I530" t="n">
        <v>0</v>
      </c>
      <c r="J530" t="n">
        <v>0</v>
      </c>
      <c r="K530" t="n">
        <v>0</v>
      </c>
      <c r="L530" t="n">
        <v>0</v>
      </c>
      <c r="M530" t="n">
        <v>0</v>
      </c>
      <c r="N530" t="n">
        <v>0</v>
      </c>
      <c r="O530" t="n">
        <v>0</v>
      </c>
      <c r="P530" t="n">
        <v>0</v>
      </c>
      <c r="Q530" t="n">
        <v>0</v>
      </c>
      <c r="R530" s="2" t="inlineStr"/>
    </row>
    <row r="531" ht="15" customHeight="1">
      <c r="A531" t="inlineStr">
        <is>
          <t>A 30719-2025</t>
        </is>
      </c>
      <c r="B531" s="1" t="n">
        <v>45831</v>
      </c>
      <c r="C531" s="1" t="n">
        <v>46025</v>
      </c>
      <c r="D531" t="inlineStr">
        <is>
          <t>STOCKHOLMS LÄN</t>
        </is>
      </c>
      <c r="E531" t="inlineStr">
        <is>
          <t>NORRTÄLJE</t>
        </is>
      </c>
      <c r="G531" t="n">
        <v>0.5</v>
      </c>
      <c r="H531" t="n">
        <v>0</v>
      </c>
      <c r="I531" t="n">
        <v>0</v>
      </c>
      <c r="J531" t="n">
        <v>0</v>
      </c>
      <c r="K531" t="n">
        <v>0</v>
      </c>
      <c r="L531" t="n">
        <v>0</v>
      </c>
      <c r="M531" t="n">
        <v>0</v>
      </c>
      <c r="N531" t="n">
        <v>0</v>
      </c>
      <c r="O531" t="n">
        <v>0</v>
      </c>
      <c r="P531" t="n">
        <v>0</v>
      </c>
      <c r="Q531" t="n">
        <v>0</v>
      </c>
      <c r="R531" s="2" t="inlineStr"/>
    </row>
    <row r="532" ht="15" customHeight="1">
      <c r="A532" t="inlineStr">
        <is>
          <t>A 32395-2025</t>
        </is>
      </c>
      <c r="B532" s="1" t="n">
        <v>45837.93730324074</v>
      </c>
      <c r="C532" s="1" t="n">
        <v>46025</v>
      </c>
      <c r="D532" t="inlineStr">
        <is>
          <t>STOCKHOLMS LÄN</t>
        </is>
      </c>
      <c r="E532" t="inlineStr">
        <is>
          <t>NORRTÄLJE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44343-2025</t>
        </is>
      </c>
      <c r="B533" s="1" t="n">
        <v>45916.43378472222</v>
      </c>
      <c r="C533" s="1" t="n">
        <v>46025</v>
      </c>
      <c r="D533" t="inlineStr">
        <is>
          <t>STOCKHOLMS LÄN</t>
        </is>
      </c>
      <c r="E533" t="inlineStr">
        <is>
          <t>NORRTÄLJE</t>
        </is>
      </c>
      <c r="G533" t="n">
        <v>1.6</v>
      </c>
      <c r="H533" t="n">
        <v>0</v>
      </c>
      <c r="I533" t="n">
        <v>0</v>
      </c>
      <c r="J533" t="n">
        <v>0</v>
      </c>
      <c r="K533" t="n">
        <v>0</v>
      </c>
      <c r="L533" t="n">
        <v>0</v>
      </c>
      <c r="M533" t="n">
        <v>0</v>
      </c>
      <c r="N533" t="n">
        <v>0</v>
      </c>
      <c r="O533" t="n">
        <v>0</v>
      </c>
      <c r="P533" t="n">
        <v>0</v>
      </c>
      <c r="Q533" t="n">
        <v>0</v>
      </c>
      <c r="R533" s="2" t="inlineStr"/>
    </row>
    <row r="534" ht="15" customHeight="1">
      <c r="A534" t="inlineStr">
        <is>
          <t>A 43916-2025</t>
        </is>
      </c>
      <c r="B534" s="1" t="n">
        <v>45914.78884259259</v>
      </c>
      <c r="C534" s="1" t="n">
        <v>46025</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33211-2025</t>
        </is>
      </c>
      <c r="B535" s="1" t="n">
        <v>45840.62755787037</v>
      </c>
      <c r="C535" s="1" t="n">
        <v>46025</v>
      </c>
      <c r="D535" t="inlineStr">
        <is>
          <t>STOCKHOLMS LÄN</t>
        </is>
      </c>
      <c r="E535" t="inlineStr">
        <is>
          <t>NORRTÄLJE</t>
        </is>
      </c>
      <c r="G535" t="n">
        <v>5.1</v>
      </c>
      <c r="H535" t="n">
        <v>0</v>
      </c>
      <c r="I535" t="n">
        <v>0</v>
      </c>
      <c r="J535" t="n">
        <v>0</v>
      </c>
      <c r="K535" t="n">
        <v>0</v>
      </c>
      <c r="L535" t="n">
        <v>0</v>
      </c>
      <c r="M535" t="n">
        <v>0</v>
      </c>
      <c r="N535" t="n">
        <v>0</v>
      </c>
      <c r="O535" t="n">
        <v>0</v>
      </c>
      <c r="P535" t="n">
        <v>0</v>
      </c>
      <c r="Q535" t="n">
        <v>0</v>
      </c>
      <c r="R535" s="2" t="inlineStr"/>
    </row>
    <row r="536" ht="15" customHeight="1">
      <c r="A536" t="inlineStr">
        <is>
          <t>A 44311-2025</t>
        </is>
      </c>
      <c r="B536" s="1" t="n">
        <v>45916.38394675926</v>
      </c>
      <c r="C536" s="1" t="n">
        <v>46025</v>
      </c>
      <c r="D536" t="inlineStr">
        <is>
          <t>STOCKHOLMS LÄN</t>
        </is>
      </c>
      <c r="E536" t="inlineStr">
        <is>
          <t>NORRTÄLJE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44349-2025</t>
        </is>
      </c>
      <c r="B537" s="1" t="n">
        <v>45916.43929398148</v>
      </c>
      <c r="C537" s="1" t="n">
        <v>46025</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32903-2025</t>
        </is>
      </c>
      <c r="B538" s="1" t="n">
        <v>45839.62398148148</v>
      </c>
      <c r="C538" s="1" t="n">
        <v>46025</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8296-2023</t>
        </is>
      </c>
      <c r="B539" s="1" t="n">
        <v>44974</v>
      </c>
      <c r="C539" s="1" t="n">
        <v>46025</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44354-2025</t>
        </is>
      </c>
      <c r="B540" s="1" t="n">
        <v>45916.44655092592</v>
      </c>
      <c r="C540" s="1" t="n">
        <v>46025</v>
      </c>
      <c r="D540" t="inlineStr">
        <is>
          <t>STOCKHOLMS LÄN</t>
        </is>
      </c>
      <c r="E540" t="inlineStr">
        <is>
          <t>NORRTÄLJE</t>
        </is>
      </c>
      <c r="G540" t="n">
        <v>2.3</v>
      </c>
      <c r="H540" t="n">
        <v>0</v>
      </c>
      <c r="I540" t="n">
        <v>0</v>
      </c>
      <c r="J540" t="n">
        <v>0</v>
      </c>
      <c r="K540" t="n">
        <v>0</v>
      </c>
      <c r="L540" t="n">
        <v>0</v>
      </c>
      <c r="M540" t="n">
        <v>0</v>
      </c>
      <c r="N540" t="n">
        <v>0</v>
      </c>
      <c r="O540" t="n">
        <v>0</v>
      </c>
      <c r="P540" t="n">
        <v>0</v>
      </c>
      <c r="Q540" t="n">
        <v>0</v>
      </c>
      <c r="R540" s="2" t="inlineStr"/>
    </row>
    <row r="541" ht="15" customHeight="1">
      <c r="A541" t="inlineStr">
        <is>
          <t>A 33265-2025</t>
        </is>
      </c>
      <c r="B541" s="1" t="n">
        <v>45840.67829861111</v>
      </c>
      <c r="C541" s="1" t="n">
        <v>46025</v>
      </c>
      <c r="D541" t="inlineStr">
        <is>
          <t>STOCKHOLMS LÄN</t>
        </is>
      </c>
      <c r="E541" t="inlineStr">
        <is>
          <t>NORRTÄLJE</t>
        </is>
      </c>
      <c r="G541" t="n">
        <v>5.5</v>
      </c>
      <c r="H541" t="n">
        <v>0</v>
      </c>
      <c r="I541" t="n">
        <v>0</v>
      </c>
      <c r="J541" t="n">
        <v>0</v>
      </c>
      <c r="K541" t="n">
        <v>0</v>
      </c>
      <c r="L541" t="n">
        <v>0</v>
      </c>
      <c r="M541" t="n">
        <v>0</v>
      </c>
      <c r="N541" t="n">
        <v>0</v>
      </c>
      <c r="O541" t="n">
        <v>0</v>
      </c>
      <c r="P541" t="n">
        <v>0</v>
      </c>
      <c r="Q541" t="n">
        <v>0</v>
      </c>
      <c r="R541" s="2" t="inlineStr"/>
    </row>
    <row r="542" ht="15" customHeight="1">
      <c r="A542" t="inlineStr">
        <is>
          <t>A 31236-2022</t>
        </is>
      </c>
      <c r="B542" s="1" t="n">
        <v>44771</v>
      </c>
      <c r="C542" s="1" t="n">
        <v>46025</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32872-2025</t>
        </is>
      </c>
      <c r="B543" s="1" t="n">
        <v>45839</v>
      </c>
      <c r="C543" s="1" t="n">
        <v>46025</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44333-2025</t>
        </is>
      </c>
      <c r="B544" s="1" t="n">
        <v>45916.42293981482</v>
      </c>
      <c r="C544" s="1" t="n">
        <v>46025</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44306-2025</t>
        </is>
      </c>
      <c r="B545" s="1" t="n">
        <v>45916.37736111111</v>
      </c>
      <c r="C545" s="1" t="n">
        <v>46025</v>
      </c>
      <c r="D545" t="inlineStr">
        <is>
          <t>STOCKHOLMS LÄN</t>
        </is>
      </c>
      <c r="E545" t="inlineStr">
        <is>
          <t>NORRTÄLJE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52593-2024</t>
        </is>
      </c>
      <c r="B546" s="1" t="n">
        <v>45609.70778935185</v>
      </c>
      <c r="C546" s="1" t="n">
        <v>46025</v>
      </c>
      <c r="D546" t="inlineStr">
        <is>
          <t>STOCKHOLMS LÄN</t>
        </is>
      </c>
      <c r="E546" t="inlineStr">
        <is>
          <t>NORRTÄLJE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52617-2024</t>
        </is>
      </c>
      <c r="B547" s="1" t="n">
        <v>45609.85146990741</v>
      </c>
      <c r="C547" s="1" t="n">
        <v>46025</v>
      </c>
      <c r="D547" t="inlineStr">
        <is>
          <t>STOCKHOLMS LÄN</t>
        </is>
      </c>
      <c r="E547" t="inlineStr">
        <is>
          <t>NORRTÄLJE</t>
        </is>
      </c>
      <c r="G547" t="n">
        <v>0.8</v>
      </c>
      <c r="H547" t="n">
        <v>0</v>
      </c>
      <c r="I547" t="n">
        <v>0</v>
      </c>
      <c r="J547" t="n">
        <v>0</v>
      </c>
      <c r="K547" t="n">
        <v>0</v>
      </c>
      <c r="L547" t="n">
        <v>0</v>
      </c>
      <c r="M547" t="n">
        <v>0</v>
      </c>
      <c r="N547" t="n">
        <v>0</v>
      </c>
      <c r="O547" t="n">
        <v>0</v>
      </c>
      <c r="P547" t="n">
        <v>0</v>
      </c>
      <c r="Q547" t="n">
        <v>0</v>
      </c>
      <c r="R547" s="2" t="inlineStr"/>
    </row>
    <row r="548" ht="15" customHeight="1">
      <c r="A548" t="inlineStr">
        <is>
          <t>A 27824-2022</t>
        </is>
      </c>
      <c r="B548" s="1" t="n">
        <v>44743.59331018518</v>
      </c>
      <c r="C548" s="1" t="n">
        <v>46025</v>
      </c>
      <c r="D548" t="inlineStr">
        <is>
          <t>STOCKHOLMS LÄN</t>
        </is>
      </c>
      <c r="E548" t="inlineStr">
        <is>
          <t>NORRTÄLJE</t>
        </is>
      </c>
      <c r="F548" t="inlineStr">
        <is>
          <t>Kommuner</t>
        </is>
      </c>
      <c r="G548" t="n">
        <v>3.1</v>
      </c>
      <c r="H548" t="n">
        <v>0</v>
      </c>
      <c r="I548" t="n">
        <v>0</v>
      </c>
      <c r="J548" t="n">
        <v>0</v>
      </c>
      <c r="K548" t="n">
        <v>0</v>
      </c>
      <c r="L548" t="n">
        <v>0</v>
      </c>
      <c r="M548" t="n">
        <v>0</v>
      </c>
      <c r="N548" t="n">
        <v>0</v>
      </c>
      <c r="O548" t="n">
        <v>0</v>
      </c>
      <c r="P548" t="n">
        <v>0</v>
      </c>
      <c r="Q548" t="n">
        <v>0</v>
      </c>
      <c r="R548" s="2" t="inlineStr"/>
    </row>
    <row r="549" ht="15" customHeight="1">
      <c r="A549" t="inlineStr">
        <is>
          <t>A 33702-2025</t>
        </is>
      </c>
      <c r="B549" s="1" t="n">
        <v>45841.74596064815</v>
      </c>
      <c r="C549" s="1" t="n">
        <v>46025</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33336-2025</t>
        </is>
      </c>
      <c r="B550" s="1" t="n">
        <v>45841.35611111111</v>
      </c>
      <c r="C550" s="1" t="n">
        <v>46025</v>
      </c>
      <c r="D550" t="inlineStr">
        <is>
          <t>STOCKHOLMS LÄN</t>
        </is>
      </c>
      <c r="E550" t="inlineStr">
        <is>
          <t>NORRTÄLJE</t>
        </is>
      </c>
      <c r="G550" t="n">
        <v>2.4</v>
      </c>
      <c r="H550" t="n">
        <v>0</v>
      </c>
      <c r="I550" t="n">
        <v>0</v>
      </c>
      <c r="J550" t="n">
        <v>0</v>
      </c>
      <c r="K550" t="n">
        <v>0</v>
      </c>
      <c r="L550" t="n">
        <v>0</v>
      </c>
      <c r="M550" t="n">
        <v>0</v>
      </c>
      <c r="N550" t="n">
        <v>0</v>
      </c>
      <c r="O550" t="n">
        <v>0</v>
      </c>
      <c r="P550" t="n">
        <v>0</v>
      </c>
      <c r="Q550" t="n">
        <v>0</v>
      </c>
      <c r="R550" s="2" t="inlineStr"/>
    </row>
    <row r="551" ht="15" customHeight="1">
      <c r="A551" t="inlineStr">
        <is>
          <t>A 47521-2024</t>
        </is>
      </c>
      <c r="B551" s="1" t="n">
        <v>45587.62565972222</v>
      </c>
      <c r="C551" s="1" t="n">
        <v>46025</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44937-2025</t>
        </is>
      </c>
      <c r="B552" s="1" t="n">
        <v>45918</v>
      </c>
      <c r="C552" s="1" t="n">
        <v>46025</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22359-2025</t>
        </is>
      </c>
      <c r="B553" s="1" t="n">
        <v>45786</v>
      </c>
      <c r="C553" s="1" t="n">
        <v>46025</v>
      </c>
      <c r="D553" t="inlineStr">
        <is>
          <t>STOCKHOLMS LÄN</t>
        </is>
      </c>
      <c r="E553" t="inlineStr">
        <is>
          <t>NORRTÄLJE</t>
        </is>
      </c>
      <c r="G553" t="n">
        <v>5</v>
      </c>
      <c r="H553" t="n">
        <v>0</v>
      </c>
      <c r="I553" t="n">
        <v>0</v>
      </c>
      <c r="J553" t="n">
        <v>0</v>
      </c>
      <c r="K553" t="n">
        <v>0</v>
      </c>
      <c r="L553" t="n">
        <v>0</v>
      </c>
      <c r="M553" t="n">
        <v>0</v>
      </c>
      <c r="N553" t="n">
        <v>0</v>
      </c>
      <c r="O553" t="n">
        <v>0</v>
      </c>
      <c r="P553" t="n">
        <v>0</v>
      </c>
      <c r="Q553" t="n">
        <v>0</v>
      </c>
      <c r="R553" s="2" t="inlineStr"/>
    </row>
    <row r="554" ht="15" customHeight="1">
      <c r="A554" t="inlineStr">
        <is>
          <t>A 33552-2025</t>
        </is>
      </c>
      <c r="B554" s="1" t="n">
        <v>45841.5737962963</v>
      </c>
      <c r="C554" s="1" t="n">
        <v>46025</v>
      </c>
      <c r="D554" t="inlineStr">
        <is>
          <t>STOCKHOLMS LÄN</t>
        </is>
      </c>
      <c r="E554" t="inlineStr">
        <is>
          <t>NORRTÄLJE</t>
        </is>
      </c>
      <c r="G554" t="n">
        <v>8.9</v>
      </c>
      <c r="H554" t="n">
        <v>0</v>
      </c>
      <c r="I554" t="n">
        <v>0</v>
      </c>
      <c r="J554" t="n">
        <v>0</v>
      </c>
      <c r="K554" t="n">
        <v>0</v>
      </c>
      <c r="L554" t="n">
        <v>0</v>
      </c>
      <c r="M554" t="n">
        <v>0</v>
      </c>
      <c r="N554" t="n">
        <v>0</v>
      </c>
      <c r="O554" t="n">
        <v>0</v>
      </c>
      <c r="P554" t="n">
        <v>0</v>
      </c>
      <c r="Q554" t="n">
        <v>0</v>
      </c>
      <c r="R554" s="2" t="inlineStr"/>
    </row>
    <row r="555" ht="15" customHeight="1">
      <c r="A555" t="inlineStr">
        <is>
          <t>A 50534-2024</t>
        </is>
      </c>
      <c r="B555" s="1" t="n">
        <v>45601.56726851852</v>
      </c>
      <c r="C555" s="1" t="n">
        <v>46025</v>
      </c>
      <c r="D555" t="inlineStr">
        <is>
          <t>STOCKHOLMS LÄN</t>
        </is>
      </c>
      <c r="E555" t="inlineStr">
        <is>
          <t>NORRTÄLJE</t>
        </is>
      </c>
      <c r="G555" t="n">
        <v>2.6</v>
      </c>
      <c r="H555" t="n">
        <v>0</v>
      </c>
      <c r="I555" t="n">
        <v>0</v>
      </c>
      <c r="J555" t="n">
        <v>0</v>
      </c>
      <c r="K555" t="n">
        <v>0</v>
      </c>
      <c r="L555" t="n">
        <v>0</v>
      </c>
      <c r="M555" t="n">
        <v>0</v>
      </c>
      <c r="N555" t="n">
        <v>0</v>
      </c>
      <c r="O555" t="n">
        <v>0</v>
      </c>
      <c r="P555" t="n">
        <v>0</v>
      </c>
      <c r="Q555" t="n">
        <v>0</v>
      </c>
      <c r="R555" s="2" t="inlineStr"/>
    </row>
    <row r="556" ht="15" customHeight="1">
      <c r="A556" t="inlineStr">
        <is>
          <t>A 42094-2023</t>
        </is>
      </c>
      <c r="B556" s="1" t="n">
        <v>45177.61498842593</v>
      </c>
      <c r="C556" s="1" t="n">
        <v>46025</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58530-2024</t>
        </is>
      </c>
      <c r="B557" s="1" t="n">
        <v>45635.44788194444</v>
      </c>
      <c r="C557" s="1" t="n">
        <v>46025</v>
      </c>
      <c r="D557" t="inlineStr">
        <is>
          <t>STOCKHOLMS LÄN</t>
        </is>
      </c>
      <c r="E557" t="inlineStr">
        <is>
          <t>NORRTÄLJE</t>
        </is>
      </c>
      <c r="G557" t="n">
        <v>4.5</v>
      </c>
      <c r="H557" t="n">
        <v>0</v>
      </c>
      <c r="I557" t="n">
        <v>0</v>
      </c>
      <c r="J557" t="n">
        <v>0</v>
      </c>
      <c r="K557" t="n">
        <v>0</v>
      </c>
      <c r="L557" t="n">
        <v>0</v>
      </c>
      <c r="M557" t="n">
        <v>0</v>
      </c>
      <c r="N557" t="n">
        <v>0</v>
      </c>
      <c r="O557" t="n">
        <v>0</v>
      </c>
      <c r="P557" t="n">
        <v>0</v>
      </c>
      <c r="Q557" t="n">
        <v>0</v>
      </c>
      <c r="R557" s="2" t="inlineStr"/>
    </row>
    <row r="558" ht="15" customHeight="1">
      <c r="A558" t="inlineStr">
        <is>
          <t>A 33824-2025</t>
        </is>
      </c>
      <c r="B558" s="1" t="n">
        <v>45842.46885416667</v>
      </c>
      <c r="C558" s="1" t="n">
        <v>46025</v>
      </c>
      <c r="D558" t="inlineStr">
        <is>
          <t>STOCKHOLMS LÄN</t>
        </is>
      </c>
      <c r="E558" t="inlineStr">
        <is>
          <t>NORRTÄLJE</t>
        </is>
      </c>
      <c r="G558" t="n">
        <v>1.9</v>
      </c>
      <c r="H558" t="n">
        <v>0</v>
      </c>
      <c r="I558" t="n">
        <v>0</v>
      </c>
      <c r="J558" t="n">
        <v>0</v>
      </c>
      <c r="K558" t="n">
        <v>0</v>
      </c>
      <c r="L558" t="n">
        <v>0</v>
      </c>
      <c r="M558" t="n">
        <v>0</v>
      </c>
      <c r="N558" t="n">
        <v>0</v>
      </c>
      <c r="O558" t="n">
        <v>0</v>
      </c>
      <c r="P558" t="n">
        <v>0</v>
      </c>
      <c r="Q558" t="n">
        <v>0</v>
      </c>
      <c r="R558" s="2" t="inlineStr"/>
    </row>
    <row r="559" ht="15" customHeight="1">
      <c r="A559" t="inlineStr">
        <is>
          <t>A 30620-2022</t>
        </is>
      </c>
      <c r="B559" s="1" t="n">
        <v>44763.40914351852</v>
      </c>
      <c r="C559" s="1" t="n">
        <v>46025</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57602-2024</t>
        </is>
      </c>
      <c r="B560" s="1" t="n">
        <v>45630.52866898148</v>
      </c>
      <c r="C560" s="1" t="n">
        <v>46025</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11854-2025</t>
        </is>
      </c>
      <c r="B561" s="1" t="n">
        <v>45728.38924768518</v>
      </c>
      <c r="C561" s="1" t="n">
        <v>46025</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1283-2025</t>
        </is>
      </c>
      <c r="B562" s="1" t="n">
        <v>45667.49878472222</v>
      </c>
      <c r="C562" s="1" t="n">
        <v>46025</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60217-2021</t>
        </is>
      </c>
      <c r="B563" s="1" t="n">
        <v>44495.5893287037</v>
      </c>
      <c r="C563" s="1" t="n">
        <v>46025</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46073-2024</t>
        </is>
      </c>
      <c r="B564" s="1" t="n">
        <v>45581</v>
      </c>
      <c r="C564" s="1" t="n">
        <v>46025</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45697-2025</t>
        </is>
      </c>
      <c r="B565" s="1" t="n">
        <v>45923.39877314815</v>
      </c>
      <c r="C565" s="1" t="n">
        <v>46025</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28900-2022</t>
        </is>
      </c>
      <c r="B566" s="1" t="n">
        <v>44749.55258101852</v>
      </c>
      <c r="C566" s="1" t="n">
        <v>46025</v>
      </c>
      <c r="D566" t="inlineStr">
        <is>
          <t>STOCKHOLMS LÄN</t>
        </is>
      </c>
      <c r="E566" t="inlineStr">
        <is>
          <t>NORRTÄLJE</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32514-2022</t>
        </is>
      </c>
      <c r="B567" s="1" t="n">
        <v>44782</v>
      </c>
      <c r="C567" s="1" t="n">
        <v>46025</v>
      </c>
      <c r="D567" t="inlineStr">
        <is>
          <t>STOCKHOLMS LÄN</t>
        </is>
      </c>
      <c r="E567" t="inlineStr">
        <is>
          <t>NORRTÄLJE</t>
        </is>
      </c>
      <c r="G567" t="n">
        <v>5.1</v>
      </c>
      <c r="H567" t="n">
        <v>0</v>
      </c>
      <c r="I567" t="n">
        <v>0</v>
      </c>
      <c r="J567" t="n">
        <v>0</v>
      </c>
      <c r="K567" t="n">
        <v>0</v>
      </c>
      <c r="L567" t="n">
        <v>0</v>
      </c>
      <c r="M567" t="n">
        <v>0</v>
      </c>
      <c r="N567" t="n">
        <v>0</v>
      </c>
      <c r="O567" t="n">
        <v>0</v>
      </c>
      <c r="P567" t="n">
        <v>0</v>
      </c>
      <c r="Q567" t="n">
        <v>0</v>
      </c>
      <c r="R567" s="2" t="inlineStr"/>
    </row>
    <row r="568" ht="15" customHeight="1">
      <c r="A568" t="inlineStr">
        <is>
          <t>A 35256-2025</t>
        </is>
      </c>
      <c r="B568" s="1" t="n">
        <v>45853</v>
      </c>
      <c r="C568" s="1" t="n">
        <v>46025</v>
      </c>
      <c r="D568" t="inlineStr">
        <is>
          <t>STOCKHOLMS LÄN</t>
        </is>
      </c>
      <c r="E568" t="inlineStr">
        <is>
          <t>NORRTÄLJE</t>
        </is>
      </c>
      <c r="G568" t="n">
        <v>6.4</v>
      </c>
      <c r="H568" t="n">
        <v>0</v>
      </c>
      <c r="I568" t="n">
        <v>0</v>
      </c>
      <c r="J568" t="n">
        <v>0</v>
      </c>
      <c r="K568" t="n">
        <v>0</v>
      </c>
      <c r="L568" t="n">
        <v>0</v>
      </c>
      <c r="M568" t="n">
        <v>0</v>
      </c>
      <c r="N568" t="n">
        <v>0</v>
      </c>
      <c r="O568" t="n">
        <v>0</v>
      </c>
      <c r="P568" t="n">
        <v>0</v>
      </c>
      <c r="Q568" t="n">
        <v>0</v>
      </c>
      <c r="R568" s="2" t="inlineStr"/>
    </row>
    <row r="569" ht="15" customHeight="1">
      <c r="A569" t="inlineStr">
        <is>
          <t>A 36689-2023</t>
        </is>
      </c>
      <c r="B569" s="1" t="n">
        <v>45152</v>
      </c>
      <c r="C569" s="1" t="n">
        <v>46025</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34139-2025</t>
        </is>
      </c>
      <c r="B570" s="1" t="n">
        <v>45845</v>
      </c>
      <c r="C570" s="1" t="n">
        <v>46025</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34006-2025</t>
        </is>
      </c>
      <c r="B571" s="1" t="n">
        <v>45844.62609953704</v>
      </c>
      <c r="C571" s="1" t="n">
        <v>46025</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23125-2022</t>
        </is>
      </c>
      <c r="B572" s="1" t="n">
        <v>44719</v>
      </c>
      <c r="C572" s="1" t="n">
        <v>46025</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46415-2025</t>
        </is>
      </c>
      <c r="B573" s="1" t="n">
        <v>45925.58636574074</v>
      </c>
      <c r="C573" s="1" t="n">
        <v>46025</v>
      </c>
      <c r="D573" t="inlineStr">
        <is>
          <t>STOCKHOLMS LÄN</t>
        </is>
      </c>
      <c r="E573" t="inlineStr">
        <is>
          <t>NORRTÄLJE</t>
        </is>
      </c>
      <c r="G573" t="n">
        <v>3.8</v>
      </c>
      <c r="H573" t="n">
        <v>0</v>
      </c>
      <c r="I573" t="n">
        <v>0</v>
      </c>
      <c r="J573" t="n">
        <v>0</v>
      </c>
      <c r="K573" t="n">
        <v>0</v>
      </c>
      <c r="L573" t="n">
        <v>0</v>
      </c>
      <c r="M573" t="n">
        <v>0</v>
      </c>
      <c r="N573" t="n">
        <v>0</v>
      </c>
      <c r="O573" t="n">
        <v>0</v>
      </c>
      <c r="P573" t="n">
        <v>0</v>
      </c>
      <c r="Q573" t="n">
        <v>0</v>
      </c>
      <c r="R573" s="2" t="inlineStr"/>
    </row>
    <row r="574" ht="15" customHeight="1">
      <c r="A574" t="inlineStr">
        <is>
          <t>A 34010-2025</t>
        </is>
      </c>
      <c r="B574" s="1" t="n">
        <v>45844.91234953704</v>
      </c>
      <c r="C574" s="1" t="n">
        <v>46025</v>
      </c>
      <c r="D574" t="inlineStr">
        <is>
          <t>STOCKHOLMS LÄN</t>
        </is>
      </c>
      <c r="E574" t="inlineStr">
        <is>
          <t>NORRTÄLJE</t>
        </is>
      </c>
      <c r="F574" t="inlineStr">
        <is>
          <t>Övriga Aktiebolag</t>
        </is>
      </c>
      <c r="G574" t="n">
        <v>1.1</v>
      </c>
      <c r="H574" t="n">
        <v>0</v>
      </c>
      <c r="I574" t="n">
        <v>0</v>
      </c>
      <c r="J574" t="n">
        <v>0</v>
      </c>
      <c r="K574" t="n">
        <v>0</v>
      </c>
      <c r="L574" t="n">
        <v>0</v>
      </c>
      <c r="M574" t="n">
        <v>0</v>
      </c>
      <c r="N574" t="n">
        <v>0</v>
      </c>
      <c r="O574" t="n">
        <v>0</v>
      </c>
      <c r="P574" t="n">
        <v>0</v>
      </c>
      <c r="Q574" t="n">
        <v>0</v>
      </c>
      <c r="R574" s="2" t="inlineStr"/>
    </row>
    <row r="575" ht="15" customHeight="1">
      <c r="A575" t="inlineStr">
        <is>
          <t>A 9329-2023</t>
        </is>
      </c>
      <c r="B575" s="1" t="n">
        <v>44980</v>
      </c>
      <c r="C575" s="1" t="n">
        <v>46025</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6855-2025</t>
        </is>
      </c>
      <c r="B576" s="1" t="n">
        <v>45700</v>
      </c>
      <c r="C576" s="1" t="n">
        <v>46025</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14873-2025</t>
        </is>
      </c>
      <c r="B577" s="1" t="n">
        <v>45743.44953703704</v>
      </c>
      <c r="C577" s="1" t="n">
        <v>46025</v>
      </c>
      <c r="D577" t="inlineStr">
        <is>
          <t>STOCKHOLMS LÄN</t>
        </is>
      </c>
      <c r="E577" t="inlineStr">
        <is>
          <t>NORRTÄLJE</t>
        </is>
      </c>
      <c r="G577" t="n">
        <v>10.2</v>
      </c>
      <c r="H577" t="n">
        <v>0</v>
      </c>
      <c r="I577" t="n">
        <v>0</v>
      </c>
      <c r="J577" t="n">
        <v>0</v>
      </c>
      <c r="K577" t="n">
        <v>0</v>
      </c>
      <c r="L577" t="n">
        <v>0</v>
      </c>
      <c r="M577" t="n">
        <v>0</v>
      </c>
      <c r="N577" t="n">
        <v>0</v>
      </c>
      <c r="O577" t="n">
        <v>0</v>
      </c>
      <c r="P577" t="n">
        <v>0</v>
      </c>
      <c r="Q577" t="n">
        <v>0</v>
      </c>
      <c r="R577" s="2" t="inlineStr"/>
    </row>
    <row r="578" ht="15" customHeight="1">
      <c r="A578" t="inlineStr">
        <is>
          <t>A 8135-2025</t>
        </is>
      </c>
      <c r="B578" s="1" t="n">
        <v>45707.84997685185</v>
      </c>
      <c r="C578" s="1" t="n">
        <v>46025</v>
      </c>
      <c r="D578" t="inlineStr">
        <is>
          <t>STOCKHOLMS LÄN</t>
        </is>
      </c>
      <c r="E578" t="inlineStr">
        <is>
          <t>NORRTÄLJE</t>
        </is>
      </c>
      <c r="G578" t="n">
        <v>2.6</v>
      </c>
      <c r="H578" t="n">
        <v>0</v>
      </c>
      <c r="I578" t="n">
        <v>0</v>
      </c>
      <c r="J578" t="n">
        <v>0</v>
      </c>
      <c r="K578" t="n">
        <v>0</v>
      </c>
      <c r="L578" t="n">
        <v>0</v>
      </c>
      <c r="M578" t="n">
        <v>0</v>
      </c>
      <c r="N578" t="n">
        <v>0</v>
      </c>
      <c r="O578" t="n">
        <v>0</v>
      </c>
      <c r="P578" t="n">
        <v>0</v>
      </c>
      <c r="Q578" t="n">
        <v>0</v>
      </c>
      <c r="R578" s="2" t="inlineStr"/>
    </row>
    <row r="579" ht="15" customHeight="1">
      <c r="A579" t="inlineStr">
        <is>
          <t>A 31936-2022</t>
        </is>
      </c>
      <c r="B579" s="1" t="n">
        <v>44777</v>
      </c>
      <c r="C579" s="1" t="n">
        <v>46025</v>
      </c>
      <c r="D579" t="inlineStr">
        <is>
          <t>STOCKHOLMS LÄN</t>
        </is>
      </c>
      <c r="E579" t="inlineStr">
        <is>
          <t>NORRTÄLJE</t>
        </is>
      </c>
      <c r="G579" t="n">
        <v>5.2</v>
      </c>
      <c r="H579" t="n">
        <v>0</v>
      </c>
      <c r="I579" t="n">
        <v>0</v>
      </c>
      <c r="J579" t="n">
        <v>0</v>
      </c>
      <c r="K579" t="n">
        <v>0</v>
      </c>
      <c r="L579" t="n">
        <v>0</v>
      </c>
      <c r="M579" t="n">
        <v>0</v>
      </c>
      <c r="N579" t="n">
        <v>0</v>
      </c>
      <c r="O579" t="n">
        <v>0</v>
      </c>
      <c r="P579" t="n">
        <v>0</v>
      </c>
      <c r="Q579" t="n">
        <v>0</v>
      </c>
      <c r="R579" s="2" t="inlineStr"/>
    </row>
    <row r="580" ht="15" customHeight="1">
      <c r="A580" t="inlineStr">
        <is>
          <t>A 24887-2023</t>
        </is>
      </c>
      <c r="B580" s="1" t="n">
        <v>45085</v>
      </c>
      <c r="C580" s="1" t="n">
        <v>46025</v>
      </c>
      <c r="D580" t="inlineStr">
        <is>
          <t>STOCKHOLMS LÄN</t>
        </is>
      </c>
      <c r="E580" t="inlineStr">
        <is>
          <t>NORRTÄLJE</t>
        </is>
      </c>
      <c r="G580" t="n">
        <v>13.9</v>
      </c>
      <c r="H580" t="n">
        <v>0</v>
      </c>
      <c r="I580" t="n">
        <v>0</v>
      </c>
      <c r="J580" t="n">
        <v>0</v>
      </c>
      <c r="K580" t="n">
        <v>0</v>
      </c>
      <c r="L580" t="n">
        <v>0</v>
      </c>
      <c r="M580" t="n">
        <v>0</v>
      </c>
      <c r="N580" t="n">
        <v>0</v>
      </c>
      <c r="O580" t="n">
        <v>0</v>
      </c>
      <c r="P580" t="n">
        <v>0</v>
      </c>
      <c r="Q580" t="n">
        <v>0</v>
      </c>
      <c r="R580" s="2" t="inlineStr"/>
    </row>
    <row r="581" ht="15" customHeight="1">
      <c r="A581" t="inlineStr">
        <is>
          <t>A 56428-2023</t>
        </is>
      </c>
      <c r="B581" s="1" t="n">
        <v>45243.45289351852</v>
      </c>
      <c r="C581" s="1" t="n">
        <v>46025</v>
      </c>
      <c r="D581" t="inlineStr">
        <is>
          <t>STOCKHOLMS LÄN</t>
        </is>
      </c>
      <c r="E581" t="inlineStr">
        <is>
          <t>NORRTÄLJE</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39610-2025</t>
        </is>
      </c>
      <c r="B582" s="1" t="n">
        <v>45890.56001157407</v>
      </c>
      <c r="C582" s="1" t="n">
        <v>46025</v>
      </c>
      <c r="D582" t="inlineStr">
        <is>
          <t>STOCKHOLMS LÄN</t>
        </is>
      </c>
      <c r="E582" t="inlineStr">
        <is>
          <t>NORRTÄLJE</t>
        </is>
      </c>
      <c r="G582" t="n">
        <v>28.6</v>
      </c>
      <c r="H582" t="n">
        <v>0</v>
      </c>
      <c r="I582" t="n">
        <v>0</v>
      </c>
      <c r="J582" t="n">
        <v>0</v>
      </c>
      <c r="K582" t="n">
        <v>0</v>
      </c>
      <c r="L582" t="n">
        <v>0</v>
      </c>
      <c r="M582" t="n">
        <v>0</v>
      </c>
      <c r="N582" t="n">
        <v>0</v>
      </c>
      <c r="O582" t="n">
        <v>0</v>
      </c>
      <c r="P582" t="n">
        <v>0</v>
      </c>
      <c r="Q582" t="n">
        <v>0</v>
      </c>
      <c r="R582" s="2" t="inlineStr"/>
    </row>
    <row r="583" ht="15" customHeight="1">
      <c r="A583" t="inlineStr">
        <is>
          <t>A 47460-2025</t>
        </is>
      </c>
      <c r="B583" s="1" t="n">
        <v>45930.66012731481</v>
      </c>
      <c r="C583" s="1" t="n">
        <v>46025</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30338-2022</t>
        </is>
      </c>
      <c r="B584" s="1" t="n">
        <v>44760</v>
      </c>
      <c r="C584" s="1" t="n">
        <v>46025</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46900-2025</t>
        </is>
      </c>
      <c r="B585" s="1" t="n">
        <v>45929.38712962963</v>
      </c>
      <c r="C585" s="1" t="n">
        <v>46025</v>
      </c>
      <c r="D585" t="inlineStr">
        <is>
          <t>STOCKHOLMS LÄN</t>
        </is>
      </c>
      <c r="E585" t="inlineStr">
        <is>
          <t>NORRTÄLJE</t>
        </is>
      </c>
      <c r="F585" t="inlineStr">
        <is>
          <t>Holmen skog AB</t>
        </is>
      </c>
      <c r="G585" t="n">
        <v>6.2</v>
      </c>
      <c r="H585" t="n">
        <v>0</v>
      </c>
      <c r="I585" t="n">
        <v>0</v>
      </c>
      <c r="J585" t="n">
        <v>0</v>
      </c>
      <c r="K585" t="n">
        <v>0</v>
      </c>
      <c r="L585" t="n">
        <v>0</v>
      </c>
      <c r="M585" t="n">
        <v>0</v>
      </c>
      <c r="N585" t="n">
        <v>0</v>
      </c>
      <c r="O585" t="n">
        <v>0</v>
      </c>
      <c r="P585" t="n">
        <v>0</v>
      </c>
      <c r="Q585" t="n">
        <v>0</v>
      </c>
      <c r="R585" s="2" t="inlineStr"/>
    </row>
    <row r="586" ht="15" customHeight="1">
      <c r="A586" t="inlineStr">
        <is>
          <t>A 18541-2023</t>
        </is>
      </c>
      <c r="B586" s="1" t="n">
        <v>45042.74291666667</v>
      </c>
      <c r="C586" s="1" t="n">
        <v>46025</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32857-2021</t>
        </is>
      </c>
      <c r="B587" s="1" t="n">
        <v>44375</v>
      </c>
      <c r="C587" s="1" t="n">
        <v>46025</v>
      </c>
      <c r="D587" t="inlineStr">
        <is>
          <t>STOCKHOLMS LÄN</t>
        </is>
      </c>
      <c r="E587" t="inlineStr">
        <is>
          <t>NORRTÄLJE</t>
        </is>
      </c>
      <c r="G587" t="n">
        <v>2.9</v>
      </c>
      <c r="H587" t="n">
        <v>0</v>
      </c>
      <c r="I587" t="n">
        <v>0</v>
      </c>
      <c r="J587" t="n">
        <v>0</v>
      </c>
      <c r="K587" t="n">
        <v>0</v>
      </c>
      <c r="L587" t="n">
        <v>0</v>
      </c>
      <c r="M587" t="n">
        <v>0</v>
      </c>
      <c r="N587" t="n">
        <v>0</v>
      </c>
      <c r="O587" t="n">
        <v>0</v>
      </c>
      <c r="P587" t="n">
        <v>0</v>
      </c>
      <c r="Q587" t="n">
        <v>0</v>
      </c>
      <c r="R587" s="2" t="inlineStr"/>
    </row>
    <row r="588" ht="15" customHeight="1">
      <c r="A588" t="inlineStr">
        <is>
          <t>A 51325-2023</t>
        </is>
      </c>
      <c r="B588" s="1" t="n">
        <v>45219</v>
      </c>
      <c r="C588" s="1" t="n">
        <v>46025</v>
      </c>
      <c r="D588" t="inlineStr">
        <is>
          <t>STOCKHOLMS LÄN</t>
        </is>
      </c>
      <c r="E588" t="inlineStr">
        <is>
          <t>NORRTÄLJE</t>
        </is>
      </c>
      <c r="G588" t="n">
        <v>2.2</v>
      </c>
      <c r="H588" t="n">
        <v>0</v>
      </c>
      <c r="I588" t="n">
        <v>0</v>
      </c>
      <c r="J588" t="n">
        <v>0</v>
      </c>
      <c r="K588" t="n">
        <v>0</v>
      </c>
      <c r="L588" t="n">
        <v>0</v>
      </c>
      <c r="M588" t="n">
        <v>0</v>
      </c>
      <c r="N588" t="n">
        <v>0</v>
      </c>
      <c r="O588" t="n">
        <v>0</v>
      </c>
      <c r="P588" t="n">
        <v>0</v>
      </c>
      <c r="Q588" t="n">
        <v>0</v>
      </c>
      <c r="R588" s="2" t="inlineStr"/>
    </row>
    <row r="589" ht="15" customHeight="1">
      <c r="A589" t="inlineStr">
        <is>
          <t>A 21729-2024</t>
        </is>
      </c>
      <c r="B589" s="1" t="n">
        <v>45442</v>
      </c>
      <c r="C589" s="1" t="n">
        <v>46025</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47498-2025</t>
        </is>
      </c>
      <c r="B590" s="1" t="n">
        <v>45930.8134375</v>
      </c>
      <c r="C590" s="1" t="n">
        <v>46025</v>
      </c>
      <c r="D590" t="inlineStr">
        <is>
          <t>STOCKHOLMS LÄN</t>
        </is>
      </c>
      <c r="E590" t="inlineStr">
        <is>
          <t>NORRTÄLJE</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21894-2023</t>
        </is>
      </c>
      <c r="B591" s="1" t="n">
        <v>45068.51783564815</v>
      </c>
      <c r="C591" s="1" t="n">
        <v>46025</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47496-2025</t>
        </is>
      </c>
      <c r="B592" s="1" t="n">
        <v>45930.79252314815</v>
      </c>
      <c r="C592" s="1" t="n">
        <v>46025</v>
      </c>
      <c r="D592" t="inlineStr">
        <is>
          <t>STOCKHOLMS LÄN</t>
        </is>
      </c>
      <c r="E592" t="inlineStr">
        <is>
          <t>NORRTÄLJE</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47497-2025</t>
        </is>
      </c>
      <c r="B593" s="1" t="n">
        <v>45930.80217592593</v>
      </c>
      <c r="C593" s="1" t="n">
        <v>46025</v>
      </c>
      <c r="D593" t="inlineStr">
        <is>
          <t>STOCKHOLMS LÄN</t>
        </is>
      </c>
      <c r="E593" t="inlineStr">
        <is>
          <t>NORRTÄLJE</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21732-2023</t>
        </is>
      </c>
      <c r="B594" s="1" t="n">
        <v>45063</v>
      </c>
      <c r="C594" s="1" t="n">
        <v>46025</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48718-2025</t>
        </is>
      </c>
      <c r="B595" s="1" t="n">
        <v>45936</v>
      </c>
      <c r="C595" s="1" t="n">
        <v>46025</v>
      </c>
      <c r="D595" t="inlineStr">
        <is>
          <t>STOCKHOLMS LÄN</t>
        </is>
      </c>
      <c r="E595" t="inlineStr">
        <is>
          <t>NORRTÄLJE</t>
        </is>
      </c>
      <c r="G595" t="n">
        <v>2.1</v>
      </c>
      <c r="H595" t="n">
        <v>0</v>
      </c>
      <c r="I595" t="n">
        <v>0</v>
      </c>
      <c r="J595" t="n">
        <v>0</v>
      </c>
      <c r="K595" t="n">
        <v>0</v>
      </c>
      <c r="L595" t="n">
        <v>0</v>
      </c>
      <c r="M595" t="n">
        <v>0</v>
      </c>
      <c r="N595" t="n">
        <v>0</v>
      </c>
      <c r="O595" t="n">
        <v>0</v>
      </c>
      <c r="P595" t="n">
        <v>0</v>
      </c>
      <c r="Q595" t="n">
        <v>0</v>
      </c>
      <c r="R595" s="2" t="inlineStr"/>
    </row>
    <row r="596" ht="15" customHeight="1">
      <c r="A596" t="inlineStr">
        <is>
          <t>A 48360-2025</t>
        </is>
      </c>
      <c r="B596" s="1" t="n">
        <v>45933.66253472222</v>
      </c>
      <c r="C596" s="1" t="n">
        <v>46025</v>
      </c>
      <c r="D596" t="inlineStr">
        <is>
          <t>STOCKHOLMS LÄN</t>
        </is>
      </c>
      <c r="E596" t="inlineStr">
        <is>
          <t>NORRTÄLJE</t>
        </is>
      </c>
      <c r="G596" t="n">
        <v>4.1</v>
      </c>
      <c r="H596" t="n">
        <v>0</v>
      </c>
      <c r="I596" t="n">
        <v>0</v>
      </c>
      <c r="J596" t="n">
        <v>0</v>
      </c>
      <c r="K596" t="n">
        <v>0</v>
      </c>
      <c r="L596" t="n">
        <v>0</v>
      </c>
      <c r="M596" t="n">
        <v>0</v>
      </c>
      <c r="N596" t="n">
        <v>0</v>
      </c>
      <c r="O596" t="n">
        <v>0</v>
      </c>
      <c r="P596" t="n">
        <v>0</v>
      </c>
      <c r="Q596" t="n">
        <v>0</v>
      </c>
      <c r="R596" s="2" t="inlineStr"/>
    </row>
    <row r="597" ht="15" customHeight="1">
      <c r="A597" t="inlineStr">
        <is>
          <t>A 48370-2025</t>
        </is>
      </c>
      <c r="B597" s="1" t="n">
        <v>45933.67854166667</v>
      </c>
      <c r="C597" s="1" t="n">
        <v>46025</v>
      </c>
      <c r="D597" t="inlineStr">
        <is>
          <t>STOCKHOLMS LÄN</t>
        </is>
      </c>
      <c r="E597" t="inlineStr">
        <is>
          <t>NORRTÄLJE</t>
        </is>
      </c>
      <c r="G597" t="n">
        <v>4.5</v>
      </c>
      <c r="H597" t="n">
        <v>0</v>
      </c>
      <c r="I597" t="n">
        <v>0</v>
      </c>
      <c r="J597" t="n">
        <v>0</v>
      </c>
      <c r="K597" t="n">
        <v>0</v>
      </c>
      <c r="L597" t="n">
        <v>0</v>
      </c>
      <c r="M597" t="n">
        <v>0</v>
      </c>
      <c r="N597" t="n">
        <v>0</v>
      </c>
      <c r="O597" t="n">
        <v>0</v>
      </c>
      <c r="P597" t="n">
        <v>0</v>
      </c>
      <c r="Q597" t="n">
        <v>0</v>
      </c>
      <c r="R597" s="2" t="inlineStr"/>
    </row>
    <row r="598" ht="15" customHeight="1">
      <c r="A598" t="inlineStr">
        <is>
          <t>A 7806-2025</t>
        </is>
      </c>
      <c r="B598" s="1" t="n">
        <v>45706.61178240741</v>
      </c>
      <c r="C598" s="1" t="n">
        <v>46025</v>
      </c>
      <c r="D598" t="inlineStr">
        <is>
          <t>STOCKHOLMS LÄN</t>
        </is>
      </c>
      <c r="E598" t="inlineStr">
        <is>
          <t>NORRTÄLJE</t>
        </is>
      </c>
      <c r="F598" t="inlineStr">
        <is>
          <t>Holmen skog AB</t>
        </is>
      </c>
      <c r="G598" t="n">
        <v>3.5</v>
      </c>
      <c r="H598" t="n">
        <v>0</v>
      </c>
      <c r="I598" t="n">
        <v>0</v>
      </c>
      <c r="J598" t="n">
        <v>0</v>
      </c>
      <c r="K598" t="n">
        <v>0</v>
      </c>
      <c r="L598" t="n">
        <v>0</v>
      </c>
      <c r="M598" t="n">
        <v>0</v>
      </c>
      <c r="N598" t="n">
        <v>0</v>
      </c>
      <c r="O598" t="n">
        <v>0</v>
      </c>
      <c r="P598" t="n">
        <v>0</v>
      </c>
      <c r="Q598" t="n">
        <v>0</v>
      </c>
      <c r="R598" s="2" t="inlineStr"/>
    </row>
    <row r="599" ht="15" customHeight="1">
      <c r="A599" t="inlineStr">
        <is>
          <t>A 48443-2025</t>
        </is>
      </c>
      <c r="B599" s="1" t="n">
        <v>45935.55326388889</v>
      </c>
      <c r="C599" s="1" t="n">
        <v>46025</v>
      </c>
      <c r="D599" t="inlineStr">
        <is>
          <t>STOCKHOLMS LÄN</t>
        </is>
      </c>
      <c r="E599" t="inlineStr">
        <is>
          <t>NORRTÄLJE</t>
        </is>
      </c>
      <c r="G599" t="n">
        <v>1</v>
      </c>
      <c r="H599" t="n">
        <v>0</v>
      </c>
      <c r="I599" t="n">
        <v>0</v>
      </c>
      <c r="J599" t="n">
        <v>0</v>
      </c>
      <c r="K599" t="n">
        <v>0</v>
      </c>
      <c r="L599" t="n">
        <v>0</v>
      </c>
      <c r="M599" t="n">
        <v>0</v>
      </c>
      <c r="N599" t="n">
        <v>0</v>
      </c>
      <c r="O599" t="n">
        <v>0</v>
      </c>
      <c r="P599" t="n">
        <v>0</v>
      </c>
      <c r="Q599" t="n">
        <v>0</v>
      </c>
      <c r="R599" s="2" t="inlineStr"/>
    </row>
    <row r="600" ht="15" customHeight="1">
      <c r="A600" t="inlineStr">
        <is>
          <t>A 37444-2021</t>
        </is>
      </c>
      <c r="B600" s="1" t="n">
        <v>44398</v>
      </c>
      <c r="C600" s="1" t="n">
        <v>46025</v>
      </c>
      <c r="D600" t="inlineStr">
        <is>
          <t>STOCKHOLMS LÄN</t>
        </is>
      </c>
      <c r="E600" t="inlineStr">
        <is>
          <t>NORRTÄLJE</t>
        </is>
      </c>
      <c r="F600" t="inlineStr">
        <is>
          <t>Holmen skog AB</t>
        </is>
      </c>
      <c r="G600" t="n">
        <v>3.2</v>
      </c>
      <c r="H600" t="n">
        <v>0</v>
      </c>
      <c r="I600" t="n">
        <v>0</v>
      </c>
      <c r="J600" t="n">
        <v>0</v>
      </c>
      <c r="K600" t="n">
        <v>0</v>
      </c>
      <c r="L600" t="n">
        <v>0</v>
      </c>
      <c r="M600" t="n">
        <v>0</v>
      </c>
      <c r="N600" t="n">
        <v>0</v>
      </c>
      <c r="O600" t="n">
        <v>0</v>
      </c>
      <c r="P600" t="n">
        <v>0</v>
      </c>
      <c r="Q600" t="n">
        <v>0</v>
      </c>
      <c r="R600" s="2" t="inlineStr"/>
    </row>
    <row r="601" ht="15" customHeight="1">
      <c r="A601" t="inlineStr">
        <is>
          <t>A 48127-2025</t>
        </is>
      </c>
      <c r="B601" s="1" t="n">
        <v>45933.36621527778</v>
      </c>
      <c r="C601" s="1" t="n">
        <v>46025</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48364-2025</t>
        </is>
      </c>
      <c r="B602" s="1" t="n">
        <v>45933.66796296297</v>
      </c>
      <c r="C602" s="1" t="n">
        <v>46025</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35110-2025</t>
        </is>
      </c>
      <c r="B603" s="1" t="n">
        <v>45852.58030092593</v>
      </c>
      <c r="C603" s="1" t="n">
        <v>46025</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48179-2025</t>
        </is>
      </c>
      <c r="B604" s="1" t="n">
        <v>45933.44907407407</v>
      </c>
      <c r="C604" s="1" t="n">
        <v>46025</v>
      </c>
      <c r="D604" t="inlineStr">
        <is>
          <t>STOCKHOLMS LÄN</t>
        </is>
      </c>
      <c r="E604" t="inlineStr">
        <is>
          <t>NORRTÄLJE</t>
        </is>
      </c>
      <c r="G604" t="n">
        <v>1</v>
      </c>
      <c r="H604" t="n">
        <v>0</v>
      </c>
      <c r="I604" t="n">
        <v>0</v>
      </c>
      <c r="J604" t="n">
        <v>0</v>
      </c>
      <c r="K604" t="n">
        <v>0</v>
      </c>
      <c r="L604" t="n">
        <v>0</v>
      </c>
      <c r="M604" t="n">
        <v>0</v>
      </c>
      <c r="N604" t="n">
        <v>0</v>
      </c>
      <c r="O604" t="n">
        <v>0</v>
      </c>
      <c r="P604" t="n">
        <v>0</v>
      </c>
      <c r="Q604" t="n">
        <v>0</v>
      </c>
      <c r="R604" s="2" t="inlineStr"/>
    </row>
    <row r="605" ht="15" customHeight="1">
      <c r="A605" t="inlineStr">
        <is>
          <t>A 45173-2023</t>
        </is>
      </c>
      <c r="B605" s="1" t="n">
        <v>45191</v>
      </c>
      <c r="C605" s="1" t="n">
        <v>46025</v>
      </c>
      <c r="D605" t="inlineStr">
        <is>
          <t>STOCKHOLMS LÄN</t>
        </is>
      </c>
      <c r="E605" t="inlineStr">
        <is>
          <t>NORRTÄLJE</t>
        </is>
      </c>
      <c r="F605" t="inlineStr">
        <is>
          <t>Sveaskog</t>
        </is>
      </c>
      <c r="G605" t="n">
        <v>3.6</v>
      </c>
      <c r="H605" t="n">
        <v>0</v>
      </c>
      <c r="I605" t="n">
        <v>0</v>
      </c>
      <c r="J605" t="n">
        <v>0</v>
      </c>
      <c r="K605" t="n">
        <v>0</v>
      </c>
      <c r="L605" t="n">
        <v>0</v>
      </c>
      <c r="M605" t="n">
        <v>0</v>
      </c>
      <c r="N605" t="n">
        <v>0</v>
      </c>
      <c r="O605" t="n">
        <v>0</v>
      </c>
      <c r="P605" t="n">
        <v>0</v>
      </c>
      <c r="Q605" t="n">
        <v>0</v>
      </c>
      <c r="R605" s="2" t="inlineStr"/>
    </row>
    <row r="606" ht="15" customHeight="1">
      <c r="A606" t="inlineStr">
        <is>
          <t>A 48174-2025</t>
        </is>
      </c>
      <c r="B606" s="1" t="n">
        <v>45933.44230324074</v>
      </c>
      <c r="C606" s="1" t="n">
        <v>46025</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48593-2025</t>
        </is>
      </c>
      <c r="B607" s="1" t="n">
        <v>45936.4627662037</v>
      </c>
      <c r="C607" s="1" t="n">
        <v>46025</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49129-2025</t>
        </is>
      </c>
      <c r="B608" s="1" t="n">
        <v>45937.89517361111</v>
      </c>
      <c r="C608" s="1" t="n">
        <v>46025</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64137-2021</t>
        </is>
      </c>
      <c r="B609" s="1" t="n">
        <v>44510.51422453704</v>
      </c>
      <c r="C609" s="1" t="n">
        <v>46025</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38720-2022</t>
        </is>
      </c>
      <c r="B610" s="1" t="n">
        <v>44815.74539351852</v>
      </c>
      <c r="C610" s="1" t="n">
        <v>46025</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48780-2025</t>
        </is>
      </c>
      <c r="B611" s="1" t="n">
        <v>45937.30377314815</v>
      </c>
      <c r="C611" s="1" t="n">
        <v>46025</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34432-2021</t>
        </is>
      </c>
      <c r="B612" s="1" t="n">
        <v>44380.77346064815</v>
      </c>
      <c r="C612" s="1" t="n">
        <v>46025</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33279-2025</t>
        </is>
      </c>
      <c r="B613" s="1" t="n">
        <v>45840</v>
      </c>
      <c r="C613" s="1" t="n">
        <v>46025</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19911-2025</t>
        </is>
      </c>
      <c r="B614" s="1" t="n">
        <v>45771</v>
      </c>
      <c r="C614" s="1" t="n">
        <v>46025</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14130-2025</t>
        </is>
      </c>
      <c r="B615" s="1" t="n">
        <v>45740.47288194444</v>
      </c>
      <c r="C615" s="1" t="n">
        <v>46025</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35254-2025</t>
        </is>
      </c>
      <c r="B616" s="1" t="n">
        <v>45853</v>
      </c>
      <c r="C616" s="1" t="n">
        <v>46025</v>
      </c>
      <c r="D616" t="inlineStr">
        <is>
          <t>STOCKHOLMS LÄN</t>
        </is>
      </c>
      <c r="E616" t="inlineStr">
        <is>
          <t>NORRTÄLJE</t>
        </is>
      </c>
      <c r="G616" t="n">
        <v>6.5</v>
      </c>
      <c r="H616" t="n">
        <v>0</v>
      </c>
      <c r="I616" t="n">
        <v>0</v>
      </c>
      <c r="J616" t="n">
        <v>0</v>
      </c>
      <c r="K616" t="n">
        <v>0</v>
      </c>
      <c r="L616" t="n">
        <v>0</v>
      </c>
      <c r="M616" t="n">
        <v>0</v>
      </c>
      <c r="N616" t="n">
        <v>0</v>
      </c>
      <c r="O616" t="n">
        <v>0</v>
      </c>
      <c r="P616" t="n">
        <v>0</v>
      </c>
      <c r="Q616" t="n">
        <v>0</v>
      </c>
      <c r="R616" s="2" t="inlineStr"/>
    </row>
    <row r="617" ht="15" customHeight="1">
      <c r="A617" t="inlineStr">
        <is>
          <t>A 12532-2025</t>
        </is>
      </c>
      <c r="B617" s="1" t="n">
        <v>45730.69143518519</v>
      </c>
      <c r="C617" s="1" t="n">
        <v>46025</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40175-2024</t>
        </is>
      </c>
      <c r="B618" s="1" t="n">
        <v>45554.55707175926</v>
      </c>
      <c r="C618" s="1" t="n">
        <v>46025</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16229-2022</t>
        </is>
      </c>
      <c r="B619" s="1" t="n">
        <v>44670.4190162037</v>
      </c>
      <c r="C619" s="1" t="n">
        <v>46025</v>
      </c>
      <c r="D619" t="inlineStr">
        <is>
          <t>STOCKHOLMS LÄN</t>
        </is>
      </c>
      <c r="E619" t="inlineStr">
        <is>
          <t>NORRTÄLJE</t>
        </is>
      </c>
      <c r="G619" t="n">
        <v>7.4</v>
      </c>
      <c r="H619" t="n">
        <v>0</v>
      </c>
      <c r="I619" t="n">
        <v>0</v>
      </c>
      <c r="J619" t="n">
        <v>0</v>
      </c>
      <c r="K619" t="n">
        <v>0</v>
      </c>
      <c r="L619" t="n">
        <v>0</v>
      </c>
      <c r="M619" t="n">
        <v>0</v>
      </c>
      <c r="N619" t="n">
        <v>0</v>
      </c>
      <c r="O619" t="n">
        <v>0</v>
      </c>
      <c r="P619" t="n">
        <v>0</v>
      </c>
      <c r="Q619" t="n">
        <v>0</v>
      </c>
      <c r="R619" s="2" t="inlineStr"/>
    </row>
    <row r="620" ht="15" customHeight="1">
      <c r="A620" t="inlineStr">
        <is>
          <t>A 49836-2025</t>
        </is>
      </c>
      <c r="B620" s="1" t="n">
        <v>45940.46862268518</v>
      </c>
      <c r="C620" s="1" t="n">
        <v>46025</v>
      </c>
      <c r="D620" t="inlineStr">
        <is>
          <t>STOCKHOLMS LÄN</t>
        </is>
      </c>
      <c r="E620" t="inlineStr">
        <is>
          <t>NORRTÄLJE</t>
        </is>
      </c>
      <c r="G620" t="n">
        <v>3.5</v>
      </c>
      <c r="H620" t="n">
        <v>0</v>
      </c>
      <c r="I620" t="n">
        <v>0</v>
      </c>
      <c r="J620" t="n">
        <v>0</v>
      </c>
      <c r="K620" t="n">
        <v>0</v>
      </c>
      <c r="L620" t="n">
        <v>0</v>
      </c>
      <c r="M620" t="n">
        <v>0</v>
      </c>
      <c r="N620" t="n">
        <v>0</v>
      </c>
      <c r="O620" t="n">
        <v>0</v>
      </c>
      <c r="P620" t="n">
        <v>0</v>
      </c>
      <c r="Q620" t="n">
        <v>0</v>
      </c>
      <c r="R620" s="2" t="inlineStr"/>
    </row>
    <row r="621" ht="15" customHeight="1">
      <c r="A621" t="inlineStr">
        <is>
          <t>A 35479-2025</t>
        </is>
      </c>
      <c r="B621" s="1" t="n">
        <v>45855.69387731481</v>
      </c>
      <c r="C621" s="1" t="n">
        <v>46025</v>
      </c>
      <c r="D621" t="inlineStr">
        <is>
          <t>STOCKHOLMS LÄN</t>
        </is>
      </c>
      <c r="E621" t="inlineStr">
        <is>
          <t>NORRTÄLJE</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46914-2022</t>
        </is>
      </c>
      <c r="B622" s="1" t="n">
        <v>44851</v>
      </c>
      <c r="C622" s="1" t="n">
        <v>46025</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35451-2025</t>
        </is>
      </c>
      <c r="B623" s="1" t="n">
        <v>45855.57033564815</v>
      </c>
      <c r="C623" s="1" t="n">
        <v>46025</v>
      </c>
      <c r="D623" t="inlineStr">
        <is>
          <t>STOCKHOLMS LÄN</t>
        </is>
      </c>
      <c r="E623" t="inlineStr">
        <is>
          <t>NORRTÄLJE</t>
        </is>
      </c>
      <c r="F623" t="inlineStr">
        <is>
          <t>Holmen skog AB</t>
        </is>
      </c>
      <c r="G623" t="n">
        <v>7.4</v>
      </c>
      <c r="H623" t="n">
        <v>0</v>
      </c>
      <c r="I623" t="n">
        <v>0</v>
      </c>
      <c r="J623" t="n">
        <v>0</v>
      </c>
      <c r="K623" t="n">
        <v>0</v>
      </c>
      <c r="L623" t="n">
        <v>0</v>
      </c>
      <c r="M623" t="n">
        <v>0</v>
      </c>
      <c r="N623" t="n">
        <v>0</v>
      </c>
      <c r="O623" t="n">
        <v>0</v>
      </c>
      <c r="P623" t="n">
        <v>0</v>
      </c>
      <c r="Q623" t="n">
        <v>0</v>
      </c>
      <c r="R623" s="2" t="inlineStr"/>
    </row>
    <row r="624" ht="15" customHeight="1">
      <c r="A624" t="inlineStr">
        <is>
          <t>A 35478-2025</t>
        </is>
      </c>
      <c r="B624" s="1" t="n">
        <v>45855.68413194444</v>
      </c>
      <c r="C624" s="1" t="n">
        <v>46025</v>
      </c>
      <c r="D624" t="inlineStr">
        <is>
          <t>STOCKHOLMS LÄN</t>
        </is>
      </c>
      <c r="E624" t="inlineStr">
        <is>
          <t>NORRTÄLJE</t>
        </is>
      </c>
      <c r="F624" t="inlineStr">
        <is>
          <t>Holmen skog AB</t>
        </is>
      </c>
      <c r="G624" t="n">
        <v>2.7</v>
      </c>
      <c r="H624" t="n">
        <v>0</v>
      </c>
      <c r="I624" t="n">
        <v>0</v>
      </c>
      <c r="J624" t="n">
        <v>0</v>
      </c>
      <c r="K624" t="n">
        <v>0</v>
      </c>
      <c r="L624" t="n">
        <v>0</v>
      </c>
      <c r="M624" t="n">
        <v>0</v>
      </c>
      <c r="N624" t="n">
        <v>0</v>
      </c>
      <c r="O624" t="n">
        <v>0</v>
      </c>
      <c r="P624" t="n">
        <v>0</v>
      </c>
      <c r="Q624" t="n">
        <v>0</v>
      </c>
      <c r="R624" s="2" t="inlineStr"/>
    </row>
    <row r="625" ht="15" customHeight="1">
      <c r="A625" t="inlineStr">
        <is>
          <t>A 20244-2025</t>
        </is>
      </c>
      <c r="B625" s="1" t="n">
        <v>45772.71221064815</v>
      </c>
      <c r="C625" s="1" t="n">
        <v>46025</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50143-2023</t>
        </is>
      </c>
      <c r="B626" s="1" t="n">
        <v>45215</v>
      </c>
      <c r="C626" s="1" t="n">
        <v>46025</v>
      </c>
      <c r="D626" t="inlineStr">
        <is>
          <t>STOCKHOLMS LÄN</t>
        </is>
      </c>
      <c r="E626" t="inlineStr">
        <is>
          <t>NORRTÄLJE</t>
        </is>
      </c>
      <c r="G626" t="n">
        <v>10.3</v>
      </c>
      <c r="H626" t="n">
        <v>0</v>
      </c>
      <c r="I626" t="n">
        <v>0</v>
      </c>
      <c r="J626" t="n">
        <v>0</v>
      </c>
      <c r="K626" t="n">
        <v>0</v>
      </c>
      <c r="L626" t="n">
        <v>0</v>
      </c>
      <c r="M626" t="n">
        <v>0</v>
      </c>
      <c r="N626" t="n">
        <v>0</v>
      </c>
      <c r="O626" t="n">
        <v>0</v>
      </c>
      <c r="P626" t="n">
        <v>0</v>
      </c>
      <c r="Q626" t="n">
        <v>0</v>
      </c>
      <c r="R626" s="2" t="inlineStr"/>
    </row>
    <row r="627" ht="15" customHeight="1">
      <c r="A627" t="inlineStr">
        <is>
          <t>A 20015-2023</t>
        </is>
      </c>
      <c r="B627" s="1" t="n">
        <v>45054</v>
      </c>
      <c r="C627" s="1" t="n">
        <v>46025</v>
      </c>
      <c r="D627" t="inlineStr">
        <is>
          <t>STOCKHOLMS LÄN</t>
        </is>
      </c>
      <c r="E627" t="inlineStr">
        <is>
          <t>NORRTÄLJE</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5027-2025</t>
        </is>
      </c>
      <c r="B628" s="1" t="n">
        <v>45691.41101851852</v>
      </c>
      <c r="C628" s="1" t="n">
        <v>46025</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50097-2025</t>
        </is>
      </c>
      <c r="B629" s="1" t="n">
        <v>45943.50207175926</v>
      </c>
      <c r="C629" s="1" t="n">
        <v>46025</v>
      </c>
      <c r="D629" t="inlineStr">
        <is>
          <t>STOCKHOLMS LÄN</t>
        </is>
      </c>
      <c r="E629" t="inlineStr">
        <is>
          <t>NORRTÄLJE</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8315-2025</t>
        </is>
      </c>
      <c r="B630" s="1" t="n">
        <v>45708.61761574074</v>
      </c>
      <c r="C630" s="1" t="n">
        <v>46025</v>
      </c>
      <c r="D630" t="inlineStr">
        <is>
          <t>STOCKHOLMS LÄN</t>
        </is>
      </c>
      <c r="E630" t="inlineStr">
        <is>
          <t>NORRTÄLJE</t>
        </is>
      </c>
      <c r="G630" t="n">
        <v>3.9</v>
      </c>
      <c r="H630" t="n">
        <v>0</v>
      </c>
      <c r="I630" t="n">
        <v>0</v>
      </c>
      <c r="J630" t="n">
        <v>0</v>
      </c>
      <c r="K630" t="n">
        <v>0</v>
      </c>
      <c r="L630" t="n">
        <v>0</v>
      </c>
      <c r="M630" t="n">
        <v>0</v>
      </c>
      <c r="N630" t="n">
        <v>0</v>
      </c>
      <c r="O630" t="n">
        <v>0</v>
      </c>
      <c r="P630" t="n">
        <v>0</v>
      </c>
      <c r="Q630" t="n">
        <v>0</v>
      </c>
      <c r="R630" s="2" t="inlineStr"/>
    </row>
    <row r="631" ht="15" customHeight="1">
      <c r="A631" t="inlineStr">
        <is>
          <t>A 58403-2025</t>
        </is>
      </c>
      <c r="B631" s="1" t="n">
        <v>45985.56777777777</v>
      </c>
      <c r="C631" s="1" t="n">
        <v>46025</v>
      </c>
      <c r="D631" t="inlineStr">
        <is>
          <t>STOCKHOLMS LÄN</t>
        </is>
      </c>
      <c r="E631" t="inlineStr">
        <is>
          <t>NORRTÄLJE</t>
        </is>
      </c>
      <c r="F631" t="inlineStr">
        <is>
          <t>Naturvårdsverket</t>
        </is>
      </c>
      <c r="G631" t="n">
        <v>13.5</v>
      </c>
      <c r="H631" t="n">
        <v>0</v>
      </c>
      <c r="I631" t="n">
        <v>0</v>
      </c>
      <c r="J631" t="n">
        <v>0</v>
      </c>
      <c r="K631" t="n">
        <v>0</v>
      </c>
      <c r="L631" t="n">
        <v>0</v>
      </c>
      <c r="M631" t="n">
        <v>0</v>
      </c>
      <c r="N631" t="n">
        <v>0</v>
      </c>
      <c r="O631" t="n">
        <v>0</v>
      </c>
      <c r="P631" t="n">
        <v>0</v>
      </c>
      <c r="Q631" t="n">
        <v>0</v>
      </c>
      <c r="R631" s="2" t="inlineStr"/>
    </row>
    <row r="632" ht="15" customHeight="1">
      <c r="A632" t="inlineStr">
        <is>
          <t>A 12251-2025</t>
        </is>
      </c>
      <c r="B632" s="1" t="n">
        <v>45729.60859953704</v>
      </c>
      <c r="C632" s="1" t="n">
        <v>46025</v>
      </c>
      <c r="D632" t="inlineStr">
        <is>
          <t>STOCKHOLMS LÄN</t>
        </is>
      </c>
      <c r="E632" t="inlineStr">
        <is>
          <t>NORRTÄLJE</t>
        </is>
      </c>
      <c r="F632" t="inlineStr">
        <is>
          <t>Holmen skog AB</t>
        </is>
      </c>
      <c r="G632" t="n">
        <v>5.9</v>
      </c>
      <c r="H632" t="n">
        <v>0</v>
      </c>
      <c r="I632" t="n">
        <v>0</v>
      </c>
      <c r="J632" t="n">
        <v>0</v>
      </c>
      <c r="K632" t="n">
        <v>0</v>
      </c>
      <c r="L632" t="n">
        <v>0</v>
      </c>
      <c r="M632" t="n">
        <v>0</v>
      </c>
      <c r="N632" t="n">
        <v>0</v>
      </c>
      <c r="O632" t="n">
        <v>0</v>
      </c>
      <c r="P632" t="n">
        <v>0</v>
      </c>
      <c r="Q632" t="n">
        <v>0</v>
      </c>
      <c r="R632" s="2" t="inlineStr"/>
    </row>
    <row r="633" ht="15" customHeight="1">
      <c r="A633" t="inlineStr">
        <is>
          <t>A 50333-2025</t>
        </is>
      </c>
      <c r="B633" s="1" t="n">
        <v>45944.47178240741</v>
      </c>
      <c r="C633" s="1" t="n">
        <v>46025</v>
      </c>
      <c r="D633" t="inlineStr">
        <is>
          <t>STOCKHOLMS LÄN</t>
        </is>
      </c>
      <c r="E633" t="inlineStr">
        <is>
          <t>NORRTÄLJE</t>
        </is>
      </c>
      <c r="G633" t="n">
        <v>4.2</v>
      </c>
      <c r="H633" t="n">
        <v>0</v>
      </c>
      <c r="I633" t="n">
        <v>0</v>
      </c>
      <c r="J633" t="n">
        <v>0</v>
      </c>
      <c r="K633" t="n">
        <v>0</v>
      </c>
      <c r="L633" t="n">
        <v>0</v>
      </c>
      <c r="M633" t="n">
        <v>0</v>
      </c>
      <c r="N633" t="n">
        <v>0</v>
      </c>
      <c r="O633" t="n">
        <v>0</v>
      </c>
      <c r="P633" t="n">
        <v>0</v>
      </c>
      <c r="Q633" t="n">
        <v>0</v>
      </c>
      <c r="R633" s="2" t="inlineStr"/>
    </row>
    <row r="634" ht="15" customHeight="1">
      <c r="A634" t="inlineStr">
        <is>
          <t>A 50563-2025</t>
        </is>
      </c>
      <c r="B634" s="1" t="n">
        <v>45944</v>
      </c>
      <c r="C634" s="1" t="n">
        <v>46025</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54776-2023</t>
        </is>
      </c>
      <c r="B635" s="1" t="n">
        <v>45236.46369212963</v>
      </c>
      <c r="C635" s="1" t="n">
        <v>46025</v>
      </c>
      <c r="D635" t="inlineStr">
        <is>
          <t>STOCKHOLMS LÄN</t>
        </is>
      </c>
      <c r="E635" t="inlineStr">
        <is>
          <t>NORRTÄLJE</t>
        </is>
      </c>
      <c r="G635" t="n">
        <v>0.3</v>
      </c>
      <c r="H635" t="n">
        <v>0</v>
      </c>
      <c r="I635" t="n">
        <v>0</v>
      </c>
      <c r="J635" t="n">
        <v>0</v>
      </c>
      <c r="K635" t="n">
        <v>0</v>
      </c>
      <c r="L635" t="n">
        <v>0</v>
      </c>
      <c r="M635" t="n">
        <v>0</v>
      </c>
      <c r="N635" t="n">
        <v>0</v>
      </c>
      <c r="O635" t="n">
        <v>0</v>
      </c>
      <c r="P635" t="n">
        <v>0</v>
      </c>
      <c r="Q635" t="n">
        <v>0</v>
      </c>
      <c r="R635" s="2" t="inlineStr"/>
    </row>
    <row r="636" ht="15" customHeight="1">
      <c r="A636" t="inlineStr">
        <is>
          <t>A 20144-2023</t>
        </is>
      </c>
      <c r="B636" s="1" t="n">
        <v>45055.43509259259</v>
      </c>
      <c r="C636" s="1" t="n">
        <v>46025</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20698-2025</t>
        </is>
      </c>
      <c r="B637" s="1" t="n">
        <v>45776.47122685185</v>
      </c>
      <c r="C637" s="1" t="n">
        <v>46025</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50327-2025</t>
        </is>
      </c>
      <c r="B638" s="1" t="n">
        <v>45944.46387731482</v>
      </c>
      <c r="C638" s="1" t="n">
        <v>46025</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58939-2025</t>
        </is>
      </c>
      <c r="B639" s="1" t="n">
        <v>45987.5681712963</v>
      </c>
      <c r="C639" s="1" t="n">
        <v>46025</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13314-2025</t>
        </is>
      </c>
      <c r="B640" s="1" t="n">
        <v>45735.59287037037</v>
      </c>
      <c r="C640" s="1" t="n">
        <v>46025</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36396-2025</t>
        </is>
      </c>
      <c r="B641" s="1" t="n">
        <v>45868.62267361111</v>
      </c>
      <c r="C641" s="1" t="n">
        <v>46025</v>
      </c>
      <c r="D641" t="inlineStr">
        <is>
          <t>STOCKHOLMS LÄN</t>
        </is>
      </c>
      <c r="E641" t="inlineStr">
        <is>
          <t>NORRTÄLJE</t>
        </is>
      </c>
      <c r="G641" t="n">
        <v>4.1</v>
      </c>
      <c r="H641" t="n">
        <v>0</v>
      </c>
      <c r="I641" t="n">
        <v>0</v>
      </c>
      <c r="J641" t="n">
        <v>0</v>
      </c>
      <c r="K641" t="n">
        <v>0</v>
      </c>
      <c r="L641" t="n">
        <v>0</v>
      </c>
      <c r="M641" t="n">
        <v>0</v>
      </c>
      <c r="N641" t="n">
        <v>0</v>
      </c>
      <c r="O641" t="n">
        <v>0</v>
      </c>
      <c r="P641" t="n">
        <v>0</v>
      </c>
      <c r="Q641" t="n">
        <v>0</v>
      </c>
      <c r="R641" s="2" t="inlineStr"/>
    </row>
    <row r="642" ht="15" customHeight="1">
      <c r="A642" t="inlineStr">
        <is>
          <t>A 23056-2023</t>
        </is>
      </c>
      <c r="B642" s="1" t="n">
        <v>45075</v>
      </c>
      <c r="C642" s="1" t="n">
        <v>46025</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13172-2025</t>
        </is>
      </c>
      <c r="B643" s="1" t="n">
        <v>45735.36873842592</v>
      </c>
      <c r="C643" s="1" t="n">
        <v>46025</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22232-2024</t>
        </is>
      </c>
      <c r="B644" s="1" t="n">
        <v>45446.4287962963</v>
      </c>
      <c r="C644" s="1" t="n">
        <v>46025</v>
      </c>
      <c r="D644" t="inlineStr">
        <is>
          <t>STOCKHOLMS LÄN</t>
        </is>
      </c>
      <c r="E644" t="inlineStr">
        <is>
          <t>NORRTÄLJE</t>
        </is>
      </c>
      <c r="G644" t="n">
        <v>12.8</v>
      </c>
      <c r="H644" t="n">
        <v>0</v>
      </c>
      <c r="I644" t="n">
        <v>0</v>
      </c>
      <c r="J644" t="n">
        <v>0</v>
      </c>
      <c r="K644" t="n">
        <v>0</v>
      </c>
      <c r="L644" t="n">
        <v>0</v>
      </c>
      <c r="M644" t="n">
        <v>0</v>
      </c>
      <c r="N644" t="n">
        <v>0</v>
      </c>
      <c r="O644" t="n">
        <v>0</v>
      </c>
      <c r="P644" t="n">
        <v>0</v>
      </c>
      <c r="Q644" t="n">
        <v>0</v>
      </c>
      <c r="R644" s="2" t="inlineStr"/>
    </row>
    <row r="645" ht="15" customHeight="1">
      <c r="A645" t="inlineStr">
        <is>
          <t>A 34444-2024</t>
        </is>
      </c>
      <c r="B645" s="1" t="n">
        <v>45525</v>
      </c>
      <c r="C645" s="1" t="n">
        <v>46025</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19025-2025</t>
        </is>
      </c>
      <c r="B646" s="1" t="n">
        <v>45764.6359837963</v>
      </c>
      <c r="C646" s="1" t="n">
        <v>46025</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5867-2022</t>
        </is>
      </c>
      <c r="B647" s="1" t="n">
        <v>44596.66335648148</v>
      </c>
      <c r="C647" s="1" t="n">
        <v>46025</v>
      </c>
      <c r="D647" t="inlineStr">
        <is>
          <t>STOCKHOLMS LÄN</t>
        </is>
      </c>
      <c r="E647" t="inlineStr">
        <is>
          <t>NORRTÄLJE</t>
        </is>
      </c>
      <c r="F647" t="inlineStr">
        <is>
          <t>Naturvårdsverket</t>
        </is>
      </c>
      <c r="G647" t="n">
        <v>1.6</v>
      </c>
      <c r="H647" t="n">
        <v>0</v>
      </c>
      <c r="I647" t="n">
        <v>0</v>
      </c>
      <c r="J647" t="n">
        <v>0</v>
      </c>
      <c r="K647" t="n">
        <v>0</v>
      </c>
      <c r="L647" t="n">
        <v>0</v>
      </c>
      <c r="M647" t="n">
        <v>0</v>
      </c>
      <c r="N647" t="n">
        <v>0</v>
      </c>
      <c r="O647" t="n">
        <v>0</v>
      </c>
      <c r="P647" t="n">
        <v>0</v>
      </c>
      <c r="Q647" t="n">
        <v>0</v>
      </c>
      <c r="R647" s="2" t="inlineStr"/>
    </row>
    <row r="648" ht="15" customHeight="1">
      <c r="A648" t="inlineStr">
        <is>
          <t>A 73307-2021</t>
        </is>
      </c>
      <c r="B648" s="1" t="n">
        <v>44549</v>
      </c>
      <c r="C648" s="1" t="n">
        <v>46025</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21731-2023</t>
        </is>
      </c>
      <c r="B649" s="1" t="n">
        <v>45063</v>
      </c>
      <c r="C649" s="1" t="n">
        <v>46025</v>
      </c>
      <c r="D649" t="inlineStr">
        <is>
          <t>STOCKHOLMS LÄN</t>
        </is>
      </c>
      <c r="E649" t="inlineStr">
        <is>
          <t>NORRTÄLJE</t>
        </is>
      </c>
      <c r="G649" t="n">
        <v>2.3</v>
      </c>
      <c r="H649" t="n">
        <v>0</v>
      </c>
      <c r="I649" t="n">
        <v>0</v>
      </c>
      <c r="J649" t="n">
        <v>0</v>
      </c>
      <c r="K649" t="n">
        <v>0</v>
      </c>
      <c r="L649" t="n">
        <v>0</v>
      </c>
      <c r="M649" t="n">
        <v>0</v>
      </c>
      <c r="N649" t="n">
        <v>0</v>
      </c>
      <c r="O649" t="n">
        <v>0</v>
      </c>
      <c r="P649" t="n">
        <v>0</v>
      </c>
      <c r="Q649" t="n">
        <v>0</v>
      </c>
      <c r="R649" s="2" t="inlineStr"/>
    </row>
    <row r="650" ht="15" customHeight="1">
      <c r="A650" t="inlineStr">
        <is>
          <t>A 21745-2023</t>
        </is>
      </c>
      <c r="B650" s="1" t="n">
        <v>45065.55917824074</v>
      </c>
      <c r="C650" s="1" t="n">
        <v>46025</v>
      </c>
      <c r="D650" t="inlineStr">
        <is>
          <t>STOCKHOLMS LÄN</t>
        </is>
      </c>
      <c r="E650" t="inlineStr">
        <is>
          <t>NORRTÄLJE</t>
        </is>
      </c>
      <c r="F650" t="inlineStr">
        <is>
          <t>Holmen skog AB</t>
        </is>
      </c>
      <c r="G650" t="n">
        <v>0.7</v>
      </c>
      <c r="H650" t="n">
        <v>0</v>
      </c>
      <c r="I650" t="n">
        <v>0</v>
      </c>
      <c r="J650" t="n">
        <v>0</v>
      </c>
      <c r="K650" t="n">
        <v>0</v>
      </c>
      <c r="L650" t="n">
        <v>0</v>
      </c>
      <c r="M650" t="n">
        <v>0</v>
      </c>
      <c r="N650" t="n">
        <v>0</v>
      </c>
      <c r="O650" t="n">
        <v>0</v>
      </c>
      <c r="P650" t="n">
        <v>0</v>
      </c>
      <c r="Q650" t="n">
        <v>0</v>
      </c>
      <c r="R650" s="2" t="inlineStr"/>
    </row>
    <row r="651" ht="15" customHeight="1">
      <c r="A651" t="inlineStr">
        <is>
          <t>A 51240-2025</t>
        </is>
      </c>
      <c r="B651" s="1" t="n">
        <v>45947.70420138889</v>
      </c>
      <c r="C651" s="1" t="n">
        <v>46025</v>
      </c>
      <c r="D651" t="inlineStr">
        <is>
          <t>STOCKHOLMS LÄN</t>
        </is>
      </c>
      <c r="E651" t="inlineStr">
        <is>
          <t>NORRTÄLJE</t>
        </is>
      </c>
      <c r="F651" t="inlineStr">
        <is>
          <t>Naturvårdsverket</t>
        </is>
      </c>
      <c r="G651" t="n">
        <v>3</v>
      </c>
      <c r="H651" t="n">
        <v>0</v>
      </c>
      <c r="I651" t="n">
        <v>0</v>
      </c>
      <c r="J651" t="n">
        <v>0</v>
      </c>
      <c r="K651" t="n">
        <v>0</v>
      </c>
      <c r="L651" t="n">
        <v>0</v>
      </c>
      <c r="M651" t="n">
        <v>0</v>
      </c>
      <c r="N651" t="n">
        <v>0</v>
      </c>
      <c r="O651" t="n">
        <v>0</v>
      </c>
      <c r="P651" t="n">
        <v>0</v>
      </c>
      <c r="Q651" t="n">
        <v>0</v>
      </c>
      <c r="R651" s="2" t="inlineStr"/>
    </row>
    <row r="652" ht="15" customHeight="1">
      <c r="A652" t="inlineStr">
        <is>
          <t>A 59477-2025</t>
        </is>
      </c>
      <c r="B652" s="1" t="n">
        <v>45989.58679398148</v>
      </c>
      <c r="C652" s="1" t="n">
        <v>46025</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51121-2025</t>
        </is>
      </c>
      <c r="B653" s="1" t="n">
        <v>45947.53293981482</v>
      </c>
      <c r="C653" s="1" t="n">
        <v>46025</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30221-2024</t>
        </is>
      </c>
      <c r="B654" s="1" t="n">
        <v>45490.45342592592</v>
      </c>
      <c r="C654" s="1" t="n">
        <v>46025</v>
      </c>
      <c r="D654" t="inlineStr">
        <is>
          <t>STOCKHOLMS LÄN</t>
        </is>
      </c>
      <c r="E654" t="inlineStr">
        <is>
          <t>NORRTÄLJE</t>
        </is>
      </c>
      <c r="F654" t="inlineStr">
        <is>
          <t>Holmen skog AB</t>
        </is>
      </c>
      <c r="G654" t="n">
        <v>1.7</v>
      </c>
      <c r="H654" t="n">
        <v>0</v>
      </c>
      <c r="I654" t="n">
        <v>0</v>
      </c>
      <c r="J654" t="n">
        <v>0</v>
      </c>
      <c r="K654" t="n">
        <v>0</v>
      </c>
      <c r="L654" t="n">
        <v>0</v>
      </c>
      <c r="M654" t="n">
        <v>0</v>
      </c>
      <c r="N654" t="n">
        <v>0</v>
      </c>
      <c r="O654" t="n">
        <v>0</v>
      </c>
      <c r="P654" t="n">
        <v>0</v>
      </c>
      <c r="Q654" t="n">
        <v>0</v>
      </c>
      <c r="R654" s="2" t="inlineStr"/>
    </row>
    <row r="655" ht="15" customHeight="1">
      <c r="A655" t="inlineStr">
        <is>
          <t>A 26365-2024</t>
        </is>
      </c>
      <c r="B655" s="1" t="n">
        <v>45469</v>
      </c>
      <c r="C655" s="1" t="n">
        <v>46025</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50602-2021</t>
        </is>
      </c>
      <c r="B656" s="1" t="n">
        <v>44459</v>
      </c>
      <c r="C656" s="1" t="n">
        <v>46025</v>
      </c>
      <c r="D656" t="inlineStr">
        <is>
          <t>STOCKHOLMS LÄN</t>
        </is>
      </c>
      <c r="E656" t="inlineStr">
        <is>
          <t>NORRTÄLJE</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48798-2021</t>
        </is>
      </c>
      <c r="B657" s="1" t="n">
        <v>44452</v>
      </c>
      <c r="C657" s="1" t="n">
        <v>46025</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51532-2025</t>
        </is>
      </c>
      <c r="B658" s="1" t="n">
        <v>45950.68297453703</v>
      </c>
      <c r="C658" s="1" t="n">
        <v>46025</v>
      </c>
      <c r="D658" t="inlineStr">
        <is>
          <t>STOCKHOLMS LÄN</t>
        </is>
      </c>
      <c r="E658" t="inlineStr">
        <is>
          <t>NORRTÄLJE</t>
        </is>
      </c>
      <c r="F658" t="inlineStr">
        <is>
          <t>Naturvårdsverket</t>
        </is>
      </c>
      <c r="G658" t="n">
        <v>17.3</v>
      </c>
      <c r="H658" t="n">
        <v>0</v>
      </c>
      <c r="I658" t="n">
        <v>0</v>
      </c>
      <c r="J658" t="n">
        <v>0</v>
      </c>
      <c r="K658" t="n">
        <v>0</v>
      </c>
      <c r="L658" t="n">
        <v>0</v>
      </c>
      <c r="M658" t="n">
        <v>0</v>
      </c>
      <c r="N658" t="n">
        <v>0</v>
      </c>
      <c r="O658" t="n">
        <v>0</v>
      </c>
      <c r="P658" t="n">
        <v>0</v>
      </c>
      <c r="Q658" t="n">
        <v>0</v>
      </c>
      <c r="R658" s="2" t="inlineStr"/>
    </row>
    <row r="659" ht="15" customHeight="1">
      <c r="A659" t="inlineStr">
        <is>
          <t>A 59672-2025</t>
        </is>
      </c>
      <c r="B659" s="1" t="n">
        <v>45992.45884259259</v>
      </c>
      <c r="C659" s="1" t="n">
        <v>46025</v>
      </c>
      <c r="D659" t="inlineStr">
        <is>
          <t>STOCKHOLMS LÄN</t>
        </is>
      </c>
      <c r="E659" t="inlineStr">
        <is>
          <t>NORRTÄLJE</t>
        </is>
      </c>
      <c r="G659" t="n">
        <v>4</v>
      </c>
      <c r="H659" t="n">
        <v>0</v>
      </c>
      <c r="I659" t="n">
        <v>0</v>
      </c>
      <c r="J659" t="n">
        <v>0</v>
      </c>
      <c r="K659" t="n">
        <v>0</v>
      </c>
      <c r="L659" t="n">
        <v>0</v>
      </c>
      <c r="M659" t="n">
        <v>0</v>
      </c>
      <c r="N659" t="n">
        <v>0</v>
      </c>
      <c r="O659" t="n">
        <v>0</v>
      </c>
      <c r="P659" t="n">
        <v>0</v>
      </c>
      <c r="Q659" t="n">
        <v>0</v>
      </c>
      <c r="R659" s="2" t="inlineStr"/>
    </row>
    <row r="660" ht="15" customHeight="1">
      <c r="A660" t="inlineStr">
        <is>
          <t>A 51233-2025</t>
        </is>
      </c>
      <c r="B660" s="1" t="n">
        <v>45947.68232638889</v>
      </c>
      <c r="C660" s="1" t="n">
        <v>46025</v>
      </c>
      <c r="D660" t="inlineStr">
        <is>
          <t>STOCKHOLMS LÄN</t>
        </is>
      </c>
      <c r="E660" t="inlineStr">
        <is>
          <t>NORRTÄLJE</t>
        </is>
      </c>
      <c r="F660" t="inlineStr">
        <is>
          <t>Naturvårdsverket</t>
        </is>
      </c>
      <c r="G660" t="n">
        <v>8.1</v>
      </c>
      <c r="H660" t="n">
        <v>0</v>
      </c>
      <c r="I660" t="n">
        <v>0</v>
      </c>
      <c r="J660" t="n">
        <v>0</v>
      </c>
      <c r="K660" t="n">
        <v>0</v>
      </c>
      <c r="L660" t="n">
        <v>0</v>
      </c>
      <c r="M660" t="n">
        <v>0</v>
      </c>
      <c r="N660" t="n">
        <v>0</v>
      </c>
      <c r="O660" t="n">
        <v>0</v>
      </c>
      <c r="P660" t="n">
        <v>0</v>
      </c>
      <c r="Q660" t="n">
        <v>0</v>
      </c>
      <c r="R660" s="2" t="inlineStr"/>
    </row>
    <row r="661" ht="15" customHeight="1">
      <c r="A661" t="inlineStr">
        <is>
          <t>A 51236-2025</t>
        </is>
      </c>
      <c r="B661" s="1" t="n">
        <v>45947.69078703703</v>
      </c>
      <c r="C661" s="1" t="n">
        <v>46025</v>
      </c>
      <c r="D661" t="inlineStr">
        <is>
          <t>STOCKHOLMS LÄN</t>
        </is>
      </c>
      <c r="E661" t="inlineStr">
        <is>
          <t>NORRTÄLJE</t>
        </is>
      </c>
      <c r="F661" t="inlineStr">
        <is>
          <t>Naturvårdsverket</t>
        </is>
      </c>
      <c r="G661" t="n">
        <v>6.3</v>
      </c>
      <c r="H661" t="n">
        <v>0</v>
      </c>
      <c r="I661" t="n">
        <v>0</v>
      </c>
      <c r="J661" t="n">
        <v>0</v>
      </c>
      <c r="K661" t="n">
        <v>0</v>
      </c>
      <c r="L661" t="n">
        <v>0</v>
      </c>
      <c r="M661" t="n">
        <v>0</v>
      </c>
      <c r="N661" t="n">
        <v>0</v>
      </c>
      <c r="O661" t="n">
        <v>0</v>
      </c>
      <c r="P661" t="n">
        <v>0</v>
      </c>
      <c r="Q661" t="n">
        <v>0</v>
      </c>
      <c r="R661" s="2" t="inlineStr"/>
    </row>
    <row r="662" ht="15" customHeight="1">
      <c r="A662" t="inlineStr">
        <is>
          <t>A 51241-2025</t>
        </is>
      </c>
      <c r="B662" s="1" t="n">
        <v>45947.71726851852</v>
      </c>
      <c r="C662" s="1" t="n">
        <v>46025</v>
      </c>
      <c r="D662" t="inlineStr">
        <is>
          <t>STOCKHOLMS LÄN</t>
        </is>
      </c>
      <c r="E662" t="inlineStr">
        <is>
          <t>NORRTÄLJE</t>
        </is>
      </c>
      <c r="F662" t="inlineStr">
        <is>
          <t>Naturvårdsverket</t>
        </is>
      </c>
      <c r="G662" t="n">
        <v>6.4</v>
      </c>
      <c r="H662" t="n">
        <v>0</v>
      </c>
      <c r="I662" t="n">
        <v>0</v>
      </c>
      <c r="J662" t="n">
        <v>0</v>
      </c>
      <c r="K662" t="n">
        <v>0</v>
      </c>
      <c r="L662" t="n">
        <v>0</v>
      </c>
      <c r="M662" t="n">
        <v>0</v>
      </c>
      <c r="N662" t="n">
        <v>0</v>
      </c>
      <c r="O662" t="n">
        <v>0</v>
      </c>
      <c r="P662" t="n">
        <v>0</v>
      </c>
      <c r="Q662" t="n">
        <v>0</v>
      </c>
      <c r="R662" s="2" t="inlineStr"/>
    </row>
    <row r="663" ht="15" customHeight="1">
      <c r="A663" t="inlineStr">
        <is>
          <t>A 51122-2025</t>
        </is>
      </c>
      <c r="B663" s="1" t="n">
        <v>45947.53693287037</v>
      </c>
      <c r="C663" s="1" t="n">
        <v>46025</v>
      </c>
      <c r="D663" t="inlineStr">
        <is>
          <t>STOCKHOLMS LÄN</t>
        </is>
      </c>
      <c r="E663" t="inlineStr">
        <is>
          <t>NORRTÄLJE</t>
        </is>
      </c>
      <c r="G663" t="n">
        <v>3.8</v>
      </c>
      <c r="H663" t="n">
        <v>0</v>
      </c>
      <c r="I663" t="n">
        <v>0</v>
      </c>
      <c r="J663" t="n">
        <v>0</v>
      </c>
      <c r="K663" t="n">
        <v>0</v>
      </c>
      <c r="L663" t="n">
        <v>0</v>
      </c>
      <c r="M663" t="n">
        <v>0</v>
      </c>
      <c r="N663" t="n">
        <v>0</v>
      </c>
      <c r="O663" t="n">
        <v>0</v>
      </c>
      <c r="P663" t="n">
        <v>0</v>
      </c>
      <c r="Q663" t="n">
        <v>0</v>
      </c>
      <c r="R663" s="2" t="inlineStr"/>
    </row>
    <row r="664" ht="15" customHeight="1">
      <c r="A664" t="inlineStr">
        <is>
          <t>A 60223-2025</t>
        </is>
      </c>
      <c r="B664" s="1" t="n">
        <v>45994.54497685185</v>
      </c>
      <c r="C664" s="1" t="n">
        <v>46025</v>
      </c>
      <c r="D664" t="inlineStr">
        <is>
          <t>STOCKHOLMS LÄN</t>
        </is>
      </c>
      <c r="E664" t="inlineStr">
        <is>
          <t>NORRTÄLJE</t>
        </is>
      </c>
      <c r="G664" t="n">
        <v>2.4</v>
      </c>
      <c r="H664" t="n">
        <v>0</v>
      </c>
      <c r="I664" t="n">
        <v>0</v>
      </c>
      <c r="J664" t="n">
        <v>0</v>
      </c>
      <c r="K664" t="n">
        <v>0</v>
      </c>
      <c r="L664" t="n">
        <v>0</v>
      </c>
      <c r="M664" t="n">
        <v>0</v>
      </c>
      <c r="N664" t="n">
        <v>0</v>
      </c>
      <c r="O664" t="n">
        <v>0</v>
      </c>
      <c r="P664" t="n">
        <v>0</v>
      </c>
      <c r="Q664" t="n">
        <v>0</v>
      </c>
      <c r="R664" s="2" t="inlineStr"/>
    </row>
    <row r="665" ht="15" customHeight="1">
      <c r="A665" t="inlineStr">
        <is>
          <t>A 30283-2022</t>
        </is>
      </c>
      <c r="B665" s="1" t="n">
        <v>44760</v>
      </c>
      <c r="C665" s="1" t="n">
        <v>46025</v>
      </c>
      <c r="D665" t="inlineStr">
        <is>
          <t>STOCKHOLMS LÄN</t>
        </is>
      </c>
      <c r="E665" t="inlineStr">
        <is>
          <t>NORRTÄLJE</t>
        </is>
      </c>
      <c r="G665" t="n">
        <v>6.2</v>
      </c>
      <c r="H665" t="n">
        <v>0</v>
      </c>
      <c r="I665" t="n">
        <v>0</v>
      </c>
      <c r="J665" t="n">
        <v>0</v>
      </c>
      <c r="K665" t="n">
        <v>0</v>
      </c>
      <c r="L665" t="n">
        <v>0</v>
      </c>
      <c r="M665" t="n">
        <v>0</v>
      </c>
      <c r="N665" t="n">
        <v>0</v>
      </c>
      <c r="O665" t="n">
        <v>0</v>
      </c>
      <c r="P665" t="n">
        <v>0</v>
      </c>
      <c r="Q665" t="n">
        <v>0</v>
      </c>
      <c r="R665" s="2" t="inlineStr"/>
    </row>
    <row r="666" ht="15" customHeight="1">
      <c r="A666" t="inlineStr">
        <is>
          <t>A 30290-2022</t>
        </is>
      </c>
      <c r="B666" s="1" t="n">
        <v>44760</v>
      </c>
      <c r="C666" s="1" t="n">
        <v>46025</v>
      </c>
      <c r="D666" t="inlineStr">
        <is>
          <t>STOCKHOLMS LÄN</t>
        </is>
      </c>
      <c r="E666" t="inlineStr">
        <is>
          <t>NORRTÄLJE</t>
        </is>
      </c>
      <c r="G666" t="n">
        <v>4.8</v>
      </c>
      <c r="H666" t="n">
        <v>0</v>
      </c>
      <c r="I666" t="n">
        <v>0</v>
      </c>
      <c r="J666" t="n">
        <v>0</v>
      </c>
      <c r="K666" t="n">
        <v>0</v>
      </c>
      <c r="L666" t="n">
        <v>0</v>
      </c>
      <c r="M666" t="n">
        <v>0</v>
      </c>
      <c r="N666" t="n">
        <v>0</v>
      </c>
      <c r="O666" t="n">
        <v>0</v>
      </c>
      <c r="P666" t="n">
        <v>0</v>
      </c>
      <c r="Q666" t="n">
        <v>0</v>
      </c>
      <c r="R666" s="2" t="inlineStr"/>
    </row>
    <row r="667" ht="15" customHeight="1">
      <c r="A667" t="inlineStr">
        <is>
          <t>A 38985-2022</t>
        </is>
      </c>
      <c r="B667" s="1" t="n">
        <v>44816</v>
      </c>
      <c r="C667" s="1" t="n">
        <v>46025</v>
      </c>
      <c r="D667" t="inlineStr">
        <is>
          <t>STOCKHOLMS LÄN</t>
        </is>
      </c>
      <c r="E667" t="inlineStr">
        <is>
          <t>NORRTÄLJE</t>
        </is>
      </c>
      <c r="G667" t="n">
        <v>10.1</v>
      </c>
      <c r="H667" t="n">
        <v>0</v>
      </c>
      <c r="I667" t="n">
        <v>0</v>
      </c>
      <c r="J667" t="n">
        <v>0</v>
      </c>
      <c r="K667" t="n">
        <v>0</v>
      </c>
      <c r="L667" t="n">
        <v>0</v>
      </c>
      <c r="M667" t="n">
        <v>0</v>
      </c>
      <c r="N667" t="n">
        <v>0</v>
      </c>
      <c r="O667" t="n">
        <v>0</v>
      </c>
      <c r="P667" t="n">
        <v>0</v>
      </c>
      <c r="Q667" t="n">
        <v>0</v>
      </c>
      <c r="R667" s="2" t="inlineStr"/>
    </row>
    <row r="668" ht="15" customHeight="1">
      <c r="A668" t="inlineStr">
        <is>
          <t>A 59907-2025</t>
        </is>
      </c>
      <c r="B668" s="1" t="n">
        <v>45993.35350694445</v>
      </c>
      <c r="C668" s="1" t="n">
        <v>46025</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25625-2023</t>
        </is>
      </c>
      <c r="B669" s="1" t="n">
        <v>45089</v>
      </c>
      <c r="C669" s="1" t="n">
        <v>46025</v>
      </c>
      <c r="D669" t="inlineStr">
        <is>
          <t>STOCKHOLMS LÄN</t>
        </is>
      </c>
      <c r="E669" t="inlineStr">
        <is>
          <t>NORRTÄLJE</t>
        </is>
      </c>
      <c r="G669" t="n">
        <v>5.5</v>
      </c>
      <c r="H669" t="n">
        <v>0</v>
      </c>
      <c r="I669" t="n">
        <v>0</v>
      </c>
      <c r="J669" t="n">
        <v>0</v>
      </c>
      <c r="K669" t="n">
        <v>0</v>
      </c>
      <c r="L669" t="n">
        <v>0</v>
      </c>
      <c r="M669" t="n">
        <v>0</v>
      </c>
      <c r="N669" t="n">
        <v>0</v>
      </c>
      <c r="O669" t="n">
        <v>0</v>
      </c>
      <c r="P669" t="n">
        <v>0</v>
      </c>
      <c r="Q669" t="n">
        <v>0</v>
      </c>
      <c r="R669" s="2" t="inlineStr"/>
    </row>
    <row r="670" ht="15" customHeight="1">
      <c r="A670" t="inlineStr">
        <is>
          <t>A 59914-2025</t>
        </is>
      </c>
      <c r="B670" s="1" t="n">
        <v>45993.37056712963</v>
      </c>
      <c r="C670" s="1" t="n">
        <v>46025</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51945-2025</t>
        </is>
      </c>
      <c r="B671" s="1" t="n">
        <v>45952.52679398148</v>
      </c>
      <c r="C671" s="1" t="n">
        <v>46025</v>
      </c>
      <c r="D671" t="inlineStr">
        <is>
          <t>STOCKHOLMS LÄN</t>
        </is>
      </c>
      <c r="E671" t="inlineStr">
        <is>
          <t>NORRTÄLJE</t>
        </is>
      </c>
      <c r="G671" t="n">
        <v>7</v>
      </c>
      <c r="H671" t="n">
        <v>0</v>
      </c>
      <c r="I671" t="n">
        <v>0</v>
      </c>
      <c r="J671" t="n">
        <v>0</v>
      </c>
      <c r="K671" t="n">
        <v>0</v>
      </c>
      <c r="L671" t="n">
        <v>0</v>
      </c>
      <c r="M671" t="n">
        <v>0</v>
      </c>
      <c r="N671" t="n">
        <v>0</v>
      </c>
      <c r="O671" t="n">
        <v>0</v>
      </c>
      <c r="P671" t="n">
        <v>0</v>
      </c>
      <c r="Q671" t="n">
        <v>0</v>
      </c>
      <c r="R671" s="2" t="inlineStr"/>
    </row>
    <row r="672" ht="15" customHeight="1">
      <c r="A672" t="inlineStr">
        <is>
          <t>A 51941-2025</t>
        </is>
      </c>
      <c r="B672" s="1" t="n">
        <v>45952.52261574074</v>
      </c>
      <c r="C672" s="1" t="n">
        <v>46025</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60253-2025</t>
        </is>
      </c>
      <c r="B673" s="1" t="n">
        <v>45994.59827546297</v>
      </c>
      <c r="C673" s="1" t="n">
        <v>46025</v>
      </c>
      <c r="D673" t="inlineStr">
        <is>
          <t>STOCKHOLMS LÄN</t>
        </is>
      </c>
      <c r="E673" t="inlineStr">
        <is>
          <t>NORRTÄLJE</t>
        </is>
      </c>
      <c r="F673" t="inlineStr">
        <is>
          <t>Holmen skog AB</t>
        </is>
      </c>
      <c r="G673" t="n">
        <v>3.6</v>
      </c>
      <c r="H673" t="n">
        <v>0</v>
      </c>
      <c r="I673" t="n">
        <v>0</v>
      </c>
      <c r="J673" t="n">
        <v>0</v>
      </c>
      <c r="K673" t="n">
        <v>0</v>
      </c>
      <c r="L673" t="n">
        <v>0</v>
      </c>
      <c r="M673" t="n">
        <v>0</v>
      </c>
      <c r="N673" t="n">
        <v>0</v>
      </c>
      <c r="O673" t="n">
        <v>0</v>
      </c>
      <c r="P673" t="n">
        <v>0</v>
      </c>
      <c r="Q673" t="n">
        <v>0</v>
      </c>
      <c r="R673" s="2" t="inlineStr"/>
    </row>
    <row r="674" ht="15" customHeight="1">
      <c r="A674" t="inlineStr">
        <is>
          <t>A 52061-2025</t>
        </is>
      </c>
      <c r="B674" s="1" t="n">
        <v>45952.63679398148</v>
      </c>
      <c r="C674" s="1" t="n">
        <v>46025</v>
      </c>
      <c r="D674" t="inlineStr">
        <is>
          <t>STOCKHOLMS LÄN</t>
        </is>
      </c>
      <c r="E674" t="inlineStr">
        <is>
          <t>NORRTÄLJE</t>
        </is>
      </c>
      <c r="G674" t="n">
        <v>9.5</v>
      </c>
      <c r="H674" t="n">
        <v>0</v>
      </c>
      <c r="I674" t="n">
        <v>0</v>
      </c>
      <c r="J674" t="n">
        <v>0</v>
      </c>
      <c r="K674" t="n">
        <v>0</v>
      </c>
      <c r="L674" t="n">
        <v>0</v>
      </c>
      <c r="M674" t="n">
        <v>0</v>
      </c>
      <c r="N674" t="n">
        <v>0</v>
      </c>
      <c r="O674" t="n">
        <v>0</v>
      </c>
      <c r="P674" t="n">
        <v>0</v>
      </c>
      <c r="Q674" t="n">
        <v>0</v>
      </c>
      <c r="R674" s="2" t="inlineStr"/>
    </row>
    <row r="675" ht="15" customHeight="1">
      <c r="A675" t="inlineStr">
        <is>
          <t>A 59924-2025</t>
        </is>
      </c>
      <c r="B675" s="1" t="n">
        <v>45993.38928240741</v>
      </c>
      <c r="C675" s="1" t="n">
        <v>46025</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51960-2025</t>
        </is>
      </c>
      <c r="B676" s="1" t="n">
        <v>45952.54755787037</v>
      </c>
      <c r="C676" s="1" t="n">
        <v>46025</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51789-2025</t>
        </is>
      </c>
      <c r="B677" s="1" t="n">
        <v>45951.68046296296</v>
      </c>
      <c r="C677" s="1" t="n">
        <v>46025</v>
      </c>
      <c r="D677" t="inlineStr">
        <is>
          <t>STOCKHOLMS LÄN</t>
        </is>
      </c>
      <c r="E677" t="inlineStr">
        <is>
          <t>NORRTÄLJE</t>
        </is>
      </c>
      <c r="F677" t="inlineStr">
        <is>
          <t>Naturvårdsverket</t>
        </is>
      </c>
      <c r="G677" t="n">
        <v>8.9</v>
      </c>
      <c r="H677" t="n">
        <v>0</v>
      </c>
      <c r="I677" t="n">
        <v>0</v>
      </c>
      <c r="J677" t="n">
        <v>0</v>
      </c>
      <c r="K677" t="n">
        <v>0</v>
      </c>
      <c r="L677" t="n">
        <v>0</v>
      </c>
      <c r="M677" t="n">
        <v>0</v>
      </c>
      <c r="N677" t="n">
        <v>0</v>
      </c>
      <c r="O677" t="n">
        <v>0</v>
      </c>
      <c r="P677" t="n">
        <v>0</v>
      </c>
      <c r="Q677" t="n">
        <v>0</v>
      </c>
      <c r="R677" s="2" t="inlineStr"/>
    </row>
    <row r="678" ht="15" customHeight="1">
      <c r="A678" t="inlineStr">
        <is>
          <t>A 14132-2025</t>
        </is>
      </c>
      <c r="B678" s="1" t="n">
        <v>45740.47550925926</v>
      </c>
      <c r="C678" s="1" t="n">
        <v>46025</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14133-2025</t>
        </is>
      </c>
      <c r="B679" s="1" t="n">
        <v>45740.47724537037</v>
      </c>
      <c r="C679" s="1" t="n">
        <v>46025</v>
      </c>
      <c r="D679" t="inlineStr">
        <is>
          <t>STOCKHOLMS LÄN</t>
        </is>
      </c>
      <c r="E679" t="inlineStr">
        <is>
          <t>NORRTÄLJE</t>
        </is>
      </c>
      <c r="G679" t="n">
        <v>0.4</v>
      </c>
      <c r="H679" t="n">
        <v>0</v>
      </c>
      <c r="I679" t="n">
        <v>0</v>
      </c>
      <c r="J679" t="n">
        <v>0</v>
      </c>
      <c r="K679" t="n">
        <v>0</v>
      </c>
      <c r="L679" t="n">
        <v>0</v>
      </c>
      <c r="M679" t="n">
        <v>0</v>
      </c>
      <c r="N679" t="n">
        <v>0</v>
      </c>
      <c r="O679" t="n">
        <v>0</v>
      </c>
      <c r="P679" t="n">
        <v>0</v>
      </c>
      <c r="Q679" t="n">
        <v>0</v>
      </c>
      <c r="R679" s="2" t="inlineStr"/>
    </row>
    <row r="680" ht="15" customHeight="1">
      <c r="A680" t="inlineStr">
        <is>
          <t>A 7186-2024</t>
        </is>
      </c>
      <c r="B680" s="1" t="n">
        <v>45344</v>
      </c>
      <c r="C680" s="1" t="n">
        <v>46025</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37261-2025</t>
        </is>
      </c>
      <c r="B681" s="1" t="n">
        <v>45876.45253472222</v>
      </c>
      <c r="C681" s="1" t="n">
        <v>46025</v>
      </c>
      <c r="D681" t="inlineStr">
        <is>
          <t>STOCKHOLMS LÄN</t>
        </is>
      </c>
      <c r="E681" t="inlineStr">
        <is>
          <t>NORRTÄLJE</t>
        </is>
      </c>
      <c r="F681" t="inlineStr">
        <is>
          <t>Kommuner</t>
        </is>
      </c>
      <c r="G681" t="n">
        <v>2.2</v>
      </c>
      <c r="H681" t="n">
        <v>0</v>
      </c>
      <c r="I681" t="n">
        <v>0</v>
      </c>
      <c r="J681" t="n">
        <v>0</v>
      </c>
      <c r="K681" t="n">
        <v>0</v>
      </c>
      <c r="L681" t="n">
        <v>0</v>
      </c>
      <c r="M681" t="n">
        <v>0</v>
      </c>
      <c r="N681" t="n">
        <v>0</v>
      </c>
      <c r="O681" t="n">
        <v>0</v>
      </c>
      <c r="P681" t="n">
        <v>0</v>
      </c>
      <c r="Q681" t="n">
        <v>0</v>
      </c>
      <c r="R681" s="2" t="inlineStr"/>
    </row>
    <row r="682" ht="15" customHeight="1">
      <c r="A682" t="inlineStr">
        <is>
          <t>A 60214-2025</t>
        </is>
      </c>
      <c r="B682" s="1" t="n">
        <v>45994.53761574074</v>
      </c>
      <c r="C682" s="1" t="n">
        <v>46025</v>
      </c>
      <c r="D682" t="inlineStr">
        <is>
          <t>STOCKHOLMS LÄN</t>
        </is>
      </c>
      <c r="E682" t="inlineStr">
        <is>
          <t>NORRTÄLJE</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52529-2025</t>
        </is>
      </c>
      <c r="B683" s="1" t="n">
        <v>45954.53229166667</v>
      </c>
      <c r="C683" s="1" t="n">
        <v>46025</v>
      </c>
      <c r="D683" t="inlineStr">
        <is>
          <t>STOCKHOLMS LÄN</t>
        </is>
      </c>
      <c r="E683" t="inlineStr">
        <is>
          <t>NORRTÄLJE</t>
        </is>
      </c>
      <c r="F683" t="inlineStr">
        <is>
          <t>Sveaskog</t>
        </is>
      </c>
      <c r="G683" t="n">
        <v>7.8</v>
      </c>
      <c r="H683" t="n">
        <v>0</v>
      </c>
      <c r="I683" t="n">
        <v>0</v>
      </c>
      <c r="J683" t="n">
        <v>0</v>
      </c>
      <c r="K683" t="n">
        <v>0</v>
      </c>
      <c r="L683" t="n">
        <v>0</v>
      </c>
      <c r="M683" t="n">
        <v>0</v>
      </c>
      <c r="N683" t="n">
        <v>0</v>
      </c>
      <c r="O683" t="n">
        <v>0</v>
      </c>
      <c r="P683" t="n">
        <v>0</v>
      </c>
      <c r="Q683" t="n">
        <v>0</v>
      </c>
      <c r="R683" s="2" t="inlineStr"/>
    </row>
    <row r="684" ht="15" customHeight="1">
      <c r="A684" t="inlineStr">
        <is>
          <t>A 52251-2025</t>
        </is>
      </c>
      <c r="B684" s="1" t="n">
        <v>45953.49185185185</v>
      </c>
      <c r="C684" s="1" t="n">
        <v>46025</v>
      </c>
      <c r="D684" t="inlineStr">
        <is>
          <t>STOCKHOLMS LÄN</t>
        </is>
      </c>
      <c r="E684" t="inlineStr">
        <is>
          <t>NORRTÄLJE</t>
        </is>
      </c>
      <c r="G684" t="n">
        <v>6.2</v>
      </c>
      <c r="H684" t="n">
        <v>0</v>
      </c>
      <c r="I684" t="n">
        <v>0</v>
      </c>
      <c r="J684" t="n">
        <v>0</v>
      </c>
      <c r="K684" t="n">
        <v>0</v>
      </c>
      <c r="L684" t="n">
        <v>0</v>
      </c>
      <c r="M684" t="n">
        <v>0</v>
      </c>
      <c r="N684" t="n">
        <v>0</v>
      </c>
      <c r="O684" t="n">
        <v>0</v>
      </c>
      <c r="P684" t="n">
        <v>0</v>
      </c>
      <c r="Q684" t="n">
        <v>0</v>
      </c>
      <c r="R684" s="2" t="inlineStr"/>
    </row>
    <row r="685" ht="15" customHeight="1">
      <c r="A685" t="inlineStr">
        <is>
          <t>A 52254-2025</t>
        </is>
      </c>
      <c r="B685" s="1" t="n">
        <v>45953.49519675926</v>
      </c>
      <c r="C685" s="1" t="n">
        <v>46025</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60649-2025</t>
        </is>
      </c>
      <c r="B686" s="1" t="n">
        <v>45996.4560300926</v>
      </c>
      <c r="C686" s="1" t="n">
        <v>46025</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39202-2024</t>
        </is>
      </c>
      <c r="B687" s="1" t="n">
        <v>45548.72306712963</v>
      </c>
      <c r="C687" s="1" t="n">
        <v>46025</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52526-2025</t>
        </is>
      </c>
      <c r="B688" s="1" t="n">
        <v>45954.53061342592</v>
      </c>
      <c r="C688" s="1" t="n">
        <v>46025</v>
      </c>
      <c r="D688" t="inlineStr">
        <is>
          <t>STOCKHOLMS LÄN</t>
        </is>
      </c>
      <c r="E688" t="inlineStr">
        <is>
          <t>NORRTÄLJE</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20692-2025</t>
        </is>
      </c>
      <c r="B689" s="1" t="n">
        <v>45776.46369212963</v>
      </c>
      <c r="C689" s="1" t="n">
        <v>46025</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46071-2024</t>
        </is>
      </c>
      <c r="B690" s="1" t="n">
        <v>45581</v>
      </c>
      <c r="C690" s="1" t="n">
        <v>46025</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53792-2023</t>
        </is>
      </c>
      <c r="B691" s="1" t="n">
        <v>45231.34144675926</v>
      </c>
      <c r="C691" s="1" t="n">
        <v>46025</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28816-2023</t>
        </is>
      </c>
      <c r="B692" s="1" t="n">
        <v>45104</v>
      </c>
      <c r="C692" s="1" t="n">
        <v>46025</v>
      </c>
      <c r="D692" t="inlineStr">
        <is>
          <t>STOCKHOLMS LÄN</t>
        </is>
      </c>
      <c r="E692" t="inlineStr">
        <is>
          <t>NORRTÄLJE</t>
        </is>
      </c>
      <c r="F692" t="inlineStr">
        <is>
          <t>Kommuner</t>
        </is>
      </c>
      <c r="G692" t="n">
        <v>0.5</v>
      </c>
      <c r="H692" t="n">
        <v>0</v>
      </c>
      <c r="I692" t="n">
        <v>0</v>
      </c>
      <c r="J692" t="n">
        <v>0</v>
      </c>
      <c r="K692" t="n">
        <v>0</v>
      </c>
      <c r="L692" t="n">
        <v>0</v>
      </c>
      <c r="M692" t="n">
        <v>0</v>
      </c>
      <c r="N692" t="n">
        <v>0</v>
      </c>
      <c r="O692" t="n">
        <v>0</v>
      </c>
      <c r="P692" t="n">
        <v>0</v>
      </c>
      <c r="Q692" t="n">
        <v>0</v>
      </c>
      <c r="R692" s="2" t="inlineStr"/>
    </row>
    <row r="693" ht="15" customHeight="1">
      <c r="A693" t="inlineStr">
        <is>
          <t>A 11280-2023</t>
        </is>
      </c>
      <c r="B693" s="1" t="n">
        <v>44992</v>
      </c>
      <c r="C693" s="1" t="n">
        <v>46025</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29369-2024</t>
        </is>
      </c>
      <c r="B694" s="1" t="n">
        <v>45483.57244212963</v>
      </c>
      <c r="C694" s="1" t="n">
        <v>46025</v>
      </c>
      <c r="D694" t="inlineStr">
        <is>
          <t>STOCKHOLMS LÄN</t>
        </is>
      </c>
      <c r="E694" t="inlineStr">
        <is>
          <t>NORRTÄLJE</t>
        </is>
      </c>
      <c r="G694" t="n">
        <v>15.9</v>
      </c>
      <c r="H694" t="n">
        <v>0</v>
      </c>
      <c r="I694" t="n">
        <v>0</v>
      </c>
      <c r="J694" t="n">
        <v>0</v>
      </c>
      <c r="K694" t="n">
        <v>0</v>
      </c>
      <c r="L694" t="n">
        <v>0</v>
      </c>
      <c r="M694" t="n">
        <v>0</v>
      </c>
      <c r="N694" t="n">
        <v>0</v>
      </c>
      <c r="O694" t="n">
        <v>0</v>
      </c>
      <c r="P694" t="n">
        <v>0</v>
      </c>
      <c r="Q694" t="n">
        <v>0</v>
      </c>
      <c r="R694" s="2" t="inlineStr"/>
    </row>
    <row r="695" ht="15" customHeight="1">
      <c r="A695" t="inlineStr">
        <is>
          <t>A 57442-2021</t>
        </is>
      </c>
      <c r="B695" s="1" t="n">
        <v>44483</v>
      </c>
      <c r="C695" s="1" t="n">
        <v>46025</v>
      </c>
      <c r="D695" t="inlineStr">
        <is>
          <t>STOCKHOLMS LÄN</t>
        </is>
      </c>
      <c r="E695" t="inlineStr">
        <is>
          <t>NORRTÄLJE</t>
        </is>
      </c>
      <c r="G695" t="n">
        <v>3.3</v>
      </c>
      <c r="H695" t="n">
        <v>0</v>
      </c>
      <c r="I695" t="n">
        <v>0</v>
      </c>
      <c r="J695" t="n">
        <v>0</v>
      </c>
      <c r="K695" t="n">
        <v>0</v>
      </c>
      <c r="L695" t="n">
        <v>0</v>
      </c>
      <c r="M695" t="n">
        <v>0</v>
      </c>
      <c r="N695" t="n">
        <v>0</v>
      </c>
      <c r="O695" t="n">
        <v>0</v>
      </c>
      <c r="P695" t="n">
        <v>0</v>
      </c>
      <c r="Q695" t="n">
        <v>0</v>
      </c>
      <c r="R695" s="2" t="inlineStr"/>
    </row>
    <row r="696" ht="15" customHeight="1">
      <c r="A696" t="inlineStr">
        <is>
          <t>A 37630-2025</t>
        </is>
      </c>
      <c r="B696" s="1" t="n">
        <v>45880.46372685185</v>
      </c>
      <c r="C696" s="1" t="n">
        <v>46025</v>
      </c>
      <c r="D696" t="inlineStr">
        <is>
          <t>STOCKHOLMS LÄN</t>
        </is>
      </c>
      <c r="E696" t="inlineStr">
        <is>
          <t>NORRTÄLJE</t>
        </is>
      </c>
      <c r="F696" t="inlineStr">
        <is>
          <t>Sveaskog</t>
        </is>
      </c>
      <c r="G696" t="n">
        <v>12.9</v>
      </c>
      <c r="H696" t="n">
        <v>0</v>
      </c>
      <c r="I696" t="n">
        <v>0</v>
      </c>
      <c r="J696" t="n">
        <v>0</v>
      </c>
      <c r="K696" t="n">
        <v>0</v>
      </c>
      <c r="L696" t="n">
        <v>0</v>
      </c>
      <c r="M696" t="n">
        <v>0</v>
      </c>
      <c r="N696" t="n">
        <v>0</v>
      </c>
      <c r="O696" t="n">
        <v>0</v>
      </c>
      <c r="P696" t="n">
        <v>0</v>
      </c>
      <c r="Q696" t="n">
        <v>0</v>
      </c>
      <c r="R696" s="2" t="inlineStr"/>
    </row>
    <row r="697" ht="15" customHeight="1">
      <c r="A697" t="inlineStr">
        <is>
          <t>A 19952-2023</t>
        </is>
      </c>
      <c r="B697" s="1" t="n">
        <v>45054.54091435186</v>
      </c>
      <c r="C697" s="1" t="n">
        <v>46025</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19994-2023</t>
        </is>
      </c>
      <c r="B698" s="1" t="n">
        <v>45054</v>
      </c>
      <c r="C698" s="1" t="n">
        <v>46025</v>
      </c>
      <c r="D698" t="inlineStr">
        <is>
          <t>STOCKHOLMS LÄN</t>
        </is>
      </c>
      <c r="E698" t="inlineStr">
        <is>
          <t>NORRTÄLJE</t>
        </is>
      </c>
      <c r="G698" t="n">
        <v>4.3</v>
      </c>
      <c r="H698" t="n">
        <v>0</v>
      </c>
      <c r="I698" t="n">
        <v>0</v>
      </c>
      <c r="J698" t="n">
        <v>0</v>
      </c>
      <c r="K698" t="n">
        <v>0</v>
      </c>
      <c r="L698" t="n">
        <v>0</v>
      </c>
      <c r="M698" t="n">
        <v>0</v>
      </c>
      <c r="N698" t="n">
        <v>0</v>
      </c>
      <c r="O698" t="n">
        <v>0</v>
      </c>
      <c r="P698" t="n">
        <v>0</v>
      </c>
      <c r="Q698" t="n">
        <v>0</v>
      </c>
      <c r="R698" s="2" t="inlineStr"/>
    </row>
    <row r="699" ht="15" customHeight="1">
      <c r="A699" t="inlineStr">
        <is>
          <t>A 61160-2025</t>
        </is>
      </c>
      <c r="B699" s="1" t="n">
        <v>46000.55262731481</v>
      </c>
      <c r="C699" s="1" t="n">
        <v>46025</v>
      </c>
      <c r="D699" t="inlineStr">
        <is>
          <t>STOCKHOLMS LÄN</t>
        </is>
      </c>
      <c r="E699" t="inlineStr">
        <is>
          <t>NORRTÄLJE</t>
        </is>
      </c>
      <c r="G699" t="n">
        <v>5.3</v>
      </c>
      <c r="H699" t="n">
        <v>0</v>
      </c>
      <c r="I699" t="n">
        <v>0</v>
      </c>
      <c r="J699" t="n">
        <v>0</v>
      </c>
      <c r="K699" t="n">
        <v>0</v>
      </c>
      <c r="L699" t="n">
        <v>0</v>
      </c>
      <c r="M699" t="n">
        <v>0</v>
      </c>
      <c r="N699" t="n">
        <v>0</v>
      </c>
      <c r="O699" t="n">
        <v>0</v>
      </c>
      <c r="P699" t="n">
        <v>0</v>
      </c>
      <c r="Q699" t="n">
        <v>0</v>
      </c>
      <c r="R699" s="2" t="inlineStr"/>
    </row>
    <row r="700" ht="15" customHeight="1">
      <c r="A700" t="inlineStr">
        <is>
          <t>A 37632-2025</t>
        </is>
      </c>
      <c r="B700" s="1" t="n">
        <v>45880.46524305556</v>
      </c>
      <c r="C700" s="1" t="n">
        <v>46025</v>
      </c>
      <c r="D700" t="inlineStr">
        <is>
          <t>STOCKHOLMS LÄN</t>
        </is>
      </c>
      <c r="E700" t="inlineStr">
        <is>
          <t>NORRTÄLJE</t>
        </is>
      </c>
      <c r="F700" t="inlineStr">
        <is>
          <t>Sveaskog</t>
        </is>
      </c>
      <c r="G700" t="n">
        <v>6.4</v>
      </c>
      <c r="H700" t="n">
        <v>0</v>
      </c>
      <c r="I700" t="n">
        <v>0</v>
      </c>
      <c r="J700" t="n">
        <v>0</v>
      </c>
      <c r="K700" t="n">
        <v>0</v>
      </c>
      <c r="L700" t="n">
        <v>0</v>
      </c>
      <c r="M700" t="n">
        <v>0</v>
      </c>
      <c r="N700" t="n">
        <v>0</v>
      </c>
      <c r="O700" t="n">
        <v>0</v>
      </c>
      <c r="P700" t="n">
        <v>0</v>
      </c>
      <c r="Q700" t="n">
        <v>0</v>
      </c>
      <c r="R700" s="2" t="inlineStr"/>
    </row>
    <row r="701" ht="15" customHeight="1">
      <c r="A701" t="inlineStr">
        <is>
          <t>A 29003-2023</t>
        </is>
      </c>
      <c r="B701" s="1" t="n">
        <v>45104</v>
      </c>
      <c r="C701" s="1" t="n">
        <v>46025</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52729-2025</t>
        </is>
      </c>
      <c r="B702" s="1" t="n">
        <v>45957.3636574074</v>
      </c>
      <c r="C702" s="1" t="n">
        <v>46025</v>
      </c>
      <c r="D702" t="inlineStr">
        <is>
          <t>STOCKHOLMS LÄN</t>
        </is>
      </c>
      <c r="E702" t="inlineStr">
        <is>
          <t>NORRTÄLJE</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29841-2024</t>
        </is>
      </c>
      <c r="B703" s="1" t="n">
        <v>45485.60261574074</v>
      </c>
      <c r="C703" s="1" t="n">
        <v>46025</v>
      </c>
      <c r="D703" t="inlineStr">
        <is>
          <t>STOCKHOLMS LÄN</t>
        </is>
      </c>
      <c r="E703" t="inlineStr">
        <is>
          <t>NORRTÄLJE</t>
        </is>
      </c>
      <c r="G703" t="n">
        <v>15.9</v>
      </c>
      <c r="H703" t="n">
        <v>0</v>
      </c>
      <c r="I703" t="n">
        <v>0</v>
      </c>
      <c r="J703" t="n">
        <v>0</v>
      </c>
      <c r="K703" t="n">
        <v>0</v>
      </c>
      <c r="L703" t="n">
        <v>0</v>
      </c>
      <c r="M703" t="n">
        <v>0</v>
      </c>
      <c r="N703" t="n">
        <v>0</v>
      </c>
      <c r="O703" t="n">
        <v>0</v>
      </c>
      <c r="P703" t="n">
        <v>0</v>
      </c>
      <c r="Q703" t="n">
        <v>0</v>
      </c>
      <c r="R703" s="2" t="inlineStr"/>
    </row>
    <row r="704" ht="15" customHeight="1">
      <c r="A704" t="inlineStr">
        <is>
          <t>A 60745-2025</t>
        </is>
      </c>
      <c r="B704" s="1" t="n">
        <v>45999.37753472223</v>
      </c>
      <c r="C704" s="1" t="n">
        <v>46025</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52777-2025</t>
        </is>
      </c>
      <c r="B705" s="1" t="n">
        <v>45957.41832175926</v>
      </c>
      <c r="C705" s="1" t="n">
        <v>46025</v>
      </c>
      <c r="D705" t="inlineStr">
        <is>
          <t>STOCKHOLMS LÄN</t>
        </is>
      </c>
      <c r="E705" t="inlineStr">
        <is>
          <t>NORRTÄLJE</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52553-2025</t>
        </is>
      </c>
      <c r="B706" s="1" t="n">
        <v>45954.5624537037</v>
      </c>
      <c r="C706" s="1" t="n">
        <v>46025</v>
      </c>
      <c r="D706" t="inlineStr">
        <is>
          <t>STOCKHOLMS LÄN</t>
        </is>
      </c>
      <c r="E706" t="inlineStr">
        <is>
          <t>NORRTÄLJE</t>
        </is>
      </c>
      <c r="G706" t="n">
        <v>4.4</v>
      </c>
      <c r="H706" t="n">
        <v>0</v>
      </c>
      <c r="I706" t="n">
        <v>0</v>
      </c>
      <c r="J706" t="n">
        <v>0</v>
      </c>
      <c r="K706" t="n">
        <v>0</v>
      </c>
      <c r="L706" t="n">
        <v>0</v>
      </c>
      <c r="M706" t="n">
        <v>0</v>
      </c>
      <c r="N706" t="n">
        <v>0</v>
      </c>
      <c r="O706" t="n">
        <v>0</v>
      </c>
      <c r="P706" t="n">
        <v>0</v>
      </c>
      <c r="Q706" t="n">
        <v>0</v>
      </c>
      <c r="R706" s="2" t="inlineStr"/>
    </row>
    <row r="707" ht="15" customHeight="1">
      <c r="A707" t="inlineStr">
        <is>
          <t>A 53087-2025</t>
        </is>
      </c>
      <c r="B707" s="1" t="n">
        <v>45958.41065972222</v>
      </c>
      <c r="C707" s="1" t="n">
        <v>46025</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15956-2023</t>
        </is>
      </c>
      <c r="B708" s="1" t="n">
        <v>45022.61003472222</v>
      </c>
      <c r="C708" s="1" t="n">
        <v>46025</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37628-2025</t>
        </is>
      </c>
      <c r="B709" s="1" t="n">
        <v>45880.46189814815</v>
      </c>
      <c r="C709" s="1" t="n">
        <v>46025</v>
      </c>
      <c r="D709" t="inlineStr">
        <is>
          <t>STOCKHOLMS LÄN</t>
        </is>
      </c>
      <c r="E709" t="inlineStr">
        <is>
          <t>NORRTÄLJE</t>
        </is>
      </c>
      <c r="F709" t="inlineStr">
        <is>
          <t>Sveaskog</t>
        </is>
      </c>
      <c r="G709" t="n">
        <v>2.6</v>
      </c>
      <c r="H709" t="n">
        <v>0</v>
      </c>
      <c r="I709" t="n">
        <v>0</v>
      </c>
      <c r="J709" t="n">
        <v>0</v>
      </c>
      <c r="K709" t="n">
        <v>0</v>
      </c>
      <c r="L709" t="n">
        <v>0</v>
      </c>
      <c r="M709" t="n">
        <v>0</v>
      </c>
      <c r="N709" t="n">
        <v>0</v>
      </c>
      <c r="O709" t="n">
        <v>0</v>
      </c>
      <c r="P709" t="n">
        <v>0</v>
      </c>
      <c r="Q709" t="n">
        <v>0</v>
      </c>
      <c r="R709" s="2" t="inlineStr"/>
    </row>
    <row r="710" ht="15" customHeight="1">
      <c r="A710" t="inlineStr">
        <is>
          <t>A 52704-2025</t>
        </is>
      </c>
      <c r="B710" s="1" t="n">
        <v>45956.89097222222</v>
      </c>
      <c r="C710" s="1" t="n">
        <v>46025</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52734-2025</t>
        </is>
      </c>
      <c r="B711" s="1" t="n">
        <v>45957.3710300926</v>
      </c>
      <c r="C711" s="1" t="n">
        <v>46025</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5950-2021</t>
        </is>
      </c>
      <c r="B712" s="1" t="n">
        <v>44231</v>
      </c>
      <c r="C712" s="1" t="n">
        <v>46025</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61289-2025</t>
        </is>
      </c>
      <c r="B713" s="1" t="n">
        <v>46000.73659722223</v>
      </c>
      <c r="C713" s="1" t="n">
        <v>46025</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52773-2025</t>
        </is>
      </c>
      <c r="B714" s="1" t="n">
        <v>45957.41457175926</v>
      </c>
      <c r="C714" s="1" t="n">
        <v>46025</v>
      </c>
      <c r="D714" t="inlineStr">
        <is>
          <t>STOCKHOLMS LÄN</t>
        </is>
      </c>
      <c r="E714" t="inlineStr">
        <is>
          <t>NORRTÄLJE</t>
        </is>
      </c>
      <c r="F714" t="inlineStr">
        <is>
          <t>Sveaskog</t>
        </is>
      </c>
      <c r="G714" t="n">
        <v>10.5</v>
      </c>
      <c r="H714" t="n">
        <v>0</v>
      </c>
      <c r="I714" t="n">
        <v>0</v>
      </c>
      <c r="J714" t="n">
        <v>0</v>
      </c>
      <c r="K714" t="n">
        <v>0</v>
      </c>
      <c r="L714" t="n">
        <v>0</v>
      </c>
      <c r="M714" t="n">
        <v>0</v>
      </c>
      <c r="N714" t="n">
        <v>0</v>
      </c>
      <c r="O714" t="n">
        <v>0</v>
      </c>
      <c r="P714" t="n">
        <v>0</v>
      </c>
      <c r="Q714" t="n">
        <v>0</v>
      </c>
      <c r="R714" s="2" t="inlineStr"/>
    </row>
    <row r="715" ht="15" customHeight="1">
      <c r="A715" t="inlineStr">
        <is>
          <t>A 52776-2025</t>
        </is>
      </c>
      <c r="B715" s="1" t="n">
        <v>45957.41724537037</v>
      </c>
      <c r="C715" s="1" t="n">
        <v>46025</v>
      </c>
      <c r="D715" t="inlineStr">
        <is>
          <t>STOCKHOLMS LÄN</t>
        </is>
      </c>
      <c r="E715" t="inlineStr">
        <is>
          <t>NORRTÄLJE</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24350-2025</t>
        </is>
      </c>
      <c r="B716" s="1" t="n">
        <v>45797.58350694444</v>
      </c>
      <c r="C716" s="1" t="n">
        <v>46025</v>
      </c>
      <c r="D716" t="inlineStr">
        <is>
          <t>STOCKHOLMS LÄN</t>
        </is>
      </c>
      <c r="E716" t="inlineStr">
        <is>
          <t>NORRTÄLJE</t>
        </is>
      </c>
      <c r="G716" t="n">
        <v>4.5</v>
      </c>
      <c r="H716" t="n">
        <v>0</v>
      </c>
      <c r="I716" t="n">
        <v>0</v>
      </c>
      <c r="J716" t="n">
        <v>0</v>
      </c>
      <c r="K716" t="n">
        <v>0</v>
      </c>
      <c r="L716" t="n">
        <v>0</v>
      </c>
      <c r="M716" t="n">
        <v>0</v>
      </c>
      <c r="N716" t="n">
        <v>0</v>
      </c>
      <c r="O716" t="n">
        <v>0</v>
      </c>
      <c r="P716" t="n">
        <v>0</v>
      </c>
      <c r="Q716" t="n">
        <v>0</v>
      </c>
      <c r="R716" s="2" t="inlineStr"/>
    </row>
    <row r="717" ht="15" customHeight="1">
      <c r="A717" t="inlineStr">
        <is>
          <t>A 13053-2022</t>
        </is>
      </c>
      <c r="B717" s="1" t="n">
        <v>44643</v>
      </c>
      <c r="C717" s="1" t="n">
        <v>46025</v>
      </c>
      <c r="D717" t="inlineStr">
        <is>
          <t>STOCKHOLMS LÄN</t>
        </is>
      </c>
      <c r="E717" t="inlineStr">
        <is>
          <t>NORRTÄLJE</t>
        </is>
      </c>
      <c r="G717" t="n">
        <v>2.8</v>
      </c>
      <c r="H717" t="n">
        <v>0</v>
      </c>
      <c r="I717" t="n">
        <v>0</v>
      </c>
      <c r="J717" t="n">
        <v>0</v>
      </c>
      <c r="K717" t="n">
        <v>0</v>
      </c>
      <c r="L717" t="n">
        <v>0</v>
      </c>
      <c r="M717" t="n">
        <v>0</v>
      </c>
      <c r="N717" t="n">
        <v>0</v>
      </c>
      <c r="O717" t="n">
        <v>0</v>
      </c>
      <c r="P717" t="n">
        <v>0</v>
      </c>
      <c r="Q717" t="n">
        <v>0</v>
      </c>
      <c r="R717" s="2" t="inlineStr"/>
    </row>
    <row r="718" ht="15" customHeight="1">
      <c r="A718" t="inlineStr">
        <is>
          <t>A 52703-2025</t>
        </is>
      </c>
      <c r="B718" s="1" t="n">
        <v>45956.88643518519</v>
      </c>
      <c r="C718" s="1" t="n">
        <v>46025</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3383-2023</t>
        </is>
      </c>
      <c r="B719" s="1" t="n">
        <v>44949</v>
      </c>
      <c r="C719" s="1" t="n">
        <v>46025</v>
      </c>
      <c r="D719" t="inlineStr">
        <is>
          <t>STOCKHOLMS LÄN</t>
        </is>
      </c>
      <c r="E719" t="inlineStr">
        <is>
          <t>NORRTÄLJE</t>
        </is>
      </c>
      <c r="G719" t="n">
        <v>14.6</v>
      </c>
      <c r="H719" t="n">
        <v>0</v>
      </c>
      <c r="I719" t="n">
        <v>0</v>
      </c>
      <c r="J719" t="n">
        <v>0</v>
      </c>
      <c r="K719" t="n">
        <v>0</v>
      </c>
      <c r="L719" t="n">
        <v>0</v>
      </c>
      <c r="M719" t="n">
        <v>0</v>
      </c>
      <c r="N719" t="n">
        <v>0</v>
      </c>
      <c r="O719" t="n">
        <v>0</v>
      </c>
      <c r="P719" t="n">
        <v>0</v>
      </c>
      <c r="Q719" t="n">
        <v>0</v>
      </c>
      <c r="R719" s="2" t="inlineStr"/>
    </row>
    <row r="720" ht="15" customHeight="1">
      <c r="A720" t="inlineStr">
        <is>
          <t>A 26703-2025</t>
        </is>
      </c>
      <c r="B720" s="1" t="n">
        <v>45810.45263888889</v>
      </c>
      <c r="C720" s="1" t="n">
        <v>46025</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4316-2023</t>
        </is>
      </c>
      <c r="B721" s="1" t="n">
        <v>44953.67443287037</v>
      </c>
      <c r="C721" s="1" t="n">
        <v>46025</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60928-2025</t>
        </is>
      </c>
      <c r="B722" s="1" t="n">
        <v>45999.633125</v>
      </c>
      <c r="C722" s="1" t="n">
        <v>46025</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60948-2025</t>
        </is>
      </c>
      <c r="B723" s="1" t="n">
        <v>45999.650625</v>
      </c>
      <c r="C723" s="1" t="n">
        <v>46025</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59041-2025</t>
        </is>
      </c>
      <c r="B724" s="1" t="n">
        <v>45988</v>
      </c>
      <c r="C724" s="1" t="n">
        <v>46025</v>
      </c>
      <c r="D724" t="inlineStr">
        <is>
          <t>STOCKHOLMS LÄN</t>
        </is>
      </c>
      <c r="E724" t="inlineStr">
        <is>
          <t>NORRTÄLJE</t>
        </is>
      </c>
      <c r="G724" t="n">
        <v>6.6</v>
      </c>
      <c r="H724" t="n">
        <v>0</v>
      </c>
      <c r="I724" t="n">
        <v>0</v>
      </c>
      <c r="J724" t="n">
        <v>0</v>
      </c>
      <c r="K724" t="n">
        <v>0</v>
      </c>
      <c r="L724" t="n">
        <v>0</v>
      </c>
      <c r="M724" t="n">
        <v>0</v>
      </c>
      <c r="N724" t="n">
        <v>0</v>
      </c>
      <c r="O724" t="n">
        <v>0</v>
      </c>
      <c r="P724" t="n">
        <v>0</v>
      </c>
      <c r="Q724" t="n">
        <v>0</v>
      </c>
      <c r="R724" s="2" t="inlineStr"/>
    </row>
    <row r="725" ht="15" customHeight="1">
      <c r="A725" t="inlineStr">
        <is>
          <t>A 5839-2023</t>
        </is>
      </c>
      <c r="B725" s="1" t="n">
        <v>44963</v>
      </c>
      <c r="C725" s="1" t="n">
        <v>46025</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13137-2024</t>
        </is>
      </c>
      <c r="B726" s="1" t="n">
        <v>45386.34175925926</v>
      </c>
      <c r="C726" s="1" t="n">
        <v>46025</v>
      </c>
      <c r="D726" t="inlineStr">
        <is>
          <t>STOCKHOLMS LÄN</t>
        </is>
      </c>
      <c r="E726" t="inlineStr">
        <is>
          <t>NORRTÄLJE</t>
        </is>
      </c>
      <c r="G726" t="n">
        <v>5</v>
      </c>
      <c r="H726" t="n">
        <v>0</v>
      </c>
      <c r="I726" t="n">
        <v>0</v>
      </c>
      <c r="J726" t="n">
        <v>0</v>
      </c>
      <c r="K726" t="n">
        <v>0</v>
      </c>
      <c r="L726" t="n">
        <v>0</v>
      </c>
      <c r="M726" t="n">
        <v>0</v>
      </c>
      <c r="N726" t="n">
        <v>0</v>
      </c>
      <c r="O726" t="n">
        <v>0</v>
      </c>
      <c r="P726" t="n">
        <v>0</v>
      </c>
      <c r="Q726" t="n">
        <v>0</v>
      </c>
      <c r="R726" s="2" t="inlineStr"/>
    </row>
    <row r="727" ht="15" customHeight="1">
      <c r="A727" t="inlineStr">
        <is>
          <t>A 53000-2025</t>
        </is>
      </c>
      <c r="B727" s="1" t="n">
        <v>45957.74357638889</v>
      </c>
      <c r="C727" s="1" t="n">
        <v>46025</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53115-2025</t>
        </is>
      </c>
      <c r="B728" s="1" t="n">
        <v>45958.44614583333</v>
      </c>
      <c r="C728" s="1" t="n">
        <v>46025</v>
      </c>
      <c r="D728" t="inlineStr">
        <is>
          <t>STOCKHOLMS LÄN</t>
        </is>
      </c>
      <c r="E728" t="inlineStr">
        <is>
          <t>NORRTÄLJE</t>
        </is>
      </c>
      <c r="F728" t="inlineStr">
        <is>
          <t>Kyrkan</t>
        </is>
      </c>
      <c r="G728" t="n">
        <v>2.5</v>
      </c>
      <c r="H728" t="n">
        <v>0</v>
      </c>
      <c r="I728" t="n">
        <v>0</v>
      </c>
      <c r="J728" t="n">
        <v>0</v>
      </c>
      <c r="K728" t="n">
        <v>0</v>
      </c>
      <c r="L728" t="n">
        <v>0</v>
      </c>
      <c r="M728" t="n">
        <v>0</v>
      </c>
      <c r="N728" t="n">
        <v>0</v>
      </c>
      <c r="O728" t="n">
        <v>0</v>
      </c>
      <c r="P728" t="n">
        <v>0</v>
      </c>
      <c r="Q728" t="n">
        <v>0</v>
      </c>
      <c r="R728" s="2" t="inlineStr"/>
    </row>
    <row r="729" ht="15" customHeight="1">
      <c r="A729" t="inlineStr">
        <is>
          <t>A 38153-2025</t>
        </is>
      </c>
      <c r="B729" s="1" t="n">
        <v>45882.59722222222</v>
      </c>
      <c r="C729" s="1" t="n">
        <v>46025</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5804-2025</t>
        </is>
      </c>
      <c r="B730" s="1" t="n">
        <v>45694.68207175926</v>
      </c>
      <c r="C730" s="1" t="n">
        <v>46025</v>
      </c>
      <c r="D730" t="inlineStr">
        <is>
          <t>STOCKHOLMS LÄN</t>
        </is>
      </c>
      <c r="E730" t="inlineStr">
        <is>
          <t>NORRTÄLJE</t>
        </is>
      </c>
      <c r="F730" t="inlineStr">
        <is>
          <t>Holmen skog AB</t>
        </is>
      </c>
      <c r="G730" t="n">
        <v>2.6</v>
      </c>
      <c r="H730" t="n">
        <v>0</v>
      </c>
      <c r="I730" t="n">
        <v>0</v>
      </c>
      <c r="J730" t="n">
        <v>0</v>
      </c>
      <c r="K730" t="n">
        <v>0</v>
      </c>
      <c r="L730" t="n">
        <v>0</v>
      </c>
      <c r="M730" t="n">
        <v>0</v>
      </c>
      <c r="N730" t="n">
        <v>0</v>
      </c>
      <c r="O730" t="n">
        <v>0</v>
      </c>
      <c r="P730" t="n">
        <v>0</v>
      </c>
      <c r="Q730" t="n">
        <v>0</v>
      </c>
      <c r="R730" s="2" t="inlineStr"/>
    </row>
    <row r="731" ht="15" customHeight="1">
      <c r="A731" t="inlineStr">
        <is>
          <t>A 61769-2025</t>
        </is>
      </c>
      <c r="B731" s="1" t="n">
        <v>46002.64556712963</v>
      </c>
      <c r="C731" s="1" t="n">
        <v>46025</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24705-2023</t>
        </is>
      </c>
      <c r="B732" s="1" t="n">
        <v>45084.54459490741</v>
      </c>
      <c r="C732" s="1" t="n">
        <v>46025</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38593-2025</t>
        </is>
      </c>
      <c r="B733" s="1" t="n">
        <v>45884.48696759259</v>
      </c>
      <c r="C733" s="1" t="n">
        <v>46025</v>
      </c>
      <c r="D733" t="inlineStr">
        <is>
          <t>STOCKHOLMS LÄN</t>
        </is>
      </c>
      <c r="E733" t="inlineStr">
        <is>
          <t>NORRTÄLJE</t>
        </is>
      </c>
      <c r="G733" t="n">
        <v>3</v>
      </c>
      <c r="H733" t="n">
        <v>0</v>
      </c>
      <c r="I733" t="n">
        <v>0</v>
      </c>
      <c r="J733" t="n">
        <v>0</v>
      </c>
      <c r="K733" t="n">
        <v>0</v>
      </c>
      <c r="L733" t="n">
        <v>0</v>
      </c>
      <c r="M733" t="n">
        <v>0</v>
      </c>
      <c r="N733" t="n">
        <v>0</v>
      </c>
      <c r="O733" t="n">
        <v>0</v>
      </c>
      <c r="P733" t="n">
        <v>0</v>
      </c>
      <c r="Q733" t="n">
        <v>0</v>
      </c>
      <c r="R733" s="2" t="inlineStr"/>
    </row>
    <row r="734" ht="15" customHeight="1">
      <c r="A734" t="inlineStr">
        <is>
          <t>A 54358-2022</t>
        </is>
      </c>
      <c r="B734" s="1" t="n">
        <v>44882</v>
      </c>
      <c r="C734" s="1" t="n">
        <v>46025</v>
      </c>
      <c r="D734" t="inlineStr">
        <is>
          <t>STOCKHOLMS LÄN</t>
        </is>
      </c>
      <c r="E734" t="inlineStr">
        <is>
          <t>NORRTÄLJE</t>
        </is>
      </c>
      <c r="G734" t="n">
        <v>3.3</v>
      </c>
      <c r="H734" t="n">
        <v>0</v>
      </c>
      <c r="I734" t="n">
        <v>0</v>
      </c>
      <c r="J734" t="n">
        <v>0</v>
      </c>
      <c r="K734" t="n">
        <v>0</v>
      </c>
      <c r="L734" t="n">
        <v>0</v>
      </c>
      <c r="M734" t="n">
        <v>0</v>
      </c>
      <c r="N734" t="n">
        <v>0</v>
      </c>
      <c r="O734" t="n">
        <v>0</v>
      </c>
      <c r="P734" t="n">
        <v>0</v>
      </c>
      <c r="Q734" t="n">
        <v>0</v>
      </c>
      <c r="R734" s="2" t="inlineStr"/>
    </row>
    <row r="735" ht="15" customHeight="1">
      <c r="A735" t="inlineStr">
        <is>
          <t>A 53629-2025</t>
        </is>
      </c>
      <c r="B735" s="1" t="n">
        <v>45960.49570601852</v>
      </c>
      <c r="C735" s="1" t="n">
        <v>46025</v>
      </c>
      <c r="D735" t="inlineStr">
        <is>
          <t>STOCKHOLMS LÄN</t>
        </is>
      </c>
      <c r="E735" t="inlineStr">
        <is>
          <t>NORRTÄLJE</t>
        </is>
      </c>
      <c r="F735" t="inlineStr">
        <is>
          <t>Naturvårdsverket</t>
        </is>
      </c>
      <c r="G735" t="n">
        <v>7.9</v>
      </c>
      <c r="H735" t="n">
        <v>0</v>
      </c>
      <c r="I735" t="n">
        <v>0</v>
      </c>
      <c r="J735" t="n">
        <v>0</v>
      </c>
      <c r="K735" t="n">
        <v>0</v>
      </c>
      <c r="L735" t="n">
        <v>0</v>
      </c>
      <c r="M735" t="n">
        <v>0</v>
      </c>
      <c r="N735" t="n">
        <v>0</v>
      </c>
      <c r="O735" t="n">
        <v>0</v>
      </c>
      <c r="P735" t="n">
        <v>0</v>
      </c>
      <c r="Q735" t="n">
        <v>0</v>
      </c>
      <c r="R735" s="2" t="inlineStr"/>
    </row>
    <row r="736" ht="15" customHeight="1">
      <c r="A736" t="inlineStr">
        <is>
          <t>A 67921-2021</t>
        </is>
      </c>
      <c r="B736" s="1" t="n">
        <v>44525</v>
      </c>
      <c r="C736" s="1" t="n">
        <v>46025</v>
      </c>
      <c r="D736" t="inlineStr">
        <is>
          <t>STOCKHOLMS LÄN</t>
        </is>
      </c>
      <c r="E736" t="inlineStr">
        <is>
          <t>NORRTÄLJE</t>
        </is>
      </c>
      <c r="G736" t="n">
        <v>6.3</v>
      </c>
      <c r="H736" t="n">
        <v>0</v>
      </c>
      <c r="I736" t="n">
        <v>0</v>
      </c>
      <c r="J736" t="n">
        <v>0</v>
      </c>
      <c r="K736" t="n">
        <v>0</v>
      </c>
      <c r="L736" t="n">
        <v>0</v>
      </c>
      <c r="M736" t="n">
        <v>0</v>
      </c>
      <c r="N736" t="n">
        <v>0</v>
      </c>
      <c r="O736" t="n">
        <v>0</v>
      </c>
      <c r="P736" t="n">
        <v>0</v>
      </c>
      <c r="Q736" t="n">
        <v>0</v>
      </c>
      <c r="R736" s="2" t="inlineStr"/>
    </row>
    <row r="737" ht="15" customHeight="1">
      <c r="A737" t="inlineStr">
        <is>
          <t>A 61430-2025</t>
        </is>
      </c>
      <c r="B737" s="1" t="n">
        <v>46001.55583333333</v>
      </c>
      <c r="C737" s="1" t="n">
        <v>46025</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61452-2025</t>
        </is>
      </c>
      <c r="B738" s="1" t="n">
        <v>46001.58043981482</v>
      </c>
      <c r="C738" s="1" t="n">
        <v>46025</v>
      </c>
      <c r="D738" t="inlineStr">
        <is>
          <t>STOCKHOLMS LÄN</t>
        </is>
      </c>
      <c r="E738" t="inlineStr">
        <is>
          <t>NORRTÄLJE</t>
        </is>
      </c>
      <c r="F738" t="inlineStr">
        <is>
          <t>Holmen skog AB</t>
        </is>
      </c>
      <c r="G738" t="n">
        <v>3.7</v>
      </c>
      <c r="H738" t="n">
        <v>0</v>
      </c>
      <c r="I738" t="n">
        <v>0</v>
      </c>
      <c r="J738" t="n">
        <v>0</v>
      </c>
      <c r="K738" t="n">
        <v>0</v>
      </c>
      <c r="L738" t="n">
        <v>0</v>
      </c>
      <c r="M738" t="n">
        <v>0</v>
      </c>
      <c r="N738" t="n">
        <v>0</v>
      </c>
      <c r="O738" t="n">
        <v>0</v>
      </c>
      <c r="P738" t="n">
        <v>0</v>
      </c>
      <c r="Q738" t="n">
        <v>0</v>
      </c>
      <c r="R738" s="2" t="inlineStr"/>
    </row>
    <row r="739" ht="15" customHeight="1">
      <c r="A739" t="inlineStr">
        <is>
          <t>A 23749-2024</t>
        </is>
      </c>
      <c r="B739" s="1" t="n">
        <v>45455.33037037037</v>
      </c>
      <c r="C739" s="1" t="n">
        <v>46025</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35698-2023</t>
        </is>
      </c>
      <c r="B740" s="1" t="n">
        <v>45147</v>
      </c>
      <c r="C740" s="1" t="n">
        <v>46025</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61764-2025</t>
        </is>
      </c>
      <c r="B741" s="1" t="n">
        <v>46002.62763888889</v>
      </c>
      <c r="C741" s="1" t="n">
        <v>46025</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53747-2025</t>
        </is>
      </c>
      <c r="B742" s="1" t="n">
        <v>45960.65415509259</v>
      </c>
      <c r="C742" s="1" t="n">
        <v>46025</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53299-2025</t>
        </is>
      </c>
      <c r="B743" s="1" t="n">
        <v>45959.31901620371</v>
      </c>
      <c r="C743" s="1" t="n">
        <v>46025</v>
      </c>
      <c r="D743" t="inlineStr">
        <is>
          <t>STOCKHOLMS LÄN</t>
        </is>
      </c>
      <c r="E743" t="inlineStr">
        <is>
          <t>NORRTÄLJE</t>
        </is>
      </c>
      <c r="G743" t="n">
        <v>4.8</v>
      </c>
      <c r="H743" t="n">
        <v>0</v>
      </c>
      <c r="I743" t="n">
        <v>0</v>
      </c>
      <c r="J743" t="n">
        <v>0</v>
      </c>
      <c r="K743" t="n">
        <v>0</v>
      </c>
      <c r="L743" t="n">
        <v>0</v>
      </c>
      <c r="M743" t="n">
        <v>0</v>
      </c>
      <c r="N743" t="n">
        <v>0</v>
      </c>
      <c r="O743" t="n">
        <v>0</v>
      </c>
      <c r="P743" t="n">
        <v>0</v>
      </c>
      <c r="Q743" t="n">
        <v>0</v>
      </c>
      <c r="R743" s="2" t="inlineStr"/>
    </row>
    <row r="744" ht="15" customHeight="1">
      <c r="A744" t="inlineStr">
        <is>
          <t>A 61419-2025</t>
        </is>
      </c>
      <c r="B744" s="1" t="n">
        <v>46001.54137731482</v>
      </c>
      <c r="C744" s="1" t="n">
        <v>46025</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73992-2021</t>
        </is>
      </c>
      <c r="B745" s="1" t="n">
        <v>44556</v>
      </c>
      <c r="C745" s="1" t="n">
        <v>46025</v>
      </c>
      <c r="D745" t="inlineStr">
        <is>
          <t>STOCKHOLMS LÄN</t>
        </is>
      </c>
      <c r="E745" t="inlineStr">
        <is>
          <t>NORRTÄLJE</t>
        </is>
      </c>
      <c r="G745" t="n">
        <v>12.5</v>
      </c>
      <c r="H745" t="n">
        <v>0</v>
      </c>
      <c r="I745" t="n">
        <v>0</v>
      </c>
      <c r="J745" t="n">
        <v>0</v>
      </c>
      <c r="K745" t="n">
        <v>0</v>
      </c>
      <c r="L745" t="n">
        <v>0</v>
      </c>
      <c r="M745" t="n">
        <v>0</v>
      </c>
      <c r="N745" t="n">
        <v>0</v>
      </c>
      <c r="O745" t="n">
        <v>0</v>
      </c>
      <c r="P745" t="n">
        <v>0</v>
      </c>
      <c r="Q745" t="n">
        <v>0</v>
      </c>
      <c r="R745" s="2" t="inlineStr"/>
    </row>
    <row r="746" ht="15" customHeight="1">
      <c r="A746" t="inlineStr">
        <is>
          <t>A 21329-2022</t>
        </is>
      </c>
      <c r="B746" s="1" t="n">
        <v>44705.60626157407</v>
      </c>
      <c r="C746" s="1" t="n">
        <v>46025</v>
      </c>
      <c r="D746" t="inlineStr">
        <is>
          <t>STOCKHOLMS LÄN</t>
        </is>
      </c>
      <c r="E746" t="inlineStr">
        <is>
          <t>NORRTÄLJE</t>
        </is>
      </c>
      <c r="G746" t="n">
        <v>4.1</v>
      </c>
      <c r="H746" t="n">
        <v>0</v>
      </c>
      <c r="I746" t="n">
        <v>0</v>
      </c>
      <c r="J746" t="n">
        <v>0</v>
      </c>
      <c r="K746" t="n">
        <v>0</v>
      </c>
      <c r="L746" t="n">
        <v>0</v>
      </c>
      <c r="M746" t="n">
        <v>0</v>
      </c>
      <c r="N746" t="n">
        <v>0</v>
      </c>
      <c r="O746" t="n">
        <v>0</v>
      </c>
      <c r="P746" t="n">
        <v>0</v>
      </c>
      <c r="Q746" t="n">
        <v>0</v>
      </c>
      <c r="R746" s="2" t="inlineStr"/>
    </row>
    <row r="747" ht="15" customHeight="1">
      <c r="A747" t="inlineStr">
        <is>
          <t>A 54276-2021</t>
        </is>
      </c>
      <c r="B747" s="1" t="n">
        <v>44470</v>
      </c>
      <c r="C747" s="1" t="n">
        <v>46025</v>
      </c>
      <c r="D747" t="inlineStr">
        <is>
          <t>STOCKHOLMS LÄN</t>
        </is>
      </c>
      <c r="E747" t="inlineStr">
        <is>
          <t>NORRTÄLJE</t>
        </is>
      </c>
      <c r="G747" t="n">
        <v>7.3</v>
      </c>
      <c r="H747" t="n">
        <v>0</v>
      </c>
      <c r="I747" t="n">
        <v>0</v>
      </c>
      <c r="J747" t="n">
        <v>0</v>
      </c>
      <c r="K747" t="n">
        <v>0</v>
      </c>
      <c r="L747" t="n">
        <v>0</v>
      </c>
      <c r="M747" t="n">
        <v>0</v>
      </c>
      <c r="N747" t="n">
        <v>0</v>
      </c>
      <c r="O747" t="n">
        <v>0</v>
      </c>
      <c r="P747" t="n">
        <v>0</v>
      </c>
      <c r="Q747" t="n">
        <v>0</v>
      </c>
      <c r="R747" s="2" t="inlineStr"/>
    </row>
    <row r="748" ht="15" customHeight="1">
      <c r="A748" t="inlineStr">
        <is>
          <t>A 10090-2022</t>
        </is>
      </c>
      <c r="B748" s="1" t="n">
        <v>44621</v>
      </c>
      <c r="C748" s="1" t="n">
        <v>46025</v>
      </c>
      <c r="D748" t="inlineStr">
        <is>
          <t>STOCKHOLMS LÄN</t>
        </is>
      </c>
      <c r="E748" t="inlineStr">
        <is>
          <t>NORRTÄLJE</t>
        </is>
      </c>
      <c r="G748" t="n">
        <v>5.2</v>
      </c>
      <c r="H748" t="n">
        <v>0</v>
      </c>
      <c r="I748" t="n">
        <v>0</v>
      </c>
      <c r="J748" t="n">
        <v>0</v>
      </c>
      <c r="K748" t="n">
        <v>0</v>
      </c>
      <c r="L748" t="n">
        <v>0</v>
      </c>
      <c r="M748" t="n">
        <v>0</v>
      </c>
      <c r="N748" t="n">
        <v>0</v>
      </c>
      <c r="O748" t="n">
        <v>0</v>
      </c>
      <c r="P748" t="n">
        <v>0</v>
      </c>
      <c r="Q748" t="n">
        <v>0</v>
      </c>
      <c r="R748" s="2" t="inlineStr"/>
    </row>
    <row r="749" ht="15" customHeight="1">
      <c r="A749" t="inlineStr">
        <is>
          <t>A 13785-2024</t>
        </is>
      </c>
      <c r="B749" s="1" t="n">
        <v>45391.3395949074</v>
      </c>
      <c r="C749" s="1" t="n">
        <v>46025</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51116-2022</t>
        </is>
      </c>
      <c r="B750" s="1" t="n">
        <v>44868.45741898148</v>
      </c>
      <c r="C750" s="1" t="n">
        <v>46025</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29972-2024</t>
        </is>
      </c>
      <c r="B751" s="1" t="n">
        <v>45485</v>
      </c>
      <c r="C751" s="1" t="n">
        <v>46025</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28809-2023</t>
        </is>
      </c>
      <c r="B752" s="1" t="n">
        <v>45104</v>
      </c>
      <c r="C752" s="1" t="n">
        <v>46025</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28813-2023</t>
        </is>
      </c>
      <c r="B753" s="1" t="n">
        <v>45104</v>
      </c>
      <c r="C753" s="1" t="n">
        <v>46025</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19131-2025</t>
        </is>
      </c>
      <c r="B754" s="1" t="n">
        <v>45769</v>
      </c>
      <c r="C754" s="1" t="n">
        <v>46025</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11929-2024</t>
        </is>
      </c>
      <c r="B755" s="1" t="n">
        <v>45376.64532407407</v>
      </c>
      <c r="C755" s="1" t="n">
        <v>46025</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62681-2025</t>
        </is>
      </c>
      <c r="B756" s="1" t="n">
        <v>46008.45534722223</v>
      </c>
      <c r="C756" s="1" t="n">
        <v>46025</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62708-2025</t>
        </is>
      </c>
      <c r="B757" s="1" t="n">
        <v>46008.50986111111</v>
      </c>
      <c r="C757" s="1" t="n">
        <v>46025</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64145-2021</t>
        </is>
      </c>
      <c r="B758" s="1" t="n">
        <v>44510</v>
      </c>
      <c r="C758" s="1" t="n">
        <v>46025</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45451-2024</t>
        </is>
      </c>
      <c r="B759" s="1" t="n">
        <v>45576</v>
      </c>
      <c r="C759" s="1" t="n">
        <v>46025</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17843-2024</t>
        </is>
      </c>
      <c r="B760" s="1" t="n">
        <v>45418</v>
      </c>
      <c r="C760" s="1" t="n">
        <v>46025</v>
      </c>
      <c r="D760" t="inlineStr">
        <is>
          <t>STOCKHOLMS LÄN</t>
        </is>
      </c>
      <c r="E760" t="inlineStr">
        <is>
          <t>NORRTÄLJE</t>
        </is>
      </c>
      <c r="G760" t="n">
        <v>5.4</v>
      </c>
      <c r="H760" t="n">
        <v>0</v>
      </c>
      <c r="I760" t="n">
        <v>0</v>
      </c>
      <c r="J760" t="n">
        <v>0</v>
      </c>
      <c r="K760" t="n">
        <v>0</v>
      </c>
      <c r="L760" t="n">
        <v>0</v>
      </c>
      <c r="M760" t="n">
        <v>0</v>
      </c>
      <c r="N760" t="n">
        <v>0</v>
      </c>
      <c r="O760" t="n">
        <v>0</v>
      </c>
      <c r="P760" t="n">
        <v>0</v>
      </c>
      <c r="Q760" t="n">
        <v>0</v>
      </c>
      <c r="R760" s="2" t="inlineStr"/>
    </row>
    <row r="761" ht="15" customHeight="1">
      <c r="A761" t="inlineStr">
        <is>
          <t>A 12890-2024</t>
        </is>
      </c>
      <c r="B761" s="1" t="n">
        <v>45385.36243055556</v>
      </c>
      <c r="C761" s="1" t="n">
        <v>46025</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36430-2024</t>
        </is>
      </c>
      <c r="B762" s="1" t="n">
        <v>45536</v>
      </c>
      <c r="C762" s="1" t="n">
        <v>46025</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41172-2023</t>
        </is>
      </c>
      <c r="B763" s="1" t="n">
        <v>45170</v>
      </c>
      <c r="C763" s="1" t="n">
        <v>46025</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67921-2021</t>
        </is>
      </c>
      <c r="B764" s="1" t="n">
        <v>44525</v>
      </c>
      <c r="C764" s="1" t="n">
        <v>46025</v>
      </c>
      <c r="D764" t="inlineStr">
        <is>
          <t>STOCKHOLMS LÄN</t>
        </is>
      </c>
      <c r="E764" t="inlineStr">
        <is>
          <t>NORRTÄLJE</t>
        </is>
      </c>
      <c r="G764" t="n">
        <v>6.3</v>
      </c>
      <c r="H764" t="n">
        <v>0</v>
      </c>
      <c r="I764" t="n">
        <v>0</v>
      </c>
      <c r="J764" t="n">
        <v>0</v>
      </c>
      <c r="K764" t="n">
        <v>0</v>
      </c>
      <c r="L764" t="n">
        <v>0</v>
      </c>
      <c r="M764" t="n">
        <v>0</v>
      </c>
      <c r="N764" t="n">
        <v>0</v>
      </c>
      <c r="O764" t="n">
        <v>0</v>
      </c>
      <c r="P764" t="n">
        <v>0</v>
      </c>
      <c r="Q764" t="n">
        <v>0</v>
      </c>
      <c r="R764" s="2" t="inlineStr"/>
    </row>
    <row r="765" ht="15" customHeight="1">
      <c r="A765" t="inlineStr">
        <is>
          <t>A 72704-2021</t>
        </is>
      </c>
      <c r="B765" s="1" t="n">
        <v>44546</v>
      </c>
      <c r="C765" s="1" t="n">
        <v>46025</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65499-2021</t>
        </is>
      </c>
      <c r="B766" s="1" t="n">
        <v>44516</v>
      </c>
      <c r="C766" s="1" t="n">
        <v>46025</v>
      </c>
      <c r="D766" t="inlineStr">
        <is>
          <t>STOCKHOLMS LÄN</t>
        </is>
      </c>
      <c r="E766" t="inlineStr">
        <is>
          <t>NORRTÄLJE</t>
        </is>
      </c>
      <c r="F766" t="inlineStr">
        <is>
          <t>Kommuner</t>
        </is>
      </c>
      <c r="G766" t="n">
        <v>5.2</v>
      </c>
      <c r="H766" t="n">
        <v>0</v>
      </c>
      <c r="I766" t="n">
        <v>0</v>
      </c>
      <c r="J766" t="n">
        <v>0</v>
      </c>
      <c r="K766" t="n">
        <v>0</v>
      </c>
      <c r="L766" t="n">
        <v>0</v>
      </c>
      <c r="M766" t="n">
        <v>0</v>
      </c>
      <c r="N766" t="n">
        <v>0</v>
      </c>
      <c r="O766" t="n">
        <v>0</v>
      </c>
      <c r="P766" t="n">
        <v>0</v>
      </c>
      <c r="Q766" t="n">
        <v>0</v>
      </c>
      <c r="R766" s="2" t="inlineStr"/>
    </row>
    <row r="767" ht="15" customHeight="1">
      <c r="A767" t="inlineStr">
        <is>
          <t>A 65511-2021</t>
        </is>
      </c>
      <c r="B767" s="1" t="n">
        <v>44516.40674768519</v>
      </c>
      <c r="C767" s="1" t="n">
        <v>46025</v>
      </c>
      <c r="D767" t="inlineStr">
        <is>
          <t>STOCKHOLMS LÄN</t>
        </is>
      </c>
      <c r="E767" t="inlineStr">
        <is>
          <t>NORRTÄLJE</t>
        </is>
      </c>
      <c r="F767" t="inlineStr">
        <is>
          <t>Kommuner</t>
        </is>
      </c>
      <c r="G767" t="n">
        <v>2.8</v>
      </c>
      <c r="H767" t="n">
        <v>0</v>
      </c>
      <c r="I767" t="n">
        <v>0</v>
      </c>
      <c r="J767" t="n">
        <v>0</v>
      </c>
      <c r="K767" t="n">
        <v>0</v>
      </c>
      <c r="L767" t="n">
        <v>0</v>
      </c>
      <c r="M767" t="n">
        <v>0</v>
      </c>
      <c r="N767" t="n">
        <v>0</v>
      </c>
      <c r="O767" t="n">
        <v>0</v>
      </c>
      <c r="P767" t="n">
        <v>0</v>
      </c>
      <c r="Q767" t="n">
        <v>0</v>
      </c>
      <c r="R767" s="2" t="inlineStr"/>
    </row>
    <row r="768" ht="15" customHeight="1">
      <c r="A768" t="inlineStr">
        <is>
          <t>A 62689-2025</t>
        </is>
      </c>
      <c r="B768" s="1" t="n">
        <v>46008.47171296296</v>
      </c>
      <c r="C768" s="1" t="n">
        <v>46025</v>
      </c>
      <c r="D768" t="inlineStr">
        <is>
          <t>STOCKHOLMS LÄN</t>
        </is>
      </c>
      <c r="E768" t="inlineStr">
        <is>
          <t>NORRTÄLJE</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26113-2024</t>
        </is>
      </c>
      <c r="B769" s="1" t="n">
        <v>45468.45541666666</v>
      </c>
      <c r="C769" s="1" t="n">
        <v>46025</v>
      </c>
      <c r="D769" t="inlineStr">
        <is>
          <t>STOCKHOLMS LÄN</t>
        </is>
      </c>
      <c r="E769" t="inlineStr">
        <is>
          <t>NORRTÄLJE</t>
        </is>
      </c>
      <c r="G769" t="n">
        <v>0.4</v>
      </c>
      <c r="H769" t="n">
        <v>0</v>
      </c>
      <c r="I769" t="n">
        <v>0</v>
      </c>
      <c r="J769" t="n">
        <v>0</v>
      </c>
      <c r="K769" t="n">
        <v>0</v>
      </c>
      <c r="L769" t="n">
        <v>0</v>
      </c>
      <c r="M769" t="n">
        <v>0</v>
      </c>
      <c r="N769" t="n">
        <v>0</v>
      </c>
      <c r="O769" t="n">
        <v>0</v>
      </c>
      <c r="P769" t="n">
        <v>0</v>
      </c>
      <c r="Q769" t="n">
        <v>0</v>
      </c>
      <c r="R769" s="2" t="inlineStr"/>
    </row>
    <row r="770" ht="15" customHeight="1">
      <c r="A770" t="inlineStr">
        <is>
          <t>A 26116-2024</t>
        </is>
      </c>
      <c r="B770" s="1" t="n">
        <v>45468.45747685185</v>
      </c>
      <c r="C770" s="1" t="n">
        <v>46025</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52686-2024</t>
        </is>
      </c>
      <c r="B771" s="1" t="n">
        <v>45610.39271990741</v>
      </c>
      <c r="C771" s="1" t="n">
        <v>46025</v>
      </c>
      <c r="D771" t="inlineStr">
        <is>
          <t>STOCKHOLMS LÄN</t>
        </is>
      </c>
      <c r="E771" t="inlineStr">
        <is>
          <t>NORRTÄLJE</t>
        </is>
      </c>
      <c r="G771" t="n">
        <v>5.7</v>
      </c>
      <c r="H771" t="n">
        <v>0</v>
      </c>
      <c r="I771" t="n">
        <v>0</v>
      </c>
      <c r="J771" t="n">
        <v>0</v>
      </c>
      <c r="K771" t="n">
        <v>0</v>
      </c>
      <c r="L771" t="n">
        <v>0</v>
      </c>
      <c r="M771" t="n">
        <v>0</v>
      </c>
      <c r="N771" t="n">
        <v>0</v>
      </c>
      <c r="O771" t="n">
        <v>0</v>
      </c>
      <c r="P771" t="n">
        <v>0</v>
      </c>
      <c r="Q771" t="n">
        <v>0</v>
      </c>
      <c r="R771" s="2" t="inlineStr"/>
    </row>
    <row r="772" ht="15" customHeight="1">
      <c r="A772" t="inlineStr">
        <is>
          <t>A 31105-2022</t>
        </is>
      </c>
      <c r="B772" s="1" t="n">
        <v>44769.66039351852</v>
      </c>
      <c r="C772" s="1" t="n">
        <v>46025</v>
      </c>
      <c r="D772" t="inlineStr">
        <is>
          <t>STOCKHOLMS LÄN</t>
        </is>
      </c>
      <c r="E772" t="inlineStr">
        <is>
          <t>NORRTÄLJE</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62644-2023</t>
        </is>
      </c>
      <c r="B773" s="1" t="n">
        <v>45271</v>
      </c>
      <c r="C773" s="1" t="n">
        <v>46025</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60185-2024</t>
        </is>
      </c>
      <c r="B774" s="1" t="n">
        <v>45642.64634259259</v>
      </c>
      <c r="C774" s="1" t="n">
        <v>46025</v>
      </c>
      <c r="D774" t="inlineStr">
        <is>
          <t>STOCKHOLMS LÄN</t>
        </is>
      </c>
      <c r="E774" t="inlineStr">
        <is>
          <t>NORRTÄLJE</t>
        </is>
      </c>
      <c r="G774" t="n">
        <v>0.3</v>
      </c>
      <c r="H774" t="n">
        <v>0</v>
      </c>
      <c r="I774" t="n">
        <v>0</v>
      </c>
      <c r="J774" t="n">
        <v>0</v>
      </c>
      <c r="K774" t="n">
        <v>0</v>
      </c>
      <c r="L774" t="n">
        <v>0</v>
      </c>
      <c r="M774" t="n">
        <v>0</v>
      </c>
      <c r="N774" t="n">
        <v>0</v>
      </c>
      <c r="O774" t="n">
        <v>0</v>
      </c>
      <c r="P774" t="n">
        <v>0</v>
      </c>
      <c r="Q774" t="n">
        <v>0</v>
      </c>
      <c r="R774" s="2" t="inlineStr"/>
    </row>
    <row r="775" ht="15" customHeight="1">
      <c r="A775" t="inlineStr">
        <is>
          <t>A 60765-2023</t>
        </is>
      </c>
      <c r="B775" s="1" t="n">
        <v>45260</v>
      </c>
      <c r="C775" s="1" t="n">
        <v>46025</v>
      </c>
      <c r="D775" t="inlineStr">
        <is>
          <t>STOCKHOLMS LÄN</t>
        </is>
      </c>
      <c r="E775" t="inlineStr">
        <is>
          <t>NORRTÄLJE</t>
        </is>
      </c>
      <c r="G775" t="n">
        <v>3.7</v>
      </c>
      <c r="H775" t="n">
        <v>0</v>
      </c>
      <c r="I775" t="n">
        <v>0</v>
      </c>
      <c r="J775" t="n">
        <v>0</v>
      </c>
      <c r="K775" t="n">
        <v>0</v>
      </c>
      <c r="L775" t="n">
        <v>0</v>
      </c>
      <c r="M775" t="n">
        <v>0</v>
      </c>
      <c r="N775" t="n">
        <v>0</v>
      </c>
      <c r="O775" t="n">
        <v>0</v>
      </c>
      <c r="P775" t="n">
        <v>0</v>
      </c>
      <c r="Q775" t="n">
        <v>0</v>
      </c>
      <c r="R775" s="2" t="inlineStr"/>
    </row>
    <row r="776" ht="15" customHeight="1">
      <c r="A776" t="inlineStr">
        <is>
          <t>A 54907-2025</t>
        </is>
      </c>
      <c r="B776" s="1" t="n">
        <v>45967.37137731481</v>
      </c>
      <c r="C776" s="1" t="n">
        <v>46025</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12268-2022</t>
        </is>
      </c>
      <c r="B777" s="1" t="n">
        <v>44637</v>
      </c>
      <c r="C777" s="1" t="n">
        <v>46025</v>
      </c>
      <c r="D777" t="inlineStr">
        <is>
          <t>STOCKHOLMS LÄN</t>
        </is>
      </c>
      <c r="E777" t="inlineStr">
        <is>
          <t>NORRTÄLJE</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62922-2025</t>
        </is>
      </c>
      <c r="B778" s="1" t="n">
        <v>46009.38064814815</v>
      </c>
      <c r="C778" s="1" t="n">
        <v>46025</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22832-2021</t>
        </is>
      </c>
      <c r="B779" s="1" t="n">
        <v>44325</v>
      </c>
      <c r="C779" s="1" t="n">
        <v>46025</v>
      </c>
      <c r="D779" t="inlineStr">
        <is>
          <t>STOCKHOLMS LÄN</t>
        </is>
      </c>
      <c r="E779" t="inlineStr">
        <is>
          <t>NORRTÄLJE</t>
        </is>
      </c>
      <c r="G779" t="n">
        <v>6.8</v>
      </c>
      <c r="H779" t="n">
        <v>0</v>
      </c>
      <c r="I779" t="n">
        <v>0</v>
      </c>
      <c r="J779" t="n">
        <v>0</v>
      </c>
      <c r="K779" t="n">
        <v>0</v>
      </c>
      <c r="L779" t="n">
        <v>0</v>
      </c>
      <c r="M779" t="n">
        <v>0</v>
      </c>
      <c r="N779" t="n">
        <v>0</v>
      </c>
      <c r="O779" t="n">
        <v>0</v>
      </c>
      <c r="P779" t="n">
        <v>0</v>
      </c>
      <c r="Q779" t="n">
        <v>0</v>
      </c>
      <c r="R779" s="2" t="inlineStr"/>
    </row>
    <row r="780" ht="15" customHeight="1">
      <c r="A780" t="inlineStr">
        <is>
          <t>A 51315-2021</t>
        </is>
      </c>
      <c r="B780" s="1" t="n">
        <v>44461</v>
      </c>
      <c r="C780" s="1" t="n">
        <v>46025</v>
      </c>
      <c r="D780" t="inlineStr">
        <is>
          <t>STOCKHOLMS LÄN</t>
        </is>
      </c>
      <c r="E780" t="inlineStr">
        <is>
          <t>NORRTÄLJE</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22008-2024</t>
        </is>
      </c>
      <c r="B781" s="1" t="n">
        <v>45443</v>
      </c>
      <c r="C781" s="1" t="n">
        <v>46025</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58277-2023</t>
        </is>
      </c>
      <c r="B782" s="1" t="n">
        <v>45245</v>
      </c>
      <c r="C782" s="1" t="n">
        <v>46025</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9480-2025</t>
        </is>
      </c>
      <c r="B783" s="1" t="n">
        <v>45715</v>
      </c>
      <c r="C783" s="1" t="n">
        <v>46025</v>
      </c>
      <c r="D783" t="inlineStr">
        <is>
          <t>STOCKHOLMS LÄN</t>
        </is>
      </c>
      <c r="E783" t="inlineStr">
        <is>
          <t>NORRTÄLJE</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55503-2025</t>
        </is>
      </c>
      <c r="B784" s="1" t="n">
        <v>45971</v>
      </c>
      <c r="C784" s="1" t="n">
        <v>46025</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4322-2023</t>
        </is>
      </c>
      <c r="B785" s="1" t="n">
        <v>44953.69298611111</v>
      </c>
      <c r="C785" s="1" t="n">
        <v>46025</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35916-2024</t>
        </is>
      </c>
      <c r="B786" s="1" t="n">
        <v>45533</v>
      </c>
      <c r="C786" s="1" t="n">
        <v>46025</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38889-2024</t>
        </is>
      </c>
      <c r="B787" s="1" t="n">
        <v>45547</v>
      </c>
      <c r="C787" s="1" t="n">
        <v>46025</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55599-2025</t>
        </is>
      </c>
      <c r="B788" s="1" t="n">
        <v>45971.76810185185</v>
      </c>
      <c r="C788" s="1" t="n">
        <v>46025</v>
      </c>
      <c r="D788" t="inlineStr">
        <is>
          <t>STOCKHOLMS LÄN</t>
        </is>
      </c>
      <c r="E788" t="inlineStr">
        <is>
          <t>NORRTÄLJE</t>
        </is>
      </c>
      <c r="F788" t="inlineStr">
        <is>
          <t>Holmen skog AB</t>
        </is>
      </c>
      <c r="G788" t="n">
        <v>6.4</v>
      </c>
      <c r="H788" t="n">
        <v>0</v>
      </c>
      <c r="I788" t="n">
        <v>0</v>
      </c>
      <c r="J788" t="n">
        <v>0</v>
      </c>
      <c r="K788" t="n">
        <v>0</v>
      </c>
      <c r="L788" t="n">
        <v>0</v>
      </c>
      <c r="M788" t="n">
        <v>0</v>
      </c>
      <c r="N788" t="n">
        <v>0</v>
      </c>
      <c r="O788" t="n">
        <v>0</v>
      </c>
      <c r="P788" t="n">
        <v>0</v>
      </c>
      <c r="Q788" t="n">
        <v>0</v>
      </c>
      <c r="R788" s="2" t="inlineStr"/>
    </row>
    <row r="789" ht="15" customHeight="1">
      <c r="A789" t="inlineStr">
        <is>
          <t>A 3299-2022</t>
        </is>
      </c>
      <c r="B789" s="1" t="n">
        <v>44584.91001157407</v>
      </c>
      <c r="C789" s="1" t="n">
        <v>46025</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42075-2023</t>
        </is>
      </c>
      <c r="B790" s="1" t="n">
        <v>45177</v>
      </c>
      <c r="C790" s="1" t="n">
        <v>46025</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10676-2025</t>
        </is>
      </c>
      <c r="B791" s="1" t="n">
        <v>45721.88684027778</v>
      </c>
      <c r="C791" s="1" t="n">
        <v>46025</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56207-2025</t>
        </is>
      </c>
      <c r="B792" s="1" t="n">
        <v>45974.47329861111</v>
      </c>
      <c r="C792" s="1" t="n">
        <v>46025</v>
      </c>
      <c r="D792" t="inlineStr">
        <is>
          <t>STOCKHOLMS LÄN</t>
        </is>
      </c>
      <c r="E792" t="inlineStr">
        <is>
          <t>NORRTÄLJE</t>
        </is>
      </c>
      <c r="G792" t="n">
        <v>3.2</v>
      </c>
      <c r="H792" t="n">
        <v>0</v>
      </c>
      <c r="I792" t="n">
        <v>0</v>
      </c>
      <c r="J792" t="n">
        <v>0</v>
      </c>
      <c r="K792" t="n">
        <v>0</v>
      </c>
      <c r="L792" t="n">
        <v>0</v>
      </c>
      <c r="M792" t="n">
        <v>0</v>
      </c>
      <c r="N792" t="n">
        <v>0</v>
      </c>
      <c r="O792" t="n">
        <v>0</v>
      </c>
      <c r="P792" t="n">
        <v>0</v>
      </c>
      <c r="Q792" t="n">
        <v>0</v>
      </c>
      <c r="R792" s="2" t="inlineStr"/>
    </row>
    <row r="793" ht="15" customHeight="1">
      <c r="A793" t="inlineStr">
        <is>
          <t>A 50154-2024</t>
        </is>
      </c>
      <c r="B793" s="1" t="n">
        <v>45600.4558912037</v>
      </c>
      <c r="C793" s="1" t="n">
        <v>46025</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37273-2024</t>
        </is>
      </c>
      <c r="B794" s="1" t="n">
        <v>45540</v>
      </c>
      <c r="C794" s="1" t="n">
        <v>46025</v>
      </c>
      <c r="D794" t="inlineStr">
        <is>
          <t>STOCKHOLMS LÄN</t>
        </is>
      </c>
      <c r="E794" t="inlineStr">
        <is>
          <t>NORRTÄLJE</t>
        </is>
      </c>
      <c r="F794" t="inlineStr">
        <is>
          <t>Sveaskog</t>
        </is>
      </c>
      <c r="G794" t="n">
        <v>12.5</v>
      </c>
      <c r="H794" t="n">
        <v>0</v>
      </c>
      <c r="I794" t="n">
        <v>0</v>
      </c>
      <c r="J794" t="n">
        <v>0</v>
      </c>
      <c r="K794" t="n">
        <v>0</v>
      </c>
      <c r="L794" t="n">
        <v>0</v>
      </c>
      <c r="M794" t="n">
        <v>0</v>
      </c>
      <c r="N794" t="n">
        <v>0</v>
      </c>
      <c r="O794" t="n">
        <v>0</v>
      </c>
      <c r="P794" t="n">
        <v>0</v>
      </c>
      <c r="Q794" t="n">
        <v>0</v>
      </c>
      <c r="R794" s="2" t="inlineStr"/>
    </row>
    <row r="795" ht="15" customHeight="1">
      <c r="A795" t="inlineStr">
        <is>
          <t>A 56114-2025</t>
        </is>
      </c>
      <c r="B795" s="1" t="n">
        <v>45973.74474537037</v>
      </c>
      <c r="C795" s="1" t="n">
        <v>46025</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34773-2022</t>
        </is>
      </c>
      <c r="B796" s="1" t="n">
        <v>44795</v>
      </c>
      <c r="C796" s="1" t="n">
        <v>46025</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23263-2023</t>
        </is>
      </c>
      <c r="B797" s="1" t="n">
        <v>45075</v>
      </c>
      <c r="C797" s="1" t="n">
        <v>46025</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23264-2023</t>
        </is>
      </c>
      <c r="B798" s="1" t="n">
        <v>45075</v>
      </c>
      <c r="C798" s="1" t="n">
        <v>46025</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23267-2023</t>
        </is>
      </c>
      <c r="B799" s="1" t="n">
        <v>45075.90934027778</v>
      </c>
      <c r="C799" s="1" t="n">
        <v>46025</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25654-2023</t>
        </is>
      </c>
      <c r="B800" s="1" t="n">
        <v>45089</v>
      </c>
      <c r="C800" s="1" t="n">
        <v>46025</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47758-2023</t>
        </is>
      </c>
      <c r="B801" s="1" t="n">
        <v>45203.83891203703</v>
      </c>
      <c r="C801" s="1" t="n">
        <v>46025</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48151-2024</t>
        </is>
      </c>
      <c r="B802" s="1" t="n">
        <v>45589.68289351852</v>
      </c>
      <c r="C802" s="1" t="n">
        <v>46025</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5831-2022</t>
        </is>
      </c>
      <c r="B803" s="1" t="n">
        <v>44596</v>
      </c>
      <c r="C803" s="1" t="n">
        <v>46025</v>
      </c>
      <c r="D803" t="inlineStr">
        <is>
          <t>STOCKHOLMS LÄN</t>
        </is>
      </c>
      <c r="E803" t="inlineStr">
        <is>
          <t>NORRTÄLJE</t>
        </is>
      </c>
      <c r="G803" t="n">
        <v>4.8</v>
      </c>
      <c r="H803" t="n">
        <v>0</v>
      </c>
      <c r="I803" t="n">
        <v>0</v>
      </c>
      <c r="J803" t="n">
        <v>0</v>
      </c>
      <c r="K803" t="n">
        <v>0</v>
      </c>
      <c r="L803" t="n">
        <v>0</v>
      </c>
      <c r="M803" t="n">
        <v>0</v>
      </c>
      <c r="N803" t="n">
        <v>0</v>
      </c>
      <c r="O803" t="n">
        <v>0</v>
      </c>
      <c r="P803" t="n">
        <v>0</v>
      </c>
      <c r="Q803" t="n">
        <v>0</v>
      </c>
      <c r="R803" s="2" t="inlineStr"/>
    </row>
    <row r="804" ht="15" customHeight="1">
      <c r="A804" t="inlineStr">
        <is>
          <t>A 58853-2024</t>
        </is>
      </c>
      <c r="B804" s="1" t="n">
        <v>45636.38974537037</v>
      </c>
      <c r="C804" s="1" t="n">
        <v>46025</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59712-2024</t>
        </is>
      </c>
      <c r="B805" s="1" t="n">
        <v>45639.45166666667</v>
      </c>
      <c r="C805" s="1" t="n">
        <v>46025</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59721-2024</t>
        </is>
      </c>
      <c r="B806" s="1" t="n">
        <v>45639.47385416667</v>
      </c>
      <c r="C806" s="1" t="n">
        <v>46025</v>
      </c>
      <c r="D806" t="inlineStr">
        <is>
          <t>STOCKHOLMS LÄN</t>
        </is>
      </c>
      <c r="E806" t="inlineStr">
        <is>
          <t>NORRTÄLJE</t>
        </is>
      </c>
      <c r="G806" t="n">
        <v>4.6</v>
      </c>
      <c r="H806" t="n">
        <v>0</v>
      </c>
      <c r="I806" t="n">
        <v>0</v>
      </c>
      <c r="J806" t="n">
        <v>0</v>
      </c>
      <c r="K806" t="n">
        <v>0</v>
      </c>
      <c r="L806" t="n">
        <v>0</v>
      </c>
      <c r="M806" t="n">
        <v>0</v>
      </c>
      <c r="N806" t="n">
        <v>0</v>
      </c>
      <c r="O806" t="n">
        <v>0</v>
      </c>
      <c r="P806" t="n">
        <v>0</v>
      </c>
      <c r="Q806" t="n">
        <v>0</v>
      </c>
      <c r="R806" s="2" t="inlineStr"/>
    </row>
    <row r="807" ht="15" customHeight="1">
      <c r="A807" t="inlineStr">
        <is>
          <t>A 124-2026</t>
        </is>
      </c>
      <c r="B807" s="1" t="n">
        <v>46024.58378472222</v>
      </c>
      <c r="C807" s="1" t="n">
        <v>46025</v>
      </c>
      <c r="D807" t="inlineStr">
        <is>
          <t>STOCKHOLMS LÄN</t>
        </is>
      </c>
      <c r="E807" t="inlineStr">
        <is>
          <t>NORRTÄLJE</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60884-2024</t>
        </is>
      </c>
      <c r="B808" s="1" t="n">
        <v>45644.90815972222</v>
      </c>
      <c r="C808" s="1" t="n">
        <v>46025</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23150-2024</t>
        </is>
      </c>
      <c r="B809" s="1" t="n">
        <v>45450.64643518518</v>
      </c>
      <c r="C809" s="1" t="n">
        <v>46025</v>
      </c>
      <c r="D809" t="inlineStr">
        <is>
          <t>STOCKHOLMS LÄN</t>
        </is>
      </c>
      <c r="E809" t="inlineStr">
        <is>
          <t>NORRTÄLJE</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59878-2024</t>
        </is>
      </c>
      <c r="B810" s="1" t="n">
        <v>45640.60240740741</v>
      </c>
      <c r="C810" s="1" t="n">
        <v>46025</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50182-2024</t>
        </is>
      </c>
      <c r="B811" s="1" t="n">
        <v>45600.47275462963</v>
      </c>
      <c r="C811" s="1" t="n">
        <v>46025</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2549-2022</t>
        </is>
      </c>
      <c r="B812" s="1" t="n">
        <v>44580</v>
      </c>
      <c r="C812" s="1" t="n">
        <v>46025</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57788-2025</t>
        </is>
      </c>
      <c r="B813" s="1" t="n">
        <v>45981.5778125</v>
      </c>
      <c r="C813" s="1" t="n">
        <v>46025</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31140-2023</t>
        </is>
      </c>
      <c r="B814" s="1" t="n">
        <v>45113</v>
      </c>
      <c r="C814" s="1" t="n">
        <v>46025</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31149-2023</t>
        </is>
      </c>
      <c r="B815" s="1" t="n">
        <v>45113</v>
      </c>
      <c r="C815" s="1" t="n">
        <v>46025</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46025</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58142-2025</t>
        </is>
      </c>
      <c r="B817" s="1" t="n">
        <v>45982.63791666667</v>
      </c>
      <c r="C817" s="1" t="n">
        <v>46025</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53499-2025</t>
        </is>
      </c>
      <c r="B818" s="1" t="n">
        <v>45960</v>
      </c>
      <c r="C818" s="1" t="n">
        <v>46025</v>
      </c>
      <c r="D818" t="inlineStr">
        <is>
          <t>STOCKHOLMS LÄN</t>
        </is>
      </c>
      <c r="E818" t="inlineStr">
        <is>
          <t>NORRTÄLJE</t>
        </is>
      </c>
      <c r="G818" t="n">
        <v>23.8</v>
      </c>
      <c r="H818" t="n">
        <v>0</v>
      </c>
      <c r="I818" t="n">
        <v>0</v>
      </c>
      <c r="J818" t="n">
        <v>0</v>
      </c>
      <c r="K818" t="n">
        <v>0</v>
      </c>
      <c r="L818" t="n">
        <v>0</v>
      </c>
      <c r="M818" t="n">
        <v>0</v>
      </c>
      <c r="N818" t="n">
        <v>0</v>
      </c>
      <c r="O818" t="n">
        <v>0</v>
      </c>
      <c r="P818" t="n">
        <v>0</v>
      </c>
      <c r="Q818" t="n">
        <v>0</v>
      </c>
      <c r="R818" s="2" t="inlineStr"/>
    </row>
    <row r="819" ht="15" customHeight="1">
      <c r="A819" t="inlineStr">
        <is>
          <t>A 13701-2022</t>
        </is>
      </c>
      <c r="B819" s="1" t="n">
        <v>44648</v>
      </c>
      <c r="C819" s="1" t="n">
        <v>46025</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13089-2022</t>
        </is>
      </c>
      <c r="B820" s="1" t="n">
        <v>44643</v>
      </c>
      <c r="C820" s="1" t="n">
        <v>46025</v>
      </c>
      <c r="D820" t="inlineStr">
        <is>
          <t>STOCKHOLMS LÄN</t>
        </is>
      </c>
      <c r="E820" t="inlineStr">
        <is>
          <t>NORRTÄLJE</t>
        </is>
      </c>
      <c r="G820" t="n">
        <v>4.5</v>
      </c>
      <c r="H820" t="n">
        <v>0</v>
      </c>
      <c r="I820" t="n">
        <v>0</v>
      </c>
      <c r="J820" t="n">
        <v>0</v>
      </c>
      <c r="K820" t="n">
        <v>0</v>
      </c>
      <c r="L820" t="n">
        <v>0</v>
      </c>
      <c r="M820" t="n">
        <v>0</v>
      </c>
      <c r="N820" t="n">
        <v>0</v>
      </c>
      <c r="O820" t="n">
        <v>0</v>
      </c>
      <c r="P820" t="n">
        <v>0</v>
      </c>
      <c r="Q820" t="n">
        <v>0</v>
      </c>
      <c r="R820" s="2" t="inlineStr"/>
    </row>
    <row r="821" ht="15" customHeight="1">
      <c r="A821" t="inlineStr">
        <is>
          <t>A 57953-2025</t>
        </is>
      </c>
      <c r="B821" s="1" t="n">
        <v>45982.35016203704</v>
      </c>
      <c r="C821" s="1" t="n">
        <v>46025</v>
      </c>
      <c r="D821" t="inlineStr">
        <is>
          <t>STOCKHOLMS LÄN</t>
        </is>
      </c>
      <c r="E821" t="inlineStr">
        <is>
          <t>NORRTÄLJE</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38759-2022</t>
        </is>
      </c>
      <c r="B822" s="1" t="n">
        <v>44816</v>
      </c>
      <c r="C822" s="1" t="n">
        <v>46025</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23998-2024</t>
        </is>
      </c>
      <c r="B823" s="1" t="n">
        <v>45456</v>
      </c>
      <c r="C823" s="1" t="n">
        <v>46025</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54504-2024</t>
        </is>
      </c>
      <c r="B824" s="1" t="n">
        <v>45617.58453703704</v>
      </c>
      <c r="C824" s="1" t="n">
        <v>46025</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32595-2023</t>
        </is>
      </c>
      <c r="B825" s="1" t="n">
        <v>45121</v>
      </c>
      <c r="C825" s="1" t="n">
        <v>46025</v>
      </c>
      <c r="D825" t="inlineStr">
        <is>
          <t>STOCKHOLMS LÄN</t>
        </is>
      </c>
      <c r="E825" t="inlineStr">
        <is>
          <t>NORRTÄLJE</t>
        </is>
      </c>
      <c r="G825" t="n">
        <v>2.4</v>
      </c>
      <c r="H825" t="n">
        <v>0</v>
      </c>
      <c r="I825" t="n">
        <v>0</v>
      </c>
      <c r="J825" t="n">
        <v>0</v>
      </c>
      <c r="K825" t="n">
        <v>0</v>
      </c>
      <c r="L825" t="n">
        <v>0</v>
      </c>
      <c r="M825" t="n">
        <v>0</v>
      </c>
      <c r="N825" t="n">
        <v>0</v>
      </c>
      <c r="O825" t="n">
        <v>0</v>
      </c>
      <c r="P825" t="n">
        <v>0</v>
      </c>
      <c r="Q825" t="n">
        <v>0</v>
      </c>
      <c r="R825" s="2" t="inlineStr"/>
    </row>
    <row r="826" ht="15" customHeight="1">
      <c r="A826" t="inlineStr">
        <is>
          <t>A 11332-2025</t>
        </is>
      </c>
      <c r="B826" s="1" t="n">
        <v>45726.48152777777</v>
      </c>
      <c r="C826" s="1" t="n">
        <v>46025</v>
      </c>
      <c r="D826" t="inlineStr">
        <is>
          <t>STOCKHOLMS LÄN</t>
        </is>
      </c>
      <c r="E826" t="inlineStr">
        <is>
          <t>NORRTÄLJE</t>
        </is>
      </c>
      <c r="G826" t="n">
        <v>4.6</v>
      </c>
      <c r="H826" t="n">
        <v>0</v>
      </c>
      <c r="I826" t="n">
        <v>0</v>
      </c>
      <c r="J826" t="n">
        <v>0</v>
      </c>
      <c r="K826" t="n">
        <v>0</v>
      </c>
      <c r="L826" t="n">
        <v>0</v>
      </c>
      <c r="M826" t="n">
        <v>0</v>
      </c>
      <c r="N826" t="n">
        <v>0</v>
      </c>
      <c r="O826" t="n">
        <v>0</v>
      </c>
      <c r="P826" t="n">
        <v>0</v>
      </c>
      <c r="Q826" t="n">
        <v>0</v>
      </c>
      <c r="R826" s="2" t="inlineStr"/>
    </row>
    <row r="827" ht="15" customHeight="1">
      <c r="A827" t="inlineStr">
        <is>
          <t>A 13718-2022</t>
        </is>
      </c>
      <c r="B827" s="1" t="n">
        <v>44649</v>
      </c>
      <c r="C827" s="1" t="n">
        <v>46025</v>
      </c>
      <c r="D827" t="inlineStr">
        <is>
          <t>STOCKHOLMS LÄN</t>
        </is>
      </c>
      <c r="E827" t="inlineStr">
        <is>
          <t>NORRTÄLJE</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54259-2023</t>
        </is>
      </c>
      <c r="B828" s="1" t="n">
        <v>45232</v>
      </c>
      <c r="C828" s="1" t="n">
        <v>46025</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13171-2025</t>
        </is>
      </c>
      <c r="B829" s="1" t="n">
        <v>45735.36594907408</v>
      </c>
      <c r="C829" s="1" t="n">
        <v>46025</v>
      </c>
      <c r="D829" t="inlineStr">
        <is>
          <t>STOCKHOLMS LÄN</t>
        </is>
      </c>
      <c r="E829" t="inlineStr">
        <is>
          <t>NORRTÄLJE</t>
        </is>
      </c>
      <c r="G829" t="n">
        <v>5.1</v>
      </c>
      <c r="H829" t="n">
        <v>0</v>
      </c>
      <c r="I829" t="n">
        <v>0</v>
      </c>
      <c r="J829" t="n">
        <v>0</v>
      </c>
      <c r="K829" t="n">
        <v>0</v>
      </c>
      <c r="L829" t="n">
        <v>0</v>
      </c>
      <c r="M829" t="n">
        <v>0</v>
      </c>
      <c r="N829" t="n">
        <v>0</v>
      </c>
      <c r="O829" t="n">
        <v>0</v>
      </c>
      <c r="P829" t="n">
        <v>0</v>
      </c>
      <c r="Q829" t="n">
        <v>0</v>
      </c>
      <c r="R829" s="2" t="inlineStr"/>
    </row>
    <row r="830" ht="15" customHeight="1">
      <c r="A830" t="inlineStr">
        <is>
          <t>A 12299-2025</t>
        </is>
      </c>
      <c r="B830" s="1" t="n">
        <v>45729.71065972222</v>
      </c>
      <c r="C830" s="1" t="n">
        <v>46025</v>
      </c>
      <c r="D830" t="inlineStr">
        <is>
          <t>STOCKHOLMS LÄN</t>
        </is>
      </c>
      <c r="E830" t="inlineStr">
        <is>
          <t>NORRTÄLJE</t>
        </is>
      </c>
      <c r="F830" t="inlineStr">
        <is>
          <t>Holmen skog AB</t>
        </is>
      </c>
      <c r="G830" t="n">
        <v>6.9</v>
      </c>
      <c r="H830" t="n">
        <v>0</v>
      </c>
      <c r="I830" t="n">
        <v>0</v>
      </c>
      <c r="J830" t="n">
        <v>0</v>
      </c>
      <c r="K830" t="n">
        <v>0</v>
      </c>
      <c r="L830" t="n">
        <v>0</v>
      </c>
      <c r="M830" t="n">
        <v>0</v>
      </c>
      <c r="N830" t="n">
        <v>0</v>
      </c>
      <c r="O830" t="n">
        <v>0</v>
      </c>
      <c r="P830" t="n">
        <v>0</v>
      </c>
      <c r="Q830" t="n">
        <v>0</v>
      </c>
      <c r="R830" s="2" t="inlineStr"/>
    </row>
    <row r="831" ht="15" customHeight="1">
      <c r="A831" t="inlineStr">
        <is>
          <t>A 11900-2024</t>
        </is>
      </c>
      <c r="B831" s="1" t="n">
        <v>45376.55484953704</v>
      </c>
      <c r="C831" s="1" t="n">
        <v>46025</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43300-2023</t>
        </is>
      </c>
      <c r="B832" s="1" t="n">
        <v>45183</v>
      </c>
      <c r="C832" s="1" t="n">
        <v>46025</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13276-2022</t>
        </is>
      </c>
      <c r="B833" s="1" t="n">
        <v>44644</v>
      </c>
      <c r="C833" s="1" t="n">
        <v>46025</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11900-2022</t>
        </is>
      </c>
      <c r="B834" s="1" t="n">
        <v>44635</v>
      </c>
      <c r="C834" s="1" t="n">
        <v>46025</v>
      </c>
      <c r="D834" t="inlineStr">
        <is>
          <t>STOCKHOLMS LÄN</t>
        </is>
      </c>
      <c r="E834" t="inlineStr">
        <is>
          <t>NORRTÄLJE</t>
        </is>
      </c>
      <c r="G834" t="n">
        <v>2.4</v>
      </c>
      <c r="H834" t="n">
        <v>0</v>
      </c>
      <c r="I834" t="n">
        <v>0</v>
      </c>
      <c r="J834" t="n">
        <v>0</v>
      </c>
      <c r="K834" t="n">
        <v>0</v>
      </c>
      <c r="L834" t="n">
        <v>0</v>
      </c>
      <c r="M834" t="n">
        <v>0</v>
      </c>
      <c r="N834" t="n">
        <v>0</v>
      </c>
      <c r="O834" t="n">
        <v>0</v>
      </c>
      <c r="P834" t="n">
        <v>0</v>
      </c>
      <c r="Q834" t="n">
        <v>0</v>
      </c>
      <c r="R834" s="2" t="inlineStr"/>
    </row>
    <row r="835" ht="15" customHeight="1">
      <c r="A835" t="inlineStr">
        <is>
          <t>A 14724-2022</t>
        </is>
      </c>
      <c r="B835" s="1" t="n">
        <v>44656</v>
      </c>
      <c r="C835" s="1" t="n">
        <v>46025</v>
      </c>
      <c r="D835" t="inlineStr">
        <is>
          <t>STOCKHOLMS LÄN</t>
        </is>
      </c>
      <c r="E835" t="inlineStr">
        <is>
          <t>NORRTÄLJE</t>
        </is>
      </c>
      <c r="F835" t="inlineStr">
        <is>
          <t>Sveaskog</t>
        </is>
      </c>
      <c r="G835" t="n">
        <v>9</v>
      </c>
      <c r="H835" t="n">
        <v>0</v>
      </c>
      <c r="I835" t="n">
        <v>0</v>
      </c>
      <c r="J835" t="n">
        <v>0</v>
      </c>
      <c r="K835" t="n">
        <v>0</v>
      </c>
      <c r="L835" t="n">
        <v>0</v>
      </c>
      <c r="M835" t="n">
        <v>0</v>
      </c>
      <c r="N835" t="n">
        <v>0</v>
      </c>
      <c r="O835" t="n">
        <v>0</v>
      </c>
      <c r="P835" t="n">
        <v>0</v>
      </c>
      <c r="Q835" t="n">
        <v>0</v>
      </c>
      <c r="R835" s="2" t="inlineStr"/>
    </row>
    <row r="836" ht="15" customHeight="1">
      <c r="A836" t="inlineStr">
        <is>
          <t>A 4580-2025</t>
        </is>
      </c>
      <c r="B836" s="1" t="n">
        <v>45687.5038425926</v>
      </c>
      <c r="C836" s="1" t="n">
        <v>46025</v>
      </c>
      <c r="D836" t="inlineStr">
        <is>
          <t>STOCKHOLMS LÄN</t>
        </is>
      </c>
      <c r="E836" t="inlineStr">
        <is>
          <t>NORRTÄLJE</t>
        </is>
      </c>
      <c r="F836" t="inlineStr">
        <is>
          <t>Holmen skog AB</t>
        </is>
      </c>
      <c r="G836" t="n">
        <v>4.8</v>
      </c>
      <c r="H836" t="n">
        <v>0</v>
      </c>
      <c r="I836" t="n">
        <v>0</v>
      </c>
      <c r="J836" t="n">
        <v>0</v>
      </c>
      <c r="K836" t="n">
        <v>0</v>
      </c>
      <c r="L836" t="n">
        <v>0</v>
      </c>
      <c r="M836" t="n">
        <v>0</v>
      </c>
      <c r="N836" t="n">
        <v>0</v>
      </c>
      <c r="O836" t="n">
        <v>0</v>
      </c>
      <c r="P836" t="n">
        <v>0</v>
      </c>
      <c r="Q836" t="n">
        <v>0</v>
      </c>
      <c r="R836" s="2" t="inlineStr"/>
    </row>
    <row r="837" ht="15" customHeight="1">
      <c r="A837" t="inlineStr">
        <is>
          <t>A 16202-2022</t>
        </is>
      </c>
      <c r="B837" s="1" t="n">
        <v>44670</v>
      </c>
      <c r="C837" s="1" t="n">
        <v>46025</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6003-2025</t>
        </is>
      </c>
      <c r="B838" s="1" t="n">
        <v>45695.57881944445</v>
      </c>
      <c r="C838" s="1" t="n">
        <v>46025</v>
      </c>
      <c r="D838" t="inlineStr">
        <is>
          <t>STOCKHOLMS LÄN</t>
        </is>
      </c>
      <c r="E838" t="inlineStr">
        <is>
          <t>NORRTÄLJE</t>
        </is>
      </c>
      <c r="F838" t="inlineStr">
        <is>
          <t>Holmen skog AB</t>
        </is>
      </c>
      <c r="G838" t="n">
        <v>2.3</v>
      </c>
      <c r="H838" t="n">
        <v>0</v>
      </c>
      <c r="I838" t="n">
        <v>0</v>
      </c>
      <c r="J838" t="n">
        <v>0</v>
      </c>
      <c r="K838" t="n">
        <v>0</v>
      </c>
      <c r="L838" t="n">
        <v>0</v>
      </c>
      <c r="M838" t="n">
        <v>0</v>
      </c>
      <c r="N838" t="n">
        <v>0</v>
      </c>
      <c r="O838" t="n">
        <v>0</v>
      </c>
      <c r="P838" t="n">
        <v>0</v>
      </c>
      <c r="Q838" t="n">
        <v>0</v>
      </c>
      <c r="R838" s="2" t="inlineStr"/>
    </row>
    <row r="839" ht="15" customHeight="1">
      <c r="A839" t="inlineStr">
        <is>
          <t>A 52321-2024</t>
        </is>
      </c>
      <c r="B839" s="1" t="n">
        <v>45608</v>
      </c>
      <c r="C839" s="1" t="n">
        <v>46025</v>
      </c>
      <c r="D839" t="inlineStr">
        <is>
          <t>STOCKHOLMS LÄN</t>
        </is>
      </c>
      <c r="E839" t="inlineStr">
        <is>
          <t>NORRTÄLJE</t>
        </is>
      </c>
      <c r="G839" t="n">
        <v>18.1</v>
      </c>
      <c r="H839" t="n">
        <v>0</v>
      </c>
      <c r="I839" t="n">
        <v>0</v>
      </c>
      <c r="J839" t="n">
        <v>0</v>
      </c>
      <c r="K839" t="n">
        <v>0</v>
      </c>
      <c r="L839" t="n">
        <v>0</v>
      </c>
      <c r="M839" t="n">
        <v>0</v>
      </c>
      <c r="N839" t="n">
        <v>0</v>
      </c>
      <c r="O839" t="n">
        <v>0</v>
      </c>
      <c r="P839" t="n">
        <v>0</v>
      </c>
      <c r="Q839" t="n">
        <v>0</v>
      </c>
      <c r="R839" s="2" t="inlineStr"/>
    </row>
    <row r="840" ht="15" customHeight="1">
      <c r="A840" t="inlineStr">
        <is>
          <t>A 54558-2024</t>
        </is>
      </c>
      <c r="B840" s="1" t="n">
        <v>45617.62358796296</v>
      </c>
      <c r="C840" s="1" t="n">
        <v>46025</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22157-2023</t>
        </is>
      </c>
      <c r="B841" s="1" t="n">
        <v>45069</v>
      </c>
      <c r="C841" s="1" t="n">
        <v>46025</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c r="U841">
        <f>HYPERLINK("https://klasma.github.io/Logging_0188/knärot/A 22157-2023 karta knärot.png", "A 22157-2023")</f>
        <v/>
      </c>
      <c r="V841">
        <f>HYPERLINK("https://klasma.github.io/Logging_0188/klagomål/A 22157-2023 FSC-klagomål.docx", "A 22157-2023")</f>
        <v/>
      </c>
      <c r="W841">
        <f>HYPERLINK("https://klasma.github.io/Logging_0188/klagomålsmail/A 22157-2023 FSC-klagomål mail.docx", "A 22157-2023")</f>
        <v/>
      </c>
      <c r="X841">
        <f>HYPERLINK("https://klasma.github.io/Logging_0188/tillsyn/A 22157-2023 tillsynsbegäran.docx", "A 22157-2023")</f>
        <v/>
      </c>
      <c r="Y841">
        <f>HYPERLINK("https://klasma.github.io/Logging_0188/tillsynsmail/A 22157-2023 tillsynsbegäran mail.docx", "A 22157-2023")</f>
        <v/>
      </c>
    </row>
    <row r="842" ht="15" customHeight="1">
      <c r="A842" t="inlineStr">
        <is>
          <t>A 48633-2023</t>
        </is>
      </c>
      <c r="B842" s="1" t="n">
        <v>45208.58004629629</v>
      </c>
      <c r="C842" s="1" t="n">
        <v>46025</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47419-2023</t>
        </is>
      </c>
      <c r="B843" s="1" t="n">
        <v>45202.65660879629</v>
      </c>
      <c r="C843" s="1" t="n">
        <v>46025</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652-2025</t>
        </is>
      </c>
      <c r="B844" s="1" t="n">
        <v>45664</v>
      </c>
      <c r="C844" s="1" t="n">
        <v>46025</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10653-2022</t>
        </is>
      </c>
      <c r="B845" s="1" t="n">
        <v>44624.59434027778</v>
      </c>
      <c r="C845" s="1" t="n">
        <v>46025</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35695-2023</t>
        </is>
      </c>
      <c r="B846" s="1" t="n">
        <v>45147.65407407407</v>
      </c>
      <c r="C846" s="1" t="n">
        <v>46025</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18665-2022</t>
        </is>
      </c>
      <c r="B847" s="1" t="n">
        <v>44687</v>
      </c>
      <c r="C847" s="1" t="n">
        <v>46025</v>
      </c>
      <c r="D847" t="inlineStr">
        <is>
          <t>STOCKHOLMS LÄN</t>
        </is>
      </c>
      <c r="E847" t="inlineStr">
        <is>
          <t>NORRTÄLJE</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17574-2025</t>
        </is>
      </c>
      <c r="B848" s="1" t="n">
        <v>45757.65178240741</v>
      </c>
      <c r="C848" s="1" t="n">
        <v>46025</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20370-2025</t>
        </is>
      </c>
      <c r="B849" s="1" t="n">
        <v>45775.41451388889</v>
      </c>
      <c r="C849" s="1" t="n">
        <v>46025</v>
      </c>
      <c r="D849" t="inlineStr">
        <is>
          <t>STOCKHOLMS LÄN</t>
        </is>
      </c>
      <c r="E849" t="inlineStr">
        <is>
          <t>NORRTÄLJE</t>
        </is>
      </c>
      <c r="G849" t="n">
        <v>2.9</v>
      </c>
      <c r="H849" t="n">
        <v>0</v>
      </c>
      <c r="I849" t="n">
        <v>0</v>
      </c>
      <c r="J849" t="n">
        <v>0</v>
      </c>
      <c r="K849" t="n">
        <v>0</v>
      </c>
      <c r="L849" t="n">
        <v>0</v>
      </c>
      <c r="M849" t="n">
        <v>0</v>
      </c>
      <c r="N849" t="n">
        <v>0</v>
      </c>
      <c r="O849" t="n">
        <v>0</v>
      </c>
      <c r="P849" t="n">
        <v>0</v>
      </c>
      <c r="Q849" t="n">
        <v>0</v>
      </c>
      <c r="R849" s="2" t="inlineStr"/>
    </row>
    <row r="850" ht="15" customHeight="1">
      <c r="A850" t="inlineStr">
        <is>
          <t>A 19982-2022</t>
        </is>
      </c>
      <c r="B850" s="1" t="n">
        <v>44697</v>
      </c>
      <c r="C850" s="1" t="n">
        <v>46025</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35438-2023</t>
        </is>
      </c>
      <c r="B851" s="1" t="n">
        <v>45146</v>
      </c>
      <c r="C851" s="1" t="n">
        <v>46025</v>
      </c>
      <c r="D851" t="inlineStr">
        <is>
          <t>STOCKHOLMS LÄN</t>
        </is>
      </c>
      <c r="E851" t="inlineStr">
        <is>
          <t>NORRTÄLJE</t>
        </is>
      </c>
      <c r="F851" t="inlineStr">
        <is>
          <t>Kommuner</t>
        </is>
      </c>
      <c r="G851" t="n">
        <v>1.9</v>
      </c>
      <c r="H851" t="n">
        <v>0</v>
      </c>
      <c r="I851" t="n">
        <v>0</v>
      </c>
      <c r="J851" t="n">
        <v>0</v>
      </c>
      <c r="K851" t="n">
        <v>0</v>
      </c>
      <c r="L851" t="n">
        <v>0</v>
      </c>
      <c r="M851" t="n">
        <v>0</v>
      </c>
      <c r="N851" t="n">
        <v>0</v>
      </c>
      <c r="O851" t="n">
        <v>0</v>
      </c>
      <c r="P851" t="n">
        <v>0</v>
      </c>
      <c r="Q851" t="n">
        <v>0</v>
      </c>
      <c r="R851" s="2" t="inlineStr"/>
    </row>
    <row r="852" ht="15" customHeight="1">
      <c r="A852" t="inlineStr">
        <is>
          <t>A 33878-2024</t>
        </is>
      </c>
      <c r="B852" s="1" t="n">
        <v>45522.44414351852</v>
      </c>
      <c r="C852" s="1" t="n">
        <v>46025</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4183-2025</t>
        </is>
      </c>
      <c r="B853" s="1" t="n">
        <v>45685.44592592592</v>
      </c>
      <c r="C853" s="1" t="n">
        <v>46025</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17556-2025</t>
        </is>
      </c>
      <c r="B854" s="1" t="n">
        <v>45757.62482638889</v>
      </c>
      <c r="C854" s="1" t="n">
        <v>46025</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41335-2023</t>
        </is>
      </c>
      <c r="B855" s="1" t="n">
        <v>45174.68702546296</v>
      </c>
      <c r="C855" s="1" t="n">
        <v>46025</v>
      </c>
      <c r="D855" t="inlineStr">
        <is>
          <t>STOCKHOLMS LÄN</t>
        </is>
      </c>
      <c r="E855" t="inlineStr">
        <is>
          <t>NORRTÄLJE</t>
        </is>
      </c>
      <c r="F855" t="inlineStr">
        <is>
          <t>Holmen skog AB</t>
        </is>
      </c>
      <c r="G855" t="n">
        <v>4.4</v>
      </c>
      <c r="H855" t="n">
        <v>0</v>
      </c>
      <c r="I855" t="n">
        <v>0</v>
      </c>
      <c r="J855" t="n">
        <v>0</v>
      </c>
      <c r="K855" t="n">
        <v>0</v>
      </c>
      <c r="L855" t="n">
        <v>0</v>
      </c>
      <c r="M855" t="n">
        <v>0</v>
      </c>
      <c r="N855" t="n">
        <v>0</v>
      </c>
      <c r="O855" t="n">
        <v>0</v>
      </c>
      <c r="P855" t="n">
        <v>0</v>
      </c>
      <c r="Q855" t="n">
        <v>0</v>
      </c>
      <c r="R855" s="2" t="inlineStr"/>
    </row>
    <row r="856" ht="15" customHeight="1">
      <c r="A856" t="inlineStr">
        <is>
          <t>A 4484-2025</t>
        </is>
      </c>
      <c r="B856" s="1" t="n">
        <v>45686.65545138889</v>
      </c>
      <c r="C856" s="1" t="n">
        <v>46025</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8419-2025</t>
        </is>
      </c>
      <c r="B857" s="1" t="n">
        <v>45709.40231481481</v>
      </c>
      <c r="C857" s="1" t="n">
        <v>46025</v>
      </c>
      <c r="D857" t="inlineStr">
        <is>
          <t>STOCKHOLMS LÄN</t>
        </is>
      </c>
      <c r="E857" t="inlineStr">
        <is>
          <t>NORRTÄLJE</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21480-2022</t>
        </is>
      </c>
      <c r="B858" s="1" t="n">
        <v>44704</v>
      </c>
      <c r="C858" s="1" t="n">
        <v>46025</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1654-2025</t>
        </is>
      </c>
      <c r="B859" s="1" t="n">
        <v>45670.65921296296</v>
      </c>
      <c r="C859" s="1" t="n">
        <v>46025</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48686-2023</t>
        </is>
      </c>
      <c r="B860" s="1" t="n">
        <v>45208</v>
      </c>
      <c r="C860" s="1" t="n">
        <v>46025</v>
      </c>
      <c r="D860" t="inlineStr">
        <is>
          <t>STOCKHOLMS LÄN</t>
        </is>
      </c>
      <c r="E860" t="inlineStr">
        <is>
          <t>NORRTÄLJE</t>
        </is>
      </c>
      <c r="G860" t="n">
        <v>6</v>
      </c>
      <c r="H860" t="n">
        <v>0</v>
      </c>
      <c r="I860" t="n">
        <v>0</v>
      </c>
      <c r="J860" t="n">
        <v>0</v>
      </c>
      <c r="K860" t="n">
        <v>0</v>
      </c>
      <c r="L860" t="n">
        <v>0</v>
      </c>
      <c r="M860" t="n">
        <v>0</v>
      </c>
      <c r="N860" t="n">
        <v>0</v>
      </c>
      <c r="O860" t="n">
        <v>0</v>
      </c>
      <c r="P860" t="n">
        <v>0</v>
      </c>
      <c r="Q860" t="n">
        <v>0</v>
      </c>
      <c r="R860" s="2" t="inlineStr"/>
    </row>
    <row r="861" ht="15" customHeight="1">
      <c r="A861" t="inlineStr">
        <is>
          <t>A 48691-2023</t>
        </is>
      </c>
      <c r="B861" s="1" t="n">
        <v>45208</v>
      </c>
      <c r="C861" s="1" t="n">
        <v>46025</v>
      </c>
      <c r="D861" t="inlineStr">
        <is>
          <t>STOCKHOLMS LÄN</t>
        </is>
      </c>
      <c r="E861" t="inlineStr">
        <is>
          <t>NORRTÄLJE</t>
        </is>
      </c>
      <c r="G861" t="n">
        <v>5.8</v>
      </c>
      <c r="H861" t="n">
        <v>0</v>
      </c>
      <c r="I861" t="n">
        <v>0</v>
      </c>
      <c r="J861" t="n">
        <v>0</v>
      </c>
      <c r="K861" t="n">
        <v>0</v>
      </c>
      <c r="L861" t="n">
        <v>0</v>
      </c>
      <c r="M861" t="n">
        <v>0</v>
      </c>
      <c r="N861" t="n">
        <v>0</v>
      </c>
      <c r="O861" t="n">
        <v>0</v>
      </c>
      <c r="P861" t="n">
        <v>0</v>
      </c>
      <c r="Q861" t="n">
        <v>0</v>
      </c>
      <c r="R861" s="2" t="inlineStr"/>
    </row>
    <row r="862" ht="15" customHeight="1">
      <c r="A862" t="inlineStr">
        <is>
          <t>A 55243-2023</t>
        </is>
      </c>
      <c r="B862" s="1" t="n">
        <v>45237</v>
      </c>
      <c r="C862" s="1" t="n">
        <v>46025</v>
      </c>
      <c r="D862" t="inlineStr">
        <is>
          <t>STOCKHOLMS LÄN</t>
        </is>
      </c>
      <c r="E862" t="inlineStr">
        <is>
          <t>NORRTÄLJE</t>
        </is>
      </c>
      <c r="G862" t="n">
        <v>6.5</v>
      </c>
      <c r="H862" t="n">
        <v>0</v>
      </c>
      <c r="I862" t="n">
        <v>0</v>
      </c>
      <c r="J862" t="n">
        <v>0</v>
      </c>
      <c r="K862" t="n">
        <v>0</v>
      </c>
      <c r="L862" t="n">
        <v>0</v>
      </c>
      <c r="M862" t="n">
        <v>0</v>
      </c>
      <c r="N862" t="n">
        <v>0</v>
      </c>
      <c r="O862" t="n">
        <v>0</v>
      </c>
      <c r="P862" t="n">
        <v>0</v>
      </c>
      <c r="Q862" t="n">
        <v>0</v>
      </c>
      <c r="R862" s="2" t="inlineStr"/>
    </row>
    <row r="863" ht="15" customHeight="1">
      <c r="A863" t="inlineStr">
        <is>
          <t>A 35210-2023</t>
        </is>
      </c>
      <c r="B863" s="1" t="n">
        <v>45145.63584490741</v>
      </c>
      <c r="C863" s="1" t="n">
        <v>46025</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6678-2025</t>
        </is>
      </c>
      <c r="B864" s="1" t="n">
        <v>45700</v>
      </c>
      <c r="C864" s="1" t="n">
        <v>46025</v>
      </c>
      <c r="D864" t="inlineStr">
        <is>
          <t>STOCKHOLMS LÄN</t>
        </is>
      </c>
      <c r="E864" t="inlineStr">
        <is>
          <t>NORRTÄLJE</t>
        </is>
      </c>
      <c r="F864" t="inlineStr">
        <is>
          <t>Övriga Aktiebolag</t>
        </is>
      </c>
      <c r="G864" t="n">
        <v>6.6</v>
      </c>
      <c r="H864" t="n">
        <v>0</v>
      </c>
      <c r="I864" t="n">
        <v>0</v>
      </c>
      <c r="J864" t="n">
        <v>0</v>
      </c>
      <c r="K864" t="n">
        <v>0</v>
      </c>
      <c r="L864" t="n">
        <v>0</v>
      </c>
      <c r="M864" t="n">
        <v>0</v>
      </c>
      <c r="N864" t="n">
        <v>0</v>
      </c>
      <c r="O864" t="n">
        <v>0</v>
      </c>
      <c r="P864" t="n">
        <v>0</v>
      </c>
      <c r="Q864" t="n">
        <v>0</v>
      </c>
      <c r="R864" s="2" t="inlineStr"/>
    </row>
    <row r="865" ht="15" customHeight="1">
      <c r="A865" t="inlineStr">
        <is>
          <t>A 17612-2022</t>
        </is>
      </c>
      <c r="B865" s="1" t="n">
        <v>44680</v>
      </c>
      <c r="C865" s="1" t="n">
        <v>46025</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58297-2023</t>
        </is>
      </c>
      <c r="B866" s="1" t="n">
        <v>45245</v>
      </c>
      <c r="C866" s="1" t="n">
        <v>46025</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21726-2022</t>
        </is>
      </c>
      <c r="B867" s="1" t="n">
        <v>44708</v>
      </c>
      <c r="C867" s="1" t="n">
        <v>46025</v>
      </c>
      <c r="D867" t="inlineStr">
        <is>
          <t>STOCKHOLMS LÄN</t>
        </is>
      </c>
      <c r="E867" t="inlineStr">
        <is>
          <t>NORRTÄLJE</t>
        </is>
      </c>
      <c r="G867" t="n">
        <v>0.2</v>
      </c>
      <c r="H867" t="n">
        <v>0</v>
      </c>
      <c r="I867" t="n">
        <v>0</v>
      </c>
      <c r="J867" t="n">
        <v>0</v>
      </c>
      <c r="K867" t="n">
        <v>0</v>
      </c>
      <c r="L867" t="n">
        <v>0</v>
      </c>
      <c r="M867" t="n">
        <v>0</v>
      </c>
      <c r="N867" t="n">
        <v>0</v>
      </c>
      <c r="O867" t="n">
        <v>0</v>
      </c>
      <c r="P867" t="n">
        <v>0</v>
      </c>
      <c r="Q867" t="n">
        <v>0</v>
      </c>
      <c r="R867" s="2" t="inlineStr"/>
    </row>
    <row r="868" ht="15" customHeight="1">
      <c r="A868" t="inlineStr">
        <is>
          <t>A 21739-2022</t>
        </is>
      </c>
      <c r="B868" s="1" t="n">
        <v>44708.36708333333</v>
      </c>
      <c r="C868" s="1" t="n">
        <v>46025</v>
      </c>
      <c r="D868" t="inlineStr">
        <is>
          <t>STOCKHOLMS LÄN</t>
        </is>
      </c>
      <c r="E868" t="inlineStr">
        <is>
          <t>NORRTÄLJE</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28182-2022</t>
        </is>
      </c>
      <c r="B869" s="1" t="n">
        <v>44746.58530092592</v>
      </c>
      <c r="C869" s="1" t="n">
        <v>46025</v>
      </c>
      <c r="D869" t="inlineStr">
        <is>
          <t>STOCKHOLMS LÄN</t>
        </is>
      </c>
      <c r="E869" t="inlineStr">
        <is>
          <t>NORRTÄLJE</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3283-2025</t>
        </is>
      </c>
      <c r="B870" s="1" t="n">
        <v>45679</v>
      </c>
      <c r="C870" s="1" t="n">
        <v>46025</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18092-2022</t>
        </is>
      </c>
      <c r="B871" s="1" t="n">
        <v>44684</v>
      </c>
      <c r="C871" s="1" t="n">
        <v>46025</v>
      </c>
      <c r="D871" t="inlineStr">
        <is>
          <t>STOCKHOLMS LÄN</t>
        </is>
      </c>
      <c r="E871" t="inlineStr">
        <is>
          <t>NORRTÄLJE</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33295-2023</t>
        </is>
      </c>
      <c r="B872" s="1" t="n">
        <v>45127.69371527778</v>
      </c>
      <c r="C872" s="1" t="n">
        <v>46025</v>
      </c>
      <c r="D872" t="inlineStr">
        <is>
          <t>STOCKHOLMS LÄN</t>
        </is>
      </c>
      <c r="E872" t="inlineStr">
        <is>
          <t>NORRTÄLJE</t>
        </is>
      </c>
      <c r="F872" t="inlineStr">
        <is>
          <t>Holmen skog AB</t>
        </is>
      </c>
      <c r="G872" t="n">
        <v>2</v>
      </c>
      <c r="H872" t="n">
        <v>0</v>
      </c>
      <c r="I872" t="n">
        <v>0</v>
      </c>
      <c r="J872" t="n">
        <v>0</v>
      </c>
      <c r="K872" t="n">
        <v>0</v>
      </c>
      <c r="L872" t="n">
        <v>0</v>
      </c>
      <c r="M872" t="n">
        <v>0</v>
      </c>
      <c r="N872" t="n">
        <v>0</v>
      </c>
      <c r="O872" t="n">
        <v>0</v>
      </c>
      <c r="P872" t="n">
        <v>0</v>
      </c>
      <c r="Q872" t="n">
        <v>0</v>
      </c>
      <c r="R872" s="2" t="inlineStr"/>
    </row>
    <row r="873" ht="15" customHeight="1">
      <c r="A873" t="inlineStr">
        <is>
          <t>A 58404-2023</t>
        </is>
      </c>
      <c r="B873" s="1" t="n">
        <v>45245</v>
      </c>
      <c r="C873" s="1" t="n">
        <v>46025</v>
      </c>
      <c r="D873" t="inlineStr">
        <is>
          <t>STOCKHOLMS LÄN</t>
        </is>
      </c>
      <c r="E873" t="inlineStr">
        <is>
          <t>NORRTÄLJE</t>
        </is>
      </c>
      <c r="G873" t="n">
        <v>53.5</v>
      </c>
      <c r="H873" t="n">
        <v>0</v>
      </c>
      <c r="I873" t="n">
        <v>0</v>
      </c>
      <c r="J873" t="n">
        <v>0</v>
      </c>
      <c r="K873" t="n">
        <v>0</v>
      </c>
      <c r="L873" t="n">
        <v>0</v>
      </c>
      <c r="M873" t="n">
        <v>0</v>
      </c>
      <c r="N873" t="n">
        <v>0</v>
      </c>
      <c r="O873" t="n">
        <v>0</v>
      </c>
      <c r="P873" t="n">
        <v>0</v>
      </c>
      <c r="Q873" t="n">
        <v>0</v>
      </c>
      <c r="R873" s="2" t="inlineStr"/>
    </row>
    <row r="874" ht="15" customHeight="1">
      <c r="A874" t="inlineStr">
        <is>
          <t>A 27885-2022</t>
        </is>
      </c>
      <c r="B874" s="1" t="n">
        <v>44743.67418981482</v>
      </c>
      <c r="C874" s="1" t="n">
        <v>46025</v>
      </c>
      <c r="D874" t="inlineStr">
        <is>
          <t>STOCKHOLMS LÄN</t>
        </is>
      </c>
      <c r="E874" t="inlineStr">
        <is>
          <t>NORRTÄLJE</t>
        </is>
      </c>
      <c r="F874" t="inlineStr">
        <is>
          <t>Holmen skog AB</t>
        </is>
      </c>
      <c r="G874" t="n">
        <v>0.8</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46025</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48722-2023</t>
        </is>
      </c>
      <c r="B876" s="1" t="n">
        <v>45208.70996527778</v>
      </c>
      <c r="C876" s="1" t="n">
        <v>46025</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46025</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33353-2023</t>
        </is>
      </c>
      <c r="B878" s="1" t="n">
        <v>45128</v>
      </c>
      <c r="C878" s="1" t="n">
        <v>46025</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35708-2022</t>
        </is>
      </c>
      <c r="B879" s="1" t="n">
        <v>44799.65013888889</v>
      </c>
      <c r="C879" s="1" t="n">
        <v>46025</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3426-2025</t>
        </is>
      </c>
      <c r="B880" s="1" t="n">
        <v>45680.42665509259</v>
      </c>
      <c r="C880" s="1" t="n">
        <v>46025</v>
      </c>
      <c r="D880" t="inlineStr">
        <is>
          <t>STOCKHOLMS LÄN</t>
        </is>
      </c>
      <c r="E880" t="inlineStr">
        <is>
          <t>NORRTÄLJE</t>
        </is>
      </c>
      <c r="G880" t="n">
        <v>3.2</v>
      </c>
      <c r="H880" t="n">
        <v>0</v>
      </c>
      <c r="I880" t="n">
        <v>0</v>
      </c>
      <c r="J880" t="n">
        <v>0</v>
      </c>
      <c r="K880" t="n">
        <v>0</v>
      </c>
      <c r="L880" t="n">
        <v>0</v>
      </c>
      <c r="M880" t="n">
        <v>0</v>
      </c>
      <c r="N880" t="n">
        <v>0</v>
      </c>
      <c r="O880" t="n">
        <v>0</v>
      </c>
      <c r="P880" t="n">
        <v>0</v>
      </c>
      <c r="Q880" t="n">
        <v>0</v>
      </c>
      <c r="R880" s="2" t="inlineStr"/>
    </row>
    <row r="881" ht="15" customHeight="1">
      <c r="A881" t="inlineStr">
        <is>
          <t>A 9-2024</t>
        </is>
      </c>
      <c r="B881" s="1" t="n">
        <v>45293</v>
      </c>
      <c r="C881" s="1" t="n">
        <v>46025</v>
      </c>
      <c r="D881" t="inlineStr">
        <is>
          <t>STOCKHOLMS LÄN</t>
        </is>
      </c>
      <c r="E881" t="inlineStr">
        <is>
          <t>NORRTÄLJE</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51312-2023</t>
        </is>
      </c>
      <c r="B882" s="1" t="n">
        <v>45219.56697916667</v>
      </c>
      <c r="C882" s="1" t="n">
        <v>46025</v>
      </c>
      <c r="D882" t="inlineStr">
        <is>
          <t>STOCKHOLMS LÄN</t>
        </is>
      </c>
      <c r="E882" t="inlineStr">
        <is>
          <t>NORRTÄLJE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11849-2025</t>
        </is>
      </c>
      <c r="B883" s="1" t="n">
        <v>45728.38409722222</v>
      </c>
      <c r="C883" s="1" t="n">
        <v>46025</v>
      </c>
      <c r="D883" t="inlineStr">
        <is>
          <t>STOCKHOLMS LÄN</t>
        </is>
      </c>
      <c r="E883" t="inlineStr">
        <is>
          <t>NORRTÄLJE</t>
        </is>
      </c>
      <c r="G883" t="n">
        <v>1.7</v>
      </c>
      <c r="H883" t="n">
        <v>0</v>
      </c>
      <c r="I883" t="n">
        <v>0</v>
      </c>
      <c r="J883" t="n">
        <v>0</v>
      </c>
      <c r="K883" t="n">
        <v>0</v>
      </c>
      <c r="L883" t="n">
        <v>0</v>
      </c>
      <c r="M883" t="n">
        <v>0</v>
      </c>
      <c r="N883" t="n">
        <v>0</v>
      </c>
      <c r="O883" t="n">
        <v>0</v>
      </c>
      <c r="P883" t="n">
        <v>0</v>
      </c>
      <c r="Q883" t="n">
        <v>0</v>
      </c>
      <c r="R883" s="2" t="inlineStr"/>
    </row>
    <row r="884" ht="15" customHeight="1">
      <c r="A884" t="inlineStr">
        <is>
          <t>A 38610-2022</t>
        </is>
      </c>
      <c r="B884" s="1" t="n">
        <v>44813.59915509259</v>
      </c>
      <c r="C884" s="1" t="n">
        <v>46025</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22816-2021</t>
        </is>
      </c>
      <c r="B885" s="1" t="n">
        <v>44325</v>
      </c>
      <c r="C885" s="1" t="n">
        <v>46025</v>
      </c>
      <c r="D885" t="inlineStr">
        <is>
          <t>STOCKHOLMS LÄN</t>
        </is>
      </c>
      <c r="E885" t="inlineStr">
        <is>
          <t>NORRTÄLJE</t>
        </is>
      </c>
      <c r="G885" t="n">
        <v>4.5</v>
      </c>
      <c r="H885" t="n">
        <v>0</v>
      </c>
      <c r="I885" t="n">
        <v>0</v>
      </c>
      <c r="J885" t="n">
        <v>0</v>
      </c>
      <c r="K885" t="n">
        <v>0</v>
      </c>
      <c r="L885" t="n">
        <v>0</v>
      </c>
      <c r="M885" t="n">
        <v>0</v>
      </c>
      <c r="N885" t="n">
        <v>0</v>
      </c>
      <c r="O885" t="n">
        <v>0</v>
      </c>
      <c r="P885" t="n">
        <v>0</v>
      </c>
      <c r="Q885" t="n">
        <v>0</v>
      </c>
      <c r="R885" s="2" t="inlineStr"/>
    </row>
    <row r="886" ht="15" customHeight="1">
      <c r="A886" t="inlineStr">
        <is>
          <t>A 59468-2023</t>
        </is>
      </c>
      <c r="B886" s="1" t="n">
        <v>45254.41509259259</v>
      </c>
      <c r="C886" s="1" t="n">
        <v>46025</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18846-2022</t>
        </is>
      </c>
      <c r="B887" s="1" t="n">
        <v>44690</v>
      </c>
      <c r="C887" s="1" t="n">
        <v>46025</v>
      </c>
      <c r="D887" t="inlineStr">
        <is>
          <t>STOCKHOLMS LÄN</t>
        </is>
      </c>
      <c r="E887" t="inlineStr">
        <is>
          <t>NORRTÄLJE</t>
        </is>
      </c>
      <c r="G887" t="n">
        <v>7</v>
      </c>
      <c r="H887" t="n">
        <v>0</v>
      </c>
      <c r="I887" t="n">
        <v>0</v>
      </c>
      <c r="J887" t="n">
        <v>0</v>
      </c>
      <c r="K887" t="n">
        <v>0</v>
      </c>
      <c r="L887" t="n">
        <v>0</v>
      </c>
      <c r="M887" t="n">
        <v>0</v>
      </c>
      <c r="N887" t="n">
        <v>0</v>
      </c>
      <c r="O887" t="n">
        <v>0</v>
      </c>
      <c r="P887" t="n">
        <v>0</v>
      </c>
      <c r="Q887" t="n">
        <v>0</v>
      </c>
      <c r="R887" s="2" t="inlineStr"/>
    </row>
    <row r="888" ht="15" customHeight="1">
      <c r="A888" t="inlineStr">
        <is>
          <t>A 12535-2025</t>
        </is>
      </c>
      <c r="B888" s="1" t="n">
        <v>45730.69502314815</v>
      </c>
      <c r="C888" s="1" t="n">
        <v>46025</v>
      </c>
      <c r="D888" t="inlineStr">
        <is>
          <t>STOCKHOLMS LÄN</t>
        </is>
      </c>
      <c r="E888" t="inlineStr">
        <is>
          <t>NORRTÄLJE</t>
        </is>
      </c>
      <c r="G888" t="n">
        <v>7.1</v>
      </c>
      <c r="H888" t="n">
        <v>0</v>
      </c>
      <c r="I888" t="n">
        <v>0</v>
      </c>
      <c r="J888" t="n">
        <v>0</v>
      </c>
      <c r="K888" t="n">
        <v>0</v>
      </c>
      <c r="L888" t="n">
        <v>0</v>
      </c>
      <c r="M888" t="n">
        <v>0</v>
      </c>
      <c r="N888" t="n">
        <v>0</v>
      </c>
      <c r="O888" t="n">
        <v>0</v>
      </c>
      <c r="P888" t="n">
        <v>0</v>
      </c>
      <c r="Q888" t="n">
        <v>0</v>
      </c>
      <c r="R888" s="2" t="inlineStr"/>
    </row>
    <row r="889" ht="15" customHeight="1">
      <c r="A889" t="inlineStr">
        <is>
          <t>A 574-2023</t>
        </is>
      </c>
      <c r="B889" s="1" t="n">
        <v>44925</v>
      </c>
      <c r="C889" s="1" t="n">
        <v>46025</v>
      </c>
      <c r="D889" t="inlineStr">
        <is>
          <t>STOCKHOLMS LÄN</t>
        </is>
      </c>
      <c r="E889" t="inlineStr">
        <is>
          <t>NORRTÄLJE</t>
        </is>
      </c>
      <c r="G889" t="n">
        <v>5</v>
      </c>
      <c r="H889" t="n">
        <v>0</v>
      </c>
      <c r="I889" t="n">
        <v>0</v>
      </c>
      <c r="J889" t="n">
        <v>0</v>
      </c>
      <c r="K889" t="n">
        <v>0</v>
      </c>
      <c r="L889" t="n">
        <v>0</v>
      </c>
      <c r="M889" t="n">
        <v>0</v>
      </c>
      <c r="N889" t="n">
        <v>0</v>
      </c>
      <c r="O889" t="n">
        <v>0</v>
      </c>
      <c r="P889" t="n">
        <v>0</v>
      </c>
      <c r="Q889" t="n">
        <v>0</v>
      </c>
      <c r="R889" s="2" t="inlineStr"/>
    </row>
    <row r="890" ht="15" customHeight="1">
      <c r="A890" t="inlineStr">
        <is>
          <t>A 37010-2022</t>
        </is>
      </c>
      <c r="B890" s="1" t="n">
        <v>44806.41576388889</v>
      </c>
      <c r="C890" s="1" t="n">
        <v>46025</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32705-2022</t>
        </is>
      </c>
      <c r="B891" s="1" t="n">
        <v>44783</v>
      </c>
      <c r="C891" s="1" t="n">
        <v>46025</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33149-2022</t>
        </is>
      </c>
      <c r="B892" s="1" t="n">
        <v>44785</v>
      </c>
      <c r="C892" s="1" t="n">
        <v>46025</v>
      </c>
      <c r="D892" t="inlineStr">
        <is>
          <t>STOCKHOLMS LÄN</t>
        </is>
      </c>
      <c r="E892" t="inlineStr">
        <is>
          <t>NORRTÄLJE</t>
        </is>
      </c>
      <c r="F892" t="inlineStr">
        <is>
          <t>Holmen skog AB</t>
        </is>
      </c>
      <c r="G892" t="n">
        <v>4.4</v>
      </c>
      <c r="H892" t="n">
        <v>0</v>
      </c>
      <c r="I892" t="n">
        <v>0</v>
      </c>
      <c r="J892" t="n">
        <v>0</v>
      </c>
      <c r="K892" t="n">
        <v>0</v>
      </c>
      <c r="L892" t="n">
        <v>0</v>
      </c>
      <c r="M892" t="n">
        <v>0</v>
      </c>
      <c r="N892" t="n">
        <v>0</v>
      </c>
      <c r="O892" t="n">
        <v>0</v>
      </c>
      <c r="P892" t="n">
        <v>0</v>
      </c>
      <c r="Q892" t="n">
        <v>0</v>
      </c>
      <c r="R892" s="2" t="inlineStr"/>
    </row>
    <row r="893" ht="15" customHeight="1">
      <c r="A893" t="inlineStr">
        <is>
          <t>A 14559-2024</t>
        </is>
      </c>
      <c r="B893" s="1" t="n">
        <v>45394.72869212963</v>
      </c>
      <c r="C893" s="1" t="n">
        <v>46025</v>
      </c>
      <c r="D893" t="inlineStr">
        <is>
          <t>STOCKHOLMS LÄN</t>
        </is>
      </c>
      <c r="E893" t="inlineStr">
        <is>
          <t>NORRTÄLJE</t>
        </is>
      </c>
      <c r="G893" t="n">
        <v>4.2</v>
      </c>
      <c r="H893" t="n">
        <v>0</v>
      </c>
      <c r="I893" t="n">
        <v>0</v>
      </c>
      <c r="J893" t="n">
        <v>0</v>
      </c>
      <c r="K893" t="n">
        <v>0</v>
      </c>
      <c r="L893" t="n">
        <v>0</v>
      </c>
      <c r="M893" t="n">
        <v>0</v>
      </c>
      <c r="N893" t="n">
        <v>0</v>
      </c>
      <c r="O893" t="n">
        <v>0</v>
      </c>
      <c r="P893" t="n">
        <v>0</v>
      </c>
      <c r="Q893" t="n">
        <v>0</v>
      </c>
      <c r="R893" s="2" t="inlineStr"/>
    </row>
    <row r="894" ht="15" customHeight="1">
      <c r="A894" t="inlineStr">
        <is>
          <t>A 11-2024</t>
        </is>
      </c>
      <c r="B894" s="1" t="n">
        <v>45293</v>
      </c>
      <c r="C894" s="1" t="n">
        <v>46025</v>
      </c>
      <c r="D894" t="inlineStr">
        <is>
          <t>STOCKHOLMS LÄN</t>
        </is>
      </c>
      <c r="E894" t="inlineStr">
        <is>
          <t>NORRTÄLJE</t>
        </is>
      </c>
      <c r="F894" t="inlineStr">
        <is>
          <t>Sveaskog</t>
        </is>
      </c>
      <c r="G894" t="n">
        <v>3.2</v>
      </c>
      <c r="H894" t="n">
        <v>0</v>
      </c>
      <c r="I894" t="n">
        <v>0</v>
      </c>
      <c r="J894" t="n">
        <v>0</v>
      </c>
      <c r="K894" t="n">
        <v>0</v>
      </c>
      <c r="L894" t="n">
        <v>0</v>
      </c>
      <c r="M894" t="n">
        <v>0</v>
      </c>
      <c r="N894" t="n">
        <v>0</v>
      </c>
      <c r="O894" t="n">
        <v>0</v>
      </c>
      <c r="P894" t="n">
        <v>0</v>
      </c>
      <c r="Q894" t="n">
        <v>0</v>
      </c>
      <c r="R894" s="2" t="inlineStr"/>
    </row>
    <row r="895" ht="15" customHeight="1">
      <c r="A895" t="inlineStr">
        <is>
          <t>A 15256-2023</t>
        </is>
      </c>
      <c r="B895" s="1" t="n">
        <v>45019.3959837963</v>
      </c>
      <c r="C895" s="1" t="n">
        <v>46025</v>
      </c>
      <c r="D895" t="inlineStr">
        <is>
          <t>STOCKHOLMS LÄN</t>
        </is>
      </c>
      <c r="E895" t="inlineStr">
        <is>
          <t>NORRTÄLJE</t>
        </is>
      </c>
      <c r="G895" t="n">
        <v>2.4</v>
      </c>
      <c r="H895" t="n">
        <v>0</v>
      </c>
      <c r="I895" t="n">
        <v>0</v>
      </c>
      <c r="J895" t="n">
        <v>0</v>
      </c>
      <c r="K895" t="n">
        <v>0</v>
      </c>
      <c r="L895" t="n">
        <v>0</v>
      </c>
      <c r="M895" t="n">
        <v>0</v>
      </c>
      <c r="N895" t="n">
        <v>0</v>
      </c>
      <c r="O895" t="n">
        <v>0</v>
      </c>
      <c r="P895" t="n">
        <v>0</v>
      </c>
      <c r="Q895" t="n">
        <v>0</v>
      </c>
      <c r="R895" s="2" t="inlineStr"/>
    </row>
    <row r="896" ht="15" customHeight="1">
      <c r="A896" t="inlineStr">
        <is>
          <t>A 7413-2024</t>
        </is>
      </c>
      <c r="B896" s="1" t="n">
        <v>45345.6059837963</v>
      </c>
      <c r="C896" s="1" t="n">
        <v>46025</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58040-2024</t>
        </is>
      </c>
      <c r="B897" s="1" t="n">
        <v>45631.73952546297</v>
      </c>
      <c r="C897" s="1" t="n">
        <v>46025</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58041-2024</t>
        </is>
      </c>
      <c r="B898" s="1" t="n">
        <v>45631.74673611111</v>
      </c>
      <c r="C898" s="1" t="n">
        <v>46025</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31057-2022</t>
        </is>
      </c>
      <c r="B899" s="1" t="n">
        <v>44769</v>
      </c>
      <c r="C899" s="1" t="n">
        <v>46025</v>
      </c>
      <c r="D899" t="inlineStr">
        <is>
          <t>STOCKHOLMS LÄN</t>
        </is>
      </c>
      <c r="E899" t="inlineStr">
        <is>
          <t>NORRTÄLJE</t>
        </is>
      </c>
      <c r="G899" t="n">
        <v>6.5</v>
      </c>
      <c r="H899" t="n">
        <v>0</v>
      </c>
      <c r="I899" t="n">
        <v>0</v>
      </c>
      <c r="J899" t="n">
        <v>0</v>
      </c>
      <c r="K899" t="n">
        <v>0</v>
      </c>
      <c r="L899" t="n">
        <v>0</v>
      </c>
      <c r="M899" t="n">
        <v>0</v>
      </c>
      <c r="N899" t="n">
        <v>0</v>
      </c>
      <c r="O899" t="n">
        <v>0</v>
      </c>
      <c r="P899" t="n">
        <v>0</v>
      </c>
      <c r="Q899" t="n">
        <v>0</v>
      </c>
      <c r="R899" s="2" t="inlineStr"/>
    </row>
    <row r="900" ht="15" customHeight="1">
      <c r="A900" t="inlineStr">
        <is>
          <t>A 3143-2021</t>
        </is>
      </c>
      <c r="B900" s="1" t="n">
        <v>44217.40149305556</v>
      </c>
      <c r="C900" s="1" t="n">
        <v>46025</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25619-2022</t>
        </is>
      </c>
      <c r="B901" s="1" t="n">
        <v>44732</v>
      </c>
      <c r="C901" s="1" t="n">
        <v>46025</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15422-2024</t>
        </is>
      </c>
      <c r="B902" s="1" t="n">
        <v>45401.3653125</v>
      </c>
      <c r="C902" s="1" t="n">
        <v>46025</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48716-2023</t>
        </is>
      </c>
      <c r="B903" s="1" t="n">
        <v>45208.69671296296</v>
      </c>
      <c r="C903" s="1" t="n">
        <v>46025</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55369-2023</t>
        </is>
      </c>
      <c r="B904" s="1" t="n">
        <v>45238</v>
      </c>
      <c r="C904" s="1" t="n">
        <v>46025</v>
      </c>
      <c r="D904" t="inlineStr">
        <is>
          <t>STOCKHOLMS LÄN</t>
        </is>
      </c>
      <c r="E904" t="inlineStr">
        <is>
          <t>NORRTÄLJE</t>
        </is>
      </c>
      <c r="G904" t="n">
        <v>0.4</v>
      </c>
      <c r="H904" t="n">
        <v>0</v>
      </c>
      <c r="I904" t="n">
        <v>0</v>
      </c>
      <c r="J904" t="n">
        <v>0</v>
      </c>
      <c r="K904" t="n">
        <v>0</v>
      </c>
      <c r="L904" t="n">
        <v>0</v>
      </c>
      <c r="M904" t="n">
        <v>0</v>
      </c>
      <c r="N904" t="n">
        <v>0</v>
      </c>
      <c r="O904" t="n">
        <v>0</v>
      </c>
      <c r="P904" t="n">
        <v>0</v>
      </c>
      <c r="Q904" t="n">
        <v>0</v>
      </c>
      <c r="R904" s="2" t="inlineStr"/>
    </row>
    <row r="905" ht="15" customHeight="1">
      <c r="A905" t="inlineStr">
        <is>
          <t>A 20121-2022</t>
        </is>
      </c>
      <c r="B905" s="1" t="n">
        <v>44698</v>
      </c>
      <c r="C905" s="1" t="n">
        <v>46025</v>
      </c>
      <c r="D905" t="inlineStr">
        <is>
          <t>STOCKHOLMS LÄN</t>
        </is>
      </c>
      <c r="E905" t="inlineStr">
        <is>
          <t>NORRTÄLJE</t>
        </is>
      </c>
      <c r="G905" t="n">
        <v>4.2</v>
      </c>
      <c r="H905" t="n">
        <v>0</v>
      </c>
      <c r="I905" t="n">
        <v>0</v>
      </c>
      <c r="J905" t="n">
        <v>0</v>
      </c>
      <c r="K905" t="n">
        <v>0</v>
      </c>
      <c r="L905" t="n">
        <v>0</v>
      </c>
      <c r="M905" t="n">
        <v>0</v>
      </c>
      <c r="N905" t="n">
        <v>0</v>
      </c>
      <c r="O905" t="n">
        <v>0</v>
      </c>
      <c r="P905" t="n">
        <v>0</v>
      </c>
      <c r="Q905" t="n">
        <v>0</v>
      </c>
      <c r="R905" s="2" t="inlineStr"/>
    </row>
    <row r="906" ht="15" customHeight="1">
      <c r="A906" t="inlineStr">
        <is>
          <t>A 26407-2024</t>
        </is>
      </c>
      <c r="B906" s="1" t="n">
        <v>45469</v>
      </c>
      <c r="C906" s="1" t="n">
        <v>46025</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10098-2022</t>
        </is>
      </c>
      <c r="B907" s="1" t="n">
        <v>44621</v>
      </c>
      <c r="C907" s="1" t="n">
        <v>46025</v>
      </c>
      <c r="D907" t="inlineStr">
        <is>
          <t>STOCKHOLMS LÄN</t>
        </is>
      </c>
      <c r="E907" t="inlineStr">
        <is>
          <t>NORRTÄLJE</t>
        </is>
      </c>
      <c r="G907" t="n">
        <v>2.2</v>
      </c>
      <c r="H907" t="n">
        <v>0</v>
      </c>
      <c r="I907" t="n">
        <v>0</v>
      </c>
      <c r="J907" t="n">
        <v>0</v>
      </c>
      <c r="K907" t="n">
        <v>0</v>
      </c>
      <c r="L907" t="n">
        <v>0</v>
      </c>
      <c r="M907" t="n">
        <v>0</v>
      </c>
      <c r="N907" t="n">
        <v>0</v>
      </c>
      <c r="O907" t="n">
        <v>0</v>
      </c>
      <c r="P907" t="n">
        <v>0</v>
      </c>
      <c r="Q907" t="n">
        <v>0</v>
      </c>
      <c r="R907" s="2" t="inlineStr"/>
    </row>
    <row r="908" ht="15" customHeight="1">
      <c r="A908" t="inlineStr">
        <is>
          <t>A 49700-2023</t>
        </is>
      </c>
      <c r="B908" s="1" t="n">
        <v>45212</v>
      </c>
      <c r="C908" s="1" t="n">
        <v>46025</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59875-2024</t>
        </is>
      </c>
      <c r="B909" s="1" t="n">
        <v>45640.58716435185</v>
      </c>
      <c r="C909" s="1" t="n">
        <v>46025</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45220-2024</t>
        </is>
      </c>
      <c r="B910" s="1" t="n">
        <v>45575</v>
      </c>
      <c r="C910" s="1" t="n">
        <v>46025</v>
      </c>
      <c r="D910" t="inlineStr">
        <is>
          <t>STOCKHOLMS LÄN</t>
        </is>
      </c>
      <c r="E910" t="inlineStr">
        <is>
          <t>NORRTÄLJE</t>
        </is>
      </c>
      <c r="G910" t="n">
        <v>4.3</v>
      </c>
      <c r="H910" t="n">
        <v>0</v>
      </c>
      <c r="I910" t="n">
        <v>0</v>
      </c>
      <c r="J910" t="n">
        <v>0</v>
      </c>
      <c r="K910" t="n">
        <v>0</v>
      </c>
      <c r="L910" t="n">
        <v>0</v>
      </c>
      <c r="M910" t="n">
        <v>0</v>
      </c>
      <c r="N910" t="n">
        <v>0</v>
      </c>
      <c r="O910" t="n">
        <v>0</v>
      </c>
      <c r="P910" t="n">
        <v>0</v>
      </c>
      <c r="Q910" t="n">
        <v>0</v>
      </c>
      <c r="R910" s="2" t="inlineStr"/>
    </row>
    <row r="911" ht="15" customHeight="1">
      <c r="A911" t="inlineStr">
        <is>
          <t>A 4658-2024</t>
        </is>
      </c>
      <c r="B911" s="1" t="n">
        <v>45328.46336805556</v>
      </c>
      <c r="C911" s="1" t="n">
        <v>46025</v>
      </c>
      <c r="D911" t="inlineStr">
        <is>
          <t>STOCKHOLMS LÄN</t>
        </is>
      </c>
      <c r="E911" t="inlineStr">
        <is>
          <t>NORRTÄLJE</t>
        </is>
      </c>
      <c r="G911" t="n">
        <v>2.8</v>
      </c>
      <c r="H911" t="n">
        <v>0</v>
      </c>
      <c r="I911" t="n">
        <v>0</v>
      </c>
      <c r="J911" t="n">
        <v>0</v>
      </c>
      <c r="K911" t="n">
        <v>0</v>
      </c>
      <c r="L911" t="n">
        <v>0</v>
      </c>
      <c r="M911" t="n">
        <v>0</v>
      </c>
      <c r="N911" t="n">
        <v>0</v>
      </c>
      <c r="O911" t="n">
        <v>0</v>
      </c>
      <c r="P911" t="n">
        <v>0</v>
      </c>
      <c r="Q911" t="n">
        <v>0</v>
      </c>
      <c r="R911" s="2" t="inlineStr"/>
    </row>
    <row r="912" ht="15" customHeight="1">
      <c r="A912" t="inlineStr">
        <is>
          <t>A 48145-2024</t>
        </is>
      </c>
      <c r="B912" s="1" t="n">
        <v>45589.6756712963</v>
      </c>
      <c r="C912" s="1" t="n">
        <v>46025</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10642-2025</t>
        </is>
      </c>
      <c r="B913" s="1" t="n">
        <v>45721.65858796296</v>
      </c>
      <c r="C913" s="1" t="n">
        <v>46025</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24024-2024</t>
        </is>
      </c>
      <c r="B914" s="1" t="n">
        <v>45456</v>
      </c>
      <c r="C914" s="1" t="n">
        <v>46025</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35532-2024</t>
        </is>
      </c>
      <c r="B915" s="1" t="n">
        <v>45531</v>
      </c>
      <c r="C915" s="1" t="n">
        <v>46025</v>
      </c>
      <c r="D915" t="inlineStr">
        <is>
          <t>STOCKHOLMS LÄN</t>
        </is>
      </c>
      <c r="E915" t="inlineStr">
        <is>
          <t>NORRTÄLJE</t>
        </is>
      </c>
      <c r="G915" t="n">
        <v>2.3</v>
      </c>
      <c r="H915" t="n">
        <v>0</v>
      </c>
      <c r="I915" t="n">
        <v>0</v>
      </c>
      <c r="J915" t="n">
        <v>0</v>
      </c>
      <c r="K915" t="n">
        <v>0</v>
      </c>
      <c r="L915" t="n">
        <v>0</v>
      </c>
      <c r="M915" t="n">
        <v>0</v>
      </c>
      <c r="N915" t="n">
        <v>0</v>
      </c>
      <c r="O915" t="n">
        <v>0</v>
      </c>
      <c r="P915" t="n">
        <v>0</v>
      </c>
      <c r="Q915" t="n">
        <v>0</v>
      </c>
      <c r="R915" s="2" t="inlineStr"/>
    </row>
    <row r="916" ht="15" customHeight="1">
      <c r="A916" t="inlineStr">
        <is>
          <t>A 21291-2021</t>
        </is>
      </c>
      <c r="B916" s="1" t="n">
        <v>44319</v>
      </c>
      <c r="C916" s="1" t="n">
        <v>46025</v>
      </c>
      <c r="D916" t="inlineStr">
        <is>
          <t>STOCKHOLMS LÄN</t>
        </is>
      </c>
      <c r="E916" t="inlineStr">
        <is>
          <t>NORRTÄLJE</t>
        </is>
      </c>
      <c r="G916" t="n">
        <v>12.7</v>
      </c>
      <c r="H916" t="n">
        <v>0</v>
      </c>
      <c r="I916" t="n">
        <v>0</v>
      </c>
      <c r="J916" t="n">
        <v>0</v>
      </c>
      <c r="K916" t="n">
        <v>0</v>
      </c>
      <c r="L916" t="n">
        <v>0</v>
      </c>
      <c r="M916" t="n">
        <v>0</v>
      </c>
      <c r="N916" t="n">
        <v>0</v>
      </c>
      <c r="O916" t="n">
        <v>0</v>
      </c>
      <c r="P916" t="n">
        <v>0</v>
      </c>
      <c r="Q916" t="n">
        <v>0</v>
      </c>
      <c r="R916" s="2" t="inlineStr"/>
    </row>
    <row r="917" ht="15" customHeight="1">
      <c r="A917" t="inlineStr">
        <is>
          <t>A 19118-2022</t>
        </is>
      </c>
      <c r="B917" s="1" t="n">
        <v>44691.5652662037</v>
      </c>
      <c r="C917" s="1" t="n">
        <v>46025</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22421-2021</t>
        </is>
      </c>
      <c r="B918" s="1" t="n">
        <v>44326</v>
      </c>
      <c r="C918" s="1" t="n">
        <v>46025</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59893-2022</t>
        </is>
      </c>
      <c r="B919" s="1" t="n">
        <v>44908.77368055555</v>
      </c>
      <c r="C919" s="1" t="n">
        <v>46025</v>
      </c>
      <c r="D919" t="inlineStr">
        <is>
          <t>STOCKHOLMS LÄN</t>
        </is>
      </c>
      <c r="E919" t="inlineStr">
        <is>
          <t>NORRTÄLJE</t>
        </is>
      </c>
      <c r="G919" t="n">
        <v>3</v>
      </c>
      <c r="H919" t="n">
        <v>0</v>
      </c>
      <c r="I919" t="n">
        <v>0</v>
      </c>
      <c r="J919" t="n">
        <v>0</v>
      </c>
      <c r="K919" t="n">
        <v>0</v>
      </c>
      <c r="L919" t="n">
        <v>0</v>
      </c>
      <c r="M919" t="n">
        <v>0</v>
      </c>
      <c r="N919" t="n">
        <v>0</v>
      </c>
      <c r="O919" t="n">
        <v>0</v>
      </c>
      <c r="P919" t="n">
        <v>0</v>
      </c>
      <c r="Q919" t="n">
        <v>0</v>
      </c>
      <c r="R919" s="2" t="inlineStr"/>
    </row>
    <row r="920" ht="15" customHeight="1">
      <c r="A920" t="inlineStr">
        <is>
          <t>A 9469-2021</t>
        </is>
      </c>
      <c r="B920" s="1" t="n">
        <v>44251</v>
      </c>
      <c r="C920" s="1" t="n">
        <v>46025</v>
      </c>
      <c r="D920" t="inlineStr">
        <is>
          <t>STOCKHOLMS LÄN</t>
        </is>
      </c>
      <c r="E920" t="inlineStr">
        <is>
          <t>NORRTÄLJE</t>
        </is>
      </c>
      <c r="G920" t="n">
        <v>2.5</v>
      </c>
      <c r="H920" t="n">
        <v>0</v>
      </c>
      <c r="I920" t="n">
        <v>0</v>
      </c>
      <c r="J920" t="n">
        <v>0</v>
      </c>
      <c r="K920" t="n">
        <v>0</v>
      </c>
      <c r="L920" t="n">
        <v>0</v>
      </c>
      <c r="M920" t="n">
        <v>0</v>
      </c>
      <c r="N920" t="n">
        <v>0</v>
      </c>
      <c r="O920" t="n">
        <v>0</v>
      </c>
      <c r="P920" t="n">
        <v>0</v>
      </c>
      <c r="Q920" t="n">
        <v>0</v>
      </c>
      <c r="R920" s="2" t="inlineStr"/>
    </row>
    <row r="921" ht="15" customHeight="1">
      <c r="A921" t="inlineStr">
        <is>
          <t>A 33226-2024</t>
        </is>
      </c>
      <c r="B921" s="1" t="n">
        <v>45518</v>
      </c>
      <c r="C921" s="1" t="n">
        <v>46025</v>
      </c>
      <c r="D921" t="inlineStr">
        <is>
          <t>STOCKHOLMS LÄN</t>
        </is>
      </c>
      <c r="E921" t="inlineStr">
        <is>
          <t>NORRTÄLJE</t>
        </is>
      </c>
      <c r="G921" t="n">
        <v>13.8</v>
      </c>
      <c r="H921" t="n">
        <v>0</v>
      </c>
      <c r="I921" t="n">
        <v>0</v>
      </c>
      <c r="J921" t="n">
        <v>0</v>
      </c>
      <c r="K921" t="n">
        <v>0</v>
      </c>
      <c r="L921" t="n">
        <v>0</v>
      </c>
      <c r="M921" t="n">
        <v>0</v>
      </c>
      <c r="N921" t="n">
        <v>0</v>
      </c>
      <c r="O921" t="n">
        <v>0</v>
      </c>
      <c r="P921" t="n">
        <v>0</v>
      </c>
      <c r="Q921" t="n">
        <v>0</v>
      </c>
      <c r="R921" s="2" t="inlineStr"/>
    </row>
    <row r="922" ht="15" customHeight="1">
      <c r="A922" t="inlineStr">
        <is>
          <t>A 16980-2023</t>
        </is>
      </c>
      <c r="B922" s="1" t="n">
        <v>45033</v>
      </c>
      <c r="C922" s="1" t="n">
        <v>46025</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31107-2022</t>
        </is>
      </c>
      <c r="B923" s="1" t="n">
        <v>44769.66864583334</v>
      </c>
      <c r="C923" s="1" t="n">
        <v>46025</v>
      </c>
      <c r="D923" t="inlineStr">
        <is>
          <t>STOCKHOLMS LÄN</t>
        </is>
      </c>
      <c r="E923" t="inlineStr">
        <is>
          <t>NORRTÄLJE</t>
        </is>
      </c>
      <c r="G923" t="n">
        <v>3.8</v>
      </c>
      <c r="H923" t="n">
        <v>0</v>
      </c>
      <c r="I923" t="n">
        <v>0</v>
      </c>
      <c r="J923" t="n">
        <v>0</v>
      </c>
      <c r="K923" t="n">
        <v>0</v>
      </c>
      <c r="L923" t="n">
        <v>0</v>
      </c>
      <c r="M923" t="n">
        <v>0</v>
      </c>
      <c r="N923" t="n">
        <v>0</v>
      </c>
      <c r="O923" t="n">
        <v>0</v>
      </c>
      <c r="P923" t="n">
        <v>0</v>
      </c>
      <c r="Q923" t="n">
        <v>0</v>
      </c>
      <c r="R923" s="2" t="inlineStr"/>
    </row>
    <row r="924" ht="15" customHeight="1">
      <c r="A924" t="inlineStr">
        <is>
          <t>A 18539-2021</t>
        </is>
      </c>
      <c r="B924" s="1" t="n">
        <v>44306</v>
      </c>
      <c r="C924" s="1" t="n">
        <v>46025</v>
      </c>
      <c r="D924" t="inlineStr">
        <is>
          <t>STOCKHOLMS LÄN</t>
        </is>
      </c>
      <c r="E924" t="inlineStr">
        <is>
          <t>NORRTÄLJE</t>
        </is>
      </c>
      <c r="F924" t="inlineStr">
        <is>
          <t>Holmen skog AB</t>
        </is>
      </c>
      <c r="G924" t="n">
        <v>5.5</v>
      </c>
      <c r="H924" t="n">
        <v>0</v>
      </c>
      <c r="I924" t="n">
        <v>0</v>
      </c>
      <c r="J924" t="n">
        <v>0</v>
      </c>
      <c r="K924" t="n">
        <v>0</v>
      </c>
      <c r="L924" t="n">
        <v>0</v>
      </c>
      <c r="M924" t="n">
        <v>0</v>
      </c>
      <c r="N924" t="n">
        <v>0</v>
      </c>
      <c r="O924" t="n">
        <v>0</v>
      </c>
      <c r="P924" t="n">
        <v>0</v>
      </c>
      <c r="Q924" t="n">
        <v>0</v>
      </c>
      <c r="R924" s="2" t="inlineStr"/>
    </row>
    <row r="925" ht="15" customHeight="1">
      <c r="A925" t="inlineStr">
        <is>
          <t>A 43170-2023</t>
        </is>
      </c>
      <c r="B925" s="1" t="n">
        <v>45183</v>
      </c>
      <c r="C925" s="1" t="n">
        <v>46025</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47626-2022</t>
        </is>
      </c>
      <c r="B926" s="1" t="n">
        <v>44854</v>
      </c>
      <c r="C926" s="1" t="n">
        <v>46025</v>
      </c>
      <c r="D926" t="inlineStr">
        <is>
          <t>STOCKHOLMS LÄN</t>
        </is>
      </c>
      <c r="E926" t="inlineStr">
        <is>
          <t>NORRTÄLJE</t>
        </is>
      </c>
      <c r="G926" t="n">
        <v>2</v>
      </c>
      <c r="H926" t="n">
        <v>0</v>
      </c>
      <c r="I926" t="n">
        <v>0</v>
      </c>
      <c r="J926" t="n">
        <v>0</v>
      </c>
      <c r="K926" t="n">
        <v>0</v>
      </c>
      <c r="L926" t="n">
        <v>0</v>
      </c>
      <c r="M926" t="n">
        <v>0</v>
      </c>
      <c r="N926" t="n">
        <v>0</v>
      </c>
      <c r="O926" t="n">
        <v>0</v>
      </c>
      <c r="P926" t="n">
        <v>0</v>
      </c>
      <c r="Q926" t="n">
        <v>0</v>
      </c>
      <c r="R926" s="2" t="inlineStr"/>
    </row>
    <row r="927" ht="15" customHeight="1">
      <c r="A927" t="inlineStr">
        <is>
          <t>A 32101-2022</t>
        </is>
      </c>
      <c r="B927" s="1" t="n">
        <v>44778.69210648148</v>
      </c>
      <c r="C927" s="1" t="n">
        <v>46025</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28365-2022</t>
        </is>
      </c>
      <c r="B928" s="1" t="n">
        <v>44747</v>
      </c>
      <c r="C928" s="1" t="n">
        <v>46025</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42867-2022</t>
        </is>
      </c>
      <c r="B929" s="1" t="n">
        <v>44832</v>
      </c>
      <c r="C929" s="1" t="n">
        <v>46025</v>
      </c>
      <c r="D929" t="inlineStr">
        <is>
          <t>STOCKHOLMS LÄN</t>
        </is>
      </c>
      <c r="E929" t="inlineStr">
        <is>
          <t>NORRTÄLJE</t>
        </is>
      </c>
      <c r="G929" t="n">
        <v>6.4</v>
      </c>
      <c r="H929" t="n">
        <v>0</v>
      </c>
      <c r="I929" t="n">
        <v>0</v>
      </c>
      <c r="J929" t="n">
        <v>0</v>
      </c>
      <c r="K929" t="n">
        <v>0</v>
      </c>
      <c r="L929" t="n">
        <v>0</v>
      </c>
      <c r="M929" t="n">
        <v>0</v>
      </c>
      <c r="N929" t="n">
        <v>0</v>
      </c>
      <c r="O929" t="n">
        <v>0</v>
      </c>
      <c r="P929" t="n">
        <v>0</v>
      </c>
      <c r="Q929" t="n">
        <v>0</v>
      </c>
      <c r="R929" s="2" t="inlineStr"/>
    </row>
    <row r="930" ht="15" customHeight="1">
      <c r="A930" t="inlineStr">
        <is>
          <t>A 5645-2023</t>
        </is>
      </c>
      <c r="B930" s="1" t="n">
        <v>44960.60469907407</v>
      </c>
      <c r="C930" s="1" t="n">
        <v>46025</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17775-2022</t>
        </is>
      </c>
      <c r="B931" s="1" t="n">
        <v>44682.78430555556</v>
      </c>
      <c r="C931" s="1" t="n">
        <v>46025</v>
      </c>
      <c r="D931" t="inlineStr">
        <is>
          <t>STOCKHOLMS LÄN</t>
        </is>
      </c>
      <c r="E931" t="inlineStr">
        <is>
          <t>NORRTÄLJE</t>
        </is>
      </c>
      <c r="G931" t="n">
        <v>4.7</v>
      </c>
      <c r="H931" t="n">
        <v>0</v>
      </c>
      <c r="I931" t="n">
        <v>0</v>
      </c>
      <c r="J931" t="n">
        <v>0</v>
      </c>
      <c r="K931" t="n">
        <v>0</v>
      </c>
      <c r="L931" t="n">
        <v>0</v>
      </c>
      <c r="M931" t="n">
        <v>0</v>
      </c>
      <c r="N931" t="n">
        <v>0</v>
      </c>
      <c r="O931" t="n">
        <v>0</v>
      </c>
      <c r="P931" t="n">
        <v>0</v>
      </c>
      <c r="Q931" t="n">
        <v>0</v>
      </c>
      <c r="R931" s="2" t="inlineStr"/>
    </row>
    <row r="932" ht="15" customHeight="1">
      <c r="A932" t="inlineStr">
        <is>
          <t>A 9703-2021</t>
        </is>
      </c>
      <c r="B932" s="1" t="n">
        <v>44252</v>
      </c>
      <c r="C932" s="1" t="n">
        <v>46025</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47481-2024</t>
        </is>
      </c>
      <c r="B933" s="1" t="n">
        <v>45587</v>
      </c>
      <c r="C933" s="1" t="n">
        <v>46025</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24933-2023</t>
        </is>
      </c>
      <c r="B934" s="1" t="n">
        <v>45085.5309375</v>
      </c>
      <c r="C934" s="1" t="n">
        <v>46025</v>
      </c>
      <c r="D934" t="inlineStr">
        <is>
          <t>STOCKHOLMS LÄN</t>
        </is>
      </c>
      <c r="E934" t="inlineStr">
        <is>
          <t>NORRTÄLJE</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11062-2024</t>
        </is>
      </c>
      <c r="B935" s="1" t="n">
        <v>45370</v>
      </c>
      <c r="C935" s="1" t="n">
        <v>46025</v>
      </c>
      <c r="D935" t="inlineStr">
        <is>
          <t>STOCKHOLMS LÄN</t>
        </is>
      </c>
      <c r="E935" t="inlineStr">
        <is>
          <t>NORRTÄLJE</t>
        </is>
      </c>
      <c r="G935" t="n">
        <v>3.2</v>
      </c>
      <c r="H935" t="n">
        <v>0</v>
      </c>
      <c r="I935" t="n">
        <v>0</v>
      </c>
      <c r="J935" t="n">
        <v>0</v>
      </c>
      <c r="K935" t="n">
        <v>0</v>
      </c>
      <c r="L935" t="n">
        <v>0</v>
      </c>
      <c r="M935" t="n">
        <v>0</v>
      </c>
      <c r="N935" t="n">
        <v>0</v>
      </c>
      <c r="O935" t="n">
        <v>0</v>
      </c>
      <c r="P935" t="n">
        <v>0</v>
      </c>
      <c r="Q935" t="n">
        <v>0</v>
      </c>
      <c r="R935" s="2" t="inlineStr"/>
    </row>
    <row r="936" ht="15" customHeight="1">
      <c r="A936" t="inlineStr">
        <is>
          <t>A 576-2023</t>
        </is>
      </c>
      <c r="B936" s="1" t="n">
        <v>44925</v>
      </c>
      <c r="C936" s="1" t="n">
        <v>46025</v>
      </c>
      <c r="D936" t="inlineStr">
        <is>
          <t>STOCKHOLMS LÄN</t>
        </is>
      </c>
      <c r="E936" t="inlineStr">
        <is>
          <t>NORRTÄLJE</t>
        </is>
      </c>
      <c r="G936" t="n">
        <v>7.2</v>
      </c>
      <c r="H936" t="n">
        <v>0</v>
      </c>
      <c r="I936" t="n">
        <v>0</v>
      </c>
      <c r="J936" t="n">
        <v>0</v>
      </c>
      <c r="K936" t="n">
        <v>0</v>
      </c>
      <c r="L936" t="n">
        <v>0</v>
      </c>
      <c r="M936" t="n">
        <v>0</v>
      </c>
      <c r="N936" t="n">
        <v>0</v>
      </c>
      <c r="O936" t="n">
        <v>0</v>
      </c>
      <c r="P936" t="n">
        <v>0</v>
      </c>
      <c r="Q936" t="n">
        <v>0</v>
      </c>
      <c r="R936" s="2" t="inlineStr"/>
    </row>
    <row r="937" ht="15" customHeight="1">
      <c r="A937" t="inlineStr">
        <is>
          <t>A 12908-2025</t>
        </is>
      </c>
      <c r="B937" s="1" t="n">
        <v>45733.82105324074</v>
      </c>
      <c r="C937" s="1" t="n">
        <v>46025</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68361-2021</t>
        </is>
      </c>
      <c r="B938" s="1" t="n">
        <v>44528.91494212963</v>
      </c>
      <c r="C938" s="1" t="n">
        <v>46025</v>
      </c>
      <c r="D938" t="inlineStr">
        <is>
          <t>STOCKHOLMS LÄN</t>
        </is>
      </c>
      <c r="E938" t="inlineStr">
        <is>
          <t>NORRTÄLJE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50469-2022</t>
        </is>
      </c>
      <c r="B939" s="1" t="n">
        <v>44866.49827546296</v>
      </c>
      <c r="C939" s="1" t="n">
        <v>46025</v>
      </c>
      <c r="D939" t="inlineStr">
        <is>
          <t>STOCKHOLMS LÄN</t>
        </is>
      </c>
      <c r="E939" t="inlineStr">
        <is>
          <t>NORRTÄLJE</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41976-2024</t>
        </is>
      </c>
      <c r="B940" s="1" t="n">
        <v>45561.62141203704</v>
      </c>
      <c r="C940" s="1" t="n">
        <v>46025</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62206-2022</t>
        </is>
      </c>
      <c r="B941" s="1" t="n">
        <v>44922</v>
      </c>
      <c r="C941" s="1" t="n">
        <v>46025</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30886-2022</t>
        </is>
      </c>
      <c r="B942" s="1" t="n">
        <v>44767.60601851852</v>
      </c>
      <c r="C942" s="1" t="n">
        <v>46025</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58989-2021</t>
        </is>
      </c>
      <c r="B943" s="1" t="n">
        <v>44490.02482638889</v>
      </c>
      <c r="C943" s="1" t="n">
        <v>46025</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58990-2021</t>
        </is>
      </c>
      <c r="B944" s="1" t="n">
        <v>44490.03621527777</v>
      </c>
      <c r="C944" s="1" t="n">
        <v>46025</v>
      </c>
      <c r="D944" t="inlineStr">
        <is>
          <t>STOCKHOLMS LÄN</t>
        </is>
      </c>
      <c r="E944" t="inlineStr">
        <is>
          <t>NORRTÄLJE</t>
        </is>
      </c>
      <c r="G944" t="n">
        <v>4.2</v>
      </c>
      <c r="H944" t="n">
        <v>0</v>
      </c>
      <c r="I944" t="n">
        <v>0</v>
      </c>
      <c r="J944" t="n">
        <v>0</v>
      </c>
      <c r="K944" t="n">
        <v>0</v>
      </c>
      <c r="L944" t="n">
        <v>0</v>
      </c>
      <c r="M944" t="n">
        <v>0</v>
      </c>
      <c r="N944" t="n">
        <v>0</v>
      </c>
      <c r="O944" t="n">
        <v>0</v>
      </c>
      <c r="P944" t="n">
        <v>0</v>
      </c>
      <c r="Q944" t="n">
        <v>0</v>
      </c>
      <c r="R944" s="2" t="inlineStr"/>
    </row>
    <row r="945" ht="15" customHeight="1">
      <c r="A945" t="inlineStr">
        <is>
          <t>A 11940-2023</t>
        </is>
      </c>
      <c r="B945" s="1" t="n">
        <v>44995</v>
      </c>
      <c r="C945" s="1" t="n">
        <v>46025</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29266-2022</t>
        </is>
      </c>
      <c r="B946" s="1" t="n">
        <v>44750.66068287037</v>
      </c>
      <c r="C946" s="1" t="n">
        <v>46025</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29278-2022</t>
        </is>
      </c>
      <c r="B947" s="1" t="n">
        <v>44750</v>
      </c>
      <c r="C947" s="1" t="n">
        <v>46025</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6401-2024</t>
        </is>
      </c>
      <c r="B948" s="1" t="n">
        <v>45338</v>
      </c>
      <c r="C948" s="1" t="n">
        <v>46025</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24501-2023</t>
        </is>
      </c>
      <c r="B949" s="1" t="n">
        <v>45082</v>
      </c>
      <c r="C949" s="1" t="n">
        <v>46025</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24520-2023</t>
        </is>
      </c>
      <c r="B950" s="1" t="n">
        <v>45082.68922453704</v>
      </c>
      <c r="C950" s="1" t="n">
        <v>46025</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31281-2022</t>
        </is>
      </c>
      <c r="B951" s="1" t="n">
        <v>44771</v>
      </c>
      <c r="C951" s="1" t="n">
        <v>46025</v>
      </c>
      <c r="D951" t="inlineStr">
        <is>
          <t>STOCKHOLMS LÄN</t>
        </is>
      </c>
      <c r="E951" t="inlineStr">
        <is>
          <t>NORRTÄLJE</t>
        </is>
      </c>
      <c r="F951" t="inlineStr">
        <is>
          <t>Holmen skog AB</t>
        </is>
      </c>
      <c r="G951" t="n">
        <v>5.2</v>
      </c>
      <c r="H951" t="n">
        <v>0</v>
      </c>
      <c r="I951" t="n">
        <v>0</v>
      </c>
      <c r="J951" t="n">
        <v>0</v>
      </c>
      <c r="K951" t="n">
        <v>0</v>
      </c>
      <c r="L951" t="n">
        <v>0</v>
      </c>
      <c r="M951" t="n">
        <v>0</v>
      </c>
      <c r="N951" t="n">
        <v>0</v>
      </c>
      <c r="O951" t="n">
        <v>0</v>
      </c>
      <c r="P951" t="n">
        <v>0</v>
      </c>
      <c r="Q951" t="n">
        <v>0</v>
      </c>
      <c r="R951" s="2" t="inlineStr"/>
    </row>
    <row r="952" ht="15" customHeight="1">
      <c r="A952" t="inlineStr">
        <is>
          <t>A 38612-2022</t>
        </is>
      </c>
      <c r="B952" s="1" t="n">
        <v>44813</v>
      </c>
      <c r="C952" s="1" t="n">
        <v>46025</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33040-2021</t>
        </is>
      </c>
      <c r="B953" s="1" t="n">
        <v>44376.50728009259</v>
      </c>
      <c r="C953" s="1" t="n">
        <v>46025</v>
      </c>
      <c r="D953" t="inlineStr">
        <is>
          <t>STOCKHOLMS LÄN</t>
        </is>
      </c>
      <c r="E953" t="inlineStr">
        <is>
          <t>NORRTÄLJE</t>
        </is>
      </c>
      <c r="G953" t="n">
        <v>2.7</v>
      </c>
      <c r="H953" t="n">
        <v>0</v>
      </c>
      <c r="I953" t="n">
        <v>0</v>
      </c>
      <c r="J953" t="n">
        <v>0</v>
      </c>
      <c r="K953" t="n">
        <v>0</v>
      </c>
      <c r="L953" t="n">
        <v>0</v>
      </c>
      <c r="M953" t="n">
        <v>0</v>
      </c>
      <c r="N953" t="n">
        <v>0</v>
      </c>
      <c r="O953" t="n">
        <v>0</v>
      </c>
      <c r="P953" t="n">
        <v>0</v>
      </c>
      <c r="Q953" t="n">
        <v>0</v>
      </c>
      <c r="R953" s="2" t="inlineStr"/>
    </row>
    <row r="954" ht="15" customHeight="1">
      <c r="A954" t="inlineStr">
        <is>
          <t>A 26117-2024</t>
        </is>
      </c>
      <c r="B954" s="1" t="n">
        <v>45468.45877314815</v>
      </c>
      <c r="C954" s="1" t="n">
        <v>46025</v>
      </c>
      <c r="D954" t="inlineStr">
        <is>
          <t>STOCKHOLMS LÄN</t>
        </is>
      </c>
      <c r="E954" t="inlineStr">
        <is>
          <t>NORRTÄLJE</t>
        </is>
      </c>
      <c r="G954" t="n">
        <v>2.4</v>
      </c>
      <c r="H954" t="n">
        <v>0</v>
      </c>
      <c r="I954" t="n">
        <v>0</v>
      </c>
      <c r="J954" t="n">
        <v>0</v>
      </c>
      <c r="K954" t="n">
        <v>0</v>
      </c>
      <c r="L954" t="n">
        <v>0</v>
      </c>
      <c r="M954" t="n">
        <v>0</v>
      </c>
      <c r="N954" t="n">
        <v>0</v>
      </c>
      <c r="O954" t="n">
        <v>0</v>
      </c>
      <c r="P954" t="n">
        <v>0</v>
      </c>
      <c r="Q954" t="n">
        <v>0</v>
      </c>
      <c r="R954" s="2" t="inlineStr"/>
    </row>
    <row r="955" ht="15" customHeight="1">
      <c r="A955" t="inlineStr">
        <is>
          <t>A 61113-2023</t>
        </is>
      </c>
      <c r="B955" s="1" t="n">
        <v>45261</v>
      </c>
      <c r="C955" s="1" t="n">
        <v>46025</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60822-2023</t>
        </is>
      </c>
      <c r="B956" s="1" t="n">
        <v>45259</v>
      </c>
      <c r="C956" s="1" t="n">
        <v>46025</v>
      </c>
      <c r="D956" t="inlineStr">
        <is>
          <t>STOCKHOLMS LÄN</t>
        </is>
      </c>
      <c r="E956" t="inlineStr">
        <is>
          <t>NORRTÄLJE</t>
        </is>
      </c>
      <c r="G956" t="n">
        <v>5.2</v>
      </c>
      <c r="H956" t="n">
        <v>0</v>
      </c>
      <c r="I956" t="n">
        <v>0</v>
      </c>
      <c r="J956" t="n">
        <v>0</v>
      </c>
      <c r="K956" t="n">
        <v>0</v>
      </c>
      <c r="L956" t="n">
        <v>0</v>
      </c>
      <c r="M956" t="n">
        <v>0</v>
      </c>
      <c r="N956" t="n">
        <v>0</v>
      </c>
      <c r="O956" t="n">
        <v>0</v>
      </c>
      <c r="P956" t="n">
        <v>0</v>
      </c>
      <c r="Q956" t="n">
        <v>0</v>
      </c>
      <c r="R956" s="2" t="inlineStr"/>
    </row>
    <row r="957" ht="15" customHeight="1">
      <c r="A957" t="inlineStr">
        <is>
          <t>A 59310-2023</t>
        </is>
      </c>
      <c r="B957" s="1" t="n">
        <v>45253.61146990741</v>
      </c>
      <c r="C957" s="1" t="n">
        <v>46025</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20343-2024</t>
        </is>
      </c>
      <c r="B958" s="1" t="n">
        <v>45435.43466435185</v>
      </c>
      <c r="C958" s="1" t="n">
        <v>46025</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20345-2024</t>
        </is>
      </c>
      <c r="B959" s="1" t="n">
        <v>45435.43820601852</v>
      </c>
      <c r="C959" s="1" t="n">
        <v>46025</v>
      </c>
      <c r="D959" t="inlineStr">
        <is>
          <t>STOCKHOLMS LÄN</t>
        </is>
      </c>
      <c r="E959" t="inlineStr">
        <is>
          <t>NORRTÄLJE</t>
        </is>
      </c>
      <c r="G959" t="n">
        <v>3.8</v>
      </c>
      <c r="H959" t="n">
        <v>0</v>
      </c>
      <c r="I959" t="n">
        <v>0</v>
      </c>
      <c r="J959" t="n">
        <v>0</v>
      </c>
      <c r="K959" t="n">
        <v>0</v>
      </c>
      <c r="L959" t="n">
        <v>0</v>
      </c>
      <c r="M959" t="n">
        <v>0</v>
      </c>
      <c r="N959" t="n">
        <v>0</v>
      </c>
      <c r="O959" t="n">
        <v>0</v>
      </c>
      <c r="P959" t="n">
        <v>0</v>
      </c>
      <c r="Q959" t="n">
        <v>0</v>
      </c>
      <c r="R959" s="2" t="inlineStr"/>
    </row>
    <row r="960" ht="15" customHeight="1">
      <c r="A960" t="inlineStr">
        <is>
          <t>A 55010-2024</t>
        </is>
      </c>
      <c r="B960" s="1" t="n">
        <v>45621.34425925926</v>
      </c>
      <c r="C960" s="1" t="n">
        <v>46025</v>
      </c>
      <c r="D960" t="inlineStr">
        <is>
          <t>STOCKHOLMS LÄN</t>
        </is>
      </c>
      <c r="E960" t="inlineStr">
        <is>
          <t>NORRTÄLJE</t>
        </is>
      </c>
      <c r="F960" t="inlineStr">
        <is>
          <t>Sveaskog</t>
        </is>
      </c>
      <c r="G960" t="n">
        <v>5.7</v>
      </c>
      <c r="H960" t="n">
        <v>0</v>
      </c>
      <c r="I960" t="n">
        <v>0</v>
      </c>
      <c r="J960" t="n">
        <v>0</v>
      </c>
      <c r="K960" t="n">
        <v>0</v>
      </c>
      <c r="L960" t="n">
        <v>0</v>
      </c>
      <c r="M960" t="n">
        <v>0</v>
      </c>
      <c r="N960" t="n">
        <v>0</v>
      </c>
      <c r="O960" t="n">
        <v>0</v>
      </c>
      <c r="P960" t="n">
        <v>0</v>
      </c>
      <c r="Q960" t="n">
        <v>0</v>
      </c>
      <c r="R960" s="2" t="inlineStr"/>
    </row>
    <row r="961" ht="15" customHeight="1">
      <c r="A961" t="inlineStr">
        <is>
          <t>A 55018-2024</t>
        </is>
      </c>
      <c r="B961" s="1" t="n">
        <v>45621.35712962963</v>
      </c>
      <c r="C961" s="1" t="n">
        <v>46025</v>
      </c>
      <c r="D961" t="inlineStr">
        <is>
          <t>STOCKHOLMS LÄN</t>
        </is>
      </c>
      <c r="E961" t="inlineStr">
        <is>
          <t>NORRTÄLJE</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50113-2024</t>
        </is>
      </c>
      <c r="B962" s="1" t="n">
        <v>45600.411875</v>
      </c>
      <c r="C962" s="1" t="n">
        <v>46025</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20336-2024</t>
        </is>
      </c>
      <c r="B963" s="1" t="n">
        <v>45435.43123842592</v>
      </c>
      <c r="C963" s="1" t="n">
        <v>46025</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64899-2023</t>
        </is>
      </c>
      <c r="B964" s="1" t="n">
        <v>45282</v>
      </c>
      <c r="C964" s="1" t="n">
        <v>46025</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1847-2023</t>
        </is>
      </c>
      <c r="B965" s="1" t="n">
        <v>44938</v>
      </c>
      <c r="C965" s="1" t="n">
        <v>46025</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11122-2021</t>
        </is>
      </c>
      <c r="B966" s="1" t="n">
        <v>44260</v>
      </c>
      <c r="C966" s="1" t="n">
        <v>46025</v>
      </c>
      <c r="D966" t="inlineStr">
        <is>
          <t>STOCKHOLMS LÄN</t>
        </is>
      </c>
      <c r="E966" t="inlineStr">
        <is>
          <t>NORRTÄLJE</t>
        </is>
      </c>
      <c r="F966" t="inlineStr">
        <is>
          <t>Holmen skog AB</t>
        </is>
      </c>
      <c r="G966" t="n">
        <v>2.1</v>
      </c>
      <c r="H966" t="n">
        <v>0</v>
      </c>
      <c r="I966" t="n">
        <v>0</v>
      </c>
      <c r="J966" t="n">
        <v>0</v>
      </c>
      <c r="K966" t="n">
        <v>0</v>
      </c>
      <c r="L966" t="n">
        <v>0</v>
      </c>
      <c r="M966" t="n">
        <v>0</v>
      </c>
      <c r="N966" t="n">
        <v>0</v>
      </c>
      <c r="O966" t="n">
        <v>0</v>
      </c>
      <c r="P966" t="n">
        <v>0</v>
      </c>
      <c r="Q966" t="n">
        <v>0</v>
      </c>
      <c r="R966" s="2" t="inlineStr"/>
    </row>
    <row r="967" ht="15" customHeight="1">
      <c r="A967" t="inlineStr">
        <is>
          <t>A 29362-2022</t>
        </is>
      </c>
      <c r="B967" s="1" t="n">
        <v>44753</v>
      </c>
      <c r="C967" s="1" t="n">
        <v>46025</v>
      </c>
      <c r="D967" t="inlineStr">
        <is>
          <t>STOCKHOLMS LÄN</t>
        </is>
      </c>
      <c r="E967" t="inlineStr">
        <is>
          <t>NORRTÄLJE</t>
        </is>
      </c>
      <c r="G967" t="n">
        <v>3.8</v>
      </c>
      <c r="H967" t="n">
        <v>0</v>
      </c>
      <c r="I967" t="n">
        <v>0</v>
      </c>
      <c r="J967" t="n">
        <v>0</v>
      </c>
      <c r="K967" t="n">
        <v>0</v>
      </c>
      <c r="L967" t="n">
        <v>0</v>
      </c>
      <c r="M967" t="n">
        <v>0</v>
      </c>
      <c r="N967" t="n">
        <v>0</v>
      </c>
      <c r="O967" t="n">
        <v>0</v>
      </c>
      <c r="P967" t="n">
        <v>0</v>
      </c>
      <c r="Q967" t="n">
        <v>0</v>
      </c>
      <c r="R967" s="2" t="inlineStr"/>
    </row>
    <row r="968" ht="15" customHeight="1">
      <c r="A968" t="inlineStr">
        <is>
          <t>A 20291-2022</t>
        </is>
      </c>
      <c r="B968" s="1" t="n">
        <v>44698</v>
      </c>
      <c r="C968" s="1" t="n">
        <v>46025</v>
      </c>
      <c r="D968" t="inlineStr">
        <is>
          <t>STOCKHOLMS LÄN</t>
        </is>
      </c>
      <c r="E968" t="inlineStr">
        <is>
          <t>NORRTÄLJE</t>
        </is>
      </c>
      <c r="F968" t="inlineStr">
        <is>
          <t>Naturvårdsverket</t>
        </is>
      </c>
      <c r="G968" t="n">
        <v>2</v>
      </c>
      <c r="H968" t="n">
        <v>0</v>
      </c>
      <c r="I968" t="n">
        <v>0</v>
      </c>
      <c r="J968" t="n">
        <v>0</v>
      </c>
      <c r="K968" t="n">
        <v>0</v>
      </c>
      <c r="L968" t="n">
        <v>0</v>
      </c>
      <c r="M968" t="n">
        <v>0</v>
      </c>
      <c r="N968" t="n">
        <v>0</v>
      </c>
      <c r="O968" t="n">
        <v>0</v>
      </c>
      <c r="P968" t="n">
        <v>0</v>
      </c>
      <c r="Q968" t="n">
        <v>0</v>
      </c>
      <c r="R968" s="2" t="inlineStr"/>
    </row>
    <row r="969" ht="15" customHeight="1">
      <c r="A969" t="inlineStr">
        <is>
          <t>A 12302-2025</t>
        </is>
      </c>
      <c r="B969" s="1" t="n">
        <v>45729.72851851852</v>
      </c>
      <c r="C969" s="1" t="n">
        <v>46025</v>
      </c>
      <c r="D969" t="inlineStr">
        <is>
          <t>STOCKHOLMS LÄN</t>
        </is>
      </c>
      <c r="E969" t="inlineStr">
        <is>
          <t>NORRTÄLJE</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31926-2022</t>
        </is>
      </c>
      <c r="B970" s="1" t="n">
        <v>44777</v>
      </c>
      <c r="C970" s="1" t="n">
        <v>46025</v>
      </c>
      <c r="D970" t="inlineStr">
        <is>
          <t>STOCKHOLMS LÄN</t>
        </is>
      </c>
      <c r="E970" t="inlineStr">
        <is>
          <t>NORRTÄLJE</t>
        </is>
      </c>
      <c r="G970" t="n">
        <v>5.2</v>
      </c>
      <c r="H970" t="n">
        <v>0</v>
      </c>
      <c r="I970" t="n">
        <v>0</v>
      </c>
      <c r="J970" t="n">
        <v>0</v>
      </c>
      <c r="K970" t="n">
        <v>0</v>
      </c>
      <c r="L970" t="n">
        <v>0</v>
      </c>
      <c r="M970" t="n">
        <v>0</v>
      </c>
      <c r="N970" t="n">
        <v>0</v>
      </c>
      <c r="O970" t="n">
        <v>0</v>
      </c>
      <c r="P970" t="n">
        <v>0</v>
      </c>
      <c r="Q970" t="n">
        <v>0</v>
      </c>
      <c r="R970" s="2" t="inlineStr"/>
    </row>
    <row r="971" ht="15" customHeight="1">
      <c r="A971" t="inlineStr">
        <is>
          <t>A 1425-2025</t>
        </is>
      </c>
      <c r="B971" s="1" t="n">
        <v>45668.67446759259</v>
      </c>
      <c r="C971" s="1" t="n">
        <v>46025</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1453-2025</t>
        </is>
      </c>
      <c r="B972" s="1" t="n">
        <v>45670.3079050926</v>
      </c>
      <c r="C972" s="1" t="n">
        <v>46025</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3386-2021</t>
        </is>
      </c>
      <c r="B973" s="1" t="n">
        <v>44218</v>
      </c>
      <c r="C973" s="1" t="n">
        <v>46025</v>
      </c>
      <c r="D973" t="inlineStr">
        <is>
          <t>STOCKHOLMS LÄN</t>
        </is>
      </c>
      <c r="E973" t="inlineStr">
        <is>
          <t>NORRTÄLJE</t>
        </is>
      </c>
      <c r="G973" t="n">
        <v>8</v>
      </c>
      <c r="H973" t="n">
        <v>0</v>
      </c>
      <c r="I973" t="n">
        <v>0</v>
      </c>
      <c r="J973" t="n">
        <v>0</v>
      </c>
      <c r="K973" t="n">
        <v>0</v>
      </c>
      <c r="L973" t="n">
        <v>0</v>
      </c>
      <c r="M973" t="n">
        <v>0</v>
      </c>
      <c r="N973" t="n">
        <v>0</v>
      </c>
      <c r="O973" t="n">
        <v>0</v>
      </c>
      <c r="P973" t="n">
        <v>0</v>
      </c>
      <c r="Q973" t="n">
        <v>0</v>
      </c>
      <c r="R973" s="2" t="inlineStr"/>
    </row>
    <row r="974" ht="15" customHeight="1">
      <c r="A974" t="inlineStr">
        <is>
          <t>A 13860-2023</t>
        </is>
      </c>
      <c r="B974" s="1" t="n">
        <v>45007</v>
      </c>
      <c r="C974" s="1" t="n">
        <v>46025</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6070-2022</t>
        </is>
      </c>
      <c r="B975" s="1" t="n">
        <v>44599.58428240741</v>
      </c>
      <c r="C975" s="1" t="n">
        <v>46025</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9130-2025</t>
        </is>
      </c>
      <c r="B976" s="1" t="n">
        <v>45713.92623842593</v>
      </c>
      <c r="C976" s="1" t="n">
        <v>46025</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27828-2022</t>
        </is>
      </c>
      <c r="B977" s="1" t="n">
        <v>44743.59765046297</v>
      </c>
      <c r="C977" s="1" t="n">
        <v>46025</v>
      </c>
      <c r="D977" t="inlineStr">
        <is>
          <t>STOCKHOLMS LÄN</t>
        </is>
      </c>
      <c r="E977" t="inlineStr">
        <is>
          <t>NORRTÄLJE</t>
        </is>
      </c>
      <c r="F977" t="inlineStr">
        <is>
          <t>Kommuner</t>
        </is>
      </c>
      <c r="G977" t="n">
        <v>1.6</v>
      </c>
      <c r="H977" t="n">
        <v>0</v>
      </c>
      <c r="I977" t="n">
        <v>0</v>
      </c>
      <c r="J977" t="n">
        <v>0</v>
      </c>
      <c r="K977" t="n">
        <v>0</v>
      </c>
      <c r="L977" t="n">
        <v>0</v>
      </c>
      <c r="M977" t="n">
        <v>0</v>
      </c>
      <c r="N977" t="n">
        <v>0</v>
      </c>
      <c r="O977" t="n">
        <v>0</v>
      </c>
      <c r="P977" t="n">
        <v>0</v>
      </c>
      <c r="Q977" t="n">
        <v>0</v>
      </c>
      <c r="R977" s="2" t="inlineStr"/>
    </row>
    <row r="978" ht="15" customHeight="1">
      <c r="A978" t="inlineStr">
        <is>
          <t>A 59873-2024</t>
        </is>
      </c>
      <c r="B978" s="1" t="n">
        <v>45640.57305555556</v>
      </c>
      <c r="C978" s="1" t="n">
        <v>46025</v>
      </c>
      <c r="D978" t="inlineStr">
        <is>
          <t>STOCKHOLMS LÄN</t>
        </is>
      </c>
      <c r="E978" t="inlineStr">
        <is>
          <t>NORRTÄLJE</t>
        </is>
      </c>
      <c r="G978" t="n">
        <v>3.3</v>
      </c>
      <c r="H978" t="n">
        <v>0</v>
      </c>
      <c r="I978" t="n">
        <v>0</v>
      </c>
      <c r="J978" t="n">
        <v>0</v>
      </c>
      <c r="K978" t="n">
        <v>0</v>
      </c>
      <c r="L978" t="n">
        <v>0</v>
      </c>
      <c r="M978" t="n">
        <v>0</v>
      </c>
      <c r="N978" t="n">
        <v>0</v>
      </c>
      <c r="O978" t="n">
        <v>0</v>
      </c>
      <c r="P978" t="n">
        <v>0</v>
      </c>
      <c r="Q978" t="n">
        <v>0</v>
      </c>
      <c r="R978" s="2" t="inlineStr"/>
    </row>
    <row r="979" ht="15" customHeight="1">
      <c r="A979" t="inlineStr">
        <is>
          <t>A 22412-2021</t>
        </is>
      </c>
      <c r="B979" s="1" t="n">
        <v>44326.61967592593</v>
      </c>
      <c r="C979" s="1" t="n">
        <v>46025</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46025</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43150-2023</t>
        </is>
      </c>
      <c r="B981" s="1" t="n">
        <v>45183</v>
      </c>
      <c r="C981" s="1" t="n">
        <v>46025</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59534-2024</t>
        </is>
      </c>
      <c r="B982" s="1" t="n">
        <v>45638.5987037037</v>
      </c>
      <c r="C982" s="1" t="n">
        <v>46025</v>
      </c>
      <c r="D982" t="inlineStr">
        <is>
          <t>STOCKHOLMS LÄN</t>
        </is>
      </c>
      <c r="E982" t="inlineStr">
        <is>
          <t>NORRTÄLJE</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23307-2024</t>
        </is>
      </c>
      <c r="B983" s="1" t="n">
        <v>45453</v>
      </c>
      <c r="C983" s="1" t="n">
        <v>46025</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19450-2025</t>
        </is>
      </c>
      <c r="B984" s="1" t="n">
        <v>45770</v>
      </c>
      <c r="C984" s="1" t="n">
        <v>46025</v>
      </c>
      <c r="D984" t="inlineStr">
        <is>
          <t>STOCKHOLMS LÄN</t>
        </is>
      </c>
      <c r="E984" t="inlineStr">
        <is>
          <t>NORRTÄLJE</t>
        </is>
      </c>
      <c r="G984" t="n">
        <v>5.3</v>
      </c>
      <c r="H984" t="n">
        <v>0</v>
      </c>
      <c r="I984" t="n">
        <v>0</v>
      </c>
      <c r="J984" t="n">
        <v>0</v>
      </c>
      <c r="K984" t="n">
        <v>0</v>
      </c>
      <c r="L984" t="n">
        <v>0</v>
      </c>
      <c r="M984" t="n">
        <v>0</v>
      </c>
      <c r="N984" t="n">
        <v>0</v>
      </c>
      <c r="O984" t="n">
        <v>0</v>
      </c>
      <c r="P984" t="n">
        <v>0</v>
      </c>
      <c r="Q984" t="n">
        <v>0</v>
      </c>
      <c r="R984" s="2" t="inlineStr"/>
    </row>
    <row r="985" ht="15" customHeight="1">
      <c r="A985" t="inlineStr">
        <is>
          <t>A 2281-2024</t>
        </is>
      </c>
      <c r="B985" s="1" t="n">
        <v>45310.40628472222</v>
      </c>
      <c r="C985" s="1" t="n">
        <v>46025</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2287-2024</t>
        </is>
      </c>
      <c r="B986" s="1" t="n">
        <v>45310</v>
      </c>
      <c r="C986" s="1" t="n">
        <v>46025</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20618-2022</t>
        </is>
      </c>
      <c r="B987" s="1" t="n">
        <v>44700.50659722222</v>
      </c>
      <c r="C987" s="1" t="n">
        <v>46025</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59504-2023</t>
        </is>
      </c>
      <c r="B988" s="1" t="n">
        <v>45254</v>
      </c>
      <c r="C988" s="1" t="n">
        <v>46025</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25656-2023</t>
        </is>
      </c>
      <c r="B989" s="1" t="n">
        <v>45089</v>
      </c>
      <c r="C989" s="1" t="n">
        <v>46025</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38049-2023</t>
        </is>
      </c>
      <c r="B990" s="1" t="n">
        <v>45159</v>
      </c>
      <c r="C990" s="1" t="n">
        <v>46025</v>
      </c>
      <c r="D990" t="inlineStr">
        <is>
          <t>STOCKHOLMS LÄN</t>
        </is>
      </c>
      <c r="E990" t="inlineStr">
        <is>
          <t>NORRTÄLJE</t>
        </is>
      </c>
      <c r="G990" t="n">
        <v>3.6</v>
      </c>
      <c r="H990" t="n">
        <v>0</v>
      </c>
      <c r="I990" t="n">
        <v>0</v>
      </c>
      <c r="J990" t="n">
        <v>0</v>
      </c>
      <c r="K990" t="n">
        <v>0</v>
      </c>
      <c r="L990" t="n">
        <v>0</v>
      </c>
      <c r="M990" t="n">
        <v>0</v>
      </c>
      <c r="N990" t="n">
        <v>0</v>
      </c>
      <c r="O990" t="n">
        <v>0</v>
      </c>
      <c r="P990" t="n">
        <v>0</v>
      </c>
      <c r="Q990" t="n">
        <v>0</v>
      </c>
      <c r="R990" s="2" t="inlineStr"/>
    </row>
    <row r="991" ht="15" customHeight="1">
      <c r="A991" t="inlineStr">
        <is>
          <t>A 3966-2024</t>
        </is>
      </c>
      <c r="B991" s="1" t="n">
        <v>45322</v>
      </c>
      <c r="C991" s="1" t="n">
        <v>46025</v>
      </c>
      <c r="D991" t="inlineStr">
        <is>
          <t>STOCKHOLMS LÄN</t>
        </is>
      </c>
      <c r="E991" t="inlineStr">
        <is>
          <t>NORRTÄLJE</t>
        </is>
      </c>
      <c r="G991" t="n">
        <v>5.3</v>
      </c>
      <c r="H991" t="n">
        <v>0</v>
      </c>
      <c r="I991" t="n">
        <v>0</v>
      </c>
      <c r="J991" t="n">
        <v>0</v>
      </c>
      <c r="K991" t="n">
        <v>0</v>
      </c>
      <c r="L991" t="n">
        <v>0</v>
      </c>
      <c r="M991" t="n">
        <v>0</v>
      </c>
      <c r="N991" t="n">
        <v>0</v>
      </c>
      <c r="O991" t="n">
        <v>0</v>
      </c>
      <c r="P991" t="n">
        <v>0</v>
      </c>
      <c r="Q991" t="n">
        <v>0</v>
      </c>
      <c r="R991" s="2" t="inlineStr"/>
    </row>
    <row r="992" ht="15" customHeight="1">
      <c r="A992" t="inlineStr">
        <is>
          <t>A 17348-2024</t>
        </is>
      </c>
      <c r="B992" s="1" t="n">
        <v>45414.58650462963</v>
      </c>
      <c r="C992" s="1" t="n">
        <v>46025</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38591-2023</t>
        </is>
      </c>
      <c r="B993" s="1" t="n">
        <v>45162</v>
      </c>
      <c r="C993" s="1" t="n">
        <v>46025</v>
      </c>
      <c r="D993" t="inlineStr">
        <is>
          <t>STOCKHOLMS LÄN</t>
        </is>
      </c>
      <c r="E993" t="inlineStr">
        <is>
          <t>NORRTÄLJE</t>
        </is>
      </c>
      <c r="F993" t="inlineStr">
        <is>
          <t>Övriga Aktiebolag</t>
        </is>
      </c>
      <c r="G993" t="n">
        <v>3.1</v>
      </c>
      <c r="H993" t="n">
        <v>0</v>
      </c>
      <c r="I993" t="n">
        <v>0</v>
      </c>
      <c r="J993" t="n">
        <v>0</v>
      </c>
      <c r="K993" t="n">
        <v>0</v>
      </c>
      <c r="L993" t="n">
        <v>0</v>
      </c>
      <c r="M993" t="n">
        <v>0</v>
      </c>
      <c r="N993" t="n">
        <v>0</v>
      </c>
      <c r="O993" t="n">
        <v>0</v>
      </c>
      <c r="P993" t="n">
        <v>0</v>
      </c>
      <c r="Q993" t="n">
        <v>0</v>
      </c>
      <c r="R993" s="2" t="inlineStr"/>
    </row>
    <row r="994" ht="15" customHeight="1">
      <c r="A994" t="inlineStr">
        <is>
          <t>A 3273-2025</t>
        </is>
      </c>
      <c r="B994" s="1" t="n">
        <v>45679</v>
      </c>
      <c r="C994" s="1" t="n">
        <v>46025</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34461-2023</t>
        </is>
      </c>
      <c r="B995" s="1" t="n">
        <v>45139</v>
      </c>
      <c r="C995" s="1" t="n">
        <v>46025</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15217-2023</t>
        </is>
      </c>
      <c r="B996" s="1" t="n">
        <v>45019.28847222222</v>
      </c>
      <c r="C996" s="1" t="n">
        <v>46025</v>
      </c>
      <c r="D996" t="inlineStr">
        <is>
          <t>STOCKHOLMS LÄN</t>
        </is>
      </c>
      <c r="E996" t="inlineStr">
        <is>
          <t>NORRTÄLJE</t>
        </is>
      </c>
      <c r="G996" t="n">
        <v>3.6</v>
      </c>
      <c r="H996" t="n">
        <v>0</v>
      </c>
      <c r="I996" t="n">
        <v>0</v>
      </c>
      <c r="J996" t="n">
        <v>0</v>
      </c>
      <c r="K996" t="n">
        <v>0</v>
      </c>
      <c r="L996" t="n">
        <v>0</v>
      </c>
      <c r="M996" t="n">
        <v>0</v>
      </c>
      <c r="N996" t="n">
        <v>0</v>
      </c>
      <c r="O996" t="n">
        <v>0</v>
      </c>
      <c r="P996" t="n">
        <v>0</v>
      </c>
      <c r="Q996" t="n">
        <v>0</v>
      </c>
      <c r="R996" s="2" t="inlineStr"/>
    </row>
    <row r="997" ht="15" customHeight="1">
      <c r="A997" t="inlineStr">
        <is>
          <t>A 24522-2023</t>
        </is>
      </c>
      <c r="B997" s="1" t="n">
        <v>45082.69179398148</v>
      </c>
      <c r="C997" s="1" t="n">
        <v>46025</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29176-2024</t>
        </is>
      </c>
      <c r="B998" s="1" t="n">
        <v>45482.53388888889</v>
      </c>
      <c r="C998" s="1" t="n">
        <v>46025</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4596-2023</t>
        </is>
      </c>
      <c r="B999" s="1" t="n">
        <v>44956</v>
      </c>
      <c r="C999" s="1" t="n">
        <v>46025</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4438-2023</t>
        </is>
      </c>
      <c r="B1000" s="1" t="n">
        <v>44956</v>
      </c>
      <c r="C1000" s="1" t="n">
        <v>46025</v>
      </c>
      <c r="D1000" t="inlineStr">
        <is>
          <t>STOCKHOLMS LÄN</t>
        </is>
      </c>
      <c r="E1000" t="inlineStr">
        <is>
          <t>NORRTÄLJE</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24727-2023</t>
        </is>
      </c>
      <c r="B1001" s="1" t="n">
        <v>45084.57695601852</v>
      </c>
      <c r="C1001" s="1" t="n">
        <v>46025</v>
      </c>
      <c r="D1001" t="inlineStr">
        <is>
          <t>STOCKHOLMS LÄN</t>
        </is>
      </c>
      <c r="E1001" t="inlineStr">
        <is>
          <t>NORRTÄLJE</t>
        </is>
      </c>
      <c r="F1001" t="inlineStr">
        <is>
          <t>Holmen skog AB</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59904-2023</t>
        </is>
      </c>
      <c r="B1002" s="1" t="n">
        <v>45257</v>
      </c>
      <c r="C1002" s="1" t="n">
        <v>46025</v>
      </c>
      <c r="D1002" t="inlineStr">
        <is>
          <t>STOCKHOLMS LÄN</t>
        </is>
      </c>
      <c r="E1002" t="inlineStr">
        <is>
          <t>NORRTÄLJE</t>
        </is>
      </c>
      <c r="G1002" t="n">
        <v>17.4</v>
      </c>
      <c r="H1002" t="n">
        <v>0</v>
      </c>
      <c r="I1002" t="n">
        <v>0</v>
      </c>
      <c r="J1002" t="n">
        <v>0</v>
      </c>
      <c r="K1002" t="n">
        <v>0</v>
      </c>
      <c r="L1002" t="n">
        <v>0</v>
      </c>
      <c r="M1002" t="n">
        <v>0</v>
      </c>
      <c r="N1002" t="n">
        <v>0</v>
      </c>
      <c r="O1002" t="n">
        <v>0</v>
      </c>
      <c r="P1002" t="n">
        <v>0</v>
      </c>
      <c r="Q1002" t="n">
        <v>0</v>
      </c>
      <c r="R1002" s="2" t="inlineStr"/>
    </row>
    <row r="1003" ht="15" customHeight="1">
      <c r="A1003" t="inlineStr">
        <is>
          <t>A 36308-2022</t>
        </is>
      </c>
      <c r="B1003" s="1" t="n">
        <v>44803</v>
      </c>
      <c r="C1003" s="1" t="n">
        <v>46025</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18787-2022</t>
        </is>
      </c>
      <c r="B1004" s="1" t="n">
        <v>44687</v>
      </c>
      <c r="C1004" s="1" t="n">
        <v>46025</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50108-2021</t>
        </is>
      </c>
      <c r="B1005" s="1" t="n">
        <v>44456</v>
      </c>
      <c r="C1005" s="1" t="n">
        <v>46025</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25621-2022</t>
        </is>
      </c>
      <c r="B1006" s="1" t="n">
        <v>44732</v>
      </c>
      <c r="C1006" s="1" t="n">
        <v>46025</v>
      </c>
      <c r="D1006" t="inlineStr">
        <is>
          <t>STOCKHOLMS LÄN</t>
        </is>
      </c>
      <c r="E1006" t="inlineStr">
        <is>
          <t>NORRTÄLJE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20304-2023</t>
        </is>
      </c>
      <c r="B1007" s="1" t="n">
        <v>45056</v>
      </c>
      <c r="C1007" s="1" t="n">
        <v>46025</v>
      </c>
      <c r="D1007" t="inlineStr">
        <is>
          <t>STOCKHOLMS LÄN</t>
        </is>
      </c>
      <c r="E1007" t="inlineStr">
        <is>
          <t>NORRTÄLJE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35235-2024</t>
        </is>
      </c>
      <c r="B1008" s="1" t="n">
        <v>45530</v>
      </c>
      <c r="C1008" s="1" t="n">
        <v>46025</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51061-2023</t>
        </is>
      </c>
      <c r="B1009" s="1" t="n">
        <v>45218.65849537037</v>
      </c>
      <c r="C1009" s="1" t="n">
        <v>46025</v>
      </c>
      <c r="D1009" t="inlineStr">
        <is>
          <t>STOCKHOLMS LÄN</t>
        </is>
      </c>
      <c r="E1009" t="inlineStr">
        <is>
          <t>NORRTÄLJE</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39213-2022</t>
        </is>
      </c>
      <c r="B1010" s="1" t="n">
        <v>44817.56120370371</v>
      </c>
      <c r="C1010" s="1" t="n">
        <v>46025</v>
      </c>
      <c r="D1010" t="inlineStr">
        <is>
          <t>STOCKHOLMS LÄN</t>
        </is>
      </c>
      <c r="E1010" t="inlineStr">
        <is>
          <t>NORRTÄLJE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36246-2021</t>
        </is>
      </c>
      <c r="B1011" s="1" t="n">
        <v>44390</v>
      </c>
      <c r="C1011" s="1" t="n">
        <v>46025</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15905-2023</t>
        </is>
      </c>
      <c r="B1012" s="1" t="n">
        <v>45022</v>
      </c>
      <c r="C1012" s="1" t="n">
        <v>46025</v>
      </c>
      <c r="D1012" t="inlineStr">
        <is>
          <t>STOCKHOLMS LÄN</t>
        </is>
      </c>
      <c r="E1012" t="inlineStr">
        <is>
          <t>NORRTÄLJE</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11041-2025</t>
        </is>
      </c>
      <c r="B1013" s="1" t="n">
        <v>45723</v>
      </c>
      <c r="C1013" s="1" t="n">
        <v>46025</v>
      </c>
      <c r="D1013" t="inlineStr">
        <is>
          <t>STOCKHOLMS LÄN</t>
        </is>
      </c>
      <c r="E1013" t="inlineStr">
        <is>
          <t>NORRTÄLJE</t>
        </is>
      </c>
      <c r="F1013" t="inlineStr">
        <is>
          <t>Övriga Aktiebolag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44917-2022</t>
        </is>
      </c>
      <c r="B1014" s="1" t="n">
        <v>44841.52804398148</v>
      </c>
      <c r="C1014" s="1" t="n">
        <v>46025</v>
      </c>
      <c r="D1014" t="inlineStr">
        <is>
          <t>STOCKHOLMS LÄN</t>
        </is>
      </c>
      <c r="E1014" t="inlineStr">
        <is>
          <t>NORRTÄLJE</t>
        </is>
      </c>
      <c r="F1014" t="inlineStr">
        <is>
          <t>Holmen skog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33173-2024</t>
        </is>
      </c>
      <c r="B1015" s="1" t="n">
        <v>45518</v>
      </c>
      <c r="C1015" s="1" t="n">
        <v>46025</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17551-2025</t>
        </is>
      </c>
      <c r="B1016" s="1" t="n">
        <v>45757.61421296297</v>
      </c>
      <c r="C1016" s="1" t="n">
        <v>46025</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10678-2025</t>
        </is>
      </c>
      <c r="B1017" s="1" t="n">
        <v>45721.89123842592</v>
      </c>
      <c r="C1017" s="1" t="n">
        <v>46025</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8370-2025</t>
        </is>
      </c>
      <c r="B1018" s="1" t="n">
        <v>45708</v>
      </c>
      <c r="C1018" s="1" t="n">
        <v>46025</v>
      </c>
      <c r="D1018" t="inlineStr">
        <is>
          <t>STOCKHOLMS LÄN</t>
        </is>
      </c>
      <c r="E1018" t="inlineStr">
        <is>
          <t>NORRTÄLJE</t>
        </is>
      </c>
      <c r="F1018" t="inlineStr">
        <is>
          <t>Övriga Aktiebolag</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951-2023</t>
        </is>
      </c>
      <c r="B1019" s="1" t="n">
        <v>44934</v>
      </c>
      <c r="C1019" s="1" t="n">
        <v>46025</v>
      </c>
      <c r="D1019" t="inlineStr">
        <is>
          <t>STOCKHOLMS LÄN</t>
        </is>
      </c>
      <c r="E1019" t="inlineStr">
        <is>
          <t>NORRTÄLJE</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32100-2022</t>
        </is>
      </c>
      <c r="B1020" s="1" t="n">
        <v>44778</v>
      </c>
      <c r="C1020" s="1" t="n">
        <v>46025</v>
      </c>
      <c r="D1020" t="inlineStr">
        <is>
          <t>STOCKHOLMS LÄN</t>
        </is>
      </c>
      <c r="E1020" t="inlineStr">
        <is>
          <t>NORRTÄLJE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2888-2022</t>
        </is>
      </c>
      <c r="B1021" s="1" t="n">
        <v>44581</v>
      </c>
      <c r="C1021" s="1" t="n">
        <v>46025</v>
      </c>
      <c r="D1021" t="inlineStr">
        <is>
          <t>STOCKHOLMS LÄN</t>
        </is>
      </c>
      <c r="E1021" t="inlineStr">
        <is>
          <t>NORRTÄLJE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11902-2024</t>
        </is>
      </c>
      <c r="B1022" s="1" t="n">
        <v>45376.55704861111</v>
      </c>
      <c r="C1022" s="1" t="n">
        <v>46025</v>
      </c>
      <c r="D1022" t="inlineStr">
        <is>
          <t>STOCKHOLMS LÄN</t>
        </is>
      </c>
      <c r="E1022" t="inlineStr">
        <is>
          <t>NORRTÄLJE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13-2024</t>
        </is>
      </c>
      <c r="B1023" s="1" t="n">
        <v>45293.37263888889</v>
      </c>
      <c r="C1023" s="1" t="n">
        <v>46025</v>
      </c>
      <c r="D1023" t="inlineStr">
        <is>
          <t>STOCKHOLMS LÄN</t>
        </is>
      </c>
      <c r="E1023" t="inlineStr">
        <is>
          <t>NORRTÄLJE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58260-2023</t>
        </is>
      </c>
      <c r="B1024" s="1" t="n">
        <v>45245</v>
      </c>
      <c r="C1024" s="1" t="n">
        <v>46025</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58261-2023</t>
        </is>
      </c>
      <c r="B1025" s="1" t="n">
        <v>45245</v>
      </c>
      <c r="C1025" s="1" t="n">
        <v>46025</v>
      </c>
      <c r="D1025" t="inlineStr">
        <is>
          <t>STOCKHOLMS LÄN</t>
        </is>
      </c>
      <c r="E1025" t="inlineStr">
        <is>
          <t>NORRTÄLJE</t>
        </is>
      </c>
      <c r="G1025" t="n">
        <v>53.5</v>
      </c>
      <c r="H1025" t="n">
        <v>0</v>
      </c>
      <c r="I1025" t="n">
        <v>0</v>
      </c>
      <c r="J1025" t="n">
        <v>0</v>
      </c>
      <c r="K1025" t="n">
        <v>0</v>
      </c>
      <c r="L1025" t="n">
        <v>0</v>
      </c>
      <c r="M1025" t="n">
        <v>0</v>
      </c>
      <c r="N1025" t="n">
        <v>0</v>
      </c>
      <c r="O1025" t="n">
        <v>0</v>
      </c>
      <c r="P1025" t="n">
        <v>0</v>
      </c>
      <c r="Q1025" t="n">
        <v>0</v>
      </c>
      <c r="R1025" s="2" t="inlineStr"/>
    </row>
    <row r="1026" ht="15" customHeight="1">
      <c r="A1026" t="inlineStr">
        <is>
          <t>A 4553-2023</t>
        </is>
      </c>
      <c r="B1026" s="1" t="n">
        <v>44956.65920138889</v>
      </c>
      <c r="C1026" s="1" t="n">
        <v>46025</v>
      </c>
      <c r="D1026" t="inlineStr">
        <is>
          <t>STOCKHOLMS LÄN</t>
        </is>
      </c>
      <c r="E1026" t="inlineStr">
        <is>
          <t>NORRTÄLJE</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44931.65626157408</v>
      </c>
      <c r="C1027" s="1" t="n">
        <v>46025</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24575-2024</t>
        </is>
      </c>
      <c r="B1028" s="1" t="n">
        <v>45460.45523148148</v>
      </c>
      <c r="C1028" s="1" t="n">
        <v>46025</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19-2024</t>
        </is>
      </c>
      <c r="B1029" s="1" t="n">
        <v>45293</v>
      </c>
      <c r="C1029" s="1" t="n">
        <v>46025</v>
      </c>
      <c r="D1029" t="inlineStr">
        <is>
          <t>STOCKHOLMS LÄN</t>
        </is>
      </c>
      <c r="E1029" t="inlineStr">
        <is>
          <t>NORRTÄLJE</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11333-2025</t>
        </is>
      </c>
      <c r="B1030" s="1" t="n">
        <v>45726.48377314815</v>
      </c>
      <c r="C1030" s="1" t="n">
        <v>46025</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21529-2021</t>
        </is>
      </c>
      <c r="B1031" s="1" t="n">
        <v>44321</v>
      </c>
      <c r="C1031" s="1" t="n">
        <v>46025</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31827-2023</t>
        </is>
      </c>
      <c r="B1032" s="1" t="n">
        <v>45118</v>
      </c>
      <c r="C1032" s="1" t="n">
        <v>46025</v>
      </c>
      <c r="D1032" t="inlineStr">
        <is>
          <t>STOCKHOLMS LÄN</t>
        </is>
      </c>
      <c r="E1032" t="inlineStr">
        <is>
          <t>NORRTÄLJE</t>
        </is>
      </c>
      <c r="F1032" t="inlineStr">
        <is>
          <t>Kyrkan</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10973-2025</t>
        </is>
      </c>
      <c r="B1033" s="1" t="n">
        <v>45723</v>
      </c>
      <c r="C1033" s="1" t="n">
        <v>46025</v>
      </c>
      <c r="D1033" t="inlineStr">
        <is>
          <t>STOCKHOLMS LÄN</t>
        </is>
      </c>
      <c r="E1033" t="inlineStr">
        <is>
          <t>NORRTÄLJE</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54496-2024</t>
        </is>
      </c>
      <c r="B1034" s="1" t="n">
        <v>45617.57439814815</v>
      </c>
      <c r="C1034" s="1" t="n">
        <v>46025</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7796-2025</t>
        </is>
      </c>
      <c r="B1035" s="1" t="n">
        <v>45706.60130787037</v>
      </c>
      <c r="C1035" s="1" t="n">
        <v>46025</v>
      </c>
      <c r="D1035" t="inlineStr">
        <is>
          <t>STOCKHOLMS LÄN</t>
        </is>
      </c>
      <c r="E1035" t="inlineStr">
        <is>
          <t>NORRTÄLJE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46025</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22756-2022</t>
        </is>
      </c>
      <c r="B1037" s="1" t="n">
        <v>44714.92253472222</v>
      </c>
      <c r="C1037" s="1" t="n">
        <v>46025</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58311-2023</t>
        </is>
      </c>
      <c r="B1038" s="1" t="n">
        <v>45245</v>
      </c>
      <c r="C1038" s="1" t="n">
        <v>46025</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8739-2024</t>
        </is>
      </c>
      <c r="B1039" s="1" t="n">
        <v>45356.47784722222</v>
      </c>
      <c r="C1039" s="1" t="n">
        <v>46025</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26640-2023</t>
        </is>
      </c>
      <c r="B1040" s="1" t="n">
        <v>45092</v>
      </c>
      <c r="C1040" s="1" t="n">
        <v>46025</v>
      </c>
      <c r="D1040" t="inlineStr">
        <is>
          <t>STOCKHOLMS LÄN</t>
        </is>
      </c>
      <c r="E1040" t="inlineStr">
        <is>
          <t>NORRTÄLJE</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62765-2022</t>
        </is>
      </c>
      <c r="B1041" s="1" t="n">
        <v>44637</v>
      </c>
      <c r="C1041" s="1" t="n">
        <v>46025</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38990-2022</t>
        </is>
      </c>
      <c r="B1042" s="1" t="n">
        <v>44816</v>
      </c>
      <c r="C1042" s="1" t="n">
        <v>46025</v>
      </c>
      <c r="D1042" t="inlineStr">
        <is>
          <t>STOCKHOLMS LÄN</t>
        </is>
      </c>
      <c r="E1042" t="inlineStr">
        <is>
          <t>NORRTÄLJE</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17545-2025</t>
        </is>
      </c>
      <c r="B1043" s="1" t="n">
        <v>45757.60658564815</v>
      </c>
      <c r="C1043" s="1" t="n">
        <v>46025</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17956-2025</t>
        </is>
      </c>
      <c r="B1044" s="1" t="n">
        <v>45760.91174768518</v>
      </c>
      <c r="C1044" s="1" t="n">
        <v>46025</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23265-2023</t>
        </is>
      </c>
      <c r="B1045" s="1" t="n">
        <v>45075.90703703704</v>
      </c>
      <c r="C1045" s="1" t="n">
        <v>46025</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30268-2024</t>
        </is>
      </c>
      <c r="B1046" s="1" t="n">
        <v>45490.60572916667</v>
      </c>
      <c r="C1046" s="1" t="n">
        <v>46025</v>
      </c>
      <c r="D1046" t="inlineStr">
        <is>
          <t>STOCKHOLMS LÄN</t>
        </is>
      </c>
      <c r="E1046" t="inlineStr">
        <is>
          <t>NORRTÄLJE</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59535-2024</t>
        </is>
      </c>
      <c r="B1047" s="1" t="n">
        <v>45638.59979166667</v>
      </c>
      <c r="C1047" s="1" t="n">
        <v>46025</v>
      </c>
      <c r="D1047" t="inlineStr">
        <is>
          <t>STOCKHOLMS LÄN</t>
        </is>
      </c>
      <c r="E1047" t="inlineStr">
        <is>
          <t>NORRTÄLJE</t>
        </is>
      </c>
      <c r="F1047" t="inlineStr">
        <is>
          <t>Holmen skog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9246-2024</t>
        </is>
      </c>
      <c r="B1048" s="1" t="n">
        <v>45357</v>
      </c>
      <c r="C1048" s="1" t="n">
        <v>46025</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20852-2023</t>
        </is>
      </c>
      <c r="B1049" s="1" t="n">
        <v>45058.78607638889</v>
      </c>
      <c r="C1049" s="1" t="n">
        <v>46025</v>
      </c>
      <c r="D1049" t="inlineStr">
        <is>
          <t>STOCKHOLMS LÄN</t>
        </is>
      </c>
      <c r="E1049" t="inlineStr">
        <is>
          <t>NORRTÄLJE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50355-2024</t>
        </is>
      </c>
      <c r="B1050" s="1" t="n">
        <v>45600.86128472222</v>
      </c>
      <c r="C1050" s="1" t="n">
        <v>46025</v>
      </c>
      <c r="D1050" t="inlineStr">
        <is>
          <t>STOCKHOLMS LÄN</t>
        </is>
      </c>
      <c r="E1050" t="inlineStr">
        <is>
          <t>NORRTÄLJE</t>
        </is>
      </c>
      <c r="F1050" t="inlineStr">
        <is>
          <t>Kommuner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60694-2024</t>
        </is>
      </c>
      <c r="B1051" s="1" t="n">
        <v>45644.47878472223</v>
      </c>
      <c r="C1051" s="1" t="n">
        <v>46025</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25094-2023</t>
        </is>
      </c>
      <c r="B1052" s="1" t="n">
        <v>45086.3629050926</v>
      </c>
      <c r="C1052" s="1" t="n">
        <v>46025</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59276-2023</t>
        </is>
      </c>
      <c r="B1053" s="1" t="n">
        <v>45253.55641203704</v>
      </c>
      <c r="C1053" s="1" t="n">
        <v>46025</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13767-2025</t>
        </is>
      </c>
      <c r="B1054" s="1" t="n">
        <v>45737.43347222222</v>
      </c>
      <c r="C1054" s="1" t="n">
        <v>46025</v>
      </c>
      <c r="D1054" t="inlineStr">
        <is>
          <t>STOCKHOLMS LÄN</t>
        </is>
      </c>
      <c r="E1054" t="inlineStr">
        <is>
          <t>NORRTÄLJE</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41587-2023</t>
        </is>
      </c>
      <c r="B1055" s="1" t="n">
        <v>45175</v>
      </c>
      <c r="C1055" s="1" t="n">
        <v>46025</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27381-2024</t>
        </is>
      </c>
      <c r="B1056" s="1" t="n">
        <v>45473.94501157408</v>
      </c>
      <c r="C1056" s="1" t="n">
        <v>46025</v>
      </c>
      <c r="D1056" t="inlineStr">
        <is>
          <t>STOCKHOLMS LÄN</t>
        </is>
      </c>
      <c r="E1056" t="inlineStr">
        <is>
          <t>NORRTÄLJE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60529-2023</t>
        </is>
      </c>
      <c r="B1057" s="1" t="n">
        <v>45259</v>
      </c>
      <c r="C1057" s="1" t="n">
        <v>46025</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59326-2023</t>
        </is>
      </c>
      <c r="B1058" s="1" t="n">
        <v>45253.63089120371</v>
      </c>
      <c r="C1058" s="1" t="n">
        <v>46025</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20790-2025</t>
        </is>
      </c>
      <c r="B1059" s="1" t="n">
        <v>45776.62563657408</v>
      </c>
      <c r="C1059" s="1" t="n">
        <v>46025</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3152-2024</t>
        </is>
      </c>
      <c r="B1060" s="1" t="n">
        <v>45316.60306712963</v>
      </c>
      <c r="C1060" s="1" t="n">
        <v>46025</v>
      </c>
      <c r="D1060" t="inlineStr">
        <is>
          <t>STOCKHOLMS LÄN</t>
        </is>
      </c>
      <c r="E1060" t="inlineStr">
        <is>
          <t>NORRTÄLJE</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20699-2025</t>
        </is>
      </c>
      <c r="B1061" s="1" t="n">
        <v>45776.47346064815</v>
      </c>
      <c r="C1061" s="1" t="n">
        <v>46025</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20779-2025</t>
        </is>
      </c>
      <c r="B1062" s="1" t="n">
        <v>45776.59871527777</v>
      </c>
      <c r="C1062" s="1" t="n">
        <v>46025</v>
      </c>
      <c r="D1062" t="inlineStr">
        <is>
          <t>STOCKHOLMS LÄN</t>
        </is>
      </c>
      <c r="E1062" t="inlineStr">
        <is>
          <t>NORRTÄLJE</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44836-2023</t>
        </is>
      </c>
      <c r="B1063" s="1" t="n">
        <v>45190.55609953704</v>
      </c>
      <c r="C1063" s="1" t="n">
        <v>46025</v>
      </c>
      <c r="D1063" t="inlineStr">
        <is>
          <t>STOCKHOLMS LÄN</t>
        </is>
      </c>
      <c r="E1063" t="inlineStr">
        <is>
          <t>NORRTÄLJE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21771-2025</t>
        </is>
      </c>
      <c r="B1064" s="1" t="n">
        <v>45783</v>
      </c>
      <c r="C1064" s="1" t="n">
        <v>46025</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21778-2025</t>
        </is>
      </c>
      <c r="B1065" s="1" t="n">
        <v>45783.66429398148</v>
      </c>
      <c r="C1065" s="1" t="n">
        <v>46025</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12902-2024</t>
        </is>
      </c>
      <c r="B1066" s="1" t="n">
        <v>45385.38146990741</v>
      </c>
      <c r="C1066" s="1" t="n">
        <v>46025</v>
      </c>
      <c r="D1066" t="inlineStr">
        <is>
          <t>STOCKHOLMS LÄN</t>
        </is>
      </c>
      <c r="E1066" t="inlineStr">
        <is>
          <t>NORRTÄLJE</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39237-2024</t>
        </is>
      </c>
      <c r="B1067" s="1" t="n">
        <v>45549</v>
      </c>
      <c r="C1067" s="1" t="n">
        <v>46025</v>
      </c>
      <c r="D1067" t="inlineStr">
        <is>
          <t>STOCKHOLMS LÄN</t>
        </is>
      </c>
      <c r="E1067" t="inlineStr">
        <is>
          <t>NORRTÄLJE</t>
        </is>
      </c>
      <c r="G1067" t="n">
        <v>13.3</v>
      </c>
      <c r="H1067" t="n">
        <v>0</v>
      </c>
      <c r="I1067" t="n">
        <v>0</v>
      </c>
      <c r="J1067" t="n">
        <v>0</v>
      </c>
      <c r="K1067" t="n">
        <v>0</v>
      </c>
      <c r="L1067" t="n">
        <v>0</v>
      </c>
      <c r="M1067" t="n">
        <v>0</v>
      </c>
      <c r="N1067" t="n">
        <v>0</v>
      </c>
      <c r="O1067" t="n">
        <v>0</v>
      </c>
      <c r="P1067" t="n">
        <v>0</v>
      </c>
      <c r="Q1067" t="n">
        <v>0</v>
      </c>
      <c r="R1067" s="2" t="inlineStr"/>
    </row>
    <row r="1068" ht="15" customHeight="1">
      <c r="A1068" t="inlineStr">
        <is>
          <t>A 44891-2023</t>
        </is>
      </c>
      <c r="B1068" s="1" t="n">
        <v>45187</v>
      </c>
      <c r="C1068" s="1" t="n">
        <v>46025</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13268-2025</t>
        </is>
      </c>
      <c r="B1069" s="1" t="n">
        <v>45735</v>
      </c>
      <c r="C1069" s="1" t="n">
        <v>46025</v>
      </c>
      <c r="D1069" t="inlineStr">
        <is>
          <t>STOCKHOLMS LÄN</t>
        </is>
      </c>
      <c r="E1069" t="inlineStr">
        <is>
          <t>NORRTÄLJE</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8414-2025</t>
        </is>
      </c>
      <c r="B1070" s="1" t="n">
        <v>45709.39361111111</v>
      </c>
      <c r="C1070" s="1" t="n">
        <v>46025</v>
      </c>
      <c r="D1070" t="inlineStr">
        <is>
          <t>STOCKHOLMS LÄN</t>
        </is>
      </c>
      <c r="E1070" t="inlineStr">
        <is>
          <t>NORRTÄLJE</t>
        </is>
      </c>
      <c r="F1070" t="inlineStr">
        <is>
          <t>Holmen skog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44032-2024</t>
        </is>
      </c>
      <c r="B1071" s="1" t="n">
        <v>45572.57828703704</v>
      </c>
      <c r="C1071" s="1" t="n">
        <v>46025</v>
      </c>
      <c r="D1071" t="inlineStr">
        <is>
          <t>STOCKHOLMS LÄN</t>
        </is>
      </c>
      <c r="E1071" t="inlineStr">
        <is>
          <t>NORRTÄLJE</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24563-2024</t>
        </is>
      </c>
      <c r="B1072" s="1" t="n">
        <v>45460.44347222222</v>
      </c>
      <c r="C1072" s="1" t="n">
        <v>46025</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22202-2025</t>
        </is>
      </c>
      <c r="B1073" s="1" t="n">
        <v>45785.65300925926</v>
      </c>
      <c r="C1073" s="1" t="n">
        <v>46025</v>
      </c>
      <c r="D1073" t="inlineStr">
        <is>
          <t>STOCKHOLMS LÄN</t>
        </is>
      </c>
      <c r="E1073" t="inlineStr">
        <is>
          <t>NORRTÄLJE</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36625-2024</t>
        </is>
      </c>
      <c r="B1074" s="1" t="n">
        <v>45537</v>
      </c>
      <c r="C1074" s="1" t="n">
        <v>46025</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45746-2024</t>
        </is>
      </c>
      <c r="B1075" s="1" t="n">
        <v>45579</v>
      </c>
      <c r="C1075" s="1" t="n">
        <v>46025</v>
      </c>
      <c r="D1075" t="inlineStr">
        <is>
          <t>STOCKHOLMS LÄN</t>
        </is>
      </c>
      <c r="E1075" t="inlineStr">
        <is>
          <t>NORRTÄLJE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8400-2024</t>
        </is>
      </c>
      <c r="B1076" s="1" t="n">
        <v>45352.74090277778</v>
      </c>
      <c r="C1076" s="1" t="n">
        <v>46025</v>
      </c>
      <c r="D1076" t="inlineStr">
        <is>
          <t>STOCKHOLMS LÄN</t>
        </is>
      </c>
      <c r="E1076" t="inlineStr">
        <is>
          <t>NORRTÄLJE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2182-2022</t>
        </is>
      </c>
      <c r="B1077" s="1" t="n">
        <v>44578</v>
      </c>
      <c r="C1077" s="1" t="n">
        <v>46025</v>
      </c>
      <c r="D1077" t="inlineStr">
        <is>
          <t>STOCKHOLMS LÄN</t>
        </is>
      </c>
      <c r="E1077" t="inlineStr">
        <is>
          <t>NORRTÄLJE</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16620-2024</t>
        </is>
      </c>
      <c r="B1078" s="1" t="n">
        <v>45408.57707175926</v>
      </c>
      <c r="C1078" s="1" t="n">
        <v>46025</v>
      </c>
      <c r="D1078" t="inlineStr">
        <is>
          <t>STOCKHOLMS LÄN</t>
        </is>
      </c>
      <c r="E1078" t="inlineStr">
        <is>
          <t>NORRTÄLJE</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22416-2025</t>
        </is>
      </c>
      <c r="B1079" s="1" t="n">
        <v>45786.55645833333</v>
      </c>
      <c r="C1079" s="1" t="n">
        <v>46025</v>
      </c>
      <c r="D1079" t="inlineStr">
        <is>
          <t>STOCKHOLMS LÄN</t>
        </is>
      </c>
      <c r="E1079" t="inlineStr">
        <is>
          <t>NORRTÄLJE</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58785-2024</t>
        </is>
      </c>
      <c r="B1080" s="1" t="n">
        <v>45635.88849537037</v>
      </c>
      <c r="C1080" s="1" t="n">
        <v>46025</v>
      </c>
      <c r="D1080" t="inlineStr">
        <is>
          <t>STOCKHOLMS LÄN</t>
        </is>
      </c>
      <c r="E1080" t="inlineStr">
        <is>
          <t>NORRTÄLJE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62998-2023</t>
        </is>
      </c>
      <c r="B1081" s="1" t="n">
        <v>45272.64479166667</v>
      </c>
      <c r="C1081" s="1" t="n">
        <v>46025</v>
      </c>
      <c r="D1081" t="inlineStr">
        <is>
          <t>STOCKHOLMS LÄN</t>
        </is>
      </c>
      <c r="E1081" t="inlineStr">
        <is>
          <t>NORRTÄLJE</t>
        </is>
      </c>
      <c r="G1081" t="n">
        <v>16.3</v>
      </c>
      <c r="H1081" t="n">
        <v>0</v>
      </c>
      <c r="I1081" t="n">
        <v>0</v>
      </c>
      <c r="J1081" t="n">
        <v>0</v>
      </c>
      <c r="K1081" t="n">
        <v>0</v>
      </c>
      <c r="L1081" t="n">
        <v>0</v>
      </c>
      <c r="M1081" t="n">
        <v>0</v>
      </c>
      <c r="N1081" t="n">
        <v>0</v>
      </c>
      <c r="O1081" t="n">
        <v>0</v>
      </c>
      <c r="P1081" t="n">
        <v>0</v>
      </c>
      <c r="Q1081" t="n">
        <v>0</v>
      </c>
      <c r="R1081" s="2" t="inlineStr"/>
    </row>
    <row r="1082" ht="15" customHeight="1">
      <c r="A1082" t="inlineStr">
        <is>
          <t>A 63015-2023</t>
        </is>
      </c>
      <c r="B1082" s="1" t="n">
        <v>45272</v>
      </c>
      <c r="C1082" s="1" t="n">
        <v>46025</v>
      </c>
      <c r="D1082" t="inlineStr">
        <is>
          <t>STOCKHOLMS LÄN</t>
        </is>
      </c>
      <c r="E1082" t="inlineStr">
        <is>
          <t>NORRTÄLJE</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12901-2024</t>
        </is>
      </c>
      <c r="B1083" s="1" t="n">
        <v>45385.37922453704</v>
      </c>
      <c r="C1083" s="1" t="n">
        <v>46025</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12301-2025</t>
        </is>
      </c>
      <c r="B1084" s="1" t="n">
        <v>45729.7271875</v>
      </c>
      <c r="C1084" s="1" t="n">
        <v>46025</v>
      </c>
      <c r="D1084" t="inlineStr">
        <is>
          <t>STOCKHOLMS LÄN</t>
        </is>
      </c>
      <c r="E1084" t="inlineStr">
        <is>
          <t>NORRTÄLJE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8950-2025</t>
        </is>
      </c>
      <c r="B1085" s="1" t="n">
        <v>45713</v>
      </c>
      <c r="C1085" s="1" t="n">
        <v>46025</v>
      </c>
      <c r="D1085" t="inlineStr">
        <is>
          <t>STOCKHOLMS LÄN</t>
        </is>
      </c>
      <c r="E1085" t="inlineStr">
        <is>
          <t>NORRTÄLJE</t>
        </is>
      </c>
      <c r="F1085" t="inlineStr">
        <is>
          <t>Övriga Aktiebolag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20730-2024</t>
        </is>
      </c>
      <c r="B1086" s="1" t="n">
        <v>45436</v>
      </c>
      <c r="C1086" s="1" t="n">
        <v>46025</v>
      </c>
      <c r="D1086" t="inlineStr">
        <is>
          <t>STOCKHOLMS LÄN</t>
        </is>
      </c>
      <c r="E1086" t="inlineStr">
        <is>
          <t>NORRTÄLJE</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33175-2024</t>
        </is>
      </c>
      <c r="B1087" s="1" t="n">
        <v>45518</v>
      </c>
      <c r="C1087" s="1" t="n">
        <v>46025</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13283-2025</t>
        </is>
      </c>
      <c r="B1088" s="1" t="n">
        <v>45735</v>
      </c>
      <c r="C1088" s="1" t="n">
        <v>46025</v>
      </c>
      <c r="D1088" t="inlineStr">
        <is>
          <t>STOCKHOLMS LÄN</t>
        </is>
      </c>
      <c r="E1088" t="inlineStr">
        <is>
          <t>NORRTÄLJE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27831-2024</t>
        </is>
      </c>
      <c r="B1089" s="1" t="n">
        <v>45475.61896990741</v>
      </c>
      <c r="C1089" s="1" t="n">
        <v>46025</v>
      </c>
      <c r="D1089" t="inlineStr">
        <is>
          <t>STOCKHOLMS LÄN</t>
        </is>
      </c>
      <c r="E1089" t="inlineStr">
        <is>
          <t>NORRTÄLJE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21803-2022</t>
        </is>
      </c>
      <c r="B1090" s="1" t="n">
        <v>44708.67822916667</v>
      </c>
      <c r="C1090" s="1" t="n">
        <v>46025</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24687-2025</t>
        </is>
      </c>
      <c r="B1091" s="1" t="n">
        <v>45798.66767361111</v>
      </c>
      <c r="C1091" s="1" t="n">
        <v>46025</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24690-2025</t>
        </is>
      </c>
      <c r="B1092" s="1" t="n">
        <v>45798.67082175926</v>
      </c>
      <c r="C1092" s="1" t="n">
        <v>46025</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24638-2025</t>
        </is>
      </c>
      <c r="B1093" s="1" t="n">
        <v>45798</v>
      </c>
      <c r="C1093" s="1" t="n">
        <v>46025</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24351-2025</t>
        </is>
      </c>
      <c r="B1094" s="1" t="n">
        <v>45797.58399305555</v>
      </c>
      <c r="C1094" s="1" t="n">
        <v>46025</v>
      </c>
      <c r="D1094" t="inlineStr">
        <is>
          <t>STOCKHOLMS LÄN</t>
        </is>
      </c>
      <c r="E1094" t="inlineStr">
        <is>
          <t>NORRTÄLJE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28603-2024</t>
        </is>
      </c>
      <c r="B1095" s="1" t="n">
        <v>45478.42887731481</v>
      </c>
      <c r="C1095" s="1" t="n">
        <v>46025</v>
      </c>
      <c r="D1095" t="inlineStr">
        <is>
          <t>STOCKHOLMS LÄN</t>
        </is>
      </c>
      <c r="E1095" t="inlineStr">
        <is>
          <t>NORRTÄLJE</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25702-2025</t>
        </is>
      </c>
      <c r="B1096" s="1" t="n">
        <v>45800</v>
      </c>
      <c r="C1096" s="1" t="n">
        <v>46025</v>
      </c>
      <c r="D1096" t="inlineStr">
        <is>
          <t>STOCKHOLMS LÄN</t>
        </is>
      </c>
      <c r="E1096" t="inlineStr">
        <is>
          <t>NORRTÄLJE</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25721-2025</t>
        </is>
      </c>
      <c r="B1097" s="1" t="n">
        <v>45800</v>
      </c>
      <c r="C1097" s="1" t="n">
        <v>46025</v>
      </c>
      <c r="D1097" t="inlineStr">
        <is>
          <t>STOCKHOLMS LÄN</t>
        </is>
      </c>
      <c r="E1097" t="inlineStr">
        <is>
          <t>NORRTÄLJE</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25733-2025</t>
        </is>
      </c>
      <c r="B1098" s="1" t="n">
        <v>45800</v>
      </c>
      <c r="C1098" s="1" t="n">
        <v>46025</v>
      </c>
      <c r="D1098" t="inlineStr">
        <is>
          <t>STOCKHOLMS LÄN</t>
        </is>
      </c>
      <c r="E1098" t="inlineStr">
        <is>
          <t>NORRTÄLJE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25571-2025</t>
        </is>
      </c>
      <c r="B1099" s="1" t="n">
        <v>45803.4675</v>
      </c>
      <c r="C1099" s="1" t="n">
        <v>46025</v>
      </c>
      <c r="D1099" t="inlineStr">
        <is>
          <t>STOCKHOLMS LÄN</t>
        </is>
      </c>
      <c r="E1099" t="inlineStr">
        <is>
          <t>NORRTÄLJE</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53561-2023</t>
        </is>
      </c>
      <c r="B1100" s="1" t="n">
        <v>45224</v>
      </c>
      <c r="C1100" s="1" t="n">
        <v>46025</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25712-2025</t>
        </is>
      </c>
      <c r="B1101" s="1" t="n">
        <v>45803.69228009259</v>
      </c>
      <c r="C1101" s="1" t="n">
        <v>46025</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41218-2024</t>
        </is>
      </c>
      <c r="B1102" s="1" t="n">
        <v>45559.54706018518</v>
      </c>
      <c r="C1102" s="1" t="n">
        <v>46025</v>
      </c>
      <c r="D1102" t="inlineStr">
        <is>
          <t>STOCKHOLMS LÄN</t>
        </is>
      </c>
      <c r="E1102" t="inlineStr">
        <is>
          <t>NORRTÄLJE</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26051-2025</t>
        </is>
      </c>
      <c r="B1103" s="1" t="n">
        <v>45804.74479166666</v>
      </c>
      <c r="C1103" s="1" t="n">
        <v>46025</v>
      </c>
      <c r="D1103" t="inlineStr">
        <is>
          <t>STOCKHOLMS LÄN</t>
        </is>
      </c>
      <c r="E1103" t="inlineStr">
        <is>
          <t>NORRTÄLJE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39238-2024</t>
        </is>
      </c>
      <c r="B1104" s="1" t="n">
        <v>45549</v>
      </c>
      <c r="C1104" s="1" t="n">
        <v>46025</v>
      </c>
      <c r="D1104" t="inlineStr">
        <is>
          <t>STOCKHOLMS LÄN</t>
        </is>
      </c>
      <c r="E1104" t="inlineStr">
        <is>
          <t>NORRTÄLJE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38449-2022</t>
        </is>
      </c>
      <c r="B1105" s="1" t="n">
        <v>44813</v>
      </c>
      <c r="C1105" s="1" t="n">
        <v>46025</v>
      </c>
      <c r="D1105" t="inlineStr">
        <is>
          <t>STOCKHOLMS LÄN</t>
        </is>
      </c>
      <c r="E1105" t="inlineStr">
        <is>
          <t>NORRTÄLJE</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25697-2025</t>
        </is>
      </c>
      <c r="B1106" s="1" t="n">
        <v>45803.66587962963</v>
      </c>
      <c r="C1106" s="1" t="n">
        <v>46025</v>
      </c>
      <c r="D1106" t="inlineStr">
        <is>
          <t>STOCKHOLMS LÄN</t>
        </is>
      </c>
      <c r="E1106" t="inlineStr">
        <is>
          <t>NORRTÄLJE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47259-2024</t>
        </is>
      </c>
      <c r="B1107" s="1" t="n">
        <v>45586</v>
      </c>
      <c r="C1107" s="1" t="n">
        <v>46025</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34478-2025</t>
        </is>
      </c>
      <c r="B1108" s="1" t="n">
        <v>45847.37414351852</v>
      </c>
      <c r="C1108" s="1" t="n">
        <v>46025</v>
      </c>
      <c r="D1108" t="inlineStr">
        <is>
          <t>STOCKHOLMS LÄN</t>
        </is>
      </c>
      <c r="E1108" t="inlineStr">
        <is>
          <t>NORRTÄLJE</t>
        </is>
      </c>
      <c r="F1108" t="inlineStr">
        <is>
          <t>Övriga Aktiebolag</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26675-2025</t>
        </is>
      </c>
      <c r="B1109" s="1" t="n">
        <v>45810.42393518519</v>
      </c>
      <c r="C1109" s="1" t="n">
        <v>46025</v>
      </c>
      <c r="D1109" t="inlineStr">
        <is>
          <t>STOCKHOLMS LÄN</t>
        </is>
      </c>
      <c r="E1109" t="inlineStr">
        <is>
          <t>NORRTÄLJE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23061-2025</t>
        </is>
      </c>
      <c r="B1110" s="1" t="n">
        <v>45790.81410879629</v>
      </c>
      <c r="C1110" s="1" t="n">
        <v>46025</v>
      </c>
      <c r="D1110" t="inlineStr">
        <is>
          <t>STOCKHOLMS LÄN</t>
        </is>
      </c>
      <c r="E1110" t="inlineStr">
        <is>
          <t>NORRTÄLJE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26747-2025</t>
        </is>
      </c>
      <c r="B1111" s="1" t="n">
        <v>45810.5333912037</v>
      </c>
      <c r="C1111" s="1" t="n">
        <v>46025</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26702-2025</t>
        </is>
      </c>
      <c r="B1112" s="1" t="n">
        <v>45810.45236111111</v>
      </c>
      <c r="C1112" s="1" t="n">
        <v>46025</v>
      </c>
      <c r="D1112" t="inlineStr">
        <is>
          <t>STOCKHOLMS LÄN</t>
        </is>
      </c>
      <c r="E1112" t="inlineStr">
        <is>
          <t>NORRTÄLJE</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26708-2025</t>
        </is>
      </c>
      <c r="B1113" s="1" t="n">
        <v>45810.45633101852</v>
      </c>
      <c r="C1113" s="1" t="n">
        <v>46025</v>
      </c>
      <c r="D1113" t="inlineStr">
        <is>
          <t>STOCKHOLMS LÄN</t>
        </is>
      </c>
      <c r="E1113" t="inlineStr">
        <is>
          <t>NORRTÄLJE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27040-2025</t>
        </is>
      </c>
      <c r="B1114" s="1" t="n">
        <v>45811.60451388889</v>
      </c>
      <c r="C1114" s="1" t="n">
        <v>46025</v>
      </c>
      <c r="D1114" t="inlineStr">
        <is>
          <t>STOCKHOLMS LÄN</t>
        </is>
      </c>
      <c r="E1114" t="inlineStr">
        <is>
          <t>NORRTÄLJE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27697-2025</t>
        </is>
      </c>
      <c r="B1115" s="1" t="n">
        <v>45813.66961805556</v>
      </c>
      <c r="C1115" s="1" t="n">
        <v>46025</v>
      </c>
      <c r="D1115" t="inlineStr">
        <is>
          <t>STOCKHOLMS LÄN</t>
        </is>
      </c>
      <c r="E1115" t="inlineStr">
        <is>
          <t>NORRTÄLJE</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27700-2025</t>
        </is>
      </c>
      <c r="B1116" s="1" t="n">
        <v>45813.6799537037</v>
      </c>
      <c r="C1116" s="1" t="n">
        <v>46025</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27554-2025</t>
        </is>
      </c>
      <c r="B1117" s="1" t="n">
        <v>45813.4709375</v>
      </c>
      <c r="C1117" s="1" t="n">
        <v>46025</v>
      </c>
      <c r="D1117" t="inlineStr">
        <is>
          <t>STOCKHOLMS LÄN</t>
        </is>
      </c>
      <c r="E1117" t="inlineStr">
        <is>
          <t>NORRTÄLJE</t>
        </is>
      </c>
      <c r="F1117" t="inlineStr">
        <is>
          <t>Övriga Aktiebolag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11901-2024</t>
        </is>
      </c>
      <c r="B1118" s="1" t="n">
        <v>45376.55638888889</v>
      </c>
      <c r="C1118" s="1" t="n">
        <v>46025</v>
      </c>
      <c r="D1118" t="inlineStr">
        <is>
          <t>STOCKHOLMS LÄN</t>
        </is>
      </c>
      <c r="E1118" t="inlineStr">
        <is>
          <t>NORRTÄLJE</t>
        </is>
      </c>
      <c r="F1118" t="inlineStr">
        <is>
          <t>Holmen skog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27802-2025</t>
        </is>
      </c>
      <c r="B1119" s="1" t="n">
        <v>45817.2565625</v>
      </c>
      <c r="C1119" s="1" t="n">
        <v>46025</v>
      </c>
      <c r="D1119" t="inlineStr">
        <is>
          <t>STOCKHOLMS LÄN</t>
        </is>
      </c>
      <c r="E1119" t="inlineStr">
        <is>
          <t>NORRTÄLJE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27806-2025</t>
        </is>
      </c>
      <c r="B1120" s="1" t="n">
        <v>45817.30329861111</v>
      </c>
      <c r="C1120" s="1" t="n">
        <v>46025</v>
      </c>
      <c r="D1120" t="inlineStr">
        <is>
          <t>STOCKHOLMS LÄN</t>
        </is>
      </c>
      <c r="E1120" t="inlineStr">
        <is>
          <t>NORRTÄLJE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27808-2025</t>
        </is>
      </c>
      <c r="B1121" s="1" t="n">
        <v>45817.31085648148</v>
      </c>
      <c r="C1121" s="1" t="n">
        <v>46025</v>
      </c>
      <c r="D1121" t="inlineStr">
        <is>
          <t>STOCKHOLMS LÄN</t>
        </is>
      </c>
      <c r="E1121" t="inlineStr">
        <is>
          <t>NORRTÄLJE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27810-2025</t>
        </is>
      </c>
      <c r="B1122" s="1" t="n">
        <v>45817.31708333334</v>
      </c>
      <c r="C1122" s="1" t="n">
        <v>46025</v>
      </c>
      <c r="D1122" t="inlineStr">
        <is>
          <t>STOCKHOLMS LÄN</t>
        </is>
      </c>
      <c r="E1122" t="inlineStr">
        <is>
          <t>NORRTÄLJE</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27811-2025</t>
        </is>
      </c>
      <c r="B1123" s="1" t="n">
        <v>45817.31986111111</v>
      </c>
      <c r="C1123" s="1" t="n">
        <v>46025</v>
      </c>
      <c r="D1123" t="inlineStr">
        <is>
          <t>STOCKHOLMS LÄN</t>
        </is>
      </c>
      <c r="E1123" t="inlineStr">
        <is>
          <t>NORRTÄLJE</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27818-2025</t>
        </is>
      </c>
      <c r="B1124" s="1" t="n">
        <v>45817.33503472222</v>
      </c>
      <c r="C1124" s="1" t="n">
        <v>46025</v>
      </c>
      <c r="D1124" t="inlineStr">
        <is>
          <t>STOCKHOLMS LÄN</t>
        </is>
      </c>
      <c r="E1124" t="inlineStr">
        <is>
          <t>NORRTÄLJE</t>
        </is>
      </c>
      <c r="F1124" t="inlineStr">
        <is>
          <t>Sveaskog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15528-2025</t>
        </is>
      </c>
      <c r="B1125" s="1" t="n">
        <v>45747.63471064815</v>
      </c>
      <c r="C1125" s="1" t="n">
        <v>46025</v>
      </c>
      <c r="D1125" t="inlineStr">
        <is>
          <t>STOCKHOLMS LÄN</t>
        </is>
      </c>
      <c r="E1125" t="inlineStr">
        <is>
          <t>NORRTÄLJE</t>
        </is>
      </c>
      <c r="G1125" t="n">
        <v>10</v>
      </c>
      <c r="H1125" t="n">
        <v>0</v>
      </c>
      <c r="I1125" t="n">
        <v>0</v>
      </c>
      <c r="J1125" t="n">
        <v>0</v>
      </c>
      <c r="K1125" t="n">
        <v>0</v>
      </c>
      <c r="L1125" t="n">
        <v>0</v>
      </c>
      <c r="M1125" t="n">
        <v>0</v>
      </c>
      <c r="N1125" t="n">
        <v>0</v>
      </c>
      <c r="O1125" t="n">
        <v>0</v>
      </c>
      <c r="P1125" t="n">
        <v>0</v>
      </c>
      <c r="Q1125" t="n">
        <v>0</v>
      </c>
      <c r="R1125" s="2" t="inlineStr"/>
    </row>
    <row r="1126" ht="15" customHeight="1">
      <c r="A1126" t="inlineStr">
        <is>
          <t>A 27803-2025</t>
        </is>
      </c>
      <c r="B1126" s="1" t="n">
        <v>45817.291875</v>
      </c>
      <c r="C1126" s="1" t="n">
        <v>46025</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c r="A1127" t="inlineStr">
        <is>
          <t>A 27813-2025</t>
        </is>
      </c>
      <c r="B1127" s="1" t="n">
        <v>45817.32538194444</v>
      </c>
      <c r="C1127" s="1" t="n">
        <v>46025</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2026-01-03T10:38:11Z</dcterms:created>
  <dcterms:modified xmlns:dcterms="http://purl.org/dc/terms/" xmlns:xsi="http://www.w3.org/2001/XMLSchema-instance" xsi:type="dcterms:W3CDTF">2026-01-03T10:38:11Z</dcterms:modified>
</cp:coreProperties>
</file>