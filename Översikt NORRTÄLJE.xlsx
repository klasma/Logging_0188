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46173</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46173</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46173</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46173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46173</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46173</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46173</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46173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46173</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639-2026</t>
        </is>
      </c>
      <c r="B20" s="1" t="n">
        <v>46029</v>
      </c>
      <c r="C20" s="1" t="n">
        <v>46173</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46173</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46173</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46173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46173</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46173</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73093-2021</t>
        </is>
      </c>
      <c r="B26" s="1" t="n">
        <v>44550</v>
      </c>
      <c r="C26" s="1" t="n">
        <v>46173</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50326-2024</t>
        </is>
      </c>
      <c r="B27" s="1" t="n">
        <v>45600</v>
      </c>
      <c r="C27" s="1" t="n">
        <v>46173</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46173</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47951-2025</t>
        </is>
      </c>
      <c r="B29" s="1" t="n">
        <v>45932.58491898148</v>
      </c>
      <c r="C29" s="1" t="n">
        <v>46173</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46173</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59582-2024</t>
        </is>
      </c>
      <c r="B31" s="1" t="n">
        <v>45638</v>
      </c>
      <c r="C31" s="1" t="n">
        <v>46173</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46173</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46173</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15278-2024</t>
        </is>
      </c>
      <c r="B34" s="1" t="n">
        <v>45400.5958912037</v>
      </c>
      <c r="C34" s="1" t="n">
        <v>46173</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46173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47346-2021</t>
        </is>
      </c>
      <c r="B36" s="1" t="n">
        <v>44447</v>
      </c>
      <c r="C36" s="1" t="n">
        <v>46173</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34528-2025</t>
        </is>
      </c>
      <c r="B37" s="1" t="n">
        <v>45847.48436342592</v>
      </c>
      <c r="C37" s="1" t="n">
        <v>46173</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46173</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46173</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46173</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46173</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72111-2021</t>
        </is>
      </c>
      <c r="B43" s="1" t="n">
        <v>44544</v>
      </c>
      <c r="C43" s="1" t="n">
        <v>46173</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46173</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56791-2025</t>
        </is>
      </c>
      <c r="B45" s="1" t="n">
        <v>45978</v>
      </c>
      <c r="C45" s="1" t="n">
        <v>46173</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15913-2026</t>
        </is>
      </c>
      <c r="B46" s="1" t="n">
        <v>46107</v>
      </c>
      <c r="C46" s="1" t="n">
        <v>46173</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15925-2026</t>
        </is>
      </c>
      <c r="B47" s="1" t="n">
        <v>46107</v>
      </c>
      <c r="C47" s="1" t="n">
        <v>46173</v>
      </c>
      <c r="D47" t="inlineStr">
        <is>
          <t>STOCKHOLMS LÄN</t>
        </is>
      </c>
      <c r="E47" t="inlineStr">
        <is>
          <t>NORRTÄLJE</t>
        </is>
      </c>
      <c r="G47" t="n">
        <v>2.9</v>
      </c>
      <c r="H47" t="n">
        <v>3</v>
      </c>
      <c r="I47" t="n">
        <v>1</v>
      </c>
      <c r="J47" t="n">
        <v>2</v>
      </c>
      <c r="K47" t="n">
        <v>1</v>
      </c>
      <c r="L47" t="n">
        <v>0</v>
      </c>
      <c r="M47" t="n">
        <v>0</v>
      </c>
      <c r="N47" t="n">
        <v>0</v>
      </c>
      <c r="O47" t="n">
        <v>3</v>
      </c>
      <c r="P47" t="n">
        <v>1</v>
      </c>
      <c r="Q47" t="n">
        <v>5</v>
      </c>
      <c r="R47" s="2" t="inlineStr">
        <is>
          <t>Knärot
Spillkråka
Ullticka
Fjällig taggsvamp s.str.
Blåsippa</t>
        </is>
      </c>
      <c r="S47">
        <f>HYPERLINK("https://klasma.github.io/Logging_0188/artfynd/A 15925-2026 artfynd.xlsx", "A 15925-2026")</f>
        <v/>
      </c>
      <c r="T47">
        <f>HYPERLINK("https://klasma.github.io/Logging_0188/kartor/A 15925-2026 karta.png", "A 15925-2026")</f>
        <v/>
      </c>
      <c r="U47">
        <f>HYPERLINK("https://klasma.github.io/Logging_0188/knärot/A 15925-2026 karta knärot.png", "A 15925-2026")</f>
        <v/>
      </c>
      <c r="V47">
        <f>HYPERLINK("https://klasma.github.io/Logging_0188/klagomål/A 15925-2026 FSC-klagomål.docx", "A 15925-2026")</f>
        <v/>
      </c>
      <c r="W47">
        <f>HYPERLINK("https://klasma.github.io/Logging_0188/klagomålsmail/A 15925-2026 FSC-klagomål mail.docx", "A 15925-2026")</f>
        <v/>
      </c>
      <c r="X47">
        <f>HYPERLINK("https://klasma.github.io/Logging_0188/tillsyn/A 15925-2026 tillsynsbegäran.docx", "A 15925-2026")</f>
        <v/>
      </c>
      <c r="Y47">
        <f>HYPERLINK("https://klasma.github.io/Logging_0188/tillsynsmail/A 15925-2026 tillsynsbegäran mail.docx", "A 15925-2026")</f>
        <v/>
      </c>
      <c r="Z47">
        <f>HYPERLINK("https://klasma.github.io/Logging_0188/fåglar/A 15925-2026 prioriterade fågelarter.docx", "A 15925-2026")</f>
        <v/>
      </c>
    </row>
    <row r="48" ht="15" customHeight="1">
      <c r="A48" t="inlineStr">
        <is>
          <t>A 22071-2022</t>
        </is>
      </c>
      <c r="B48" s="1" t="n">
        <v>44711</v>
      </c>
      <c r="C48" s="1" t="n">
        <v>46173</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46173</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41276-2025</t>
        </is>
      </c>
      <c r="B50" s="1" t="n">
        <v>45898.62723379629</v>
      </c>
      <c r="C50" s="1" t="n">
        <v>46173</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46173</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44709-2022</t>
        </is>
      </c>
      <c r="B52" s="1" t="n">
        <v>44839</v>
      </c>
      <c r="C52" s="1" t="n">
        <v>46173</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47212-2025</t>
        </is>
      </c>
      <c r="B53" s="1" t="n">
        <v>45930</v>
      </c>
      <c r="C53" s="1" t="n">
        <v>46173</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21730-2025</t>
        </is>
      </c>
      <c r="B54" s="1" t="n">
        <v>45783.58123842593</v>
      </c>
      <c r="C54" s="1" t="n">
        <v>46173</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46173</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34521-2025</t>
        </is>
      </c>
      <c r="B56" s="1" t="n">
        <v>45847.47052083333</v>
      </c>
      <c r="C56" s="1" t="n">
        <v>46173</v>
      </c>
      <c r="D56" t="inlineStr">
        <is>
          <t>STOCKHOLMS LÄN</t>
        </is>
      </c>
      <c r="E56" t="inlineStr">
        <is>
          <t>NORRTÄLJE</t>
        </is>
      </c>
      <c r="G56" t="n">
        <v>4.3</v>
      </c>
      <c r="H56" t="n">
        <v>0</v>
      </c>
      <c r="I56" t="n">
        <v>2</v>
      </c>
      <c r="J56" t="n">
        <v>2</v>
      </c>
      <c r="K56" t="n">
        <v>0</v>
      </c>
      <c r="L56" t="n">
        <v>0</v>
      </c>
      <c r="M56" t="n">
        <v>0</v>
      </c>
      <c r="N56" t="n">
        <v>0</v>
      </c>
      <c r="O56" t="n">
        <v>2</v>
      </c>
      <c r="P56" t="n">
        <v>0</v>
      </c>
      <c r="Q56" t="n">
        <v>4</v>
      </c>
      <c r="R56" s="2" t="inlineStr">
        <is>
          <t>Kandelabersvamp
Vedtrappmossa
Anisspindling
Stor aspticka</t>
        </is>
      </c>
      <c r="S56">
        <f>HYPERLINK("https://klasma.github.io/Logging_0188/artfynd/A 34521-2025 artfynd.xlsx", "A 34521-2025")</f>
        <v/>
      </c>
      <c r="T56">
        <f>HYPERLINK("https://klasma.github.io/Logging_0188/kartor/A 34521-2025 karta.png", "A 34521-2025")</f>
        <v/>
      </c>
      <c r="V56">
        <f>HYPERLINK("https://klasma.github.io/Logging_0188/klagomål/A 34521-2025 FSC-klagomål.docx", "A 34521-2025")</f>
        <v/>
      </c>
      <c r="W56">
        <f>HYPERLINK("https://klasma.github.io/Logging_0188/klagomålsmail/A 34521-2025 FSC-klagomål mail.docx", "A 34521-2025")</f>
        <v/>
      </c>
      <c r="X56">
        <f>HYPERLINK("https://klasma.github.io/Logging_0188/tillsyn/A 34521-2025 tillsynsbegäran.docx", "A 34521-2025")</f>
        <v/>
      </c>
      <c r="Y56">
        <f>HYPERLINK("https://klasma.github.io/Logging_0188/tillsynsmail/A 34521-2025 tillsynsbegäran mail.docx", "A 34521-2025")</f>
        <v/>
      </c>
    </row>
    <row r="57" ht="15" customHeight="1">
      <c r="A57" t="inlineStr">
        <is>
          <t>A 45113-2022</t>
        </is>
      </c>
      <c r="B57" s="1" t="n">
        <v>44843</v>
      </c>
      <c r="C57" s="1" t="n">
        <v>46173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46173</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11031-2025</t>
        </is>
      </c>
      <c r="B60" s="1" t="n">
        <v>45723</v>
      </c>
      <c r="C60" s="1" t="n">
        <v>46173</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46173</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22190-2024</t>
        </is>
      </c>
      <c r="B62" s="1" t="n">
        <v>45446.35888888889</v>
      </c>
      <c r="C62" s="1" t="n">
        <v>46173</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20185-2022</t>
        </is>
      </c>
      <c r="B63" s="1" t="n">
        <v>44698</v>
      </c>
      <c r="C63" s="1" t="n">
        <v>46173</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27870-2022</t>
        </is>
      </c>
      <c r="B64" s="1" t="n">
        <v>44743.64592592593</v>
      </c>
      <c r="C64" s="1" t="n">
        <v>46173</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46173</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52726-2025</t>
        </is>
      </c>
      <c r="B66" s="1" t="n">
        <v>45957.34722222222</v>
      </c>
      <c r="C66" s="1" t="n">
        <v>46173</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54110-2024</t>
        </is>
      </c>
      <c r="B67" s="1" t="n">
        <v>45616.54866898148</v>
      </c>
      <c r="C67" s="1" t="n">
        <v>46173</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46173</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29185-2025</t>
        </is>
      </c>
      <c r="B69" s="1" t="n">
        <v>45821</v>
      </c>
      <c r="C69" s="1" t="n">
        <v>46173</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46173</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46173</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46173</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46173</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46173</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46173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51220-2023</t>
        </is>
      </c>
      <c r="B76" s="1" t="n">
        <v>45219</v>
      </c>
      <c r="C76" s="1" t="n">
        <v>46173</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52124-2022</t>
        </is>
      </c>
      <c r="B77" s="1" t="n">
        <v>44868</v>
      </c>
      <c r="C77" s="1" t="n">
        <v>46173</v>
      </c>
      <c r="D77" t="inlineStr">
        <is>
          <t>STOCKHOLMS LÄN</t>
        </is>
      </c>
      <c r="E77" t="inlineStr">
        <is>
          <t>NORRTÄLJE</t>
        </is>
      </c>
      <c r="G77" t="n">
        <v>4.8</v>
      </c>
      <c r="H77" t="n">
        <v>1</v>
      </c>
      <c r="I77" t="n">
        <v>0</v>
      </c>
      <c r="J77" t="n">
        <v>1</v>
      </c>
      <c r="K77" t="n">
        <v>0</v>
      </c>
      <c r="L77" t="n">
        <v>0</v>
      </c>
      <c r="M77" t="n">
        <v>0</v>
      </c>
      <c r="N77" t="n">
        <v>0</v>
      </c>
      <c r="O77" t="n">
        <v>1</v>
      </c>
      <c r="P77" t="n">
        <v>0</v>
      </c>
      <c r="Q77" t="n">
        <v>2</v>
      </c>
      <c r="R77" s="2" t="inlineStr">
        <is>
          <t>Kandelabersvamp
Blåsippa</t>
        </is>
      </c>
      <c r="S77">
        <f>HYPERLINK("https://klasma.github.io/Logging_0188/artfynd/A 52124-2022 artfynd.xlsx", "A 52124-2022")</f>
        <v/>
      </c>
      <c r="T77">
        <f>HYPERLINK("https://klasma.github.io/Logging_0188/kartor/A 52124-2022 karta.png", "A 52124-2022")</f>
        <v/>
      </c>
      <c r="V77">
        <f>HYPERLINK("https://klasma.github.io/Logging_0188/klagomål/A 52124-2022 FSC-klagomål.docx", "A 52124-2022")</f>
        <v/>
      </c>
      <c r="W77">
        <f>HYPERLINK("https://klasma.github.io/Logging_0188/klagomålsmail/A 52124-2022 FSC-klagomål mail.docx", "A 52124-2022")</f>
        <v/>
      </c>
      <c r="X77">
        <f>HYPERLINK("https://klasma.github.io/Logging_0188/tillsyn/A 52124-2022 tillsynsbegäran.docx", "A 52124-2022")</f>
        <v/>
      </c>
      <c r="Y77">
        <f>HYPERLINK("https://klasma.github.io/Logging_0188/tillsynsmail/A 52124-2022 tillsynsbegäran mail.docx", "A 52124-2022")</f>
        <v/>
      </c>
    </row>
    <row r="78" ht="15" customHeight="1">
      <c r="A78" t="inlineStr">
        <is>
          <t>A 52825-2023</t>
        </is>
      </c>
      <c r="B78" s="1" t="n">
        <v>45226</v>
      </c>
      <c r="C78" s="1" t="n">
        <v>46173</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16260-2022</t>
        </is>
      </c>
      <c r="B79" s="1" t="n">
        <v>44670</v>
      </c>
      <c r="C79" s="1" t="n">
        <v>46173</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52360-2024</t>
        </is>
      </c>
      <c r="B80" s="1" t="n">
        <v>45609.37094907407</v>
      </c>
      <c r="C80" s="1" t="n">
        <v>46173</v>
      </c>
      <c r="D80" t="inlineStr">
        <is>
          <t>STOCKHOLMS LÄN</t>
        </is>
      </c>
      <c r="E80" t="inlineStr">
        <is>
          <t>NORRTÄLJE</t>
        </is>
      </c>
      <c r="G80" t="n">
        <v>2.2</v>
      </c>
      <c r="H80" t="n">
        <v>1</v>
      </c>
      <c r="I80" t="n">
        <v>1</v>
      </c>
      <c r="J80" t="n">
        <v>0</v>
      </c>
      <c r="K80" t="n">
        <v>0</v>
      </c>
      <c r="L80" t="n">
        <v>0</v>
      </c>
      <c r="M80" t="n">
        <v>0</v>
      </c>
      <c r="N80" t="n">
        <v>0</v>
      </c>
      <c r="O80" t="n">
        <v>0</v>
      </c>
      <c r="P80" t="n">
        <v>0</v>
      </c>
      <c r="Q80" t="n">
        <v>2</v>
      </c>
      <c r="R80" s="2" t="inlineStr">
        <is>
          <t>Brandticka
Blåsippa</t>
        </is>
      </c>
      <c r="S80">
        <f>HYPERLINK("https://klasma.github.io/Logging_0188/artfynd/A 52360-2024 artfynd.xlsx", "A 52360-2024")</f>
        <v/>
      </c>
      <c r="T80">
        <f>HYPERLINK("https://klasma.github.io/Logging_0188/kartor/A 52360-2024 karta.png", "A 52360-2024")</f>
        <v/>
      </c>
      <c r="V80">
        <f>HYPERLINK("https://klasma.github.io/Logging_0188/klagomål/A 52360-2024 FSC-klagomål.docx", "A 52360-2024")</f>
        <v/>
      </c>
      <c r="W80">
        <f>HYPERLINK("https://klasma.github.io/Logging_0188/klagomålsmail/A 52360-2024 FSC-klagomål mail.docx", "A 52360-2024")</f>
        <v/>
      </c>
      <c r="X80">
        <f>HYPERLINK("https://klasma.github.io/Logging_0188/tillsyn/A 52360-2024 tillsynsbegäran.docx", "A 52360-2024")</f>
        <v/>
      </c>
      <c r="Y80">
        <f>HYPERLINK("https://klasma.github.io/Logging_0188/tillsynsmail/A 52360-2024 tillsynsbegäran mail.docx", "A 52360-2024")</f>
        <v/>
      </c>
    </row>
    <row r="81" ht="15" customHeight="1">
      <c r="A81" t="inlineStr">
        <is>
          <t>A 17952-2022</t>
        </is>
      </c>
      <c r="B81" s="1" t="n">
        <v>44683</v>
      </c>
      <c r="C81" s="1" t="n">
        <v>46173</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50697-2025</t>
        </is>
      </c>
      <c r="B82" s="1" t="n">
        <v>45945.90854166666</v>
      </c>
      <c r="C82" s="1" t="n">
        <v>46173</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51980-2022</t>
        </is>
      </c>
      <c r="B83" s="1" t="n">
        <v>44872</v>
      </c>
      <c r="C83" s="1" t="n">
        <v>46173</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33548-2025</t>
        </is>
      </c>
      <c r="B84" s="1" t="n">
        <v>45841.5721875</v>
      </c>
      <c r="C84" s="1" t="n">
        <v>46173</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53608-2025</t>
        </is>
      </c>
      <c r="B85" s="1" t="n">
        <v>45960</v>
      </c>
      <c r="C85" s="1" t="n">
        <v>46173</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21781-2026</t>
        </is>
      </c>
      <c r="B86" s="1" t="n">
        <v>46150.37699074074</v>
      </c>
      <c r="C86" s="1" t="n">
        <v>46173</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23548-2026</t>
        </is>
      </c>
      <c r="B87" s="1" t="n">
        <v>46163.57045138889</v>
      </c>
      <c r="C87" s="1" t="n">
        <v>46173</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46173</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46173</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46173</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46173</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46173</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47898-2022</t>
        </is>
      </c>
      <c r="B93" s="1" t="n">
        <v>44855</v>
      </c>
      <c r="C93" s="1" t="n">
        <v>46173</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46173</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46173</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11429-2023</t>
        </is>
      </c>
      <c r="B96" s="1" t="n">
        <v>44993</v>
      </c>
      <c r="C96" s="1" t="n">
        <v>46173</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31281-2022</t>
        </is>
      </c>
      <c r="B97" s="1" t="n">
        <v>44771</v>
      </c>
      <c r="C97" s="1" t="n">
        <v>46173</v>
      </c>
      <c r="D97" t="inlineStr">
        <is>
          <t>STOCKHOLMS LÄN</t>
        </is>
      </c>
      <c r="E97" t="inlineStr">
        <is>
          <t>NORRTÄLJE</t>
        </is>
      </c>
      <c r="F97" t="inlineStr">
        <is>
          <t>Holmen skog AB</t>
        </is>
      </c>
      <c r="G97" t="n">
        <v>5.2</v>
      </c>
      <c r="H97" t="n">
        <v>1</v>
      </c>
      <c r="I97" t="n">
        <v>0</v>
      </c>
      <c r="J97" t="n">
        <v>1</v>
      </c>
      <c r="K97" t="n">
        <v>0</v>
      </c>
      <c r="L97" t="n">
        <v>0</v>
      </c>
      <c r="M97" t="n">
        <v>0</v>
      </c>
      <c r="N97" t="n">
        <v>0</v>
      </c>
      <c r="O97" t="n">
        <v>1</v>
      </c>
      <c r="P97" t="n">
        <v>0</v>
      </c>
      <c r="Q97" t="n">
        <v>1</v>
      </c>
      <c r="R97" s="2" t="inlineStr">
        <is>
          <t>Kråka</t>
        </is>
      </c>
      <c r="S97">
        <f>HYPERLINK("https://klasma.github.io/Logging_0188/artfynd/A 31281-2022 artfynd.xlsx", "A 31281-2022")</f>
        <v/>
      </c>
      <c r="T97">
        <f>HYPERLINK("https://klasma.github.io/Logging_0188/kartor/A 31281-2022 karta.png", "A 31281-2022")</f>
        <v/>
      </c>
      <c r="V97">
        <f>HYPERLINK("https://klasma.github.io/Logging_0188/klagomål/A 31281-2022 FSC-klagomål.docx", "A 31281-2022")</f>
        <v/>
      </c>
      <c r="W97">
        <f>HYPERLINK("https://klasma.github.io/Logging_0188/klagomålsmail/A 31281-2022 FSC-klagomål mail.docx", "A 31281-2022")</f>
        <v/>
      </c>
      <c r="X97">
        <f>HYPERLINK("https://klasma.github.io/Logging_0188/tillsyn/A 31281-2022 tillsynsbegäran.docx", "A 31281-2022")</f>
        <v/>
      </c>
      <c r="Y97">
        <f>HYPERLINK("https://klasma.github.io/Logging_0188/tillsynsmail/A 31281-2022 tillsynsbegäran mail.docx", "A 31281-2022")</f>
        <v/>
      </c>
      <c r="Z97">
        <f>HYPERLINK("https://klasma.github.io/Logging_0188/fåglar/A 31281-2022 prioriterade fågelarter.docx", "A 31281-2022")</f>
        <v/>
      </c>
    </row>
    <row r="98" ht="15" customHeight="1">
      <c r="A98" t="inlineStr">
        <is>
          <t>A 14365-2025</t>
        </is>
      </c>
      <c r="B98" s="1" t="n">
        <v>45741.38688657407</v>
      </c>
      <c r="C98" s="1" t="n">
        <v>46173</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32111-2022</t>
        </is>
      </c>
      <c r="B99" s="1" t="n">
        <v>44778.92797453704</v>
      </c>
      <c r="C99" s="1" t="n">
        <v>46173</v>
      </c>
      <c r="D99" t="inlineStr">
        <is>
          <t>STOCKHOLMS LÄN</t>
        </is>
      </c>
      <c r="E99" t="inlineStr">
        <is>
          <t>NORRTÄLJE</t>
        </is>
      </c>
      <c r="G99" t="n">
        <v>3.1</v>
      </c>
      <c r="H99" t="n">
        <v>0</v>
      </c>
      <c r="I99" t="n">
        <v>0</v>
      </c>
      <c r="J99" t="n">
        <v>1</v>
      </c>
      <c r="K99" t="n">
        <v>0</v>
      </c>
      <c r="L99" t="n">
        <v>0</v>
      </c>
      <c r="M99" t="n">
        <v>0</v>
      </c>
      <c r="N99" t="n">
        <v>0</v>
      </c>
      <c r="O99" t="n">
        <v>1</v>
      </c>
      <c r="P99" t="n">
        <v>0</v>
      </c>
      <c r="Q99" t="n">
        <v>1</v>
      </c>
      <c r="R99" s="2" t="inlineStr">
        <is>
          <t>Orange taggsvamp</t>
        </is>
      </c>
      <c r="S99">
        <f>HYPERLINK("https://klasma.github.io/Logging_0188/artfynd/A 32111-2022 artfynd.xlsx", "A 32111-2022")</f>
        <v/>
      </c>
      <c r="T99">
        <f>HYPERLINK("https://klasma.github.io/Logging_0188/kartor/A 32111-2022 karta.png", "A 32111-2022")</f>
        <v/>
      </c>
      <c r="V99">
        <f>HYPERLINK("https://klasma.github.io/Logging_0188/klagomål/A 32111-2022 FSC-klagomål.docx", "A 32111-2022")</f>
        <v/>
      </c>
      <c r="W99">
        <f>HYPERLINK("https://klasma.github.io/Logging_0188/klagomålsmail/A 32111-2022 FSC-klagomål mail.docx", "A 32111-2022")</f>
        <v/>
      </c>
      <c r="X99">
        <f>HYPERLINK("https://klasma.github.io/Logging_0188/tillsyn/A 32111-2022 tillsynsbegäran.docx", "A 32111-2022")</f>
        <v/>
      </c>
      <c r="Y99">
        <f>HYPERLINK("https://klasma.github.io/Logging_0188/tillsynsmail/A 32111-2022 tillsynsbegäran mail.docx", "A 32111-2022")</f>
        <v/>
      </c>
    </row>
    <row r="100" ht="15" customHeight="1">
      <c r="A100" t="inlineStr">
        <is>
          <t>A 4532-2025</t>
        </is>
      </c>
      <c r="B100" s="1" t="n">
        <v>45687.34177083334</v>
      </c>
      <c r="C100" s="1" t="n">
        <v>46173</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35691-2023</t>
        </is>
      </c>
      <c r="B101" s="1" t="n">
        <v>45147.65222222222</v>
      </c>
      <c r="C101" s="1" t="n">
        <v>46173</v>
      </c>
      <c r="D101" t="inlineStr">
        <is>
          <t>STOCKHOLMS LÄN</t>
        </is>
      </c>
      <c r="E101" t="inlineStr">
        <is>
          <t>NORRTÄLJE</t>
        </is>
      </c>
      <c r="G101" t="n">
        <v>2.3</v>
      </c>
      <c r="H101" t="n">
        <v>1</v>
      </c>
      <c r="I101" t="n">
        <v>0</v>
      </c>
      <c r="J101" t="n">
        <v>0</v>
      </c>
      <c r="K101" t="n">
        <v>0</v>
      </c>
      <c r="L101" t="n">
        <v>0</v>
      </c>
      <c r="M101" t="n">
        <v>0</v>
      </c>
      <c r="N101" t="n">
        <v>0</v>
      </c>
      <c r="O101" t="n">
        <v>0</v>
      </c>
      <c r="P101" t="n">
        <v>0</v>
      </c>
      <c r="Q101" t="n">
        <v>1</v>
      </c>
      <c r="R101" s="2" t="inlineStr">
        <is>
          <t>Kungsfågel</t>
        </is>
      </c>
      <c r="S101">
        <f>HYPERLINK("https://klasma.github.io/Logging_0188/artfynd/A 35691-2023 artfynd.xlsx", "A 35691-2023")</f>
        <v/>
      </c>
      <c r="T101">
        <f>HYPERLINK("https://klasma.github.io/Logging_0188/kartor/A 35691-2023 karta.png", "A 35691-2023")</f>
        <v/>
      </c>
      <c r="V101">
        <f>HYPERLINK("https://klasma.github.io/Logging_0188/klagomål/A 35691-2023 FSC-klagomål.docx", "A 35691-2023")</f>
        <v/>
      </c>
      <c r="W101">
        <f>HYPERLINK("https://klasma.github.io/Logging_0188/klagomålsmail/A 35691-2023 FSC-klagomål mail.docx", "A 35691-2023")</f>
        <v/>
      </c>
      <c r="X101">
        <f>HYPERLINK("https://klasma.github.io/Logging_0188/tillsyn/A 35691-2023 tillsynsbegäran.docx", "A 35691-2023")</f>
        <v/>
      </c>
      <c r="Y101">
        <f>HYPERLINK("https://klasma.github.io/Logging_0188/tillsynsmail/A 35691-2023 tillsynsbegäran mail.docx", "A 35691-2023")</f>
        <v/>
      </c>
      <c r="Z101">
        <f>HYPERLINK("https://klasma.github.io/Logging_0188/fåglar/A 35691-2023 prioriterade fågelarter.docx", "A 35691-2023")</f>
        <v/>
      </c>
    </row>
    <row r="102" ht="15" customHeight="1">
      <c r="A102" t="inlineStr">
        <is>
          <t>A 35693-2023</t>
        </is>
      </c>
      <c r="B102" s="1" t="n">
        <v>45147.65311342593</v>
      </c>
      <c r="C102" s="1" t="n">
        <v>46173</v>
      </c>
      <c r="D102" t="inlineStr">
        <is>
          <t>STOCKHOLMS LÄN</t>
        </is>
      </c>
      <c r="E102" t="inlineStr">
        <is>
          <t>NORRTÄLJE</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HYPERLINK("https://klasma.github.io/Logging_0188/artfynd/A 35693-2023 artfynd.xlsx", "A 35693-2023")</f>
        <v/>
      </c>
      <c r="T102">
        <f>HYPERLINK("https://klasma.github.io/Logging_0188/kartor/A 35693-2023 karta.png", "A 35693-2023")</f>
        <v/>
      </c>
      <c r="V102">
        <f>HYPERLINK("https://klasma.github.io/Logging_0188/klagomål/A 35693-2023 FSC-klagomål.docx", "A 35693-2023")</f>
        <v/>
      </c>
      <c r="W102">
        <f>HYPERLINK("https://klasma.github.io/Logging_0188/klagomålsmail/A 35693-2023 FSC-klagomål mail.docx", "A 35693-2023")</f>
        <v/>
      </c>
      <c r="X102">
        <f>HYPERLINK("https://klasma.github.io/Logging_0188/tillsyn/A 35693-2023 tillsynsbegäran.docx", "A 35693-2023")</f>
        <v/>
      </c>
      <c r="Y102">
        <f>HYPERLINK("https://klasma.github.io/Logging_0188/tillsynsmail/A 35693-2023 tillsynsbegäran mail.docx", "A 35693-2023")</f>
        <v/>
      </c>
    </row>
    <row r="103" ht="15" customHeight="1">
      <c r="A103" t="inlineStr">
        <is>
          <t>A 4385-2023</t>
        </is>
      </c>
      <c r="B103" s="1" t="n">
        <v>44955.71322916666</v>
      </c>
      <c r="C103" s="1" t="n">
        <v>46173</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4860-2022</t>
        </is>
      </c>
      <c r="B104" s="1" t="n">
        <v>44592</v>
      </c>
      <c r="C104" s="1" t="n">
        <v>46173</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19829-2022</t>
        </is>
      </c>
      <c r="B105" s="1" t="n">
        <v>44695.43527777777</v>
      </c>
      <c r="C105" s="1" t="n">
        <v>46173</v>
      </c>
      <c r="D105" t="inlineStr">
        <is>
          <t>STOCKHOLMS LÄN</t>
        </is>
      </c>
      <c r="E105" t="inlineStr">
        <is>
          <t>NORRTÄLJE</t>
        </is>
      </c>
      <c r="G105" t="n">
        <v>2</v>
      </c>
      <c r="H105" t="n">
        <v>1</v>
      </c>
      <c r="I105" t="n">
        <v>1</v>
      </c>
      <c r="J105" t="n">
        <v>0</v>
      </c>
      <c r="K105" t="n">
        <v>0</v>
      </c>
      <c r="L105" t="n">
        <v>0</v>
      </c>
      <c r="M105" t="n">
        <v>0</v>
      </c>
      <c r="N105" t="n">
        <v>0</v>
      </c>
      <c r="O105" t="n">
        <v>0</v>
      </c>
      <c r="P105" t="n">
        <v>0</v>
      </c>
      <c r="Q105" t="n">
        <v>1</v>
      </c>
      <c r="R105" s="2" t="inlineStr">
        <is>
          <t>Guckusko</t>
        </is>
      </c>
      <c r="S105">
        <f>HYPERLINK("https://klasma.github.io/Logging_0188/artfynd/A 19829-2022 artfynd.xlsx", "A 19829-2022")</f>
        <v/>
      </c>
      <c r="T105">
        <f>HYPERLINK("https://klasma.github.io/Logging_0188/kartor/A 19829-2022 karta.png", "A 19829-2022")</f>
        <v/>
      </c>
      <c r="V105">
        <f>HYPERLINK("https://klasma.github.io/Logging_0188/klagomål/A 19829-2022 FSC-klagomål.docx", "A 19829-2022")</f>
        <v/>
      </c>
      <c r="W105">
        <f>HYPERLINK("https://klasma.github.io/Logging_0188/klagomålsmail/A 19829-2022 FSC-klagomål mail.docx", "A 19829-2022")</f>
        <v/>
      </c>
      <c r="X105">
        <f>HYPERLINK("https://klasma.github.io/Logging_0188/tillsyn/A 19829-2022 tillsynsbegäran.docx", "A 19829-2022")</f>
        <v/>
      </c>
      <c r="Y105">
        <f>HYPERLINK("https://klasma.github.io/Logging_0188/tillsynsmail/A 19829-2022 tillsynsbegäran mail.docx", "A 19829-2022")</f>
        <v/>
      </c>
    </row>
    <row r="106" ht="15" customHeight="1">
      <c r="A106" t="inlineStr">
        <is>
          <t>A 50854-2022</t>
        </is>
      </c>
      <c r="B106" s="1" t="n">
        <v>44863</v>
      </c>
      <c r="C106" s="1" t="n">
        <v>46173</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21150-2022</t>
        </is>
      </c>
      <c r="B107" s="1" t="n">
        <v>44704</v>
      </c>
      <c r="C107" s="1" t="n">
        <v>46173</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21150-2022 artfynd.xlsx", "A 21150-2022")</f>
        <v/>
      </c>
      <c r="T107">
        <f>HYPERLINK("https://klasma.github.io/Logging_0188/kartor/A 21150-2022 karta.png", "A 21150-2022")</f>
        <v/>
      </c>
      <c r="V107">
        <f>HYPERLINK("https://klasma.github.io/Logging_0188/klagomål/A 21150-2022 FSC-klagomål.docx", "A 21150-2022")</f>
        <v/>
      </c>
      <c r="W107">
        <f>HYPERLINK("https://klasma.github.io/Logging_0188/klagomålsmail/A 21150-2022 FSC-klagomål mail.docx", "A 21150-2022")</f>
        <v/>
      </c>
      <c r="X107">
        <f>HYPERLINK("https://klasma.github.io/Logging_0188/tillsyn/A 21150-2022 tillsynsbegäran.docx", "A 21150-2022")</f>
        <v/>
      </c>
      <c r="Y107">
        <f>HYPERLINK("https://klasma.github.io/Logging_0188/tillsynsmail/A 21150-2022 tillsynsbegäran mail.docx", "A 21150-2022")</f>
        <v/>
      </c>
    </row>
    <row r="108" ht="15" customHeight="1">
      <c r="A108" t="inlineStr">
        <is>
          <t>A 28816-2023</t>
        </is>
      </c>
      <c r="B108" s="1" t="n">
        <v>45104</v>
      </c>
      <c r="C108" s="1" t="n">
        <v>46173</v>
      </c>
      <c r="D108" t="inlineStr">
        <is>
          <t>STOCKHOLMS LÄN</t>
        </is>
      </c>
      <c r="E108" t="inlineStr">
        <is>
          <t>NORRTÄLJE</t>
        </is>
      </c>
      <c r="F108" t="inlineStr">
        <is>
          <t>Kommuner</t>
        </is>
      </c>
      <c r="G108" t="n">
        <v>0.5</v>
      </c>
      <c r="H108" t="n">
        <v>1</v>
      </c>
      <c r="I108" t="n">
        <v>0</v>
      </c>
      <c r="J108" t="n">
        <v>0</v>
      </c>
      <c r="K108" t="n">
        <v>0</v>
      </c>
      <c r="L108" t="n">
        <v>0</v>
      </c>
      <c r="M108" t="n">
        <v>0</v>
      </c>
      <c r="N108" t="n">
        <v>0</v>
      </c>
      <c r="O108" t="n">
        <v>0</v>
      </c>
      <c r="P108" t="n">
        <v>0</v>
      </c>
      <c r="Q108" t="n">
        <v>1</v>
      </c>
      <c r="R108" s="2" t="inlineStr">
        <is>
          <t>Kungsfågel</t>
        </is>
      </c>
      <c r="S108">
        <f>HYPERLINK("https://klasma.github.io/Logging_0188/artfynd/A 28816-2023 artfynd.xlsx", "A 28816-2023")</f>
        <v/>
      </c>
      <c r="T108">
        <f>HYPERLINK("https://klasma.github.io/Logging_0188/kartor/A 28816-2023 karta.png", "A 28816-2023")</f>
        <v/>
      </c>
      <c r="V108">
        <f>HYPERLINK("https://klasma.github.io/Logging_0188/klagomål/A 28816-2023 FSC-klagomål.docx", "A 28816-2023")</f>
        <v/>
      </c>
      <c r="W108">
        <f>HYPERLINK("https://klasma.github.io/Logging_0188/klagomålsmail/A 28816-2023 FSC-klagomål mail.docx", "A 28816-2023")</f>
        <v/>
      </c>
      <c r="X108">
        <f>HYPERLINK("https://klasma.github.io/Logging_0188/tillsyn/A 28816-2023 tillsynsbegäran.docx", "A 28816-2023")</f>
        <v/>
      </c>
      <c r="Y108">
        <f>HYPERLINK("https://klasma.github.io/Logging_0188/tillsynsmail/A 28816-2023 tillsynsbegäran mail.docx", "A 28816-2023")</f>
        <v/>
      </c>
      <c r="Z108">
        <f>HYPERLINK("https://klasma.github.io/Logging_0188/fåglar/A 28816-2023 prioriterade fågelarter.docx", "A 28816-2023")</f>
        <v/>
      </c>
    </row>
    <row r="109" ht="15" customHeight="1">
      <c r="A109" t="inlineStr">
        <is>
          <t>A 26120-2024</t>
        </is>
      </c>
      <c r="B109" s="1" t="n">
        <v>45468.45995370371</v>
      </c>
      <c r="C109" s="1" t="n">
        <v>46173</v>
      </c>
      <c r="D109" t="inlineStr">
        <is>
          <t>STOCKHOLMS LÄN</t>
        </is>
      </c>
      <c r="E109" t="inlineStr">
        <is>
          <t>NORRTÄLJE</t>
        </is>
      </c>
      <c r="G109" t="n">
        <v>1.8</v>
      </c>
      <c r="H109" t="n">
        <v>0</v>
      </c>
      <c r="I109" t="n">
        <v>0</v>
      </c>
      <c r="J109" t="n">
        <v>1</v>
      </c>
      <c r="K109" t="n">
        <v>0</v>
      </c>
      <c r="L109" t="n">
        <v>0</v>
      </c>
      <c r="M109" t="n">
        <v>0</v>
      </c>
      <c r="N109" t="n">
        <v>0</v>
      </c>
      <c r="O109" t="n">
        <v>1</v>
      </c>
      <c r="P109" t="n">
        <v>0</v>
      </c>
      <c r="Q109" t="n">
        <v>1</v>
      </c>
      <c r="R109" s="2" t="inlineStr">
        <is>
          <t>Majviva</t>
        </is>
      </c>
      <c r="S109">
        <f>HYPERLINK("https://klasma.github.io/Logging_0188/artfynd/A 26120-2024 artfynd.xlsx", "A 26120-2024")</f>
        <v/>
      </c>
      <c r="T109">
        <f>HYPERLINK("https://klasma.github.io/Logging_0188/kartor/A 26120-2024 karta.png", "A 26120-2024")</f>
        <v/>
      </c>
      <c r="V109">
        <f>HYPERLINK("https://klasma.github.io/Logging_0188/klagomål/A 26120-2024 FSC-klagomål.docx", "A 26120-2024")</f>
        <v/>
      </c>
      <c r="W109">
        <f>HYPERLINK("https://klasma.github.io/Logging_0188/klagomålsmail/A 26120-2024 FSC-klagomål mail.docx", "A 26120-2024")</f>
        <v/>
      </c>
      <c r="X109">
        <f>HYPERLINK("https://klasma.github.io/Logging_0188/tillsyn/A 26120-2024 tillsynsbegäran.docx", "A 26120-2024")</f>
        <v/>
      </c>
      <c r="Y109">
        <f>HYPERLINK("https://klasma.github.io/Logging_0188/tillsynsmail/A 26120-2024 tillsynsbegäran mail.docx", "A 26120-2024")</f>
        <v/>
      </c>
    </row>
    <row r="110" ht="15" customHeight="1">
      <c r="A110" t="inlineStr">
        <is>
          <t>A 40861-2025</t>
        </is>
      </c>
      <c r="B110" s="1" t="n">
        <v>45897.56356481482</v>
      </c>
      <c r="C110" s="1" t="n">
        <v>46173</v>
      </c>
      <c r="D110" t="inlineStr">
        <is>
          <t>STOCKHOLMS LÄN</t>
        </is>
      </c>
      <c r="E110" t="inlineStr">
        <is>
          <t>NORRTÄLJE</t>
        </is>
      </c>
      <c r="G110" t="n">
        <v>4</v>
      </c>
      <c r="H110" t="n">
        <v>0</v>
      </c>
      <c r="I110" t="n">
        <v>0</v>
      </c>
      <c r="J110" t="n">
        <v>1</v>
      </c>
      <c r="K110" t="n">
        <v>0</v>
      </c>
      <c r="L110" t="n">
        <v>0</v>
      </c>
      <c r="M110" t="n">
        <v>0</v>
      </c>
      <c r="N110" t="n">
        <v>0</v>
      </c>
      <c r="O110" t="n">
        <v>1</v>
      </c>
      <c r="P110" t="n">
        <v>0</v>
      </c>
      <c r="Q110" t="n">
        <v>1</v>
      </c>
      <c r="R110" s="2" t="inlineStr">
        <is>
          <t>Skogsklocka</t>
        </is>
      </c>
      <c r="S110">
        <f>HYPERLINK("https://klasma.github.io/Logging_0188/artfynd/A 40861-2025 artfynd.xlsx", "A 40861-2025")</f>
        <v/>
      </c>
      <c r="T110">
        <f>HYPERLINK("https://klasma.github.io/Logging_0188/kartor/A 40861-2025 karta.png", "A 40861-2025")</f>
        <v/>
      </c>
      <c r="V110">
        <f>HYPERLINK("https://klasma.github.io/Logging_0188/klagomål/A 40861-2025 FSC-klagomål.docx", "A 40861-2025")</f>
        <v/>
      </c>
      <c r="W110">
        <f>HYPERLINK("https://klasma.github.io/Logging_0188/klagomålsmail/A 40861-2025 FSC-klagomål mail.docx", "A 40861-2025")</f>
        <v/>
      </c>
      <c r="X110">
        <f>HYPERLINK("https://klasma.github.io/Logging_0188/tillsyn/A 40861-2025 tillsynsbegäran.docx", "A 40861-2025")</f>
        <v/>
      </c>
      <c r="Y110">
        <f>HYPERLINK("https://klasma.github.io/Logging_0188/tillsynsmail/A 40861-2025 tillsynsbegäran mail.docx", "A 40861-2025")</f>
        <v/>
      </c>
    </row>
    <row r="111" ht="15" customHeight="1">
      <c r="A111" t="inlineStr">
        <is>
          <t>A 13291-2025</t>
        </is>
      </c>
      <c r="B111" s="1" t="n">
        <v>45735</v>
      </c>
      <c r="C111" s="1" t="n">
        <v>46173</v>
      </c>
      <c r="D111" t="inlineStr">
        <is>
          <t>STOCKHOLMS LÄN</t>
        </is>
      </c>
      <c r="E111" t="inlineStr">
        <is>
          <t>NORRTÄLJE</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HYPERLINK("https://klasma.github.io/Logging_0188/artfynd/A 13291-2025 artfynd.xlsx", "A 13291-2025")</f>
        <v/>
      </c>
      <c r="T111">
        <f>HYPERLINK("https://klasma.github.io/Logging_0188/kartor/A 13291-2025 karta.png", "A 13291-2025")</f>
        <v/>
      </c>
      <c r="V111">
        <f>HYPERLINK("https://klasma.github.io/Logging_0188/klagomål/A 13291-2025 FSC-klagomål.docx", "A 13291-2025")</f>
        <v/>
      </c>
      <c r="W111">
        <f>HYPERLINK("https://klasma.github.io/Logging_0188/klagomålsmail/A 13291-2025 FSC-klagomål mail.docx", "A 13291-2025")</f>
        <v/>
      </c>
      <c r="X111">
        <f>HYPERLINK("https://klasma.github.io/Logging_0188/tillsyn/A 13291-2025 tillsynsbegäran.docx", "A 13291-2025")</f>
        <v/>
      </c>
      <c r="Y111">
        <f>HYPERLINK("https://klasma.github.io/Logging_0188/tillsynsmail/A 13291-2025 tillsynsbegäran mail.docx", "A 13291-2025")</f>
        <v/>
      </c>
    </row>
    <row r="112" ht="15" customHeight="1">
      <c r="A112" t="inlineStr">
        <is>
          <t>A 13271-2025</t>
        </is>
      </c>
      <c r="B112" s="1" t="n">
        <v>45735.54510416667</v>
      </c>
      <c r="C112" s="1" t="n">
        <v>46173</v>
      </c>
      <c r="D112" t="inlineStr">
        <is>
          <t>STOCKHOLMS LÄN</t>
        </is>
      </c>
      <c r="E112" t="inlineStr">
        <is>
          <t>NORRTÄLJE</t>
        </is>
      </c>
      <c r="G112" t="n">
        <v>7.2</v>
      </c>
      <c r="H112" t="n">
        <v>1</v>
      </c>
      <c r="I112" t="n">
        <v>0</v>
      </c>
      <c r="J112" t="n">
        <v>0</v>
      </c>
      <c r="K112" t="n">
        <v>0</v>
      </c>
      <c r="L112" t="n">
        <v>1</v>
      </c>
      <c r="M112" t="n">
        <v>0</v>
      </c>
      <c r="N112" t="n">
        <v>0</v>
      </c>
      <c r="O112" t="n">
        <v>1</v>
      </c>
      <c r="P112" t="n">
        <v>1</v>
      </c>
      <c r="Q112" t="n">
        <v>1</v>
      </c>
      <c r="R112" s="2" t="inlineStr">
        <is>
          <t>Asknätfjäril</t>
        </is>
      </c>
      <c r="S112">
        <f>HYPERLINK("https://klasma.github.io/Logging_0188/artfynd/A 13271-2025 artfynd.xlsx", "A 13271-2025")</f>
        <v/>
      </c>
      <c r="T112">
        <f>HYPERLINK("https://klasma.github.io/Logging_0188/kartor/A 13271-2025 karta.png", "A 13271-2025")</f>
        <v/>
      </c>
      <c r="V112">
        <f>HYPERLINK("https://klasma.github.io/Logging_0188/klagomål/A 13271-2025 FSC-klagomål.docx", "A 13271-2025")</f>
        <v/>
      </c>
      <c r="W112">
        <f>HYPERLINK("https://klasma.github.io/Logging_0188/klagomålsmail/A 13271-2025 FSC-klagomål mail.docx", "A 13271-2025")</f>
        <v/>
      </c>
      <c r="X112">
        <f>HYPERLINK("https://klasma.github.io/Logging_0188/tillsyn/A 13271-2025 tillsynsbegäran.docx", "A 13271-2025")</f>
        <v/>
      </c>
      <c r="Y112">
        <f>HYPERLINK("https://klasma.github.io/Logging_0188/tillsynsmail/A 13271-2025 tillsynsbegäran mail.docx", "A 13271-2025")</f>
        <v/>
      </c>
    </row>
    <row r="113" ht="15" customHeight="1">
      <c r="A113" t="inlineStr">
        <is>
          <t>A 64456-2023</t>
        </is>
      </c>
      <c r="B113" s="1" t="n">
        <v>45280</v>
      </c>
      <c r="C113" s="1" t="n">
        <v>46173</v>
      </c>
      <c r="D113" t="inlineStr">
        <is>
          <t>STOCKHOLMS LÄN</t>
        </is>
      </c>
      <c r="E113" t="inlineStr">
        <is>
          <t>NORRTÄLJE</t>
        </is>
      </c>
      <c r="G113" t="n">
        <v>2.5</v>
      </c>
      <c r="H113" t="n">
        <v>0</v>
      </c>
      <c r="I113" t="n">
        <v>1</v>
      </c>
      <c r="J113" t="n">
        <v>0</v>
      </c>
      <c r="K113" t="n">
        <v>0</v>
      </c>
      <c r="L113" t="n">
        <v>0</v>
      </c>
      <c r="M113" t="n">
        <v>0</v>
      </c>
      <c r="N113" t="n">
        <v>0</v>
      </c>
      <c r="O113" t="n">
        <v>0</v>
      </c>
      <c r="P113" t="n">
        <v>0</v>
      </c>
      <c r="Q113" t="n">
        <v>1</v>
      </c>
      <c r="R113" s="2" t="inlineStr">
        <is>
          <t>Rödgul trumpetsvamp</t>
        </is>
      </c>
      <c r="S113">
        <f>HYPERLINK("https://klasma.github.io/Logging_0188/artfynd/A 64456-2023 artfynd.xlsx", "A 64456-2023")</f>
        <v/>
      </c>
      <c r="T113">
        <f>HYPERLINK("https://klasma.github.io/Logging_0188/kartor/A 64456-2023 karta.png", "A 64456-2023")</f>
        <v/>
      </c>
      <c r="V113">
        <f>HYPERLINK("https://klasma.github.io/Logging_0188/klagomål/A 64456-2023 FSC-klagomål.docx", "A 64456-2023")</f>
        <v/>
      </c>
      <c r="W113">
        <f>HYPERLINK("https://klasma.github.io/Logging_0188/klagomålsmail/A 64456-2023 FSC-klagomål mail.docx", "A 64456-2023")</f>
        <v/>
      </c>
      <c r="X113">
        <f>HYPERLINK("https://klasma.github.io/Logging_0188/tillsyn/A 64456-2023 tillsynsbegäran.docx", "A 64456-2023")</f>
        <v/>
      </c>
      <c r="Y113">
        <f>HYPERLINK("https://klasma.github.io/Logging_0188/tillsynsmail/A 64456-2023 tillsynsbegäran mail.docx", "A 64456-2023")</f>
        <v/>
      </c>
    </row>
    <row r="114" ht="15" customHeight="1">
      <c r="A114" t="inlineStr">
        <is>
          <t>A 58888-2021</t>
        </is>
      </c>
      <c r="B114" s="1" t="n">
        <v>44489</v>
      </c>
      <c r="C114" s="1" t="n">
        <v>46173</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42313-2025</t>
        </is>
      </c>
      <c r="B115" s="1" t="n">
        <v>45904.6575</v>
      </c>
      <c r="C115" s="1" t="n">
        <v>46173</v>
      </c>
      <c r="D115" t="inlineStr">
        <is>
          <t>STOCKHOLMS LÄN</t>
        </is>
      </c>
      <c r="E115" t="inlineStr">
        <is>
          <t>NORRTÄLJE</t>
        </is>
      </c>
      <c r="G115" t="n">
        <v>1.7</v>
      </c>
      <c r="H115" t="n">
        <v>1</v>
      </c>
      <c r="I115" t="n">
        <v>0</v>
      </c>
      <c r="J115" t="n">
        <v>0</v>
      </c>
      <c r="K115" t="n">
        <v>0</v>
      </c>
      <c r="L115" t="n">
        <v>0</v>
      </c>
      <c r="M115" t="n">
        <v>0</v>
      </c>
      <c r="N115" t="n">
        <v>0</v>
      </c>
      <c r="O115" t="n">
        <v>0</v>
      </c>
      <c r="P115" t="n">
        <v>0</v>
      </c>
      <c r="Q115" t="n">
        <v>1</v>
      </c>
      <c r="R115" s="2" t="inlineStr">
        <is>
          <t>Vanlig padda</t>
        </is>
      </c>
      <c r="S115">
        <f>HYPERLINK("https://klasma.github.io/Logging_0188/artfynd/A 42313-2025 artfynd.xlsx", "A 42313-2025")</f>
        <v/>
      </c>
      <c r="T115">
        <f>HYPERLINK("https://klasma.github.io/Logging_0188/kartor/A 42313-2025 karta.png", "A 42313-2025")</f>
        <v/>
      </c>
      <c r="V115">
        <f>HYPERLINK("https://klasma.github.io/Logging_0188/klagomål/A 42313-2025 FSC-klagomål.docx", "A 42313-2025")</f>
        <v/>
      </c>
      <c r="W115">
        <f>HYPERLINK("https://klasma.github.io/Logging_0188/klagomålsmail/A 42313-2025 FSC-klagomål mail.docx", "A 42313-2025")</f>
        <v/>
      </c>
      <c r="X115">
        <f>HYPERLINK("https://klasma.github.io/Logging_0188/tillsyn/A 42313-2025 tillsynsbegäran.docx", "A 42313-2025")</f>
        <v/>
      </c>
      <c r="Y115">
        <f>HYPERLINK("https://klasma.github.io/Logging_0188/tillsynsmail/A 42313-2025 tillsynsbegäran mail.docx", "A 42313-2025")</f>
        <v/>
      </c>
    </row>
    <row r="116" ht="15" customHeight="1">
      <c r="A116" t="inlineStr">
        <is>
          <t>A 52508-2023</t>
        </is>
      </c>
      <c r="B116" s="1" t="n">
        <v>45225</v>
      </c>
      <c r="C116" s="1" t="n">
        <v>46173</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24330-2023</t>
        </is>
      </c>
      <c r="B117" s="1" t="n">
        <v>45081</v>
      </c>
      <c r="C117" s="1" t="n">
        <v>46173</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46173</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52611-2024</t>
        </is>
      </c>
      <c r="B119" s="1" t="n">
        <v>45609.83747685186</v>
      </c>
      <c r="C119" s="1" t="n">
        <v>46173</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39158-2025</t>
        </is>
      </c>
      <c r="B120" s="1" t="n">
        <v>45888</v>
      </c>
      <c r="C120" s="1" t="n">
        <v>46173</v>
      </c>
      <c r="D120" t="inlineStr">
        <is>
          <t>STOCKHOLMS LÄN</t>
        </is>
      </c>
      <c r="E120" t="inlineStr">
        <is>
          <t>NORRTÄLJE</t>
        </is>
      </c>
      <c r="G120" t="n">
        <v>1.5</v>
      </c>
      <c r="H120" t="n">
        <v>1</v>
      </c>
      <c r="I120" t="n">
        <v>0</v>
      </c>
      <c r="J120" t="n">
        <v>0</v>
      </c>
      <c r="K120" t="n">
        <v>0</v>
      </c>
      <c r="L120" t="n">
        <v>0</v>
      </c>
      <c r="M120" t="n">
        <v>0</v>
      </c>
      <c r="N120" t="n">
        <v>0</v>
      </c>
      <c r="O120" t="n">
        <v>0</v>
      </c>
      <c r="P120" t="n">
        <v>0</v>
      </c>
      <c r="Q120" t="n">
        <v>1</v>
      </c>
      <c r="R120" s="2" t="inlineStr">
        <is>
          <t>Blåsippa</t>
        </is>
      </c>
      <c r="S120">
        <f>HYPERLINK("https://klasma.github.io/Logging_0188/artfynd/A 39158-2025 artfynd.xlsx", "A 39158-2025")</f>
        <v/>
      </c>
      <c r="T120">
        <f>HYPERLINK("https://klasma.github.io/Logging_0188/kartor/A 39158-2025 karta.png", "A 39158-2025")</f>
        <v/>
      </c>
      <c r="V120">
        <f>HYPERLINK("https://klasma.github.io/Logging_0188/klagomål/A 39158-2025 FSC-klagomål.docx", "A 39158-2025")</f>
        <v/>
      </c>
      <c r="W120">
        <f>HYPERLINK("https://klasma.github.io/Logging_0188/klagomålsmail/A 39158-2025 FSC-klagomål mail.docx", "A 39158-2025")</f>
        <v/>
      </c>
      <c r="X120">
        <f>HYPERLINK("https://klasma.github.io/Logging_0188/tillsyn/A 39158-2025 tillsynsbegäran.docx", "A 39158-2025")</f>
        <v/>
      </c>
      <c r="Y120">
        <f>HYPERLINK("https://klasma.github.io/Logging_0188/tillsynsmail/A 39158-2025 tillsynsbegäran mail.docx", "A 39158-2025")</f>
        <v/>
      </c>
    </row>
    <row r="121" ht="15" customHeight="1">
      <c r="A121" t="inlineStr">
        <is>
          <t>A 40192-2023</t>
        </is>
      </c>
      <c r="B121" s="1" t="n">
        <v>45169</v>
      </c>
      <c r="C121" s="1" t="n">
        <v>46173</v>
      </c>
      <c r="D121" t="inlineStr">
        <is>
          <t>STOCKHOLMS LÄN</t>
        </is>
      </c>
      <c r="E121" t="inlineStr">
        <is>
          <t>NORRTÄLJE</t>
        </is>
      </c>
      <c r="F121" t="inlineStr">
        <is>
          <t>Kyrkan</t>
        </is>
      </c>
      <c r="G121" t="n">
        <v>0.7</v>
      </c>
      <c r="H121" t="n">
        <v>1</v>
      </c>
      <c r="I121" t="n">
        <v>0</v>
      </c>
      <c r="J121" t="n">
        <v>0</v>
      </c>
      <c r="K121" t="n">
        <v>0</v>
      </c>
      <c r="L121" t="n">
        <v>0</v>
      </c>
      <c r="M121" t="n">
        <v>0</v>
      </c>
      <c r="N121" t="n">
        <v>0</v>
      </c>
      <c r="O121" t="n">
        <v>0</v>
      </c>
      <c r="P121" t="n">
        <v>0</v>
      </c>
      <c r="Q121" t="n">
        <v>1</v>
      </c>
      <c r="R121" s="2" t="inlineStr">
        <is>
          <t>Skogsduva</t>
        </is>
      </c>
      <c r="S121">
        <f>HYPERLINK("https://klasma.github.io/Logging_0188/artfynd/A 40192-2023 artfynd.xlsx", "A 40192-2023")</f>
        <v/>
      </c>
      <c r="T121">
        <f>HYPERLINK("https://klasma.github.io/Logging_0188/kartor/A 40192-2023 karta.png", "A 40192-2023")</f>
        <v/>
      </c>
      <c r="V121">
        <f>HYPERLINK("https://klasma.github.io/Logging_0188/klagomål/A 40192-2023 FSC-klagomål.docx", "A 40192-2023")</f>
        <v/>
      </c>
      <c r="W121">
        <f>HYPERLINK("https://klasma.github.io/Logging_0188/klagomålsmail/A 40192-2023 FSC-klagomål mail.docx", "A 40192-2023")</f>
        <v/>
      </c>
      <c r="X121">
        <f>HYPERLINK("https://klasma.github.io/Logging_0188/tillsyn/A 40192-2023 tillsynsbegäran.docx", "A 40192-2023")</f>
        <v/>
      </c>
      <c r="Y121">
        <f>HYPERLINK("https://klasma.github.io/Logging_0188/tillsynsmail/A 40192-2023 tillsynsbegäran mail.docx", "A 40192-2023")</f>
        <v/>
      </c>
      <c r="Z121">
        <f>HYPERLINK("https://klasma.github.io/Logging_0188/fåglar/A 40192-2023 prioriterade fågelarter.docx", "A 40192-2023")</f>
        <v/>
      </c>
    </row>
    <row r="122" ht="15" customHeight="1">
      <c r="A122" t="inlineStr">
        <is>
          <t>A 27827-2022</t>
        </is>
      </c>
      <c r="B122" s="1" t="n">
        <v>44743.59504629629</v>
      </c>
      <c r="C122" s="1" t="n">
        <v>46173</v>
      </c>
      <c r="D122" t="inlineStr">
        <is>
          <t>STOCKHOLMS LÄN</t>
        </is>
      </c>
      <c r="E122" t="inlineStr">
        <is>
          <t>NORRTÄLJE</t>
        </is>
      </c>
      <c r="F122" t="inlineStr">
        <is>
          <t>Holmen skog AB</t>
        </is>
      </c>
      <c r="G122" t="n">
        <v>4.7</v>
      </c>
      <c r="H122" t="n">
        <v>1</v>
      </c>
      <c r="I122" t="n">
        <v>0</v>
      </c>
      <c r="J122" t="n">
        <v>1</v>
      </c>
      <c r="K122" t="n">
        <v>0</v>
      </c>
      <c r="L122" t="n">
        <v>0</v>
      </c>
      <c r="M122" t="n">
        <v>0</v>
      </c>
      <c r="N122" t="n">
        <v>0</v>
      </c>
      <c r="O122" t="n">
        <v>1</v>
      </c>
      <c r="P122" t="n">
        <v>0</v>
      </c>
      <c r="Q122" t="n">
        <v>1</v>
      </c>
      <c r="R122" s="2" t="inlineStr">
        <is>
          <t>Nordfladdermus</t>
        </is>
      </c>
      <c r="S122">
        <f>HYPERLINK("https://klasma.github.io/Logging_0188/artfynd/A 27827-2022 artfynd.xlsx", "A 27827-2022")</f>
        <v/>
      </c>
      <c r="T122">
        <f>HYPERLINK("https://klasma.github.io/Logging_0188/kartor/A 27827-2022 karta.png", "A 27827-2022")</f>
        <v/>
      </c>
      <c r="V122">
        <f>HYPERLINK("https://klasma.github.io/Logging_0188/klagomål/A 27827-2022 FSC-klagomål.docx", "A 27827-2022")</f>
        <v/>
      </c>
      <c r="W122">
        <f>HYPERLINK("https://klasma.github.io/Logging_0188/klagomålsmail/A 27827-2022 FSC-klagomål mail.docx", "A 27827-2022")</f>
        <v/>
      </c>
      <c r="X122">
        <f>HYPERLINK("https://klasma.github.io/Logging_0188/tillsyn/A 27827-2022 tillsynsbegäran.docx", "A 27827-2022")</f>
        <v/>
      </c>
      <c r="Y122">
        <f>HYPERLINK("https://klasma.github.io/Logging_0188/tillsynsmail/A 27827-2022 tillsynsbegäran mail.docx", "A 27827-2022")</f>
        <v/>
      </c>
    </row>
    <row r="123" ht="15" customHeight="1">
      <c r="A123" t="inlineStr">
        <is>
          <t>A 23146-2024</t>
        </is>
      </c>
      <c r="B123" s="1" t="n">
        <v>45450.63958333333</v>
      </c>
      <c r="C123" s="1" t="n">
        <v>46173</v>
      </c>
      <c r="D123" t="inlineStr">
        <is>
          <t>STOCKHOLMS LÄN</t>
        </is>
      </c>
      <c r="E123" t="inlineStr">
        <is>
          <t>NORRTÄLJE</t>
        </is>
      </c>
      <c r="F123" t="inlineStr">
        <is>
          <t>Kommuner</t>
        </is>
      </c>
      <c r="G123" t="n">
        <v>6</v>
      </c>
      <c r="H123" t="n">
        <v>0</v>
      </c>
      <c r="I123" t="n">
        <v>0</v>
      </c>
      <c r="J123" t="n">
        <v>1</v>
      </c>
      <c r="K123" t="n">
        <v>0</v>
      </c>
      <c r="L123" t="n">
        <v>0</v>
      </c>
      <c r="M123" t="n">
        <v>0</v>
      </c>
      <c r="N123" t="n">
        <v>0</v>
      </c>
      <c r="O123" t="n">
        <v>1</v>
      </c>
      <c r="P123" t="n">
        <v>0</v>
      </c>
      <c r="Q123" t="n">
        <v>1</v>
      </c>
      <c r="R123" s="2" t="inlineStr">
        <is>
          <t>Motaggsvamp</t>
        </is>
      </c>
      <c r="S123">
        <f>HYPERLINK("https://klasma.github.io/Logging_0188/artfynd/A 23146-2024 artfynd.xlsx", "A 23146-2024")</f>
        <v/>
      </c>
      <c r="T123">
        <f>HYPERLINK("https://klasma.github.io/Logging_0188/kartor/A 23146-2024 karta.png", "A 23146-2024")</f>
        <v/>
      </c>
      <c r="V123">
        <f>HYPERLINK("https://klasma.github.io/Logging_0188/klagomål/A 23146-2024 FSC-klagomål.docx", "A 23146-2024")</f>
        <v/>
      </c>
      <c r="W123">
        <f>HYPERLINK("https://klasma.github.io/Logging_0188/klagomålsmail/A 23146-2024 FSC-klagomål mail.docx", "A 23146-2024")</f>
        <v/>
      </c>
      <c r="X123">
        <f>HYPERLINK("https://klasma.github.io/Logging_0188/tillsyn/A 23146-2024 tillsynsbegäran.docx", "A 23146-2024")</f>
        <v/>
      </c>
      <c r="Y123">
        <f>HYPERLINK("https://klasma.github.io/Logging_0188/tillsynsmail/A 23146-2024 tillsynsbegäran mail.docx", "A 23146-2024")</f>
        <v/>
      </c>
    </row>
    <row r="124" ht="15" customHeight="1">
      <c r="A124" t="inlineStr">
        <is>
          <t>A 52775-2025</t>
        </is>
      </c>
      <c r="B124" s="1" t="n">
        <v>45957.41608796296</v>
      </c>
      <c r="C124" s="1" t="n">
        <v>46173</v>
      </c>
      <c r="D124" t="inlineStr">
        <is>
          <t>STOCKHOLMS LÄN</t>
        </is>
      </c>
      <c r="E124" t="inlineStr">
        <is>
          <t>NORRTÄLJE</t>
        </is>
      </c>
      <c r="F124" t="inlineStr">
        <is>
          <t>Sveaskog</t>
        </is>
      </c>
      <c r="G124" t="n">
        <v>5.6</v>
      </c>
      <c r="H124" t="n">
        <v>0</v>
      </c>
      <c r="I124" t="n">
        <v>0</v>
      </c>
      <c r="J124" t="n">
        <v>1</v>
      </c>
      <c r="K124" t="n">
        <v>0</v>
      </c>
      <c r="L124" t="n">
        <v>0</v>
      </c>
      <c r="M124" t="n">
        <v>0</v>
      </c>
      <c r="N124" t="n">
        <v>0</v>
      </c>
      <c r="O124" t="n">
        <v>1</v>
      </c>
      <c r="P124" t="n">
        <v>0</v>
      </c>
      <c r="Q124" t="n">
        <v>1</v>
      </c>
      <c r="R124" s="2" t="inlineStr">
        <is>
          <t>Vedtrappmossa</t>
        </is>
      </c>
      <c r="S124">
        <f>HYPERLINK("https://klasma.github.io/Logging_0188/artfynd/A 52775-2025 artfynd.xlsx", "A 52775-2025")</f>
        <v/>
      </c>
      <c r="T124">
        <f>HYPERLINK("https://klasma.github.io/Logging_0188/kartor/A 52775-2025 karta.png", "A 52775-2025")</f>
        <v/>
      </c>
      <c r="V124">
        <f>HYPERLINK("https://klasma.github.io/Logging_0188/klagomål/A 52775-2025 FSC-klagomål.docx", "A 52775-2025")</f>
        <v/>
      </c>
      <c r="W124">
        <f>HYPERLINK("https://klasma.github.io/Logging_0188/klagomålsmail/A 52775-2025 FSC-klagomål mail.docx", "A 52775-2025")</f>
        <v/>
      </c>
      <c r="X124">
        <f>HYPERLINK("https://klasma.github.io/Logging_0188/tillsyn/A 52775-2025 tillsynsbegäran.docx", "A 52775-2025")</f>
        <v/>
      </c>
      <c r="Y124">
        <f>HYPERLINK("https://klasma.github.io/Logging_0188/tillsynsmail/A 52775-2025 tillsynsbegäran mail.docx", "A 52775-2025")</f>
        <v/>
      </c>
    </row>
    <row r="125" ht="15" customHeight="1">
      <c r="A125" t="inlineStr">
        <is>
          <t>A 27538-2024</t>
        </is>
      </c>
      <c r="B125" s="1" t="n">
        <v>45474</v>
      </c>
      <c r="C125" s="1" t="n">
        <v>46173</v>
      </c>
      <c r="D125" t="inlineStr">
        <is>
          <t>STOCKHOLMS LÄN</t>
        </is>
      </c>
      <c r="E125" t="inlineStr">
        <is>
          <t>NORRTÄLJE</t>
        </is>
      </c>
      <c r="G125" t="n">
        <v>1.5</v>
      </c>
      <c r="H125" t="n">
        <v>1</v>
      </c>
      <c r="I125" t="n">
        <v>1</v>
      </c>
      <c r="J125" t="n">
        <v>0</v>
      </c>
      <c r="K125" t="n">
        <v>0</v>
      </c>
      <c r="L125" t="n">
        <v>0</v>
      </c>
      <c r="M125" t="n">
        <v>0</v>
      </c>
      <c r="N125" t="n">
        <v>0</v>
      </c>
      <c r="O125" t="n">
        <v>0</v>
      </c>
      <c r="P125" t="n">
        <v>0</v>
      </c>
      <c r="Q125" t="n">
        <v>1</v>
      </c>
      <c r="R125" s="2" t="inlineStr">
        <is>
          <t>Skogsknipprot</t>
        </is>
      </c>
      <c r="S125">
        <f>HYPERLINK("https://klasma.github.io/Logging_0188/artfynd/A 27538-2024 artfynd.xlsx", "A 27538-2024")</f>
        <v/>
      </c>
      <c r="T125">
        <f>HYPERLINK("https://klasma.github.io/Logging_0188/kartor/A 27538-2024 karta.png", "A 27538-2024")</f>
        <v/>
      </c>
      <c r="V125">
        <f>HYPERLINK("https://klasma.github.io/Logging_0188/klagomål/A 27538-2024 FSC-klagomål.docx", "A 27538-2024")</f>
        <v/>
      </c>
      <c r="W125">
        <f>HYPERLINK("https://klasma.github.io/Logging_0188/klagomålsmail/A 27538-2024 FSC-klagomål mail.docx", "A 27538-2024")</f>
        <v/>
      </c>
      <c r="X125">
        <f>HYPERLINK("https://klasma.github.io/Logging_0188/tillsyn/A 27538-2024 tillsynsbegäran.docx", "A 27538-2024")</f>
        <v/>
      </c>
      <c r="Y125">
        <f>HYPERLINK("https://klasma.github.io/Logging_0188/tillsynsmail/A 27538-2024 tillsynsbegäran mail.docx", "A 27538-2024")</f>
        <v/>
      </c>
    </row>
    <row r="126" ht="15" customHeight="1">
      <c r="A126" t="inlineStr">
        <is>
          <t>A 53716-2025</t>
        </is>
      </c>
      <c r="B126" s="1" t="n">
        <v>45960.61782407408</v>
      </c>
      <c r="C126" s="1" t="n">
        <v>46173</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26635-2023</t>
        </is>
      </c>
      <c r="B127" s="1" t="n">
        <v>45092</v>
      </c>
      <c r="C127" s="1" t="n">
        <v>46173</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48131-2023</t>
        </is>
      </c>
      <c r="B128" s="1" t="n">
        <v>45205</v>
      </c>
      <c r="C128" s="1" t="n">
        <v>46173</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16870-2025</t>
        </is>
      </c>
      <c r="B129" s="1" t="n">
        <v>45754</v>
      </c>
      <c r="C129" s="1" t="n">
        <v>46173</v>
      </c>
      <c r="D129" t="inlineStr">
        <is>
          <t>STOCKHOLMS LÄN</t>
        </is>
      </c>
      <c r="E129" t="inlineStr">
        <is>
          <t>NORRTÄLJE</t>
        </is>
      </c>
      <c r="G129" t="n">
        <v>24.6</v>
      </c>
      <c r="H129" t="n">
        <v>1</v>
      </c>
      <c r="I129" t="n">
        <v>0</v>
      </c>
      <c r="J129" t="n">
        <v>0</v>
      </c>
      <c r="K129" t="n">
        <v>0</v>
      </c>
      <c r="L129" t="n">
        <v>0</v>
      </c>
      <c r="M129" t="n">
        <v>0</v>
      </c>
      <c r="N129" t="n">
        <v>0</v>
      </c>
      <c r="O129" t="n">
        <v>0</v>
      </c>
      <c r="P129" t="n">
        <v>0</v>
      </c>
      <c r="Q129" t="n">
        <v>1</v>
      </c>
      <c r="R129" s="2" t="inlineStr">
        <is>
          <t>Vanlig groda</t>
        </is>
      </c>
      <c r="S129">
        <f>HYPERLINK("https://klasma.github.io/Logging_0188/artfynd/A 16870-2025 artfynd.xlsx", "A 16870-2025")</f>
        <v/>
      </c>
      <c r="T129">
        <f>HYPERLINK("https://klasma.github.io/Logging_0188/kartor/A 16870-2025 karta.png", "A 16870-2025")</f>
        <v/>
      </c>
      <c r="V129">
        <f>HYPERLINK("https://klasma.github.io/Logging_0188/klagomål/A 16870-2025 FSC-klagomål.docx", "A 16870-2025")</f>
        <v/>
      </c>
      <c r="W129">
        <f>HYPERLINK("https://klasma.github.io/Logging_0188/klagomålsmail/A 16870-2025 FSC-klagomål mail.docx", "A 16870-2025")</f>
        <v/>
      </c>
      <c r="X129">
        <f>HYPERLINK("https://klasma.github.io/Logging_0188/tillsyn/A 16870-2025 tillsynsbegäran.docx", "A 16870-2025")</f>
        <v/>
      </c>
      <c r="Y129">
        <f>HYPERLINK("https://klasma.github.io/Logging_0188/tillsynsmail/A 16870-2025 tillsynsbegäran mail.docx", "A 16870-2025")</f>
        <v/>
      </c>
    </row>
    <row r="130" ht="15" customHeight="1">
      <c r="A130" t="inlineStr">
        <is>
          <t>A 9955-2022</t>
        </is>
      </c>
      <c r="B130" s="1" t="n">
        <v>44620</v>
      </c>
      <c r="C130" s="1" t="n">
        <v>46173</v>
      </c>
      <c r="D130" t="inlineStr">
        <is>
          <t>STOCKHOLMS LÄN</t>
        </is>
      </c>
      <c r="E130" t="inlineStr">
        <is>
          <t>NORRTÄLJE</t>
        </is>
      </c>
      <c r="G130" t="n">
        <v>7.8</v>
      </c>
      <c r="H130" t="n">
        <v>1</v>
      </c>
      <c r="I130" t="n">
        <v>0</v>
      </c>
      <c r="J130" t="n">
        <v>0</v>
      </c>
      <c r="K130" t="n">
        <v>0</v>
      </c>
      <c r="L130" t="n">
        <v>0</v>
      </c>
      <c r="M130" t="n">
        <v>0</v>
      </c>
      <c r="N130" t="n">
        <v>0</v>
      </c>
      <c r="O130" t="n">
        <v>0</v>
      </c>
      <c r="P130" t="n">
        <v>0</v>
      </c>
      <c r="Q130" t="n">
        <v>1</v>
      </c>
      <c r="R130" s="2" t="inlineStr">
        <is>
          <t>Åkergroda</t>
        </is>
      </c>
      <c r="S130">
        <f>HYPERLINK("https://klasma.github.io/Logging_0188/artfynd/A 9955-2022 artfynd.xlsx", "A 9955-2022")</f>
        <v/>
      </c>
      <c r="T130">
        <f>HYPERLINK("https://klasma.github.io/Logging_0188/kartor/A 9955-2022 karta.png", "A 9955-2022")</f>
        <v/>
      </c>
      <c r="V130">
        <f>HYPERLINK("https://klasma.github.io/Logging_0188/klagomål/A 9955-2022 FSC-klagomål.docx", "A 9955-2022")</f>
        <v/>
      </c>
      <c r="W130">
        <f>HYPERLINK("https://klasma.github.io/Logging_0188/klagomålsmail/A 9955-2022 FSC-klagomål mail.docx", "A 9955-2022")</f>
        <v/>
      </c>
      <c r="X130">
        <f>HYPERLINK("https://klasma.github.io/Logging_0188/tillsyn/A 9955-2022 tillsynsbegäran.docx", "A 9955-2022")</f>
        <v/>
      </c>
      <c r="Y130">
        <f>HYPERLINK("https://klasma.github.io/Logging_0188/tillsynsmail/A 9955-2022 tillsynsbegäran mail.docx", "A 9955-2022")</f>
        <v/>
      </c>
    </row>
    <row r="131" ht="15" customHeight="1">
      <c r="A131" t="inlineStr">
        <is>
          <t>A 59682-2025</t>
        </is>
      </c>
      <c r="B131" s="1" t="n">
        <v>45992.47116898148</v>
      </c>
      <c r="C131" s="1" t="n">
        <v>46173</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23905-2025</t>
        </is>
      </c>
      <c r="B132" s="1" t="n">
        <v>45794.63298611111</v>
      </c>
      <c r="C132" s="1" t="n">
        <v>46173</v>
      </c>
      <c r="D132" t="inlineStr">
        <is>
          <t>STOCKHOLMS LÄN</t>
        </is>
      </c>
      <c r="E132" t="inlineStr">
        <is>
          <t>NORRTÄLJE</t>
        </is>
      </c>
      <c r="G132" t="n">
        <v>8.4</v>
      </c>
      <c r="H132" t="n">
        <v>1</v>
      </c>
      <c r="I132" t="n">
        <v>0</v>
      </c>
      <c r="J132" t="n">
        <v>0</v>
      </c>
      <c r="K132" t="n">
        <v>0</v>
      </c>
      <c r="L132" t="n">
        <v>0</v>
      </c>
      <c r="M132" t="n">
        <v>0</v>
      </c>
      <c r="N132" t="n">
        <v>0</v>
      </c>
      <c r="O132" t="n">
        <v>0</v>
      </c>
      <c r="P132" t="n">
        <v>0</v>
      </c>
      <c r="Q132" t="n">
        <v>1</v>
      </c>
      <c r="R132" s="2" t="inlineStr">
        <is>
          <t>Blåsippa</t>
        </is>
      </c>
      <c r="S132">
        <f>HYPERLINK("https://klasma.github.io/Logging_0188/artfynd/A 23905-2025 artfynd.xlsx", "A 23905-2025")</f>
        <v/>
      </c>
      <c r="T132">
        <f>HYPERLINK("https://klasma.github.io/Logging_0188/kartor/A 23905-2025 karta.png", "A 23905-2025")</f>
        <v/>
      </c>
      <c r="V132">
        <f>HYPERLINK("https://klasma.github.io/Logging_0188/klagomål/A 23905-2025 FSC-klagomål.docx", "A 23905-2025")</f>
        <v/>
      </c>
      <c r="W132">
        <f>HYPERLINK("https://klasma.github.io/Logging_0188/klagomålsmail/A 23905-2025 FSC-klagomål mail.docx", "A 23905-2025")</f>
        <v/>
      </c>
      <c r="X132">
        <f>HYPERLINK("https://klasma.github.io/Logging_0188/tillsyn/A 23905-2025 tillsynsbegäran.docx", "A 23905-2025")</f>
        <v/>
      </c>
      <c r="Y132">
        <f>HYPERLINK("https://klasma.github.io/Logging_0188/tillsynsmail/A 23905-2025 tillsynsbegäran mail.docx", "A 23905-2025")</f>
        <v/>
      </c>
    </row>
    <row r="133" ht="15" customHeight="1">
      <c r="A133" t="inlineStr">
        <is>
          <t>A 25669-2025</t>
        </is>
      </c>
      <c r="B133" s="1" t="n">
        <v>45803.62766203703</v>
      </c>
      <c r="C133" s="1" t="n">
        <v>46173</v>
      </c>
      <c r="D133" t="inlineStr">
        <is>
          <t>STOCKHOLMS LÄN</t>
        </is>
      </c>
      <c r="E133" t="inlineStr">
        <is>
          <t>NORRTÄLJE</t>
        </is>
      </c>
      <c r="F133" t="inlineStr">
        <is>
          <t>Holmen skog AB</t>
        </is>
      </c>
      <c r="G133" t="n">
        <v>3.1</v>
      </c>
      <c r="H133" t="n">
        <v>1</v>
      </c>
      <c r="I133" t="n">
        <v>0</v>
      </c>
      <c r="J133" t="n">
        <v>0</v>
      </c>
      <c r="K133" t="n">
        <v>0</v>
      </c>
      <c r="L133" t="n">
        <v>0</v>
      </c>
      <c r="M133" t="n">
        <v>0</v>
      </c>
      <c r="N133" t="n">
        <v>0</v>
      </c>
      <c r="O133" t="n">
        <v>0</v>
      </c>
      <c r="P133" t="n">
        <v>0</v>
      </c>
      <c r="Q133" t="n">
        <v>1</v>
      </c>
      <c r="R133" s="2" t="inlineStr">
        <is>
          <t>Tjäder</t>
        </is>
      </c>
      <c r="S133">
        <f>HYPERLINK("https://klasma.github.io/Logging_0188/artfynd/A 25669-2025 artfynd.xlsx", "A 25669-2025")</f>
        <v/>
      </c>
      <c r="T133">
        <f>HYPERLINK("https://klasma.github.io/Logging_0188/kartor/A 25669-2025 karta.png", "A 25669-2025")</f>
        <v/>
      </c>
      <c r="V133">
        <f>HYPERLINK("https://klasma.github.io/Logging_0188/klagomål/A 25669-2025 FSC-klagomål.docx", "A 25669-2025")</f>
        <v/>
      </c>
      <c r="W133">
        <f>HYPERLINK("https://klasma.github.io/Logging_0188/klagomålsmail/A 25669-2025 FSC-klagomål mail.docx", "A 25669-2025")</f>
        <v/>
      </c>
      <c r="X133">
        <f>HYPERLINK("https://klasma.github.io/Logging_0188/tillsyn/A 25669-2025 tillsynsbegäran.docx", "A 25669-2025")</f>
        <v/>
      </c>
      <c r="Y133">
        <f>HYPERLINK("https://klasma.github.io/Logging_0188/tillsynsmail/A 25669-2025 tillsynsbegäran mail.docx", "A 25669-2025")</f>
        <v/>
      </c>
      <c r="Z133">
        <f>HYPERLINK("https://klasma.github.io/Logging_0188/fåglar/A 25669-2025 prioriterade fågelarter.docx", "A 25669-2025")</f>
        <v/>
      </c>
    </row>
    <row r="134" ht="15" customHeight="1">
      <c r="A134" t="inlineStr">
        <is>
          <t>A 35764-2024</t>
        </is>
      </c>
      <c r="B134" s="1" t="n">
        <v>45532</v>
      </c>
      <c r="C134" s="1" t="n">
        <v>46173</v>
      </c>
      <c r="D134" t="inlineStr">
        <is>
          <t>STOCKHOLMS LÄN</t>
        </is>
      </c>
      <c r="E134" t="inlineStr">
        <is>
          <t>NORRTÄLJE</t>
        </is>
      </c>
      <c r="G134" t="n">
        <v>14.2</v>
      </c>
      <c r="H134" t="n">
        <v>1</v>
      </c>
      <c r="I134" t="n">
        <v>0</v>
      </c>
      <c r="J134" t="n">
        <v>0</v>
      </c>
      <c r="K134" t="n">
        <v>1</v>
      </c>
      <c r="L134" t="n">
        <v>0</v>
      </c>
      <c r="M134" t="n">
        <v>0</v>
      </c>
      <c r="N134" t="n">
        <v>0</v>
      </c>
      <c r="O134" t="n">
        <v>1</v>
      </c>
      <c r="P134" t="n">
        <v>1</v>
      </c>
      <c r="Q134" t="n">
        <v>1</v>
      </c>
      <c r="R134" s="2" t="inlineStr">
        <is>
          <t>Knärot</t>
        </is>
      </c>
      <c r="S134">
        <f>HYPERLINK("https://klasma.github.io/Logging_0188/artfynd/A 35764-2024 artfynd.xlsx", "A 35764-2024")</f>
        <v/>
      </c>
      <c r="T134">
        <f>HYPERLINK("https://klasma.github.io/Logging_0188/kartor/A 35764-2024 karta.png", "A 35764-2024")</f>
        <v/>
      </c>
      <c r="U134">
        <f>HYPERLINK("https://klasma.github.io/Logging_0188/knärot/A 35764-2024 karta knärot.png", "A 35764-2024")</f>
        <v/>
      </c>
      <c r="V134">
        <f>HYPERLINK("https://klasma.github.io/Logging_0188/klagomål/A 35764-2024 FSC-klagomål.docx", "A 35764-2024")</f>
        <v/>
      </c>
      <c r="W134">
        <f>HYPERLINK("https://klasma.github.io/Logging_0188/klagomålsmail/A 35764-2024 FSC-klagomål mail.docx", "A 35764-2024")</f>
        <v/>
      </c>
      <c r="X134">
        <f>HYPERLINK("https://klasma.github.io/Logging_0188/tillsyn/A 35764-2024 tillsynsbegäran.docx", "A 35764-2024")</f>
        <v/>
      </c>
      <c r="Y134">
        <f>HYPERLINK("https://klasma.github.io/Logging_0188/tillsynsmail/A 35764-2024 tillsynsbegäran mail.docx", "A 35764-2024")</f>
        <v/>
      </c>
    </row>
    <row r="135" ht="15" customHeight="1">
      <c r="A135" t="inlineStr">
        <is>
          <t>A 25725-2025</t>
        </is>
      </c>
      <c r="B135" s="1" t="n">
        <v>45800</v>
      </c>
      <c r="C135" s="1" t="n">
        <v>46173</v>
      </c>
      <c r="D135" t="inlineStr">
        <is>
          <t>STOCKHOLMS LÄN</t>
        </is>
      </c>
      <c r="E135" t="inlineStr">
        <is>
          <t>NORRTÄLJE</t>
        </is>
      </c>
      <c r="G135" t="n">
        <v>5.2</v>
      </c>
      <c r="H135" t="n">
        <v>0</v>
      </c>
      <c r="I135" t="n">
        <v>0</v>
      </c>
      <c r="J135" t="n">
        <v>1</v>
      </c>
      <c r="K135" t="n">
        <v>0</v>
      </c>
      <c r="L135" t="n">
        <v>0</v>
      </c>
      <c r="M135" t="n">
        <v>0</v>
      </c>
      <c r="N135" t="n">
        <v>0</v>
      </c>
      <c r="O135" t="n">
        <v>1</v>
      </c>
      <c r="P135" t="n">
        <v>0</v>
      </c>
      <c r="Q135" t="n">
        <v>1</v>
      </c>
      <c r="R135" s="2" t="inlineStr">
        <is>
          <t>Tallticka</t>
        </is>
      </c>
      <c r="S135">
        <f>HYPERLINK("https://klasma.github.io/Logging_0188/artfynd/A 25725-2025 artfynd.xlsx", "A 25725-2025")</f>
        <v/>
      </c>
      <c r="T135">
        <f>HYPERLINK("https://klasma.github.io/Logging_0188/kartor/A 25725-2025 karta.png", "A 25725-2025")</f>
        <v/>
      </c>
      <c r="V135">
        <f>HYPERLINK("https://klasma.github.io/Logging_0188/klagomål/A 25725-2025 FSC-klagomål.docx", "A 25725-2025")</f>
        <v/>
      </c>
      <c r="W135">
        <f>HYPERLINK("https://klasma.github.io/Logging_0188/klagomålsmail/A 25725-2025 FSC-klagomål mail.docx", "A 25725-2025")</f>
        <v/>
      </c>
      <c r="X135">
        <f>HYPERLINK("https://klasma.github.io/Logging_0188/tillsyn/A 25725-2025 tillsynsbegäran.docx", "A 25725-2025")</f>
        <v/>
      </c>
      <c r="Y135">
        <f>HYPERLINK("https://klasma.github.io/Logging_0188/tillsynsmail/A 25725-2025 tillsynsbegäran mail.docx", "A 25725-2025")</f>
        <v/>
      </c>
    </row>
    <row r="136" ht="15" customHeight="1">
      <c r="A136" t="inlineStr">
        <is>
          <t>A 25709-2025</t>
        </is>
      </c>
      <c r="B136" s="1" t="n">
        <v>45800</v>
      </c>
      <c r="C136" s="1" t="n">
        <v>46173</v>
      </c>
      <c r="D136" t="inlineStr">
        <is>
          <t>STOCKHOLMS LÄN</t>
        </is>
      </c>
      <c r="E136" t="inlineStr">
        <is>
          <t>NORRTÄLJE</t>
        </is>
      </c>
      <c r="G136" t="n">
        <v>4.6</v>
      </c>
      <c r="H136" t="n">
        <v>0</v>
      </c>
      <c r="I136" t="n">
        <v>0</v>
      </c>
      <c r="J136" t="n">
        <v>1</v>
      </c>
      <c r="K136" t="n">
        <v>0</v>
      </c>
      <c r="L136" t="n">
        <v>0</v>
      </c>
      <c r="M136" t="n">
        <v>0</v>
      </c>
      <c r="N136" t="n">
        <v>0</v>
      </c>
      <c r="O136" t="n">
        <v>1</v>
      </c>
      <c r="P136" t="n">
        <v>0</v>
      </c>
      <c r="Q136" t="n">
        <v>1</v>
      </c>
      <c r="R136" s="2" t="inlineStr">
        <is>
          <t>Ullticka</t>
        </is>
      </c>
      <c r="S136">
        <f>HYPERLINK("https://klasma.github.io/Logging_0188/artfynd/A 25709-2025 artfynd.xlsx", "A 25709-2025")</f>
        <v/>
      </c>
      <c r="T136">
        <f>HYPERLINK("https://klasma.github.io/Logging_0188/kartor/A 25709-2025 karta.png", "A 25709-2025")</f>
        <v/>
      </c>
      <c r="V136">
        <f>HYPERLINK("https://klasma.github.io/Logging_0188/klagomål/A 25709-2025 FSC-klagomål.docx", "A 25709-2025")</f>
        <v/>
      </c>
      <c r="W136">
        <f>HYPERLINK("https://klasma.github.io/Logging_0188/klagomålsmail/A 25709-2025 FSC-klagomål mail.docx", "A 25709-2025")</f>
        <v/>
      </c>
      <c r="X136">
        <f>HYPERLINK("https://klasma.github.io/Logging_0188/tillsyn/A 25709-2025 tillsynsbegäran.docx", "A 25709-2025")</f>
        <v/>
      </c>
      <c r="Y136">
        <f>HYPERLINK("https://klasma.github.io/Logging_0188/tillsynsmail/A 25709-2025 tillsynsbegäran mail.docx", "A 25709-2025")</f>
        <v/>
      </c>
    </row>
    <row r="137" ht="15" customHeight="1">
      <c r="A137" t="inlineStr">
        <is>
          <t>A 35649-2023</t>
        </is>
      </c>
      <c r="B137" s="1" t="n">
        <v>45146</v>
      </c>
      <c r="C137" s="1" t="n">
        <v>46173</v>
      </c>
      <c r="D137" t="inlineStr">
        <is>
          <t>STOCKHOLMS LÄN</t>
        </is>
      </c>
      <c r="E137" t="inlineStr">
        <is>
          <t>NORRTÄLJE</t>
        </is>
      </c>
      <c r="G137" t="n">
        <v>25.1</v>
      </c>
      <c r="H137" t="n">
        <v>0</v>
      </c>
      <c r="I137" t="n">
        <v>0</v>
      </c>
      <c r="J137" t="n">
        <v>1</v>
      </c>
      <c r="K137" t="n">
        <v>0</v>
      </c>
      <c r="L137" t="n">
        <v>0</v>
      </c>
      <c r="M137" t="n">
        <v>0</v>
      </c>
      <c r="N137" t="n">
        <v>0</v>
      </c>
      <c r="O137" t="n">
        <v>1</v>
      </c>
      <c r="P137" t="n">
        <v>0</v>
      </c>
      <c r="Q137" t="n">
        <v>1</v>
      </c>
      <c r="R137" s="2" t="inlineStr">
        <is>
          <t>Månlåsbräken</t>
        </is>
      </c>
      <c r="S137">
        <f>HYPERLINK("https://klasma.github.io/Logging_0188/artfynd/A 35649-2023 artfynd.xlsx", "A 35649-2023")</f>
        <v/>
      </c>
      <c r="T137">
        <f>HYPERLINK("https://klasma.github.io/Logging_0188/kartor/A 35649-2023 karta.png", "A 35649-2023")</f>
        <v/>
      </c>
      <c r="V137">
        <f>HYPERLINK("https://klasma.github.io/Logging_0188/klagomål/A 35649-2023 FSC-klagomål.docx", "A 35649-2023")</f>
        <v/>
      </c>
      <c r="W137">
        <f>HYPERLINK("https://klasma.github.io/Logging_0188/klagomålsmail/A 35649-2023 FSC-klagomål mail.docx", "A 35649-2023")</f>
        <v/>
      </c>
      <c r="X137">
        <f>HYPERLINK("https://klasma.github.io/Logging_0188/tillsyn/A 35649-2023 tillsynsbegäran.docx", "A 35649-2023")</f>
        <v/>
      </c>
      <c r="Y137">
        <f>HYPERLINK("https://klasma.github.io/Logging_0188/tillsynsmail/A 35649-2023 tillsynsbegäran mail.docx", "A 35649-2023")</f>
        <v/>
      </c>
    </row>
    <row r="138" ht="15" customHeight="1">
      <c r="A138" t="inlineStr">
        <is>
          <t>A 62715-2025</t>
        </is>
      </c>
      <c r="B138" s="1" t="n">
        <v>46008.52034722222</v>
      </c>
      <c r="C138" s="1" t="n">
        <v>46173</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46173</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364-2026</t>
        </is>
      </c>
      <c r="B140" s="1" t="n">
        <v>46027.67134259259</v>
      </c>
      <c r="C140" s="1" t="n">
        <v>46173</v>
      </c>
      <c r="D140" t="inlineStr">
        <is>
          <t>STOCKHOLMS LÄN</t>
        </is>
      </c>
      <c r="E140" t="inlineStr">
        <is>
          <t>NORRTÄLJE</t>
        </is>
      </c>
      <c r="F140" t="inlineStr">
        <is>
          <t>Holmen skog AB</t>
        </is>
      </c>
      <c r="G140" t="n">
        <v>4.3</v>
      </c>
      <c r="H140" t="n">
        <v>1</v>
      </c>
      <c r="I140" t="n">
        <v>0</v>
      </c>
      <c r="J140" t="n">
        <v>0</v>
      </c>
      <c r="K140" t="n">
        <v>0</v>
      </c>
      <c r="L140" t="n">
        <v>1</v>
      </c>
      <c r="M140" t="n">
        <v>0</v>
      </c>
      <c r="N140" t="n">
        <v>0</v>
      </c>
      <c r="O140" t="n">
        <v>1</v>
      </c>
      <c r="P140" t="n">
        <v>1</v>
      </c>
      <c r="Q140" t="n">
        <v>1</v>
      </c>
      <c r="R140" s="2" t="inlineStr">
        <is>
          <t>Asknätfjäril</t>
        </is>
      </c>
      <c r="S140">
        <f>HYPERLINK("https://klasma.github.io/Logging_0188/artfynd/A 364-2026 artfynd.xlsx", "A 364-2026")</f>
        <v/>
      </c>
      <c r="T140">
        <f>HYPERLINK("https://klasma.github.io/Logging_0188/kartor/A 364-2026 karta.png", "A 364-2026")</f>
        <v/>
      </c>
      <c r="V140">
        <f>HYPERLINK("https://klasma.github.io/Logging_0188/klagomål/A 364-2026 FSC-klagomål.docx", "A 364-2026")</f>
        <v/>
      </c>
      <c r="W140">
        <f>HYPERLINK("https://klasma.github.io/Logging_0188/klagomålsmail/A 364-2026 FSC-klagomål mail.docx", "A 364-2026")</f>
        <v/>
      </c>
      <c r="X140">
        <f>HYPERLINK("https://klasma.github.io/Logging_0188/tillsyn/A 364-2026 tillsynsbegäran.docx", "A 364-2026")</f>
        <v/>
      </c>
      <c r="Y140">
        <f>HYPERLINK("https://klasma.github.io/Logging_0188/tillsynsmail/A 364-2026 tillsynsbegäran mail.docx", "A 364-2026")</f>
        <v/>
      </c>
    </row>
    <row r="141" ht="15" customHeight="1">
      <c r="A141" t="inlineStr">
        <is>
          <t>A 6381-2023</t>
        </is>
      </c>
      <c r="B141" s="1" t="n">
        <v>44965</v>
      </c>
      <c r="C141" s="1" t="n">
        <v>46173</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29946-2025</t>
        </is>
      </c>
      <c r="B142" s="1" t="n">
        <v>45826.46392361111</v>
      </c>
      <c r="C142" s="1" t="n">
        <v>46173</v>
      </c>
      <c r="D142" t="inlineStr">
        <is>
          <t>STOCKHOLMS LÄN</t>
        </is>
      </c>
      <c r="E142" t="inlineStr">
        <is>
          <t>NORRTÄLJE</t>
        </is>
      </c>
      <c r="F142" t="inlineStr">
        <is>
          <t>Holmen skog AB</t>
        </is>
      </c>
      <c r="G142" t="n">
        <v>3.6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29946-2025 artfynd.xlsx", "A 29946-2025")</f>
        <v/>
      </c>
      <c r="T142">
        <f>HYPERLINK("https://klasma.github.io/Logging_0188/kartor/A 29946-2025 karta.png", "A 29946-2025")</f>
        <v/>
      </c>
      <c r="V142">
        <f>HYPERLINK("https://klasma.github.io/Logging_0188/klagomål/A 29946-2025 FSC-klagomål.docx", "A 29946-2025")</f>
        <v/>
      </c>
      <c r="W142">
        <f>HYPERLINK("https://klasma.github.io/Logging_0188/klagomålsmail/A 29946-2025 FSC-klagomål mail.docx", "A 29946-2025")</f>
        <v/>
      </c>
      <c r="X142">
        <f>HYPERLINK("https://klasma.github.io/Logging_0188/tillsyn/A 29946-2025 tillsynsbegäran.docx", "A 29946-2025")</f>
        <v/>
      </c>
      <c r="Y142">
        <f>HYPERLINK("https://klasma.github.io/Logging_0188/tillsynsmail/A 29946-2025 tillsynsbegäran mail.docx", "A 29946-2025")</f>
        <v/>
      </c>
    </row>
    <row r="143" ht="15" customHeight="1">
      <c r="A143" t="inlineStr">
        <is>
          <t>A 33546-2025</t>
        </is>
      </c>
      <c r="B143" s="1" t="n">
        <v>45841.56996527778</v>
      </c>
      <c r="C143" s="1" t="n">
        <v>46173</v>
      </c>
      <c r="D143" t="inlineStr">
        <is>
          <t>STOCKHOLMS LÄN</t>
        </is>
      </c>
      <c r="E143" t="inlineStr">
        <is>
          <t>NORRTÄLJE</t>
        </is>
      </c>
      <c r="G143" t="n">
        <v>7.2</v>
      </c>
      <c r="H143" t="n">
        <v>1</v>
      </c>
      <c r="I143" t="n">
        <v>1</v>
      </c>
      <c r="J143" t="n">
        <v>0</v>
      </c>
      <c r="K143" t="n">
        <v>0</v>
      </c>
      <c r="L143" t="n">
        <v>0</v>
      </c>
      <c r="M143" t="n">
        <v>0</v>
      </c>
      <c r="N143" t="n">
        <v>0</v>
      </c>
      <c r="O143" t="n">
        <v>0</v>
      </c>
      <c r="P143" t="n">
        <v>0</v>
      </c>
      <c r="Q143" t="n">
        <v>1</v>
      </c>
      <c r="R143" s="2" t="inlineStr">
        <is>
          <t>Nästrot</t>
        </is>
      </c>
      <c r="S143">
        <f>HYPERLINK("https://klasma.github.io/Logging_0188/artfynd/A 33546-2025 artfynd.xlsx", "A 33546-2025")</f>
        <v/>
      </c>
      <c r="T143">
        <f>HYPERLINK("https://klasma.github.io/Logging_0188/kartor/A 33546-2025 karta.png", "A 33546-2025")</f>
        <v/>
      </c>
      <c r="V143">
        <f>HYPERLINK("https://klasma.github.io/Logging_0188/klagomål/A 33546-2025 FSC-klagomål.docx", "A 33546-2025")</f>
        <v/>
      </c>
      <c r="W143">
        <f>HYPERLINK("https://klasma.github.io/Logging_0188/klagomålsmail/A 33546-2025 FSC-klagomål mail.docx", "A 33546-2025")</f>
        <v/>
      </c>
      <c r="X143">
        <f>HYPERLINK("https://klasma.github.io/Logging_0188/tillsyn/A 33546-2025 tillsynsbegäran.docx", "A 33546-2025")</f>
        <v/>
      </c>
      <c r="Y143">
        <f>HYPERLINK("https://klasma.github.io/Logging_0188/tillsynsmail/A 33546-2025 tillsynsbegäran mail.docx", "A 33546-2025")</f>
        <v/>
      </c>
    </row>
    <row r="144" ht="15" customHeight="1">
      <c r="A144" t="inlineStr">
        <is>
          <t>A 7734-2026</t>
        </is>
      </c>
      <c r="B144" s="1" t="n">
        <v>46062.52902777777</v>
      </c>
      <c r="C144" s="1" t="n">
        <v>46173</v>
      </c>
      <c r="D144" t="inlineStr">
        <is>
          <t>STOCKHOLMS LÄN</t>
        </is>
      </c>
      <c r="E144" t="inlineStr">
        <is>
          <t>NORRTÄLJE</t>
        </is>
      </c>
      <c r="G144" t="n">
        <v>6.6</v>
      </c>
      <c r="H144" t="n">
        <v>0</v>
      </c>
      <c r="I144" t="n">
        <v>1</v>
      </c>
      <c r="J144" t="n">
        <v>0</v>
      </c>
      <c r="K144" t="n">
        <v>0</v>
      </c>
      <c r="L144" t="n">
        <v>0</v>
      </c>
      <c r="M144" t="n">
        <v>0</v>
      </c>
      <c r="N144" t="n">
        <v>0</v>
      </c>
      <c r="O144" t="n">
        <v>0</v>
      </c>
      <c r="P144" t="n">
        <v>0</v>
      </c>
      <c r="Q144" t="n">
        <v>1</v>
      </c>
      <c r="R144" s="2" t="inlineStr">
        <is>
          <t>Kastanjefjällskivling</t>
        </is>
      </c>
      <c r="S144">
        <f>HYPERLINK("https://klasma.github.io/Logging_0188/artfynd/A 7734-2026 artfynd.xlsx", "A 7734-2026")</f>
        <v/>
      </c>
      <c r="T144">
        <f>HYPERLINK("https://klasma.github.io/Logging_0188/kartor/A 7734-2026 karta.png", "A 7734-2026")</f>
        <v/>
      </c>
      <c r="V144">
        <f>HYPERLINK("https://klasma.github.io/Logging_0188/klagomål/A 7734-2026 FSC-klagomål.docx", "A 7734-2026")</f>
        <v/>
      </c>
      <c r="W144">
        <f>HYPERLINK("https://klasma.github.io/Logging_0188/klagomålsmail/A 7734-2026 FSC-klagomål mail.docx", "A 7734-2026")</f>
        <v/>
      </c>
      <c r="X144">
        <f>HYPERLINK("https://klasma.github.io/Logging_0188/tillsyn/A 7734-2026 tillsynsbegäran.docx", "A 7734-2026")</f>
        <v/>
      </c>
      <c r="Y144">
        <f>HYPERLINK("https://klasma.github.io/Logging_0188/tillsynsmail/A 7734-2026 tillsynsbegäran mail.docx", "A 7734-2026")</f>
        <v/>
      </c>
    </row>
    <row r="145" ht="15" customHeight="1">
      <c r="A145" t="inlineStr">
        <is>
          <t>A 19355-2026</t>
        </is>
      </c>
      <c r="B145" s="1" t="n">
        <v>46133.49074074074</v>
      </c>
      <c r="C145" s="1" t="n">
        <v>46173</v>
      </c>
      <c r="D145" t="inlineStr">
        <is>
          <t>STOCKHOLMS LÄN</t>
        </is>
      </c>
      <c r="E145" t="inlineStr">
        <is>
          <t>NORRTÄLJE</t>
        </is>
      </c>
      <c r="G145" t="n">
        <v>22.5</v>
      </c>
      <c r="H145" t="n">
        <v>0</v>
      </c>
      <c r="I145" t="n">
        <v>1</v>
      </c>
      <c r="J145" t="n">
        <v>0</v>
      </c>
      <c r="K145" t="n">
        <v>0</v>
      </c>
      <c r="L145" t="n">
        <v>0</v>
      </c>
      <c r="M145" t="n">
        <v>0</v>
      </c>
      <c r="N145" t="n">
        <v>0</v>
      </c>
      <c r="O145" t="n">
        <v>0</v>
      </c>
      <c r="P145" t="n">
        <v>0</v>
      </c>
      <c r="Q145" t="n">
        <v>1</v>
      </c>
      <c r="R145" s="2" t="inlineStr">
        <is>
          <t>Mönjevaxing</t>
        </is>
      </c>
      <c r="S145">
        <f>HYPERLINK("https://klasma.github.io/Logging_0188/artfynd/A 19355-2026 artfynd.xlsx", "A 19355-2026")</f>
        <v/>
      </c>
      <c r="T145">
        <f>HYPERLINK("https://klasma.github.io/Logging_0188/kartor/A 19355-2026 karta.png", "A 19355-2026")</f>
        <v/>
      </c>
      <c r="V145">
        <f>HYPERLINK("https://klasma.github.io/Logging_0188/klagomål/A 19355-2026 FSC-klagomål.docx", "A 19355-2026")</f>
        <v/>
      </c>
      <c r="W145">
        <f>HYPERLINK("https://klasma.github.io/Logging_0188/klagomålsmail/A 19355-2026 FSC-klagomål mail.docx", "A 19355-2026")</f>
        <v/>
      </c>
      <c r="X145">
        <f>HYPERLINK("https://klasma.github.io/Logging_0188/tillsyn/A 19355-2026 tillsynsbegäran.docx", "A 19355-2026")</f>
        <v/>
      </c>
      <c r="Y145">
        <f>HYPERLINK("https://klasma.github.io/Logging_0188/tillsynsmail/A 19355-2026 tillsynsbegäran mail.docx", "A 19355-2026")</f>
        <v/>
      </c>
    </row>
    <row r="146" ht="15" customHeight="1">
      <c r="A146" t="inlineStr">
        <is>
          <t>A 8371-2025</t>
        </is>
      </c>
      <c r="B146" s="1" t="n">
        <v>45708</v>
      </c>
      <c r="C146" s="1" t="n">
        <v>46173</v>
      </c>
      <c r="D146" t="inlineStr">
        <is>
          <t>STOCKHOLMS LÄN</t>
        </is>
      </c>
      <c r="E146" t="inlineStr">
        <is>
          <t>NORRTÄLJE</t>
        </is>
      </c>
      <c r="F146" t="inlineStr">
        <is>
          <t>Övriga Aktiebolag</t>
        </is>
      </c>
      <c r="G146" t="n">
        <v>2.9</v>
      </c>
      <c r="H146" t="n">
        <v>1</v>
      </c>
      <c r="I146" t="n">
        <v>0</v>
      </c>
      <c r="J146" t="n">
        <v>1</v>
      </c>
      <c r="K146" t="n">
        <v>0</v>
      </c>
      <c r="L146" t="n">
        <v>0</v>
      </c>
      <c r="M146" t="n">
        <v>0</v>
      </c>
      <c r="N146" t="n">
        <v>0</v>
      </c>
      <c r="O146" t="n">
        <v>1</v>
      </c>
      <c r="P146" t="n">
        <v>0</v>
      </c>
      <c r="Q146" t="n">
        <v>1</v>
      </c>
      <c r="R146" s="2" t="inlineStr">
        <is>
          <t>Spillkråka</t>
        </is>
      </c>
      <c r="S146">
        <f>HYPERLINK("https://klasma.github.io/Logging_0188/artfynd/A 8371-2025 artfynd.xlsx", "A 8371-2025")</f>
        <v/>
      </c>
      <c r="T146">
        <f>HYPERLINK("https://klasma.github.io/Logging_0188/kartor/A 8371-2025 karta.png", "A 8371-2025")</f>
        <v/>
      </c>
      <c r="V146">
        <f>HYPERLINK("https://klasma.github.io/Logging_0188/klagomål/A 8371-2025 FSC-klagomål.docx", "A 8371-2025")</f>
        <v/>
      </c>
      <c r="W146">
        <f>HYPERLINK("https://klasma.github.io/Logging_0188/klagomålsmail/A 8371-2025 FSC-klagomål mail.docx", "A 8371-2025")</f>
        <v/>
      </c>
      <c r="X146">
        <f>HYPERLINK("https://klasma.github.io/Logging_0188/tillsyn/A 8371-2025 tillsynsbegäran.docx", "A 8371-2025")</f>
        <v/>
      </c>
      <c r="Y146">
        <f>HYPERLINK("https://klasma.github.io/Logging_0188/tillsynsmail/A 8371-2025 tillsynsbegäran mail.docx", "A 8371-2025")</f>
        <v/>
      </c>
      <c r="Z146">
        <f>HYPERLINK("https://klasma.github.io/Logging_0188/fåglar/A 8371-2025 prioriterade fågelarter.docx", "A 8371-2025")</f>
        <v/>
      </c>
    </row>
    <row r="147" ht="15" customHeight="1">
      <c r="A147" t="inlineStr">
        <is>
          <t>A 15886-2026</t>
        </is>
      </c>
      <c r="B147" s="1" t="n">
        <v>46107</v>
      </c>
      <c r="C147" s="1" t="n">
        <v>46173</v>
      </c>
      <c r="D147" t="inlineStr">
        <is>
          <t>STOCKHOLMS LÄN</t>
        </is>
      </c>
      <c r="E147" t="inlineStr">
        <is>
          <t>NORRTÄLJE</t>
        </is>
      </c>
      <c r="G147" t="n">
        <v>1.3</v>
      </c>
      <c r="H147" t="n">
        <v>1</v>
      </c>
      <c r="I147" t="n">
        <v>0</v>
      </c>
      <c r="J147" t="n">
        <v>0</v>
      </c>
      <c r="K147" t="n">
        <v>0</v>
      </c>
      <c r="L147" t="n">
        <v>1</v>
      </c>
      <c r="M147" t="n">
        <v>0</v>
      </c>
      <c r="N147" t="n">
        <v>0</v>
      </c>
      <c r="O147" t="n">
        <v>1</v>
      </c>
      <c r="P147" t="n">
        <v>1</v>
      </c>
      <c r="Q147" t="n">
        <v>1</v>
      </c>
      <c r="R147" s="2" t="inlineStr">
        <is>
          <t>Grönfink</t>
        </is>
      </c>
      <c r="S147">
        <f>HYPERLINK("https://klasma.github.io/Logging_0188/artfynd/A 15886-2026 artfynd.xlsx", "A 15886-2026")</f>
        <v/>
      </c>
      <c r="T147">
        <f>HYPERLINK("https://klasma.github.io/Logging_0188/kartor/A 15886-2026 karta.png", "A 15886-2026")</f>
        <v/>
      </c>
      <c r="V147">
        <f>HYPERLINK("https://klasma.github.io/Logging_0188/klagomål/A 15886-2026 FSC-klagomål.docx", "A 15886-2026")</f>
        <v/>
      </c>
      <c r="W147">
        <f>HYPERLINK("https://klasma.github.io/Logging_0188/klagomålsmail/A 15886-2026 FSC-klagomål mail.docx", "A 15886-2026")</f>
        <v/>
      </c>
      <c r="X147">
        <f>HYPERLINK("https://klasma.github.io/Logging_0188/tillsyn/A 15886-2026 tillsynsbegäran.docx", "A 15886-2026")</f>
        <v/>
      </c>
      <c r="Y147">
        <f>HYPERLINK("https://klasma.github.io/Logging_0188/tillsynsmail/A 15886-2026 tillsynsbegäran mail.docx", "A 15886-2026")</f>
        <v/>
      </c>
      <c r="Z147">
        <f>HYPERLINK("https://klasma.github.io/Logging_0188/fåglar/A 15886-2026 prioriterade fågelarter.docx", "A 15886-2026")</f>
        <v/>
      </c>
    </row>
    <row r="148" ht="15" customHeight="1">
      <c r="A148" t="inlineStr">
        <is>
          <t>A 21821-2026</t>
        </is>
      </c>
      <c r="B148" s="1" t="n">
        <v>46150.48150462963</v>
      </c>
      <c r="C148" s="1" t="n">
        <v>46173</v>
      </c>
      <c r="D148" t="inlineStr">
        <is>
          <t>STOCKHOLMS LÄN</t>
        </is>
      </c>
      <c r="E148" t="inlineStr">
        <is>
          <t>NORRTÄLJE</t>
        </is>
      </c>
      <c r="G148" t="n">
        <v>2.6</v>
      </c>
      <c r="H148" t="n">
        <v>1</v>
      </c>
      <c r="I148" t="n">
        <v>0</v>
      </c>
      <c r="J148" t="n">
        <v>0</v>
      </c>
      <c r="K148" t="n">
        <v>0</v>
      </c>
      <c r="L148" t="n">
        <v>1</v>
      </c>
      <c r="M148" t="n">
        <v>0</v>
      </c>
      <c r="N148" t="n">
        <v>0</v>
      </c>
      <c r="O148" t="n">
        <v>1</v>
      </c>
      <c r="P148" t="n">
        <v>1</v>
      </c>
      <c r="Q148" t="n">
        <v>1</v>
      </c>
      <c r="R148" s="2" t="inlineStr">
        <is>
          <t>Bredgentiana</t>
        </is>
      </c>
      <c r="S148">
        <f>HYPERLINK("https://klasma.github.io/Logging_0188/artfynd/A 21821-2026 artfynd.xlsx", "A 21821-2026")</f>
        <v/>
      </c>
      <c r="T148">
        <f>HYPERLINK("https://klasma.github.io/Logging_0188/kartor/A 21821-2026 karta.png", "A 21821-2026")</f>
        <v/>
      </c>
      <c r="V148">
        <f>HYPERLINK("https://klasma.github.io/Logging_0188/klagomål/A 21821-2026 FSC-klagomål.docx", "A 21821-2026")</f>
        <v/>
      </c>
      <c r="W148">
        <f>HYPERLINK("https://klasma.github.io/Logging_0188/klagomålsmail/A 21821-2026 FSC-klagomål mail.docx", "A 21821-2026")</f>
        <v/>
      </c>
      <c r="X148">
        <f>HYPERLINK("https://klasma.github.io/Logging_0188/tillsyn/A 21821-2026 tillsynsbegäran.docx", "A 21821-2026")</f>
        <v/>
      </c>
      <c r="Y148">
        <f>HYPERLINK("https://klasma.github.io/Logging_0188/tillsynsmail/A 21821-2026 tillsynsbegäran mail.docx", "A 21821-2026")</f>
        <v/>
      </c>
    </row>
    <row r="149" ht="15" customHeight="1">
      <c r="A149" t="inlineStr">
        <is>
          <t>A 12877-2022</t>
        </is>
      </c>
      <c r="B149" s="1" t="n">
        <v>44642</v>
      </c>
      <c r="C149" s="1" t="n">
        <v>46173</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46173</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71543-2021</t>
        </is>
      </c>
      <c r="B151" s="1" t="n">
        <v>44540</v>
      </c>
      <c r="C151" s="1" t="n">
        <v>46173</v>
      </c>
      <c r="D151" t="inlineStr">
        <is>
          <t>STOCKHOLMS LÄN</t>
        </is>
      </c>
      <c r="E151" t="inlineStr">
        <is>
          <t>NORRTÄLJE</t>
        </is>
      </c>
      <c r="G151" t="n">
        <v>1.8</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46173</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46173</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46173</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46173</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46173</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46173</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46173</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46173</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46173</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46173</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46173</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46173</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46173</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46173</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46173</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46173</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46173</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46173</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46173</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46173</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46173</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46173</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46173</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46173</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46173</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46173</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46173</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46173</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46173</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46173</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46173</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46173</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46173</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46173</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46173</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46173</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46173</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46173</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46173</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46173</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46173</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46173</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46173</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46173</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46173</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46173</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46173</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46173</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46173</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46173</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46173</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46173</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52139-2022</t>
        </is>
      </c>
      <c r="B204" s="1" t="n">
        <v>44868</v>
      </c>
      <c r="C204" s="1" t="n">
        <v>46173</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c r="U204">
        <f>HYPERLINK("https://klasma.github.io/Logging_0188/knärot/A 52139-2022 karta knärot.png", "A 52139-2022")</f>
        <v/>
      </c>
      <c r="V204">
        <f>HYPERLINK("https://klasma.github.io/Logging_0188/klagomål/A 52139-2022 FSC-klagomål.docx", "A 52139-2022")</f>
        <v/>
      </c>
      <c r="W204">
        <f>HYPERLINK("https://klasma.github.io/Logging_0188/klagomålsmail/A 52139-2022 FSC-klagomål mail.docx", "A 52139-2022")</f>
        <v/>
      </c>
      <c r="X204">
        <f>HYPERLINK("https://klasma.github.io/Logging_0188/tillsyn/A 52139-2022 tillsynsbegäran.docx", "A 52139-2022")</f>
        <v/>
      </c>
      <c r="Y204">
        <f>HYPERLINK("https://klasma.github.io/Logging_0188/tillsynsmail/A 52139-2022 tillsynsbegäran mail.docx", "A 52139-2022")</f>
        <v/>
      </c>
    </row>
    <row r="205" ht="15" customHeight="1">
      <c r="A205" t="inlineStr">
        <is>
          <t>A 16119-2022</t>
        </is>
      </c>
      <c r="B205" s="1" t="n">
        <v>44665.66407407408</v>
      </c>
      <c r="C205" s="1" t="n">
        <v>46173</v>
      </c>
      <c r="D205" t="inlineStr">
        <is>
          <t>STOCKHOLMS LÄN</t>
        </is>
      </c>
      <c r="E205" t="inlineStr">
        <is>
          <t>NORRTÄLJE</t>
        </is>
      </c>
      <c r="G205" t="n">
        <v>3.9</v>
      </c>
      <c r="H205" t="n">
        <v>0</v>
      </c>
      <c r="I205" t="n">
        <v>0</v>
      </c>
      <c r="J205" t="n">
        <v>0</v>
      </c>
      <c r="K205" t="n">
        <v>0</v>
      </c>
      <c r="L205" t="n">
        <v>0</v>
      </c>
      <c r="M205" t="n">
        <v>0</v>
      </c>
      <c r="N205" t="n">
        <v>0</v>
      </c>
      <c r="O205" t="n">
        <v>0</v>
      </c>
      <c r="P205" t="n">
        <v>0</v>
      </c>
      <c r="Q205" t="n">
        <v>0</v>
      </c>
      <c r="R205" s="2" t="inlineStr"/>
    </row>
    <row r="206" ht="15" customHeight="1">
      <c r="A206" t="inlineStr">
        <is>
          <t>A 30624-2022</t>
        </is>
      </c>
      <c r="B206" s="1" t="n">
        <v>44763.4182175926</v>
      </c>
      <c r="C206" s="1" t="n">
        <v>46173</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31924-2022</t>
        </is>
      </c>
      <c r="B207" s="1" t="n">
        <v>44777</v>
      </c>
      <c r="C207" s="1" t="n">
        <v>46173</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46173</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46173</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46173</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52449-2021</t>
        </is>
      </c>
      <c r="B211" s="1" t="n">
        <v>44466.37496527778</v>
      </c>
      <c r="C211" s="1" t="n">
        <v>46173</v>
      </c>
      <c r="D211" t="inlineStr">
        <is>
          <t>STOCKHOLMS LÄN</t>
        </is>
      </c>
      <c r="E211" t="inlineStr">
        <is>
          <t>NORRTÄLJE</t>
        </is>
      </c>
      <c r="F211" t="inlineStr">
        <is>
          <t>Holmen skog AB</t>
        </is>
      </c>
      <c r="G211" t="n">
        <v>1.8</v>
      </c>
      <c r="H211" t="n">
        <v>0</v>
      </c>
      <c r="I211" t="n">
        <v>0</v>
      </c>
      <c r="J211" t="n">
        <v>0</v>
      </c>
      <c r="K211" t="n">
        <v>0</v>
      </c>
      <c r="L211" t="n">
        <v>0</v>
      </c>
      <c r="M211" t="n">
        <v>0</v>
      </c>
      <c r="N211" t="n">
        <v>0</v>
      </c>
      <c r="O211" t="n">
        <v>0</v>
      </c>
      <c r="P211" t="n">
        <v>0</v>
      </c>
      <c r="Q211" t="n">
        <v>0</v>
      </c>
      <c r="R211" s="2" t="inlineStr"/>
    </row>
    <row r="212" ht="15" customHeight="1">
      <c r="A212" t="inlineStr">
        <is>
          <t>A 27217-2021</t>
        </is>
      </c>
      <c r="B212" s="1" t="n">
        <v>44350</v>
      </c>
      <c r="C212" s="1" t="n">
        <v>46173</v>
      </c>
      <c r="D212" t="inlineStr">
        <is>
          <t>STOCKHOLMS LÄN</t>
        </is>
      </c>
      <c r="E212" t="inlineStr">
        <is>
          <t>NORRTÄLJE</t>
        </is>
      </c>
      <c r="G212" t="n">
        <v>5.5</v>
      </c>
      <c r="H212" t="n">
        <v>0</v>
      </c>
      <c r="I212" t="n">
        <v>0</v>
      </c>
      <c r="J212" t="n">
        <v>0</v>
      </c>
      <c r="K212" t="n">
        <v>0</v>
      </c>
      <c r="L212" t="n">
        <v>0</v>
      </c>
      <c r="M212" t="n">
        <v>0</v>
      </c>
      <c r="N212" t="n">
        <v>0</v>
      </c>
      <c r="O212" t="n">
        <v>0</v>
      </c>
      <c r="P212" t="n">
        <v>0</v>
      </c>
      <c r="Q212" t="n">
        <v>0</v>
      </c>
      <c r="R212" s="2" t="inlineStr"/>
    </row>
    <row r="213" ht="15" customHeight="1">
      <c r="A213" t="inlineStr">
        <is>
          <t>A 33046-2021</t>
        </is>
      </c>
      <c r="B213" s="1" t="n">
        <v>44376</v>
      </c>
      <c r="C213" s="1" t="n">
        <v>46173</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12270-2022</t>
        </is>
      </c>
      <c r="B214" s="1" t="n">
        <v>44637</v>
      </c>
      <c r="C214" s="1" t="n">
        <v>46173</v>
      </c>
      <c r="D214" t="inlineStr">
        <is>
          <t>STOCKHOLMS LÄN</t>
        </is>
      </c>
      <c r="E214" t="inlineStr">
        <is>
          <t>NORRTÄLJE</t>
        </is>
      </c>
      <c r="G214" t="n">
        <v>2.3</v>
      </c>
      <c r="H214" t="n">
        <v>0</v>
      </c>
      <c r="I214" t="n">
        <v>0</v>
      </c>
      <c r="J214" t="n">
        <v>0</v>
      </c>
      <c r="K214" t="n">
        <v>0</v>
      </c>
      <c r="L214" t="n">
        <v>0</v>
      </c>
      <c r="M214" t="n">
        <v>0</v>
      </c>
      <c r="N214" t="n">
        <v>0</v>
      </c>
      <c r="O214" t="n">
        <v>0</v>
      </c>
      <c r="P214" t="n">
        <v>0</v>
      </c>
      <c r="Q214" t="n">
        <v>0</v>
      </c>
      <c r="R214" s="2" t="inlineStr"/>
    </row>
    <row r="215" ht="15" customHeight="1">
      <c r="A215" t="inlineStr">
        <is>
          <t>A 65611-2021</t>
        </is>
      </c>
      <c r="B215" s="1" t="n">
        <v>44516.5275462963</v>
      </c>
      <c r="C215" s="1" t="n">
        <v>46173</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62030-2021</t>
        </is>
      </c>
      <c r="B216" s="1" t="n">
        <v>44502</v>
      </c>
      <c r="C216" s="1" t="n">
        <v>46173</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60813-2021</t>
        </is>
      </c>
      <c r="B217" s="1" t="n">
        <v>44496</v>
      </c>
      <c r="C217" s="1" t="n">
        <v>46173</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26328-2022</t>
        </is>
      </c>
      <c r="B218" s="1" t="n">
        <v>44735</v>
      </c>
      <c r="C218" s="1" t="n">
        <v>46173</v>
      </c>
      <c r="D218" t="inlineStr">
        <is>
          <t>STOCKHOLMS LÄN</t>
        </is>
      </c>
      <c r="E218" t="inlineStr">
        <is>
          <t>NORRTÄLJE</t>
        </is>
      </c>
      <c r="G218" t="n">
        <v>2.8</v>
      </c>
      <c r="H218" t="n">
        <v>0</v>
      </c>
      <c r="I218" t="n">
        <v>0</v>
      </c>
      <c r="J218" t="n">
        <v>0</v>
      </c>
      <c r="K218" t="n">
        <v>0</v>
      </c>
      <c r="L218" t="n">
        <v>0</v>
      </c>
      <c r="M218" t="n">
        <v>0</v>
      </c>
      <c r="N218" t="n">
        <v>0</v>
      </c>
      <c r="O218" t="n">
        <v>0</v>
      </c>
      <c r="P218" t="n">
        <v>0</v>
      </c>
      <c r="Q218" t="n">
        <v>0</v>
      </c>
      <c r="R218" s="2" t="inlineStr"/>
    </row>
    <row r="219" ht="15" customHeight="1">
      <c r="A219" t="inlineStr">
        <is>
          <t>A 14543-2022</t>
        </is>
      </c>
      <c r="B219" s="1" t="n">
        <v>44655.45373842592</v>
      </c>
      <c r="C219" s="1" t="n">
        <v>46173</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12875-2022</t>
        </is>
      </c>
      <c r="B220" s="1" t="n">
        <v>44642.55565972222</v>
      </c>
      <c r="C220" s="1" t="n">
        <v>46173</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39497-2021</t>
        </is>
      </c>
      <c r="B221" s="1" t="n">
        <v>44414.81494212963</v>
      </c>
      <c r="C221" s="1" t="n">
        <v>46173</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46173</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27214-2021</t>
        </is>
      </c>
      <c r="B223" s="1" t="n">
        <v>44350</v>
      </c>
      <c r="C223" s="1" t="n">
        <v>46173</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67598-2021</t>
        </is>
      </c>
      <c r="B224" s="1" t="n">
        <v>44524</v>
      </c>
      <c r="C224" s="1" t="n">
        <v>46173</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12355-2022</t>
        </is>
      </c>
      <c r="B225" s="1" t="n">
        <v>44637</v>
      </c>
      <c r="C225" s="1" t="n">
        <v>46173</v>
      </c>
      <c r="D225" t="inlineStr">
        <is>
          <t>STOCKHOLMS LÄN</t>
        </is>
      </c>
      <c r="E225" t="inlineStr">
        <is>
          <t>NORRTÄLJE</t>
        </is>
      </c>
      <c r="G225" t="n">
        <v>10.4</v>
      </c>
      <c r="H225" t="n">
        <v>0</v>
      </c>
      <c r="I225" t="n">
        <v>0</v>
      </c>
      <c r="J225" t="n">
        <v>0</v>
      </c>
      <c r="K225" t="n">
        <v>0</v>
      </c>
      <c r="L225" t="n">
        <v>0</v>
      </c>
      <c r="M225" t="n">
        <v>0</v>
      </c>
      <c r="N225" t="n">
        <v>0</v>
      </c>
      <c r="O225" t="n">
        <v>0</v>
      </c>
      <c r="P225" t="n">
        <v>0</v>
      </c>
      <c r="Q225" t="n">
        <v>0</v>
      </c>
      <c r="R225" s="2" t="inlineStr"/>
    </row>
    <row r="226" ht="15" customHeight="1">
      <c r="A226" t="inlineStr">
        <is>
          <t>A 34520-2021</t>
        </is>
      </c>
      <c r="B226" s="1" t="n">
        <v>44379</v>
      </c>
      <c r="C226" s="1" t="n">
        <v>46173</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5351-2022</t>
        </is>
      </c>
      <c r="B227" s="1" t="n">
        <v>44594.75950231482</v>
      </c>
      <c r="C227" s="1" t="n">
        <v>46173</v>
      </c>
      <c r="D227" t="inlineStr">
        <is>
          <t>STOCKHOLMS LÄN</t>
        </is>
      </c>
      <c r="E227" t="inlineStr">
        <is>
          <t>NORRTÄLJE</t>
        </is>
      </c>
      <c r="G227" t="n">
        <v>4</v>
      </c>
      <c r="H227" t="n">
        <v>0</v>
      </c>
      <c r="I227" t="n">
        <v>0</v>
      </c>
      <c r="J227" t="n">
        <v>0</v>
      </c>
      <c r="K227" t="n">
        <v>0</v>
      </c>
      <c r="L227" t="n">
        <v>0</v>
      </c>
      <c r="M227" t="n">
        <v>0</v>
      </c>
      <c r="N227" t="n">
        <v>0</v>
      </c>
      <c r="O227" t="n">
        <v>0</v>
      </c>
      <c r="P227" t="n">
        <v>0</v>
      </c>
      <c r="Q227" t="n">
        <v>0</v>
      </c>
      <c r="R227" s="2" t="inlineStr"/>
    </row>
    <row r="228" ht="15" customHeight="1">
      <c r="A228" t="inlineStr">
        <is>
          <t>A 7565-2022</t>
        </is>
      </c>
      <c r="B228" s="1" t="n">
        <v>44607</v>
      </c>
      <c r="C228" s="1" t="n">
        <v>46173</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41822-2021</t>
        </is>
      </c>
      <c r="B229" s="1" t="n">
        <v>44425</v>
      </c>
      <c r="C229" s="1" t="n">
        <v>46173</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41823-2021</t>
        </is>
      </c>
      <c r="B230" s="1" t="n">
        <v>44425</v>
      </c>
      <c r="C230" s="1" t="n">
        <v>46173</v>
      </c>
      <c r="D230" t="inlineStr">
        <is>
          <t>STOCKHOLMS LÄN</t>
        </is>
      </c>
      <c r="E230" t="inlineStr">
        <is>
          <t>NORRTÄLJE</t>
        </is>
      </c>
      <c r="G230" t="n">
        <v>2.4</v>
      </c>
      <c r="H230" t="n">
        <v>0</v>
      </c>
      <c r="I230" t="n">
        <v>0</v>
      </c>
      <c r="J230" t="n">
        <v>0</v>
      </c>
      <c r="K230" t="n">
        <v>0</v>
      </c>
      <c r="L230" t="n">
        <v>0</v>
      </c>
      <c r="M230" t="n">
        <v>0</v>
      </c>
      <c r="N230" t="n">
        <v>0</v>
      </c>
      <c r="O230" t="n">
        <v>0</v>
      </c>
      <c r="P230" t="n">
        <v>0</v>
      </c>
      <c r="Q230" t="n">
        <v>0</v>
      </c>
      <c r="R230" s="2" t="inlineStr"/>
    </row>
    <row r="231" ht="15" customHeight="1">
      <c r="A231" t="inlineStr">
        <is>
          <t>A 30129-2021</t>
        </is>
      </c>
      <c r="B231" s="1" t="n">
        <v>44363.5784375</v>
      </c>
      <c r="C231" s="1" t="n">
        <v>46173</v>
      </c>
      <c r="D231" t="inlineStr">
        <is>
          <t>STOCKHOLMS LÄN</t>
        </is>
      </c>
      <c r="E231" t="inlineStr">
        <is>
          <t>NORRTÄLJE</t>
        </is>
      </c>
      <c r="G231" t="n">
        <v>0.4</v>
      </c>
      <c r="H231" t="n">
        <v>0</v>
      </c>
      <c r="I231" t="n">
        <v>0</v>
      </c>
      <c r="J231" t="n">
        <v>0</v>
      </c>
      <c r="K231" t="n">
        <v>0</v>
      </c>
      <c r="L231" t="n">
        <v>0</v>
      </c>
      <c r="M231" t="n">
        <v>0</v>
      </c>
      <c r="N231" t="n">
        <v>0</v>
      </c>
      <c r="O231" t="n">
        <v>0</v>
      </c>
      <c r="P231" t="n">
        <v>0</v>
      </c>
      <c r="Q231" t="n">
        <v>0</v>
      </c>
      <c r="R231" s="2" t="inlineStr"/>
    </row>
    <row r="232" ht="15" customHeight="1">
      <c r="A232" t="inlineStr">
        <is>
          <t>A 5513-2022</t>
        </is>
      </c>
      <c r="B232" s="1" t="n">
        <v>44595</v>
      </c>
      <c r="C232" s="1" t="n">
        <v>46173</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46173</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22316-2022</t>
        </is>
      </c>
      <c r="B234" s="1" t="n">
        <v>44712.83118055556</v>
      </c>
      <c r="C234" s="1" t="n">
        <v>46173</v>
      </c>
      <c r="D234" t="inlineStr">
        <is>
          <t>STOCKHOLMS LÄN</t>
        </is>
      </c>
      <c r="E234" t="inlineStr">
        <is>
          <t>NORRTÄLJE</t>
        </is>
      </c>
      <c r="G234" t="n">
        <v>6.3</v>
      </c>
      <c r="H234" t="n">
        <v>0</v>
      </c>
      <c r="I234" t="n">
        <v>0</v>
      </c>
      <c r="J234" t="n">
        <v>0</v>
      </c>
      <c r="K234" t="n">
        <v>0</v>
      </c>
      <c r="L234" t="n">
        <v>0</v>
      </c>
      <c r="M234" t="n">
        <v>0</v>
      </c>
      <c r="N234" t="n">
        <v>0</v>
      </c>
      <c r="O234" t="n">
        <v>0</v>
      </c>
      <c r="P234" t="n">
        <v>0</v>
      </c>
      <c r="Q234" t="n">
        <v>0</v>
      </c>
      <c r="R234" s="2" t="inlineStr"/>
    </row>
    <row r="235" ht="15" customHeight="1">
      <c r="A235" t="inlineStr">
        <is>
          <t>A 31092-2022</t>
        </is>
      </c>
      <c r="B235" s="1" t="n">
        <v>44769.62320601852</v>
      </c>
      <c r="C235" s="1" t="n">
        <v>46173</v>
      </c>
      <c r="D235" t="inlineStr">
        <is>
          <t>STOCKHOLMS LÄN</t>
        </is>
      </c>
      <c r="E235" t="inlineStr">
        <is>
          <t>NORRTÄLJE</t>
        </is>
      </c>
      <c r="G235" t="n">
        <v>1.6</v>
      </c>
      <c r="H235" t="n">
        <v>0</v>
      </c>
      <c r="I235" t="n">
        <v>0</v>
      </c>
      <c r="J235" t="n">
        <v>0</v>
      </c>
      <c r="K235" t="n">
        <v>0</v>
      </c>
      <c r="L235" t="n">
        <v>0</v>
      </c>
      <c r="M235" t="n">
        <v>0</v>
      </c>
      <c r="N235" t="n">
        <v>0</v>
      </c>
      <c r="O235" t="n">
        <v>0</v>
      </c>
      <c r="P235" t="n">
        <v>0</v>
      </c>
      <c r="Q235" t="n">
        <v>0</v>
      </c>
      <c r="R235" s="2" t="inlineStr"/>
    </row>
    <row r="236" ht="15" customHeight="1">
      <c r="A236" t="inlineStr">
        <is>
          <t>A 20295-2022</t>
        </is>
      </c>
      <c r="B236" s="1" t="n">
        <v>44698</v>
      </c>
      <c r="C236" s="1" t="n">
        <v>46173</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46173</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37415-2021</t>
        </is>
      </c>
      <c r="B238" s="1" t="n">
        <v>44397</v>
      </c>
      <c r="C238" s="1" t="n">
        <v>46173</v>
      </c>
      <c r="D238" t="inlineStr">
        <is>
          <t>STOCKHOLMS LÄN</t>
        </is>
      </c>
      <c r="E238" t="inlineStr">
        <is>
          <t>NORRTÄLJE</t>
        </is>
      </c>
      <c r="F238" t="inlineStr">
        <is>
          <t>Övriga Aktiebolag</t>
        </is>
      </c>
      <c r="G238" t="n">
        <v>3</v>
      </c>
      <c r="H238" t="n">
        <v>0</v>
      </c>
      <c r="I238" t="n">
        <v>0</v>
      </c>
      <c r="J238" t="n">
        <v>0</v>
      </c>
      <c r="K238" t="n">
        <v>0</v>
      </c>
      <c r="L238" t="n">
        <v>0</v>
      </c>
      <c r="M238" t="n">
        <v>0</v>
      </c>
      <c r="N238" t="n">
        <v>0</v>
      </c>
      <c r="O238" t="n">
        <v>0</v>
      </c>
      <c r="P238" t="n">
        <v>0</v>
      </c>
      <c r="Q238" t="n">
        <v>0</v>
      </c>
      <c r="R238" s="2" t="inlineStr"/>
    </row>
    <row r="239" ht="15" customHeight="1">
      <c r="A239" t="inlineStr">
        <is>
          <t>A 71871-2021</t>
        </is>
      </c>
      <c r="B239" s="1" t="n">
        <v>44543</v>
      </c>
      <c r="C239" s="1" t="n">
        <v>46173</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71873-2021</t>
        </is>
      </c>
      <c r="B240" s="1" t="n">
        <v>44543</v>
      </c>
      <c r="C240" s="1" t="n">
        <v>46173</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46173</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30286-2022</t>
        </is>
      </c>
      <c r="B242" s="1" t="n">
        <v>44760</v>
      </c>
      <c r="C242" s="1" t="n">
        <v>46173</v>
      </c>
      <c r="D242" t="inlineStr">
        <is>
          <t>STOCKHOLMS LÄN</t>
        </is>
      </c>
      <c r="E242" t="inlineStr">
        <is>
          <t>NORRTÄLJE</t>
        </is>
      </c>
      <c r="G242" t="n">
        <v>0.3</v>
      </c>
      <c r="H242" t="n">
        <v>0</v>
      </c>
      <c r="I242" t="n">
        <v>0</v>
      </c>
      <c r="J242" t="n">
        <v>0</v>
      </c>
      <c r="K242" t="n">
        <v>0</v>
      </c>
      <c r="L242" t="n">
        <v>0</v>
      </c>
      <c r="M242" t="n">
        <v>0</v>
      </c>
      <c r="N242" t="n">
        <v>0</v>
      </c>
      <c r="O242" t="n">
        <v>0</v>
      </c>
      <c r="P242" t="n">
        <v>0</v>
      </c>
      <c r="Q242" t="n">
        <v>0</v>
      </c>
      <c r="R242" s="2" t="inlineStr"/>
    </row>
    <row r="243" ht="15" customHeight="1">
      <c r="A243" t="inlineStr">
        <is>
          <t>A 8160-2022</t>
        </is>
      </c>
      <c r="B243" s="1" t="n">
        <v>44609</v>
      </c>
      <c r="C243" s="1" t="n">
        <v>46173</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72355-2021</t>
        </is>
      </c>
      <c r="B244" s="1" t="n">
        <v>44545</v>
      </c>
      <c r="C244" s="1" t="n">
        <v>46173</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72357-2021</t>
        </is>
      </c>
      <c r="B245" s="1" t="n">
        <v>44545</v>
      </c>
      <c r="C245" s="1" t="n">
        <v>46173</v>
      </c>
      <c r="D245" t="inlineStr">
        <is>
          <t>STOCKHOLMS LÄN</t>
        </is>
      </c>
      <c r="E245" t="inlineStr">
        <is>
          <t>NORRTÄLJE</t>
        </is>
      </c>
      <c r="G245" t="n">
        <v>5.1</v>
      </c>
      <c r="H245" t="n">
        <v>0</v>
      </c>
      <c r="I245" t="n">
        <v>0</v>
      </c>
      <c r="J245" t="n">
        <v>0</v>
      </c>
      <c r="K245" t="n">
        <v>0</v>
      </c>
      <c r="L245" t="n">
        <v>0</v>
      </c>
      <c r="M245" t="n">
        <v>0</v>
      </c>
      <c r="N245" t="n">
        <v>0</v>
      </c>
      <c r="O245" t="n">
        <v>0</v>
      </c>
      <c r="P245" t="n">
        <v>0</v>
      </c>
      <c r="Q245" t="n">
        <v>0</v>
      </c>
      <c r="R245" s="2" t="inlineStr"/>
    </row>
    <row r="246" ht="15" customHeight="1">
      <c r="A246" t="inlineStr">
        <is>
          <t>A 39319-2022</t>
        </is>
      </c>
      <c r="B246" s="1" t="n">
        <v>44817.70516203704</v>
      </c>
      <c r="C246" s="1" t="n">
        <v>46173</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46173</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46173</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46173</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9988-2022</t>
        </is>
      </c>
      <c r="B250" s="1" t="n">
        <v>44621</v>
      </c>
      <c r="C250" s="1" t="n">
        <v>46173</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60733-2021</t>
        </is>
      </c>
      <c r="B251" s="1" t="n">
        <v>44496.77542824074</v>
      </c>
      <c r="C251" s="1" t="n">
        <v>46173</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28042-2022</t>
        </is>
      </c>
      <c r="B252" s="1" t="n">
        <v>44744</v>
      </c>
      <c r="C252" s="1" t="n">
        <v>46173</v>
      </c>
      <c r="D252" t="inlineStr">
        <is>
          <t>STOCKHOLMS LÄN</t>
        </is>
      </c>
      <c r="E252" t="inlineStr">
        <is>
          <t>NORRTÄLJE</t>
        </is>
      </c>
      <c r="G252" t="n">
        <v>0.2</v>
      </c>
      <c r="H252" t="n">
        <v>0</v>
      </c>
      <c r="I252" t="n">
        <v>0</v>
      </c>
      <c r="J252" t="n">
        <v>0</v>
      </c>
      <c r="K252" t="n">
        <v>0</v>
      </c>
      <c r="L252" t="n">
        <v>0</v>
      </c>
      <c r="M252" t="n">
        <v>0</v>
      </c>
      <c r="N252" t="n">
        <v>0</v>
      </c>
      <c r="O252" t="n">
        <v>0</v>
      </c>
      <c r="P252" t="n">
        <v>0</v>
      </c>
      <c r="Q252" t="n">
        <v>0</v>
      </c>
      <c r="R252" s="2" t="inlineStr"/>
    </row>
    <row r="253" ht="15" customHeight="1">
      <c r="A253" t="inlineStr">
        <is>
          <t>A 2732-2022</t>
        </is>
      </c>
      <c r="B253" s="1" t="n">
        <v>44580</v>
      </c>
      <c r="C253" s="1" t="n">
        <v>46173</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44917-2022</t>
        </is>
      </c>
      <c r="B254" s="1" t="n">
        <v>44841.52804398148</v>
      </c>
      <c r="C254" s="1" t="n">
        <v>46173</v>
      </c>
      <c r="D254" t="inlineStr">
        <is>
          <t>STOCKHOLMS LÄN</t>
        </is>
      </c>
      <c r="E254" t="inlineStr">
        <is>
          <t>NORRTÄLJE</t>
        </is>
      </c>
      <c r="F254" t="inlineStr">
        <is>
          <t>Holmen skog AB</t>
        </is>
      </c>
      <c r="G254" t="n">
        <v>3.3</v>
      </c>
      <c r="H254" t="n">
        <v>0</v>
      </c>
      <c r="I254" t="n">
        <v>0</v>
      </c>
      <c r="J254" t="n">
        <v>0</v>
      </c>
      <c r="K254" t="n">
        <v>0</v>
      </c>
      <c r="L254" t="n">
        <v>0</v>
      </c>
      <c r="M254" t="n">
        <v>0</v>
      </c>
      <c r="N254" t="n">
        <v>0</v>
      </c>
      <c r="O254" t="n">
        <v>0</v>
      </c>
      <c r="P254" t="n">
        <v>0</v>
      </c>
      <c r="Q254" t="n">
        <v>0</v>
      </c>
      <c r="R254" s="2" t="inlineStr"/>
    </row>
    <row r="255" ht="15" customHeight="1">
      <c r="A255" t="inlineStr">
        <is>
          <t>A 15226-2022</t>
        </is>
      </c>
      <c r="B255" s="1" t="n">
        <v>44658</v>
      </c>
      <c r="C255" s="1" t="n">
        <v>46173</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55058-2021</t>
        </is>
      </c>
      <c r="B256" s="1" t="n">
        <v>44474.62141203704</v>
      </c>
      <c r="C256" s="1" t="n">
        <v>46173</v>
      </c>
      <c r="D256" t="inlineStr">
        <is>
          <t>STOCKHOLMS LÄN</t>
        </is>
      </c>
      <c r="E256" t="inlineStr">
        <is>
          <t>NORRTÄLJE</t>
        </is>
      </c>
      <c r="G256" t="n">
        <v>1.9</v>
      </c>
      <c r="H256" t="n">
        <v>0</v>
      </c>
      <c r="I256" t="n">
        <v>0</v>
      </c>
      <c r="J256" t="n">
        <v>0</v>
      </c>
      <c r="K256" t="n">
        <v>0</v>
      </c>
      <c r="L256" t="n">
        <v>0</v>
      </c>
      <c r="M256" t="n">
        <v>0</v>
      </c>
      <c r="N256" t="n">
        <v>0</v>
      </c>
      <c r="O256" t="n">
        <v>0</v>
      </c>
      <c r="P256" t="n">
        <v>0</v>
      </c>
      <c r="Q256" t="n">
        <v>0</v>
      </c>
      <c r="R256" s="2" t="inlineStr"/>
    </row>
    <row r="257" ht="15" customHeight="1">
      <c r="A257" t="inlineStr">
        <is>
          <t>A 3300-2022</t>
        </is>
      </c>
      <c r="B257" s="1" t="n">
        <v>44584.91538194445</v>
      </c>
      <c r="C257" s="1" t="n">
        <v>46173</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17388-2022</t>
        </is>
      </c>
      <c r="B258" s="1" t="n">
        <v>44678</v>
      </c>
      <c r="C258" s="1" t="n">
        <v>46173</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53884-2022</t>
        </is>
      </c>
      <c r="B259" s="1" t="n">
        <v>44880.68423611111</v>
      </c>
      <c r="C259" s="1" t="n">
        <v>46173</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12357-2022</t>
        </is>
      </c>
      <c r="B260" s="1" t="n">
        <v>44637</v>
      </c>
      <c r="C260" s="1" t="n">
        <v>46173</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26335-2022</t>
        </is>
      </c>
      <c r="B261" s="1" t="n">
        <v>44735</v>
      </c>
      <c r="C261" s="1" t="n">
        <v>46173</v>
      </c>
      <c r="D261" t="inlineStr">
        <is>
          <t>STOCKHOLMS LÄN</t>
        </is>
      </c>
      <c r="E261" t="inlineStr">
        <is>
          <t>NORRTÄLJE</t>
        </is>
      </c>
      <c r="G261" t="n">
        <v>3.3</v>
      </c>
      <c r="H261" t="n">
        <v>0</v>
      </c>
      <c r="I261" t="n">
        <v>0</v>
      </c>
      <c r="J261" t="n">
        <v>0</v>
      </c>
      <c r="K261" t="n">
        <v>0</v>
      </c>
      <c r="L261" t="n">
        <v>0</v>
      </c>
      <c r="M261" t="n">
        <v>0</v>
      </c>
      <c r="N261" t="n">
        <v>0</v>
      </c>
      <c r="O261" t="n">
        <v>0</v>
      </c>
      <c r="P261" t="n">
        <v>0</v>
      </c>
      <c r="Q261" t="n">
        <v>0</v>
      </c>
      <c r="R261" s="2" t="inlineStr"/>
    </row>
    <row r="262" ht="15" customHeight="1">
      <c r="A262" t="inlineStr">
        <is>
          <t>A 17771-2022</t>
        </is>
      </c>
      <c r="B262" s="1" t="n">
        <v>44682.75924768519</v>
      </c>
      <c r="C262" s="1" t="n">
        <v>46173</v>
      </c>
      <c r="D262" t="inlineStr">
        <is>
          <t>STOCKHOLMS LÄN</t>
        </is>
      </c>
      <c r="E262" t="inlineStr">
        <is>
          <t>NORRTÄLJE</t>
        </is>
      </c>
      <c r="G262" t="n">
        <v>13.3</v>
      </c>
      <c r="H262" t="n">
        <v>0</v>
      </c>
      <c r="I262" t="n">
        <v>0</v>
      </c>
      <c r="J262" t="n">
        <v>0</v>
      </c>
      <c r="K262" t="n">
        <v>0</v>
      </c>
      <c r="L262" t="n">
        <v>0</v>
      </c>
      <c r="M262" t="n">
        <v>0</v>
      </c>
      <c r="N262" t="n">
        <v>0</v>
      </c>
      <c r="O262" t="n">
        <v>0</v>
      </c>
      <c r="P262" t="n">
        <v>0</v>
      </c>
      <c r="Q262" t="n">
        <v>0</v>
      </c>
      <c r="R262" s="2" t="inlineStr"/>
    </row>
    <row r="263" ht="15" customHeight="1">
      <c r="A263" t="inlineStr">
        <is>
          <t>A 17773-2022</t>
        </is>
      </c>
      <c r="B263" s="1" t="n">
        <v>44682.77616898148</v>
      </c>
      <c r="C263" s="1" t="n">
        <v>46173</v>
      </c>
      <c r="D263" t="inlineStr">
        <is>
          <t>STOCKHOLMS LÄN</t>
        </is>
      </c>
      <c r="E263" t="inlineStr">
        <is>
          <t>NORRTÄLJE</t>
        </is>
      </c>
      <c r="G263" t="n">
        <v>10.8</v>
      </c>
      <c r="H263" t="n">
        <v>0</v>
      </c>
      <c r="I263" t="n">
        <v>0</v>
      </c>
      <c r="J263" t="n">
        <v>0</v>
      </c>
      <c r="K263" t="n">
        <v>0</v>
      </c>
      <c r="L263" t="n">
        <v>0</v>
      </c>
      <c r="M263" t="n">
        <v>0</v>
      </c>
      <c r="N263" t="n">
        <v>0</v>
      </c>
      <c r="O263" t="n">
        <v>0</v>
      </c>
      <c r="P263" t="n">
        <v>0</v>
      </c>
      <c r="Q263" t="n">
        <v>0</v>
      </c>
      <c r="R263" s="2" t="inlineStr"/>
    </row>
    <row r="264" ht="15" customHeight="1">
      <c r="A264" t="inlineStr">
        <is>
          <t>A 10521-2022</t>
        </is>
      </c>
      <c r="B264" s="1" t="n">
        <v>44623</v>
      </c>
      <c r="C264" s="1" t="n">
        <v>46173</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41398-2022</t>
        </is>
      </c>
      <c r="B265" s="1" t="n">
        <v>44826</v>
      </c>
      <c r="C265" s="1" t="n">
        <v>46173</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31926-2022</t>
        </is>
      </c>
      <c r="B266" s="1" t="n">
        <v>44777</v>
      </c>
      <c r="C266" s="1" t="n">
        <v>46173</v>
      </c>
      <c r="D266" t="inlineStr">
        <is>
          <t>STOCKHOLMS LÄN</t>
        </is>
      </c>
      <c r="E266" t="inlineStr">
        <is>
          <t>NORRTÄLJE</t>
        </is>
      </c>
      <c r="G266" t="n">
        <v>5.2</v>
      </c>
      <c r="H266" t="n">
        <v>0</v>
      </c>
      <c r="I266" t="n">
        <v>0</v>
      </c>
      <c r="J266" t="n">
        <v>0</v>
      </c>
      <c r="K266" t="n">
        <v>0</v>
      </c>
      <c r="L266" t="n">
        <v>0</v>
      </c>
      <c r="M266" t="n">
        <v>0</v>
      </c>
      <c r="N266" t="n">
        <v>0</v>
      </c>
      <c r="O266" t="n">
        <v>0</v>
      </c>
      <c r="P266" t="n">
        <v>0</v>
      </c>
      <c r="Q266" t="n">
        <v>0</v>
      </c>
      <c r="R266" s="2" t="inlineStr"/>
    </row>
    <row r="267" ht="15" customHeight="1">
      <c r="A267" t="inlineStr">
        <is>
          <t>A 55012-2024</t>
        </is>
      </c>
      <c r="B267" s="1" t="n">
        <v>45621.34813657407</v>
      </c>
      <c r="C267" s="1" t="n">
        <v>46173</v>
      </c>
      <c r="D267" t="inlineStr">
        <is>
          <t>STOCKHOLMS LÄN</t>
        </is>
      </c>
      <c r="E267" t="inlineStr">
        <is>
          <t>NORRTÄLJE</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46173</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46173</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46173</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21480-2022</t>
        </is>
      </c>
      <c r="B271" s="1" t="n">
        <v>44704</v>
      </c>
      <c r="C271" s="1" t="n">
        <v>46173</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11041-2025</t>
        </is>
      </c>
      <c r="B272" s="1" t="n">
        <v>45723</v>
      </c>
      <c r="C272" s="1" t="n">
        <v>46173</v>
      </c>
      <c r="D272" t="inlineStr">
        <is>
          <t>STOCKHOLMS LÄN</t>
        </is>
      </c>
      <c r="E272" t="inlineStr">
        <is>
          <t>NORRTÄLJE</t>
        </is>
      </c>
      <c r="F272" t="inlineStr">
        <is>
          <t>Övriga Aktiebolag</t>
        </is>
      </c>
      <c r="G272" t="n">
        <v>1.8</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46173</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24024-2024</t>
        </is>
      </c>
      <c r="B274" s="1" t="n">
        <v>45456</v>
      </c>
      <c r="C274" s="1" t="n">
        <v>46173</v>
      </c>
      <c r="D274" t="inlineStr">
        <is>
          <t>STOCKHOLMS LÄN</t>
        </is>
      </c>
      <c r="E274" t="inlineStr">
        <is>
          <t>NORRTÄLJE</t>
        </is>
      </c>
      <c r="G274" t="n">
        <v>1.9</v>
      </c>
      <c r="H274" t="n">
        <v>0</v>
      </c>
      <c r="I274" t="n">
        <v>0</v>
      </c>
      <c r="J274" t="n">
        <v>0</v>
      </c>
      <c r="K274" t="n">
        <v>0</v>
      </c>
      <c r="L274" t="n">
        <v>0</v>
      </c>
      <c r="M274" t="n">
        <v>0</v>
      </c>
      <c r="N274" t="n">
        <v>0</v>
      </c>
      <c r="O274" t="n">
        <v>0</v>
      </c>
      <c r="P274" t="n">
        <v>0</v>
      </c>
      <c r="Q274" t="n">
        <v>0</v>
      </c>
      <c r="R274" s="2" t="inlineStr"/>
    </row>
    <row r="275" ht="15" customHeight="1">
      <c r="A275" t="inlineStr">
        <is>
          <t>A 28809-2023</t>
        </is>
      </c>
      <c r="B275" s="1" t="n">
        <v>45104</v>
      </c>
      <c r="C275" s="1" t="n">
        <v>46173</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28813-2023</t>
        </is>
      </c>
      <c r="B276" s="1" t="n">
        <v>45104</v>
      </c>
      <c r="C276" s="1" t="n">
        <v>46173</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46173</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40656-2022</t>
        </is>
      </c>
      <c r="B278" s="1" t="n">
        <v>44824.36069444445</v>
      </c>
      <c r="C278" s="1" t="n">
        <v>46173</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17772-2022</t>
        </is>
      </c>
      <c r="B279" s="1" t="n">
        <v>44682.76528935185</v>
      </c>
      <c r="C279" s="1" t="n">
        <v>46173</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46173</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46173</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46173</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46173</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7413-2024</t>
        </is>
      </c>
      <c r="B284" s="1" t="n">
        <v>45345.6059837963</v>
      </c>
      <c r="C284" s="1" t="n">
        <v>46173</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60694-2024</t>
        </is>
      </c>
      <c r="B285" s="1" t="n">
        <v>45644.47878472223</v>
      </c>
      <c r="C285" s="1" t="n">
        <v>46173</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12251-2025</t>
        </is>
      </c>
      <c r="B286" s="1" t="n">
        <v>45729.60859953704</v>
      </c>
      <c r="C286" s="1" t="n">
        <v>46173</v>
      </c>
      <c r="D286" t="inlineStr">
        <is>
          <t>STOCKHOLMS LÄN</t>
        </is>
      </c>
      <c r="E286" t="inlineStr">
        <is>
          <t>NORRTÄLJE</t>
        </is>
      </c>
      <c r="F286" t="inlineStr">
        <is>
          <t>Holmen skog AB</t>
        </is>
      </c>
      <c r="G286" t="n">
        <v>5.9</v>
      </c>
      <c r="H286" t="n">
        <v>0</v>
      </c>
      <c r="I286" t="n">
        <v>0</v>
      </c>
      <c r="J286" t="n">
        <v>0</v>
      </c>
      <c r="K286" t="n">
        <v>0</v>
      </c>
      <c r="L286" t="n">
        <v>0</v>
      </c>
      <c r="M286" t="n">
        <v>0</v>
      </c>
      <c r="N286" t="n">
        <v>0</v>
      </c>
      <c r="O286" t="n">
        <v>0</v>
      </c>
      <c r="P286" t="n">
        <v>0</v>
      </c>
      <c r="Q286" t="n">
        <v>0</v>
      </c>
      <c r="R286" s="2" t="inlineStr"/>
    </row>
    <row r="287" ht="15" customHeight="1">
      <c r="A287" t="inlineStr">
        <is>
          <t>A 58863-2024</t>
        </is>
      </c>
      <c r="B287" s="1" t="n">
        <v>45636.41572916666</v>
      </c>
      <c r="C287" s="1" t="n">
        <v>46173</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50154-2024</t>
        </is>
      </c>
      <c r="B288" s="1" t="n">
        <v>45600.4558912037</v>
      </c>
      <c r="C288" s="1" t="n">
        <v>46173</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46173</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46173</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19450-2025</t>
        </is>
      </c>
      <c r="B291" s="1" t="n">
        <v>45770</v>
      </c>
      <c r="C291" s="1" t="n">
        <v>46173</v>
      </c>
      <c r="D291" t="inlineStr">
        <is>
          <t>STOCKHOLMS LÄN</t>
        </is>
      </c>
      <c r="E291" t="inlineStr">
        <is>
          <t>NORRTÄLJE</t>
        </is>
      </c>
      <c r="G291" t="n">
        <v>5.3</v>
      </c>
      <c r="H291" t="n">
        <v>0</v>
      </c>
      <c r="I291" t="n">
        <v>0</v>
      </c>
      <c r="J291" t="n">
        <v>0</v>
      </c>
      <c r="K291" t="n">
        <v>0</v>
      </c>
      <c r="L291" t="n">
        <v>0</v>
      </c>
      <c r="M291" t="n">
        <v>0</v>
      </c>
      <c r="N291" t="n">
        <v>0</v>
      </c>
      <c r="O291" t="n">
        <v>0</v>
      </c>
      <c r="P291" t="n">
        <v>0</v>
      </c>
      <c r="Q291" t="n">
        <v>0</v>
      </c>
      <c r="R291" s="2" t="inlineStr"/>
    </row>
    <row r="292" ht="15" customHeight="1">
      <c r="A292" t="inlineStr">
        <is>
          <t>A 11900-2024</t>
        </is>
      </c>
      <c r="B292" s="1" t="n">
        <v>45376.55484953704</v>
      </c>
      <c r="C292" s="1" t="n">
        <v>46173</v>
      </c>
      <c r="D292" t="inlineStr">
        <is>
          <t>STOCKHOLMS LÄN</t>
        </is>
      </c>
      <c r="E292" t="inlineStr">
        <is>
          <t>NORRTÄLJE</t>
        </is>
      </c>
      <c r="G292" t="n">
        <v>4.2</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46173</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42867-2022</t>
        </is>
      </c>
      <c r="B294" s="1" t="n">
        <v>44832</v>
      </c>
      <c r="C294" s="1" t="n">
        <v>46173</v>
      </c>
      <c r="D294" t="inlineStr">
        <is>
          <t>STOCKHOLMS LÄN</t>
        </is>
      </c>
      <c r="E294" t="inlineStr">
        <is>
          <t>NORRTÄLJE</t>
        </is>
      </c>
      <c r="G294" t="n">
        <v>6.4</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46173</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33226-2024</t>
        </is>
      </c>
      <c r="B296" s="1" t="n">
        <v>45518</v>
      </c>
      <c r="C296" s="1" t="n">
        <v>46173</v>
      </c>
      <c r="D296" t="inlineStr">
        <is>
          <t>STOCKHOLMS LÄN</t>
        </is>
      </c>
      <c r="E296" t="inlineStr">
        <is>
          <t>NORRTÄLJE</t>
        </is>
      </c>
      <c r="G296" t="n">
        <v>13.8</v>
      </c>
      <c r="H296" t="n">
        <v>0</v>
      </c>
      <c r="I296" t="n">
        <v>0</v>
      </c>
      <c r="J296" t="n">
        <v>0</v>
      </c>
      <c r="K296" t="n">
        <v>0</v>
      </c>
      <c r="L296" t="n">
        <v>0</v>
      </c>
      <c r="M296" t="n">
        <v>0</v>
      </c>
      <c r="N296" t="n">
        <v>0</v>
      </c>
      <c r="O296" t="n">
        <v>0</v>
      </c>
      <c r="P296" t="n">
        <v>0</v>
      </c>
      <c r="Q296" t="n">
        <v>0</v>
      </c>
      <c r="R296" s="2" t="inlineStr"/>
    </row>
    <row r="297" ht="15" customHeight="1">
      <c r="A297" t="inlineStr">
        <is>
          <t>A 22008-2024</t>
        </is>
      </c>
      <c r="B297" s="1" t="n">
        <v>45443</v>
      </c>
      <c r="C297" s="1" t="n">
        <v>46173</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23749-2024</t>
        </is>
      </c>
      <c r="B298" s="1" t="n">
        <v>45455.33037037037</v>
      </c>
      <c r="C298" s="1" t="n">
        <v>46173</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58277-2023</t>
        </is>
      </c>
      <c r="B299" s="1" t="n">
        <v>45245</v>
      </c>
      <c r="C299" s="1" t="n">
        <v>46173</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46173</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33353-2023</t>
        </is>
      </c>
      <c r="B301" s="1" t="n">
        <v>45128</v>
      </c>
      <c r="C301" s="1" t="n">
        <v>46173</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45541-2022</t>
        </is>
      </c>
      <c r="B302" s="1" t="n">
        <v>44845.47672453704</v>
      </c>
      <c r="C302" s="1" t="n">
        <v>46173</v>
      </c>
      <c r="D302" t="inlineStr">
        <is>
          <t>STOCKHOLMS LÄN</t>
        </is>
      </c>
      <c r="E302" t="inlineStr">
        <is>
          <t>NORRTÄLJE</t>
        </is>
      </c>
      <c r="G302" t="n">
        <v>0.4</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46173</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32705-2022</t>
        </is>
      </c>
      <c r="B304" s="1" t="n">
        <v>44783</v>
      </c>
      <c r="C304" s="1" t="n">
        <v>46173</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25557-2023</t>
        </is>
      </c>
      <c r="B305" s="1" t="n">
        <v>45089</v>
      </c>
      <c r="C305" s="1" t="n">
        <v>46173</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47481-2024</t>
        </is>
      </c>
      <c r="B306" s="1" t="n">
        <v>45587</v>
      </c>
      <c r="C306" s="1" t="n">
        <v>46173</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46173</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57037-2022</t>
        </is>
      </c>
      <c r="B308" s="1" t="n">
        <v>44895</v>
      </c>
      <c r="C308" s="1" t="n">
        <v>46173</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11940-2023</t>
        </is>
      </c>
      <c r="B309" s="1" t="n">
        <v>44995</v>
      </c>
      <c r="C309" s="1" t="n">
        <v>46173</v>
      </c>
      <c r="D309" t="inlineStr">
        <is>
          <t>STOCKHOLMS LÄN</t>
        </is>
      </c>
      <c r="E309" t="inlineStr">
        <is>
          <t>NORRTÄLJE</t>
        </is>
      </c>
      <c r="G309" t="n">
        <v>0.7</v>
      </c>
      <c r="H309" t="n">
        <v>0</v>
      </c>
      <c r="I309" t="n">
        <v>0</v>
      </c>
      <c r="J309" t="n">
        <v>0</v>
      </c>
      <c r="K309" t="n">
        <v>0</v>
      </c>
      <c r="L309" t="n">
        <v>0</v>
      </c>
      <c r="M309" t="n">
        <v>0</v>
      </c>
      <c r="N309" t="n">
        <v>0</v>
      </c>
      <c r="O309" t="n">
        <v>0</v>
      </c>
      <c r="P309" t="n">
        <v>0</v>
      </c>
      <c r="Q309" t="n">
        <v>0</v>
      </c>
      <c r="R309" s="2" t="inlineStr"/>
    </row>
    <row r="310" ht="15" customHeight="1">
      <c r="A310" t="inlineStr">
        <is>
          <t>A 3966-2024</t>
        </is>
      </c>
      <c r="B310" s="1" t="n">
        <v>45322</v>
      </c>
      <c r="C310" s="1" t="n">
        <v>46173</v>
      </c>
      <c r="D310" t="inlineStr">
        <is>
          <t>STOCKHOLMS LÄN</t>
        </is>
      </c>
      <c r="E310" t="inlineStr">
        <is>
          <t>NORRTÄLJE</t>
        </is>
      </c>
      <c r="G310" t="n">
        <v>5.3</v>
      </c>
      <c r="H310" t="n">
        <v>0</v>
      </c>
      <c r="I310" t="n">
        <v>0</v>
      </c>
      <c r="J310" t="n">
        <v>0</v>
      </c>
      <c r="K310" t="n">
        <v>0</v>
      </c>
      <c r="L310" t="n">
        <v>0</v>
      </c>
      <c r="M310" t="n">
        <v>0</v>
      </c>
      <c r="N310" t="n">
        <v>0</v>
      </c>
      <c r="O310" t="n">
        <v>0</v>
      </c>
      <c r="P310" t="n">
        <v>0</v>
      </c>
      <c r="Q310" t="n">
        <v>0</v>
      </c>
      <c r="R310" s="2" t="inlineStr"/>
    </row>
    <row r="311" ht="15" customHeight="1">
      <c r="A311" t="inlineStr">
        <is>
          <t>A 55696-2022</t>
        </is>
      </c>
      <c r="B311" s="1" t="n">
        <v>44888</v>
      </c>
      <c r="C311" s="1" t="n">
        <v>46173</v>
      </c>
      <c r="D311" t="inlineStr">
        <is>
          <t>STOCKHOLMS LÄN</t>
        </is>
      </c>
      <c r="E311" t="inlineStr">
        <is>
          <t>NORRTÄLJE</t>
        </is>
      </c>
      <c r="G311" t="n">
        <v>2.2</v>
      </c>
      <c r="H311" t="n">
        <v>0</v>
      </c>
      <c r="I311" t="n">
        <v>0</v>
      </c>
      <c r="J311" t="n">
        <v>0</v>
      </c>
      <c r="K311" t="n">
        <v>0</v>
      </c>
      <c r="L311" t="n">
        <v>0</v>
      </c>
      <c r="M311" t="n">
        <v>0</v>
      </c>
      <c r="N311" t="n">
        <v>0</v>
      </c>
      <c r="O311" t="n">
        <v>0</v>
      </c>
      <c r="P311" t="n">
        <v>0</v>
      </c>
      <c r="Q311" t="n">
        <v>0</v>
      </c>
      <c r="R311" s="2" t="inlineStr"/>
    </row>
    <row r="312" ht="15" customHeight="1">
      <c r="A312" t="inlineStr">
        <is>
          <t>A 2281-2024</t>
        </is>
      </c>
      <c r="B312" s="1" t="n">
        <v>45310.40628472222</v>
      </c>
      <c r="C312" s="1" t="n">
        <v>46173</v>
      </c>
      <c r="D312" t="inlineStr">
        <is>
          <t>STOCKHOLMS LÄN</t>
        </is>
      </c>
      <c r="E312" t="inlineStr">
        <is>
          <t>NORRTÄLJE</t>
        </is>
      </c>
      <c r="G312" t="n">
        <v>2.7</v>
      </c>
      <c r="H312" t="n">
        <v>0</v>
      </c>
      <c r="I312" t="n">
        <v>0</v>
      </c>
      <c r="J312" t="n">
        <v>0</v>
      </c>
      <c r="K312" t="n">
        <v>0</v>
      </c>
      <c r="L312" t="n">
        <v>0</v>
      </c>
      <c r="M312" t="n">
        <v>0</v>
      </c>
      <c r="N312" t="n">
        <v>0</v>
      </c>
      <c r="O312" t="n">
        <v>0</v>
      </c>
      <c r="P312" t="n">
        <v>0</v>
      </c>
      <c r="Q312" t="n">
        <v>0</v>
      </c>
      <c r="R312" s="2" t="inlineStr"/>
    </row>
    <row r="313" ht="15" customHeight="1">
      <c r="A313" t="inlineStr">
        <is>
          <t>A 60525-2022</t>
        </is>
      </c>
      <c r="B313" s="1" t="n">
        <v>44904</v>
      </c>
      <c r="C313" s="1" t="n">
        <v>46173</v>
      </c>
      <c r="D313" t="inlineStr">
        <is>
          <t>STOCKHOLMS LÄN</t>
        </is>
      </c>
      <c r="E313" t="inlineStr">
        <is>
          <t>NORRTÄLJE</t>
        </is>
      </c>
      <c r="G313" t="n">
        <v>13.4</v>
      </c>
      <c r="H313" t="n">
        <v>0</v>
      </c>
      <c r="I313" t="n">
        <v>0</v>
      </c>
      <c r="J313" t="n">
        <v>0</v>
      </c>
      <c r="K313" t="n">
        <v>0</v>
      </c>
      <c r="L313" t="n">
        <v>0</v>
      </c>
      <c r="M313" t="n">
        <v>0</v>
      </c>
      <c r="N313" t="n">
        <v>0</v>
      </c>
      <c r="O313" t="n">
        <v>0</v>
      </c>
      <c r="P313" t="n">
        <v>0</v>
      </c>
      <c r="Q313" t="n">
        <v>0</v>
      </c>
      <c r="R313" s="2" t="inlineStr"/>
    </row>
    <row r="314" ht="15" customHeight="1">
      <c r="A314" t="inlineStr">
        <is>
          <t>A 68273-2021</t>
        </is>
      </c>
      <c r="B314" s="1" t="n">
        <v>44526</v>
      </c>
      <c r="C314" s="1" t="n">
        <v>46173</v>
      </c>
      <c r="D314" t="inlineStr">
        <is>
          <t>STOCKHOLMS LÄN</t>
        </is>
      </c>
      <c r="E314" t="inlineStr">
        <is>
          <t>NORRTÄLJE</t>
        </is>
      </c>
      <c r="G314" t="n">
        <v>5.3</v>
      </c>
      <c r="H314" t="n">
        <v>0</v>
      </c>
      <c r="I314" t="n">
        <v>0</v>
      </c>
      <c r="J314" t="n">
        <v>0</v>
      </c>
      <c r="K314" t="n">
        <v>0</v>
      </c>
      <c r="L314" t="n">
        <v>0</v>
      </c>
      <c r="M314" t="n">
        <v>0</v>
      </c>
      <c r="N314" t="n">
        <v>0</v>
      </c>
      <c r="O314" t="n">
        <v>0</v>
      </c>
      <c r="P314" t="n">
        <v>0</v>
      </c>
      <c r="Q314" t="n">
        <v>0</v>
      </c>
      <c r="R314" s="2" t="inlineStr"/>
    </row>
    <row r="315" ht="15" customHeight="1">
      <c r="A315" t="inlineStr">
        <is>
          <t>A 13053-2022</t>
        </is>
      </c>
      <c r="B315" s="1" t="n">
        <v>44643</v>
      </c>
      <c r="C315" s="1" t="n">
        <v>46173</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15915-2023</t>
        </is>
      </c>
      <c r="B316" s="1" t="n">
        <v>45022</v>
      </c>
      <c r="C316" s="1" t="n">
        <v>46173</v>
      </c>
      <c r="D316" t="inlineStr">
        <is>
          <t>STOCKHOLMS LÄN</t>
        </is>
      </c>
      <c r="E316" t="inlineStr">
        <is>
          <t>NORRTÄLJE</t>
        </is>
      </c>
      <c r="G316" t="n">
        <v>2.9</v>
      </c>
      <c r="H316" t="n">
        <v>0</v>
      </c>
      <c r="I316" t="n">
        <v>0</v>
      </c>
      <c r="J316" t="n">
        <v>0</v>
      </c>
      <c r="K316" t="n">
        <v>0</v>
      </c>
      <c r="L316" t="n">
        <v>0</v>
      </c>
      <c r="M316" t="n">
        <v>0</v>
      </c>
      <c r="N316" t="n">
        <v>0</v>
      </c>
      <c r="O316" t="n">
        <v>0</v>
      </c>
      <c r="P316" t="n">
        <v>0</v>
      </c>
      <c r="Q316" t="n">
        <v>0</v>
      </c>
      <c r="R316" s="2" t="inlineStr"/>
    </row>
    <row r="317" ht="15" customHeight="1">
      <c r="A317" t="inlineStr">
        <is>
          <t>A 39213-2022</t>
        </is>
      </c>
      <c r="B317" s="1" t="n">
        <v>44817.56120370371</v>
      </c>
      <c r="C317" s="1" t="n">
        <v>46173</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23262-2023</t>
        </is>
      </c>
      <c r="B318" s="1" t="n">
        <v>45075.90270833333</v>
      </c>
      <c r="C318" s="1" t="n">
        <v>46173</v>
      </c>
      <c r="D318" t="inlineStr">
        <is>
          <t>STOCKHOLMS LÄN</t>
        </is>
      </c>
      <c r="E318" t="inlineStr">
        <is>
          <t>NORRTÄLJE</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23268-2023</t>
        </is>
      </c>
      <c r="B319" s="1" t="n">
        <v>45075.91042824074</v>
      </c>
      <c r="C319" s="1" t="n">
        <v>46173</v>
      </c>
      <c r="D319" t="inlineStr">
        <is>
          <t>STOCKHOLMS LÄN</t>
        </is>
      </c>
      <c r="E319" t="inlineStr">
        <is>
          <t>NORRTÄLJE</t>
        </is>
      </c>
      <c r="G319" t="n">
        <v>3.3</v>
      </c>
      <c r="H319" t="n">
        <v>0</v>
      </c>
      <c r="I319" t="n">
        <v>0</v>
      </c>
      <c r="J319" t="n">
        <v>0</v>
      </c>
      <c r="K319" t="n">
        <v>0</v>
      </c>
      <c r="L319" t="n">
        <v>0</v>
      </c>
      <c r="M319" t="n">
        <v>0</v>
      </c>
      <c r="N319" t="n">
        <v>0</v>
      </c>
      <c r="O319" t="n">
        <v>0</v>
      </c>
      <c r="P319" t="n">
        <v>0</v>
      </c>
      <c r="Q319" t="n">
        <v>0</v>
      </c>
      <c r="R319" s="2" t="inlineStr"/>
    </row>
    <row r="320" ht="15" customHeight="1">
      <c r="A320" t="inlineStr">
        <is>
          <t>A 23270-2023</t>
        </is>
      </c>
      <c r="B320" s="1" t="n">
        <v>45075.91265046296</v>
      </c>
      <c r="C320" s="1" t="n">
        <v>46173</v>
      </c>
      <c r="D320" t="inlineStr">
        <is>
          <t>STOCKHOLMS LÄN</t>
        </is>
      </c>
      <c r="E320" t="inlineStr">
        <is>
          <t>NORRTÄLJE</t>
        </is>
      </c>
      <c r="G320" t="n">
        <v>12.3</v>
      </c>
      <c r="H320" t="n">
        <v>0</v>
      </c>
      <c r="I320" t="n">
        <v>0</v>
      </c>
      <c r="J320" t="n">
        <v>0</v>
      </c>
      <c r="K320" t="n">
        <v>0</v>
      </c>
      <c r="L320" t="n">
        <v>0</v>
      </c>
      <c r="M320" t="n">
        <v>0</v>
      </c>
      <c r="N320" t="n">
        <v>0</v>
      </c>
      <c r="O320" t="n">
        <v>0</v>
      </c>
      <c r="P320" t="n">
        <v>0</v>
      </c>
      <c r="Q320" t="n">
        <v>0</v>
      </c>
      <c r="R320" s="2" t="inlineStr"/>
    </row>
    <row r="321" ht="15" customHeight="1">
      <c r="A321" t="inlineStr">
        <is>
          <t>A 23274-2023</t>
        </is>
      </c>
      <c r="B321" s="1" t="n">
        <v>45075.92153935185</v>
      </c>
      <c r="C321" s="1" t="n">
        <v>46173</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41976-2024</t>
        </is>
      </c>
      <c r="B322" s="1" t="n">
        <v>45561.62141203704</v>
      </c>
      <c r="C322" s="1" t="n">
        <v>46173</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17843-2024</t>
        </is>
      </c>
      <c r="B323" s="1" t="n">
        <v>45418</v>
      </c>
      <c r="C323" s="1" t="n">
        <v>46173</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29972-2024</t>
        </is>
      </c>
      <c r="B324" s="1" t="n">
        <v>45485</v>
      </c>
      <c r="C324" s="1" t="n">
        <v>46173</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51325-2023</t>
        </is>
      </c>
      <c r="B325" s="1" t="n">
        <v>45219</v>
      </c>
      <c r="C325" s="1" t="n">
        <v>46173</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48716-2023</t>
        </is>
      </c>
      <c r="B326" s="1" t="n">
        <v>45208.69671296296</v>
      </c>
      <c r="C326" s="1" t="n">
        <v>46173</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59534-2024</t>
        </is>
      </c>
      <c r="B327" s="1" t="n">
        <v>45638.5987037037</v>
      </c>
      <c r="C327" s="1" t="n">
        <v>46173</v>
      </c>
      <c r="D327" t="inlineStr">
        <is>
          <t>STOCKHOLMS LÄN</t>
        </is>
      </c>
      <c r="E327" t="inlineStr">
        <is>
          <t>NORRTÄLJE</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31107-2022</t>
        </is>
      </c>
      <c r="B328" s="1" t="n">
        <v>44769.66864583334</v>
      </c>
      <c r="C328" s="1" t="n">
        <v>46173</v>
      </c>
      <c r="D328" t="inlineStr">
        <is>
          <t>STOCKHOLMS LÄN</t>
        </is>
      </c>
      <c r="E328" t="inlineStr">
        <is>
          <t>NORRTÄLJE</t>
        </is>
      </c>
      <c r="G328" t="n">
        <v>3.8</v>
      </c>
      <c r="H328" t="n">
        <v>0</v>
      </c>
      <c r="I328" t="n">
        <v>0</v>
      </c>
      <c r="J328" t="n">
        <v>0</v>
      </c>
      <c r="K328" t="n">
        <v>0</v>
      </c>
      <c r="L328" t="n">
        <v>0</v>
      </c>
      <c r="M328" t="n">
        <v>0</v>
      </c>
      <c r="N328" t="n">
        <v>0</v>
      </c>
      <c r="O328" t="n">
        <v>0</v>
      </c>
      <c r="P328" t="n">
        <v>0</v>
      </c>
      <c r="Q328" t="n">
        <v>0</v>
      </c>
      <c r="R328" s="2" t="inlineStr"/>
    </row>
    <row r="329" ht="15" customHeight="1">
      <c r="A329" t="inlineStr">
        <is>
          <t>A 5027-2025</t>
        </is>
      </c>
      <c r="B329" s="1" t="n">
        <v>45691.41101851852</v>
      </c>
      <c r="C329" s="1" t="n">
        <v>46173</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13860-2023</t>
        </is>
      </c>
      <c r="B330" s="1" t="n">
        <v>45007</v>
      </c>
      <c r="C330" s="1" t="n">
        <v>46173</v>
      </c>
      <c r="D330" t="inlineStr">
        <is>
          <t>STOCKHOLMS LÄN</t>
        </is>
      </c>
      <c r="E330" t="inlineStr">
        <is>
          <t>NORRTÄLJE</t>
        </is>
      </c>
      <c r="G330" t="n">
        <v>1.6</v>
      </c>
      <c r="H330" t="n">
        <v>0</v>
      </c>
      <c r="I330" t="n">
        <v>0</v>
      </c>
      <c r="J330" t="n">
        <v>0</v>
      </c>
      <c r="K330" t="n">
        <v>0</v>
      </c>
      <c r="L330" t="n">
        <v>0</v>
      </c>
      <c r="M330" t="n">
        <v>0</v>
      </c>
      <c r="N330" t="n">
        <v>0</v>
      </c>
      <c r="O330" t="n">
        <v>0</v>
      </c>
      <c r="P330" t="n">
        <v>0</v>
      </c>
      <c r="Q330" t="n">
        <v>0</v>
      </c>
      <c r="R330" s="2" t="inlineStr"/>
    </row>
    <row r="331" ht="15" customHeight="1">
      <c r="A331" t="inlineStr">
        <is>
          <t>A 6855-2025</t>
        </is>
      </c>
      <c r="B331" s="1" t="n">
        <v>45700</v>
      </c>
      <c r="C331" s="1" t="n">
        <v>46173</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26636-2023</t>
        </is>
      </c>
      <c r="B332" s="1" t="n">
        <v>45092</v>
      </c>
      <c r="C332" s="1" t="n">
        <v>46173</v>
      </c>
      <c r="D332" t="inlineStr">
        <is>
          <t>STOCKHOLMS LÄN</t>
        </is>
      </c>
      <c r="E332" t="inlineStr">
        <is>
          <t>NORRTÄLJE</t>
        </is>
      </c>
      <c r="G332" t="n">
        <v>1.7</v>
      </c>
      <c r="H332" t="n">
        <v>0</v>
      </c>
      <c r="I332" t="n">
        <v>0</v>
      </c>
      <c r="J332" t="n">
        <v>0</v>
      </c>
      <c r="K332" t="n">
        <v>0</v>
      </c>
      <c r="L332" t="n">
        <v>0</v>
      </c>
      <c r="M332" t="n">
        <v>0</v>
      </c>
      <c r="N332" t="n">
        <v>0</v>
      </c>
      <c r="O332" t="n">
        <v>0</v>
      </c>
      <c r="P332" t="n">
        <v>0</v>
      </c>
      <c r="Q332" t="n">
        <v>0</v>
      </c>
      <c r="R332" s="2" t="inlineStr"/>
    </row>
    <row r="333" ht="15" customHeight="1">
      <c r="A333" t="inlineStr">
        <is>
          <t>A 26637-2023</t>
        </is>
      </c>
      <c r="B333" s="1" t="n">
        <v>45092</v>
      </c>
      <c r="C333" s="1" t="n">
        <v>46173</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64137-2021</t>
        </is>
      </c>
      <c r="B334" s="1" t="n">
        <v>44510.51422453704</v>
      </c>
      <c r="C334" s="1" t="n">
        <v>46173</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13314-2025</t>
        </is>
      </c>
      <c r="B335" s="1" t="n">
        <v>45735.59287037037</v>
      </c>
      <c r="C335" s="1" t="n">
        <v>46173</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72704-2021</t>
        </is>
      </c>
      <c r="B336" s="1" t="n">
        <v>44546</v>
      </c>
      <c r="C336" s="1" t="n">
        <v>46173</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52743-2024</t>
        </is>
      </c>
      <c r="B337" s="1" t="n">
        <v>45610.47414351852</v>
      </c>
      <c r="C337" s="1" t="n">
        <v>46173</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16852-2024</t>
        </is>
      </c>
      <c r="B338" s="1" t="n">
        <v>45411.54768518519</v>
      </c>
      <c r="C338" s="1" t="n">
        <v>46173</v>
      </c>
      <c r="D338" t="inlineStr">
        <is>
          <t>STOCKHOLMS LÄN</t>
        </is>
      </c>
      <c r="E338" t="inlineStr">
        <is>
          <t>NORRTÄLJE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34432-2021</t>
        </is>
      </c>
      <c r="B339" s="1" t="n">
        <v>44380.77346064815</v>
      </c>
      <c r="C339" s="1" t="n">
        <v>46173</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55755-2023</t>
        </is>
      </c>
      <c r="B340" s="1" t="n">
        <v>45239</v>
      </c>
      <c r="C340" s="1" t="n">
        <v>46173</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46173</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46173</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52001-2023</t>
        </is>
      </c>
      <c r="B343" s="1" t="n">
        <v>45223</v>
      </c>
      <c r="C343" s="1" t="n">
        <v>46173</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12268-2022</t>
        </is>
      </c>
      <c r="B344" s="1" t="n">
        <v>44637</v>
      </c>
      <c r="C344" s="1" t="n">
        <v>46173</v>
      </c>
      <c r="D344" t="inlineStr">
        <is>
          <t>STOCKHOLMS LÄN</t>
        </is>
      </c>
      <c r="E344" t="inlineStr">
        <is>
          <t>NORRTÄLJE</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17348-2024</t>
        </is>
      </c>
      <c r="B345" s="1" t="n">
        <v>45414.58650462963</v>
      </c>
      <c r="C345" s="1" t="n">
        <v>46173</v>
      </c>
      <c r="D345" t="inlineStr">
        <is>
          <t>STOCKHOLMS LÄN</t>
        </is>
      </c>
      <c r="E345" t="inlineStr">
        <is>
          <t>NORRTÄLJE</t>
        </is>
      </c>
      <c r="G345" t="n">
        <v>2.3</v>
      </c>
      <c r="H345" t="n">
        <v>0</v>
      </c>
      <c r="I345" t="n">
        <v>0</v>
      </c>
      <c r="J345" t="n">
        <v>0</v>
      </c>
      <c r="K345" t="n">
        <v>0</v>
      </c>
      <c r="L345" t="n">
        <v>0</v>
      </c>
      <c r="M345" t="n">
        <v>0</v>
      </c>
      <c r="N345" t="n">
        <v>0</v>
      </c>
      <c r="O345" t="n">
        <v>0</v>
      </c>
      <c r="P345" t="n">
        <v>0</v>
      </c>
      <c r="Q345" t="n">
        <v>0</v>
      </c>
      <c r="R345" s="2" t="inlineStr"/>
    </row>
    <row r="346" ht="15" customHeight="1">
      <c r="A346" t="inlineStr">
        <is>
          <t>A 60185-2024</t>
        </is>
      </c>
      <c r="B346" s="1" t="n">
        <v>45642.64634259259</v>
      </c>
      <c r="C346" s="1" t="n">
        <v>46173</v>
      </c>
      <c r="D346" t="inlineStr">
        <is>
          <t>STOCKHOLMS LÄN</t>
        </is>
      </c>
      <c r="E346" t="inlineStr">
        <is>
          <t>NORRTÄLJE</t>
        </is>
      </c>
      <c r="G346" t="n">
        <v>0.3</v>
      </c>
      <c r="H346" t="n">
        <v>0</v>
      </c>
      <c r="I346" t="n">
        <v>0</v>
      </c>
      <c r="J346" t="n">
        <v>0</v>
      </c>
      <c r="K346" t="n">
        <v>0</v>
      </c>
      <c r="L346" t="n">
        <v>0</v>
      </c>
      <c r="M346" t="n">
        <v>0</v>
      </c>
      <c r="N346" t="n">
        <v>0</v>
      </c>
      <c r="O346" t="n">
        <v>0</v>
      </c>
      <c r="P346" t="n">
        <v>0</v>
      </c>
      <c r="Q346" t="n">
        <v>0</v>
      </c>
      <c r="R346" s="2" t="inlineStr"/>
    </row>
    <row r="347" ht="15" customHeight="1">
      <c r="A347" t="inlineStr">
        <is>
          <t>A 20015-2023</t>
        </is>
      </c>
      <c r="B347" s="1" t="n">
        <v>45054</v>
      </c>
      <c r="C347" s="1" t="n">
        <v>46173</v>
      </c>
      <c r="D347" t="inlineStr">
        <is>
          <t>STOCKHOLMS LÄN</t>
        </is>
      </c>
      <c r="E347" t="inlineStr">
        <is>
          <t>NORRTÄLJE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3273-2025</t>
        </is>
      </c>
      <c r="B348" s="1" t="n">
        <v>45679</v>
      </c>
      <c r="C348" s="1" t="n">
        <v>46173</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48686-2023</t>
        </is>
      </c>
      <c r="B349" s="1" t="n">
        <v>45208</v>
      </c>
      <c r="C349" s="1" t="n">
        <v>46173</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48691-2023</t>
        </is>
      </c>
      <c r="B350" s="1" t="n">
        <v>45208</v>
      </c>
      <c r="C350" s="1" t="n">
        <v>46173</v>
      </c>
      <c r="D350" t="inlineStr">
        <is>
          <t>STOCKHOLMS LÄN</t>
        </is>
      </c>
      <c r="E350" t="inlineStr">
        <is>
          <t>NORRTÄLJE</t>
        </is>
      </c>
      <c r="G350" t="n">
        <v>5.8</v>
      </c>
      <c r="H350" t="n">
        <v>0</v>
      </c>
      <c r="I350" t="n">
        <v>0</v>
      </c>
      <c r="J350" t="n">
        <v>0</v>
      </c>
      <c r="K350" t="n">
        <v>0</v>
      </c>
      <c r="L350" t="n">
        <v>0</v>
      </c>
      <c r="M350" t="n">
        <v>0</v>
      </c>
      <c r="N350" t="n">
        <v>0</v>
      </c>
      <c r="O350" t="n">
        <v>0</v>
      </c>
      <c r="P350" t="n">
        <v>0</v>
      </c>
      <c r="Q350" t="n">
        <v>0</v>
      </c>
      <c r="R350" s="2" t="inlineStr"/>
    </row>
    <row r="351" ht="15" customHeight="1">
      <c r="A351" t="inlineStr">
        <is>
          <t>A 24245-2024</t>
        </is>
      </c>
      <c r="B351" s="1" t="n">
        <v>45457</v>
      </c>
      <c r="C351" s="1" t="n">
        <v>46173</v>
      </c>
      <c r="D351" t="inlineStr">
        <is>
          <t>STOCKHOLMS LÄN</t>
        </is>
      </c>
      <c r="E351" t="inlineStr">
        <is>
          <t>NORRTÄLJE</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15256-2023</t>
        </is>
      </c>
      <c r="B352" s="1" t="n">
        <v>45019.3959837963</v>
      </c>
      <c r="C352" s="1" t="n">
        <v>46173</v>
      </c>
      <c r="D352" t="inlineStr">
        <is>
          <t>STOCKHOLMS LÄN</t>
        </is>
      </c>
      <c r="E352" t="inlineStr">
        <is>
          <t>NORRTÄLJE</t>
        </is>
      </c>
      <c r="G352" t="n">
        <v>2.4</v>
      </c>
      <c r="H352" t="n">
        <v>0</v>
      </c>
      <c r="I352" t="n">
        <v>0</v>
      </c>
      <c r="J352" t="n">
        <v>0</v>
      </c>
      <c r="K352" t="n">
        <v>0</v>
      </c>
      <c r="L352" t="n">
        <v>0</v>
      </c>
      <c r="M352" t="n">
        <v>0</v>
      </c>
      <c r="N352" t="n">
        <v>0</v>
      </c>
      <c r="O352" t="n">
        <v>0</v>
      </c>
      <c r="P352" t="n">
        <v>0</v>
      </c>
      <c r="Q352" t="n">
        <v>0</v>
      </c>
      <c r="R352" s="2" t="inlineStr"/>
    </row>
    <row r="353" ht="15" customHeight="1">
      <c r="A353" t="inlineStr">
        <is>
          <t>A 20428-2024</t>
        </is>
      </c>
      <c r="B353" s="1" t="n">
        <v>45435</v>
      </c>
      <c r="C353" s="1" t="n">
        <v>46173</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21726-2022</t>
        </is>
      </c>
      <c r="B354" s="1" t="n">
        <v>44708</v>
      </c>
      <c r="C354" s="1" t="n">
        <v>46173</v>
      </c>
      <c r="D354" t="inlineStr">
        <is>
          <t>STOCKHOLMS LÄN</t>
        </is>
      </c>
      <c r="E354" t="inlineStr">
        <is>
          <t>NORRTÄLJE</t>
        </is>
      </c>
      <c r="G354" t="n">
        <v>0.2</v>
      </c>
      <c r="H354" t="n">
        <v>0</v>
      </c>
      <c r="I354" t="n">
        <v>0</v>
      </c>
      <c r="J354" t="n">
        <v>0</v>
      </c>
      <c r="K354" t="n">
        <v>0</v>
      </c>
      <c r="L354" t="n">
        <v>0</v>
      </c>
      <c r="M354" t="n">
        <v>0</v>
      </c>
      <c r="N354" t="n">
        <v>0</v>
      </c>
      <c r="O354" t="n">
        <v>0</v>
      </c>
      <c r="P354" t="n">
        <v>0</v>
      </c>
      <c r="Q354" t="n">
        <v>0</v>
      </c>
      <c r="R354" s="2" t="inlineStr"/>
    </row>
    <row r="355" ht="15" customHeight="1">
      <c r="A355" t="inlineStr">
        <is>
          <t>A 21739-2022</t>
        </is>
      </c>
      <c r="B355" s="1" t="n">
        <v>44708.36708333333</v>
      </c>
      <c r="C355" s="1" t="n">
        <v>46173</v>
      </c>
      <c r="D355" t="inlineStr">
        <is>
          <t>STOCKHOLMS LÄN</t>
        </is>
      </c>
      <c r="E355" t="inlineStr">
        <is>
          <t>NORRTÄLJE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13172-2025</t>
        </is>
      </c>
      <c r="B356" s="1" t="n">
        <v>45735.36873842592</v>
      </c>
      <c r="C356" s="1" t="n">
        <v>46173</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35210-2023</t>
        </is>
      </c>
      <c r="B357" s="1" t="n">
        <v>45145.63584490741</v>
      </c>
      <c r="C357" s="1" t="n">
        <v>46173</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13089-2022</t>
        </is>
      </c>
      <c r="B358" s="1" t="n">
        <v>44643</v>
      </c>
      <c r="C358" s="1" t="n">
        <v>46173</v>
      </c>
      <c r="D358" t="inlineStr">
        <is>
          <t>STOCKHOLMS LÄN</t>
        </is>
      </c>
      <c r="E358" t="inlineStr">
        <is>
          <t>NORRTÄLJE</t>
        </is>
      </c>
      <c r="G358" t="n">
        <v>4.5</v>
      </c>
      <c r="H358" t="n">
        <v>0</v>
      </c>
      <c r="I358" t="n">
        <v>0</v>
      </c>
      <c r="J358" t="n">
        <v>0</v>
      </c>
      <c r="K358" t="n">
        <v>0</v>
      </c>
      <c r="L358" t="n">
        <v>0</v>
      </c>
      <c r="M358" t="n">
        <v>0</v>
      </c>
      <c r="N358" t="n">
        <v>0</v>
      </c>
      <c r="O358" t="n">
        <v>0</v>
      </c>
      <c r="P358" t="n">
        <v>0</v>
      </c>
      <c r="Q358" t="n">
        <v>0</v>
      </c>
      <c r="R358" s="2" t="inlineStr"/>
    </row>
    <row r="359" ht="15" customHeight="1">
      <c r="A359" t="inlineStr">
        <is>
          <t>A 59767-2022</t>
        </is>
      </c>
      <c r="B359" s="1" t="n">
        <v>44900</v>
      </c>
      <c r="C359" s="1" t="n">
        <v>46173</v>
      </c>
      <c r="D359" t="inlineStr">
        <is>
          <t>STOCKHOLMS LÄN</t>
        </is>
      </c>
      <c r="E359" t="inlineStr">
        <is>
          <t>NORRTÄLJE</t>
        </is>
      </c>
      <c r="G359" t="n">
        <v>2.2</v>
      </c>
      <c r="H359" t="n">
        <v>0</v>
      </c>
      <c r="I359" t="n">
        <v>0</v>
      </c>
      <c r="J359" t="n">
        <v>0</v>
      </c>
      <c r="K359" t="n">
        <v>0</v>
      </c>
      <c r="L359" t="n">
        <v>0</v>
      </c>
      <c r="M359" t="n">
        <v>0</v>
      </c>
      <c r="N359" t="n">
        <v>0</v>
      </c>
      <c r="O359" t="n">
        <v>0</v>
      </c>
      <c r="P359" t="n">
        <v>0</v>
      </c>
      <c r="Q359" t="n">
        <v>0</v>
      </c>
      <c r="R359" s="2" t="inlineStr"/>
    </row>
    <row r="360" ht="15" customHeight="1">
      <c r="A360" t="inlineStr">
        <is>
          <t>A 5823-2023</t>
        </is>
      </c>
      <c r="B360" s="1" t="n">
        <v>44963</v>
      </c>
      <c r="C360" s="1" t="n">
        <v>46173</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48145-2024</t>
        </is>
      </c>
      <c r="B361" s="1" t="n">
        <v>45589.6756712963</v>
      </c>
      <c r="C361" s="1" t="n">
        <v>46173</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19915-2024</t>
        </is>
      </c>
      <c r="B362" s="1" t="n">
        <v>45433.58431712963</v>
      </c>
      <c r="C362" s="1" t="n">
        <v>46173</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15217-2023</t>
        </is>
      </c>
      <c r="B363" s="1" t="n">
        <v>45019.28847222222</v>
      </c>
      <c r="C363" s="1" t="n">
        <v>46173</v>
      </c>
      <c r="D363" t="inlineStr">
        <is>
          <t>STOCKHOLMS LÄN</t>
        </is>
      </c>
      <c r="E363" t="inlineStr">
        <is>
          <t>NORRTÄLJE</t>
        </is>
      </c>
      <c r="G363" t="n">
        <v>3.6</v>
      </c>
      <c r="H363" t="n">
        <v>0</v>
      </c>
      <c r="I363" t="n">
        <v>0</v>
      </c>
      <c r="J363" t="n">
        <v>0</v>
      </c>
      <c r="K363" t="n">
        <v>0</v>
      </c>
      <c r="L363" t="n">
        <v>0</v>
      </c>
      <c r="M363" t="n">
        <v>0</v>
      </c>
      <c r="N363" t="n">
        <v>0</v>
      </c>
      <c r="O363" t="n">
        <v>0</v>
      </c>
      <c r="P363" t="n">
        <v>0</v>
      </c>
      <c r="Q363" t="n">
        <v>0</v>
      </c>
      <c r="R363" s="2" t="inlineStr"/>
    </row>
    <row r="364" ht="15" customHeight="1">
      <c r="A364" t="inlineStr">
        <is>
          <t>A 23998-2024</t>
        </is>
      </c>
      <c r="B364" s="1" t="n">
        <v>45456</v>
      </c>
      <c r="C364" s="1" t="n">
        <v>46173</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15447-2023</t>
        </is>
      </c>
      <c r="B365" s="1" t="n">
        <v>45020</v>
      </c>
      <c r="C365" s="1" t="n">
        <v>46173</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50143-2023</t>
        </is>
      </c>
      <c r="B366" s="1" t="n">
        <v>45215</v>
      </c>
      <c r="C366" s="1" t="n">
        <v>46173</v>
      </c>
      <c r="D366" t="inlineStr">
        <is>
          <t>STOCKHOLMS LÄN</t>
        </is>
      </c>
      <c r="E366" t="inlineStr">
        <is>
          <t>NORRTÄLJE</t>
        </is>
      </c>
      <c r="G366" t="n">
        <v>10.3</v>
      </c>
      <c r="H366" t="n">
        <v>0</v>
      </c>
      <c r="I366" t="n">
        <v>0</v>
      </c>
      <c r="J366" t="n">
        <v>0</v>
      </c>
      <c r="K366" t="n">
        <v>0</v>
      </c>
      <c r="L366" t="n">
        <v>0</v>
      </c>
      <c r="M366" t="n">
        <v>0</v>
      </c>
      <c r="N366" t="n">
        <v>0</v>
      </c>
      <c r="O366" t="n">
        <v>0</v>
      </c>
      <c r="P366" t="n">
        <v>0</v>
      </c>
      <c r="Q366" t="n">
        <v>0</v>
      </c>
      <c r="R366" s="2" t="inlineStr"/>
    </row>
    <row r="367" ht="15" customHeight="1">
      <c r="A367" t="inlineStr">
        <is>
          <t>A 64145-2021</t>
        </is>
      </c>
      <c r="B367" s="1" t="n">
        <v>44510</v>
      </c>
      <c r="C367" s="1" t="n">
        <v>46173</v>
      </c>
      <c r="D367" t="inlineStr">
        <is>
          <t>STOCKHOLMS LÄN</t>
        </is>
      </c>
      <c r="E367" t="inlineStr">
        <is>
          <t>NORRTÄLJE</t>
        </is>
      </c>
      <c r="F367" t="inlineStr">
        <is>
          <t>Holmen skog AB</t>
        </is>
      </c>
      <c r="G367" t="n">
        <v>1.5</v>
      </c>
      <c r="H367" t="n">
        <v>0</v>
      </c>
      <c r="I367" t="n">
        <v>0</v>
      </c>
      <c r="J367" t="n">
        <v>0</v>
      </c>
      <c r="K367" t="n">
        <v>0</v>
      </c>
      <c r="L367" t="n">
        <v>0</v>
      </c>
      <c r="M367" t="n">
        <v>0</v>
      </c>
      <c r="N367" t="n">
        <v>0</v>
      </c>
      <c r="O367" t="n">
        <v>0</v>
      </c>
      <c r="P367" t="n">
        <v>0</v>
      </c>
      <c r="Q367" t="n">
        <v>0</v>
      </c>
      <c r="R367" s="2" t="inlineStr"/>
    </row>
    <row r="368" ht="15" customHeight="1">
      <c r="A368" t="inlineStr">
        <is>
          <t>A 1740-2023</t>
        </is>
      </c>
      <c r="B368" s="1" t="n">
        <v>44938</v>
      </c>
      <c r="C368" s="1" t="n">
        <v>46173</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4596-2023</t>
        </is>
      </c>
      <c r="B369" s="1" t="n">
        <v>44956</v>
      </c>
      <c r="C369" s="1" t="n">
        <v>46173</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29176-2024</t>
        </is>
      </c>
      <c r="B370" s="1" t="n">
        <v>45482.53388888889</v>
      </c>
      <c r="C370" s="1" t="n">
        <v>46173</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36430-2024</t>
        </is>
      </c>
      <c r="B371" s="1" t="n">
        <v>45536</v>
      </c>
      <c r="C371" s="1" t="n">
        <v>46173</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51312-2023</t>
        </is>
      </c>
      <c r="B372" s="1" t="n">
        <v>45219.56697916667</v>
      </c>
      <c r="C372" s="1" t="n">
        <v>46173</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35640-2024</t>
        </is>
      </c>
      <c r="B373" s="1" t="n">
        <v>45531</v>
      </c>
      <c r="C373" s="1" t="n">
        <v>46173</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10676-2025</t>
        </is>
      </c>
      <c r="B374" s="1" t="n">
        <v>45721.88684027778</v>
      </c>
      <c r="C374" s="1" t="n">
        <v>46173</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20852-2023</t>
        </is>
      </c>
      <c r="B375" s="1" t="n">
        <v>45058.78607638889</v>
      </c>
      <c r="C375" s="1" t="n">
        <v>46173</v>
      </c>
      <c r="D375" t="inlineStr">
        <is>
          <t>STOCKHOLMS LÄN</t>
        </is>
      </c>
      <c r="E375" t="inlineStr">
        <is>
          <t>NORRTÄLJE</t>
        </is>
      </c>
      <c r="G375" t="n">
        <v>3.5</v>
      </c>
      <c r="H375" t="n">
        <v>0</v>
      </c>
      <c r="I375" t="n">
        <v>0</v>
      </c>
      <c r="J375" t="n">
        <v>0</v>
      </c>
      <c r="K375" t="n">
        <v>0</v>
      </c>
      <c r="L375" t="n">
        <v>0</v>
      </c>
      <c r="M375" t="n">
        <v>0</v>
      </c>
      <c r="N375" t="n">
        <v>0</v>
      </c>
      <c r="O375" t="n">
        <v>0</v>
      </c>
      <c r="P375" t="n">
        <v>0</v>
      </c>
      <c r="Q375" t="n">
        <v>0</v>
      </c>
      <c r="R375" s="2" t="inlineStr"/>
    </row>
    <row r="376" ht="15" customHeight="1">
      <c r="A376" t="inlineStr">
        <is>
          <t>A 54358-2022</t>
        </is>
      </c>
      <c r="B376" s="1" t="n">
        <v>44882</v>
      </c>
      <c r="C376" s="1" t="n">
        <v>46173</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43212-2022</t>
        </is>
      </c>
      <c r="B377" s="1" t="n">
        <v>44834.38636574074</v>
      </c>
      <c r="C377" s="1" t="n">
        <v>46173</v>
      </c>
      <c r="D377" t="inlineStr">
        <is>
          <t>STOCKHOLMS LÄN</t>
        </is>
      </c>
      <c r="E377" t="inlineStr">
        <is>
          <t>NORRTÄLJE</t>
        </is>
      </c>
      <c r="G377" t="n">
        <v>1.3</v>
      </c>
      <c r="H377" t="n">
        <v>0</v>
      </c>
      <c r="I377" t="n">
        <v>0</v>
      </c>
      <c r="J377" t="n">
        <v>0</v>
      </c>
      <c r="K377" t="n">
        <v>0</v>
      </c>
      <c r="L377" t="n">
        <v>0</v>
      </c>
      <c r="M377" t="n">
        <v>0</v>
      </c>
      <c r="N377" t="n">
        <v>0</v>
      </c>
      <c r="O377" t="n">
        <v>0</v>
      </c>
      <c r="P377" t="n">
        <v>0</v>
      </c>
      <c r="Q377" t="n">
        <v>0</v>
      </c>
      <c r="R377" s="2" t="inlineStr"/>
    </row>
    <row r="378" ht="15" customHeight="1">
      <c r="A378" t="inlineStr">
        <is>
          <t>A 51653-2022</t>
        </is>
      </c>
      <c r="B378" s="1" t="n">
        <v>44867</v>
      </c>
      <c r="C378" s="1" t="n">
        <v>46173</v>
      </c>
      <c r="D378" t="inlineStr">
        <is>
          <t>STOCKHOLMS LÄN</t>
        </is>
      </c>
      <c r="E378" t="inlineStr">
        <is>
          <t>NORRTÄLJE</t>
        </is>
      </c>
      <c r="G378" t="n">
        <v>6.6</v>
      </c>
      <c r="H378" t="n">
        <v>0</v>
      </c>
      <c r="I378" t="n">
        <v>0</v>
      </c>
      <c r="J378" t="n">
        <v>0</v>
      </c>
      <c r="K378" t="n">
        <v>0</v>
      </c>
      <c r="L378" t="n">
        <v>0</v>
      </c>
      <c r="M378" t="n">
        <v>0</v>
      </c>
      <c r="N378" t="n">
        <v>0</v>
      </c>
      <c r="O378" t="n">
        <v>0</v>
      </c>
      <c r="P378" t="n">
        <v>0</v>
      </c>
      <c r="Q378" t="n">
        <v>0</v>
      </c>
      <c r="R378" s="2" t="inlineStr"/>
    </row>
    <row r="379" ht="15" customHeight="1">
      <c r="A379" t="inlineStr">
        <is>
          <t>A 22456-2023</t>
        </is>
      </c>
      <c r="B379" s="1" t="n">
        <v>45070</v>
      </c>
      <c r="C379" s="1" t="n">
        <v>46173</v>
      </c>
      <c r="D379" t="inlineStr">
        <is>
          <t>STOCKHOLMS LÄN</t>
        </is>
      </c>
      <c r="E379" t="inlineStr">
        <is>
          <t>NORRTÄLJE</t>
        </is>
      </c>
      <c r="G379" t="n">
        <v>3.1</v>
      </c>
      <c r="H379" t="n">
        <v>0</v>
      </c>
      <c r="I379" t="n">
        <v>0</v>
      </c>
      <c r="J379" t="n">
        <v>0</v>
      </c>
      <c r="K379" t="n">
        <v>0</v>
      </c>
      <c r="L379" t="n">
        <v>0</v>
      </c>
      <c r="M379" t="n">
        <v>0</v>
      </c>
      <c r="N379" t="n">
        <v>0</v>
      </c>
      <c r="O379" t="n">
        <v>0</v>
      </c>
      <c r="P379" t="n">
        <v>0</v>
      </c>
      <c r="Q379" t="n">
        <v>0</v>
      </c>
      <c r="R379" s="2" t="inlineStr"/>
    </row>
    <row r="380" ht="15" customHeight="1">
      <c r="A380" t="inlineStr">
        <is>
          <t>A 23263-2023</t>
        </is>
      </c>
      <c r="B380" s="1" t="n">
        <v>45075</v>
      </c>
      <c r="C380" s="1" t="n">
        <v>46173</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23264-2023</t>
        </is>
      </c>
      <c r="B381" s="1" t="n">
        <v>45075</v>
      </c>
      <c r="C381" s="1" t="n">
        <v>46173</v>
      </c>
      <c r="D381" t="inlineStr">
        <is>
          <t>STOCKHOLMS LÄN</t>
        </is>
      </c>
      <c r="E381" t="inlineStr">
        <is>
          <t>NORRTÄLJE</t>
        </is>
      </c>
      <c r="G381" t="n">
        <v>2.9</v>
      </c>
      <c r="H381" t="n">
        <v>0</v>
      </c>
      <c r="I381" t="n">
        <v>0</v>
      </c>
      <c r="J381" t="n">
        <v>0</v>
      </c>
      <c r="K381" t="n">
        <v>0</v>
      </c>
      <c r="L381" t="n">
        <v>0</v>
      </c>
      <c r="M381" t="n">
        <v>0</v>
      </c>
      <c r="N381" t="n">
        <v>0</v>
      </c>
      <c r="O381" t="n">
        <v>0</v>
      </c>
      <c r="P381" t="n">
        <v>0</v>
      </c>
      <c r="Q381" t="n">
        <v>0</v>
      </c>
      <c r="R381" s="2" t="inlineStr"/>
    </row>
    <row r="382" ht="15" customHeight="1">
      <c r="A382" t="inlineStr">
        <is>
          <t>A 23267-2023</t>
        </is>
      </c>
      <c r="B382" s="1" t="n">
        <v>45075.90934027778</v>
      </c>
      <c r="C382" s="1" t="n">
        <v>46173</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23269-2023</t>
        </is>
      </c>
      <c r="B383" s="1" t="n">
        <v>45075.91148148148</v>
      </c>
      <c r="C383" s="1" t="n">
        <v>46173</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17785-2024</t>
        </is>
      </c>
      <c r="B384" s="1" t="n">
        <v>45418.6968287037</v>
      </c>
      <c r="C384" s="1" t="n">
        <v>46173</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19911-2025</t>
        </is>
      </c>
      <c r="B385" s="1" t="n">
        <v>45771</v>
      </c>
      <c r="C385" s="1" t="n">
        <v>46173</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5831-2022</t>
        </is>
      </c>
      <c r="B386" s="1" t="n">
        <v>44596</v>
      </c>
      <c r="C386" s="1" t="n">
        <v>46173</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5867-2022</t>
        </is>
      </c>
      <c r="B387" s="1" t="n">
        <v>44596.66335648148</v>
      </c>
      <c r="C387" s="1" t="n">
        <v>46173</v>
      </c>
      <c r="D387" t="inlineStr">
        <is>
          <t>STOCKHOLMS LÄN</t>
        </is>
      </c>
      <c r="E387" t="inlineStr">
        <is>
          <t>NORRTÄLJE</t>
        </is>
      </c>
      <c r="F387" t="inlineStr">
        <is>
          <t>Naturvårdsverket</t>
        </is>
      </c>
      <c r="G387" t="n">
        <v>1.6</v>
      </c>
      <c r="H387" t="n">
        <v>0</v>
      </c>
      <c r="I387" t="n">
        <v>0</v>
      </c>
      <c r="J387" t="n">
        <v>0</v>
      </c>
      <c r="K387" t="n">
        <v>0</v>
      </c>
      <c r="L387" t="n">
        <v>0</v>
      </c>
      <c r="M387" t="n">
        <v>0</v>
      </c>
      <c r="N387" t="n">
        <v>0</v>
      </c>
      <c r="O387" t="n">
        <v>0</v>
      </c>
      <c r="P387" t="n">
        <v>0</v>
      </c>
      <c r="Q387" t="n">
        <v>0</v>
      </c>
      <c r="R387" s="2" t="inlineStr"/>
    </row>
    <row r="388" ht="15" customHeight="1">
      <c r="A388" t="inlineStr">
        <is>
          <t>A 4322-2023</t>
        </is>
      </c>
      <c r="B388" s="1" t="n">
        <v>44953.69298611111</v>
      </c>
      <c r="C388" s="1" t="n">
        <v>46173</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6678-2025</t>
        </is>
      </c>
      <c r="B389" s="1" t="n">
        <v>45700</v>
      </c>
      <c r="C389" s="1" t="n">
        <v>46173</v>
      </c>
      <c r="D389" t="inlineStr">
        <is>
          <t>STOCKHOLMS LÄN</t>
        </is>
      </c>
      <c r="E389" t="inlineStr">
        <is>
          <t>NORRTÄLJE</t>
        </is>
      </c>
      <c r="F389" t="inlineStr">
        <is>
          <t>Övriga Aktiebolag</t>
        </is>
      </c>
      <c r="G389" t="n">
        <v>6.6</v>
      </c>
      <c r="H389" t="n">
        <v>0</v>
      </c>
      <c r="I389" t="n">
        <v>0</v>
      </c>
      <c r="J389" t="n">
        <v>0</v>
      </c>
      <c r="K389" t="n">
        <v>0</v>
      </c>
      <c r="L389" t="n">
        <v>0</v>
      </c>
      <c r="M389" t="n">
        <v>0</v>
      </c>
      <c r="N389" t="n">
        <v>0</v>
      </c>
      <c r="O389" t="n">
        <v>0</v>
      </c>
      <c r="P389" t="n">
        <v>0</v>
      </c>
      <c r="Q389" t="n">
        <v>0</v>
      </c>
      <c r="R389" s="2" t="inlineStr"/>
    </row>
    <row r="390" ht="15" customHeight="1">
      <c r="A390" t="inlineStr">
        <is>
          <t>A 20244-2025</t>
        </is>
      </c>
      <c r="B390" s="1" t="n">
        <v>45772.71221064815</v>
      </c>
      <c r="C390" s="1" t="n">
        <v>46173</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48633-2023</t>
        </is>
      </c>
      <c r="B391" s="1" t="n">
        <v>45208.58004629629</v>
      </c>
      <c r="C391" s="1" t="n">
        <v>46173</v>
      </c>
      <c r="D391" t="inlineStr">
        <is>
          <t>STOCKHOLMS LÄN</t>
        </is>
      </c>
      <c r="E391" t="inlineStr">
        <is>
          <t>NORRTÄLJE</t>
        </is>
      </c>
      <c r="G391" t="n">
        <v>3.3</v>
      </c>
      <c r="H391" t="n">
        <v>0</v>
      </c>
      <c r="I391" t="n">
        <v>0</v>
      </c>
      <c r="J391" t="n">
        <v>0</v>
      </c>
      <c r="K391" t="n">
        <v>0</v>
      </c>
      <c r="L391" t="n">
        <v>0</v>
      </c>
      <c r="M391" t="n">
        <v>0</v>
      </c>
      <c r="N391" t="n">
        <v>0</v>
      </c>
      <c r="O391" t="n">
        <v>0</v>
      </c>
      <c r="P391" t="n">
        <v>0</v>
      </c>
      <c r="Q391" t="n">
        <v>0</v>
      </c>
      <c r="R391" s="2" t="inlineStr"/>
    </row>
    <row r="392" ht="15" customHeight="1">
      <c r="A392" t="inlineStr">
        <is>
          <t>A 39669-2024</t>
        </is>
      </c>
      <c r="B392" s="1" t="n">
        <v>45552.52827546297</v>
      </c>
      <c r="C392" s="1" t="n">
        <v>46173</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38990-2022</t>
        </is>
      </c>
      <c r="B393" s="1" t="n">
        <v>44816</v>
      </c>
      <c r="C393" s="1" t="n">
        <v>46173</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17956-2025</t>
        </is>
      </c>
      <c r="B394" s="1" t="n">
        <v>45760.91174768518</v>
      </c>
      <c r="C394" s="1" t="n">
        <v>46173</v>
      </c>
      <c r="D394" t="inlineStr">
        <is>
          <t>STOCKHOLMS LÄN</t>
        </is>
      </c>
      <c r="E394" t="inlineStr">
        <is>
          <t>NORRTÄLJE</t>
        </is>
      </c>
      <c r="G394" t="n">
        <v>4.3</v>
      </c>
      <c r="H394" t="n">
        <v>0</v>
      </c>
      <c r="I394" t="n">
        <v>0</v>
      </c>
      <c r="J394" t="n">
        <v>0</v>
      </c>
      <c r="K394" t="n">
        <v>0</v>
      </c>
      <c r="L394" t="n">
        <v>0</v>
      </c>
      <c r="M394" t="n">
        <v>0</v>
      </c>
      <c r="N394" t="n">
        <v>0</v>
      </c>
      <c r="O394" t="n">
        <v>0</v>
      </c>
      <c r="P394" t="n">
        <v>0</v>
      </c>
      <c r="Q394" t="n">
        <v>0</v>
      </c>
      <c r="R394" s="2" t="inlineStr"/>
    </row>
    <row r="395" ht="15" customHeight="1">
      <c r="A395" t="inlineStr">
        <is>
          <t>A 875-2023</t>
        </is>
      </c>
      <c r="B395" s="1" t="n">
        <v>44931.65626157408</v>
      </c>
      <c r="C395" s="1" t="n">
        <v>46173</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31236-2022</t>
        </is>
      </c>
      <c r="B396" s="1" t="n">
        <v>44771</v>
      </c>
      <c r="C396" s="1" t="n">
        <v>46173</v>
      </c>
      <c r="D396" t="inlineStr">
        <is>
          <t>STOCKHOLMS LÄN</t>
        </is>
      </c>
      <c r="E396" t="inlineStr">
        <is>
          <t>NORRTÄLJE</t>
        </is>
      </c>
      <c r="G396" t="n">
        <v>1.7</v>
      </c>
      <c r="H396" t="n">
        <v>0</v>
      </c>
      <c r="I396" t="n">
        <v>0</v>
      </c>
      <c r="J396" t="n">
        <v>0</v>
      </c>
      <c r="K396" t="n">
        <v>0</v>
      </c>
      <c r="L396" t="n">
        <v>0</v>
      </c>
      <c r="M396" t="n">
        <v>0</v>
      </c>
      <c r="N396" t="n">
        <v>0</v>
      </c>
      <c r="O396" t="n">
        <v>0</v>
      </c>
      <c r="P396" t="n">
        <v>0</v>
      </c>
      <c r="Q396" t="n">
        <v>0</v>
      </c>
      <c r="R396" s="2" t="inlineStr"/>
    </row>
    <row r="397" ht="15" customHeight="1">
      <c r="A397" t="inlineStr">
        <is>
          <t>A 8315-2025</t>
        </is>
      </c>
      <c r="B397" s="1" t="n">
        <v>45708.61761574074</v>
      </c>
      <c r="C397" s="1" t="n">
        <v>46173</v>
      </c>
      <c r="D397" t="inlineStr">
        <is>
          <t>STOCKHOLMS LÄN</t>
        </is>
      </c>
      <c r="E397" t="inlineStr">
        <is>
          <t>NORRTÄLJE</t>
        </is>
      </c>
      <c r="G397" t="n">
        <v>3.9</v>
      </c>
      <c r="H397" t="n">
        <v>0</v>
      </c>
      <c r="I397" t="n">
        <v>0</v>
      </c>
      <c r="J397" t="n">
        <v>0</v>
      </c>
      <c r="K397" t="n">
        <v>0</v>
      </c>
      <c r="L397" t="n">
        <v>0</v>
      </c>
      <c r="M397" t="n">
        <v>0</v>
      </c>
      <c r="N397" t="n">
        <v>0</v>
      </c>
      <c r="O397" t="n">
        <v>0</v>
      </c>
      <c r="P397" t="n">
        <v>0</v>
      </c>
      <c r="Q397" t="n">
        <v>0</v>
      </c>
      <c r="R397" s="2" t="inlineStr"/>
    </row>
    <row r="398" ht="15" customHeight="1">
      <c r="A398" t="inlineStr">
        <is>
          <t>A 19982-2022</t>
        </is>
      </c>
      <c r="B398" s="1" t="n">
        <v>44697</v>
      </c>
      <c r="C398" s="1" t="n">
        <v>46173</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42075-2023</t>
        </is>
      </c>
      <c r="B399" s="1" t="n">
        <v>45177</v>
      </c>
      <c r="C399" s="1" t="n">
        <v>46173</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18665-2022</t>
        </is>
      </c>
      <c r="B400" s="1" t="n">
        <v>44687</v>
      </c>
      <c r="C400" s="1" t="n">
        <v>46173</v>
      </c>
      <c r="D400" t="inlineStr">
        <is>
          <t>STOCKHOLMS LÄN</t>
        </is>
      </c>
      <c r="E400" t="inlineStr">
        <is>
          <t>NORRTÄLJE</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50108-2021</t>
        </is>
      </c>
      <c r="B401" s="1" t="n">
        <v>44456</v>
      </c>
      <c r="C401" s="1" t="n">
        <v>46173</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43170-2023</t>
        </is>
      </c>
      <c r="B402" s="1" t="n">
        <v>45183</v>
      </c>
      <c r="C402" s="1" t="n">
        <v>46173</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9-2024</t>
        </is>
      </c>
      <c r="B403" s="1" t="n">
        <v>45293</v>
      </c>
      <c r="C403" s="1" t="n">
        <v>46173</v>
      </c>
      <c r="D403" t="inlineStr">
        <is>
          <t>STOCKHOLMS LÄN</t>
        </is>
      </c>
      <c r="E403" t="inlineStr">
        <is>
          <t>NORRTÄLJE</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58302-2022</t>
        </is>
      </c>
      <c r="B404" s="1" t="n">
        <v>44901</v>
      </c>
      <c r="C404" s="1" t="n">
        <v>46173</v>
      </c>
      <c r="D404" t="inlineStr">
        <is>
          <t>STOCKHOLMS LÄN</t>
        </is>
      </c>
      <c r="E404" t="inlineStr">
        <is>
          <t>NORRTÄLJE</t>
        </is>
      </c>
      <c r="G404" t="n">
        <v>3.9</v>
      </c>
      <c r="H404" t="n">
        <v>0</v>
      </c>
      <c r="I404" t="n">
        <v>0</v>
      </c>
      <c r="J404" t="n">
        <v>0</v>
      </c>
      <c r="K404" t="n">
        <v>0</v>
      </c>
      <c r="L404" t="n">
        <v>0</v>
      </c>
      <c r="M404" t="n">
        <v>0</v>
      </c>
      <c r="N404" t="n">
        <v>0</v>
      </c>
      <c r="O404" t="n">
        <v>0</v>
      </c>
      <c r="P404" t="n">
        <v>0</v>
      </c>
      <c r="Q404" t="n">
        <v>0</v>
      </c>
      <c r="R404" s="2" t="inlineStr"/>
    </row>
    <row r="405" ht="15" customHeight="1">
      <c r="A405" t="inlineStr">
        <is>
          <t>A 16913-2025</t>
        </is>
      </c>
      <c r="B405" s="1" t="n">
        <v>45755.36583333334</v>
      </c>
      <c r="C405" s="1" t="n">
        <v>46173</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4035-2023</t>
        </is>
      </c>
      <c r="B406" s="1" t="n">
        <v>44952.57989583333</v>
      </c>
      <c r="C406" s="1" t="n">
        <v>46173</v>
      </c>
      <c r="D406" t="inlineStr">
        <is>
          <t>STOCKHOLMS LÄN</t>
        </is>
      </c>
      <c r="E406" t="inlineStr">
        <is>
          <t>NORRTÄLJE</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50355-2024</t>
        </is>
      </c>
      <c r="B407" s="1" t="n">
        <v>45600.86128472222</v>
      </c>
      <c r="C407" s="1" t="n">
        <v>46173</v>
      </c>
      <c r="D407" t="inlineStr">
        <is>
          <t>STOCKHOLMS LÄN</t>
        </is>
      </c>
      <c r="E407" t="inlineStr">
        <is>
          <t>NORRTÄLJE</t>
        </is>
      </c>
      <c r="F407" t="inlineStr">
        <is>
          <t>Kommuner</t>
        </is>
      </c>
      <c r="G407" t="n">
        <v>1</v>
      </c>
      <c r="H407" t="n">
        <v>0</v>
      </c>
      <c r="I407" t="n">
        <v>0</v>
      </c>
      <c r="J407" t="n">
        <v>0</v>
      </c>
      <c r="K407" t="n">
        <v>0</v>
      </c>
      <c r="L407" t="n">
        <v>0</v>
      </c>
      <c r="M407" t="n">
        <v>0</v>
      </c>
      <c r="N407" t="n">
        <v>0</v>
      </c>
      <c r="O407" t="n">
        <v>0</v>
      </c>
      <c r="P407" t="n">
        <v>0</v>
      </c>
      <c r="Q407" t="n">
        <v>0</v>
      </c>
      <c r="R407" s="2" t="inlineStr"/>
    </row>
    <row r="408" ht="15" customHeight="1">
      <c r="A408" t="inlineStr">
        <is>
          <t>A 33793-2022</t>
        </is>
      </c>
      <c r="B408" s="1" t="n">
        <v>44790</v>
      </c>
      <c r="C408" s="1" t="n">
        <v>46173</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53600-2022</t>
        </is>
      </c>
      <c r="B409" s="1" t="n">
        <v>44879.70518518519</v>
      </c>
      <c r="C409" s="1" t="n">
        <v>46173</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38591-2023</t>
        </is>
      </c>
      <c r="B410" s="1" t="n">
        <v>45162</v>
      </c>
      <c r="C410" s="1" t="n">
        <v>46173</v>
      </c>
      <c r="D410" t="inlineStr">
        <is>
          <t>STOCKHOLMS LÄN</t>
        </is>
      </c>
      <c r="E410" t="inlineStr">
        <is>
          <t>NORRTÄLJE</t>
        </is>
      </c>
      <c r="F410" t="inlineStr">
        <is>
          <t>Övriga Aktiebolag</t>
        </is>
      </c>
      <c r="G410" t="n">
        <v>3.1</v>
      </c>
      <c r="H410" t="n">
        <v>0</v>
      </c>
      <c r="I410" t="n">
        <v>0</v>
      </c>
      <c r="J410" t="n">
        <v>0</v>
      </c>
      <c r="K410" t="n">
        <v>0</v>
      </c>
      <c r="L410" t="n">
        <v>0</v>
      </c>
      <c r="M410" t="n">
        <v>0</v>
      </c>
      <c r="N410" t="n">
        <v>0</v>
      </c>
      <c r="O410" t="n">
        <v>0</v>
      </c>
      <c r="P410" t="n">
        <v>0</v>
      </c>
      <c r="Q410" t="n">
        <v>0</v>
      </c>
      <c r="R410" s="2" t="inlineStr"/>
    </row>
    <row r="411" ht="15" customHeight="1">
      <c r="A411" t="inlineStr">
        <is>
          <t>A 7697-2025</t>
        </is>
      </c>
      <c r="B411" s="1" t="n">
        <v>45706.40086805556</v>
      </c>
      <c r="C411" s="1" t="n">
        <v>46173</v>
      </c>
      <c r="D411" t="inlineStr">
        <is>
          <t>STOCKHOLMS LÄN</t>
        </is>
      </c>
      <c r="E411" t="inlineStr">
        <is>
          <t>NORRTÄLJE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30338-2022</t>
        </is>
      </c>
      <c r="B412" s="1" t="n">
        <v>44760</v>
      </c>
      <c r="C412" s="1" t="n">
        <v>46173</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30221-2024</t>
        </is>
      </c>
      <c r="B413" s="1" t="n">
        <v>45490.45342592592</v>
      </c>
      <c r="C413" s="1" t="n">
        <v>46173</v>
      </c>
      <c r="D413" t="inlineStr">
        <is>
          <t>STOCKHOLMS LÄN</t>
        </is>
      </c>
      <c r="E413" t="inlineStr">
        <is>
          <t>NORRTÄLJE</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2888-2022</t>
        </is>
      </c>
      <c r="B414" s="1" t="n">
        <v>44581</v>
      </c>
      <c r="C414" s="1" t="n">
        <v>46173</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52686-2024</t>
        </is>
      </c>
      <c r="B415" s="1" t="n">
        <v>45610.39271990741</v>
      </c>
      <c r="C415" s="1" t="n">
        <v>46173</v>
      </c>
      <c r="D415" t="inlineStr">
        <is>
          <t>STOCKHOLMS LÄN</t>
        </is>
      </c>
      <c r="E415" t="inlineStr">
        <is>
          <t>NORRTÄLJE</t>
        </is>
      </c>
      <c r="G415" t="n">
        <v>5.7</v>
      </c>
      <c r="H415" t="n">
        <v>0</v>
      </c>
      <c r="I415" t="n">
        <v>0</v>
      </c>
      <c r="J415" t="n">
        <v>0</v>
      </c>
      <c r="K415" t="n">
        <v>0</v>
      </c>
      <c r="L415" t="n">
        <v>0</v>
      </c>
      <c r="M415" t="n">
        <v>0</v>
      </c>
      <c r="N415" t="n">
        <v>0</v>
      </c>
      <c r="O415" t="n">
        <v>0</v>
      </c>
      <c r="P415" t="n">
        <v>0</v>
      </c>
      <c r="Q415" t="n">
        <v>0</v>
      </c>
      <c r="R415" s="2" t="inlineStr"/>
    </row>
    <row r="416" ht="15" customHeight="1">
      <c r="A416" t="inlineStr">
        <is>
          <t>A 20343-2024</t>
        </is>
      </c>
      <c r="B416" s="1" t="n">
        <v>45435.43466435185</v>
      </c>
      <c r="C416" s="1" t="n">
        <v>46173</v>
      </c>
      <c r="D416" t="inlineStr">
        <is>
          <t>STOCKHOLMS LÄN</t>
        </is>
      </c>
      <c r="E416" t="inlineStr">
        <is>
          <t>NORRTÄLJE</t>
        </is>
      </c>
      <c r="G416" t="n">
        <v>2.8</v>
      </c>
      <c r="H416" t="n">
        <v>0</v>
      </c>
      <c r="I416" t="n">
        <v>0</v>
      </c>
      <c r="J416" t="n">
        <v>0</v>
      </c>
      <c r="K416" t="n">
        <v>0</v>
      </c>
      <c r="L416" t="n">
        <v>0</v>
      </c>
      <c r="M416" t="n">
        <v>0</v>
      </c>
      <c r="N416" t="n">
        <v>0</v>
      </c>
      <c r="O416" t="n">
        <v>0</v>
      </c>
      <c r="P416" t="n">
        <v>0</v>
      </c>
      <c r="Q416" t="n">
        <v>0</v>
      </c>
      <c r="R416" s="2" t="inlineStr"/>
    </row>
    <row r="417" ht="15" customHeight="1">
      <c r="A417" t="inlineStr">
        <is>
          <t>A 20345-2024</t>
        </is>
      </c>
      <c r="B417" s="1" t="n">
        <v>45435.43820601852</v>
      </c>
      <c r="C417" s="1" t="n">
        <v>46173</v>
      </c>
      <c r="D417" t="inlineStr">
        <is>
          <t>STOCKHOLMS LÄN</t>
        </is>
      </c>
      <c r="E417" t="inlineStr">
        <is>
          <t>NORRTÄLJE</t>
        </is>
      </c>
      <c r="G417" t="n">
        <v>3.8</v>
      </c>
      <c r="H417" t="n">
        <v>0</v>
      </c>
      <c r="I417" t="n">
        <v>0</v>
      </c>
      <c r="J417" t="n">
        <v>0</v>
      </c>
      <c r="K417" t="n">
        <v>0</v>
      </c>
      <c r="L417" t="n">
        <v>0</v>
      </c>
      <c r="M417" t="n">
        <v>0</v>
      </c>
      <c r="N417" t="n">
        <v>0</v>
      </c>
      <c r="O417" t="n">
        <v>0</v>
      </c>
      <c r="P417" t="n">
        <v>0</v>
      </c>
      <c r="Q417" t="n">
        <v>0</v>
      </c>
      <c r="R417" s="2" t="inlineStr"/>
    </row>
    <row r="418" ht="15" customHeight="1">
      <c r="A418" t="inlineStr">
        <is>
          <t>A 9765-2024</t>
        </is>
      </c>
      <c r="B418" s="1" t="n">
        <v>45362.62811342593</v>
      </c>
      <c r="C418" s="1" t="n">
        <v>46173</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32103-2022</t>
        </is>
      </c>
      <c r="B419" s="1" t="n">
        <v>44778</v>
      </c>
      <c r="C419" s="1" t="n">
        <v>46173</v>
      </c>
      <c r="D419" t="inlineStr">
        <is>
          <t>STOCKHOLMS LÄN</t>
        </is>
      </c>
      <c r="E419" t="inlineStr">
        <is>
          <t>NORRTÄLJE</t>
        </is>
      </c>
      <c r="G419" t="n">
        <v>3.4</v>
      </c>
      <c r="H419" t="n">
        <v>0</v>
      </c>
      <c r="I419" t="n">
        <v>0</v>
      </c>
      <c r="J419" t="n">
        <v>0</v>
      </c>
      <c r="K419" t="n">
        <v>0</v>
      </c>
      <c r="L419" t="n">
        <v>0</v>
      </c>
      <c r="M419" t="n">
        <v>0</v>
      </c>
      <c r="N419" t="n">
        <v>0</v>
      </c>
      <c r="O419" t="n">
        <v>0</v>
      </c>
      <c r="P419" t="n">
        <v>0</v>
      </c>
      <c r="Q419" t="n">
        <v>0</v>
      </c>
      <c r="R419" s="2" t="inlineStr"/>
    </row>
    <row r="420" ht="15" customHeight="1">
      <c r="A420" t="inlineStr">
        <is>
          <t>A 13-2024</t>
        </is>
      </c>
      <c r="B420" s="1" t="n">
        <v>45293.37263888889</v>
      </c>
      <c r="C420" s="1" t="n">
        <v>46173</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19-2024</t>
        </is>
      </c>
      <c r="B421" s="1" t="n">
        <v>45293</v>
      </c>
      <c r="C421" s="1" t="n">
        <v>46173</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59875-2024</t>
        </is>
      </c>
      <c r="B422" s="1" t="n">
        <v>45640.58716435185</v>
      </c>
      <c r="C422" s="1" t="n">
        <v>46173</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31559-2022</t>
        </is>
      </c>
      <c r="B423" s="1" t="n">
        <v>44775</v>
      </c>
      <c r="C423" s="1" t="n">
        <v>46173</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6401-2024</t>
        </is>
      </c>
      <c r="B424" s="1" t="n">
        <v>45338</v>
      </c>
      <c r="C424" s="1" t="n">
        <v>46173</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11-2024</t>
        </is>
      </c>
      <c r="B425" s="1" t="n">
        <v>45293</v>
      </c>
      <c r="C425" s="1" t="n">
        <v>46173</v>
      </c>
      <c r="D425" t="inlineStr">
        <is>
          <t>STOCKHOLMS LÄN</t>
        </is>
      </c>
      <c r="E425" t="inlineStr">
        <is>
          <t>NORRTÄLJE</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14559-2024</t>
        </is>
      </c>
      <c r="B426" s="1" t="n">
        <v>45394.72869212963</v>
      </c>
      <c r="C426" s="1" t="n">
        <v>46173</v>
      </c>
      <c r="D426" t="inlineStr">
        <is>
          <t>STOCKHOLMS LÄN</t>
        </is>
      </c>
      <c r="E426" t="inlineStr">
        <is>
          <t>NORRTÄLJE</t>
        </is>
      </c>
      <c r="G426" t="n">
        <v>4.2</v>
      </c>
      <c r="H426" t="n">
        <v>0</v>
      </c>
      <c r="I426" t="n">
        <v>0</v>
      </c>
      <c r="J426" t="n">
        <v>0</v>
      </c>
      <c r="K426" t="n">
        <v>0</v>
      </c>
      <c r="L426" t="n">
        <v>0</v>
      </c>
      <c r="M426" t="n">
        <v>0</v>
      </c>
      <c r="N426" t="n">
        <v>0</v>
      </c>
      <c r="O426" t="n">
        <v>0</v>
      </c>
      <c r="P426" t="n">
        <v>0</v>
      </c>
      <c r="Q426" t="n">
        <v>0</v>
      </c>
      <c r="R426" s="2" t="inlineStr"/>
    </row>
    <row r="427" ht="15" customHeight="1">
      <c r="A427" t="inlineStr">
        <is>
          <t>A 8419-2025</t>
        </is>
      </c>
      <c r="B427" s="1" t="n">
        <v>45709.40231481481</v>
      </c>
      <c r="C427" s="1" t="n">
        <v>46173</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8433-2022</t>
        </is>
      </c>
      <c r="B428" s="1" t="n">
        <v>44611</v>
      </c>
      <c r="C428" s="1" t="n">
        <v>46173</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59504-2023</t>
        </is>
      </c>
      <c r="B429" s="1" t="n">
        <v>45254</v>
      </c>
      <c r="C429" s="1" t="n">
        <v>46173</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25525-2022</t>
        </is>
      </c>
      <c r="B430" s="1" t="n">
        <v>44732</v>
      </c>
      <c r="C430" s="1" t="n">
        <v>46173</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12302-2025</t>
        </is>
      </c>
      <c r="B431" s="1" t="n">
        <v>45729.72851851852</v>
      </c>
      <c r="C431" s="1" t="n">
        <v>46173</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35161-2022</t>
        </is>
      </c>
      <c r="B432" s="1" t="n">
        <v>44797</v>
      </c>
      <c r="C432" s="1" t="n">
        <v>46173</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38889-2024</t>
        </is>
      </c>
      <c r="B433" s="1" t="n">
        <v>45547</v>
      </c>
      <c r="C433" s="1" t="n">
        <v>46173</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45451-2024</t>
        </is>
      </c>
      <c r="B434" s="1" t="n">
        <v>45576</v>
      </c>
      <c r="C434" s="1" t="n">
        <v>46173</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58989-2021</t>
        </is>
      </c>
      <c r="B435" s="1" t="n">
        <v>44490.02482638889</v>
      </c>
      <c r="C435" s="1" t="n">
        <v>46173</v>
      </c>
      <c r="D435" t="inlineStr">
        <is>
          <t>STOCKHOLMS LÄN</t>
        </is>
      </c>
      <c r="E435" t="inlineStr">
        <is>
          <t>NORRTÄLJE</t>
        </is>
      </c>
      <c r="G435" t="n">
        <v>0.3</v>
      </c>
      <c r="H435" t="n">
        <v>0</v>
      </c>
      <c r="I435" t="n">
        <v>0</v>
      </c>
      <c r="J435" t="n">
        <v>0</v>
      </c>
      <c r="K435" t="n">
        <v>0</v>
      </c>
      <c r="L435" t="n">
        <v>0</v>
      </c>
      <c r="M435" t="n">
        <v>0</v>
      </c>
      <c r="N435" t="n">
        <v>0</v>
      </c>
      <c r="O435" t="n">
        <v>0</v>
      </c>
      <c r="P435" t="n">
        <v>0</v>
      </c>
      <c r="Q435" t="n">
        <v>0</v>
      </c>
      <c r="R435" s="2" t="inlineStr"/>
    </row>
    <row r="436" ht="15" customHeight="1">
      <c r="A436" t="inlineStr">
        <is>
          <t>A 46988-2024</t>
        </is>
      </c>
      <c r="B436" s="1" t="n">
        <v>45586</v>
      </c>
      <c r="C436" s="1" t="n">
        <v>46173</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13701-2022</t>
        </is>
      </c>
      <c r="B437" s="1" t="n">
        <v>44648</v>
      </c>
      <c r="C437" s="1" t="n">
        <v>46173</v>
      </c>
      <c r="D437" t="inlineStr">
        <is>
          <t>STOCKHOLMS LÄN</t>
        </is>
      </c>
      <c r="E437" t="inlineStr">
        <is>
          <t>NORRTÄLJE</t>
        </is>
      </c>
      <c r="G437" t="n">
        <v>1.6</v>
      </c>
      <c r="H437" t="n">
        <v>0</v>
      </c>
      <c r="I437" t="n">
        <v>0</v>
      </c>
      <c r="J437" t="n">
        <v>0</v>
      </c>
      <c r="K437" t="n">
        <v>0</v>
      </c>
      <c r="L437" t="n">
        <v>0</v>
      </c>
      <c r="M437" t="n">
        <v>0</v>
      </c>
      <c r="N437" t="n">
        <v>0</v>
      </c>
      <c r="O437" t="n">
        <v>0</v>
      </c>
      <c r="P437" t="n">
        <v>0</v>
      </c>
      <c r="Q437" t="n">
        <v>0</v>
      </c>
      <c r="R437" s="2" t="inlineStr"/>
    </row>
    <row r="438" ht="15" customHeight="1">
      <c r="A438" t="inlineStr">
        <is>
          <t>A 67921-2021</t>
        </is>
      </c>
      <c r="B438" s="1" t="n">
        <v>44525</v>
      </c>
      <c r="C438" s="1" t="n">
        <v>46173</v>
      </c>
      <c r="D438" t="inlineStr">
        <is>
          <t>STOCKHOLMS LÄN</t>
        </is>
      </c>
      <c r="E438" t="inlineStr">
        <is>
          <t>NORRTÄLJE</t>
        </is>
      </c>
      <c r="G438" t="n">
        <v>6.3</v>
      </c>
      <c r="H438" t="n">
        <v>0</v>
      </c>
      <c r="I438" t="n">
        <v>0</v>
      </c>
      <c r="J438" t="n">
        <v>0</v>
      </c>
      <c r="K438" t="n">
        <v>0</v>
      </c>
      <c r="L438" t="n">
        <v>0</v>
      </c>
      <c r="M438" t="n">
        <v>0</v>
      </c>
      <c r="N438" t="n">
        <v>0</v>
      </c>
      <c r="O438" t="n">
        <v>0</v>
      </c>
      <c r="P438" t="n">
        <v>0</v>
      </c>
      <c r="Q438" t="n">
        <v>0</v>
      </c>
      <c r="R438" s="2" t="inlineStr"/>
    </row>
    <row r="439" ht="15" customHeight="1">
      <c r="A439" t="inlineStr">
        <is>
          <t>A 14132-2025</t>
        </is>
      </c>
      <c r="B439" s="1" t="n">
        <v>45740.47550925926</v>
      </c>
      <c r="C439" s="1" t="n">
        <v>46173</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14133-2025</t>
        </is>
      </c>
      <c r="B440" s="1" t="n">
        <v>45740.47724537037</v>
      </c>
      <c r="C440" s="1" t="n">
        <v>46173</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8792-2025</t>
        </is>
      </c>
      <c r="B441" s="1" t="n">
        <v>45712</v>
      </c>
      <c r="C441" s="1" t="n">
        <v>46173</v>
      </c>
      <c r="D441" t="inlineStr">
        <is>
          <t>STOCKHOLMS LÄN</t>
        </is>
      </c>
      <c r="E441" t="inlineStr">
        <is>
          <t>NORRTÄLJE</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24887-2023</t>
        </is>
      </c>
      <c r="B442" s="1" t="n">
        <v>45085</v>
      </c>
      <c r="C442" s="1" t="n">
        <v>46173</v>
      </c>
      <c r="D442" t="inlineStr">
        <is>
          <t>STOCKHOLMS LÄN</t>
        </is>
      </c>
      <c r="E442" t="inlineStr">
        <is>
          <t>NORRTÄLJE</t>
        </is>
      </c>
      <c r="G442" t="n">
        <v>13.9</v>
      </c>
      <c r="H442" t="n">
        <v>0</v>
      </c>
      <c r="I442" t="n">
        <v>0</v>
      </c>
      <c r="J442" t="n">
        <v>0</v>
      </c>
      <c r="K442" t="n">
        <v>0</v>
      </c>
      <c r="L442" t="n">
        <v>0</v>
      </c>
      <c r="M442" t="n">
        <v>0</v>
      </c>
      <c r="N442" t="n">
        <v>0</v>
      </c>
      <c r="O442" t="n">
        <v>0</v>
      </c>
      <c r="P442" t="n">
        <v>0</v>
      </c>
      <c r="Q442" t="n">
        <v>0</v>
      </c>
      <c r="R442" s="2" t="inlineStr"/>
    </row>
    <row r="443" ht="15" customHeight="1">
      <c r="A443" t="inlineStr">
        <is>
          <t>A 52321-2024</t>
        </is>
      </c>
      <c r="B443" s="1" t="n">
        <v>45608</v>
      </c>
      <c r="C443" s="1" t="n">
        <v>46173</v>
      </c>
      <c r="D443" t="inlineStr">
        <is>
          <t>STOCKHOLMS LÄN</t>
        </is>
      </c>
      <c r="E443" t="inlineStr">
        <is>
          <t>NORRTÄLJE</t>
        </is>
      </c>
      <c r="G443" t="n">
        <v>18.1</v>
      </c>
      <c r="H443" t="n">
        <v>0</v>
      </c>
      <c r="I443" t="n">
        <v>0</v>
      </c>
      <c r="J443" t="n">
        <v>0</v>
      </c>
      <c r="K443" t="n">
        <v>0</v>
      </c>
      <c r="L443" t="n">
        <v>0</v>
      </c>
      <c r="M443" t="n">
        <v>0</v>
      </c>
      <c r="N443" t="n">
        <v>0</v>
      </c>
      <c r="O443" t="n">
        <v>0</v>
      </c>
      <c r="P443" t="n">
        <v>0</v>
      </c>
      <c r="Q443" t="n">
        <v>0</v>
      </c>
      <c r="R443" s="2" t="inlineStr"/>
    </row>
    <row r="444" ht="15" customHeight="1">
      <c r="A444" t="inlineStr">
        <is>
          <t>A 26644-2024</t>
        </is>
      </c>
      <c r="B444" s="1" t="n">
        <v>45469</v>
      </c>
      <c r="C444" s="1" t="n">
        <v>46173</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38612-2022</t>
        </is>
      </c>
      <c r="B445" s="1" t="n">
        <v>44813</v>
      </c>
      <c r="C445" s="1" t="n">
        <v>46173</v>
      </c>
      <c r="D445" t="inlineStr">
        <is>
          <t>STOCKHOLMS LÄN</t>
        </is>
      </c>
      <c r="E445" t="inlineStr">
        <is>
          <t>NORRTÄLJE</t>
        </is>
      </c>
      <c r="G445" t="n">
        <v>1.7</v>
      </c>
      <c r="H445" t="n">
        <v>0</v>
      </c>
      <c r="I445" t="n">
        <v>0</v>
      </c>
      <c r="J445" t="n">
        <v>0</v>
      </c>
      <c r="K445" t="n">
        <v>0</v>
      </c>
      <c r="L445" t="n">
        <v>0</v>
      </c>
      <c r="M445" t="n">
        <v>0</v>
      </c>
      <c r="N445" t="n">
        <v>0</v>
      </c>
      <c r="O445" t="n">
        <v>0</v>
      </c>
      <c r="P445" t="n">
        <v>0</v>
      </c>
      <c r="Q445" t="n">
        <v>0</v>
      </c>
      <c r="R445" s="2" t="inlineStr"/>
    </row>
    <row r="446" ht="15" customHeight="1">
      <c r="A446" t="inlineStr">
        <is>
          <t>A 4326-2023</t>
        </is>
      </c>
      <c r="B446" s="1" t="n">
        <v>44953.70481481482</v>
      </c>
      <c r="C446" s="1" t="n">
        <v>46173</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48151-2024</t>
        </is>
      </c>
      <c r="B447" s="1" t="n">
        <v>45589.68289351852</v>
      </c>
      <c r="C447" s="1" t="n">
        <v>46173</v>
      </c>
      <c r="D447" t="inlineStr">
        <is>
          <t>STOCKHOLMS LÄN</t>
        </is>
      </c>
      <c r="E447" t="inlineStr">
        <is>
          <t>NORRTÄLJE</t>
        </is>
      </c>
      <c r="G447" t="n">
        <v>1.6</v>
      </c>
      <c r="H447" t="n">
        <v>0</v>
      </c>
      <c r="I447" t="n">
        <v>0</v>
      </c>
      <c r="J447" t="n">
        <v>0</v>
      </c>
      <c r="K447" t="n">
        <v>0</v>
      </c>
      <c r="L447" t="n">
        <v>0</v>
      </c>
      <c r="M447" t="n">
        <v>0</v>
      </c>
      <c r="N447" t="n">
        <v>0</v>
      </c>
      <c r="O447" t="n">
        <v>0</v>
      </c>
      <c r="P447" t="n">
        <v>0</v>
      </c>
      <c r="Q447" t="n">
        <v>0</v>
      </c>
      <c r="R447" s="2" t="inlineStr"/>
    </row>
    <row r="448" ht="15" customHeight="1">
      <c r="A448" t="inlineStr">
        <is>
          <t>A 54504-2024</t>
        </is>
      </c>
      <c r="B448" s="1" t="n">
        <v>45617.58453703704</v>
      </c>
      <c r="C448" s="1" t="n">
        <v>46173</v>
      </c>
      <c r="D448" t="inlineStr">
        <is>
          <t>STOCKHOLMS LÄN</t>
        </is>
      </c>
      <c r="E448" t="inlineStr">
        <is>
          <t>NORRTÄLJE</t>
        </is>
      </c>
      <c r="G448" t="n">
        <v>3.4</v>
      </c>
      <c r="H448" t="n">
        <v>0</v>
      </c>
      <c r="I448" t="n">
        <v>0</v>
      </c>
      <c r="J448" t="n">
        <v>0</v>
      </c>
      <c r="K448" t="n">
        <v>0</v>
      </c>
      <c r="L448" t="n">
        <v>0</v>
      </c>
      <c r="M448" t="n">
        <v>0</v>
      </c>
      <c r="N448" t="n">
        <v>0</v>
      </c>
      <c r="O448" t="n">
        <v>0</v>
      </c>
      <c r="P448" t="n">
        <v>0</v>
      </c>
      <c r="Q448" t="n">
        <v>0</v>
      </c>
      <c r="R448" s="2" t="inlineStr"/>
    </row>
    <row r="449" ht="15" customHeight="1">
      <c r="A449" t="inlineStr">
        <is>
          <t>A 2982-2023</t>
        </is>
      </c>
      <c r="B449" s="1" t="n">
        <v>44945.67409722223</v>
      </c>
      <c r="C449" s="1" t="n">
        <v>46173</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65499-2021</t>
        </is>
      </c>
      <c r="B450" s="1" t="n">
        <v>44516</v>
      </c>
      <c r="C450" s="1" t="n">
        <v>46173</v>
      </c>
      <c r="D450" t="inlineStr">
        <is>
          <t>STOCKHOLMS LÄN</t>
        </is>
      </c>
      <c r="E450" t="inlineStr">
        <is>
          <t>NORRTÄLJE</t>
        </is>
      </c>
      <c r="F450" t="inlineStr">
        <is>
          <t>Kommuner</t>
        </is>
      </c>
      <c r="G450" t="n">
        <v>5.2</v>
      </c>
      <c r="H450" t="n">
        <v>0</v>
      </c>
      <c r="I450" t="n">
        <v>0</v>
      </c>
      <c r="J450" t="n">
        <v>0</v>
      </c>
      <c r="K450" t="n">
        <v>0</v>
      </c>
      <c r="L450" t="n">
        <v>0</v>
      </c>
      <c r="M450" t="n">
        <v>0</v>
      </c>
      <c r="N450" t="n">
        <v>0</v>
      </c>
      <c r="O450" t="n">
        <v>0</v>
      </c>
      <c r="P450" t="n">
        <v>0</v>
      </c>
      <c r="Q450" t="n">
        <v>0</v>
      </c>
      <c r="R450" s="2" t="inlineStr"/>
    </row>
    <row r="451" ht="15" customHeight="1">
      <c r="A451" t="inlineStr">
        <is>
          <t>A 12535-2025</t>
        </is>
      </c>
      <c r="B451" s="1" t="n">
        <v>45730.69502314815</v>
      </c>
      <c r="C451" s="1" t="n">
        <v>46173</v>
      </c>
      <c r="D451" t="inlineStr">
        <is>
          <t>STOCKHOLMS LÄN</t>
        </is>
      </c>
      <c r="E451" t="inlineStr">
        <is>
          <t>NORRTÄLJE</t>
        </is>
      </c>
      <c r="G451" t="n">
        <v>7.1</v>
      </c>
      <c r="H451" t="n">
        <v>0</v>
      </c>
      <c r="I451" t="n">
        <v>0</v>
      </c>
      <c r="J451" t="n">
        <v>0</v>
      </c>
      <c r="K451" t="n">
        <v>0</v>
      </c>
      <c r="L451" t="n">
        <v>0</v>
      </c>
      <c r="M451" t="n">
        <v>0</v>
      </c>
      <c r="N451" t="n">
        <v>0</v>
      </c>
      <c r="O451" t="n">
        <v>0</v>
      </c>
      <c r="P451" t="n">
        <v>0</v>
      </c>
      <c r="Q451" t="n">
        <v>0</v>
      </c>
      <c r="R451" s="2" t="inlineStr"/>
    </row>
    <row r="452" ht="15" customHeight="1">
      <c r="A452" t="inlineStr">
        <is>
          <t>A 37136-2023</t>
        </is>
      </c>
      <c r="B452" s="1" t="n">
        <v>45155</v>
      </c>
      <c r="C452" s="1" t="n">
        <v>46173</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21745-2023</t>
        </is>
      </c>
      <c r="B453" s="1" t="n">
        <v>45065.55917824074</v>
      </c>
      <c r="C453" s="1" t="n">
        <v>46173</v>
      </c>
      <c r="D453" t="inlineStr">
        <is>
          <t>STOCKHOLMS LÄN</t>
        </is>
      </c>
      <c r="E453" t="inlineStr">
        <is>
          <t>NORRTÄLJE</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21894-2023</t>
        </is>
      </c>
      <c r="B454" s="1" t="n">
        <v>45068.51783564815</v>
      </c>
      <c r="C454" s="1" t="n">
        <v>46173</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18787-2022</t>
        </is>
      </c>
      <c r="B455" s="1" t="n">
        <v>44687</v>
      </c>
      <c r="C455" s="1" t="n">
        <v>46173</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13718-2022</t>
        </is>
      </c>
      <c r="B456" s="1" t="n">
        <v>44649</v>
      </c>
      <c r="C456" s="1" t="n">
        <v>46173</v>
      </c>
      <c r="D456" t="inlineStr">
        <is>
          <t>STOCKHOLMS LÄN</t>
        </is>
      </c>
      <c r="E456" t="inlineStr">
        <is>
          <t>NORRTÄLJE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13276-2022</t>
        </is>
      </c>
      <c r="B457" s="1" t="n">
        <v>44644</v>
      </c>
      <c r="C457" s="1" t="n">
        <v>46173</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46173</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36269-2022</t>
        </is>
      </c>
      <c r="B459" s="1" t="n">
        <v>44803</v>
      </c>
      <c r="C459" s="1" t="n">
        <v>46173</v>
      </c>
      <c r="D459" t="inlineStr">
        <is>
          <t>STOCKHOLMS LÄN</t>
        </is>
      </c>
      <c r="E459" t="inlineStr">
        <is>
          <t>NORRTÄLJE</t>
        </is>
      </c>
      <c r="G459" t="n">
        <v>2.3</v>
      </c>
      <c r="H459" t="n">
        <v>0</v>
      </c>
      <c r="I459" t="n">
        <v>0</v>
      </c>
      <c r="J459" t="n">
        <v>0</v>
      </c>
      <c r="K459" t="n">
        <v>0</v>
      </c>
      <c r="L459" t="n">
        <v>0</v>
      </c>
      <c r="M459" t="n">
        <v>0</v>
      </c>
      <c r="N459" t="n">
        <v>0</v>
      </c>
      <c r="O459" t="n">
        <v>0</v>
      </c>
      <c r="P459" t="n">
        <v>0</v>
      </c>
      <c r="Q459" t="n">
        <v>0</v>
      </c>
      <c r="R459" s="2" t="inlineStr"/>
    </row>
    <row r="460" ht="15" customHeight="1">
      <c r="A460" t="inlineStr">
        <is>
          <t>A 36308-2022</t>
        </is>
      </c>
      <c r="B460" s="1" t="n">
        <v>44803</v>
      </c>
      <c r="C460" s="1" t="n">
        <v>46173</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28182-2022</t>
        </is>
      </c>
      <c r="B461" s="1" t="n">
        <v>44746.58530092592</v>
      </c>
      <c r="C461" s="1" t="n">
        <v>46173</v>
      </c>
      <c r="D461" t="inlineStr">
        <is>
          <t>STOCKHOLMS LÄN</t>
        </is>
      </c>
      <c r="E461" t="inlineStr">
        <is>
          <t>NORRTÄLJE</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20370-2025</t>
        </is>
      </c>
      <c r="B462" s="1" t="n">
        <v>45775.41451388889</v>
      </c>
      <c r="C462" s="1" t="n">
        <v>46173</v>
      </c>
      <c r="D462" t="inlineStr">
        <is>
          <t>STOCKHOLMS LÄN</t>
        </is>
      </c>
      <c r="E462" t="inlineStr">
        <is>
          <t>NORRTÄLJE</t>
        </is>
      </c>
      <c r="G462" t="n">
        <v>2.9</v>
      </c>
      <c r="H462" t="n">
        <v>0</v>
      </c>
      <c r="I462" t="n">
        <v>0</v>
      </c>
      <c r="J462" t="n">
        <v>0</v>
      </c>
      <c r="K462" t="n">
        <v>0</v>
      </c>
      <c r="L462" t="n">
        <v>0</v>
      </c>
      <c r="M462" t="n">
        <v>0</v>
      </c>
      <c r="N462" t="n">
        <v>0</v>
      </c>
      <c r="O462" t="n">
        <v>0</v>
      </c>
      <c r="P462" t="n">
        <v>0</v>
      </c>
      <c r="Q462" t="n">
        <v>0</v>
      </c>
      <c r="R462" s="2" t="inlineStr"/>
    </row>
    <row r="463" ht="15" customHeight="1">
      <c r="A463" t="inlineStr">
        <is>
          <t>A 6919-2025</t>
        </is>
      </c>
      <c r="B463" s="1" t="n">
        <v>45701.44372685185</v>
      </c>
      <c r="C463" s="1" t="n">
        <v>46173</v>
      </c>
      <c r="D463" t="inlineStr">
        <is>
          <t>STOCKHOLMS LÄN</t>
        </is>
      </c>
      <c r="E463" t="inlineStr">
        <is>
          <t>NORRTÄLJE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34461-2023</t>
        </is>
      </c>
      <c r="B464" s="1" t="n">
        <v>45139</v>
      </c>
      <c r="C464" s="1" t="n">
        <v>46173</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32100-2022</t>
        </is>
      </c>
      <c r="B465" s="1" t="n">
        <v>44778</v>
      </c>
      <c r="C465" s="1" t="n">
        <v>46173</v>
      </c>
      <c r="D465" t="inlineStr">
        <is>
          <t>STOCKHOLMS LÄN</t>
        </is>
      </c>
      <c r="E465" t="inlineStr">
        <is>
          <t>NORRTÄLJE</t>
        </is>
      </c>
      <c r="G465" t="n">
        <v>3.3</v>
      </c>
      <c r="H465" t="n">
        <v>0</v>
      </c>
      <c r="I465" t="n">
        <v>0</v>
      </c>
      <c r="J465" t="n">
        <v>0</v>
      </c>
      <c r="K465" t="n">
        <v>0</v>
      </c>
      <c r="L465" t="n">
        <v>0</v>
      </c>
      <c r="M465" t="n">
        <v>0</v>
      </c>
      <c r="N465" t="n">
        <v>0</v>
      </c>
      <c r="O465" t="n">
        <v>0</v>
      </c>
      <c r="P465" t="n">
        <v>0</v>
      </c>
      <c r="Q465" t="n">
        <v>0</v>
      </c>
      <c r="R465" s="2" t="inlineStr"/>
    </row>
    <row r="466" ht="15" customHeight="1">
      <c r="A466" t="inlineStr">
        <is>
          <t>A 11332-2025</t>
        </is>
      </c>
      <c r="B466" s="1" t="n">
        <v>45726.48152777777</v>
      </c>
      <c r="C466" s="1" t="n">
        <v>46173</v>
      </c>
      <c r="D466" t="inlineStr">
        <is>
          <t>STOCKHOLMS LÄN</t>
        </is>
      </c>
      <c r="E466" t="inlineStr">
        <is>
          <t>NORRTÄLJE</t>
        </is>
      </c>
      <c r="G466" t="n">
        <v>4.6</v>
      </c>
      <c r="H466" t="n">
        <v>0</v>
      </c>
      <c r="I466" t="n">
        <v>0</v>
      </c>
      <c r="J466" t="n">
        <v>0</v>
      </c>
      <c r="K466" t="n">
        <v>0</v>
      </c>
      <c r="L466" t="n">
        <v>0</v>
      </c>
      <c r="M466" t="n">
        <v>0</v>
      </c>
      <c r="N466" t="n">
        <v>0</v>
      </c>
      <c r="O466" t="n">
        <v>0</v>
      </c>
      <c r="P466" t="n">
        <v>0</v>
      </c>
      <c r="Q466" t="n">
        <v>0</v>
      </c>
      <c r="R466" s="2" t="inlineStr"/>
    </row>
    <row r="467" ht="15" customHeight="1">
      <c r="A467" t="inlineStr">
        <is>
          <t>A 19580-2022</t>
        </is>
      </c>
      <c r="B467" s="1" t="n">
        <v>44693</v>
      </c>
      <c r="C467" s="1" t="n">
        <v>46173</v>
      </c>
      <c r="D467" t="inlineStr">
        <is>
          <t>STOCKHOLMS LÄN</t>
        </is>
      </c>
      <c r="E467" t="inlineStr">
        <is>
          <t>NORRTÄLJE</t>
        </is>
      </c>
      <c r="G467" t="n">
        <v>0.4</v>
      </c>
      <c r="H467" t="n">
        <v>0</v>
      </c>
      <c r="I467" t="n">
        <v>0</v>
      </c>
      <c r="J467" t="n">
        <v>0</v>
      </c>
      <c r="K467" t="n">
        <v>0</v>
      </c>
      <c r="L467" t="n">
        <v>0</v>
      </c>
      <c r="M467" t="n">
        <v>0</v>
      </c>
      <c r="N467" t="n">
        <v>0</v>
      </c>
      <c r="O467" t="n">
        <v>0</v>
      </c>
      <c r="P467" t="n">
        <v>0</v>
      </c>
      <c r="Q467" t="n">
        <v>0</v>
      </c>
      <c r="R467" s="2" t="inlineStr"/>
    </row>
    <row r="468" ht="15" customHeight="1">
      <c r="A468" t="inlineStr">
        <is>
          <t>A 37444-2021</t>
        </is>
      </c>
      <c r="B468" s="1" t="n">
        <v>44398</v>
      </c>
      <c r="C468" s="1" t="n">
        <v>46173</v>
      </c>
      <c r="D468" t="inlineStr">
        <is>
          <t>STOCKHOLMS LÄN</t>
        </is>
      </c>
      <c r="E468" t="inlineStr">
        <is>
          <t>NORRTÄLJE</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30886-2022</t>
        </is>
      </c>
      <c r="B469" s="1" t="n">
        <v>44767.60601851852</v>
      </c>
      <c r="C469" s="1" t="n">
        <v>46173</v>
      </c>
      <c r="D469" t="inlineStr">
        <is>
          <t>STOCKHOLMS LÄN</t>
        </is>
      </c>
      <c r="E469" t="inlineStr">
        <is>
          <t>NORRTÄLJE</t>
        </is>
      </c>
      <c r="G469" t="n">
        <v>2.6</v>
      </c>
      <c r="H469" t="n">
        <v>0</v>
      </c>
      <c r="I469" t="n">
        <v>0</v>
      </c>
      <c r="J469" t="n">
        <v>0</v>
      </c>
      <c r="K469" t="n">
        <v>0</v>
      </c>
      <c r="L469" t="n">
        <v>0</v>
      </c>
      <c r="M469" t="n">
        <v>0</v>
      </c>
      <c r="N469" t="n">
        <v>0</v>
      </c>
      <c r="O469" t="n">
        <v>0</v>
      </c>
      <c r="P469" t="n">
        <v>0</v>
      </c>
      <c r="Q469" t="n">
        <v>0</v>
      </c>
      <c r="R469" s="2" t="inlineStr"/>
    </row>
    <row r="470" ht="15" customHeight="1">
      <c r="A470" t="inlineStr">
        <is>
          <t>A 38720-2025</t>
        </is>
      </c>
      <c r="B470" s="1" t="n">
        <v>45886</v>
      </c>
      <c r="C470" s="1" t="n">
        <v>46173</v>
      </c>
      <c r="D470" t="inlineStr">
        <is>
          <t>STOCKHOLMS LÄN</t>
        </is>
      </c>
      <c r="E470" t="inlineStr">
        <is>
          <t>NORRTÄLJE</t>
        </is>
      </c>
      <c r="G470" t="n">
        <v>1.6</v>
      </c>
      <c r="H470" t="n">
        <v>0</v>
      </c>
      <c r="I470" t="n">
        <v>0</v>
      </c>
      <c r="J470" t="n">
        <v>0</v>
      </c>
      <c r="K470" t="n">
        <v>0</v>
      </c>
      <c r="L470" t="n">
        <v>0</v>
      </c>
      <c r="M470" t="n">
        <v>0</v>
      </c>
      <c r="N470" t="n">
        <v>0</v>
      </c>
      <c r="O470" t="n">
        <v>0</v>
      </c>
      <c r="P470" t="n">
        <v>0</v>
      </c>
      <c r="Q470" t="n">
        <v>0</v>
      </c>
      <c r="R470" s="2" t="inlineStr"/>
    </row>
    <row r="471" ht="15" customHeight="1">
      <c r="A471" t="inlineStr">
        <is>
          <t>A 51046-2023</t>
        </is>
      </c>
      <c r="B471" s="1" t="n">
        <v>45218</v>
      </c>
      <c r="C471" s="1" t="n">
        <v>46173</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9654-2022</t>
        </is>
      </c>
      <c r="B472" s="1" t="n">
        <v>44617</v>
      </c>
      <c r="C472" s="1" t="n">
        <v>46173</v>
      </c>
      <c r="D472" t="inlineStr">
        <is>
          <t>STOCKHOLMS LÄN</t>
        </is>
      </c>
      <c r="E472" t="inlineStr">
        <is>
          <t>NORRTÄLJE</t>
        </is>
      </c>
      <c r="G472" t="n">
        <v>6.4</v>
      </c>
      <c r="H472" t="n">
        <v>0</v>
      </c>
      <c r="I472" t="n">
        <v>0</v>
      </c>
      <c r="J472" t="n">
        <v>0</v>
      </c>
      <c r="K472" t="n">
        <v>0</v>
      </c>
      <c r="L472" t="n">
        <v>0</v>
      </c>
      <c r="M472" t="n">
        <v>0</v>
      </c>
      <c r="N472" t="n">
        <v>0</v>
      </c>
      <c r="O472" t="n">
        <v>0</v>
      </c>
      <c r="P472" t="n">
        <v>0</v>
      </c>
      <c r="Q472" t="n">
        <v>0</v>
      </c>
      <c r="R472" s="2" t="inlineStr"/>
    </row>
    <row r="473" ht="15" customHeight="1">
      <c r="A473" t="inlineStr">
        <is>
          <t>A 1453-2025</t>
        </is>
      </c>
      <c r="B473" s="1" t="n">
        <v>45670.3079050926</v>
      </c>
      <c r="C473" s="1" t="n">
        <v>46173</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5804-2025</t>
        </is>
      </c>
      <c r="B474" s="1" t="n">
        <v>45694.68207175926</v>
      </c>
      <c r="C474" s="1" t="n">
        <v>46173</v>
      </c>
      <c r="D474" t="inlineStr">
        <is>
          <t>STOCKHOLMS LÄN</t>
        </is>
      </c>
      <c r="E474" t="inlineStr">
        <is>
          <t>NORRTÄLJE</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50907-2022</t>
        </is>
      </c>
      <c r="B475" s="1" t="n">
        <v>44867.62090277778</v>
      </c>
      <c r="C475" s="1" t="n">
        <v>46173</v>
      </c>
      <c r="D475" t="inlineStr">
        <is>
          <t>STOCKHOLMS LÄN</t>
        </is>
      </c>
      <c r="E475" t="inlineStr">
        <is>
          <t>NORRTÄLJE</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29003-2023</t>
        </is>
      </c>
      <c r="B476" s="1" t="n">
        <v>45104</v>
      </c>
      <c r="C476" s="1" t="n">
        <v>46173</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33295-2023</t>
        </is>
      </c>
      <c r="B477" s="1" t="n">
        <v>45127.69371527778</v>
      </c>
      <c r="C477" s="1" t="n">
        <v>46173</v>
      </c>
      <c r="D477" t="inlineStr">
        <is>
          <t>STOCKHOLMS LÄN</t>
        </is>
      </c>
      <c r="E477" t="inlineStr">
        <is>
          <t>NORRTÄLJE</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14127-2025</t>
        </is>
      </c>
      <c r="B478" s="1" t="n">
        <v>45740.47055555556</v>
      </c>
      <c r="C478" s="1" t="n">
        <v>46173</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16980-2023</t>
        </is>
      </c>
      <c r="B479" s="1" t="n">
        <v>45033</v>
      </c>
      <c r="C479" s="1" t="n">
        <v>46173</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17382-2024</t>
        </is>
      </c>
      <c r="B480" s="1" t="n">
        <v>45414.65855324074</v>
      </c>
      <c r="C480" s="1" t="n">
        <v>46173</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6070-2022</t>
        </is>
      </c>
      <c r="B481" s="1" t="n">
        <v>44599.58428240741</v>
      </c>
      <c r="C481" s="1" t="n">
        <v>46173</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17039-2024</t>
        </is>
      </c>
      <c r="B482" s="1" t="n">
        <v>45412.4104050926</v>
      </c>
      <c r="C482" s="1" t="n">
        <v>46173</v>
      </c>
      <c r="D482" t="inlineStr">
        <is>
          <t>STOCKHOLMS LÄN</t>
        </is>
      </c>
      <c r="E482" t="inlineStr">
        <is>
          <t>NORRTÄLJE</t>
        </is>
      </c>
      <c r="G482" t="n">
        <v>5.9</v>
      </c>
      <c r="H482" t="n">
        <v>0</v>
      </c>
      <c r="I482" t="n">
        <v>0</v>
      </c>
      <c r="J482" t="n">
        <v>0</v>
      </c>
      <c r="K482" t="n">
        <v>0</v>
      </c>
      <c r="L482" t="n">
        <v>0</v>
      </c>
      <c r="M482" t="n">
        <v>0</v>
      </c>
      <c r="N482" t="n">
        <v>0</v>
      </c>
      <c r="O482" t="n">
        <v>0</v>
      </c>
      <c r="P482" t="n">
        <v>0</v>
      </c>
      <c r="Q482" t="n">
        <v>0</v>
      </c>
      <c r="R482" s="2" t="inlineStr"/>
    </row>
    <row r="483" ht="15" customHeight="1">
      <c r="A483" t="inlineStr">
        <is>
          <t>A 30731-2023</t>
        </is>
      </c>
      <c r="B483" s="1" t="n">
        <v>45112</v>
      </c>
      <c r="C483" s="1" t="n">
        <v>46173</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32595-2023</t>
        </is>
      </c>
      <c r="B484" s="1" t="n">
        <v>45121</v>
      </c>
      <c r="C484" s="1" t="n">
        <v>46173</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48180-2023</t>
        </is>
      </c>
      <c r="B485" s="1" t="n">
        <v>45205</v>
      </c>
      <c r="C485" s="1" t="n">
        <v>46173</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35695-2023</t>
        </is>
      </c>
      <c r="B486" s="1" t="n">
        <v>45147.65407407407</v>
      </c>
      <c r="C486" s="1" t="n">
        <v>46173</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45173-2023</t>
        </is>
      </c>
      <c r="B487" s="1" t="n">
        <v>45191</v>
      </c>
      <c r="C487" s="1" t="n">
        <v>46173</v>
      </c>
      <c r="D487" t="inlineStr">
        <is>
          <t>STOCKHOLMS LÄN</t>
        </is>
      </c>
      <c r="E487" t="inlineStr">
        <is>
          <t>NORRTÄLJE</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4580-2025</t>
        </is>
      </c>
      <c r="B488" s="1" t="n">
        <v>45687.5038425926</v>
      </c>
      <c r="C488" s="1" t="n">
        <v>46173</v>
      </c>
      <c r="D488" t="inlineStr">
        <is>
          <t>STOCKHOLMS LÄN</t>
        </is>
      </c>
      <c r="E488" t="inlineStr">
        <is>
          <t>NORRTÄLJE</t>
        </is>
      </c>
      <c r="F488" t="inlineStr">
        <is>
          <t>Holmen skog AB</t>
        </is>
      </c>
      <c r="G488" t="n">
        <v>4.8</v>
      </c>
      <c r="H488" t="n">
        <v>0</v>
      </c>
      <c r="I488" t="n">
        <v>0</v>
      </c>
      <c r="J488" t="n">
        <v>0</v>
      </c>
      <c r="K488" t="n">
        <v>0</v>
      </c>
      <c r="L488" t="n">
        <v>0</v>
      </c>
      <c r="M488" t="n">
        <v>0</v>
      </c>
      <c r="N488" t="n">
        <v>0</v>
      </c>
      <c r="O488" t="n">
        <v>0</v>
      </c>
      <c r="P488" t="n">
        <v>0</v>
      </c>
      <c r="Q488" t="n">
        <v>0</v>
      </c>
      <c r="R488" s="2" t="inlineStr"/>
    </row>
    <row r="489" ht="15" customHeight="1">
      <c r="A489" t="inlineStr">
        <is>
          <t>A 37550-2022</t>
        </is>
      </c>
      <c r="B489" s="1" t="n">
        <v>44809</v>
      </c>
      <c r="C489" s="1" t="n">
        <v>46173</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31057-2022</t>
        </is>
      </c>
      <c r="B490" s="1" t="n">
        <v>44769</v>
      </c>
      <c r="C490" s="1" t="n">
        <v>46173</v>
      </c>
      <c r="D490" t="inlineStr">
        <is>
          <t>STOCKHOLMS LÄN</t>
        </is>
      </c>
      <c r="E490" t="inlineStr">
        <is>
          <t>NORRTÄLJE</t>
        </is>
      </c>
      <c r="G490" t="n">
        <v>6.5</v>
      </c>
      <c r="H490" t="n">
        <v>0</v>
      </c>
      <c r="I490" t="n">
        <v>0</v>
      </c>
      <c r="J490" t="n">
        <v>0</v>
      </c>
      <c r="K490" t="n">
        <v>0</v>
      </c>
      <c r="L490" t="n">
        <v>0</v>
      </c>
      <c r="M490" t="n">
        <v>0</v>
      </c>
      <c r="N490" t="n">
        <v>0</v>
      </c>
      <c r="O490" t="n">
        <v>0</v>
      </c>
      <c r="P490" t="n">
        <v>0</v>
      </c>
      <c r="Q490" t="n">
        <v>0</v>
      </c>
      <c r="R490" s="2" t="inlineStr"/>
    </row>
    <row r="491" ht="15" customHeight="1">
      <c r="A491" t="inlineStr">
        <is>
          <t>A 38593-2025</t>
        </is>
      </c>
      <c r="B491" s="1" t="n">
        <v>45884.48696759259</v>
      </c>
      <c r="C491" s="1" t="n">
        <v>46173</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48161-2022</t>
        </is>
      </c>
      <c r="B492" s="1" t="n">
        <v>44858</v>
      </c>
      <c r="C492" s="1" t="n">
        <v>46173</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48798-2021</t>
        </is>
      </c>
      <c r="B493" s="1" t="n">
        <v>44452</v>
      </c>
      <c r="C493" s="1" t="n">
        <v>46173</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24705-2023</t>
        </is>
      </c>
      <c r="B494" s="1" t="n">
        <v>45084.54459490741</v>
      </c>
      <c r="C494" s="1" t="n">
        <v>46173</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21696-2024</t>
        </is>
      </c>
      <c r="B495" s="1" t="n">
        <v>45442.45686342593</v>
      </c>
      <c r="C495" s="1" t="n">
        <v>46173</v>
      </c>
      <c r="D495" t="inlineStr">
        <is>
          <t>STOCKHOLMS LÄN</t>
        </is>
      </c>
      <c r="E495" t="inlineStr">
        <is>
          <t>NORRTÄLJE</t>
        </is>
      </c>
      <c r="G495" t="n">
        <v>2.9</v>
      </c>
      <c r="H495" t="n">
        <v>0</v>
      </c>
      <c r="I495" t="n">
        <v>0</v>
      </c>
      <c r="J495" t="n">
        <v>0</v>
      </c>
      <c r="K495" t="n">
        <v>0</v>
      </c>
      <c r="L495" t="n">
        <v>0</v>
      </c>
      <c r="M495" t="n">
        <v>0</v>
      </c>
      <c r="N495" t="n">
        <v>0</v>
      </c>
      <c r="O495" t="n">
        <v>0</v>
      </c>
      <c r="P495" t="n">
        <v>0</v>
      </c>
      <c r="Q495" t="n">
        <v>0</v>
      </c>
      <c r="R495" s="2" t="inlineStr"/>
    </row>
    <row r="496" ht="15" customHeight="1">
      <c r="A496" t="inlineStr">
        <is>
          <t>A 54776-2023</t>
        </is>
      </c>
      <c r="B496" s="1" t="n">
        <v>45236.46369212963</v>
      </c>
      <c r="C496" s="1" t="n">
        <v>46173</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31140-2023</t>
        </is>
      </c>
      <c r="B497" s="1" t="n">
        <v>45113</v>
      </c>
      <c r="C497" s="1" t="n">
        <v>46173</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31149-2023</t>
        </is>
      </c>
      <c r="B498" s="1" t="n">
        <v>45113</v>
      </c>
      <c r="C498" s="1" t="n">
        <v>46173</v>
      </c>
      <c r="D498" t="inlineStr">
        <is>
          <t>STOCKHOLMS LÄN</t>
        </is>
      </c>
      <c r="E498" t="inlineStr">
        <is>
          <t>NORRTÄLJE</t>
        </is>
      </c>
      <c r="G498" t="n">
        <v>7.1</v>
      </c>
      <c r="H498" t="n">
        <v>0</v>
      </c>
      <c r="I498" t="n">
        <v>0</v>
      </c>
      <c r="J498" t="n">
        <v>0</v>
      </c>
      <c r="K498" t="n">
        <v>0</v>
      </c>
      <c r="L498" t="n">
        <v>0</v>
      </c>
      <c r="M498" t="n">
        <v>0</v>
      </c>
      <c r="N498" t="n">
        <v>0</v>
      </c>
      <c r="O498" t="n">
        <v>0</v>
      </c>
      <c r="P498" t="n">
        <v>0</v>
      </c>
      <c r="Q498" t="n">
        <v>0</v>
      </c>
      <c r="R498" s="2" t="inlineStr"/>
    </row>
    <row r="499" ht="15" customHeight="1">
      <c r="A499" t="inlineStr">
        <is>
          <t>A 57442-2021</t>
        </is>
      </c>
      <c r="B499" s="1" t="n">
        <v>44483</v>
      </c>
      <c r="C499" s="1" t="n">
        <v>46173</v>
      </c>
      <c r="D499" t="inlineStr">
        <is>
          <t>STOCKHOLMS LÄN</t>
        </is>
      </c>
      <c r="E499" t="inlineStr">
        <is>
          <t>NORRTÄLJE</t>
        </is>
      </c>
      <c r="G499" t="n">
        <v>3.3</v>
      </c>
      <c r="H499" t="n">
        <v>0</v>
      </c>
      <c r="I499" t="n">
        <v>0</v>
      </c>
      <c r="J499" t="n">
        <v>0</v>
      </c>
      <c r="K499" t="n">
        <v>0</v>
      </c>
      <c r="L499" t="n">
        <v>0</v>
      </c>
      <c r="M499" t="n">
        <v>0</v>
      </c>
      <c r="N499" t="n">
        <v>0</v>
      </c>
      <c r="O499" t="n">
        <v>0</v>
      </c>
      <c r="P499" t="n">
        <v>0</v>
      </c>
      <c r="Q499" t="n">
        <v>0</v>
      </c>
      <c r="R499" s="2" t="inlineStr"/>
    </row>
    <row r="500" ht="15" customHeight="1">
      <c r="A500" t="inlineStr">
        <is>
          <t>A 67990-2021</t>
        </is>
      </c>
      <c r="B500" s="1" t="n">
        <v>44525</v>
      </c>
      <c r="C500" s="1" t="n">
        <v>46173</v>
      </c>
      <c r="D500" t="inlineStr">
        <is>
          <t>STOCKHOLMS LÄN</t>
        </is>
      </c>
      <c r="E500" t="inlineStr">
        <is>
          <t>NORRTÄLJE</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4658-2024</t>
        </is>
      </c>
      <c r="B501" s="1" t="n">
        <v>45328.46336805556</v>
      </c>
      <c r="C501" s="1" t="n">
        <v>46173</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71552-2021</t>
        </is>
      </c>
      <c r="B502" s="1" t="n">
        <v>44540</v>
      </c>
      <c r="C502" s="1" t="n">
        <v>46173</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73992-2021</t>
        </is>
      </c>
      <c r="B503" s="1" t="n">
        <v>44556</v>
      </c>
      <c r="C503" s="1" t="n">
        <v>46173</v>
      </c>
      <c r="D503" t="inlineStr">
        <is>
          <t>STOCKHOLMS LÄN</t>
        </is>
      </c>
      <c r="E503" t="inlineStr">
        <is>
          <t>NORRTÄLJE</t>
        </is>
      </c>
      <c r="G503" t="n">
        <v>12.5</v>
      </c>
      <c r="H503" t="n">
        <v>0</v>
      </c>
      <c r="I503" t="n">
        <v>0</v>
      </c>
      <c r="J503" t="n">
        <v>0</v>
      </c>
      <c r="K503" t="n">
        <v>0</v>
      </c>
      <c r="L503" t="n">
        <v>0</v>
      </c>
      <c r="M503" t="n">
        <v>0</v>
      </c>
      <c r="N503" t="n">
        <v>0</v>
      </c>
      <c r="O503" t="n">
        <v>0</v>
      </c>
      <c r="P503" t="n">
        <v>0</v>
      </c>
      <c r="Q503" t="n">
        <v>0</v>
      </c>
      <c r="R503" s="2" t="inlineStr"/>
    </row>
    <row r="504" ht="15" customHeight="1">
      <c r="A504" t="inlineStr">
        <is>
          <t>A 19131-2025</t>
        </is>
      </c>
      <c r="B504" s="1" t="n">
        <v>45769</v>
      </c>
      <c r="C504" s="1" t="n">
        <v>46173</v>
      </c>
      <c r="D504" t="inlineStr">
        <is>
          <t>STOCKHOLMS LÄN</t>
        </is>
      </c>
      <c r="E504" t="inlineStr">
        <is>
          <t>NORRTÄLJE</t>
        </is>
      </c>
      <c r="G504" t="n">
        <v>1.6</v>
      </c>
      <c r="H504" t="n">
        <v>0</v>
      </c>
      <c r="I504" t="n">
        <v>0</v>
      </c>
      <c r="J504" t="n">
        <v>0</v>
      </c>
      <c r="K504" t="n">
        <v>0</v>
      </c>
      <c r="L504" t="n">
        <v>0</v>
      </c>
      <c r="M504" t="n">
        <v>0</v>
      </c>
      <c r="N504" t="n">
        <v>0</v>
      </c>
      <c r="O504" t="n">
        <v>0</v>
      </c>
      <c r="P504" t="n">
        <v>0</v>
      </c>
      <c r="Q504" t="n">
        <v>0</v>
      </c>
      <c r="R504" s="2" t="inlineStr"/>
    </row>
    <row r="505" ht="15" customHeight="1">
      <c r="A505" t="inlineStr">
        <is>
          <t>A 55952-2024</t>
        </is>
      </c>
      <c r="B505" s="1" t="n">
        <v>45623.62563657408</v>
      </c>
      <c r="C505" s="1" t="n">
        <v>46173</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8135-2025</t>
        </is>
      </c>
      <c r="B506" s="1" t="n">
        <v>45707.84997685185</v>
      </c>
      <c r="C506" s="1" t="n">
        <v>46173</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3383-2023</t>
        </is>
      </c>
      <c r="B507" s="1" t="n">
        <v>44949</v>
      </c>
      <c r="C507" s="1" t="n">
        <v>46173</v>
      </c>
      <c r="D507" t="inlineStr">
        <is>
          <t>STOCKHOLMS LÄN</t>
        </is>
      </c>
      <c r="E507" t="inlineStr">
        <is>
          <t>NORRTÄLJE</t>
        </is>
      </c>
      <c r="G507" t="n">
        <v>14.6</v>
      </c>
      <c r="H507" t="n">
        <v>0</v>
      </c>
      <c r="I507" t="n">
        <v>0</v>
      </c>
      <c r="J507" t="n">
        <v>0</v>
      </c>
      <c r="K507" t="n">
        <v>0</v>
      </c>
      <c r="L507" t="n">
        <v>0</v>
      </c>
      <c r="M507" t="n">
        <v>0</v>
      </c>
      <c r="N507" t="n">
        <v>0</v>
      </c>
      <c r="O507" t="n">
        <v>0</v>
      </c>
      <c r="P507" t="n">
        <v>0</v>
      </c>
      <c r="Q507" t="n">
        <v>0</v>
      </c>
      <c r="R507" s="2" t="inlineStr"/>
    </row>
    <row r="508" ht="15" customHeight="1">
      <c r="A508" t="inlineStr">
        <is>
          <t>A 27677-2025</t>
        </is>
      </c>
      <c r="B508" s="1" t="n">
        <v>45813.63650462963</v>
      </c>
      <c r="C508" s="1" t="n">
        <v>46173</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39152-2025</t>
        </is>
      </c>
      <c r="B509" s="1" t="n">
        <v>45888</v>
      </c>
      <c r="C509" s="1" t="n">
        <v>46173</v>
      </c>
      <c r="D509" t="inlineStr">
        <is>
          <t>STOCKHOLMS LÄN</t>
        </is>
      </c>
      <c r="E509" t="inlineStr">
        <is>
          <t>NORRTÄLJE</t>
        </is>
      </c>
      <c r="G509" t="n">
        <v>4.6</v>
      </c>
      <c r="H509" t="n">
        <v>0</v>
      </c>
      <c r="I509" t="n">
        <v>0</v>
      </c>
      <c r="J509" t="n">
        <v>0</v>
      </c>
      <c r="K509" t="n">
        <v>0</v>
      </c>
      <c r="L509" t="n">
        <v>0</v>
      </c>
      <c r="M509" t="n">
        <v>0</v>
      </c>
      <c r="N509" t="n">
        <v>0</v>
      </c>
      <c r="O509" t="n">
        <v>0</v>
      </c>
      <c r="P509" t="n">
        <v>0</v>
      </c>
      <c r="Q509" t="n">
        <v>0</v>
      </c>
      <c r="R509" s="2" t="inlineStr"/>
    </row>
    <row r="510" ht="15" customHeight="1">
      <c r="A510" t="inlineStr">
        <is>
          <t>A 26113-2024</t>
        </is>
      </c>
      <c r="B510" s="1" t="n">
        <v>45468.45541666666</v>
      </c>
      <c r="C510" s="1" t="n">
        <v>46173</v>
      </c>
      <c r="D510" t="inlineStr">
        <is>
          <t>STOCKHOLMS LÄN</t>
        </is>
      </c>
      <c r="E510" t="inlineStr">
        <is>
          <t>NORRTÄLJE</t>
        </is>
      </c>
      <c r="G510" t="n">
        <v>0.4</v>
      </c>
      <c r="H510" t="n">
        <v>0</v>
      </c>
      <c r="I510" t="n">
        <v>0</v>
      </c>
      <c r="J510" t="n">
        <v>0</v>
      </c>
      <c r="K510" t="n">
        <v>0</v>
      </c>
      <c r="L510" t="n">
        <v>0</v>
      </c>
      <c r="M510" t="n">
        <v>0</v>
      </c>
      <c r="N510" t="n">
        <v>0</v>
      </c>
      <c r="O510" t="n">
        <v>0</v>
      </c>
      <c r="P510" t="n">
        <v>0</v>
      </c>
      <c r="Q510" t="n">
        <v>0</v>
      </c>
      <c r="R510" s="2" t="inlineStr"/>
    </row>
    <row r="511" ht="15" customHeight="1">
      <c r="A511" t="inlineStr">
        <is>
          <t>A 26116-2024</t>
        </is>
      </c>
      <c r="B511" s="1" t="n">
        <v>45468.45747685185</v>
      </c>
      <c r="C511" s="1" t="n">
        <v>46173</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21732-2023</t>
        </is>
      </c>
      <c r="B512" s="1" t="n">
        <v>45063</v>
      </c>
      <c r="C512" s="1" t="n">
        <v>46173</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23307-2024</t>
        </is>
      </c>
      <c r="B513" s="1" t="n">
        <v>45453</v>
      </c>
      <c r="C513" s="1" t="n">
        <v>46173</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15978-2024</t>
        </is>
      </c>
      <c r="B514" s="1" t="n">
        <v>45405.57927083333</v>
      </c>
      <c r="C514" s="1" t="n">
        <v>46173</v>
      </c>
      <c r="D514" t="inlineStr">
        <is>
          <t>STOCKHOLMS LÄN</t>
        </is>
      </c>
      <c r="E514" t="inlineStr">
        <is>
          <t>NORRTÄLJE</t>
        </is>
      </c>
      <c r="G514" t="n">
        <v>1.5</v>
      </c>
      <c r="H514" t="n">
        <v>0</v>
      </c>
      <c r="I514" t="n">
        <v>0</v>
      </c>
      <c r="J514" t="n">
        <v>0</v>
      </c>
      <c r="K514" t="n">
        <v>0</v>
      </c>
      <c r="L514" t="n">
        <v>0</v>
      </c>
      <c r="M514" t="n">
        <v>0</v>
      </c>
      <c r="N514" t="n">
        <v>0</v>
      </c>
      <c r="O514" t="n">
        <v>0</v>
      </c>
      <c r="P514" t="n">
        <v>0</v>
      </c>
      <c r="Q514" t="n">
        <v>0</v>
      </c>
      <c r="R514" s="2" t="inlineStr"/>
    </row>
    <row r="515" ht="15" customHeight="1">
      <c r="A515" t="inlineStr">
        <is>
          <t>A 11333-2025</t>
        </is>
      </c>
      <c r="B515" s="1" t="n">
        <v>45726.48377314815</v>
      </c>
      <c r="C515" s="1" t="n">
        <v>46173</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39149-2025</t>
        </is>
      </c>
      <c r="B516" s="1" t="n">
        <v>45888.60714120371</v>
      </c>
      <c r="C516" s="1" t="n">
        <v>46173</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34391-2023</t>
        </is>
      </c>
      <c r="B517" s="1" t="n">
        <v>45139.51457175926</v>
      </c>
      <c r="C517" s="1" t="n">
        <v>46173</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37085-2021</t>
        </is>
      </c>
      <c r="B518" s="1" t="n">
        <v>44395</v>
      </c>
      <c r="C518" s="1" t="n">
        <v>46173</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56428-2023</t>
        </is>
      </c>
      <c r="B519" s="1" t="n">
        <v>45243.45289351852</v>
      </c>
      <c r="C519" s="1" t="n">
        <v>46173</v>
      </c>
      <c r="D519" t="inlineStr">
        <is>
          <t>STOCKHOLMS LÄN</t>
        </is>
      </c>
      <c r="E519" t="inlineStr">
        <is>
          <t>NORRTÄLJE</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39692-2025</t>
        </is>
      </c>
      <c r="B520" s="1" t="n">
        <v>45890.68083333333</v>
      </c>
      <c r="C520" s="1" t="n">
        <v>46173</v>
      </c>
      <c r="D520" t="inlineStr">
        <is>
          <t>STOCKHOLMS LÄN</t>
        </is>
      </c>
      <c r="E520" t="inlineStr">
        <is>
          <t>NORRTÄLJE</t>
        </is>
      </c>
      <c r="G520" t="n">
        <v>10.5</v>
      </c>
      <c r="H520" t="n">
        <v>0</v>
      </c>
      <c r="I520" t="n">
        <v>0</v>
      </c>
      <c r="J520" t="n">
        <v>0</v>
      </c>
      <c r="K520" t="n">
        <v>0</v>
      </c>
      <c r="L520" t="n">
        <v>0</v>
      </c>
      <c r="M520" t="n">
        <v>0</v>
      </c>
      <c r="N520" t="n">
        <v>0</v>
      </c>
      <c r="O520" t="n">
        <v>0</v>
      </c>
      <c r="P520" t="n">
        <v>0</v>
      </c>
      <c r="Q520" t="n">
        <v>0</v>
      </c>
      <c r="R520" s="2" t="inlineStr"/>
    </row>
    <row r="521" ht="15" customHeight="1">
      <c r="A521" t="inlineStr">
        <is>
          <t>A 67921-2021</t>
        </is>
      </c>
      <c r="B521" s="1" t="n">
        <v>44525</v>
      </c>
      <c r="C521" s="1" t="n">
        <v>46173</v>
      </c>
      <c r="D521" t="inlineStr">
        <is>
          <t>STOCKHOLMS LÄN</t>
        </is>
      </c>
      <c r="E521" t="inlineStr">
        <is>
          <t>NORRTÄLJE</t>
        </is>
      </c>
      <c r="G521" t="n">
        <v>6.3</v>
      </c>
      <c r="H521" t="n">
        <v>0</v>
      </c>
      <c r="I521" t="n">
        <v>0</v>
      </c>
      <c r="J521" t="n">
        <v>0</v>
      </c>
      <c r="K521" t="n">
        <v>0</v>
      </c>
      <c r="L521" t="n">
        <v>0</v>
      </c>
      <c r="M521" t="n">
        <v>0</v>
      </c>
      <c r="N521" t="n">
        <v>0</v>
      </c>
      <c r="O521" t="n">
        <v>0</v>
      </c>
      <c r="P521" t="n">
        <v>0</v>
      </c>
      <c r="Q521" t="n">
        <v>0</v>
      </c>
      <c r="R521" s="2" t="inlineStr"/>
    </row>
    <row r="522" ht="15" customHeight="1">
      <c r="A522" t="inlineStr">
        <is>
          <t>A 17556-2025</t>
        </is>
      </c>
      <c r="B522" s="1" t="n">
        <v>45757.62482638889</v>
      </c>
      <c r="C522" s="1" t="n">
        <v>46173</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25681-2024</t>
        </is>
      </c>
      <c r="B523" s="1" t="n">
        <v>45463.80486111111</v>
      </c>
      <c r="C523" s="1" t="n">
        <v>46173</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35639-2025</t>
        </is>
      </c>
      <c r="B524" s="1" t="n">
        <v>45859</v>
      </c>
      <c r="C524" s="1" t="n">
        <v>46173</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42094-2023</t>
        </is>
      </c>
      <c r="B525" s="1" t="n">
        <v>45177.61498842593</v>
      </c>
      <c r="C525" s="1" t="n">
        <v>46173</v>
      </c>
      <c r="D525" t="inlineStr">
        <is>
          <t>STOCKHOLMS LÄN</t>
        </is>
      </c>
      <c r="E525" t="inlineStr">
        <is>
          <t>NORRTÄLJE</t>
        </is>
      </c>
      <c r="G525" t="n">
        <v>0.3</v>
      </c>
      <c r="H525" t="n">
        <v>0</v>
      </c>
      <c r="I525" t="n">
        <v>0</v>
      </c>
      <c r="J525" t="n">
        <v>0</v>
      </c>
      <c r="K525" t="n">
        <v>0</v>
      </c>
      <c r="L525" t="n">
        <v>0</v>
      </c>
      <c r="M525" t="n">
        <v>0</v>
      </c>
      <c r="N525" t="n">
        <v>0</v>
      </c>
      <c r="O525" t="n">
        <v>0</v>
      </c>
      <c r="P525" t="n">
        <v>0</v>
      </c>
      <c r="Q525" t="n">
        <v>0</v>
      </c>
      <c r="R525" s="2" t="inlineStr"/>
    </row>
    <row r="526" ht="15" customHeight="1">
      <c r="A526" t="inlineStr">
        <is>
          <t>A 58853-2024</t>
        </is>
      </c>
      <c r="B526" s="1" t="n">
        <v>45636.38974537037</v>
      </c>
      <c r="C526" s="1" t="n">
        <v>46173</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35438-2023</t>
        </is>
      </c>
      <c r="B527" s="1" t="n">
        <v>45146</v>
      </c>
      <c r="C527" s="1" t="n">
        <v>46173</v>
      </c>
      <c r="D527" t="inlineStr">
        <is>
          <t>STOCKHOLMS LÄN</t>
        </is>
      </c>
      <c r="E527" t="inlineStr">
        <is>
          <t>NORRTÄLJE</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35636-2025</t>
        </is>
      </c>
      <c r="B528" s="1" t="n">
        <v>45859</v>
      </c>
      <c r="C528" s="1" t="n">
        <v>46173</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20291-2022</t>
        </is>
      </c>
      <c r="B529" s="1" t="n">
        <v>44698</v>
      </c>
      <c r="C529" s="1" t="n">
        <v>46173</v>
      </c>
      <c r="D529" t="inlineStr">
        <is>
          <t>STOCKHOLMS LÄN</t>
        </is>
      </c>
      <c r="E529" t="inlineStr">
        <is>
          <t>NORRTÄLJE</t>
        </is>
      </c>
      <c r="F529" t="inlineStr">
        <is>
          <t>Naturvårdsverket</t>
        </is>
      </c>
      <c r="G529" t="n">
        <v>2</v>
      </c>
      <c r="H529" t="n">
        <v>0</v>
      </c>
      <c r="I529" t="n">
        <v>0</v>
      </c>
      <c r="J529" t="n">
        <v>0</v>
      </c>
      <c r="K529" t="n">
        <v>0</v>
      </c>
      <c r="L529" t="n">
        <v>0</v>
      </c>
      <c r="M529" t="n">
        <v>0</v>
      </c>
      <c r="N529" t="n">
        <v>0</v>
      </c>
      <c r="O529" t="n">
        <v>0</v>
      </c>
      <c r="P529" t="n">
        <v>0</v>
      </c>
      <c r="Q529" t="n">
        <v>0</v>
      </c>
      <c r="R529" s="2" t="inlineStr"/>
    </row>
    <row r="530" ht="15" customHeight="1">
      <c r="A530" t="inlineStr">
        <is>
          <t>A 26115-2024</t>
        </is>
      </c>
      <c r="B530" s="1" t="n">
        <v>45468.45628472222</v>
      </c>
      <c r="C530" s="1" t="n">
        <v>46173</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8370-2025</t>
        </is>
      </c>
      <c r="B531" s="1" t="n">
        <v>45708</v>
      </c>
      <c r="C531" s="1" t="n">
        <v>46173</v>
      </c>
      <c r="D531" t="inlineStr">
        <is>
          <t>STOCKHOLMS LÄN</t>
        </is>
      </c>
      <c r="E531" t="inlineStr">
        <is>
          <t>NORRTÄLJE</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3299-2022</t>
        </is>
      </c>
      <c r="B532" s="1" t="n">
        <v>44584.91001157407</v>
      </c>
      <c r="C532" s="1" t="n">
        <v>46173</v>
      </c>
      <c r="D532" t="inlineStr">
        <is>
          <t>STOCKHOLMS LÄN</t>
        </is>
      </c>
      <c r="E532" t="inlineStr">
        <is>
          <t>NORRTÄLJE</t>
        </is>
      </c>
      <c r="G532" t="n">
        <v>2.7</v>
      </c>
      <c r="H532" t="n">
        <v>0</v>
      </c>
      <c r="I532" t="n">
        <v>0</v>
      </c>
      <c r="J532" t="n">
        <v>0</v>
      </c>
      <c r="K532" t="n">
        <v>0</v>
      </c>
      <c r="L532" t="n">
        <v>0</v>
      </c>
      <c r="M532" t="n">
        <v>0</v>
      </c>
      <c r="N532" t="n">
        <v>0</v>
      </c>
      <c r="O532" t="n">
        <v>0</v>
      </c>
      <c r="P532" t="n">
        <v>0</v>
      </c>
      <c r="Q532" t="n">
        <v>0</v>
      </c>
      <c r="R532" s="2" t="inlineStr"/>
    </row>
    <row r="533" ht="15" customHeight="1">
      <c r="A533" t="inlineStr">
        <is>
          <t>A 40172-2025</t>
        </is>
      </c>
      <c r="B533" s="1" t="n">
        <v>45894.6353125</v>
      </c>
      <c r="C533" s="1" t="n">
        <v>46173</v>
      </c>
      <c r="D533" t="inlineStr">
        <is>
          <t>STOCKHOLMS LÄN</t>
        </is>
      </c>
      <c r="E533" t="inlineStr">
        <is>
          <t>NORRTÄLJE</t>
        </is>
      </c>
      <c r="G533" t="n">
        <v>6</v>
      </c>
      <c r="H533" t="n">
        <v>0</v>
      </c>
      <c r="I533" t="n">
        <v>0</v>
      </c>
      <c r="J533" t="n">
        <v>0</v>
      </c>
      <c r="K533" t="n">
        <v>0</v>
      </c>
      <c r="L533" t="n">
        <v>0</v>
      </c>
      <c r="M533" t="n">
        <v>0</v>
      </c>
      <c r="N533" t="n">
        <v>0</v>
      </c>
      <c r="O533" t="n">
        <v>0</v>
      </c>
      <c r="P533" t="n">
        <v>0</v>
      </c>
      <c r="Q533" t="n">
        <v>0</v>
      </c>
      <c r="R533" s="2" t="inlineStr"/>
    </row>
    <row r="534" ht="15" customHeight="1">
      <c r="A534" t="inlineStr">
        <is>
          <t>A 40033-2025</t>
        </is>
      </c>
      <c r="B534" s="1" t="n">
        <v>45893</v>
      </c>
      <c r="C534" s="1" t="n">
        <v>46173</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40032-2025</t>
        </is>
      </c>
      <c r="B535" s="1" t="n">
        <v>45893</v>
      </c>
      <c r="C535" s="1" t="n">
        <v>46173</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40292-2025</t>
        </is>
      </c>
      <c r="B536" s="1" t="n">
        <v>45895.3867824074</v>
      </c>
      <c r="C536" s="1" t="n">
        <v>46173</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40294-2025</t>
        </is>
      </c>
      <c r="B537" s="1" t="n">
        <v>45895.38778935185</v>
      </c>
      <c r="C537" s="1" t="n">
        <v>46173</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12348-2025</t>
        </is>
      </c>
      <c r="B538" s="1" t="n">
        <v>45730.35026620371</v>
      </c>
      <c r="C538" s="1" t="n">
        <v>46173</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40228-2025</t>
        </is>
      </c>
      <c r="B539" s="1" t="n">
        <v>45894.70854166667</v>
      </c>
      <c r="C539" s="1" t="n">
        <v>46173</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17545-2025</t>
        </is>
      </c>
      <c r="B540" s="1" t="n">
        <v>45757.60658564815</v>
      </c>
      <c r="C540" s="1" t="n">
        <v>46173</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19118-2022</t>
        </is>
      </c>
      <c r="B541" s="1" t="n">
        <v>44691.5652662037</v>
      </c>
      <c r="C541" s="1" t="n">
        <v>46173</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25094-2023</t>
        </is>
      </c>
      <c r="B542" s="1" t="n">
        <v>45086.3629050926</v>
      </c>
      <c r="C542" s="1" t="n">
        <v>46173</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36157-2024</t>
        </is>
      </c>
      <c r="B543" s="1" t="n">
        <v>45534.38240740741</v>
      </c>
      <c r="C543" s="1" t="n">
        <v>46173</v>
      </c>
      <c r="D543" t="inlineStr">
        <is>
          <t>STOCKHOLMS LÄN</t>
        </is>
      </c>
      <c r="E543" t="inlineStr">
        <is>
          <t>NORRTÄLJE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40230-2025</t>
        </is>
      </c>
      <c r="B544" s="1" t="n">
        <v>45894.71101851852</v>
      </c>
      <c r="C544" s="1" t="n">
        <v>46173</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47694-2023</t>
        </is>
      </c>
      <c r="B545" s="1" t="n">
        <v>45203.63303240741</v>
      </c>
      <c r="C545" s="1" t="n">
        <v>46173</v>
      </c>
      <c r="D545" t="inlineStr">
        <is>
          <t>STOCKHOLMS LÄN</t>
        </is>
      </c>
      <c r="E545" t="inlineStr">
        <is>
          <t>NORRTÄLJE</t>
        </is>
      </c>
      <c r="G545" t="n">
        <v>5.2</v>
      </c>
      <c r="H545" t="n">
        <v>0</v>
      </c>
      <c r="I545" t="n">
        <v>0</v>
      </c>
      <c r="J545" t="n">
        <v>0</v>
      </c>
      <c r="K545" t="n">
        <v>0</v>
      </c>
      <c r="L545" t="n">
        <v>0</v>
      </c>
      <c r="M545" t="n">
        <v>0</v>
      </c>
      <c r="N545" t="n">
        <v>0</v>
      </c>
      <c r="O545" t="n">
        <v>0</v>
      </c>
      <c r="P545" t="n">
        <v>0</v>
      </c>
      <c r="Q545" t="n">
        <v>0</v>
      </c>
      <c r="R545" s="2" t="inlineStr"/>
    </row>
    <row r="546" ht="15" customHeight="1">
      <c r="A546" t="inlineStr">
        <is>
          <t>A 35532-2024</t>
        </is>
      </c>
      <c r="B546" s="1" t="n">
        <v>45531</v>
      </c>
      <c r="C546" s="1" t="n">
        <v>46173</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40217-2025</t>
        </is>
      </c>
      <c r="B547" s="1" t="n">
        <v>45894.68864583333</v>
      </c>
      <c r="C547" s="1" t="n">
        <v>46173</v>
      </c>
      <c r="D547" t="inlineStr">
        <is>
          <t>STOCKHOLMS LÄN</t>
        </is>
      </c>
      <c r="E547" t="inlineStr">
        <is>
          <t>NORRTÄLJE</t>
        </is>
      </c>
      <c r="G547" t="n">
        <v>0.8</v>
      </c>
      <c r="H547" t="n">
        <v>0</v>
      </c>
      <c r="I547" t="n">
        <v>0</v>
      </c>
      <c r="J547" t="n">
        <v>0</v>
      </c>
      <c r="K547" t="n">
        <v>0</v>
      </c>
      <c r="L547" t="n">
        <v>0</v>
      </c>
      <c r="M547" t="n">
        <v>0</v>
      </c>
      <c r="N547" t="n">
        <v>0</v>
      </c>
      <c r="O547" t="n">
        <v>0</v>
      </c>
      <c r="P547" t="n">
        <v>0</v>
      </c>
      <c r="Q547" t="n">
        <v>0</v>
      </c>
      <c r="R547" s="2" t="inlineStr"/>
    </row>
    <row r="548" ht="15" customHeight="1">
      <c r="A548" t="inlineStr">
        <is>
          <t>A 8739-2024</t>
        </is>
      </c>
      <c r="B548" s="1" t="n">
        <v>45356.47784722222</v>
      </c>
      <c r="C548" s="1" t="n">
        <v>46173</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1654-2025</t>
        </is>
      </c>
      <c r="B549" s="1" t="n">
        <v>45670.65921296296</v>
      </c>
      <c r="C549" s="1" t="n">
        <v>46173</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38759-2022</t>
        </is>
      </c>
      <c r="B550" s="1" t="n">
        <v>44816</v>
      </c>
      <c r="C550" s="1" t="n">
        <v>46173</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62644-2023</t>
        </is>
      </c>
      <c r="B551" s="1" t="n">
        <v>45271</v>
      </c>
      <c r="C551" s="1" t="n">
        <v>46173</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40097-2025</t>
        </is>
      </c>
      <c r="B552" s="1" t="n">
        <v>45894.48322916667</v>
      </c>
      <c r="C552" s="1" t="n">
        <v>46173</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40829-2025</t>
        </is>
      </c>
      <c r="B553" s="1" t="n">
        <v>45897.50802083333</v>
      </c>
      <c r="C553" s="1" t="n">
        <v>46173</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46173</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40837-2025</t>
        </is>
      </c>
      <c r="B555" s="1" t="n">
        <v>45897.51328703704</v>
      </c>
      <c r="C555" s="1" t="n">
        <v>46173</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29714-2023</t>
        </is>
      </c>
      <c r="B556" s="1" t="n">
        <v>45107.42538194444</v>
      </c>
      <c r="C556" s="1" t="n">
        <v>46173</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23271-2023</t>
        </is>
      </c>
      <c r="B557" s="1" t="n">
        <v>45075.91362268518</v>
      </c>
      <c r="C557" s="1" t="n">
        <v>46173</v>
      </c>
      <c r="D557" t="inlineStr">
        <is>
          <t>STOCKHOLMS LÄN</t>
        </is>
      </c>
      <c r="E557" t="inlineStr">
        <is>
          <t>NORRTÄLJE</t>
        </is>
      </c>
      <c r="G557" t="n">
        <v>5.1</v>
      </c>
      <c r="H557" t="n">
        <v>0</v>
      </c>
      <c r="I557" t="n">
        <v>0</v>
      </c>
      <c r="J557" t="n">
        <v>0</v>
      </c>
      <c r="K557" t="n">
        <v>0</v>
      </c>
      <c r="L557" t="n">
        <v>0</v>
      </c>
      <c r="M557" t="n">
        <v>0</v>
      </c>
      <c r="N557" t="n">
        <v>0</v>
      </c>
      <c r="O557" t="n">
        <v>0</v>
      </c>
      <c r="P557" t="n">
        <v>0</v>
      </c>
      <c r="Q557" t="n">
        <v>0</v>
      </c>
      <c r="R557" s="2" t="inlineStr"/>
    </row>
    <row r="558" ht="15" customHeight="1">
      <c r="A558" t="inlineStr">
        <is>
          <t>A 23273-2023</t>
        </is>
      </c>
      <c r="B558" s="1" t="n">
        <v>45075.91971064815</v>
      </c>
      <c r="C558" s="1" t="n">
        <v>46173</v>
      </c>
      <c r="D558" t="inlineStr">
        <is>
          <t>STOCKHOLMS LÄN</t>
        </is>
      </c>
      <c r="E558" t="inlineStr">
        <is>
          <t>NORRTÄLJE</t>
        </is>
      </c>
      <c r="G558" t="n">
        <v>7.5</v>
      </c>
      <c r="H558" t="n">
        <v>0</v>
      </c>
      <c r="I558" t="n">
        <v>0</v>
      </c>
      <c r="J558" t="n">
        <v>0</v>
      </c>
      <c r="K558" t="n">
        <v>0</v>
      </c>
      <c r="L558" t="n">
        <v>0</v>
      </c>
      <c r="M558" t="n">
        <v>0</v>
      </c>
      <c r="N558" t="n">
        <v>0</v>
      </c>
      <c r="O558" t="n">
        <v>0</v>
      </c>
      <c r="P558" t="n">
        <v>0</v>
      </c>
      <c r="Q558" t="n">
        <v>0</v>
      </c>
      <c r="R558" s="2" t="inlineStr"/>
    </row>
    <row r="559" ht="15" customHeight="1">
      <c r="A559" t="inlineStr">
        <is>
          <t>A 11229-2022</t>
        </is>
      </c>
      <c r="B559" s="1" t="n">
        <v>44629</v>
      </c>
      <c r="C559" s="1" t="n">
        <v>46173</v>
      </c>
      <c r="D559" t="inlineStr">
        <is>
          <t>STOCKHOLMS LÄN</t>
        </is>
      </c>
      <c r="E559" t="inlineStr">
        <is>
          <t>NORRTÄLJE</t>
        </is>
      </c>
      <c r="F559" t="inlineStr">
        <is>
          <t>Övriga Aktiebolag</t>
        </is>
      </c>
      <c r="G559" t="n">
        <v>4.1</v>
      </c>
      <c r="H559" t="n">
        <v>0</v>
      </c>
      <c r="I559" t="n">
        <v>0</v>
      </c>
      <c r="J559" t="n">
        <v>0</v>
      </c>
      <c r="K559" t="n">
        <v>0</v>
      </c>
      <c r="L559" t="n">
        <v>0</v>
      </c>
      <c r="M559" t="n">
        <v>0</v>
      </c>
      <c r="N559" t="n">
        <v>0</v>
      </c>
      <c r="O559" t="n">
        <v>0</v>
      </c>
      <c r="P559" t="n">
        <v>0</v>
      </c>
      <c r="Q559" t="n">
        <v>0</v>
      </c>
      <c r="R559" s="2" t="inlineStr"/>
    </row>
    <row r="560" ht="15" customHeight="1">
      <c r="A560" t="inlineStr">
        <is>
          <t>A 40529-2025</t>
        </is>
      </c>
      <c r="B560" s="1" t="n">
        <v>45896.38466435186</v>
      </c>
      <c r="C560" s="1" t="n">
        <v>46173</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40831-2025</t>
        </is>
      </c>
      <c r="B561" s="1" t="n">
        <v>45897.51077546296</v>
      </c>
      <c r="C561" s="1" t="n">
        <v>46173</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57353-2024</t>
        </is>
      </c>
      <c r="B562" s="1" t="n">
        <v>45629.65143518519</v>
      </c>
      <c r="C562" s="1" t="n">
        <v>46173</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48587-2023</t>
        </is>
      </c>
      <c r="B563" s="1" t="n">
        <v>45208</v>
      </c>
      <c r="C563" s="1" t="n">
        <v>46173</v>
      </c>
      <c r="D563" t="inlineStr">
        <is>
          <t>STOCKHOLMS LÄN</t>
        </is>
      </c>
      <c r="E563" t="inlineStr">
        <is>
          <t>NORRTÄLJE</t>
        </is>
      </c>
      <c r="G563" t="n">
        <v>7</v>
      </c>
      <c r="H563" t="n">
        <v>0</v>
      </c>
      <c r="I563" t="n">
        <v>0</v>
      </c>
      <c r="J563" t="n">
        <v>0</v>
      </c>
      <c r="K563" t="n">
        <v>0</v>
      </c>
      <c r="L563" t="n">
        <v>0</v>
      </c>
      <c r="M563" t="n">
        <v>0</v>
      </c>
      <c r="N563" t="n">
        <v>0</v>
      </c>
      <c r="O563" t="n">
        <v>0</v>
      </c>
      <c r="P563" t="n">
        <v>0</v>
      </c>
      <c r="Q563" t="n">
        <v>0</v>
      </c>
      <c r="R563" s="2" t="inlineStr"/>
    </row>
    <row r="564" ht="15" customHeight="1">
      <c r="A564" t="inlineStr">
        <is>
          <t>A 2549-2022</t>
        </is>
      </c>
      <c r="B564" s="1" t="n">
        <v>44580</v>
      </c>
      <c r="C564" s="1" t="n">
        <v>46173</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41158-2025</t>
        </is>
      </c>
      <c r="B565" s="1" t="n">
        <v>45898.5315625</v>
      </c>
      <c r="C565" s="1" t="n">
        <v>46173</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4438-2023</t>
        </is>
      </c>
      <c r="B566" s="1" t="n">
        <v>44956</v>
      </c>
      <c r="C566" s="1" t="n">
        <v>46173</v>
      </c>
      <c r="D566" t="inlineStr">
        <is>
          <t>STOCKHOLMS LÄN</t>
        </is>
      </c>
      <c r="E566" t="inlineStr">
        <is>
          <t>NORRTÄLJE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15733-2025</t>
        </is>
      </c>
      <c r="B567" s="1" t="n">
        <v>45748</v>
      </c>
      <c r="C567" s="1" t="n">
        <v>46173</v>
      </c>
      <c r="D567" t="inlineStr">
        <is>
          <t>STOCKHOLMS LÄN</t>
        </is>
      </c>
      <c r="E567" t="inlineStr">
        <is>
          <t>NORRTÄLJE</t>
        </is>
      </c>
      <c r="G567" t="n">
        <v>13.3</v>
      </c>
      <c r="H567" t="n">
        <v>0</v>
      </c>
      <c r="I567" t="n">
        <v>0</v>
      </c>
      <c r="J567" t="n">
        <v>0</v>
      </c>
      <c r="K567" t="n">
        <v>0</v>
      </c>
      <c r="L567" t="n">
        <v>0</v>
      </c>
      <c r="M567" t="n">
        <v>0</v>
      </c>
      <c r="N567" t="n">
        <v>0</v>
      </c>
      <c r="O567" t="n">
        <v>0</v>
      </c>
      <c r="P567" t="n">
        <v>0</v>
      </c>
      <c r="Q567" t="n">
        <v>0</v>
      </c>
      <c r="R567" s="2" t="inlineStr"/>
    </row>
    <row r="568" ht="15" customHeight="1">
      <c r="A568" t="inlineStr">
        <is>
          <t>A 47758-2023</t>
        </is>
      </c>
      <c r="B568" s="1" t="n">
        <v>45203.83891203703</v>
      </c>
      <c r="C568" s="1" t="n">
        <v>46173</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19058-2024</t>
        </is>
      </c>
      <c r="B569" s="1" t="n">
        <v>45427.89121527778</v>
      </c>
      <c r="C569" s="1" t="n">
        <v>46173</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41053-2025</t>
        </is>
      </c>
      <c r="B570" s="1" t="n">
        <v>45898.40480324074</v>
      </c>
      <c r="C570" s="1" t="n">
        <v>46173</v>
      </c>
      <c r="D570" t="inlineStr">
        <is>
          <t>STOCKHOLMS LÄN</t>
        </is>
      </c>
      <c r="E570" t="inlineStr">
        <is>
          <t>NORRTÄLJE</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41275-2025</t>
        </is>
      </c>
      <c r="B571" s="1" t="n">
        <v>45898.62625</v>
      </c>
      <c r="C571" s="1" t="n">
        <v>46173</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41272-2025</t>
        </is>
      </c>
      <c r="B572" s="1" t="n">
        <v>45898.62373842593</v>
      </c>
      <c r="C572" s="1" t="n">
        <v>46173</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7603-2025</t>
        </is>
      </c>
      <c r="B573" s="1" t="n">
        <v>45705.66126157407</v>
      </c>
      <c r="C573" s="1" t="n">
        <v>46173</v>
      </c>
      <c r="D573" t="inlineStr">
        <is>
          <t>STOCKHOLMS LÄN</t>
        </is>
      </c>
      <c r="E573" t="inlineStr">
        <is>
          <t>NORRTÄLJE</t>
        </is>
      </c>
      <c r="F573" t="inlineStr">
        <is>
          <t>Holmen skog AB</t>
        </is>
      </c>
      <c r="G573" t="n">
        <v>2.4</v>
      </c>
      <c r="H573" t="n">
        <v>0</v>
      </c>
      <c r="I573" t="n">
        <v>0</v>
      </c>
      <c r="J573" t="n">
        <v>0</v>
      </c>
      <c r="K573" t="n">
        <v>0</v>
      </c>
      <c r="L573" t="n">
        <v>0</v>
      </c>
      <c r="M573" t="n">
        <v>0</v>
      </c>
      <c r="N573" t="n">
        <v>0</v>
      </c>
      <c r="O573" t="n">
        <v>0</v>
      </c>
      <c r="P573" t="n">
        <v>0</v>
      </c>
      <c r="Q573" t="n">
        <v>0</v>
      </c>
      <c r="R573" s="2" t="inlineStr"/>
    </row>
    <row r="574" ht="15" customHeight="1">
      <c r="A574" t="inlineStr">
        <is>
          <t>A 41301-2025</t>
        </is>
      </c>
      <c r="B574" s="1" t="n">
        <v>45898.68826388889</v>
      </c>
      <c r="C574" s="1" t="n">
        <v>46173</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51061-2023</t>
        </is>
      </c>
      <c r="B575" s="1" t="n">
        <v>45218.65849537037</v>
      </c>
      <c r="C575" s="1" t="n">
        <v>46173</v>
      </c>
      <c r="D575" t="inlineStr">
        <is>
          <t>STOCKHOLMS LÄN</t>
        </is>
      </c>
      <c r="E575" t="inlineStr">
        <is>
          <t>NORRTÄLJE</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22697-2022</t>
        </is>
      </c>
      <c r="B576" s="1" t="n">
        <v>44714.56040509259</v>
      </c>
      <c r="C576" s="1" t="n">
        <v>46173</v>
      </c>
      <c r="D576" t="inlineStr">
        <is>
          <t>STOCKHOLMS LÄN</t>
        </is>
      </c>
      <c r="E576" t="inlineStr">
        <is>
          <t>NORRTÄLJE</t>
        </is>
      </c>
      <c r="G576" t="n">
        <v>5.6</v>
      </c>
      <c r="H576" t="n">
        <v>0</v>
      </c>
      <c r="I576" t="n">
        <v>0</v>
      </c>
      <c r="J576" t="n">
        <v>0</v>
      </c>
      <c r="K576" t="n">
        <v>0</v>
      </c>
      <c r="L576" t="n">
        <v>0</v>
      </c>
      <c r="M576" t="n">
        <v>0</v>
      </c>
      <c r="N576" t="n">
        <v>0</v>
      </c>
      <c r="O576" t="n">
        <v>0</v>
      </c>
      <c r="P576" t="n">
        <v>0</v>
      </c>
      <c r="Q576" t="n">
        <v>0</v>
      </c>
      <c r="R576" s="2" t="inlineStr"/>
    </row>
    <row r="577" ht="15" customHeight="1">
      <c r="A577" t="inlineStr">
        <is>
          <t>A 30802-2022</t>
        </is>
      </c>
      <c r="B577" s="1" t="n">
        <v>44764</v>
      </c>
      <c r="C577" s="1" t="n">
        <v>46173</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41174-2025</t>
        </is>
      </c>
      <c r="B578" s="1" t="n">
        <v>45898.54921296296</v>
      </c>
      <c r="C578" s="1" t="n">
        <v>46173</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45549-2022</t>
        </is>
      </c>
      <c r="B579" s="1" t="n">
        <v>44845.48064814815</v>
      </c>
      <c r="C579" s="1" t="n">
        <v>46173</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54396-2021</t>
        </is>
      </c>
      <c r="B580" s="1" t="n">
        <v>44472</v>
      </c>
      <c r="C580" s="1" t="n">
        <v>46173</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41030-2025</t>
        </is>
      </c>
      <c r="B581" s="1" t="n">
        <v>45898.37636574074</v>
      </c>
      <c r="C581" s="1" t="n">
        <v>46173</v>
      </c>
      <c r="D581" t="inlineStr">
        <is>
          <t>STOCKHOLMS LÄN</t>
        </is>
      </c>
      <c r="E581" t="inlineStr">
        <is>
          <t>NORRTÄLJE</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24727-2023</t>
        </is>
      </c>
      <c r="B582" s="1" t="n">
        <v>45084.57695601852</v>
      </c>
      <c r="C582" s="1" t="n">
        <v>46173</v>
      </c>
      <c r="D582" t="inlineStr">
        <is>
          <t>STOCKHOLMS LÄN</t>
        </is>
      </c>
      <c r="E582" t="inlineStr">
        <is>
          <t>NORRTÄLJE</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55369-2023</t>
        </is>
      </c>
      <c r="B583" s="1" t="n">
        <v>45238</v>
      </c>
      <c r="C583" s="1" t="n">
        <v>46173</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41036-2025</t>
        </is>
      </c>
      <c r="B584" s="1" t="n">
        <v>45898.38552083333</v>
      </c>
      <c r="C584" s="1" t="n">
        <v>46173</v>
      </c>
      <c r="D584" t="inlineStr">
        <is>
          <t>STOCKHOLMS LÄN</t>
        </is>
      </c>
      <c r="E584" t="inlineStr">
        <is>
          <t>NORRTÄLJE</t>
        </is>
      </c>
      <c r="F584" t="inlineStr">
        <is>
          <t>Holmen skog AB</t>
        </is>
      </c>
      <c r="G584" t="n">
        <v>2.7</v>
      </c>
      <c r="H584" t="n">
        <v>0</v>
      </c>
      <c r="I584" t="n">
        <v>0</v>
      </c>
      <c r="J584" t="n">
        <v>0</v>
      </c>
      <c r="K584" t="n">
        <v>0</v>
      </c>
      <c r="L584" t="n">
        <v>0</v>
      </c>
      <c r="M584" t="n">
        <v>0</v>
      </c>
      <c r="N584" t="n">
        <v>0</v>
      </c>
      <c r="O584" t="n">
        <v>0</v>
      </c>
      <c r="P584" t="n">
        <v>0</v>
      </c>
      <c r="Q584" t="n">
        <v>0</v>
      </c>
      <c r="R584" s="2" t="inlineStr"/>
    </row>
    <row r="585" ht="15" customHeight="1">
      <c r="A585" t="inlineStr">
        <is>
          <t>A 7571-2024</t>
        </is>
      </c>
      <c r="B585" s="1" t="n">
        <v>45348.46300925926</v>
      </c>
      <c r="C585" s="1" t="n">
        <v>46173</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41106-2025</t>
        </is>
      </c>
      <c r="B586" s="1" t="n">
        <v>45898.45636574074</v>
      </c>
      <c r="C586" s="1" t="n">
        <v>46173</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41110-2025</t>
        </is>
      </c>
      <c r="B587" s="1" t="n">
        <v>45898.45976851852</v>
      </c>
      <c r="C587" s="1" t="n">
        <v>46173</v>
      </c>
      <c r="D587" t="inlineStr">
        <is>
          <t>STOCKHOLMS LÄN</t>
        </is>
      </c>
      <c r="E587" t="inlineStr">
        <is>
          <t>NORRTÄLJE</t>
        </is>
      </c>
      <c r="F587" t="inlineStr">
        <is>
          <t>Holmen skog AB</t>
        </is>
      </c>
      <c r="G587" t="n">
        <v>6.7</v>
      </c>
      <c r="H587" t="n">
        <v>0</v>
      </c>
      <c r="I587" t="n">
        <v>0</v>
      </c>
      <c r="J587" t="n">
        <v>0</v>
      </c>
      <c r="K587" t="n">
        <v>0</v>
      </c>
      <c r="L587" t="n">
        <v>0</v>
      </c>
      <c r="M587" t="n">
        <v>0</v>
      </c>
      <c r="N587" t="n">
        <v>0</v>
      </c>
      <c r="O587" t="n">
        <v>0</v>
      </c>
      <c r="P587" t="n">
        <v>0</v>
      </c>
      <c r="Q587" t="n">
        <v>0</v>
      </c>
      <c r="R587" s="2" t="inlineStr"/>
    </row>
    <row r="588" ht="15" customHeight="1">
      <c r="A588" t="inlineStr">
        <is>
          <t>A 48722-2023</t>
        </is>
      </c>
      <c r="B588" s="1" t="n">
        <v>45208.70996527778</v>
      </c>
      <c r="C588" s="1" t="n">
        <v>46173</v>
      </c>
      <c r="D588" t="inlineStr">
        <is>
          <t>STOCKHOLMS LÄN</t>
        </is>
      </c>
      <c r="E588" t="inlineStr">
        <is>
          <t>NORRTÄLJE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41259-2025</t>
        </is>
      </c>
      <c r="B589" s="1" t="n">
        <v>45898.61054398148</v>
      </c>
      <c r="C589" s="1" t="n">
        <v>46173</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35235-2024</t>
        </is>
      </c>
      <c r="B590" s="1" t="n">
        <v>45530</v>
      </c>
      <c r="C590" s="1" t="n">
        <v>46173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61113-2023</t>
        </is>
      </c>
      <c r="B591" s="1" t="n">
        <v>45261</v>
      </c>
      <c r="C591" s="1" t="n">
        <v>46173</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3283-2025</t>
        </is>
      </c>
      <c r="B592" s="1" t="n">
        <v>45679</v>
      </c>
      <c r="C592" s="1" t="n">
        <v>46173</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10511-2025</t>
        </is>
      </c>
      <c r="B593" s="1" t="n">
        <v>45721.40780092592</v>
      </c>
      <c r="C593" s="1" t="n">
        <v>46173</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11849-2025</t>
        </is>
      </c>
      <c r="B594" s="1" t="n">
        <v>45728.38409722222</v>
      </c>
      <c r="C594" s="1" t="n">
        <v>46173</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1448-2023</t>
        </is>
      </c>
      <c r="B595" s="1" t="n">
        <v>44937</v>
      </c>
      <c r="C595" s="1" t="n">
        <v>46173</v>
      </c>
      <c r="D595" t="inlineStr">
        <is>
          <t>STOCKHOLMS LÄN</t>
        </is>
      </c>
      <c r="E595" t="inlineStr">
        <is>
          <t>NORRTÄLJE</t>
        </is>
      </c>
      <c r="G595" t="n">
        <v>1.9</v>
      </c>
      <c r="H595" t="n">
        <v>0</v>
      </c>
      <c r="I595" t="n">
        <v>0</v>
      </c>
      <c r="J595" t="n">
        <v>0</v>
      </c>
      <c r="K595" t="n">
        <v>0</v>
      </c>
      <c r="L595" t="n">
        <v>0</v>
      </c>
      <c r="M595" t="n">
        <v>0</v>
      </c>
      <c r="N595" t="n">
        <v>0</v>
      </c>
      <c r="O595" t="n">
        <v>0</v>
      </c>
      <c r="P595" t="n">
        <v>0</v>
      </c>
      <c r="Q595" t="n">
        <v>0</v>
      </c>
      <c r="R595" s="2" t="inlineStr"/>
    </row>
    <row r="596" ht="15" customHeight="1">
      <c r="A596" t="inlineStr">
        <is>
          <t>A 19057-2024</t>
        </is>
      </c>
      <c r="B596" s="1" t="n">
        <v>45427.88731481481</v>
      </c>
      <c r="C596" s="1" t="n">
        <v>46173</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34295-2024</t>
        </is>
      </c>
      <c r="B597" s="1" t="n">
        <v>45524</v>
      </c>
      <c r="C597" s="1" t="n">
        <v>46173</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8736-2024</t>
        </is>
      </c>
      <c r="B598" s="1" t="n">
        <v>45356.4722800926</v>
      </c>
      <c r="C598" s="1" t="n">
        <v>46173</v>
      </c>
      <c r="D598" t="inlineStr">
        <is>
          <t>STOCKHOLMS LÄN</t>
        </is>
      </c>
      <c r="E598" t="inlineStr">
        <is>
          <t>NORRTÄLJE</t>
        </is>
      </c>
      <c r="G598" t="n">
        <v>8.9</v>
      </c>
      <c r="H598" t="n">
        <v>0</v>
      </c>
      <c r="I598" t="n">
        <v>0</v>
      </c>
      <c r="J598" t="n">
        <v>0</v>
      </c>
      <c r="K598" t="n">
        <v>0</v>
      </c>
      <c r="L598" t="n">
        <v>0</v>
      </c>
      <c r="M598" t="n">
        <v>0</v>
      </c>
      <c r="N598" t="n">
        <v>0</v>
      </c>
      <c r="O598" t="n">
        <v>0</v>
      </c>
      <c r="P598" t="n">
        <v>0</v>
      </c>
      <c r="Q598" t="n">
        <v>0</v>
      </c>
      <c r="R598" s="2" t="inlineStr"/>
    </row>
    <row r="599" ht="15" customHeight="1">
      <c r="A599" t="inlineStr">
        <is>
          <t>A 58311-2023</t>
        </is>
      </c>
      <c r="B599" s="1" t="n">
        <v>45245</v>
      </c>
      <c r="C599" s="1" t="n">
        <v>46173</v>
      </c>
      <c r="D599" t="inlineStr">
        <is>
          <t>STOCKHOLMS LÄN</t>
        </is>
      </c>
      <c r="E599" t="inlineStr">
        <is>
          <t>NORRTÄLJE</t>
        </is>
      </c>
      <c r="G599" t="n">
        <v>2.3</v>
      </c>
      <c r="H599" t="n">
        <v>0</v>
      </c>
      <c r="I599" t="n">
        <v>0</v>
      </c>
      <c r="J599" t="n">
        <v>0</v>
      </c>
      <c r="K599" t="n">
        <v>0</v>
      </c>
      <c r="L599" t="n">
        <v>0</v>
      </c>
      <c r="M599" t="n">
        <v>0</v>
      </c>
      <c r="N599" t="n">
        <v>0</v>
      </c>
      <c r="O599" t="n">
        <v>0</v>
      </c>
      <c r="P599" t="n">
        <v>0</v>
      </c>
      <c r="Q599" t="n">
        <v>0</v>
      </c>
      <c r="R599" s="2" t="inlineStr"/>
    </row>
    <row r="600" ht="15" customHeight="1">
      <c r="A600" t="inlineStr">
        <is>
          <t>A 23692-2024</t>
        </is>
      </c>
      <c r="B600" s="1" t="n">
        <v>45454.65774305556</v>
      </c>
      <c r="C600" s="1" t="n">
        <v>46173</v>
      </c>
      <c r="D600" t="inlineStr">
        <is>
          <t>STOCKHOLMS LÄN</t>
        </is>
      </c>
      <c r="E600" t="inlineStr">
        <is>
          <t>NORRTÄLJE</t>
        </is>
      </c>
      <c r="G600" t="n">
        <v>3.7</v>
      </c>
      <c r="H600" t="n">
        <v>0</v>
      </c>
      <c r="I600" t="n">
        <v>0</v>
      </c>
      <c r="J600" t="n">
        <v>0</v>
      </c>
      <c r="K600" t="n">
        <v>0</v>
      </c>
      <c r="L600" t="n">
        <v>0</v>
      </c>
      <c r="M600" t="n">
        <v>0</v>
      </c>
      <c r="N600" t="n">
        <v>0</v>
      </c>
      <c r="O600" t="n">
        <v>0</v>
      </c>
      <c r="P600" t="n">
        <v>0</v>
      </c>
      <c r="Q600" t="n">
        <v>0</v>
      </c>
      <c r="R600" s="2" t="inlineStr"/>
    </row>
    <row r="601" ht="15" customHeight="1">
      <c r="A601" t="inlineStr">
        <is>
          <t>A 33149-2022</t>
        </is>
      </c>
      <c r="B601" s="1" t="n">
        <v>44785</v>
      </c>
      <c r="C601" s="1" t="n">
        <v>46173</v>
      </c>
      <c r="D601" t="inlineStr">
        <is>
          <t>STOCKHOLMS LÄN</t>
        </is>
      </c>
      <c r="E601" t="inlineStr">
        <is>
          <t>NORRTÄLJE</t>
        </is>
      </c>
      <c r="F601" t="inlineStr">
        <is>
          <t>Holmen skog AB</t>
        </is>
      </c>
      <c r="G601" t="n">
        <v>4.4</v>
      </c>
      <c r="H601" t="n">
        <v>0</v>
      </c>
      <c r="I601" t="n">
        <v>0</v>
      </c>
      <c r="J601" t="n">
        <v>0</v>
      </c>
      <c r="K601" t="n">
        <v>0</v>
      </c>
      <c r="L601" t="n">
        <v>0</v>
      </c>
      <c r="M601" t="n">
        <v>0</v>
      </c>
      <c r="N601" t="n">
        <v>0</v>
      </c>
      <c r="O601" t="n">
        <v>0</v>
      </c>
      <c r="P601" t="n">
        <v>0</v>
      </c>
      <c r="Q601" t="n">
        <v>0</v>
      </c>
      <c r="R601" s="2" t="inlineStr"/>
    </row>
    <row r="602" ht="15" customHeight="1">
      <c r="A602" t="inlineStr">
        <is>
          <t>A 40425-2021</t>
        </is>
      </c>
      <c r="B602" s="1" t="n">
        <v>44419</v>
      </c>
      <c r="C602" s="1" t="n">
        <v>46173</v>
      </c>
      <c r="D602" t="inlineStr">
        <is>
          <t>STOCKHOLMS LÄN</t>
        </is>
      </c>
      <c r="E602" t="inlineStr">
        <is>
          <t>NORRTÄLJE</t>
        </is>
      </c>
      <c r="G602" t="n">
        <v>5</v>
      </c>
      <c r="H602" t="n">
        <v>0</v>
      </c>
      <c r="I602" t="n">
        <v>0</v>
      </c>
      <c r="J602" t="n">
        <v>0</v>
      </c>
      <c r="K602" t="n">
        <v>0</v>
      </c>
      <c r="L602" t="n">
        <v>0</v>
      </c>
      <c r="M602" t="n">
        <v>0</v>
      </c>
      <c r="N602" t="n">
        <v>0</v>
      </c>
      <c r="O602" t="n">
        <v>0</v>
      </c>
      <c r="P602" t="n">
        <v>0</v>
      </c>
      <c r="Q602" t="n">
        <v>0</v>
      </c>
      <c r="R602" s="2" t="inlineStr"/>
    </row>
    <row r="603" ht="15" customHeight="1">
      <c r="A603" t="inlineStr">
        <is>
          <t>A 41966-2025</t>
        </is>
      </c>
      <c r="B603" s="1" t="n">
        <v>45903.47456018518</v>
      </c>
      <c r="C603" s="1" t="n">
        <v>46173</v>
      </c>
      <c r="D603" t="inlineStr">
        <is>
          <t>STOCKHOLMS LÄN</t>
        </is>
      </c>
      <c r="E603" t="inlineStr">
        <is>
          <t>NORRTÄLJE</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42038-2025</t>
        </is>
      </c>
      <c r="B604" s="1" t="n">
        <v>45903.61431712963</v>
      </c>
      <c r="C604" s="1" t="n">
        <v>46173</v>
      </c>
      <c r="D604" t="inlineStr">
        <is>
          <t>STOCKHOLMS LÄN</t>
        </is>
      </c>
      <c r="E604" t="inlineStr">
        <is>
          <t>NORRTÄLJE</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41964-2025</t>
        </is>
      </c>
      <c r="B605" s="1" t="n">
        <v>45903.47270833333</v>
      </c>
      <c r="C605" s="1" t="n">
        <v>46173</v>
      </c>
      <c r="D605" t="inlineStr">
        <is>
          <t>STOCKHOLMS LÄN</t>
        </is>
      </c>
      <c r="E605" t="inlineStr">
        <is>
          <t>NORRTÄLJE</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54273-2021</t>
        </is>
      </c>
      <c r="B606" s="1" t="n">
        <v>44470.72987268519</v>
      </c>
      <c r="C606" s="1" t="n">
        <v>46173</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58990-2021</t>
        </is>
      </c>
      <c r="B607" s="1" t="n">
        <v>44490.03621527777</v>
      </c>
      <c r="C607" s="1" t="n">
        <v>46173</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30699-2025</t>
        </is>
      </c>
      <c r="B608" s="1" t="n">
        <v>45831.54618055555</v>
      </c>
      <c r="C608" s="1" t="n">
        <v>46173</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6537-2024</t>
        </is>
      </c>
      <c r="B609" s="1" t="n">
        <v>45341.39853009259</v>
      </c>
      <c r="C609" s="1" t="n">
        <v>46173</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7806-2025</t>
        </is>
      </c>
      <c r="B610" s="1" t="n">
        <v>45706.61178240741</v>
      </c>
      <c r="C610" s="1" t="n">
        <v>46173</v>
      </c>
      <c r="D610" t="inlineStr">
        <is>
          <t>STOCKHOLMS LÄN</t>
        </is>
      </c>
      <c r="E610" t="inlineStr">
        <is>
          <t>NORRTÄLJE</t>
        </is>
      </c>
      <c r="F610" t="inlineStr">
        <is>
          <t>Holmen skog AB</t>
        </is>
      </c>
      <c r="G610" t="n">
        <v>3.5</v>
      </c>
      <c r="H610" t="n">
        <v>0</v>
      </c>
      <c r="I610" t="n">
        <v>0</v>
      </c>
      <c r="J610" t="n">
        <v>0</v>
      </c>
      <c r="K610" t="n">
        <v>0</v>
      </c>
      <c r="L610" t="n">
        <v>0</v>
      </c>
      <c r="M610" t="n">
        <v>0</v>
      </c>
      <c r="N610" t="n">
        <v>0</v>
      </c>
      <c r="O610" t="n">
        <v>0</v>
      </c>
      <c r="P610" t="n">
        <v>0</v>
      </c>
      <c r="Q610" t="n">
        <v>0</v>
      </c>
      <c r="R610" s="2" t="inlineStr"/>
    </row>
    <row r="611" ht="15" customHeight="1">
      <c r="A611" t="inlineStr">
        <is>
          <t>A 40175-2024</t>
        </is>
      </c>
      <c r="B611" s="1" t="n">
        <v>45554.55707175926</v>
      </c>
      <c r="C611" s="1" t="n">
        <v>46173</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54558-2024</t>
        </is>
      </c>
      <c r="B612" s="1" t="n">
        <v>45617.62358796296</v>
      </c>
      <c r="C612" s="1" t="n">
        <v>46173</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20011-2025</t>
        </is>
      </c>
      <c r="B613" s="1" t="n">
        <v>45772.29622685185</v>
      </c>
      <c r="C613" s="1" t="n">
        <v>46173</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42856-2025</t>
        </is>
      </c>
      <c r="B614" s="1" t="n">
        <v>45908</v>
      </c>
      <c r="C614" s="1" t="n">
        <v>46173</v>
      </c>
      <c r="D614" t="inlineStr">
        <is>
          <t>STOCKHOLMS LÄN</t>
        </is>
      </c>
      <c r="E614" t="inlineStr">
        <is>
          <t>NORRTÄLJE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23056-2023</t>
        </is>
      </c>
      <c r="B615" s="1" t="n">
        <v>45075</v>
      </c>
      <c r="C615" s="1" t="n">
        <v>46173</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47431-2023</t>
        </is>
      </c>
      <c r="B616" s="1" t="n">
        <v>45202</v>
      </c>
      <c r="C616" s="1" t="n">
        <v>46173</v>
      </c>
      <c r="D616" t="inlineStr">
        <is>
          <t>STOCKHOLMS LÄN</t>
        </is>
      </c>
      <c r="E616" t="inlineStr">
        <is>
          <t>NORRTÄLJE</t>
        </is>
      </c>
      <c r="F616" t="inlineStr">
        <is>
          <t>Naturvårdsverket</t>
        </is>
      </c>
      <c r="G616" t="n">
        <v>1.2</v>
      </c>
      <c r="H616" t="n">
        <v>0</v>
      </c>
      <c r="I616" t="n">
        <v>0</v>
      </c>
      <c r="J616" t="n">
        <v>0</v>
      </c>
      <c r="K616" t="n">
        <v>0</v>
      </c>
      <c r="L616" t="n">
        <v>0</v>
      </c>
      <c r="M616" t="n">
        <v>0</v>
      </c>
      <c r="N616" t="n">
        <v>0</v>
      </c>
      <c r="O616" t="n">
        <v>0</v>
      </c>
      <c r="P616" t="n">
        <v>0</v>
      </c>
      <c r="Q616" t="n">
        <v>0</v>
      </c>
      <c r="R616" s="2" t="inlineStr"/>
    </row>
    <row r="617" ht="15" customHeight="1">
      <c r="A617" t="inlineStr">
        <is>
          <t>A 53792-2023</t>
        </is>
      </c>
      <c r="B617" s="1" t="n">
        <v>45231.34144675926</v>
      </c>
      <c r="C617" s="1" t="n">
        <v>46173</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59499-2023</t>
        </is>
      </c>
      <c r="B618" s="1" t="n">
        <v>45254</v>
      </c>
      <c r="C618" s="1" t="n">
        <v>46173</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21329-2022</t>
        </is>
      </c>
      <c r="B619" s="1" t="n">
        <v>44705.60626157407</v>
      </c>
      <c r="C619" s="1" t="n">
        <v>46173</v>
      </c>
      <c r="D619" t="inlineStr">
        <is>
          <t>STOCKHOLMS LÄN</t>
        </is>
      </c>
      <c r="E619" t="inlineStr">
        <is>
          <t>NORRTÄLJE</t>
        </is>
      </c>
      <c r="G619" t="n">
        <v>4.1</v>
      </c>
      <c r="H619" t="n">
        <v>0</v>
      </c>
      <c r="I619" t="n">
        <v>0</v>
      </c>
      <c r="J619" t="n">
        <v>0</v>
      </c>
      <c r="K619" t="n">
        <v>0</v>
      </c>
      <c r="L619" t="n">
        <v>0</v>
      </c>
      <c r="M619" t="n">
        <v>0</v>
      </c>
      <c r="N619" t="n">
        <v>0</v>
      </c>
      <c r="O619" t="n">
        <v>0</v>
      </c>
      <c r="P619" t="n">
        <v>0</v>
      </c>
      <c r="Q619" t="n">
        <v>0</v>
      </c>
      <c r="R619" s="2" t="inlineStr"/>
    </row>
    <row r="620" ht="15" customHeight="1">
      <c r="A620" t="inlineStr">
        <is>
          <t>A 59468-2023</t>
        </is>
      </c>
      <c r="B620" s="1" t="n">
        <v>45254.41509259259</v>
      </c>
      <c r="C620" s="1" t="n">
        <v>46173</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50569-2022</t>
        </is>
      </c>
      <c r="B621" s="1" t="n">
        <v>44866.63775462963</v>
      </c>
      <c r="C621" s="1" t="n">
        <v>46173</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24501-2023</t>
        </is>
      </c>
      <c r="B622" s="1" t="n">
        <v>45082</v>
      </c>
      <c r="C622" s="1" t="n">
        <v>46173</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24520-2023</t>
        </is>
      </c>
      <c r="B623" s="1" t="n">
        <v>45082.68922453704</v>
      </c>
      <c r="C623" s="1" t="n">
        <v>46173</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12532-2025</t>
        </is>
      </c>
      <c r="B624" s="1" t="n">
        <v>45730.69143518519</v>
      </c>
      <c r="C624" s="1" t="n">
        <v>46173</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5732-2023</t>
        </is>
      </c>
      <c r="B625" s="1" t="n">
        <v>44962</v>
      </c>
      <c r="C625" s="1" t="n">
        <v>46173</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60654-2023</t>
        </is>
      </c>
      <c r="B626" s="1" t="n">
        <v>45260.43225694444</v>
      </c>
      <c r="C626" s="1" t="n">
        <v>46173</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60656-2023</t>
        </is>
      </c>
      <c r="B627" s="1" t="n">
        <v>45260.4333449074</v>
      </c>
      <c r="C627" s="1" t="n">
        <v>46173</v>
      </c>
      <c r="D627" t="inlineStr">
        <is>
          <t>STOCKHOLMS LÄN</t>
        </is>
      </c>
      <c r="E627" t="inlineStr">
        <is>
          <t>NORRTÄLJE</t>
        </is>
      </c>
      <c r="G627" t="n">
        <v>4.8</v>
      </c>
      <c r="H627" t="n">
        <v>0</v>
      </c>
      <c r="I627" t="n">
        <v>0</v>
      </c>
      <c r="J627" t="n">
        <v>0</v>
      </c>
      <c r="K627" t="n">
        <v>0</v>
      </c>
      <c r="L627" t="n">
        <v>0</v>
      </c>
      <c r="M627" t="n">
        <v>0</v>
      </c>
      <c r="N627" t="n">
        <v>0</v>
      </c>
      <c r="O627" t="n">
        <v>0</v>
      </c>
      <c r="P627" t="n">
        <v>0</v>
      </c>
      <c r="Q627" t="n">
        <v>0</v>
      </c>
      <c r="R627" s="2" t="inlineStr"/>
    </row>
    <row r="628" ht="15" customHeight="1">
      <c r="A628" t="inlineStr">
        <is>
          <t>A 10653-2022</t>
        </is>
      </c>
      <c r="B628" s="1" t="n">
        <v>44624.59434027778</v>
      </c>
      <c r="C628" s="1" t="n">
        <v>46173</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21729-2024</t>
        </is>
      </c>
      <c r="B629" s="1" t="n">
        <v>45442</v>
      </c>
      <c r="C629" s="1" t="n">
        <v>46173</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54496-2024</t>
        </is>
      </c>
      <c r="B630" s="1" t="n">
        <v>45617.57439814815</v>
      </c>
      <c r="C630" s="1" t="n">
        <v>46173</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11854-2025</t>
        </is>
      </c>
      <c r="B631" s="1" t="n">
        <v>45728.38924768518</v>
      </c>
      <c r="C631" s="1" t="n">
        <v>46173</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14762-2024</t>
        </is>
      </c>
      <c r="B632" s="1" t="n">
        <v>45397</v>
      </c>
      <c r="C632" s="1" t="n">
        <v>46173</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21386-2023</t>
        </is>
      </c>
      <c r="B633" s="1" t="n">
        <v>45063.35880787037</v>
      </c>
      <c r="C633" s="1" t="n">
        <v>46173</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10642-2025</t>
        </is>
      </c>
      <c r="B634" s="1" t="n">
        <v>45721.65858796296</v>
      </c>
      <c r="C634" s="1" t="n">
        <v>46173</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43169-2025</t>
        </is>
      </c>
      <c r="B635" s="1" t="n">
        <v>45910</v>
      </c>
      <c r="C635" s="1" t="n">
        <v>46173</v>
      </c>
      <c r="D635" t="inlineStr">
        <is>
          <t>STOCKHOLMS LÄN</t>
        </is>
      </c>
      <c r="E635" t="inlineStr">
        <is>
          <t>NORRTÄLJE</t>
        </is>
      </c>
      <c r="G635" t="n">
        <v>6.9</v>
      </c>
      <c r="H635" t="n">
        <v>0</v>
      </c>
      <c r="I635" t="n">
        <v>0</v>
      </c>
      <c r="J635" t="n">
        <v>0</v>
      </c>
      <c r="K635" t="n">
        <v>0</v>
      </c>
      <c r="L635" t="n">
        <v>0</v>
      </c>
      <c r="M635" t="n">
        <v>0</v>
      </c>
      <c r="N635" t="n">
        <v>0</v>
      </c>
      <c r="O635" t="n">
        <v>0</v>
      </c>
      <c r="P635" t="n">
        <v>0</v>
      </c>
      <c r="Q635" t="n">
        <v>0</v>
      </c>
      <c r="R635" s="2" t="inlineStr"/>
    </row>
    <row r="636" ht="15" customHeight="1">
      <c r="A636" t="inlineStr">
        <is>
          <t>A 30719-2025</t>
        </is>
      </c>
      <c r="B636" s="1" t="n">
        <v>45831</v>
      </c>
      <c r="C636" s="1" t="n">
        <v>46173</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20144-2023</t>
        </is>
      </c>
      <c r="B637" s="1" t="n">
        <v>45055.43509259259</v>
      </c>
      <c r="C637" s="1" t="n">
        <v>46173</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59712-2024</t>
        </is>
      </c>
      <c r="B638" s="1" t="n">
        <v>45639.45166666667</v>
      </c>
      <c r="C638" s="1" t="n">
        <v>46173</v>
      </c>
      <c r="D638" t="inlineStr">
        <is>
          <t>STOCKHOLMS LÄN</t>
        </is>
      </c>
      <c r="E638" t="inlineStr">
        <is>
          <t>NORRTÄLJE</t>
        </is>
      </c>
      <c r="G638" t="n">
        <v>4.4</v>
      </c>
      <c r="H638" t="n">
        <v>0</v>
      </c>
      <c r="I638" t="n">
        <v>0</v>
      </c>
      <c r="J638" t="n">
        <v>0</v>
      </c>
      <c r="K638" t="n">
        <v>0</v>
      </c>
      <c r="L638" t="n">
        <v>0</v>
      </c>
      <c r="M638" t="n">
        <v>0</v>
      </c>
      <c r="N638" t="n">
        <v>0</v>
      </c>
      <c r="O638" t="n">
        <v>0</v>
      </c>
      <c r="P638" t="n">
        <v>0</v>
      </c>
      <c r="Q638" t="n">
        <v>0</v>
      </c>
      <c r="R638" s="2" t="inlineStr"/>
    </row>
    <row r="639" ht="15" customHeight="1">
      <c r="A639" t="inlineStr">
        <is>
          <t>A 43269-2025</t>
        </is>
      </c>
      <c r="B639" s="1" t="n">
        <v>45910.5819212963</v>
      </c>
      <c r="C639" s="1" t="n">
        <v>46173</v>
      </c>
      <c r="D639" t="inlineStr">
        <is>
          <t>STOCKHOLMS LÄN</t>
        </is>
      </c>
      <c r="E639" t="inlineStr">
        <is>
          <t>NORRTÄLJE</t>
        </is>
      </c>
      <c r="G639" t="n">
        <v>3.7</v>
      </c>
      <c r="H639" t="n">
        <v>0</v>
      </c>
      <c r="I639" t="n">
        <v>0</v>
      </c>
      <c r="J639" t="n">
        <v>0</v>
      </c>
      <c r="K639" t="n">
        <v>0</v>
      </c>
      <c r="L639" t="n">
        <v>0</v>
      </c>
      <c r="M639" t="n">
        <v>0</v>
      </c>
      <c r="N639" t="n">
        <v>0</v>
      </c>
      <c r="O639" t="n">
        <v>0</v>
      </c>
      <c r="P639" t="n">
        <v>0</v>
      </c>
      <c r="Q639" t="n">
        <v>0</v>
      </c>
      <c r="R639" s="2" t="inlineStr"/>
    </row>
    <row r="640" ht="15" customHeight="1">
      <c r="A640" t="inlineStr">
        <is>
          <t>A 53312-2024</t>
        </is>
      </c>
      <c r="B640" s="1" t="n">
        <v>45614.39627314815</v>
      </c>
      <c r="C640" s="1" t="n">
        <v>46173</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39202-2024</t>
        </is>
      </c>
      <c r="B641" s="1" t="n">
        <v>45548.72306712963</v>
      </c>
      <c r="C641" s="1" t="n">
        <v>46173</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35127-2023</t>
        </is>
      </c>
      <c r="B642" s="1" t="n">
        <v>45145.51</v>
      </c>
      <c r="C642" s="1" t="n">
        <v>46173</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22756-2022</t>
        </is>
      </c>
      <c r="B643" s="1" t="n">
        <v>44714.92253472222</v>
      </c>
      <c r="C643" s="1" t="n">
        <v>46173</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4581-2025</t>
        </is>
      </c>
      <c r="B644" s="1" t="n">
        <v>45687</v>
      </c>
      <c r="C644" s="1" t="n">
        <v>46173</v>
      </c>
      <c r="D644" t="inlineStr">
        <is>
          <t>STOCKHOLMS LÄN</t>
        </is>
      </c>
      <c r="E644" t="inlineStr">
        <is>
          <t>NORRTÄLJE</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43916-2025</t>
        </is>
      </c>
      <c r="B645" s="1" t="n">
        <v>45914.78884259259</v>
      </c>
      <c r="C645" s="1" t="n">
        <v>46173</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45255-2022</t>
        </is>
      </c>
      <c r="B646" s="1" t="n">
        <v>44840</v>
      </c>
      <c r="C646" s="1" t="n">
        <v>46173</v>
      </c>
      <c r="D646" t="inlineStr">
        <is>
          <t>STOCKHOLMS LÄN</t>
        </is>
      </c>
      <c r="E646" t="inlineStr">
        <is>
          <t>NORRTÄLJE</t>
        </is>
      </c>
      <c r="G646" t="n">
        <v>4.1</v>
      </c>
      <c r="H646" t="n">
        <v>0</v>
      </c>
      <c r="I646" t="n">
        <v>0</v>
      </c>
      <c r="J646" t="n">
        <v>0</v>
      </c>
      <c r="K646" t="n">
        <v>0</v>
      </c>
      <c r="L646" t="n">
        <v>0</v>
      </c>
      <c r="M646" t="n">
        <v>0</v>
      </c>
      <c r="N646" t="n">
        <v>0</v>
      </c>
      <c r="O646" t="n">
        <v>0</v>
      </c>
      <c r="P646" t="n">
        <v>0</v>
      </c>
      <c r="Q646" t="n">
        <v>0</v>
      </c>
      <c r="R646" s="2" t="inlineStr"/>
    </row>
    <row r="647" ht="15" customHeight="1">
      <c r="A647" t="inlineStr">
        <is>
          <t>A 60765-2023</t>
        </is>
      </c>
      <c r="B647" s="1" t="n">
        <v>45260</v>
      </c>
      <c r="C647" s="1" t="n">
        <v>46173</v>
      </c>
      <c r="D647" t="inlineStr">
        <is>
          <t>STOCKHOLMS LÄN</t>
        </is>
      </c>
      <c r="E647" t="inlineStr">
        <is>
          <t>NORRTÄLJE</t>
        </is>
      </c>
      <c r="G647" t="n">
        <v>3.7</v>
      </c>
      <c r="H647" t="n">
        <v>0</v>
      </c>
      <c r="I647" t="n">
        <v>0</v>
      </c>
      <c r="J647" t="n">
        <v>0</v>
      </c>
      <c r="K647" t="n">
        <v>0</v>
      </c>
      <c r="L647" t="n">
        <v>0</v>
      </c>
      <c r="M647" t="n">
        <v>0</v>
      </c>
      <c r="N647" t="n">
        <v>0</v>
      </c>
      <c r="O647" t="n">
        <v>0</v>
      </c>
      <c r="P647" t="n">
        <v>0</v>
      </c>
      <c r="Q647" t="n">
        <v>0</v>
      </c>
      <c r="R647" s="2" t="inlineStr"/>
    </row>
    <row r="648" ht="15" customHeight="1">
      <c r="A648" t="inlineStr">
        <is>
          <t>A 59893-2022</t>
        </is>
      </c>
      <c r="B648" s="1" t="n">
        <v>44908.77368055555</v>
      </c>
      <c r="C648" s="1" t="n">
        <v>46173</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23801-2022</t>
        </is>
      </c>
      <c r="B649" s="1" t="n">
        <v>44722</v>
      </c>
      <c r="C649" s="1" t="n">
        <v>46173</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59276-2023</t>
        </is>
      </c>
      <c r="B650" s="1" t="n">
        <v>45253.55641203704</v>
      </c>
      <c r="C650" s="1" t="n">
        <v>46173</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46914-2022</t>
        </is>
      </c>
      <c r="B651" s="1" t="n">
        <v>44851</v>
      </c>
      <c r="C651" s="1" t="n">
        <v>46173</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18541-2023</t>
        </is>
      </c>
      <c r="B652" s="1" t="n">
        <v>45042.74291666667</v>
      </c>
      <c r="C652" s="1" t="n">
        <v>46173</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39905-2023</t>
        </is>
      </c>
      <c r="B653" s="1" t="n">
        <v>45168.44489583333</v>
      </c>
      <c r="C653" s="1" t="n">
        <v>46173</v>
      </c>
      <c r="D653" t="inlineStr">
        <is>
          <t>STOCKHOLMS LÄN</t>
        </is>
      </c>
      <c r="E653" t="inlineStr">
        <is>
          <t>NORRTÄLJE</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5645-2023</t>
        </is>
      </c>
      <c r="B654" s="1" t="n">
        <v>44960.60469907407</v>
      </c>
      <c r="C654" s="1" t="n">
        <v>46173</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44354-2025</t>
        </is>
      </c>
      <c r="B655" s="1" t="n">
        <v>45916.44655092592</v>
      </c>
      <c r="C655" s="1" t="n">
        <v>46173</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44528.91494212963</v>
      </c>
      <c r="C656" s="1" t="n">
        <v>46173</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60529-2023</t>
        </is>
      </c>
      <c r="B657" s="1" t="n">
        <v>45259</v>
      </c>
      <c r="C657" s="1" t="n">
        <v>46173</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20790-2025</t>
        </is>
      </c>
      <c r="B658" s="1" t="n">
        <v>45776.62563657408</v>
      </c>
      <c r="C658" s="1" t="n">
        <v>46173</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3509-2022</t>
        </is>
      </c>
      <c r="B659" s="1" t="n">
        <v>44585</v>
      </c>
      <c r="C659" s="1" t="n">
        <v>46173</v>
      </c>
      <c r="D659" t="inlineStr">
        <is>
          <t>STOCKHOLMS LÄN</t>
        </is>
      </c>
      <c r="E659" t="inlineStr">
        <is>
          <t>NORRTÄLJE</t>
        </is>
      </c>
      <c r="F659" t="inlineStr">
        <is>
          <t>Kommuner</t>
        </is>
      </c>
      <c r="G659" t="n">
        <v>0.8</v>
      </c>
      <c r="H659" t="n">
        <v>0</v>
      </c>
      <c r="I659" t="n">
        <v>0</v>
      </c>
      <c r="J659" t="n">
        <v>0</v>
      </c>
      <c r="K659" t="n">
        <v>0</v>
      </c>
      <c r="L659" t="n">
        <v>0</v>
      </c>
      <c r="M659" t="n">
        <v>0</v>
      </c>
      <c r="N659" t="n">
        <v>0</v>
      </c>
      <c r="O659" t="n">
        <v>0</v>
      </c>
      <c r="P659" t="n">
        <v>0</v>
      </c>
      <c r="Q659" t="n">
        <v>0</v>
      </c>
      <c r="R659" s="2" t="inlineStr"/>
    </row>
    <row r="660" ht="15" customHeight="1">
      <c r="A660" t="inlineStr">
        <is>
          <t>A 26407-2024</t>
        </is>
      </c>
      <c r="B660" s="1" t="n">
        <v>45469</v>
      </c>
      <c r="C660" s="1" t="n">
        <v>46173</v>
      </c>
      <c r="D660" t="inlineStr">
        <is>
          <t>STOCKHOLMS LÄN</t>
        </is>
      </c>
      <c r="E660" t="inlineStr">
        <is>
          <t>NORRTÄLJE</t>
        </is>
      </c>
      <c r="G660" t="n">
        <v>3.5</v>
      </c>
      <c r="H660" t="n">
        <v>0</v>
      </c>
      <c r="I660" t="n">
        <v>0</v>
      </c>
      <c r="J660" t="n">
        <v>0</v>
      </c>
      <c r="K660" t="n">
        <v>0</v>
      </c>
      <c r="L660" t="n">
        <v>0</v>
      </c>
      <c r="M660" t="n">
        <v>0</v>
      </c>
      <c r="N660" t="n">
        <v>0</v>
      </c>
      <c r="O660" t="n">
        <v>0</v>
      </c>
      <c r="P660" t="n">
        <v>0</v>
      </c>
      <c r="Q660" t="n">
        <v>0</v>
      </c>
      <c r="R660" s="2" t="inlineStr"/>
    </row>
    <row r="661" ht="15" customHeight="1">
      <c r="A661" t="inlineStr">
        <is>
          <t>A 12890-2024</t>
        </is>
      </c>
      <c r="B661" s="1" t="n">
        <v>45385.36243055556</v>
      </c>
      <c r="C661" s="1" t="n">
        <v>46173</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44306-2025</t>
        </is>
      </c>
      <c r="B662" s="1" t="n">
        <v>45916.37736111111</v>
      </c>
      <c r="C662" s="1" t="n">
        <v>46173</v>
      </c>
      <c r="D662" t="inlineStr">
        <is>
          <t>STOCKHOLMS LÄN</t>
        </is>
      </c>
      <c r="E662" t="inlineStr">
        <is>
          <t>NORRTÄLJE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44343-2025</t>
        </is>
      </c>
      <c r="B663" s="1" t="n">
        <v>45916.43378472222</v>
      </c>
      <c r="C663" s="1" t="n">
        <v>46173</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44349-2025</t>
        </is>
      </c>
      <c r="B664" s="1" t="n">
        <v>45916.43929398148</v>
      </c>
      <c r="C664" s="1" t="n">
        <v>46173</v>
      </c>
      <c r="D664" t="inlineStr">
        <is>
          <t>STOCKHOLMS LÄN</t>
        </is>
      </c>
      <c r="E664" t="inlineStr">
        <is>
          <t>NORRTÄLJE</t>
        </is>
      </c>
      <c r="G664" t="n">
        <v>3.5</v>
      </c>
      <c r="H664" t="n">
        <v>0</v>
      </c>
      <c r="I664" t="n">
        <v>0</v>
      </c>
      <c r="J664" t="n">
        <v>0</v>
      </c>
      <c r="K664" t="n">
        <v>0</v>
      </c>
      <c r="L664" t="n">
        <v>0</v>
      </c>
      <c r="M664" t="n">
        <v>0</v>
      </c>
      <c r="N664" t="n">
        <v>0</v>
      </c>
      <c r="O664" t="n">
        <v>0</v>
      </c>
      <c r="P664" t="n">
        <v>0</v>
      </c>
      <c r="Q664" t="n">
        <v>0</v>
      </c>
      <c r="R664" s="2" t="inlineStr"/>
    </row>
    <row r="665" ht="15" customHeight="1">
      <c r="A665" t="inlineStr">
        <is>
          <t>A 44311-2025</t>
        </is>
      </c>
      <c r="B665" s="1" t="n">
        <v>45916.38394675926</v>
      </c>
      <c r="C665" s="1" t="n">
        <v>46173</v>
      </c>
      <c r="D665" t="inlineStr">
        <is>
          <t>STOCKHOLMS LÄN</t>
        </is>
      </c>
      <c r="E665" t="inlineStr">
        <is>
          <t>NORRTÄLJE</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44333-2025</t>
        </is>
      </c>
      <c r="B666" s="1" t="n">
        <v>45916.42293981482</v>
      </c>
      <c r="C666" s="1" t="n">
        <v>46173</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19706-2023</t>
        </is>
      </c>
      <c r="B667" s="1" t="n">
        <v>45051.455</v>
      </c>
      <c r="C667" s="1" t="n">
        <v>46173</v>
      </c>
      <c r="D667" t="inlineStr">
        <is>
          <t>STOCKHOLMS LÄN</t>
        </is>
      </c>
      <c r="E667" t="inlineStr">
        <is>
          <t>NORRTÄLJE</t>
        </is>
      </c>
      <c r="G667" t="n">
        <v>0.2</v>
      </c>
      <c r="H667" t="n">
        <v>0</v>
      </c>
      <c r="I667" t="n">
        <v>0</v>
      </c>
      <c r="J667" t="n">
        <v>0</v>
      </c>
      <c r="K667" t="n">
        <v>0</v>
      </c>
      <c r="L667" t="n">
        <v>0</v>
      </c>
      <c r="M667" t="n">
        <v>0</v>
      </c>
      <c r="N667" t="n">
        <v>0</v>
      </c>
      <c r="O667" t="n">
        <v>0</v>
      </c>
      <c r="P667" t="n">
        <v>0</v>
      </c>
      <c r="Q667" t="n">
        <v>0</v>
      </c>
      <c r="R667" s="2" t="inlineStr"/>
    </row>
    <row r="668" ht="15" customHeight="1">
      <c r="A668" t="inlineStr">
        <is>
          <t>A 47419-2023</t>
        </is>
      </c>
      <c r="B668" s="1" t="n">
        <v>45202.65660879629</v>
      </c>
      <c r="C668" s="1" t="n">
        <v>46173</v>
      </c>
      <c r="D668" t="inlineStr">
        <is>
          <t>STOCKHOLMS LÄN</t>
        </is>
      </c>
      <c r="E668" t="inlineStr">
        <is>
          <t>NORRTÄLJE</t>
        </is>
      </c>
      <c r="G668" t="n">
        <v>11.4</v>
      </c>
      <c r="H668" t="n">
        <v>0</v>
      </c>
      <c r="I668" t="n">
        <v>0</v>
      </c>
      <c r="J668" t="n">
        <v>0</v>
      </c>
      <c r="K668" t="n">
        <v>0</v>
      </c>
      <c r="L668" t="n">
        <v>0</v>
      </c>
      <c r="M668" t="n">
        <v>0</v>
      </c>
      <c r="N668" t="n">
        <v>0</v>
      </c>
      <c r="O668" t="n">
        <v>0</v>
      </c>
      <c r="P668" t="n">
        <v>0</v>
      </c>
      <c r="Q668" t="n">
        <v>0</v>
      </c>
      <c r="R668" s="2" t="inlineStr"/>
    </row>
    <row r="669" ht="15" customHeight="1">
      <c r="A669" t="inlineStr">
        <is>
          <t>A 23070-2023</t>
        </is>
      </c>
      <c r="B669" s="1" t="n">
        <v>45075</v>
      </c>
      <c r="C669" s="1" t="n">
        <v>46173</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20699-2025</t>
        </is>
      </c>
      <c r="B670" s="1" t="n">
        <v>45776.47346064815</v>
      </c>
      <c r="C670" s="1" t="n">
        <v>46173</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27824-2022</t>
        </is>
      </c>
      <c r="B671" s="1" t="n">
        <v>44743.59331018518</v>
      </c>
      <c r="C671" s="1" t="n">
        <v>46173</v>
      </c>
      <c r="D671" t="inlineStr">
        <is>
          <t>STOCKHOLMS LÄN</t>
        </is>
      </c>
      <c r="E671" t="inlineStr">
        <is>
          <t>NORRTÄLJE</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17612-2022</t>
        </is>
      </c>
      <c r="B672" s="1" t="n">
        <v>44680</v>
      </c>
      <c r="C672" s="1" t="n">
        <v>46173</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3152-2024</t>
        </is>
      </c>
      <c r="B673" s="1" t="n">
        <v>45316.60306712963</v>
      </c>
      <c r="C673" s="1" t="n">
        <v>46173</v>
      </c>
      <c r="D673" t="inlineStr">
        <is>
          <t>STOCKHOLMS LÄN</t>
        </is>
      </c>
      <c r="E673" t="inlineStr">
        <is>
          <t>NORRTÄLJE</t>
        </is>
      </c>
      <c r="G673" t="n">
        <v>7.9</v>
      </c>
      <c r="H673" t="n">
        <v>0</v>
      </c>
      <c r="I673" t="n">
        <v>0</v>
      </c>
      <c r="J673" t="n">
        <v>0</v>
      </c>
      <c r="K673" t="n">
        <v>0</v>
      </c>
      <c r="L673" t="n">
        <v>0</v>
      </c>
      <c r="M673" t="n">
        <v>0</v>
      </c>
      <c r="N673" t="n">
        <v>0</v>
      </c>
      <c r="O673" t="n">
        <v>0</v>
      </c>
      <c r="P673" t="n">
        <v>0</v>
      </c>
      <c r="Q673" t="n">
        <v>0</v>
      </c>
      <c r="R673" s="2" t="inlineStr"/>
    </row>
    <row r="674" ht="15" customHeight="1">
      <c r="A674" t="inlineStr">
        <is>
          <t>A 16835-2022</t>
        </is>
      </c>
      <c r="B674" s="1" t="n">
        <v>44673</v>
      </c>
      <c r="C674" s="1" t="n">
        <v>46173</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25619-2022</t>
        </is>
      </c>
      <c r="B675" s="1" t="n">
        <v>44732</v>
      </c>
      <c r="C675" s="1" t="n">
        <v>46173</v>
      </c>
      <c r="D675" t="inlineStr">
        <is>
          <t>STOCKHOLMS LÄN</t>
        </is>
      </c>
      <c r="E675" t="inlineStr">
        <is>
          <t>NORRTÄLJE</t>
        </is>
      </c>
      <c r="G675" t="n">
        <v>3.9</v>
      </c>
      <c r="H675" t="n">
        <v>0</v>
      </c>
      <c r="I675" t="n">
        <v>0</v>
      </c>
      <c r="J675" t="n">
        <v>0</v>
      </c>
      <c r="K675" t="n">
        <v>0</v>
      </c>
      <c r="L675" t="n">
        <v>0</v>
      </c>
      <c r="M675" t="n">
        <v>0</v>
      </c>
      <c r="N675" t="n">
        <v>0</v>
      </c>
      <c r="O675" t="n">
        <v>0</v>
      </c>
      <c r="P675" t="n">
        <v>0</v>
      </c>
      <c r="Q675" t="n">
        <v>0</v>
      </c>
      <c r="R675" s="2" t="inlineStr"/>
    </row>
    <row r="676" ht="15" customHeight="1">
      <c r="A676" t="inlineStr">
        <is>
          <t>A 62765-2022</t>
        </is>
      </c>
      <c r="B676" s="1" t="n">
        <v>44637</v>
      </c>
      <c r="C676" s="1" t="n">
        <v>46173</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58404-2023</t>
        </is>
      </c>
      <c r="B677" s="1" t="n">
        <v>45245</v>
      </c>
      <c r="C677" s="1" t="n">
        <v>46173</v>
      </c>
      <c r="D677" t="inlineStr">
        <is>
          <t>STOCKHOLMS LÄN</t>
        </is>
      </c>
      <c r="E677" t="inlineStr">
        <is>
          <t>NORRTÄLJE</t>
        </is>
      </c>
      <c r="G677" t="n">
        <v>53.5</v>
      </c>
      <c r="H677" t="n">
        <v>0</v>
      </c>
      <c r="I677" t="n">
        <v>0</v>
      </c>
      <c r="J677" t="n">
        <v>0</v>
      </c>
      <c r="K677" t="n">
        <v>0</v>
      </c>
      <c r="L677" t="n">
        <v>0</v>
      </c>
      <c r="M677" t="n">
        <v>0</v>
      </c>
      <c r="N677" t="n">
        <v>0</v>
      </c>
      <c r="O677" t="n">
        <v>0</v>
      </c>
      <c r="P677" t="n">
        <v>0</v>
      </c>
      <c r="Q677" t="n">
        <v>0</v>
      </c>
      <c r="R677" s="2" t="inlineStr"/>
    </row>
    <row r="678" ht="15" customHeight="1">
      <c r="A678" t="inlineStr">
        <is>
          <t>A 8586-2023</t>
        </is>
      </c>
      <c r="B678" s="1" t="n">
        <v>44977</v>
      </c>
      <c r="C678" s="1" t="n">
        <v>46173</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36246-2021</t>
        </is>
      </c>
      <c r="B679" s="1" t="n">
        <v>44390</v>
      </c>
      <c r="C679" s="1" t="n">
        <v>46173</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44937-2025</t>
        </is>
      </c>
      <c r="B680" s="1" t="n">
        <v>45918</v>
      </c>
      <c r="C680" s="1" t="n">
        <v>46173</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19952-2023</t>
        </is>
      </c>
      <c r="B681" s="1" t="n">
        <v>45054.54091435186</v>
      </c>
      <c r="C681" s="1" t="n">
        <v>46173</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19994-2023</t>
        </is>
      </c>
      <c r="B682" s="1" t="n">
        <v>45054</v>
      </c>
      <c r="C682" s="1" t="n">
        <v>46173</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14130-2025</t>
        </is>
      </c>
      <c r="B683" s="1" t="n">
        <v>45740.47288194444</v>
      </c>
      <c r="C683" s="1" t="n">
        <v>46173</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16202-2022</t>
        </is>
      </c>
      <c r="B684" s="1" t="n">
        <v>44670</v>
      </c>
      <c r="C684" s="1" t="n">
        <v>46173</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574-2023</t>
        </is>
      </c>
      <c r="B685" s="1" t="n">
        <v>44925</v>
      </c>
      <c r="C685" s="1" t="n">
        <v>46173</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30283-2022</t>
        </is>
      </c>
      <c r="B686" s="1" t="n">
        <v>44760</v>
      </c>
      <c r="C686" s="1" t="n">
        <v>46173</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30290-2022</t>
        </is>
      </c>
      <c r="B687" s="1" t="n">
        <v>44760</v>
      </c>
      <c r="C687" s="1" t="n">
        <v>46173</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55018-2024</t>
        </is>
      </c>
      <c r="B688" s="1" t="n">
        <v>45621.35712962963</v>
      </c>
      <c r="C688" s="1" t="n">
        <v>46173</v>
      </c>
      <c r="D688" t="inlineStr">
        <is>
          <t>STOCKHOLMS LÄN</t>
        </is>
      </c>
      <c r="E688" t="inlineStr">
        <is>
          <t>NORRTÄLJE</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29684-2021</t>
        </is>
      </c>
      <c r="B689" s="1" t="n">
        <v>44362.37172453704</v>
      </c>
      <c r="C689" s="1" t="n">
        <v>46173</v>
      </c>
      <c r="D689" t="inlineStr">
        <is>
          <t>STOCKHOLMS LÄN</t>
        </is>
      </c>
      <c r="E689" t="inlineStr">
        <is>
          <t>NORRTÄLJE</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50136-2023</t>
        </is>
      </c>
      <c r="B690" s="1" t="n">
        <v>45215</v>
      </c>
      <c r="C690" s="1" t="n">
        <v>46173</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25656-2023</t>
        </is>
      </c>
      <c r="B691" s="1" t="n">
        <v>45089</v>
      </c>
      <c r="C691" s="1" t="n">
        <v>46173</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6003-2025</t>
        </is>
      </c>
      <c r="B692" s="1" t="n">
        <v>45695.57881944445</v>
      </c>
      <c r="C692" s="1" t="n">
        <v>46173</v>
      </c>
      <c r="D692" t="inlineStr">
        <is>
          <t>STOCKHOLMS LÄN</t>
        </is>
      </c>
      <c r="E692" t="inlineStr">
        <is>
          <t>NORRTÄLJE</t>
        </is>
      </c>
      <c r="F692" t="inlineStr">
        <is>
          <t>Holmen skog AB</t>
        </is>
      </c>
      <c r="G692" t="n">
        <v>2.3</v>
      </c>
      <c r="H692" t="n">
        <v>0</v>
      </c>
      <c r="I692" t="n">
        <v>0</v>
      </c>
      <c r="J692" t="n">
        <v>0</v>
      </c>
      <c r="K692" t="n">
        <v>0</v>
      </c>
      <c r="L692" t="n">
        <v>0</v>
      </c>
      <c r="M692" t="n">
        <v>0</v>
      </c>
      <c r="N692" t="n">
        <v>0</v>
      </c>
      <c r="O692" t="n">
        <v>0</v>
      </c>
      <c r="P692" t="n">
        <v>0</v>
      </c>
      <c r="Q692" t="n">
        <v>0</v>
      </c>
      <c r="R692" s="2" t="inlineStr"/>
    </row>
    <row r="693" ht="15" customHeight="1">
      <c r="A693" t="inlineStr">
        <is>
          <t>A 22359-2025</t>
        </is>
      </c>
      <c r="B693" s="1" t="n">
        <v>45786</v>
      </c>
      <c r="C693" s="1" t="n">
        <v>46173</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11902-2024</t>
        </is>
      </c>
      <c r="B694" s="1" t="n">
        <v>45376.55704861111</v>
      </c>
      <c r="C694" s="1" t="n">
        <v>46173</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60884-2024</t>
        </is>
      </c>
      <c r="B695" s="1" t="n">
        <v>45644.90815972222</v>
      </c>
      <c r="C695" s="1" t="n">
        <v>46173</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59326-2023</t>
        </is>
      </c>
      <c r="B696" s="1" t="n">
        <v>45253.63089120371</v>
      </c>
      <c r="C696" s="1" t="n">
        <v>46173</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38049-2023</t>
        </is>
      </c>
      <c r="B697" s="1" t="n">
        <v>45159</v>
      </c>
      <c r="C697" s="1" t="n">
        <v>46173</v>
      </c>
      <c r="D697" t="inlineStr">
        <is>
          <t>STOCKHOLMS LÄN</t>
        </is>
      </c>
      <c r="E697" t="inlineStr">
        <is>
          <t>NORRTÄLJE</t>
        </is>
      </c>
      <c r="G697" t="n">
        <v>3.6</v>
      </c>
      <c r="H697" t="n">
        <v>0</v>
      </c>
      <c r="I697" t="n">
        <v>0</v>
      </c>
      <c r="J697" t="n">
        <v>0</v>
      </c>
      <c r="K697" t="n">
        <v>0</v>
      </c>
      <c r="L697" t="n">
        <v>0</v>
      </c>
      <c r="M697" t="n">
        <v>0</v>
      </c>
      <c r="N697" t="n">
        <v>0</v>
      </c>
      <c r="O697" t="n">
        <v>0</v>
      </c>
      <c r="P697" t="n">
        <v>0</v>
      </c>
      <c r="Q697" t="n">
        <v>0</v>
      </c>
      <c r="R697" s="2" t="inlineStr"/>
    </row>
    <row r="698" ht="15" customHeight="1">
      <c r="A698" t="inlineStr">
        <is>
          <t>A 38610-2022</t>
        </is>
      </c>
      <c r="B698" s="1" t="n">
        <v>44813.59915509259</v>
      </c>
      <c r="C698" s="1" t="n">
        <v>46173</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59535-2024</t>
        </is>
      </c>
      <c r="B699" s="1" t="n">
        <v>45638.59979166667</v>
      </c>
      <c r="C699" s="1" t="n">
        <v>46173</v>
      </c>
      <c r="D699" t="inlineStr">
        <is>
          <t>STOCKHOLMS LÄN</t>
        </is>
      </c>
      <c r="E699" t="inlineStr">
        <is>
          <t>NORRTÄLJE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10090-2022</t>
        </is>
      </c>
      <c r="B700" s="1" t="n">
        <v>44621</v>
      </c>
      <c r="C700" s="1" t="n">
        <v>46173</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14724-2022</t>
        </is>
      </c>
      <c r="B701" s="1" t="n">
        <v>44656</v>
      </c>
      <c r="C701" s="1" t="n">
        <v>46173</v>
      </c>
      <c r="D701" t="inlineStr">
        <is>
          <t>STOCKHOLMS LÄN</t>
        </is>
      </c>
      <c r="E701" t="inlineStr">
        <is>
          <t>NORRTÄLJE</t>
        </is>
      </c>
      <c r="F701" t="inlineStr">
        <is>
          <t>Sveaskog</t>
        </is>
      </c>
      <c r="G701" t="n">
        <v>9</v>
      </c>
      <c r="H701" t="n">
        <v>0</v>
      </c>
      <c r="I701" t="n">
        <v>0</v>
      </c>
      <c r="J701" t="n">
        <v>0</v>
      </c>
      <c r="K701" t="n">
        <v>0</v>
      </c>
      <c r="L701" t="n">
        <v>0</v>
      </c>
      <c r="M701" t="n">
        <v>0</v>
      </c>
      <c r="N701" t="n">
        <v>0</v>
      </c>
      <c r="O701" t="n">
        <v>0</v>
      </c>
      <c r="P701" t="n">
        <v>0</v>
      </c>
      <c r="Q701" t="n">
        <v>0</v>
      </c>
      <c r="R701" s="2" t="inlineStr"/>
    </row>
    <row r="702" ht="15" customHeight="1">
      <c r="A702" t="inlineStr">
        <is>
          <t>A 45697-2025</t>
        </is>
      </c>
      <c r="B702" s="1" t="n">
        <v>45923.39877314815</v>
      </c>
      <c r="C702" s="1" t="n">
        <v>46173</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18846-2022</t>
        </is>
      </c>
      <c r="B703" s="1" t="n">
        <v>44690</v>
      </c>
      <c r="C703" s="1" t="n">
        <v>46173</v>
      </c>
      <c r="D703" t="inlineStr">
        <is>
          <t>STOCKHOLMS LÄN</t>
        </is>
      </c>
      <c r="E703" t="inlineStr">
        <is>
          <t>NORRTÄLJE</t>
        </is>
      </c>
      <c r="G703" t="n">
        <v>7</v>
      </c>
      <c r="H703" t="n">
        <v>0</v>
      </c>
      <c r="I703" t="n">
        <v>0</v>
      </c>
      <c r="J703" t="n">
        <v>0</v>
      </c>
      <c r="K703" t="n">
        <v>0</v>
      </c>
      <c r="L703" t="n">
        <v>0</v>
      </c>
      <c r="M703" t="n">
        <v>0</v>
      </c>
      <c r="N703" t="n">
        <v>0</v>
      </c>
      <c r="O703" t="n">
        <v>0</v>
      </c>
      <c r="P703" t="n">
        <v>0</v>
      </c>
      <c r="Q703" t="n">
        <v>0</v>
      </c>
      <c r="R703" s="2" t="inlineStr"/>
    </row>
    <row r="704" ht="15" customHeight="1">
      <c r="A704" t="inlineStr">
        <is>
          <t>A 43300-2023</t>
        </is>
      </c>
      <c r="B704" s="1" t="n">
        <v>45183</v>
      </c>
      <c r="C704" s="1" t="n">
        <v>46173</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25654-2023</t>
        </is>
      </c>
      <c r="B705" s="1" t="n">
        <v>45089</v>
      </c>
      <c r="C705" s="1" t="n">
        <v>46173</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4183-2025</t>
        </is>
      </c>
      <c r="B706" s="1" t="n">
        <v>45685.44592592592</v>
      </c>
      <c r="C706" s="1" t="n">
        <v>46173</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46415-2025</t>
        </is>
      </c>
      <c r="B707" s="1" t="n">
        <v>45925.58636574074</v>
      </c>
      <c r="C707" s="1" t="n">
        <v>46173</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23125-2022</t>
        </is>
      </c>
      <c r="B708" s="1" t="n">
        <v>44719</v>
      </c>
      <c r="C708" s="1" t="n">
        <v>46173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9480-2025</t>
        </is>
      </c>
      <c r="B709" s="1" t="n">
        <v>45715</v>
      </c>
      <c r="C709" s="1" t="n">
        <v>46173</v>
      </c>
      <c r="D709" t="inlineStr">
        <is>
          <t>STOCKHOLMS LÄN</t>
        </is>
      </c>
      <c r="E709" t="inlineStr">
        <is>
          <t>NORRTÄLJE</t>
        </is>
      </c>
      <c r="F709" t="inlineStr">
        <is>
          <t>Övriga Aktiebolag</t>
        </is>
      </c>
      <c r="G709" t="n">
        <v>3.9</v>
      </c>
      <c r="H709" t="n">
        <v>0</v>
      </c>
      <c r="I709" t="n">
        <v>0</v>
      </c>
      <c r="J709" t="n">
        <v>0</v>
      </c>
      <c r="K709" t="n">
        <v>0</v>
      </c>
      <c r="L709" t="n">
        <v>0</v>
      </c>
      <c r="M709" t="n">
        <v>0</v>
      </c>
      <c r="N709" t="n">
        <v>0</v>
      </c>
      <c r="O709" t="n">
        <v>0</v>
      </c>
      <c r="P709" t="n">
        <v>0</v>
      </c>
      <c r="Q709" t="n">
        <v>0</v>
      </c>
      <c r="R709" s="2" t="inlineStr"/>
    </row>
    <row r="710" ht="15" customHeight="1">
      <c r="A710" t="inlineStr">
        <is>
          <t>A 20121-2022</t>
        </is>
      </c>
      <c r="B710" s="1" t="n">
        <v>44698</v>
      </c>
      <c r="C710" s="1" t="n">
        <v>46173</v>
      </c>
      <c r="D710" t="inlineStr">
        <is>
          <t>STOCKHOLMS LÄN</t>
        </is>
      </c>
      <c r="E710" t="inlineStr">
        <is>
          <t>NORRTÄLJE</t>
        </is>
      </c>
      <c r="G710" t="n">
        <v>4.2</v>
      </c>
      <c r="H710" t="n">
        <v>0</v>
      </c>
      <c r="I710" t="n">
        <v>0</v>
      </c>
      <c r="J710" t="n">
        <v>0</v>
      </c>
      <c r="K710" t="n">
        <v>0</v>
      </c>
      <c r="L710" t="n">
        <v>0</v>
      </c>
      <c r="M710" t="n">
        <v>0</v>
      </c>
      <c r="N710" t="n">
        <v>0</v>
      </c>
      <c r="O710" t="n">
        <v>0</v>
      </c>
      <c r="P710" t="n">
        <v>0</v>
      </c>
      <c r="Q710" t="n">
        <v>0</v>
      </c>
      <c r="R710" s="2" t="inlineStr"/>
    </row>
    <row r="711" ht="15" customHeight="1">
      <c r="A711" t="inlineStr">
        <is>
          <t>A 44836-2023</t>
        </is>
      </c>
      <c r="B711" s="1" t="n">
        <v>45190.55609953704</v>
      </c>
      <c r="C711" s="1" t="n">
        <v>46173</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33385-2024</t>
        </is>
      </c>
      <c r="B712" s="1" t="n">
        <v>45519</v>
      </c>
      <c r="C712" s="1" t="n">
        <v>46173</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41172-2023</t>
        </is>
      </c>
      <c r="B713" s="1" t="n">
        <v>45170</v>
      </c>
      <c r="C713" s="1" t="n">
        <v>46173</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73307-2021</t>
        </is>
      </c>
      <c r="B714" s="1" t="n">
        <v>44549</v>
      </c>
      <c r="C714" s="1" t="n">
        <v>46173</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50534-2024</t>
        </is>
      </c>
      <c r="B715" s="1" t="n">
        <v>45601.56726851852</v>
      </c>
      <c r="C715" s="1" t="n">
        <v>46173</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46900-2025</t>
        </is>
      </c>
      <c r="B716" s="1" t="n">
        <v>45929.38712962963</v>
      </c>
      <c r="C716" s="1" t="n">
        <v>46173</v>
      </c>
      <c r="D716" t="inlineStr">
        <is>
          <t>STOCKHOLMS LÄN</t>
        </is>
      </c>
      <c r="E716" t="inlineStr">
        <is>
          <t>NORRTÄLJE</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24522-2023</t>
        </is>
      </c>
      <c r="B717" s="1" t="n">
        <v>45082.69179398148</v>
      </c>
      <c r="C717" s="1" t="n">
        <v>46173</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46173</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20779-2025</t>
        </is>
      </c>
      <c r="B719" s="1" t="n">
        <v>45776.59871527777</v>
      </c>
      <c r="C719" s="1" t="n">
        <v>46173</v>
      </c>
      <c r="D719" t="inlineStr">
        <is>
          <t>STOCKHOLMS LÄN</t>
        </is>
      </c>
      <c r="E719" t="inlineStr">
        <is>
          <t>NORRTÄLJE</t>
        </is>
      </c>
      <c r="G719" t="n">
        <v>6.9</v>
      </c>
      <c r="H719" t="n">
        <v>0</v>
      </c>
      <c r="I719" t="n">
        <v>0</v>
      </c>
      <c r="J719" t="n">
        <v>0</v>
      </c>
      <c r="K719" t="n">
        <v>0</v>
      </c>
      <c r="L719" t="n">
        <v>0</v>
      </c>
      <c r="M719" t="n">
        <v>0</v>
      </c>
      <c r="N719" t="n">
        <v>0</v>
      </c>
      <c r="O719" t="n">
        <v>0</v>
      </c>
      <c r="P719" t="n">
        <v>0</v>
      </c>
      <c r="Q719" t="n">
        <v>0</v>
      </c>
      <c r="R719" s="2" t="inlineStr"/>
    </row>
    <row r="720" ht="15" customHeight="1">
      <c r="A720" t="inlineStr">
        <is>
          <t>A 37147-2023</t>
        </is>
      </c>
      <c r="B720" s="1" t="n">
        <v>45155</v>
      </c>
      <c r="C720" s="1" t="n">
        <v>46173</v>
      </c>
      <c r="D720" t="inlineStr">
        <is>
          <t>STOCKHOLMS LÄN</t>
        </is>
      </c>
      <c r="E720" t="inlineStr">
        <is>
          <t>NORRTÄLJE</t>
        </is>
      </c>
      <c r="G720" t="n">
        <v>8</v>
      </c>
      <c r="H720" t="n">
        <v>0</v>
      </c>
      <c r="I720" t="n">
        <v>0</v>
      </c>
      <c r="J720" t="n">
        <v>0</v>
      </c>
      <c r="K720" t="n">
        <v>0</v>
      </c>
      <c r="L720" t="n">
        <v>0</v>
      </c>
      <c r="M720" t="n">
        <v>0</v>
      </c>
      <c r="N720" t="n">
        <v>0</v>
      </c>
      <c r="O720" t="n">
        <v>0</v>
      </c>
      <c r="P720" t="n">
        <v>0</v>
      </c>
      <c r="Q720" t="n">
        <v>0</v>
      </c>
      <c r="R720" s="2" t="inlineStr"/>
    </row>
    <row r="721" ht="15" customHeight="1">
      <c r="A721" t="inlineStr">
        <is>
          <t>A 7186-2024</t>
        </is>
      </c>
      <c r="B721" s="1" t="n">
        <v>45344</v>
      </c>
      <c r="C721" s="1" t="n">
        <v>46173</v>
      </c>
      <c r="D721" t="inlineStr">
        <is>
          <t>STOCKHOLMS LÄN</t>
        </is>
      </c>
      <c r="E721" t="inlineStr">
        <is>
          <t>NORRTÄLJE</t>
        </is>
      </c>
      <c r="G721" t="n">
        <v>4.9</v>
      </c>
      <c r="H721" t="n">
        <v>0</v>
      </c>
      <c r="I721" t="n">
        <v>0</v>
      </c>
      <c r="J721" t="n">
        <v>0</v>
      </c>
      <c r="K721" t="n">
        <v>0</v>
      </c>
      <c r="L721" t="n">
        <v>0</v>
      </c>
      <c r="M721" t="n">
        <v>0</v>
      </c>
      <c r="N721" t="n">
        <v>0</v>
      </c>
      <c r="O721" t="n">
        <v>0</v>
      </c>
      <c r="P721" t="n">
        <v>0</v>
      </c>
      <c r="Q721" t="n">
        <v>0</v>
      </c>
      <c r="R721" s="2" t="inlineStr"/>
    </row>
    <row r="722" ht="15" customHeight="1">
      <c r="A722" t="inlineStr">
        <is>
          <t>A 65499-2021</t>
        </is>
      </c>
      <c r="B722" s="1" t="n">
        <v>44516</v>
      </c>
      <c r="C722" s="1" t="n">
        <v>46173</v>
      </c>
      <c r="D722" t="inlineStr">
        <is>
          <t>STOCKHOLMS LÄN</t>
        </is>
      </c>
      <c r="E722" t="inlineStr">
        <is>
          <t>NORRTÄLJE</t>
        </is>
      </c>
      <c r="F722" t="inlineStr">
        <is>
          <t>Kommuner</t>
        </is>
      </c>
      <c r="G722" t="n">
        <v>5.2</v>
      </c>
      <c r="H722" t="n">
        <v>0</v>
      </c>
      <c r="I722" t="n">
        <v>0</v>
      </c>
      <c r="J722" t="n">
        <v>0</v>
      </c>
      <c r="K722" t="n">
        <v>0</v>
      </c>
      <c r="L722" t="n">
        <v>0</v>
      </c>
      <c r="M722" t="n">
        <v>0</v>
      </c>
      <c r="N722" t="n">
        <v>0</v>
      </c>
      <c r="O722" t="n">
        <v>0</v>
      </c>
      <c r="P722" t="n">
        <v>0</v>
      </c>
      <c r="Q722" t="n">
        <v>0</v>
      </c>
      <c r="R722" s="2" t="inlineStr"/>
    </row>
    <row r="723" ht="15" customHeight="1">
      <c r="A723" t="inlineStr">
        <is>
          <t>A 65511-2021</t>
        </is>
      </c>
      <c r="B723" s="1" t="n">
        <v>44516.40674768519</v>
      </c>
      <c r="C723" s="1" t="n">
        <v>46173</v>
      </c>
      <c r="D723" t="inlineStr">
        <is>
          <t>STOCKHOLMS LÄN</t>
        </is>
      </c>
      <c r="E723" t="inlineStr">
        <is>
          <t>NORRTÄLJE</t>
        </is>
      </c>
      <c r="F723" t="inlineStr">
        <is>
          <t>Kommuner</t>
        </is>
      </c>
      <c r="G723" t="n">
        <v>2.8</v>
      </c>
      <c r="H723" t="n">
        <v>0</v>
      </c>
      <c r="I723" t="n">
        <v>0</v>
      </c>
      <c r="J723" t="n">
        <v>0</v>
      </c>
      <c r="K723" t="n">
        <v>0</v>
      </c>
      <c r="L723" t="n">
        <v>0</v>
      </c>
      <c r="M723" t="n">
        <v>0</v>
      </c>
      <c r="N723" t="n">
        <v>0</v>
      </c>
      <c r="O723" t="n">
        <v>0</v>
      </c>
      <c r="P723" t="n">
        <v>0</v>
      </c>
      <c r="Q723" t="n">
        <v>0</v>
      </c>
      <c r="R723" s="2" t="inlineStr"/>
    </row>
    <row r="724" ht="15" customHeight="1">
      <c r="A724" t="inlineStr">
        <is>
          <t>A 57602-2024</t>
        </is>
      </c>
      <c r="B724" s="1" t="n">
        <v>45630.52866898148</v>
      </c>
      <c r="C724" s="1" t="n">
        <v>46173</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64600-2021</t>
        </is>
      </c>
      <c r="B725" s="1" t="n">
        <v>44511.70518518519</v>
      </c>
      <c r="C725" s="1" t="n">
        <v>46173</v>
      </c>
      <c r="D725" t="inlineStr">
        <is>
          <t>STOCKHOLMS LÄN</t>
        </is>
      </c>
      <c r="E725" t="inlineStr">
        <is>
          <t>NORRTÄLJE</t>
        </is>
      </c>
      <c r="G725" t="n">
        <v>6.2</v>
      </c>
      <c r="H725" t="n">
        <v>0</v>
      </c>
      <c r="I725" t="n">
        <v>0</v>
      </c>
      <c r="J725" t="n">
        <v>0</v>
      </c>
      <c r="K725" t="n">
        <v>0</v>
      </c>
      <c r="L725" t="n">
        <v>0</v>
      </c>
      <c r="M725" t="n">
        <v>0</v>
      </c>
      <c r="N725" t="n">
        <v>0</v>
      </c>
      <c r="O725" t="n">
        <v>0</v>
      </c>
      <c r="P725" t="n">
        <v>0</v>
      </c>
      <c r="Q725" t="n">
        <v>0</v>
      </c>
      <c r="R725" s="2" t="inlineStr"/>
    </row>
    <row r="726" ht="15" customHeight="1">
      <c r="A726" t="inlineStr">
        <is>
          <t>A 22833-2024</t>
        </is>
      </c>
      <c r="B726" s="1" t="n">
        <v>45448.56746527777</v>
      </c>
      <c r="C726" s="1" t="n">
        <v>46173</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50602-2021</t>
        </is>
      </c>
      <c r="B727" s="1" t="n">
        <v>44459</v>
      </c>
      <c r="C727" s="1" t="n">
        <v>46173</v>
      </c>
      <c r="D727" t="inlineStr">
        <is>
          <t>STOCKHOLMS LÄN</t>
        </is>
      </c>
      <c r="E727" t="inlineStr">
        <is>
          <t>NORRTÄLJE</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26365-2024</t>
        </is>
      </c>
      <c r="B728" s="1" t="n">
        <v>45469</v>
      </c>
      <c r="C728" s="1" t="n">
        <v>46173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32514-2022</t>
        </is>
      </c>
      <c r="B729" s="1" t="n">
        <v>44782</v>
      </c>
      <c r="C729" s="1" t="n">
        <v>46173</v>
      </c>
      <c r="D729" t="inlineStr">
        <is>
          <t>STOCKHOLMS LÄN</t>
        </is>
      </c>
      <c r="E729" t="inlineStr">
        <is>
          <t>NORRTÄLJE</t>
        </is>
      </c>
      <c r="G729" t="n">
        <v>5.1</v>
      </c>
      <c r="H729" t="n">
        <v>0</v>
      </c>
      <c r="I729" t="n">
        <v>0</v>
      </c>
      <c r="J729" t="n">
        <v>0</v>
      </c>
      <c r="K729" t="n">
        <v>0</v>
      </c>
      <c r="L729" t="n">
        <v>0</v>
      </c>
      <c r="M729" t="n">
        <v>0</v>
      </c>
      <c r="N729" t="n">
        <v>0</v>
      </c>
      <c r="O729" t="n">
        <v>0</v>
      </c>
      <c r="P729" t="n">
        <v>0</v>
      </c>
      <c r="Q729" t="n">
        <v>0</v>
      </c>
      <c r="R729" s="2" t="inlineStr"/>
    </row>
    <row r="730" ht="15" customHeight="1">
      <c r="A730" t="inlineStr">
        <is>
          <t>A 29362-2022</t>
        </is>
      </c>
      <c r="B730" s="1" t="n">
        <v>44753</v>
      </c>
      <c r="C730" s="1" t="n">
        <v>46173</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35256-2025</t>
        </is>
      </c>
      <c r="B731" s="1" t="n">
        <v>45853</v>
      </c>
      <c r="C731" s="1" t="n">
        <v>46173</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26640-2023</t>
        </is>
      </c>
      <c r="B732" s="1" t="n">
        <v>45092</v>
      </c>
      <c r="C732" s="1" t="n">
        <v>46173</v>
      </c>
      <c r="D732" t="inlineStr">
        <is>
          <t>STOCKHOLMS LÄN</t>
        </is>
      </c>
      <c r="E732" t="inlineStr">
        <is>
          <t>NORRTÄLJE</t>
        </is>
      </c>
      <c r="G732" t="n">
        <v>5.7</v>
      </c>
      <c r="H732" t="n">
        <v>0</v>
      </c>
      <c r="I732" t="n">
        <v>0</v>
      </c>
      <c r="J732" t="n">
        <v>0</v>
      </c>
      <c r="K732" t="n">
        <v>0</v>
      </c>
      <c r="L732" t="n">
        <v>0</v>
      </c>
      <c r="M732" t="n">
        <v>0</v>
      </c>
      <c r="N732" t="n">
        <v>0</v>
      </c>
      <c r="O732" t="n">
        <v>0</v>
      </c>
      <c r="P732" t="n">
        <v>0</v>
      </c>
      <c r="Q732" t="n">
        <v>0</v>
      </c>
      <c r="R732" s="2" t="inlineStr"/>
    </row>
    <row r="733" ht="15" customHeight="1">
      <c r="A733" t="inlineStr">
        <is>
          <t>A 31827-2023</t>
        </is>
      </c>
      <c r="B733" s="1" t="n">
        <v>45118</v>
      </c>
      <c r="C733" s="1" t="n">
        <v>46173</v>
      </c>
      <c r="D733" t="inlineStr">
        <is>
          <t>STOCKHOLMS LÄN</t>
        </is>
      </c>
      <c r="E733" t="inlineStr">
        <is>
          <t>NORRTÄLJE</t>
        </is>
      </c>
      <c r="F733" t="inlineStr">
        <is>
          <t>Kyrkan</t>
        </is>
      </c>
      <c r="G733" t="n">
        <v>4.9</v>
      </c>
      <c r="H733" t="n">
        <v>0</v>
      </c>
      <c r="I733" t="n">
        <v>0</v>
      </c>
      <c r="J733" t="n">
        <v>0</v>
      </c>
      <c r="K733" t="n">
        <v>0</v>
      </c>
      <c r="L733" t="n">
        <v>0</v>
      </c>
      <c r="M733" t="n">
        <v>0</v>
      </c>
      <c r="N733" t="n">
        <v>0</v>
      </c>
      <c r="O733" t="n">
        <v>0</v>
      </c>
      <c r="P733" t="n">
        <v>0</v>
      </c>
      <c r="Q733" t="n">
        <v>0</v>
      </c>
      <c r="R733" s="2" t="inlineStr"/>
    </row>
    <row r="734" ht="15" customHeight="1">
      <c r="A734" t="inlineStr">
        <is>
          <t>A 58993-2022</t>
        </is>
      </c>
      <c r="B734" s="1" t="n">
        <v>44903</v>
      </c>
      <c r="C734" s="1" t="n">
        <v>46173</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28900-2022</t>
        </is>
      </c>
      <c r="B735" s="1" t="n">
        <v>44749.55258101852</v>
      </c>
      <c r="C735" s="1" t="n">
        <v>46173</v>
      </c>
      <c r="D735" t="inlineStr">
        <is>
          <t>STOCKHOLMS LÄN</t>
        </is>
      </c>
      <c r="E735" t="inlineStr">
        <is>
          <t>NORRTÄLJE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17574-2025</t>
        </is>
      </c>
      <c r="B736" s="1" t="n">
        <v>45757.65178240741</v>
      </c>
      <c r="C736" s="1" t="n">
        <v>46173</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58492-2022</t>
        </is>
      </c>
      <c r="B737" s="1" t="n">
        <v>44902</v>
      </c>
      <c r="C737" s="1" t="n">
        <v>46173</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51315-2021</t>
        </is>
      </c>
      <c r="B738" s="1" t="n">
        <v>44461</v>
      </c>
      <c r="C738" s="1" t="n">
        <v>46173</v>
      </c>
      <c r="D738" t="inlineStr">
        <is>
          <t>STOCKHOLMS LÄN</t>
        </is>
      </c>
      <c r="E738" t="inlineStr">
        <is>
          <t>NORRTÄLJE</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14873-2025</t>
        </is>
      </c>
      <c r="B739" s="1" t="n">
        <v>45743.44953703704</v>
      </c>
      <c r="C739" s="1" t="n">
        <v>46173</v>
      </c>
      <c r="D739" t="inlineStr">
        <is>
          <t>STOCKHOLMS LÄN</t>
        </is>
      </c>
      <c r="E739" t="inlineStr">
        <is>
          <t>NORRTÄLJE</t>
        </is>
      </c>
      <c r="G739" t="n">
        <v>10.2</v>
      </c>
      <c r="H739" t="n">
        <v>0</v>
      </c>
      <c r="I739" t="n">
        <v>0</v>
      </c>
      <c r="J739" t="n">
        <v>0</v>
      </c>
      <c r="K739" t="n">
        <v>0</v>
      </c>
      <c r="L739" t="n">
        <v>0</v>
      </c>
      <c r="M739" t="n">
        <v>0</v>
      </c>
      <c r="N739" t="n">
        <v>0</v>
      </c>
      <c r="O739" t="n">
        <v>0</v>
      </c>
      <c r="P739" t="n">
        <v>0</v>
      </c>
      <c r="Q739" t="n">
        <v>0</v>
      </c>
      <c r="R739" s="2" t="inlineStr"/>
    </row>
    <row r="740" ht="15" customHeight="1">
      <c r="A740" t="inlineStr">
        <is>
          <t>A 34773-2022</t>
        </is>
      </c>
      <c r="B740" s="1" t="n">
        <v>44795</v>
      </c>
      <c r="C740" s="1" t="n">
        <v>46173</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58297-2023</t>
        </is>
      </c>
      <c r="B741" s="1" t="n">
        <v>45245</v>
      </c>
      <c r="C741" s="1" t="n">
        <v>46173</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33173-2024</t>
        </is>
      </c>
      <c r="B742" s="1" t="n">
        <v>45518</v>
      </c>
      <c r="C742" s="1" t="n">
        <v>46173</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20304-2023</t>
        </is>
      </c>
      <c r="B743" s="1" t="n">
        <v>45056</v>
      </c>
      <c r="C743" s="1" t="n">
        <v>46173</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12299-2025</t>
        </is>
      </c>
      <c r="B744" s="1" t="n">
        <v>45729.71065972222</v>
      </c>
      <c r="C744" s="1" t="n">
        <v>46173</v>
      </c>
      <c r="D744" t="inlineStr">
        <is>
          <t>STOCKHOLMS LÄN</t>
        </is>
      </c>
      <c r="E744" t="inlineStr">
        <is>
          <t>NORRTÄLJE</t>
        </is>
      </c>
      <c r="F744" t="inlineStr">
        <is>
          <t>Holmen skog AB</t>
        </is>
      </c>
      <c r="G744" t="n">
        <v>6.9</v>
      </c>
      <c r="H744" t="n">
        <v>0</v>
      </c>
      <c r="I744" t="n">
        <v>0</v>
      </c>
      <c r="J744" t="n">
        <v>0</v>
      </c>
      <c r="K744" t="n">
        <v>0</v>
      </c>
      <c r="L744" t="n">
        <v>0</v>
      </c>
      <c r="M744" t="n">
        <v>0</v>
      </c>
      <c r="N744" t="n">
        <v>0</v>
      </c>
      <c r="O744" t="n">
        <v>0</v>
      </c>
      <c r="P744" t="n">
        <v>0</v>
      </c>
      <c r="Q744" t="n">
        <v>0</v>
      </c>
      <c r="R744" s="2" t="inlineStr"/>
    </row>
    <row r="745" ht="15" customHeight="1">
      <c r="A745" t="inlineStr">
        <is>
          <t>A 22157-2023</t>
        </is>
      </c>
      <c r="B745" s="1" t="n">
        <v>45069</v>
      </c>
      <c r="C745" s="1" t="n">
        <v>46173</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c r="U745">
        <f>HYPERLINK("https://klasma.github.io/Logging_0188/knärot/A 22157-2023 karta knärot.png", "A 22157-2023")</f>
        <v/>
      </c>
      <c r="V745">
        <f>HYPERLINK("https://klasma.github.io/Logging_0188/klagomål/A 22157-2023 FSC-klagomål.docx", "A 22157-2023")</f>
        <v/>
      </c>
      <c r="W745">
        <f>HYPERLINK("https://klasma.github.io/Logging_0188/klagomålsmail/A 22157-2023 FSC-klagomål mail.docx", "A 22157-2023")</f>
        <v/>
      </c>
      <c r="X745">
        <f>HYPERLINK("https://klasma.github.io/Logging_0188/tillsyn/A 22157-2023 tillsynsbegäran.docx", "A 22157-2023")</f>
        <v/>
      </c>
      <c r="Y745">
        <f>HYPERLINK("https://klasma.github.io/Logging_0188/tillsynsmail/A 22157-2023 tillsynsbegäran mail.docx", "A 22157-2023")</f>
        <v/>
      </c>
    </row>
    <row r="746" ht="15" customHeight="1">
      <c r="A746" t="inlineStr">
        <is>
          <t>A 11929-2024</t>
        </is>
      </c>
      <c r="B746" s="1" t="n">
        <v>45376.64532407407</v>
      </c>
      <c r="C746" s="1" t="n">
        <v>46173</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47498-2025</t>
        </is>
      </c>
      <c r="B747" s="1" t="n">
        <v>45930.8134375</v>
      </c>
      <c r="C747" s="1" t="n">
        <v>46173</v>
      </c>
      <c r="D747" t="inlineStr">
        <is>
          <t>STOCKHOLMS LÄN</t>
        </is>
      </c>
      <c r="E747" t="inlineStr">
        <is>
          <t>NORRTÄLJE</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47460-2025</t>
        </is>
      </c>
      <c r="B748" s="1" t="n">
        <v>45930.66012731481</v>
      </c>
      <c r="C748" s="1" t="n">
        <v>46173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47496-2025</t>
        </is>
      </c>
      <c r="B749" s="1" t="n">
        <v>45930.79252314815</v>
      </c>
      <c r="C749" s="1" t="n">
        <v>46173</v>
      </c>
      <c r="D749" t="inlineStr">
        <is>
          <t>STOCKHOLMS LÄN</t>
        </is>
      </c>
      <c r="E749" t="inlineStr">
        <is>
          <t>NORRTÄLJE</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47497-2025</t>
        </is>
      </c>
      <c r="B750" s="1" t="n">
        <v>45930.80217592593</v>
      </c>
      <c r="C750" s="1" t="n">
        <v>46173</v>
      </c>
      <c r="D750" t="inlineStr">
        <is>
          <t>STOCKHOLMS LÄN</t>
        </is>
      </c>
      <c r="E750" t="inlineStr">
        <is>
          <t>NORRTÄLJE</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48360-2025</t>
        </is>
      </c>
      <c r="B751" s="1" t="n">
        <v>45933.66253472222</v>
      </c>
      <c r="C751" s="1" t="n">
        <v>46173</v>
      </c>
      <c r="D751" t="inlineStr">
        <is>
          <t>STOCKHOLMS LÄN</t>
        </is>
      </c>
      <c r="E751" t="inlineStr">
        <is>
          <t>NORRTÄLJE</t>
        </is>
      </c>
      <c r="G751" t="n">
        <v>4.1</v>
      </c>
      <c r="H751" t="n">
        <v>0</v>
      </c>
      <c r="I751" t="n">
        <v>0</v>
      </c>
      <c r="J751" t="n">
        <v>0</v>
      </c>
      <c r="K751" t="n">
        <v>0</v>
      </c>
      <c r="L751" t="n">
        <v>0</v>
      </c>
      <c r="M751" t="n">
        <v>0</v>
      </c>
      <c r="N751" t="n">
        <v>0</v>
      </c>
      <c r="O751" t="n">
        <v>0</v>
      </c>
      <c r="P751" t="n">
        <v>0</v>
      </c>
      <c r="Q751" t="n">
        <v>0</v>
      </c>
      <c r="R751" s="2" t="inlineStr"/>
    </row>
    <row r="752" ht="15" customHeight="1">
      <c r="A752" t="inlineStr">
        <is>
          <t>A 48370-2025</t>
        </is>
      </c>
      <c r="B752" s="1" t="n">
        <v>45933.67854166667</v>
      </c>
      <c r="C752" s="1" t="n">
        <v>46173</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48364-2025</t>
        </is>
      </c>
      <c r="B753" s="1" t="n">
        <v>45933.66796296297</v>
      </c>
      <c r="C753" s="1" t="n">
        <v>46173</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8296-2023</t>
        </is>
      </c>
      <c r="B754" s="1" t="n">
        <v>44974</v>
      </c>
      <c r="C754" s="1" t="n">
        <v>46173</v>
      </c>
      <c r="D754" t="inlineStr">
        <is>
          <t>STOCKHOLMS LÄN</t>
        </is>
      </c>
      <c r="E754" t="inlineStr">
        <is>
          <t>NORRTÄLJE</t>
        </is>
      </c>
      <c r="G754" t="n">
        <v>3.8</v>
      </c>
      <c r="H754" t="n">
        <v>0</v>
      </c>
      <c r="I754" t="n">
        <v>0</v>
      </c>
      <c r="J754" t="n">
        <v>0</v>
      </c>
      <c r="K754" t="n">
        <v>0</v>
      </c>
      <c r="L754" t="n">
        <v>0</v>
      </c>
      <c r="M754" t="n">
        <v>0</v>
      </c>
      <c r="N754" t="n">
        <v>0</v>
      </c>
      <c r="O754" t="n">
        <v>0</v>
      </c>
      <c r="P754" t="n">
        <v>0</v>
      </c>
      <c r="Q754" t="n">
        <v>0</v>
      </c>
      <c r="R754" s="2" t="inlineStr"/>
    </row>
    <row r="755" ht="15" customHeight="1">
      <c r="A755" t="inlineStr">
        <is>
          <t>A 24575-2024</t>
        </is>
      </c>
      <c r="B755" s="1" t="n">
        <v>45460.45523148148</v>
      </c>
      <c r="C755" s="1" t="n">
        <v>46173</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64899-2023</t>
        </is>
      </c>
      <c r="B756" s="1" t="n">
        <v>45282</v>
      </c>
      <c r="C756" s="1" t="n">
        <v>46173</v>
      </c>
      <c r="D756" t="inlineStr">
        <is>
          <t>STOCKHOLMS LÄN</t>
        </is>
      </c>
      <c r="E756" t="inlineStr">
        <is>
          <t>NORRTÄLJE</t>
        </is>
      </c>
      <c r="G756" t="n">
        <v>6.3</v>
      </c>
      <c r="H756" t="n">
        <v>0</v>
      </c>
      <c r="I756" t="n">
        <v>0</v>
      </c>
      <c r="J756" t="n">
        <v>0</v>
      </c>
      <c r="K756" t="n">
        <v>0</v>
      </c>
      <c r="L756" t="n">
        <v>0</v>
      </c>
      <c r="M756" t="n">
        <v>0</v>
      </c>
      <c r="N756" t="n">
        <v>0</v>
      </c>
      <c r="O756" t="n">
        <v>0</v>
      </c>
      <c r="P756" t="n">
        <v>0</v>
      </c>
      <c r="Q756" t="n">
        <v>0</v>
      </c>
      <c r="R756" s="2" t="inlineStr"/>
    </row>
    <row r="757" ht="15" customHeight="1">
      <c r="A757" t="inlineStr">
        <is>
          <t>A 48174-2025</t>
        </is>
      </c>
      <c r="B757" s="1" t="n">
        <v>45933.44230324074</v>
      </c>
      <c r="C757" s="1" t="n">
        <v>46173</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4484-2025</t>
        </is>
      </c>
      <c r="B758" s="1" t="n">
        <v>45686.65545138889</v>
      </c>
      <c r="C758" s="1" t="n">
        <v>46173</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52593-2024</t>
        </is>
      </c>
      <c r="B759" s="1" t="n">
        <v>45609.70778935185</v>
      </c>
      <c r="C759" s="1" t="n">
        <v>46173</v>
      </c>
      <c r="D759" t="inlineStr">
        <is>
          <t>STOCKHOLMS LÄN</t>
        </is>
      </c>
      <c r="E759" t="inlineStr">
        <is>
          <t>NORRTÄLJE</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52617-2024</t>
        </is>
      </c>
      <c r="B760" s="1" t="n">
        <v>45609.85146990741</v>
      </c>
      <c r="C760" s="1" t="n">
        <v>46173</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48127-2025</t>
        </is>
      </c>
      <c r="B761" s="1" t="n">
        <v>45933.36621527778</v>
      </c>
      <c r="C761" s="1" t="n">
        <v>46173</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48179-2025</t>
        </is>
      </c>
      <c r="B762" s="1" t="n">
        <v>45933.44907407407</v>
      </c>
      <c r="C762" s="1" t="n">
        <v>46173</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33878-2024</t>
        </is>
      </c>
      <c r="B763" s="1" t="n">
        <v>45522.44414351852</v>
      </c>
      <c r="C763" s="1" t="n">
        <v>46173</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9246-2024</t>
        </is>
      </c>
      <c r="B764" s="1" t="n">
        <v>45357</v>
      </c>
      <c r="C764" s="1" t="n">
        <v>46173</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48718-2025</t>
        </is>
      </c>
      <c r="B765" s="1" t="n">
        <v>45936</v>
      </c>
      <c r="C765" s="1" t="n">
        <v>46173</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35698-2023</t>
        </is>
      </c>
      <c r="B766" s="1" t="n">
        <v>45147</v>
      </c>
      <c r="C766" s="1" t="n">
        <v>46173</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62398-2022</t>
        </is>
      </c>
      <c r="B767" s="1" t="n">
        <v>44923.90159722222</v>
      </c>
      <c r="C767" s="1" t="n">
        <v>46173</v>
      </c>
      <c r="D767" t="inlineStr">
        <is>
          <t>STOCKHOLMS LÄN</t>
        </is>
      </c>
      <c r="E767" t="inlineStr">
        <is>
          <t>NORRTÄLJE</t>
        </is>
      </c>
      <c r="G767" t="n">
        <v>4</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46173</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46173</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48593-2025</t>
        </is>
      </c>
      <c r="B770" s="1" t="n">
        <v>45936.4627662037</v>
      </c>
      <c r="C770" s="1" t="n">
        <v>46173</v>
      </c>
      <c r="D770" t="inlineStr">
        <is>
          <t>STOCKHOLMS LÄN</t>
        </is>
      </c>
      <c r="E770" t="inlineStr">
        <is>
          <t>NORRTÄLJE</t>
        </is>
      </c>
      <c r="G770" t="n">
        <v>4.2</v>
      </c>
      <c r="H770" t="n">
        <v>0</v>
      </c>
      <c r="I770" t="n">
        <v>0</v>
      </c>
      <c r="J770" t="n">
        <v>0</v>
      </c>
      <c r="K770" t="n">
        <v>0</v>
      </c>
      <c r="L770" t="n">
        <v>0</v>
      </c>
      <c r="M770" t="n">
        <v>0</v>
      </c>
      <c r="N770" t="n">
        <v>0</v>
      </c>
      <c r="O770" t="n">
        <v>0</v>
      </c>
      <c r="P770" t="n">
        <v>0</v>
      </c>
      <c r="Q770" t="n">
        <v>0</v>
      </c>
      <c r="R770" s="2" t="inlineStr"/>
    </row>
    <row r="771" ht="15" customHeight="1">
      <c r="A771" t="inlineStr">
        <is>
          <t>A 49700-2023</t>
        </is>
      </c>
      <c r="B771" s="1" t="n">
        <v>45212</v>
      </c>
      <c r="C771" s="1" t="n">
        <v>46173</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11062-2024</t>
        </is>
      </c>
      <c r="B772" s="1" t="n">
        <v>45370</v>
      </c>
      <c r="C772" s="1" t="n">
        <v>46173</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32071-2023</t>
        </is>
      </c>
      <c r="B773" s="1" t="n">
        <v>45119.57728009259</v>
      </c>
      <c r="C773" s="1" t="n">
        <v>46173</v>
      </c>
      <c r="D773" t="inlineStr">
        <is>
          <t>STOCKHOLMS LÄN</t>
        </is>
      </c>
      <c r="E773" t="inlineStr">
        <is>
          <t>NORRTÄLJE</t>
        </is>
      </c>
      <c r="G773" t="n">
        <v>6.5</v>
      </c>
      <c r="H773" t="n">
        <v>0</v>
      </c>
      <c r="I773" t="n">
        <v>0</v>
      </c>
      <c r="J773" t="n">
        <v>0</v>
      </c>
      <c r="K773" t="n">
        <v>0</v>
      </c>
      <c r="L773" t="n">
        <v>0</v>
      </c>
      <c r="M773" t="n">
        <v>0</v>
      </c>
      <c r="N773" t="n">
        <v>0</v>
      </c>
      <c r="O773" t="n">
        <v>0</v>
      </c>
      <c r="P773" t="n">
        <v>0</v>
      </c>
      <c r="Q773" t="n">
        <v>0</v>
      </c>
      <c r="R773" s="2" t="inlineStr"/>
    </row>
    <row r="774" ht="15" customHeight="1">
      <c r="A774" t="inlineStr">
        <is>
          <t>A 48443-2025</t>
        </is>
      </c>
      <c r="B774" s="1" t="n">
        <v>45935.55326388889</v>
      </c>
      <c r="C774" s="1" t="n">
        <v>46173</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1425-2025</t>
        </is>
      </c>
      <c r="B775" s="1" t="n">
        <v>45668.67446759259</v>
      </c>
      <c r="C775" s="1" t="n">
        <v>46173</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17775-2022</t>
        </is>
      </c>
      <c r="B776" s="1" t="n">
        <v>44682.78430555556</v>
      </c>
      <c r="C776" s="1" t="n">
        <v>46173</v>
      </c>
      <c r="D776" t="inlineStr">
        <is>
          <t>STOCKHOLMS LÄN</t>
        </is>
      </c>
      <c r="E776" t="inlineStr">
        <is>
          <t>NORRTÄLJE</t>
        </is>
      </c>
      <c r="G776" t="n">
        <v>4.7</v>
      </c>
      <c r="H776" t="n">
        <v>0</v>
      </c>
      <c r="I776" t="n">
        <v>0</v>
      </c>
      <c r="J776" t="n">
        <v>0</v>
      </c>
      <c r="K776" t="n">
        <v>0</v>
      </c>
      <c r="L776" t="n">
        <v>0</v>
      </c>
      <c r="M776" t="n">
        <v>0</v>
      </c>
      <c r="N776" t="n">
        <v>0</v>
      </c>
      <c r="O776" t="n">
        <v>0</v>
      </c>
      <c r="P776" t="n">
        <v>0</v>
      </c>
      <c r="Q776" t="n">
        <v>0</v>
      </c>
      <c r="R776" s="2" t="inlineStr"/>
    </row>
    <row r="777" ht="15" customHeight="1">
      <c r="A777" t="inlineStr">
        <is>
          <t>A 33569-2023</t>
        </is>
      </c>
      <c r="B777" s="1" t="n">
        <v>45131.666875</v>
      </c>
      <c r="C777" s="1" t="n">
        <v>46173</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15905-2023</t>
        </is>
      </c>
      <c r="B778" s="1" t="n">
        <v>45022</v>
      </c>
      <c r="C778" s="1" t="n">
        <v>46173</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21771-2025</t>
        </is>
      </c>
      <c r="B779" s="1" t="n">
        <v>45783</v>
      </c>
      <c r="C779" s="1" t="n">
        <v>46173</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15956-2023</t>
        </is>
      </c>
      <c r="B780" s="1" t="n">
        <v>45022.61003472222</v>
      </c>
      <c r="C780" s="1" t="n">
        <v>46173</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38720-2022</t>
        </is>
      </c>
      <c r="B781" s="1" t="n">
        <v>44815.74539351852</v>
      </c>
      <c r="C781" s="1" t="n">
        <v>46173</v>
      </c>
      <c r="D781" t="inlineStr">
        <is>
          <t>STOCKHOLMS LÄN</t>
        </is>
      </c>
      <c r="E781" t="inlineStr">
        <is>
          <t>NORRTÄLJE</t>
        </is>
      </c>
      <c r="G781" t="n">
        <v>2.5</v>
      </c>
      <c r="H781" t="n">
        <v>0</v>
      </c>
      <c r="I781" t="n">
        <v>0</v>
      </c>
      <c r="J781" t="n">
        <v>0</v>
      </c>
      <c r="K781" t="n">
        <v>0</v>
      </c>
      <c r="L781" t="n">
        <v>0</v>
      </c>
      <c r="M781" t="n">
        <v>0</v>
      </c>
      <c r="N781" t="n">
        <v>0</v>
      </c>
      <c r="O781" t="n">
        <v>0</v>
      </c>
      <c r="P781" t="n">
        <v>0</v>
      </c>
      <c r="Q781" t="n">
        <v>0</v>
      </c>
      <c r="R781" s="2" t="inlineStr"/>
    </row>
    <row r="782" ht="15" customHeight="1">
      <c r="A782" t="inlineStr">
        <is>
          <t>A 10215-2023</t>
        </is>
      </c>
      <c r="B782" s="1" t="n">
        <v>44986.5887962963</v>
      </c>
      <c r="C782" s="1" t="n">
        <v>46173</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48780-2025</t>
        </is>
      </c>
      <c r="B783" s="1" t="n">
        <v>45937.30377314815</v>
      </c>
      <c r="C783" s="1" t="n">
        <v>46173</v>
      </c>
      <c r="D783" t="inlineStr">
        <is>
          <t>STOCKHOLMS LÄN</t>
        </is>
      </c>
      <c r="E783" t="inlineStr">
        <is>
          <t>NORRTÄLJE</t>
        </is>
      </c>
      <c r="G783" t="n">
        <v>7.7</v>
      </c>
      <c r="H783" t="n">
        <v>0</v>
      </c>
      <c r="I783" t="n">
        <v>0</v>
      </c>
      <c r="J783" t="n">
        <v>0</v>
      </c>
      <c r="K783" t="n">
        <v>0</v>
      </c>
      <c r="L783" t="n">
        <v>0</v>
      </c>
      <c r="M783" t="n">
        <v>0</v>
      </c>
      <c r="N783" t="n">
        <v>0</v>
      </c>
      <c r="O783" t="n">
        <v>0</v>
      </c>
      <c r="P783" t="n">
        <v>0</v>
      </c>
      <c r="Q783" t="n">
        <v>0</v>
      </c>
      <c r="R783" s="2" t="inlineStr"/>
    </row>
    <row r="784" ht="15" customHeight="1">
      <c r="A784" t="inlineStr">
        <is>
          <t>A 47626-2022</t>
        </is>
      </c>
      <c r="B784" s="1" t="n">
        <v>44854</v>
      </c>
      <c r="C784" s="1" t="n">
        <v>46173</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25609-2023</t>
        </is>
      </c>
      <c r="B785" s="1" t="n">
        <v>45089</v>
      </c>
      <c r="C785" s="1" t="n">
        <v>46173</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62206-2022</t>
        </is>
      </c>
      <c r="B786" s="1" t="n">
        <v>44922</v>
      </c>
      <c r="C786" s="1" t="n">
        <v>46173</v>
      </c>
      <c r="D786" t="inlineStr">
        <is>
          <t>STOCKHOLMS LÄN</t>
        </is>
      </c>
      <c r="E786" t="inlineStr">
        <is>
          <t>NORRTÄLJE</t>
        </is>
      </c>
      <c r="G786" t="n">
        <v>2.9</v>
      </c>
      <c r="H786" t="n">
        <v>0</v>
      </c>
      <c r="I786" t="n">
        <v>0</v>
      </c>
      <c r="J786" t="n">
        <v>0</v>
      </c>
      <c r="K786" t="n">
        <v>0</v>
      </c>
      <c r="L786" t="n">
        <v>0</v>
      </c>
      <c r="M786" t="n">
        <v>0</v>
      </c>
      <c r="N786" t="n">
        <v>0</v>
      </c>
      <c r="O786" t="n">
        <v>0</v>
      </c>
      <c r="P786" t="n">
        <v>0</v>
      </c>
      <c r="Q786" t="n">
        <v>0</v>
      </c>
      <c r="R786" s="2" t="inlineStr"/>
    </row>
    <row r="787" ht="15" customHeight="1">
      <c r="A787" t="inlineStr">
        <is>
          <t>A 20014-2025</t>
        </is>
      </c>
      <c r="B787" s="1" t="n">
        <v>45772.3078125</v>
      </c>
      <c r="C787" s="1" t="n">
        <v>46173</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20618-2022</t>
        </is>
      </c>
      <c r="B788" s="1" t="n">
        <v>44700.50659722222</v>
      </c>
      <c r="C788" s="1" t="n">
        <v>46173</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20136-2025</t>
        </is>
      </c>
      <c r="B789" s="1" t="n">
        <v>45772.51127314815</v>
      </c>
      <c r="C789" s="1" t="n">
        <v>46173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49129-2025</t>
        </is>
      </c>
      <c r="B790" s="1" t="n">
        <v>45937.89517361111</v>
      </c>
      <c r="C790" s="1" t="n">
        <v>46173</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11900-2022</t>
        </is>
      </c>
      <c r="B791" s="1" t="n">
        <v>44635</v>
      </c>
      <c r="C791" s="1" t="n">
        <v>46173</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10973-2025</t>
        </is>
      </c>
      <c r="B792" s="1" t="n">
        <v>45723</v>
      </c>
      <c r="C792" s="1" t="n">
        <v>46173</v>
      </c>
      <c r="D792" t="inlineStr">
        <is>
          <t>STOCKHOLMS LÄN</t>
        </is>
      </c>
      <c r="E792" t="inlineStr">
        <is>
          <t>NORRTÄLJE</t>
        </is>
      </c>
      <c r="F792" t="inlineStr">
        <is>
          <t>Övriga Aktiebolag</t>
        </is>
      </c>
      <c r="G792" t="n">
        <v>2.7</v>
      </c>
      <c r="H792" t="n">
        <v>0</v>
      </c>
      <c r="I792" t="n">
        <v>0</v>
      </c>
      <c r="J792" t="n">
        <v>0</v>
      </c>
      <c r="K792" t="n">
        <v>0</v>
      </c>
      <c r="L792" t="n">
        <v>0</v>
      </c>
      <c r="M792" t="n">
        <v>0</v>
      </c>
      <c r="N792" t="n">
        <v>0</v>
      </c>
      <c r="O792" t="n">
        <v>0</v>
      </c>
      <c r="P792" t="n">
        <v>0</v>
      </c>
      <c r="Q792" t="n">
        <v>0</v>
      </c>
      <c r="R792" s="2" t="inlineStr"/>
    </row>
    <row r="793" ht="15" customHeight="1">
      <c r="A793" t="inlineStr">
        <is>
          <t>A 27885-2022</t>
        </is>
      </c>
      <c r="B793" s="1" t="n">
        <v>44743.67418981482</v>
      </c>
      <c r="C793" s="1" t="n">
        <v>46173</v>
      </c>
      <c r="D793" t="inlineStr">
        <is>
          <t>STOCKHOLMS LÄN</t>
        </is>
      </c>
      <c r="E793" t="inlineStr">
        <is>
          <t>NORRTÄLJE</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2287-2024</t>
        </is>
      </c>
      <c r="B794" s="1" t="n">
        <v>45310</v>
      </c>
      <c r="C794" s="1" t="n">
        <v>46173</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13785-2024</t>
        </is>
      </c>
      <c r="B795" s="1" t="n">
        <v>45391.3395949074</v>
      </c>
      <c r="C795" s="1" t="n">
        <v>46173</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50469-2022</t>
        </is>
      </c>
      <c r="B796" s="1" t="n">
        <v>44866.49827546296</v>
      </c>
      <c r="C796" s="1" t="n">
        <v>46173</v>
      </c>
      <c r="D796" t="inlineStr">
        <is>
          <t>STOCKHOLMS LÄN</t>
        </is>
      </c>
      <c r="E796" t="inlineStr">
        <is>
          <t>NORRTÄLJE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51116-2022</t>
        </is>
      </c>
      <c r="B797" s="1" t="n">
        <v>44868.45741898148</v>
      </c>
      <c r="C797" s="1" t="n">
        <v>46173</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50097-2025</t>
        </is>
      </c>
      <c r="B798" s="1" t="n">
        <v>45943.50207175926</v>
      </c>
      <c r="C798" s="1" t="n">
        <v>46173</v>
      </c>
      <c r="D798" t="inlineStr">
        <is>
          <t>STOCKHOLMS LÄN</t>
        </is>
      </c>
      <c r="E798" t="inlineStr">
        <is>
          <t>NORRTÄLJE</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49836-2025</t>
        </is>
      </c>
      <c r="B799" s="1" t="n">
        <v>45940.46862268518</v>
      </c>
      <c r="C799" s="1" t="n">
        <v>46173</v>
      </c>
      <c r="D799" t="inlineStr">
        <is>
          <t>STOCKHOLMS LÄN</t>
        </is>
      </c>
      <c r="E799" t="inlineStr">
        <is>
          <t>NORRTÄLJE</t>
        </is>
      </c>
      <c r="G799" t="n">
        <v>3.5</v>
      </c>
      <c r="H799" t="n">
        <v>0</v>
      </c>
      <c r="I799" t="n">
        <v>0</v>
      </c>
      <c r="J799" t="n">
        <v>0</v>
      </c>
      <c r="K799" t="n">
        <v>0</v>
      </c>
      <c r="L799" t="n">
        <v>0</v>
      </c>
      <c r="M799" t="n">
        <v>0</v>
      </c>
      <c r="N799" t="n">
        <v>0</v>
      </c>
      <c r="O799" t="n">
        <v>0</v>
      </c>
      <c r="P799" t="n">
        <v>0</v>
      </c>
      <c r="Q799" t="n">
        <v>0</v>
      </c>
      <c r="R799" s="2" t="inlineStr"/>
    </row>
    <row r="800" ht="15" customHeight="1">
      <c r="A800" t="inlineStr">
        <is>
          <t>A 60217-2021</t>
        </is>
      </c>
      <c r="B800" s="1" t="n">
        <v>44495.5893287037</v>
      </c>
      <c r="C800" s="1" t="n">
        <v>46173</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5839-2023</t>
        </is>
      </c>
      <c r="B801" s="1" t="n">
        <v>44963</v>
      </c>
      <c r="C801" s="1" t="n">
        <v>46173</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50327-2025</t>
        </is>
      </c>
      <c r="B802" s="1" t="n">
        <v>45944.46387731482</v>
      </c>
      <c r="C802" s="1" t="n">
        <v>46173</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60224-2023</t>
        </is>
      </c>
      <c r="B803" s="1" t="n">
        <v>45257</v>
      </c>
      <c r="C803" s="1" t="n">
        <v>46173</v>
      </c>
      <c r="D803" t="inlineStr">
        <is>
          <t>STOCKHOLMS LÄN</t>
        </is>
      </c>
      <c r="E803" t="inlineStr">
        <is>
          <t>NORRTÄLJE</t>
        </is>
      </c>
      <c r="G803" t="n">
        <v>8.1</v>
      </c>
      <c r="H803" t="n">
        <v>0</v>
      </c>
      <c r="I803" t="n">
        <v>0</v>
      </c>
      <c r="J803" t="n">
        <v>0</v>
      </c>
      <c r="K803" t="n">
        <v>0</v>
      </c>
      <c r="L803" t="n">
        <v>0</v>
      </c>
      <c r="M803" t="n">
        <v>0</v>
      </c>
      <c r="N803" t="n">
        <v>0</v>
      </c>
      <c r="O803" t="n">
        <v>0</v>
      </c>
      <c r="P803" t="n">
        <v>0</v>
      </c>
      <c r="Q803" t="n">
        <v>0</v>
      </c>
      <c r="R803" s="2" t="inlineStr"/>
    </row>
    <row r="804" ht="15" customHeight="1">
      <c r="A804" t="inlineStr">
        <is>
          <t>A 5158-2024</t>
        </is>
      </c>
      <c r="B804" s="1" t="n">
        <v>45330.50098379629</v>
      </c>
      <c r="C804" s="1" t="n">
        <v>46173</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38985-2022</t>
        </is>
      </c>
      <c r="B805" s="1" t="n">
        <v>44816</v>
      </c>
      <c r="C805" s="1" t="n">
        <v>46173</v>
      </c>
      <c r="D805" t="inlineStr">
        <is>
          <t>STOCKHOLMS LÄN</t>
        </is>
      </c>
      <c r="E805" t="inlineStr">
        <is>
          <t>NORRTÄLJE</t>
        </is>
      </c>
      <c r="G805" t="n">
        <v>10.1</v>
      </c>
      <c r="H805" t="n">
        <v>0</v>
      </c>
      <c r="I805" t="n">
        <v>0</v>
      </c>
      <c r="J805" t="n">
        <v>0</v>
      </c>
      <c r="K805" t="n">
        <v>0</v>
      </c>
      <c r="L805" t="n">
        <v>0</v>
      </c>
      <c r="M805" t="n">
        <v>0</v>
      </c>
      <c r="N805" t="n">
        <v>0</v>
      </c>
      <c r="O805" t="n">
        <v>0</v>
      </c>
      <c r="P805" t="n">
        <v>0</v>
      </c>
      <c r="Q805" t="n">
        <v>0</v>
      </c>
      <c r="R805" s="2" t="inlineStr"/>
    </row>
    <row r="806" ht="15" customHeight="1">
      <c r="A806" t="inlineStr">
        <is>
          <t>A 50563-2025</t>
        </is>
      </c>
      <c r="B806" s="1" t="n">
        <v>45944</v>
      </c>
      <c r="C806" s="1" t="n">
        <v>46173</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50333-2025</t>
        </is>
      </c>
      <c r="B807" s="1" t="n">
        <v>45944.47178240741</v>
      </c>
      <c r="C807" s="1" t="n">
        <v>46173</v>
      </c>
      <c r="D807" t="inlineStr">
        <is>
          <t>STOCKHOLMS LÄN</t>
        </is>
      </c>
      <c r="E807" t="inlineStr">
        <is>
          <t>NORRTÄLJE</t>
        </is>
      </c>
      <c r="G807" t="n">
        <v>4.2</v>
      </c>
      <c r="H807" t="n">
        <v>0</v>
      </c>
      <c r="I807" t="n">
        <v>0</v>
      </c>
      <c r="J807" t="n">
        <v>0</v>
      </c>
      <c r="K807" t="n">
        <v>0</v>
      </c>
      <c r="L807" t="n">
        <v>0</v>
      </c>
      <c r="M807" t="n">
        <v>0</v>
      </c>
      <c r="N807" t="n">
        <v>0</v>
      </c>
      <c r="O807" t="n">
        <v>0</v>
      </c>
      <c r="P807" t="n">
        <v>0</v>
      </c>
      <c r="Q807" t="n">
        <v>0</v>
      </c>
      <c r="R807" s="2" t="inlineStr"/>
    </row>
    <row r="808" ht="15" customHeight="1">
      <c r="A808" t="inlineStr">
        <is>
          <t>A 51122-2025</t>
        </is>
      </c>
      <c r="B808" s="1" t="n">
        <v>45947.53693287037</v>
      </c>
      <c r="C808" s="1" t="n">
        <v>46173</v>
      </c>
      <c r="D808" t="inlineStr">
        <is>
          <t>STOCKHOLMS LÄN</t>
        </is>
      </c>
      <c r="E808" t="inlineStr">
        <is>
          <t>NORRTÄLJE</t>
        </is>
      </c>
      <c r="G808" t="n">
        <v>3.8</v>
      </c>
      <c r="H808" t="n">
        <v>0</v>
      </c>
      <c r="I808" t="n">
        <v>0</v>
      </c>
      <c r="J808" t="n">
        <v>0</v>
      </c>
      <c r="K808" t="n">
        <v>0</v>
      </c>
      <c r="L808" t="n">
        <v>0</v>
      </c>
      <c r="M808" t="n">
        <v>0</v>
      </c>
      <c r="N808" t="n">
        <v>0</v>
      </c>
      <c r="O808" t="n">
        <v>0</v>
      </c>
      <c r="P808" t="n">
        <v>0</v>
      </c>
      <c r="Q808" t="n">
        <v>0</v>
      </c>
      <c r="R808" s="2" t="inlineStr"/>
    </row>
    <row r="809" ht="15" customHeight="1">
      <c r="A809" t="inlineStr">
        <is>
          <t>A 9130-2025</t>
        </is>
      </c>
      <c r="B809" s="1" t="n">
        <v>45713.92623842593</v>
      </c>
      <c r="C809" s="1" t="n">
        <v>46173</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51233-2025</t>
        </is>
      </c>
      <c r="B810" s="1" t="n">
        <v>45947.68232638889</v>
      </c>
      <c r="C810" s="1" t="n">
        <v>46173</v>
      </c>
      <c r="D810" t="inlineStr">
        <is>
          <t>STOCKHOLMS LÄN</t>
        </is>
      </c>
      <c r="E810" t="inlineStr">
        <is>
          <t>NORRTÄLJE</t>
        </is>
      </c>
      <c r="F810" t="inlineStr">
        <is>
          <t>Naturvårdsverket</t>
        </is>
      </c>
      <c r="G810" t="n">
        <v>8.1</v>
      </c>
      <c r="H810" t="n">
        <v>0</v>
      </c>
      <c r="I810" t="n">
        <v>0</v>
      </c>
      <c r="J810" t="n">
        <v>0</v>
      </c>
      <c r="K810" t="n">
        <v>0</v>
      </c>
      <c r="L810" t="n">
        <v>0</v>
      </c>
      <c r="M810" t="n">
        <v>0</v>
      </c>
      <c r="N810" t="n">
        <v>0</v>
      </c>
      <c r="O810" t="n">
        <v>0</v>
      </c>
      <c r="P810" t="n">
        <v>0</v>
      </c>
      <c r="Q810" t="n">
        <v>0</v>
      </c>
      <c r="R810" s="2" t="inlineStr"/>
    </row>
    <row r="811" ht="15" customHeight="1">
      <c r="A811" t="inlineStr">
        <is>
          <t>A 51236-2025</t>
        </is>
      </c>
      <c r="B811" s="1" t="n">
        <v>45947.69078703703</v>
      </c>
      <c r="C811" s="1" t="n">
        <v>46173</v>
      </c>
      <c r="D811" t="inlineStr">
        <is>
          <t>STOCKHOLMS LÄN</t>
        </is>
      </c>
      <c r="E811" t="inlineStr">
        <is>
          <t>NORRTÄLJE</t>
        </is>
      </c>
      <c r="F811" t="inlineStr">
        <is>
          <t>Naturvårdsverket</t>
        </is>
      </c>
      <c r="G811" t="n">
        <v>6.3</v>
      </c>
      <c r="H811" t="n">
        <v>0</v>
      </c>
      <c r="I811" t="n">
        <v>0</v>
      </c>
      <c r="J811" t="n">
        <v>0</v>
      </c>
      <c r="K811" t="n">
        <v>0</v>
      </c>
      <c r="L811" t="n">
        <v>0</v>
      </c>
      <c r="M811" t="n">
        <v>0</v>
      </c>
      <c r="N811" t="n">
        <v>0</v>
      </c>
      <c r="O811" t="n">
        <v>0</v>
      </c>
      <c r="P811" t="n">
        <v>0</v>
      </c>
      <c r="Q811" t="n">
        <v>0</v>
      </c>
      <c r="R811" s="2" t="inlineStr"/>
    </row>
    <row r="812" ht="15" customHeight="1">
      <c r="A812" t="inlineStr">
        <is>
          <t>A 51241-2025</t>
        </is>
      </c>
      <c r="B812" s="1" t="n">
        <v>45947.71726851852</v>
      </c>
      <c r="C812" s="1" t="n">
        <v>46173</v>
      </c>
      <c r="D812" t="inlineStr">
        <is>
          <t>STOCKHOLMS LÄN</t>
        </is>
      </c>
      <c r="E812" t="inlineStr">
        <is>
          <t>NORRTÄLJE</t>
        </is>
      </c>
      <c r="F812" t="inlineStr">
        <is>
          <t>Naturvårdsverket</t>
        </is>
      </c>
      <c r="G812" t="n">
        <v>6.4</v>
      </c>
      <c r="H812" t="n">
        <v>0</v>
      </c>
      <c r="I812" t="n">
        <v>0</v>
      </c>
      <c r="J812" t="n">
        <v>0</v>
      </c>
      <c r="K812" t="n">
        <v>0</v>
      </c>
      <c r="L812" t="n">
        <v>0</v>
      </c>
      <c r="M812" t="n">
        <v>0</v>
      </c>
      <c r="N812" t="n">
        <v>0</v>
      </c>
      <c r="O812" t="n">
        <v>0</v>
      </c>
      <c r="P812" t="n">
        <v>0</v>
      </c>
      <c r="Q812" t="n">
        <v>0</v>
      </c>
      <c r="R812" s="2" t="inlineStr"/>
    </row>
    <row r="813" ht="15" customHeight="1">
      <c r="A813" t="inlineStr">
        <is>
          <t>A 51240-2025</t>
        </is>
      </c>
      <c r="B813" s="1" t="n">
        <v>45947.70420138889</v>
      </c>
      <c r="C813" s="1" t="n">
        <v>46173</v>
      </c>
      <c r="D813" t="inlineStr">
        <is>
          <t>STOCKHOLMS LÄN</t>
        </is>
      </c>
      <c r="E813" t="inlineStr">
        <is>
          <t>NORRTÄLJE</t>
        </is>
      </c>
      <c r="F813" t="inlineStr">
        <is>
          <t>Naturvårdsverket</t>
        </is>
      </c>
      <c r="G813" t="n">
        <v>3</v>
      </c>
      <c r="H813" t="n">
        <v>0</v>
      </c>
      <c r="I813" t="n">
        <v>0</v>
      </c>
      <c r="J813" t="n">
        <v>0</v>
      </c>
      <c r="K813" t="n">
        <v>0</v>
      </c>
      <c r="L813" t="n">
        <v>0</v>
      </c>
      <c r="M813" t="n">
        <v>0</v>
      </c>
      <c r="N813" t="n">
        <v>0</v>
      </c>
      <c r="O813" t="n">
        <v>0</v>
      </c>
      <c r="P813" t="n">
        <v>0</v>
      </c>
      <c r="Q813" t="n">
        <v>0</v>
      </c>
      <c r="R813" s="2" t="inlineStr"/>
    </row>
    <row r="814" ht="15" customHeight="1">
      <c r="A814" t="inlineStr">
        <is>
          <t>A 5665-2025</t>
        </is>
      </c>
      <c r="B814" s="1" t="n">
        <v>45693</v>
      </c>
      <c r="C814" s="1" t="n">
        <v>46173</v>
      </c>
      <c r="D814" t="inlineStr">
        <is>
          <t>STOCKHOLMS LÄN</t>
        </is>
      </c>
      <c r="E814" t="inlineStr">
        <is>
          <t>NORRTÄLJE</t>
        </is>
      </c>
      <c r="G814" t="n">
        <v>4</v>
      </c>
      <c r="H814" t="n">
        <v>0</v>
      </c>
      <c r="I814" t="n">
        <v>0</v>
      </c>
      <c r="J814" t="n">
        <v>0</v>
      </c>
      <c r="K814" t="n">
        <v>0</v>
      </c>
      <c r="L814" t="n">
        <v>0</v>
      </c>
      <c r="M814" t="n">
        <v>0</v>
      </c>
      <c r="N814" t="n">
        <v>0</v>
      </c>
      <c r="O814" t="n">
        <v>0</v>
      </c>
      <c r="P814" t="n">
        <v>0</v>
      </c>
      <c r="Q814" t="n">
        <v>0</v>
      </c>
      <c r="R814" s="2" t="inlineStr"/>
    </row>
    <row r="815" ht="15" customHeight="1">
      <c r="A815" t="inlineStr">
        <is>
          <t>A 17551-2025</t>
        </is>
      </c>
      <c r="B815" s="1" t="n">
        <v>45757.61421296297</v>
      </c>
      <c r="C815" s="1" t="n">
        <v>46173</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3426-2025</t>
        </is>
      </c>
      <c r="B816" s="1" t="n">
        <v>45680.42665509259</v>
      </c>
      <c r="C816" s="1" t="n">
        <v>46173</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55010-2024</t>
        </is>
      </c>
      <c r="B817" s="1" t="n">
        <v>45621.34425925926</v>
      </c>
      <c r="C817" s="1" t="n">
        <v>46173</v>
      </c>
      <c r="D817" t="inlineStr">
        <is>
          <t>STOCKHOLMS LÄN</t>
        </is>
      </c>
      <c r="E817" t="inlineStr">
        <is>
          <t>NORRTÄLJE</t>
        </is>
      </c>
      <c r="F817" t="inlineStr">
        <is>
          <t>Sveaskog</t>
        </is>
      </c>
      <c r="G817" t="n">
        <v>5.7</v>
      </c>
      <c r="H817" t="n">
        <v>0</v>
      </c>
      <c r="I817" t="n">
        <v>0</v>
      </c>
      <c r="J817" t="n">
        <v>0</v>
      </c>
      <c r="K817" t="n">
        <v>0</v>
      </c>
      <c r="L817" t="n">
        <v>0</v>
      </c>
      <c r="M817" t="n">
        <v>0</v>
      </c>
      <c r="N817" t="n">
        <v>0</v>
      </c>
      <c r="O817" t="n">
        <v>0</v>
      </c>
      <c r="P817" t="n">
        <v>0</v>
      </c>
      <c r="Q817" t="n">
        <v>0</v>
      </c>
      <c r="R817" s="2" t="inlineStr"/>
    </row>
    <row r="818" ht="15" customHeight="1">
      <c r="A818" t="inlineStr">
        <is>
          <t>A 31105-2022</t>
        </is>
      </c>
      <c r="B818" s="1" t="n">
        <v>44769.66039351852</v>
      </c>
      <c r="C818" s="1" t="n">
        <v>46173</v>
      </c>
      <c r="D818" t="inlineStr">
        <is>
          <t>STOCKHOLMS LÄN</t>
        </is>
      </c>
      <c r="E818" t="inlineStr">
        <is>
          <t>NORRTÄLJE</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51121-2025</t>
        </is>
      </c>
      <c r="B819" s="1" t="n">
        <v>45947.53293981482</v>
      </c>
      <c r="C819" s="1" t="n">
        <v>46173</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58530-2024</t>
        </is>
      </c>
      <c r="B820" s="1" t="n">
        <v>45635.44788194444</v>
      </c>
      <c r="C820" s="1" t="n">
        <v>46173</v>
      </c>
      <c r="D820" t="inlineStr">
        <is>
          <t>STOCKHOLMS LÄN</t>
        </is>
      </c>
      <c r="E820" t="inlineStr">
        <is>
          <t>NORRTÄLJE</t>
        </is>
      </c>
      <c r="G820" t="n">
        <v>4.5</v>
      </c>
      <c r="H820" t="n">
        <v>0</v>
      </c>
      <c r="I820" t="n">
        <v>0</v>
      </c>
      <c r="J820" t="n">
        <v>0</v>
      </c>
      <c r="K820" t="n">
        <v>0</v>
      </c>
      <c r="L820" t="n">
        <v>0</v>
      </c>
      <c r="M820" t="n">
        <v>0</v>
      </c>
      <c r="N820" t="n">
        <v>0</v>
      </c>
      <c r="O820" t="n">
        <v>0</v>
      </c>
      <c r="P820" t="n">
        <v>0</v>
      </c>
      <c r="Q820" t="n">
        <v>0</v>
      </c>
      <c r="R820" s="2" t="inlineStr"/>
    </row>
    <row r="821" ht="15" customHeight="1">
      <c r="A821" t="inlineStr">
        <is>
          <t>A 21778-2025</t>
        </is>
      </c>
      <c r="B821" s="1" t="n">
        <v>45783.66429398148</v>
      </c>
      <c r="C821" s="1" t="n">
        <v>46173</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51532-2025</t>
        </is>
      </c>
      <c r="B822" s="1" t="n">
        <v>45950.68297453703</v>
      </c>
      <c r="C822" s="1" t="n">
        <v>46173</v>
      </c>
      <c r="D822" t="inlineStr">
        <is>
          <t>STOCKHOLMS LÄN</t>
        </is>
      </c>
      <c r="E822" t="inlineStr">
        <is>
          <t>NORRTÄLJE</t>
        </is>
      </c>
      <c r="F822" t="inlineStr">
        <is>
          <t>Naturvårdsverket</t>
        </is>
      </c>
      <c r="G822" t="n">
        <v>17.3</v>
      </c>
      <c r="H822" t="n">
        <v>0</v>
      </c>
      <c r="I822" t="n">
        <v>0</v>
      </c>
      <c r="J822" t="n">
        <v>0</v>
      </c>
      <c r="K822" t="n">
        <v>0</v>
      </c>
      <c r="L822" t="n">
        <v>0</v>
      </c>
      <c r="M822" t="n">
        <v>0</v>
      </c>
      <c r="N822" t="n">
        <v>0</v>
      </c>
      <c r="O822" t="n">
        <v>0</v>
      </c>
      <c r="P822" t="n">
        <v>0</v>
      </c>
      <c r="Q822" t="n">
        <v>0</v>
      </c>
      <c r="R822" s="2" t="inlineStr"/>
    </row>
    <row r="823" ht="15" customHeight="1">
      <c r="A823" t="inlineStr">
        <is>
          <t>A 51789-2025</t>
        </is>
      </c>
      <c r="B823" s="1" t="n">
        <v>45951.68046296296</v>
      </c>
      <c r="C823" s="1" t="n">
        <v>46173</v>
      </c>
      <c r="D823" t="inlineStr">
        <is>
          <t>STOCKHOLMS LÄN</t>
        </is>
      </c>
      <c r="E823" t="inlineStr">
        <is>
          <t>NORRTÄLJE</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40761-2024</t>
        </is>
      </c>
      <c r="B824" s="1" t="n">
        <v>45558.46283564815</v>
      </c>
      <c r="C824" s="1" t="n">
        <v>46173</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30620-2022</t>
        </is>
      </c>
      <c r="B825" s="1" t="n">
        <v>44763.40914351852</v>
      </c>
      <c r="C825" s="1" t="n">
        <v>46173</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50113-2024</t>
        </is>
      </c>
      <c r="B826" s="1" t="n">
        <v>45600.411875</v>
      </c>
      <c r="C826" s="1" t="n">
        <v>46173</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28365-2022</t>
        </is>
      </c>
      <c r="B827" s="1" t="n">
        <v>44747</v>
      </c>
      <c r="C827" s="1" t="n">
        <v>46173</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42955-2022</t>
        </is>
      </c>
      <c r="B828" s="1" t="n">
        <v>44833.40876157407</v>
      </c>
      <c r="C828" s="1" t="n">
        <v>46173</v>
      </c>
      <c r="D828" t="inlineStr">
        <is>
          <t>STOCKHOLMS LÄN</t>
        </is>
      </c>
      <c r="E828" t="inlineStr">
        <is>
          <t>NORRTÄLJE</t>
        </is>
      </c>
      <c r="G828" t="n">
        <v>13.1</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46173</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4553-2023</t>
        </is>
      </c>
      <c r="B830" s="1" t="n">
        <v>44956.65920138889</v>
      </c>
      <c r="C830" s="1" t="n">
        <v>46173</v>
      </c>
      <c r="D830" t="inlineStr">
        <is>
          <t>STOCKHOLMS LÄN</t>
        </is>
      </c>
      <c r="E830" t="inlineStr">
        <is>
          <t>NORRTÄLJE</t>
        </is>
      </c>
      <c r="G830" t="n">
        <v>7.5</v>
      </c>
      <c r="H830" t="n">
        <v>0</v>
      </c>
      <c r="I830" t="n">
        <v>0</v>
      </c>
      <c r="J830" t="n">
        <v>0</v>
      </c>
      <c r="K830" t="n">
        <v>0</v>
      </c>
      <c r="L830" t="n">
        <v>0</v>
      </c>
      <c r="M830" t="n">
        <v>0</v>
      </c>
      <c r="N830" t="n">
        <v>0</v>
      </c>
      <c r="O830" t="n">
        <v>0</v>
      </c>
      <c r="P830" t="n">
        <v>0</v>
      </c>
      <c r="Q830" t="n">
        <v>0</v>
      </c>
      <c r="R830" s="2" t="inlineStr"/>
    </row>
    <row r="831" ht="15" customHeight="1">
      <c r="A831" t="inlineStr">
        <is>
          <t>A 4593-2023</t>
        </is>
      </c>
      <c r="B831" s="1" t="n">
        <v>44956</v>
      </c>
      <c r="C831" s="1" t="n">
        <v>46173</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51960-2025</t>
        </is>
      </c>
      <c r="B832" s="1" t="n">
        <v>45952.54755787037</v>
      </c>
      <c r="C832" s="1" t="n">
        <v>46173</v>
      </c>
      <c r="D832" t="inlineStr">
        <is>
          <t>STOCKHOLMS LÄN</t>
        </is>
      </c>
      <c r="E832" t="inlineStr">
        <is>
          <t>NORRTÄLJE</t>
        </is>
      </c>
      <c r="G832" t="n">
        <v>2</v>
      </c>
      <c r="H832" t="n">
        <v>0</v>
      </c>
      <c r="I832" t="n">
        <v>0</v>
      </c>
      <c r="J832" t="n">
        <v>0</v>
      </c>
      <c r="K832" t="n">
        <v>0</v>
      </c>
      <c r="L832" t="n">
        <v>0</v>
      </c>
      <c r="M832" t="n">
        <v>0</v>
      </c>
      <c r="N832" t="n">
        <v>0</v>
      </c>
      <c r="O832" t="n">
        <v>0</v>
      </c>
      <c r="P832" t="n">
        <v>0</v>
      </c>
      <c r="Q832" t="n">
        <v>0</v>
      </c>
      <c r="R832" s="2" t="inlineStr"/>
    </row>
    <row r="833" ht="15" customHeight="1">
      <c r="A833" t="inlineStr">
        <is>
          <t>A 13171-2025</t>
        </is>
      </c>
      <c r="B833" s="1" t="n">
        <v>45735.36594907408</v>
      </c>
      <c r="C833" s="1" t="n">
        <v>46173</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13767-2025</t>
        </is>
      </c>
      <c r="B834" s="1" t="n">
        <v>45737.43347222222</v>
      </c>
      <c r="C834" s="1" t="n">
        <v>46173</v>
      </c>
      <c r="D834" t="inlineStr">
        <is>
          <t>STOCKHOLMS LÄN</t>
        </is>
      </c>
      <c r="E834" t="inlineStr">
        <is>
          <t>NORRTÄLJE</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20013-2025</t>
        </is>
      </c>
      <c r="B835" s="1" t="n">
        <v>45772.30436342592</v>
      </c>
      <c r="C835" s="1" t="n">
        <v>46173</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53362-2023</t>
        </is>
      </c>
      <c r="B836" s="1" t="n">
        <v>45223</v>
      </c>
      <c r="C836" s="1" t="n">
        <v>46173</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15422-2024</t>
        </is>
      </c>
      <c r="B837" s="1" t="n">
        <v>45401.3653125</v>
      </c>
      <c r="C837" s="1" t="n">
        <v>46173</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51941-2025</t>
        </is>
      </c>
      <c r="B838" s="1" t="n">
        <v>45952.52261574074</v>
      </c>
      <c r="C838" s="1" t="n">
        <v>46173</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51978-2023</t>
        </is>
      </c>
      <c r="B839" s="1" t="n">
        <v>45223</v>
      </c>
      <c r="C839" s="1" t="n">
        <v>46173</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18092-2022</t>
        </is>
      </c>
      <c r="B840" s="1" t="n">
        <v>44684</v>
      </c>
      <c r="C840" s="1" t="n">
        <v>46173</v>
      </c>
      <c r="D840" t="inlineStr">
        <is>
          <t>STOCKHOLMS LÄN</t>
        </is>
      </c>
      <c r="E840" t="inlineStr">
        <is>
          <t>NORRTÄLJE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52061-2025</t>
        </is>
      </c>
      <c r="B841" s="1" t="n">
        <v>45952.63679398148</v>
      </c>
      <c r="C841" s="1" t="n">
        <v>46173</v>
      </c>
      <c r="D841" t="inlineStr">
        <is>
          <t>STOCKHOLMS LÄN</t>
        </is>
      </c>
      <c r="E841" t="inlineStr">
        <is>
          <t>NORRTÄLJE</t>
        </is>
      </c>
      <c r="G841" t="n">
        <v>9.5</v>
      </c>
      <c r="H841" t="n">
        <v>0</v>
      </c>
      <c r="I841" t="n">
        <v>0</v>
      </c>
      <c r="J841" t="n">
        <v>0</v>
      </c>
      <c r="K841" t="n">
        <v>0</v>
      </c>
      <c r="L841" t="n">
        <v>0</v>
      </c>
      <c r="M841" t="n">
        <v>0</v>
      </c>
      <c r="N841" t="n">
        <v>0</v>
      </c>
      <c r="O841" t="n">
        <v>0</v>
      </c>
      <c r="P841" t="n">
        <v>0</v>
      </c>
      <c r="Q841" t="n">
        <v>0</v>
      </c>
      <c r="R841" s="2" t="inlineStr"/>
    </row>
    <row r="842" ht="15" customHeight="1">
      <c r="A842" t="inlineStr">
        <is>
          <t>A 51945-2025</t>
        </is>
      </c>
      <c r="B842" s="1" t="n">
        <v>45952.52679398148</v>
      </c>
      <c r="C842" s="1" t="n">
        <v>46173</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59310-2023</t>
        </is>
      </c>
      <c r="B843" s="1" t="n">
        <v>45253.61146990741</v>
      </c>
      <c r="C843" s="1" t="n">
        <v>46173</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30508-2023</t>
        </is>
      </c>
      <c r="B844" s="1" t="n">
        <v>45111</v>
      </c>
      <c r="C844" s="1" t="n">
        <v>46173</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9329-2023</t>
        </is>
      </c>
      <c r="B845" s="1" t="n">
        <v>44980</v>
      </c>
      <c r="C845" s="1" t="n">
        <v>46173</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52251-2025</t>
        </is>
      </c>
      <c r="B846" s="1" t="n">
        <v>45953.49185185185</v>
      </c>
      <c r="C846" s="1" t="n">
        <v>46173</v>
      </c>
      <c r="D846" t="inlineStr">
        <is>
          <t>STOCKHOLMS LÄN</t>
        </is>
      </c>
      <c r="E846" t="inlineStr">
        <is>
          <t>NORRTÄLJE</t>
        </is>
      </c>
      <c r="G846" t="n">
        <v>6.2</v>
      </c>
      <c r="H846" t="n">
        <v>0</v>
      </c>
      <c r="I846" t="n">
        <v>0</v>
      </c>
      <c r="J846" t="n">
        <v>0</v>
      </c>
      <c r="K846" t="n">
        <v>0</v>
      </c>
      <c r="L846" t="n">
        <v>0</v>
      </c>
      <c r="M846" t="n">
        <v>0</v>
      </c>
      <c r="N846" t="n">
        <v>0</v>
      </c>
      <c r="O846" t="n">
        <v>0</v>
      </c>
      <c r="P846" t="n">
        <v>0</v>
      </c>
      <c r="Q846" t="n">
        <v>0</v>
      </c>
      <c r="R846" s="2" t="inlineStr"/>
    </row>
    <row r="847" ht="15" customHeight="1">
      <c r="A847" t="inlineStr">
        <is>
          <t>A 52254-2025</t>
        </is>
      </c>
      <c r="B847" s="1" t="n">
        <v>45953.49519675926</v>
      </c>
      <c r="C847" s="1" t="n">
        <v>46173</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52773-2025</t>
        </is>
      </c>
      <c r="B848" s="1" t="n">
        <v>45957.41457175926</v>
      </c>
      <c r="C848" s="1" t="n">
        <v>46173</v>
      </c>
      <c r="D848" t="inlineStr">
        <is>
          <t>STOCKHOLMS LÄN</t>
        </is>
      </c>
      <c r="E848" t="inlineStr">
        <is>
          <t>NORRTÄLJE</t>
        </is>
      </c>
      <c r="F848" t="inlineStr">
        <is>
          <t>Sveaskog</t>
        </is>
      </c>
      <c r="G848" t="n">
        <v>10.5</v>
      </c>
      <c r="H848" t="n">
        <v>0</v>
      </c>
      <c r="I848" t="n">
        <v>0</v>
      </c>
      <c r="J848" t="n">
        <v>0</v>
      </c>
      <c r="K848" t="n">
        <v>0</v>
      </c>
      <c r="L848" t="n">
        <v>0</v>
      </c>
      <c r="M848" t="n">
        <v>0</v>
      </c>
      <c r="N848" t="n">
        <v>0</v>
      </c>
      <c r="O848" t="n">
        <v>0</v>
      </c>
      <c r="P848" t="n">
        <v>0</v>
      </c>
      <c r="Q848" t="n">
        <v>0</v>
      </c>
      <c r="R848" s="2" t="inlineStr"/>
    </row>
    <row r="849" ht="15" customHeight="1">
      <c r="A849" t="inlineStr">
        <is>
          <t>A 52777-2025</t>
        </is>
      </c>
      <c r="B849" s="1" t="n">
        <v>45957.41832175926</v>
      </c>
      <c r="C849" s="1" t="n">
        <v>46173</v>
      </c>
      <c r="D849" t="inlineStr">
        <is>
          <t>STOCKHOLMS LÄN</t>
        </is>
      </c>
      <c r="E849" t="inlineStr">
        <is>
          <t>NORRTÄLJE</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59878-2024</t>
        </is>
      </c>
      <c r="B850" s="1" t="n">
        <v>45640.60240740741</v>
      </c>
      <c r="C850" s="1" t="n">
        <v>46173</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16008-2025</t>
        </is>
      </c>
      <c r="B851" s="1" t="n">
        <v>45749</v>
      </c>
      <c r="C851" s="1" t="n">
        <v>46173</v>
      </c>
      <c r="D851" t="inlineStr">
        <is>
          <t>STOCKHOLMS LÄN</t>
        </is>
      </c>
      <c r="E851" t="inlineStr">
        <is>
          <t>NORRTÄLJE</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41335-2023</t>
        </is>
      </c>
      <c r="B852" s="1" t="n">
        <v>45174.68702546296</v>
      </c>
      <c r="C852" s="1" t="n">
        <v>46173</v>
      </c>
      <c r="D852" t="inlineStr">
        <is>
          <t>STOCKHOLMS LÄN</t>
        </is>
      </c>
      <c r="E852" t="inlineStr">
        <is>
          <t>NORRTÄLJE</t>
        </is>
      </c>
      <c r="F852" t="inlineStr">
        <is>
          <t>Holmen skog AB</t>
        </is>
      </c>
      <c r="G852" t="n">
        <v>4.4</v>
      </c>
      <c r="H852" t="n">
        <v>0</v>
      </c>
      <c r="I852" t="n">
        <v>0</v>
      </c>
      <c r="J852" t="n">
        <v>0</v>
      </c>
      <c r="K852" t="n">
        <v>0</v>
      </c>
      <c r="L852" t="n">
        <v>0</v>
      </c>
      <c r="M852" t="n">
        <v>0</v>
      </c>
      <c r="N852" t="n">
        <v>0</v>
      </c>
      <c r="O852" t="n">
        <v>0</v>
      </c>
      <c r="P852" t="n">
        <v>0</v>
      </c>
      <c r="Q852" t="n">
        <v>0</v>
      </c>
      <c r="R852" s="2" t="inlineStr"/>
    </row>
    <row r="853" ht="15" customHeight="1">
      <c r="A853" t="inlineStr">
        <is>
          <t>A 33040-2021</t>
        </is>
      </c>
      <c r="B853" s="1" t="n">
        <v>44376.50728009259</v>
      </c>
      <c r="C853" s="1" t="n">
        <v>46173</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33053-2021</t>
        </is>
      </c>
      <c r="B854" s="1" t="n">
        <v>44376</v>
      </c>
      <c r="C854" s="1" t="n">
        <v>46173</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52526-2025</t>
        </is>
      </c>
      <c r="B855" s="1" t="n">
        <v>45954.53061342592</v>
      </c>
      <c r="C855" s="1" t="n">
        <v>46173</v>
      </c>
      <c r="D855" t="inlineStr">
        <is>
          <t>STOCKHOLMS LÄN</t>
        </is>
      </c>
      <c r="E855" t="inlineStr">
        <is>
          <t>NORRTÄLJE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53000-2025</t>
        </is>
      </c>
      <c r="B856" s="1" t="n">
        <v>45957.74357638889</v>
      </c>
      <c r="C856" s="1" t="n">
        <v>46173</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21158-2022</t>
        </is>
      </c>
      <c r="B857" s="1" t="n">
        <v>44704</v>
      </c>
      <c r="C857" s="1" t="n">
        <v>46173</v>
      </c>
      <c r="D857" t="inlineStr">
        <is>
          <t>STOCKHOLMS LÄN</t>
        </is>
      </c>
      <c r="E857" t="inlineStr">
        <is>
          <t>NORRTÄLJE</t>
        </is>
      </c>
      <c r="G857" t="n">
        <v>17.8</v>
      </c>
      <c r="H857" t="n">
        <v>0</v>
      </c>
      <c r="I857" t="n">
        <v>0</v>
      </c>
      <c r="J857" t="n">
        <v>0</v>
      </c>
      <c r="K857" t="n">
        <v>0</v>
      </c>
      <c r="L857" t="n">
        <v>0</v>
      </c>
      <c r="M857" t="n">
        <v>0</v>
      </c>
      <c r="N857" t="n">
        <v>0</v>
      </c>
      <c r="O857" t="n">
        <v>0</v>
      </c>
      <c r="P857" t="n">
        <v>0</v>
      </c>
      <c r="Q857" t="n">
        <v>0</v>
      </c>
      <c r="R857" s="2" t="inlineStr"/>
    </row>
    <row r="858" ht="15" customHeight="1">
      <c r="A858" t="inlineStr">
        <is>
          <t>A 52703-2025</t>
        </is>
      </c>
      <c r="B858" s="1" t="n">
        <v>45956.88643518519</v>
      </c>
      <c r="C858" s="1" t="n">
        <v>46173</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52729-2025</t>
        </is>
      </c>
      <c r="B859" s="1" t="n">
        <v>45957.3636574074</v>
      </c>
      <c r="C859" s="1" t="n">
        <v>46173</v>
      </c>
      <c r="D859" t="inlineStr">
        <is>
          <t>STOCKHOLMS LÄN</t>
        </is>
      </c>
      <c r="E859" t="inlineStr">
        <is>
          <t>NORRTÄLJE</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32101-2022</t>
        </is>
      </c>
      <c r="B860" s="1" t="n">
        <v>44778.69210648148</v>
      </c>
      <c r="C860" s="1" t="n">
        <v>46173</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52734-2025</t>
        </is>
      </c>
      <c r="B861" s="1" t="n">
        <v>45957.3710300926</v>
      </c>
      <c r="C861" s="1" t="n">
        <v>46173</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43150-2023</t>
        </is>
      </c>
      <c r="B862" s="1" t="n">
        <v>45183</v>
      </c>
      <c r="C862" s="1" t="n">
        <v>46173</v>
      </c>
      <c r="D862" t="inlineStr">
        <is>
          <t>STOCKHOLMS LÄN</t>
        </is>
      </c>
      <c r="E862" t="inlineStr">
        <is>
          <t>NORRTÄLJE</t>
        </is>
      </c>
      <c r="G862" t="n">
        <v>2.4</v>
      </c>
      <c r="H862" t="n">
        <v>0</v>
      </c>
      <c r="I862" t="n">
        <v>0</v>
      </c>
      <c r="J862" t="n">
        <v>0</v>
      </c>
      <c r="K862" t="n">
        <v>0</v>
      </c>
      <c r="L862" t="n">
        <v>0</v>
      </c>
      <c r="M862" t="n">
        <v>0</v>
      </c>
      <c r="N862" t="n">
        <v>0</v>
      </c>
      <c r="O862" t="n">
        <v>0</v>
      </c>
      <c r="P862" t="n">
        <v>0</v>
      </c>
      <c r="Q862" t="n">
        <v>0</v>
      </c>
      <c r="R862" s="2" t="inlineStr"/>
    </row>
    <row r="863" ht="15" customHeight="1">
      <c r="A863" t="inlineStr">
        <is>
          <t>A 52776-2025</t>
        </is>
      </c>
      <c r="B863" s="1" t="n">
        <v>45957.41724537037</v>
      </c>
      <c r="C863" s="1" t="n">
        <v>46173</v>
      </c>
      <c r="D863" t="inlineStr">
        <is>
          <t>STOCKHOLMS LÄN</t>
        </is>
      </c>
      <c r="E863" t="inlineStr">
        <is>
          <t>NORRTÄLJE</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23150-2024</t>
        </is>
      </c>
      <c r="B864" s="1" t="n">
        <v>45450.64643518518</v>
      </c>
      <c r="C864" s="1" t="n">
        <v>46173</v>
      </c>
      <c r="D864" t="inlineStr">
        <is>
          <t>STOCKHOLMS LÄN</t>
        </is>
      </c>
      <c r="E864" t="inlineStr">
        <is>
          <t>NORRTÄLJE</t>
        </is>
      </c>
      <c r="F864" t="inlineStr">
        <is>
          <t>Kommuner</t>
        </is>
      </c>
      <c r="G864" t="n">
        <v>2.7</v>
      </c>
      <c r="H864" t="n">
        <v>0</v>
      </c>
      <c r="I864" t="n">
        <v>0</v>
      </c>
      <c r="J864" t="n">
        <v>0</v>
      </c>
      <c r="K864" t="n">
        <v>0</v>
      </c>
      <c r="L864" t="n">
        <v>0</v>
      </c>
      <c r="M864" t="n">
        <v>0</v>
      </c>
      <c r="N864" t="n">
        <v>0</v>
      </c>
      <c r="O864" t="n">
        <v>0</v>
      </c>
      <c r="P864" t="n">
        <v>0</v>
      </c>
      <c r="Q864" t="n">
        <v>0</v>
      </c>
      <c r="R864" s="2" t="inlineStr"/>
    </row>
    <row r="865" ht="15" customHeight="1">
      <c r="A865" t="inlineStr">
        <is>
          <t>A 24933-2023</t>
        </is>
      </c>
      <c r="B865" s="1" t="n">
        <v>45085.5309375</v>
      </c>
      <c r="C865" s="1" t="n">
        <v>46173</v>
      </c>
      <c r="D865" t="inlineStr">
        <is>
          <t>STOCKHOLMS LÄN</t>
        </is>
      </c>
      <c r="E865" t="inlineStr">
        <is>
          <t>NORRTÄLJE</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54259-2023</t>
        </is>
      </c>
      <c r="B866" s="1" t="n">
        <v>45232</v>
      </c>
      <c r="C866" s="1" t="n">
        <v>46173</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52529-2025</t>
        </is>
      </c>
      <c r="B867" s="1" t="n">
        <v>45954.53229166667</v>
      </c>
      <c r="C867" s="1" t="n">
        <v>46173</v>
      </c>
      <c r="D867" t="inlineStr">
        <is>
          <t>STOCKHOLMS LÄN</t>
        </is>
      </c>
      <c r="E867" t="inlineStr">
        <is>
          <t>NORRTÄLJE</t>
        </is>
      </c>
      <c r="F867" t="inlineStr">
        <is>
          <t>Sveaskog</t>
        </is>
      </c>
      <c r="G867" t="n">
        <v>7.8</v>
      </c>
      <c r="H867" t="n">
        <v>0</v>
      </c>
      <c r="I867" t="n">
        <v>0</v>
      </c>
      <c r="J867" t="n">
        <v>0</v>
      </c>
      <c r="K867" t="n">
        <v>0</v>
      </c>
      <c r="L867" t="n">
        <v>0</v>
      </c>
      <c r="M867" t="n">
        <v>0</v>
      </c>
      <c r="N867" t="n">
        <v>0</v>
      </c>
      <c r="O867" t="n">
        <v>0</v>
      </c>
      <c r="P867" t="n">
        <v>0</v>
      </c>
      <c r="Q867" t="n">
        <v>0</v>
      </c>
      <c r="R867" s="2" t="inlineStr"/>
    </row>
    <row r="868" ht="15" customHeight="1">
      <c r="A868" t="inlineStr">
        <is>
          <t>A 52704-2025</t>
        </is>
      </c>
      <c r="B868" s="1" t="n">
        <v>45956.89097222222</v>
      </c>
      <c r="C868" s="1" t="n">
        <v>46173</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52553-2025</t>
        </is>
      </c>
      <c r="B869" s="1" t="n">
        <v>45954.5624537037</v>
      </c>
      <c r="C869" s="1" t="n">
        <v>46173</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56631-2024</t>
        </is>
      </c>
      <c r="B870" s="1" t="n">
        <v>45625</v>
      </c>
      <c r="C870" s="1" t="n">
        <v>46173</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652-2025</t>
        </is>
      </c>
      <c r="B871" s="1" t="n">
        <v>45664</v>
      </c>
      <c r="C871" s="1" t="n">
        <v>46173</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60822-2023</t>
        </is>
      </c>
      <c r="B872" s="1" t="n">
        <v>45259</v>
      </c>
      <c r="C872" s="1" t="n">
        <v>46173</v>
      </c>
      <c r="D872" t="inlineStr">
        <is>
          <t>STOCKHOLMS LÄN</t>
        </is>
      </c>
      <c r="E872" t="inlineStr">
        <is>
          <t>NORRTÄLJE</t>
        </is>
      </c>
      <c r="G872" t="n">
        <v>5.2</v>
      </c>
      <c r="H872" t="n">
        <v>0</v>
      </c>
      <c r="I872" t="n">
        <v>0</v>
      </c>
      <c r="J872" t="n">
        <v>0</v>
      </c>
      <c r="K872" t="n">
        <v>0</v>
      </c>
      <c r="L872" t="n">
        <v>0</v>
      </c>
      <c r="M872" t="n">
        <v>0</v>
      </c>
      <c r="N872" t="n">
        <v>0</v>
      </c>
      <c r="O872" t="n">
        <v>0</v>
      </c>
      <c r="P872" t="n">
        <v>0</v>
      </c>
      <c r="Q872" t="n">
        <v>0</v>
      </c>
      <c r="R872" s="2" t="inlineStr"/>
    </row>
    <row r="873" ht="15" customHeight="1">
      <c r="A873" t="inlineStr">
        <is>
          <t>A 53299-2025</t>
        </is>
      </c>
      <c r="B873" s="1" t="n">
        <v>45959.31901620371</v>
      </c>
      <c r="C873" s="1" t="n">
        <v>46173</v>
      </c>
      <c r="D873" t="inlineStr">
        <is>
          <t>STOCKHOLMS LÄN</t>
        </is>
      </c>
      <c r="E873" t="inlineStr">
        <is>
          <t>NORRTÄLJE</t>
        </is>
      </c>
      <c r="G873" t="n">
        <v>4.8</v>
      </c>
      <c r="H873" t="n">
        <v>0</v>
      </c>
      <c r="I873" t="n">
        <v>0</v>
      </c>
      <c r="J873" t="n">
        <v>0</v>
      </c>
      <c r="K873" t="n">
        <v>0</v>
      </c>
      <c r="L873" t="n">
        <v>0</v>
      </c>
      <c r="M873" t="n">
        <v>0</v>
      </c>
      <c r="N873" t="n">
        <v>0</v>
      </c>
      <c r="O873" t="n">
        <v>0</v>
      </c>
      <c r="P873" t="n">
        <v>0</v>
      </c>
      <c r="Q873" t="n">
        <v>0</v>
      </c>
      <c r="R873" s="2" t="inlineStr"/>
    </row>
    <row r="874" ht="15" customHeight="1">
      <c r="A874" t="inlineStr">
        <is>
          <t>A 53087-2025</t>
        </is>
      </c>
      <c r="B874" s="1" t="n">
        <v>45958.41065972222</v>
      </c>
      <c r="C874" s="1" t="n">
        <v>46173</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53115-2025</t>
        </is>
      </c>
      <c r="B875" s="1" t="n">
        <v>45958.44614583333</v>
      </c>
      <c r="C875" s="1" t="n">
        <v>46173</v>
      </c>
      <c r="D875" t="inlineStr">
        <is>
          <t>STOCKHOLMS LÄN</t>
        </is>
      </c>
      <c r="E875" t="inlineStr">
        <is>
          <t>NORRTÄLJE</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53629-2025</t>
        </is>
      </c>
      <c r="B876" s="1" t="n">
        <v>45960.49570601852</v>
      </c>
      <c r="C876" s="1" t="n">
        <v>46173</v>
      </c>
      <c r="D876" t="inlineStr">
        <is>
          <t>STOCKHOLMS LÄN</t>
        </is>
      </c>
      <c r="E876" t="inlineStr">
        <is>
          <t>NORRTÄLJE</t>
        </is>
      </c>
      <c r="F876" t="inlineStr">
        <is>
          <t>Naturvårdsverket</t>
        </is>
      </c>
      <c r="G876" t="n">
        <v>7.9</v>
      </c>
      <c r="H876" t="n">
        <v>0</v>
      </c>
      <c r="I876" t="n">
        <v>0</v>
      </c>
      <c r="J876" t="n">
        <v>0</v>
      </c>
      <c r="K876" t="n">
        <v>0</v>
      </c>
      <c r="L876" t="n">
        <v>0</v>
      </c>
      <c r="M876" t="n">
        <v>0</v>
      </c>
      <c r="N876" t="n">
        <v>0</v>
      </c>
      <c r="O876" t="n">
        <v>0</v>
      </c>
      <c r="P876" t="n">
        <v>0</v>
      </c>
      <c r="Q876" t="n">
        <v>0</v>
      </c>
      <c r="R876" s="2" t="inlineStr"/>
    </row>
    <row r="877" ht="15" customHeight="1">
      <c r="A877" t="inlineStr">
        <is>
          <t>A 5389-2025</t>
        </is>
      </c>
      <c r="B877" s="1" t="n">
        <v>45692</v>
      </c>
      <c r="C877" s="1" t="n">
        <v>46173</v>
      </c>
      <c r="D877" t="inlineStr">
        <is>
          <t>STOCKHOLMS LÄN</t>
        </is>
      </c>
      <c r="E877" t="inlineStr">
        <is>
          <t>NORRTÄLJE</t>
        </is>
      </c>
      <c r="G877" t="n">
        <v>0.8</v>
      </c>
      <c r="H877" t="n">
        <v>0</v>
      </c>
      <c r="I877" t="n">
        <v>0</v>
      </c>
      <c r="J877" t="n">
        <v>0</v>
      </c>
      <c r="K877" t="n">
        <v>0</v>
      </c>
      <c r="L877" t="n">
        <v>0</v>
      </c>
      <c r="M877" t="n">
        <v>0</v>
      </c>
      <c r="N877" t="n">
        <v>0</v>
      </c>
      <c r="O877" t="n">
        <v>0</v>
      </c>
      <c r="P877" t="n">
        <v>0</v>
      </c>
      <c r="Q877" t="n">
        <v>0</v>
      </c>
      <c r="R877" s="2" t="inlineStr"/>
    </row>
    <row r="878" ht="15" customHeight="1">
      <c r="A878" t="inlineStr">
        <is>
          <t>A 27381-2024</t>
        </is>
      </c>
      <c r="B878" s="1" t="n">
        <v>45473.94501157408</v>
      </c>
      <c r="C878" s="1" t="n">
        <v>46173</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53747-2025</t>
        </is>
      </c>
      <c r="B879" s="1" t="n">
        <v>45960.65415509259</v>
      </c>
      <c r="C879" s="1" t="n">
        <v>46173</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11499-2023</t>
        </is>
      </c>
      <c r="B880" s="1" t="n">
        <v>44993.66707175926</v>
      </c>
      <c r="C880" s="1" t="n">
        <v>46173</v>
      </c>
      <c r="D880" t="inlineStr">
        <is>
          <t>STOCKHOLMS LÄN</t>
        </is>
      </c>
      <c r="E880" t="inlineStr">
        <is>
          <t>NORRTÄLJE</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23265-2023</t>
        </is>
      </c>
      <c r="B881" s="1" t="n">
        <v>45075.90703703704</v>
      </c>
      <c r="C881" s="1" t="n">
        <v>46173</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26117-2024</t>
        </is>
      </c>
      <c r="B882" s="1" t="n">
        <v>45468.45877314815</v>
      </c>
      <c r="C882" s="1" t="n">
        <v>46173</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576-2023</t>
        </is>
      </c>
      <c r="B883" s="1" t="n">
        <v>44925</v>
      </c>
      <c r="C883" s="1" t="n">
        <v>46173</v>
      </c>
      <c r="D883" t="inlineStr">
        <is>
          <t>STOCKHOLMS LÄN</t>
        </is>
      </c>
      <c r="E883" t="inlineStr">
        <is>
          <t>NORRTÄLJE</t>
        </is>
      </c>
      <c r="G883" t="n">
        <v>7.2</v>
      </c>
      <c r="H883" t="n">
        <v>0</v>
      </c>
      <c r="I883" t="n">
        <v>0</v>
      </c>
      <c r="J883" t="n">
        <v>0</v>
      </c>
      <c r="K883" t="n">
        <v>0</v>
      </c>
      <c r="L883" t="n">
        <v>0</v>
      </c>
      <c r="M883" t="n">
        <v>0</v>
      </c>
      <c r="N883" t="n">
        <v>0</v>
      </c>
      <c r="O883" t="n">
        <v>0</v>
      </c>
      <c r="P883" t="n">
        <v>0</v>
      </c>
      <c r="Q883" t="n">
        <v>0</v>
      </c>
      <c r="R883" s="2" t="inlineStr"/>
    </row>
    <row r="884" ht="15" customHeight="1">
      <c r="A884" t="inlineStr">
        <is>
          <t>A 10678-2025</t>
        </is>
      </c>
      <c r="B884" s="1" t="n">
        <v>45721.89123842592</v>
      </c>
      <c r="C884" s="1" t="n">
        <v>46173</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46173</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59873-2024</t>
        </is>
      </c>
      <c r="B886" s="1" t="n">
        <v>45640.57305555556</v>
      </c>
      <c r="C886" s="1" t="n">
        <v>46173</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35916-2024</t>
        </is>
      </c>
      <c r="B887" s="1" t="n">
        <v>45533</v>
      </c>
      <c r="C887" s="1" t="n">
        <v>46173</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10098-2022</t>
        </is>
      </c>
      <c r="B888" s="1" t="n">
        <v>44621</v>
      </c>
      <c r="C888" s="1" t="n">
        <v>46173</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20336-2024</t>
        </is>
      </c>
      <c r="B889" s="1" t="n">
        <v>45435.43123842592</v>
      </c>
      <c r="C889" s="1" t="n">
        <v>46173</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1847-2023</t>
        </is>
      </c>
      <c r="B890" s="1" t="n">
        <v>44938</v>
      </c>
      <c r="C890" s="1" t="n">
        <v>46173</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63161-2023</t>
        </is>
      </c>
      <c r="B891" s="1" t="n">
        <v>45273</v>
      </c>
      <c r="C891" s="1" t="n">
        <v>46173</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22202-2025</t>
        </is>
      </c>
      <c r="B892" s="1" t="n">
        <v>45785.65300925926</v>
      </c>
      <c r="C892" s="1" t="n">
        <v>46173</v>
      </c>
      <c r="D892" t="inlineStr">
        <is>
          <t>STOCKHOLMS LÄN</t>
        </is>
      </c>
      <c r="E892" t="inlineStr">
        <is>
          <t>NORRTÄLJE</t>
        </is>
      </c>
      <c r="G892" t="n">
        <v>10.2</v>
      </c>
      <c r="H892" t="n">
        <v>0</v>
      </c>
      <c r="I892" t="n">
        <v>0</v>
      </c>
      <c r="J892" t="n">
        <v>0</v>
      </c>
      <c r="K892" t="n">
        <v>0</v>
      </c>
      <c r="L892" t="n">
        <v>0</v>
      </c>
      <c r="M892" t="n">
        <v>0</v>
      </c>
      <c r="N892" t="n">
        <v>0</v>
      </c>
      <c r="O892" t="n">
        <v>0</v>
      </c>
      <c r="P892" t="n">
        <v>0</v>
      </c>
      <c r="Q892" t="n">
        <v>0</v>
      </c>
      <c r="R892" s="2" t="inlineStr"/>
    </row>
    <row r="893" ht="15" customHeight="1">
      <c r="A893" t="inlineStr">
        <is>
          <t>A 7796-2025</t>
        </is>
      </c>
      <c r="B893" s="1" t="n">
        <v>45706.60130787037</v>
      </c>
      <c r="C893" s="1" t="n">
        <v>46173</v>
      </c>
      <c r="D893" t="inlineStr">
        <is>
          <t>STOCKHOLMS LÄN</t>
        </is>
      </c>
      <c r="E893" t="inlineStr">
        <is>
          <t>NORRTÄLJE</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58040-2024</t>
        </is>
      </c>
      <c r="B894" s="1" t="n">
        <v>45631.73952546297</v>
      </c>
      <c r="C894" s="1" t="n">
        <v>46173</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58041-2024</t>
        </is>
      </c>
      <c r="B895" s="1" t="n">
        <v>45631.74673611111</v>
      </c>
      <c r="C895" s="1" t="n">
        <v>46173</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30268-2024</t>
        </is>
      </c>
      <c r="B896" s="1" t="n">
        <v>45490.60572916667</v>
      </c>
      <c r="C896" s="1" t="n">
        <v>46173</v>
      </c>
      <c r="D896" t="inlineStr">
        <is>
          <t>STOCKHOLMS LÄN</t>
        </is>
      </c>
      <c r="E896" t="inlineStr">
        <is>
          <t>NORRTÄLJE</t>
        </is>
      </c>
      <c r="G896" t="n">
        <v>5.6</v>
      </c>
      <c r="H896" t="n">
        <v>0</v>
      </c>
      <c r="I896" t="n">
        <v>0</v>
      </c>
      <c r="J896" t="n">
        <v>0</v>
      </c>
      <c r="K896" t="n">
        <v>0</v>
      </c>
      <c r="L896" t="n">
        <v>0</v>
      </c>
      <c r="M896" t="n">
        <v>0</v>
      </c>
      <c r="N896" t="n">
        <v>0</v>
      </c>
      <c r="O896" t="n">
        <v>0</v>
      </c>
      <c r="P896" t="n">
        <v>0</v>
      </c>
      <c r="Q896" t="n">
        <v>0</v>
      </c>
      <c r="R896" s="2" t="inlineStr"/>
    </row>
    <row r="897" ht="15" customHeight="1">
      <c r="A897" t="inlineStr">
        <is>
          <t>A 12407-2025</t>
        </is>
      </c>
      <c r="B897" s="1" t="n">
        <v>45730.42851851852</v>
      </c>
      <c r="C897" s="1" t="n">
        <v>46173</v>
      </c>
      <c r="D897" t="inlineStr">
        <is>
          <t>STOCKHOLMS LÄN</t>
        </is>
      </c>
      <c r="E897" t="inlineStr">
        <is>
          <t>NORRTÄLJE</t>
        </is>
      </c>
      <c r="F897" t="inlineStr">
        <is>
          <t>Holmen skog AB</t>
        </is>
      </c>
      <c r="G897" t="n">
        <v>2.6</v>
      </c>
      <c r="H897" t="n">
        <v>0</v>
      </c>
      <c r="I897" t="n">
        <v>0</v>
      </c>
      <c r="J897" t="n">
        <v>0</v>
      </c>
      <c r="K897" t="n">
        <v>0</v>
      </c>
      <c r="L897" t="n">
        <v>0</v>
      </c>
      <c r="M897" t="n">
        <v>0</v>
      </c>
      <c r="N897" t="n">
        <v>0</v>
      </c>
      <c r="O897" t="n">
        <v>0</v>
      </c>
      <c r="P897" t="n">
        <v>0</v>
      </c>
      <c r="Q897" t="n">
        <v>0</v>
      </c>
      <c r="R897" s="2" t="inlineStr"/>
    </row>
    <row r="898" ht="15" customHeight="1">
      <c r="A898" t="inlineStr">
        <is>
          <t>A 19025-2025</t>
        </is>
      </c>
      <c r="B898" s="1" t="n">
        <v>45764.6359837963</v>
      </c>
      <c r="C898" s="1" t="n">
        <v>46173</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59721-2024</t>
        </is>
      </c>
      <c r="B899" s="1" t="n">
        <v>45639.47385416667</v>
      </c>
      <c r="C899" s="1" t="n">
        <v>46173</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54276-2021</t>
        </is>
      </c>
      <c r="B900" s="1" t="n">
        <v>44470</v>
      </c>
      <c r="C900" s="1" t="n">
        <v>46173</v>
      </c>
      <c r="D900" t="inlineStr">
        <is>
          <t>STOCKHOLMS LÄN</t>
        </is>
      </c>
      <c r="E900" t="inlineStr">
        <is>
          <t>NORRTÄLJE</t>
        </is>
      </c>
      <c r="G900" t="n">
        <v>7.3</v>
      </c>
      <c r="H900" t="n">
        <v>0</v>
      </c>
      <c r="I900" t="n">
        <v>0</v>
      </c>
      <c r="J900" t="n">
        <v>0</v>
      </c>
      <c r="K900" t="n">
        <v>0</v>
      </c>
      <c r="L900" t="n">
        <v>0</v>
      </c>
      <c r="M900" t="n">
        <v>0</v>
      </c>
      <c r="N900" t="n">
        <v>0</v>
      </c>
      <c r="O900" t="n">
        <v>0</v>
      </c>
      <c r="P900" t="n">
        <v>0</v>
      </c>
      <c r="Q900" t="n">
        <v>0</v>
      </c>
      <c r="R900" s="2" t="inlineStr"/>
    </row>
    <row r="901" ht="15" customHeight="1">
      <c r="A901" t="inlineStr">
        <is>
          <t>A 4316-2023</t>
        </is>
      </c>
      <c r="B901" s="1" t="n">
        <v>44953.67443287037</v>
      </c>
      <c r="C901" s="1" t="n">
        <v>46173</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41587-2023</t>
        </is>
      </c>
      <c r="B902" s="1" t="n">
        <v>45175</v>
      </c>
      <c r="C902" s="1" t="n">
        <v>46173</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37010-2022</t>
        </is>
      </c>
      <c r="B903" s="1" t="n">
        <v>44806.41576388889</v>
      </c>
      <c r="C903" s="1" t="n">
        <v>46173</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54907-2025</t>
        </is>
      </c>
      <c r="B904" s="1" t="n">
        <v>45967.37137731481</v>
      </c>
      <c r="C904" s="1" t="n">
        <v>46173</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17304-2024</t>
        </is>
      </c>
      <c r="B905" s="1" t="n">
        <v>45414</v>
      </c>
      <c r="C905" s="1" t="n">
        <v>46173</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951-2023</t>
        </is>
      </c>
      <c r="B906" s="1" t="n">
        <v>44934</v>
      </c>
      <c r="C906" s="1" t="n">
        <v>46173</v>
      </c>
      <c r="D906" t="inlineStr">
        <is>
          <t>STOCKHOLMS LÄN</t>
        </is>
      </c>
      <c r="E906" t="inlineStr">
        <is>
          <t>NORRTÄLJE</t>
        </is>
      </c>
      <c r="G906" t="n">
        <v>3.7</v>
      </c>
      <c r="H906" t="n">
        <v>0</v>
      </c>
      <c r="I906" t="n">
        <v>0</v>
      </c>
      <c r="J906" t="n">
        <v>0</v>
      </c>
      <c r="K906" t="n">
        <v>0</v>
      </c>
      <c r="L906" t="n">
        <v>0</v>
      </c>
      <c r="M906" t="n">
        <v>0</v>
      </c>
      <c r="N906" t="n">
        <v>0</v>
      </c>
      <c r="O906" t="n">
        <v>0</v>
      </c>
      <c r="P906" t="n">
        <v>0</v>
      </c>
      <c r="Q906" t="n">
        <v>0</v>
      </c>
      <c r="R906" s="2" t="inlineStr"/>
    </row>
    <row r="907" ht="15" customHeight="1">
      <c r="A907" t="inlineStr">
        <is>
          <t>A 16620-2024</t>
        </is>
      </c>
      <c r="B907" s="1" t="n">
        <v>45408.57707175926</v>
      </c>
      <c r="C907" s="1" t="n">
        <v>46173</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11280-2023</t>
        </is>
      </c>
      <c r="B908" s="1" t="n">
        <v>44992</v>
      </c>
      <c r="C908" s="1" t="n">
        <v>46173</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55503-2025</t>
        </is>
      </c>
      <c r="B909" s="1" t="n">
        <v>45971</v>
      </c>
      <c r="C909" s="1" t="n">
        <v>46173</v>
      </c>
      <c r="D909" t="inlineStr">
        <is>
          <t>STOCKHOLMS LÄN</t>
        </is>
      </c>
      <c r="E909" t="inlineStr">
        <is>
          <t>NORRTÄLJE</t>
        </is>
      </c>
      <c r="G909" t="n">
        <v>3</v>
      </c>
      <c r="H909" t="n">
        <v>0</v>
      </c>
      <c r="I909" t="n">
        <v>0</v>
      </c>
      <c r="J909" t="n">
        <v>0</v>
      </c>
      <c r="K909" t="n">
        <v>0</v>
      </c>
      <c r="L909" t="n">
        <v>0</v>
      </c>
      <c r="M909" t="n">
        <v>0</v>
      </c>
      <c r="N909" t="n">
        <v>0</v>
      </c>
      <c r="O909" t="n">
        <v>0</v>
      </c>
      <c r="P909" t="n">
        <v>0</v>
      </c>
      <c r="Q909" t="n">
        <v>0</v>
      </c>
      <c r="R909" s="2" t="inlineStr"/>
    </row>
    <row r="910" ht="15" customHeight="1">
      <c r="A910" t="inlineStr">
        <is>
          <t>A 26668-2024</t>
        </is>
      </c>
      <c r="B910" s="1" t="n">
        <v>45469</v>
      </c>
      <c r="C910" s="1" t="n">
        <v>46173</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5423-2023</t>
        </is>
      </c>
      <c r="B911" s="1" t="n">
        <v>44959.74533564815</v>
      </c>
      <c r="C911" s="1" t="n">
        <v>46173</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50182-2024</t>
        </is>
      </c>
      <c r="B912" s="1" t="n">
        <v>45600.47275462963</v>
      </c>
      <c r="C912" s="1" t="n">
        <v>46173</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22416-2025</t>
        </is>
      </c>
      <c r="B913" s="1" t="n">
        <v>45786.55645833333</v>
      </c>
      <c r="C913" s="1" t="n">
        <v>46173</v>
      </c>
      <c r="D913" t="inlineStr">
        <is>
          <t>STOCKHOLMS LÄN</t>
        </is>
      </c>
      <c r="E913" t="inlineStr">
        <is>
          <t>NORRTÄLJE</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55599-2025</t>
        </is>
      </c>
      <c r="B914" s="1" t="n">
        <v>45971.76810185185</v>
      </c>
      <c r="C914" s="1" t="n">
        <v>46173</v>
      </c>
      <c r="D914" t="inlineStr">
        <is>
          <t>STOCKHOLMS LÄN</t>
        </is>
      </c>
      <c r="E914" t="inlineStr">
        <is>
          <t>NORRTÄLJE</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56114-2025</t>
        </is>
      </c>
      <c r="B915" s="1" t="n">
        <v>45973.74474537037</v>
      </c>
      <c r="C915" s="1" t="n">
        <v>46173</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12629-2024</t>
        </is>
      </c>
      <c r="B916" s="1" t="n">
        <v>45383</v>
      </c>
      <c r="C916" s="1" t="n">
        <v>46173</v>
      </c>
      <c r="D916" t="inlineStr">
        <is>
          <t>STOCKHOLMS LÄN</t>
        </is>
      </c>
      <c r="E916" t="inlineStr">
        <is>
          <t>NORRTÄLJE</t>
        </is>
      </c>
      <c r="G916" t="n">
        <v>2.6</v>
      </c>
      <c r="H916" t="n">
        <v>0</v>
      </c>
      <c r="I916" t="n">
        <v>0</v>
      </c>
      <c r="J916" t="n">
        <v>0</v>
      </c>
      <c r="K916" t="n">
        <v>0</v>
      </c>
      <c r="L916" t="n">
        <v>0</v>
      </c>
      <c r="M916" t="n">
        <v>0</v>
      </c>
      <c r="N916" t="n">
        <v>0</v>
      </c>
      <c r="O916" t="n">
        <v>0</v>
      </c>
      <c r="P916" t="n">
        <v>0</v>
      </c>
      <c r="Q916" t="n">
        <v>0</v>
      </c>
      <c r="R916" s="2" t="inlineStr"/>
    </row>
    <row r="917" ht="15" customHeight="1">
      <c r="A917" t="inlineStr">
        <is>
          <t>A 58785-2024</t>
        </is>
      </c>
      <c r="B917" s="1" t="n">
        <v>45635.88849537037</v>
      </c>
      <c r="C917" s="1" t="n">
        <v>46173</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35708-2022</t>
        </is>
      </c>
      <c r="B918" s="1" t="n">
        <v>44799.65013888889</v>
      </c>
      <c r="C918" s="1" t="n">
        <v>46173</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45220-2024</t>
        </is>
      </c>
      <c r="B919" s="1" t="n">
        <v>45575</v>
      </c>
      <c r="C919" s="1" t="n">
        <v>46173</v>
      </c>
      <c r="D919" t="inlineStr">
        <is>
          <t>STOCKHOLMS LÄN</t>
        </is>
      </c>
      <c r="E919" t="inlineStr">
        <is>
          <t>NORRTÄLJE</t>
        </is>
      </c>
      <c r="G919" t="n">
        <v>4.3</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46173</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23266-2023</t>
        </is>
      </c>
      <c r="B921" s="1" t="n">
        <v>45075.90817129629</v>
      </c>
      <c r="C921" s="1" t="n">
        <v>46173</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2182-2022</t>
        </is>
      </c>
      <c r="B922" s="1" t="n">
        <v>44578</v>
      </c>
      <c r="C922" s="1" t="n">
        <v>46173</v>
      </c>
      <c r="D922" t="inlineStr">
        <is>
          <t>STOCKHOLMS LÄN</t>
        </is>
      </c>
      <c r="E922" t="inlineStr">
        <is>
          <t>NORRTÄLJE</t>
        </is>
      </c>
      <c r="G922" t="n">
        <v>7.2</v>
      </c>
      <c r="H922" t="n">
        <v>0</v>
      </c>
      <c r="I922" t="n">
        <v>0</v>
      </c>
      <c r="J922" t="n">
        <v>0</v>
      </c>
      <c r="K922" t="n">
        <v>0</v>
      </c>
      <c r="L922" t="n">
        <v>0</v>
      </c>
      <c r="M922" t="n">
        <v>0</v>
      </c>
      <c r="N922" t="n">
        <v>0</v>
      </c>
      <c r="O922" t="n">
        <v>0</v>
      </c>
      <c r="P922" t="n">
        <v>0</v>
      </c>
      <c r="Q922" t="n">
        <v>0</v>
      </c>
      <c r="R922" s="2" t="inlineStr"/>
    </row>
    <row r="923" ht="15" customHeight="1">
      <c r="A923" t="inlineStr">
        <is>
          <t>A 23855-2026</t>
        </is>
      </c>
      <c r="B923" s="1" t="n">
        <v>46167.38663194444</v>
      </c>
      <c r="C923" s="1" t="n">
        <v>46173</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47521-2024</t>
        </is>
      </c>
      <c r="B924" s="1" t="n">
        <v>45587.62565972222</v>
      </c>
      <c r="C924" s="1" t="n">
        <v>46173</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58260-2023</t>
        </is>
      </c>
      <c r="B925" s="1" t="n">
        <v>45245</v>
      </c>
      <c r="C925" s="1" t="n">
        <v>46173</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58261-2023</t>
        </is>
      </c>
      <c r="B926" s="1" t="n">
        <v>45245</v>
      </c>
      <c r="C926" s="1" t="n">
        <v>46173</v>
      </c>
      <c r="D926" t="inlineStr">
        <is>
          <t>STOCKHOLMS LÄN</t>
        </is>
      </c>
      <c r="E926" t="inlineStr">
        <is>
          <t>NORRTÄLJE</t>
        </is>
      </c>
      <c r="G926" t="n">
        <v>53.5</v>
      </c>
      <c r="H926" t="n">
        <v>0</v>
      </c>
      <c r="I926" t="n">
        <v>0</v>
      </c>
      <c r="J926" t="n">
        <v>0</v>
      </c>
      <c r="K926" t="n">
        <v>0</v>
      </c>
      <c r="L926" t="n">
        <v>0</v>
      </c>
      <c r="M926" t="n">
        <v>0</v>
      </c>
      <c r="N926" t="n">
        <v>0</v>
      </c>
      <c r="O926" t="n">
        <v>0</v>
      </c>
      <c r="P926" t="n">
        <v>0</v>
      </c>
      <c r="Q926" t="n">
        <v>0</v>
      </c>
      <c r="R926" s="2" t="inlineStr"/>
    </row>
    <row r="927" ht="15" customHeight="1">
      <c r="A927" t="inlineStr">
        <is>
          <t>A 13268-2025</t>
        </is>
      </c>
      <c r="B927" s="1" t="n">
        <v>45735</v>
      </c>
      <c r="C927" s="1" t="n">
        <v>46173</v>
      </c>
      <c r="D927" t="inlineStr">
        <is>
          <t>STOCKHOLMS LÄN</t>
        </is>
      </c>
      <c r="E927" t="inlineStr">
        <is>
          <t>NORRTÄLJE</t>
        </is>
      </c>
      <c r="G927" t="n">
        <v>11.4</v>
      </c>
      <c r="H927" t="n">
        <v>0</v>
      </c>
      <c r="I927" t="n">
        <v>0</v>
      </c>
      <c r="J927" t="n">
        <v>0</v>
      </c>
      <c r="K927" t="n">
        <v>0</v>
      </c>
      <c r="L927" t="n">
        <v>0</v>
      </c>
      <c r="M927" t="n">
        <v>0</v>
      </c>
      <c r="N927" t="n">
        <v>0</v>
      </c>
      <c r="O927" t="n">
        <v>0</v>
      </c>
      <c r="P927" t="n">
        <v>0</v>
      </c>
      <c r="Q927" t="n">
        <v>0</v>
      </c>
      <c r="R927" s="2" t="inlineStr"/>
    </row>
    <row r="928" ht="15" customHeight="1">
      <c r="A928" t="inlineStr">
        <is>
          <t>A 8414-2025</t>
        </is>
      </c>
      <c r="B928" s="1" t="n">
        <v>45709.39361111111</v>
      </c>
      <c r="C928" s="1" t="n">
        <v>46173</v>
      </c>
      <c r="D928" t="inlineStr">
        <is>
          <t>STOCKHOLMS LÄN</t>
        </is>
      </c>
      <c r="E928" t="inlineStr">
        <is>
          <t>NORRTÄLJE</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56207-2025</t>
        </is>
      </c>
      <c r="B929" s="1" t="n">
        <v>45974.47329861111</v>
      </c>
      <c r="C929" s="1" t="n">
        <v>46173</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21753-2026</t>
        </is>
      </c>
      <c r="B930" s="1" t="n">
        <v>46149</v>
      </c>
      <c r="C930" s="1" t="n">
        <v>46173</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36625-2024</t>
        </is>
      </c>
      <c r="B931" s="1" t="n">
        <v>45537</v>
      </c>
      <c r="C931" s="1" t="n">
        <v>46173</v>
      </c>
      <c r="D931" t="inlineStr">
        <is>
          <t>STOCKHOLMS LÄN</t>
        </is>
      </c>
      <c r="E931" t="inlineStr">
        <is>
          <t>NORRTÄLJE</t>
        </is>
      </c>
      <c r="G931" t="n">
        <v>3.8</v>
      </c>
      <c r="H931" t="n">
        <v>0</v>
      </c>
      <c r="I931" t="n">
        <v>0</v>
      </c>
      <c r="J931" t="n">
        <v>0</v>
      </c>
      <c r="K931" t="n">
        <v>0</v>
      </c>
      <c r="L931" t="n">
        <v>0</v>
      </c>
      <c r="M931" t="n">
        <v>0</v>
      </c>
      <c r="N931" t="n">
        <v>0</v>
      </c>
      <c r="O931" t="n">
        <v>0</v>
      </c>
      <c r="P931" t="n">
        <v>0</v>
      </c>
      <c r="Q931" t="n">
        <v>0</v>
      </c>
      <c r="R931" s="2" t="inlineStr"/>
    </row>
    <row r="932" ht="15" customHeight="1">
      <c r="A932" t="inlineStr">
        <is>
          <t>A 44891-2023</t>
        </is>
      </c>
      <c r="B932" s="1" t="n">
        <v>45187</v>
      </c>
      <c r="C932" s="1" t="n">
        <v>46173</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12902-2024</t>
        </is>
      </c>
      <c r="B933" s="1" t="n">
        <v>45385.38146990741</v>
      </c>
      <c r="C933" s="1" t="n">
        <v>46173</v>
      </c>
      <c r="D933" t="inlineStr">
        <is>
          <t>STOCKHOLMS LÄN</t>
        </is>
      </c>
      <c r="E933" t="inlineStr">
        <is>
          <t>NORRTÄLJE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29266-2022</t>
        </is>
      </c>
      <c r="B934" s="1" t="n">
        <v>44750.66068287037</v>
      </c>
      <c r="C934" s="1" t="n">
        <v>46173</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29278-2022</t>
        </is>
      </c>
      <c r="B935" s="1" t="n">
        <v>44750</v>
      </c>
      <c r="C935" s="1" t="n">
        <v>46173</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44032-2024</t>
        </is>
      </c>
      <c r="B936" s="1" t="n">
        <v>45572.57828703704</v>
      </c>
      <c r="C936" s="1" t="n">
        <v>46173</v>
      </c>
      <c r="D936" t="inlineStr">
        <is>
          <t>STOCKHOLMS LÄN</t>
        </is>
      </c>
      <c r="E936" t="inlineStr">
        <is>
          <t>NORRTÄLJE</t>
        </is>
      </c>
      <c r="G936" t="n">
        <v>8.6</v>
      </c>
      <c r="H936" t="n">
        <v>0</v>
      </c>
      <c r="I936" t="n">
        <v>0</v>
      </c>
      <c r="J936" t="n">
        <v>0</v>
      </c>
      <c r="K936" t="n">
        <v>0</v>
      </c>
      <c r="L936" t="n">
        <v>0</v>
      </c>
      <c r="M936" t="n">
        <v>0</v>
      </c>
      <c r="N936" t="n">
        <v>0</v>
      </c>
      <c r="O936" t="n">
        <v>0</v>
      </c>
      <c r="P936" t="n">
        <v>0</v>
      </c>
      <c r="Q936" t="n">
        <v>0</v>
      </c>
      <c r="R936" s="2" t="inlineStr"/>
    </row>
    <row r="937" ht="15" customHeight="1">
      <c r="A937" t="inlineStr">
        <is>
          <t>A 37273-2024</t>
        </is>
      </c>
      <c r="B937" s="1" t="n">
        <v>45540</v>
      </c>
      <c r="C937" s="1" t="n">
        <v>46173</v>
      </c>
      <c r="D937" t="inlineStr">
        <is>
          <t>STOCKHOLMS LÄN</t>
        </is>
      </c>
      <c r="E937" t="inlineStr">
        <is>
          <t>NORRTÄLJE</t>
        </is>
      </c>
      <c r="F937" t="inlineStr">
        <is>
          <t>Sveaskog</t>
        </is>
      </c>
      <c r="G937" t="n">
        <v>12.5</v>
      </c>
      <c r="H937" t="n">
        <v>0</v>
      </c>
      <c r="I937" t="n">
        <v>0</v>
      </c>
      <c r="J937" t="n">
        <v>0</v>
      </c>
      <c r="K937" t="n">
        <v>0</v>
      </c>
      <c r="L937" t="n">
        <v>0</v>
      </c>
      <c r="M937" t="n">
        <v>0</v>
      </c>
      <c r="N937" t="n">
        <v>0</v>
      </c>
      <c r="O937" t="n">
        <v>0</v>
      </c>
      <c r="P937" t="n">
        <v>0</v>
      </c>
      <c r="Q937" t="n">
        <v>0</v>
      </c>
      <c r="R937" s="2" t="inlineStr"/>
    </row>
    <row r="938" ht="15" customHeight="1">
      <c r="A938" t="inlineStr">
        <is>
          <t>A 12908-2025</t>
        </is>
      </c>
      <c r="B938" s="1" t="n">
        <v>45733.82105324074</v>
      </c>
      <c r="C938" s="1" t="n">
        <v>46173</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24563-2024</t>
        </is>
      </c>
      <c r="B939" s="1" t="n">
        <v>45460.44347222222</v>
      </c>
      <c r="C939" s="1" t="n">
        <v>46173</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39237-2024</t>
        </is>
      </c>
      <c r="B940" s="1" t="n">
        <v>45549</v>
      </c>
      <c r="C940" s="1" t="n">
        <v>46173</v>
      </c>
      <c r="D940" t="inlineStr">
        <is>
          <t>STOCKHOLMS LÄN</t>
        </is>
      </c>
      <c r="E940" t="inlineStr">
        <is>
          <t>NORRTÄLJE</t>
        </is>
      </c>
      <c r="G940" t="n">
        <v>13.3</v>
      </c>
      <c r="H940" t="n">
        <v>0</v>
      </c>
      <c r="I940" t="n">
        <v>0</v>
      </c>
      <c r="J940" t="n">
        <v>0</v>
      </c>
      <c r="K940" t="n">
        <v>0</v>
      </c>
      <c r="L940" t="n">
        <v>0</v>
      </c>
      <c r="M940" t="n">
        <v>0</v>
      </c>
      <c r="N940" t="n">
        <v>0</v>
      </c>
      <c r="O940" t="n">
        <v>0</v>
      </c>
      <c r="P940" t="n">
        <v>0</v>
      </c>
      <c r="Q940" t="n">
        <v>0</v>
      </c>
      <c r="R940" s="2" t="inlineStr"/>
    </row>
    <row r="941" ht="15" customHeight="1">
      <c r="A941" t="inlineStr">
        <is>
          <t>A 15836-2026</t>
        </is>
      </c>
      <c r="B941" s="1" t="n">
        <v>46107</v>
      </c>
      <c r="C941" s="1" t="n">
        <v>46173</v>
      </c>
      <c r="D941" t="inlineStr">
        <is>
          <t>STOCKHOLMS LÄN</t>
        </is>
      </c>
      <c r="E941" t="inlineStr">
        <is>
          <t>NORRTÄLJE</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45746-2024</t>
        </is>
      </c>
      <c r="B942" s="1" t="n">
        <v>45579</v>
      </c>
      <c r="C942" s="1" t="n">
        <v>46173</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8400-2024</t>
        </is>
      </c>
      <c r="B943" s="1" t="n">
        <v>45352.74090277778</v>
      </c>
      <c r="C943" s="1" t="n">
        <v>46173</v>
      </c>
      <c r="D943" t="inlineStr">
        <is>
          <t>STOCKHOLMS LÄN</t>
        </is>
      </c>
      <c r="E943" t="inlineStr">
        <is>
          <t>NORRTÄLJE</t>
        </is>
      </c>
      <c r="G943" t="n">
        <v>4.7</v>
      </c>
      <c r="H943" t="n">
        <v>0</v>
      </c>
      <c r="I943" t="n">
        <v>0</v>
      </c>
      <c r="J943" t="n">
        <v>0</v>
      </c>
      <c r="K943" t="n">
        <v>0</v>
      </c>
      <c r="L943" t="n">
        <v>0</v>
      </c>
      <c r="M943" t="n">
        <v>0</v>
      </c>
      <c r="N943" t="n">
        <v>0</v>
      </c>
      <c r="O943" t="n">
        <v>0</v>
      </c>
      <c r="P943" t="n">
        <v>0</v>
      </c>
      <c r="Q943" t="n">
        <v>0</v>
      </c>
      <c r="R943" s="2" t="inlineStr"/>
    </row>
    <row r="944" ht="15" customHeight="1">
      <c r="A944" t="inlineStr">
        <is>
          <t>A 23060-2023</t>
        </is>
      </c>
      <c r="B944" s="1" t="n">
        <v>45075</v>
      </c>
      <c r="C944" s="1" t="n">
        <v>46173</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14937-2026</t>
        </is>
      </c>
      <c r="B945" s="1" t="n">
        <v>46104</v>
      </c>
      <c r="C945" s="1" t="n">
        <v>46173</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24835-2025</t>
        </is>
      </c>
      <c r="B946" s="1" t="n">
        <v>45799</v>
      </c>
      <c r="C946" s="1" t="n">
        <v>46173</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58403-2025</t>
        </is>
      </c>
      <c r="B947" s="1" t="n">
        <v>45985.56777777777</v>
      </c>
      <c r="C947" s="1" t="n">
        <v>46173</v>
      </c>
      <c r="D947" t="inlineStr">
        <is>
          <t>STOCKHOLMS LÄN</t>
        </is>
      </c>
      <c r="E947" t="inlineStr">
        <is>
          <t>NORRTÄLJE</t>
        </is>
      </c>
      <c r="F947" t="inlineStr">
        <is>
          <t>Naturvårdsverket</t>
        </is>
      </c>
      <c r="G947" t="n">
        <v>13.5</v>
      </c>
      <c r="H947" t="n">
        <v>0</v>
      </c>
      <c r="I947" t="n">
        <v>0</v>
      </c>
      <c r="J947" t="n">
        <v>0</v>
      </c>
      <c r="K947" t="n">
        <v>0</v>
      </c>
      <c r="L947" t="n">
        <v>0</v>
      </c>
      <c r="M947" t="n">
        <v>0</v>
      </c>
      <c r="N947" t="n">
        <v>0</v>
      </c>
      <c r="O947" t="n">
        <v>0</v>
      </c>
      <c r="P947" t="n">
        <v>0</v>
      </c>
      <c r="Q947" t="n">
        <v>0</v>
      </c>
      <c r="R947" s="2" t="inlineStr"/>
    </row>
    <row r="948" ht="15" customHeight="1">
      <c r="A948" t="inlineStr">
        <is>
          <t>A 58142-2025</t>
        </is>
      </c>
      <c r="B948" s="1" t="n">
        <v>45982.63791666667</v>
      </c>
      <c r="C948" s="1" t="n">
        <v>46173</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57953-2025</t>
        </is>
      </c>
      <c r="B949" s="1" t="n">
        <v>45982.35016203704</v>
      </c>
      <c r="C949" s="1" t="n">
        <v>46173</v>
      </c>
      <c r="D949" t="inlineStr">
        <is>
          <t>STOCKHOLMS LÄN</t>
        </is>
      </c>
      <c r="E949" t="inlineStr">
        <is>
          <t>NORRTÄLJE</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58939-2025</t>
        </is>
      </c>
      <c r="B950" s="1" t="n">
        <v>45987.5681712963</v>
      </c>
      <c r="C950" s="1" t="n">
        <v>46173</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62998-2023</t>
        </is>
      </c>
      <c r="B951" s="1" t="n">
        <v>45272.64479166667</v>
      </c>
      <c r="C951" s="1" t="n">
        <v>46173</v>
      </c>
      <c r="D951" t="inlineStr">
        <is>
          <t>STOCKHOLMS LÄN</t>
        </is>
      </c>
      <c r="E951" t="inlineStr">
        <is>
          <t>NORRTÄLJE</t>
        </is>
      </c>
      <c r="G951" t="n">
        <v>16.3</v>
      </c>
      <c r="H951" t="n">
        <v>0</v>
      </c>
      <c r="I951" t="n">
        <v>0</v>
      </c>
      <c r="J951" t="n">
        <v>0</v>
      </c>
      <c r="K951" t="n">
        <v>0</v>
      </c>
      <c r="L951" t="n">
        <v>0</v>
      </c>
      <c r="M951" t="n">
        <v>0</v>
      </c>
      <c r="N951" t="n">
        <v>0</v>
      </c>
      <c r="O951" t="n">
        <v>0</v>
      </c>
      <c r="P951" t="n">
        <v>0</v>
      </c>
      <c r="Q951" t="n">
        <v>0</v>
      </c>
      <c r="R951" s="2" t="inlineStr"/>
    </row>
    <row r="952" ht="15" customHeight="1">
      <c r="A952" t="inlineStr">
        <is>
          <t>A 63015-2023</t>
        </is>
      </c>
      <c r="B952" s="1" t="n">
        <v>45272</v>
      </c>
      <c r="C952" s="1" t="n">
        <v>46173</v>
      </c>
      <c r="D952" t="inlineStr">
        <is>
          <t>STOCKHOLMS LÄN</t>
        </is>
      </c>
      <c r="E952" t="inlineStr">
        <is>
          <t>NORRTÄLJE</t>
        </is>
      </c>
      <c r="G952" t="n">
        <v>13.1</v>
      </c>
      <c r="H952" t="n">
        <v>0</v>
      </c>
      <c r="I952" t="n">
        <v>0</v>
      </c>
      <c r="J952" t="n">
        <v>0</v>
      </c>
      <c r="K952" t="n">
        <v>0</v>
      </c>
      <c r="L952" t="n">
        <v>0</v>
      </c>
      <c r="M952" t="n">
        <v>0</v>
      </c>
      <c r="N952" t="n">
        <v>0</v>
      </c>
      <c r="O952" t="n">
        <v>0</v>
      </c>
      <c r="P952" t="n">
        <v>0</v>
      </c>
      <c r="Q952" t="n">
        <v>0</v>
      </c>
      <c r="R952" s="2" t="inlineStr"/>
    </row>
    <row r="953" ht="15" customHeight="1">
      <c r="A953" t="inlineStr">
        <is>
          <t>A 27831-2024</t>
        </is>
      </c>
      <c r="B953" s="1" t="n">
        <v>45475.61896990741</v>
      </c>
      <c r="C953" s="1" t="n">
        <v>46173</v>
      </c>
      <c r="D953" t="inlineStr">
        <is>
          <t>STOCKHOLMS LÄN</t>
        </is>
      </c>
      <c r="E953" t="inlineStr">
        <is>
          <t>NORRTÄLJE</t>
        </is>
      </c>
      <c r="G953" t="n">
        <v>3.8</v>
      </c>
      <c r="H953" t="n">
        <v>0</v>
      </c>
      <c r="I953" t="n">
        <v>0</v>
      </c>
      <c r="J953" t="n">
        <v>0</v>
      </c>
      <c r="K953" t="n">
        <v>0</v>
      </c>
      <c r="L953" t="n">
        <v>0</v>
      </c>
      <c r="M953" t="n">
        <v>0</v>
      </c>
      <c r="N953" t="n">
        <v>0</v>
      </c>
      <c r="O953" t="n">
        <v>0</v>
      </c>
      <c r="P953" t="n">
        <v>0</v>
      </c>
      <c r="Q953" t="n">
        <v>0</v>
      </c>
      <c r="R953" s="2" t="inlineStr"/>
    </row>
    <row r="954" ht="15" customHeight="1">
      <c r="A954" t="inlineStr">
        <is>
          <t>A 33175-2024</t>
        </is>
      </c>
      <c r="B954" s="1" t="n">
        <v>45518</v>
      </c>
      <c r="C954" s="1" t="n">
        <v>46173</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21803-2022</t>
        </is>
      </c>
      <c r="B955" s="1" t="n">
        <v>44708.67822916667</v>
      </c>
      <c r="C955" s="1" t="n">
        <v>46173</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20730-2024</t>
        </is>
      </c>
      <c r="B956" s="1" t="n">
        <v>45436</v>
      </c>
      <c r="C956" s="1" t="n">
        <v>46173</v>
      </c>
      <c r="D956" t="inlineStr">
        <is>
          <t>STOCKHOLMS LÄN</t>
        </is>
      </c>
      <c r="E956" t="inlineStr">
        <is>
          <t>NORRTÄLJE</t>
        </is>
      </c>
      <c r="G956" t="n">
        <v>7.3</v>
      </c>
      <c r="H956" t="n">
        <v>0</v>
      </c>
      <c r="I956" t="n">
        <v>0</v>
      </c>
      <c r="J956" t="n">
        <v>0</v>
      </c>
      <c r="K956" t="n">
        <v>0</v>
      </c>
      <c r="L956" t="n">
        <v>0</v>
      </c>
      <c r="M956" t="n">
        <v>0</v>
      </c>
      <c r="N956" t="n">
        <v>0</v>
      </c>
      <c r="O956" t="n">
        <v>0</v>
      </c>
      <c r="P956" t="n">
        <v>0</v>
      </c>
      <c r="Q956" t="n">
        <v>0</v>
      </c>
      <c r="R956" s="2" t="inlineStr"/>
    </row>
    <row r="957" ht="15" customHeight="1">
      <c r="A957" t="inlineStr">
        <is>
          <t>A 59041-2025</t>
        </is>
      </c>
      <c r="B957" s="1" t="n">
        <v>45988</v>
      </c>
      <c r="C957" s="1" t="n">
        <v>46173</v>
      </c>
      <c r="D957" t="inlineStr">
        <is>
          <t>STOCKHOLMS LÄN</t>
        </is>
      </c>
      <c r="E957" t="inlineStr">
        <is>
          <t>NORRTÄLJE</t>
        </is>
      </c>
      <c r="G957" t="n">
        <v>6.6</v>
      </c>
      <c r="H957" t="n">
        <v>0</v>
      </c>
      <c r="I957" t="n">
        <v>0</v>
      </c>
      <c r="J957" t="n">
        <v>0</v>
      </c>
      <c r="K957" t="n">
        <v>0</v>
      </c>
      <c r="L957" t="n">
        <v>0</v>
      </c>
      <c r="M957" t="n">
        <v>0</v>
      </c>
      <c r="N957" t="n">
        <v>0</v>
      </c>
      <c r="O957" t="n">
        <v>0</v>
      </c>
      <c r="P957" t="n">
        <v>0</v>
      </c>
      <c r="Q957" t="n">
        <v>0</v>
      </c>
      <c r="R957" s="2" t="inlineStr"/>
    </row>
    <row r="958" ht="15" customHeight="1">
      <c r="A958" t="inlineStr">
        <is>
          <t>A 59914-2025</t>
        </is>
      </c>
      <c r="B958" s="1" t="n">
        <v>45993.37056712963</v>
      </c>
      <c r="C958" s="1" t="n">
        <v>46173</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59672-2025</t>
        </is>
      </c>
      <c r="B959" s="1" t="n">
        <v>45992.45884259259</v>
      </c>
      <c r="C959" s="1" t="n">
        <v>46173</v>
      </c>
      <c r="D959" t="inlineStr">
        <is>
          <t>STOCKHOLMS LÄN</t>
        </is>
      </c>
      <c r="E959" t="inlineStr">
        <is>
          <t>NORRTÄLJE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57788-2025</t>
        </is>
      </c>
      <c r="B960" s="1" t="n">
        <v>45981.5778125</v>
      </c>
      <c r="C960" s="1" t="n">
        <v>46173</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59907-2025</t>
        </is>
      </c>
      <c r="B961" s="1" t="n">
        <v>45993.35350694445</v>
      </c>
      <c r="C961" s="1" t="n">
        <v>46173</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12901-2024</t>
        </is>
      </c>
      <c r="B962" s="1" t="n">
        <v>45385.37922453704</v>
      </c>
      <c r="C962" s="1" t="n">
        <v>46173</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8950-2025</t>
        </is>
      </c>
      <c r="B963" s="1" t="n">
        <v>45713</v>
      </c>
      <c r="C963" s="1" t="n">
        <v>46173</v>
      </c>
      <c r="D963" t="inlineStr">
        <is>
          <t>STOCKHOLMS LÄN</t>
        </is>
      </c>
      <c r="E963" t="inlineStr">
        <is>
          <t>NORRTÄLJE</t>
        </is>
      </c>
      <c r="F963" t="inlineStr">
        <is>
          <t>Övriga Aktiebolag</t>
        </is>
      </c>
      <c r="G963" t="n">
        <v>3.6</v>
      </c>
      <c r="H963" t="n">
        <v>0</v>
      </c>
      <c r="I963" t="n">
        <v>0</v>
      </c>
      <c r="J963" t="n">
        <v>0</v>
      </c>
      <c r="K963" t="n">
        <v>0</v>
      </c>
      <c r="L963" t="n">
        <v>0</v>
      </c>
      <c r="M963" t="n">
        <v>0</v>
      </c>
      <c r="N963" t="n">
        <v>0</v>
      </c>
      <c r="O963" t="n">
        <v>0</v>
      </c>
      <c r="P963" t="n">
        <v>0</v>
      </c>
      <c r="Q963" t="n">
        <v>0</v>
      </c>
      <c r="R963" s="2" t="inlineStr"/>
    </row>
    <row r="964" ht="15" customHeight="1">
      <c r="A964" t="inlineStr">
        <is>
          <t>A 12301-2025</t>
        </is>
      </c>
      <c r="B964" s="1" t="n">
        <v>45729.7271875</v>
      </c>
      <c r="C964" s="1" t="n">
        <v>46173</v>
      </c>
      <c r="D964" t="inlineStr">
        <is>
          <t>STOCKHOLMS LÄN</t>
        </is>
      </c>
      <c r="E964" t="inlineStr">
        <is>
          <t>NORRTÄLJE</t>
        </is>
      </c>
      <c r="G964" t="n">
        <v>3.2</v>
      </c>
      <c r="H964" t="n">
        <v>0</v>
      </c>
      <c r="I964" t="n">
        <v>0</v>
      </c>
      <c r="J964" t="n">
        <v>0</v>
      </c>
      <c r="K964" t="n">
        <v>0</v>
      </c>
      <c r="L964" t="n">
        <v>0</v>
      </c>
      <c r="M964" t="n">
        <v>0</v>
      </c>
      <c r="N964" t="n">
        <v>0</v>
      </c>
      <c r="O964" t="n">
        <v>0</v>
      </c>
      <c r="P964" t="n">
        <v>0</v>
      </c>
      <c r="Q964" t="n">
        <v>0</v>
      </c>
      <c r="R964" s="2" t="inlineStr"/>
    </row>
    <row r="965" ht="15" customHeight="1">
      <c r="A965" t="inlineStr">
        <is>
          <t>A 59924-2025</t>
        </is>
      </c>
      <c r="B965" s="1" t="n">
        <v>45993.38928240741</v>
      </c>
      <c r="C965" s="1" t="n">
        <v>46173</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24351-2025</t>
        </is>
      </c>
      <c r="B966" s="1" t="n">
        <v>45797.58399305555</v>
      </c>
      <c r="C966" s="1" t="n">
        <v>46173</v>
      </c>
      <c r="D966" t="inlineStr">
        <is>
          <t>STOCKHOLMS LÄN</t>
        </is>
      </c>
      <c r="E966" t="inlineStr">
        <is>
          <t>NORRTÄLJE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13283-2025</t>
        </is>
      </c>
      <c r="B967" s="1" t="n">
        <v>45735</v>
      </c>
      <c r="C967" s="1" t="n">
        <v>46173</v>
      </c>
      <c r="D967" t="inlineStr">
        <is>
          <t>STOCKHOLMS LÄN</t>
        </is>
      </c>
      <c r="E967" t="inlineStr">
        <is>
          <t>NORRTÄLJE</t>
        </is>
      </c>
      <c r="G967" t="n">
        <v>4.9</v>
      </c>
      <c r="H967" t="n">
        <v>0</v>
      </c>
      <c r="I967" t="n">
        <v>0</v>
      </c>
      <c r="J967" t="n">
        <v>0</v>
      </c>
      <c r="K967" t="n">
        <v>0</v>
      </c>
      <c r="L967" t="n">
        <v>0</v>
      </c>
      <c r="M967" t="n">
        <v>0</v>
      </c>
      <c r="N967" t="n">
        <v>0</v>
      </c>
      <c r="O967" t="n">
        <v>0</v>
      </c>
      <c r="P967" t="n">
        <v>0</v>
      </c>
      <c r="Q967" t="n">
        <v>0</v>
      </c>
      <c r="R967" s="2" t="inlineStr"/>
    </row>
    <row r="968" ht="15" customHeight="1">
      <c r="A968" t="inlineStr">
        <is>
          <t>A 60253-2025</t>
        </is>
      </c>
      <c r="B968" s="1" t="n">
        <v>45994.59827546297</v>
      </c>
      <c r="C968" s="1" t="n">
        <v>46173</v>
      </c>
      <c r="D968" t="inlineStr">
        <is>
          <t>STOCKHOLMS LÄN</t>
        </is>
      </c>
      <c r="E968" t="inlineStr">
        <is>
          <t>NORRTÄLJE</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24687-2025</t>
        </is>
      </c>
      <c r="B969" s="1" t="n">
        <v>45798.66767361111</v>
      </c>
      <c r="C969" s="1" t="n">
        <v>46173</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60214-2025</t>
        </is>
      </c>
      <c r="B970" s="1" t="n">
        <v>45994.53761574074</v>
      </c>
      <c r="C970" s="1" t="n">
        <v>46173</v>
      </c>
      <c r="D970" t="inlineStr">
        <is>
          <t>STOCKHOLMS LÄN</t>
        </is>
      </c>
      <c r="E970" t="inlineStr">
        <is>
          <t>NORRTÄLJE</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60223-2025</t>
        </is>
      </c>
      <c r="B971" s="1" t="n">
        <v>45994.54497685185</v>
      </c>
      <c r="C971" s="1" t="n">
        <v>46173</v>
      </c>
      <c r="D971" t="inlineStr">
        <is>
          <t>STOCKHOLMS LÄN</t>
        </is>
      </c>
      <c r="E971" t="inlineStr">
        <is>
          <t>NORRTÄLJE</t>
        </is>
      </c>
      <c r="G971" t="n">
        <v>2.4</v>
      </c>
      <c r="H971" t="n">
        <v>0</v>
      </c>
      <c r="I971" t="n">
        <v>0</v>
      </c>
      <c r="J971" t="n">
        <v>0</v>
      </c>
      <c r="K971" t="n">
        <v>0</v>
      </c>
      <c r="L971" t="n">
        <v>0</v>
      </c>
      <c r="M971" t="n">
        <v>0</v>
      </c>
      <c r="N971" t="n">
        <v>0</v>
      </c>
      <c r="O971" t="n">
        <v>0</v>
      </c>
      <c r="P971" t="n">
        <v>0</v>
      </c>
      <c r="Q971" t="n">
        <v>0</v>
      </c>
      <c r="R971" s="2" t="inlineStr"/>
    </row>
    <row r="972" ht="15" customHeight="1">
      <c r="A972" t="inlineStr">
        <is>
          <t>A 24638-2025</t>
        </is>
      </c>
      <c r="B972" s="1" t="n">
        <v>45798</v>
      </c>
      <c r="C972" s="1" t="n">
        <v>46173</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60745-2025</t>
        </is>
      </c>
      <c r="B973" s="1" t="n">
        <v>45999.37753472223</v>
      </c>
      <c r="C973" s="1" t="n">
        <v>46173</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60649-2025</t>
        </is>
      </c>
      <c r="B974" s="1" t="n">
        <v>45996.4560300926</v>
      </c>
      <c r="C974" s="1" t="n">
        <v>46173</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60948-2025</t>
        </is>
      </c>
      <c r="B975" s="1" t="n">
        <v>45999.650625</v>
      </c>
      <c r="C975" s="1" t="n">
        <v>46173</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28603-2024</t>
        </is>
      </c>
      <c r="B976" s="1" t="n">
        <v>45478.42887731481</v>
      </c>
      <c r="C976" s="1" t="n">
        <v>46173</v>
      </c>
      <c r="D976" t="inlineStr">
        <is>
          <t>STOCKHOLMS LÄN</t>
        </is>
      </c>
      <c r="E976" t="inlineStr">
        <is>
          <t>NORRTÄLJE</t>
        </is>
      </c>
      <c r="G976" t="n">
        <v>5.6</v>
      </c>
      <c r="H976" t="n">
        <v>0</v>
      </c>
      <c r="I976" t="n">
        <v>0</v>
      </c>
      <c r="J976" t="n">
        <v>0</v>
      </c>
      <c r="K976" t="n">
        <v>0</v>
      </c>
      <c r="L976" t="n">
        <v>0</v>
      </c>
      <c r="M976" t="n">
        <v>0</v>
      </c>
      <c r="N976" t="n">
        <v>0</v>
      </c>
      <c r="O976" t="n">
        <v>0</v>
      </c>
      <c r="P976" t="n">
        <v>0</v>
      </c>
      <c r="Q976" t="n">
        <v>0</v>
      </c>
      <c r="R976" s="2" t="inlineStr"/>
    </row>
    <row r="977" ht="15" customHeight="1">
      <c r="A977" t="inlineStr">
        <is>
          <t>A 60928-2025</t>
        </is>
      </c>
      <c r="B977" s="1" t="n">
        <v>45999.633125</v>
      </c>
      <c r="C977" s="1" t="n">
        <v>46173</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61160-2025</t>
        </is>
      </c>
      <c r="B978" s="1" t="n">
        <v>46000.55262731481</v>
      </c>
      <c r="C978" s="1" t="n">
        <v>46173</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24690-2025</t>
        </is>
      </c>
      <c r="B979" s="1" t="n">
        <v>45798.67082175926</v>
      </c>
      <c r="C979" s="1" t="n">
        <v>46173</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47259-2024</t>
        </is>
      </c>
      <c r="B980" s="1" t="n">
        <v>45586</v>
      </c>
      <c r="C980" s="1" t="n">
        <v>46173</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61419-2025</t>
        </is>
      </c>
      <c r="B981" s="1" t="n">
        <v>46001.54137731482</v>
      </c>
      <c r="C981" s="1" t="n">
        <v>46173</v>
      </c>
      <c r="D981" t="inlineStr">
        <is>
          <t>STOCKHOLMS LÄN</t>
        </is>
      </c>
      <c r="E981" t="inlineStr">
        <is>
          <t>NORRTÄLJE</t>
        </is>
      </c>
      <c r="G981" t="n">
        <v>5.2</v>
      </c>
      <c r="H981" t="n">
        <v>0</v>
      </c>
      <c r="I981" t="n">
        <v>0</v>
      </c>
      <c r="J981" t="n">
        <v>0</v>
      </c>
      <c r="K981" t="n">
        <v>0</v>
      </c>
      <c r="L981" t="n">
        <v>0</v>
      </c>
      <c r="M981" t="n">
        <v>0</v>
      </c>
      <c r="N981" t="n">
        <v>0</v>
      </c>
      <c r="O981" t="n">
        <v>0</v>
      </c>
      <c r="P981" t="n">
        <v>0</v>
      </c>
      <c r="Q981" t="n">
        <v>0</v>
      </c>
      <c r="R981" s="2" t="inlineStr"/>
    </row>
    <row r="982" ht="15" customHeight="1">
      <c r="A982" t="inlineStr">
        <is>
          <t>A 61430-2025</t>
        </is>
      </c>
      <c r="B982" s="1" t="n">
        <v>46001.55583333333</v>
      </c>
      <c r="C982" s="1" t="n">
        <v>46173</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25702-2025</t>
        </is>
      </c>
      <c r="B983" s="1" t="n">
        <v>45800</v>
      </c>
      <c r="C983" s="1" t="n">
        <v>46173</v>
      </c>
      <c r="D983" t="inlineStr">
        <is>
          <t>STOCKHOLMS LÄN</t>
        </is>
      </c>
      <c r="E983" t="inlineStr">
        <is>
          <t>NORRTÄLJE</t>
        </is>
      </c>
      <c r="G983" t="n">
        <v>5.3</v>
      </c>
      <c r="H983" t="n">
        <v>0</v>
      </c>
      <c r="I983" t="n">
        <v>0</v>
      </c>
      <c r="J983" t="n">
        <v>0</v>
      </c>
      <c r="K983" t="n">
        <v>0</v>
      </c>
      <c r="L983" t="n">
        <v>0</v>
      </c>
      <c r="M983" t="n">
        <v>0</v>
      </c>
      <c r="N983" t="n">
        <v>0</v>
      </c>
      <c r="O983" t="n">
        <v>0</v>
      </c>
      <c r="P983" t="n">
        <v>0</v>
      </c>
      <c r="Q983" t="n">
        <v>0</v>
      </c>
      <c r="R983" s="2" t="inlineStr"/>
    </row>
    <row r="984" ht="15" customHeight="1">
      <c r="A984" t="inlineStr">
        <is>
          <t>A 25712-2025</t>
        </is>
      </c>
      <c r="B984" s="1" t="n">
        <v>45803.69228009259</v>
      </c>
      <c r="C984" s="1" t="n">
        <v>46173</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61452-2025</t>
        </is>
      </c>
      <c r="B985" s="1" t="n">
        <v>46001.58043981482</v>
      </c>
      <c r="C985" s="1" t="n">
        <v>46173</v>
      </c>
      <c r="D985" t="inlineStr">
        <is>
          <t>STOCKHOLMS LÄN</t>
        </is>
      </c>
      <c r="E985" t="inlineStr">
        <is>
          <t>NORRTÄLJE</t>
        </is>
      </c>
      <c r="F985" t="inlineStr">
        <is>
          <t>Holmen skog AB</t>
        </is>
      </c>
      <c r="G985" t="n">
        <v>3.7</v>
      </c>
      <c r="H985" t="n">
        <v>0</v>
      </c>
      <c r="I985" t="n">
        <v>0</v>
      </c>
      <c r="J985" t="n">
        <v>0</v>
      </c>
      <c r="K985" t="n">
        <v>0</v>
      </c>
      <c r="L985" t="n">
        <v>0</v>
      </c>
      <c r="M985" t="n">
        <v>0</v>
      </c>
      <c r="N985" t="n">
        <v>0</v>
      </c>
      <c r="O985" t="n">
        <v>0</v>
      </c>
      <c r="P985" t="n">
        <v>0</v>
      </c>
      <c r="Q985" t="n">
        <v>0</v>
      </c>
      <c r="R985" s="2" t="inlineStr"/>
    </row>
    <row r="986" ht="15" customHeight="1">
      <c r="A986" t="inlineStr">
        <is>
          <t>A 61289-2025</t>
        </is>
      </c>
      <c r="B986" s="1" t="n">
        <v>46000.73659722223</v>
      </c>
      <c r="C986" s="1" t="n">
        <v>46173</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61769-2025</t>
        </is>
      </c>
      <c r="B987" s="1" t="n">
        <v>46002.64556712963</v>
      </c>
      <c r="C987" s="1" t="n">
        <v>46173</v>
      </c>
      <c r="D987" t="inlineStr">
        <is>
          <t>STOCKHOLMS LÄN</t>
        </is>
      </c>
      <c r="E987" t="inlineStr">
        <is>
          <t>NORRTÄLJE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25733-2025</t>
        </is>
      </c>
      <c r="B988" s="1" t="n">
        <v>45800</v>
      </c>
      <c r="C988" s="1" t="n">
        <v>46173</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39238-2024</t>
        </is>
      </c>
      <c r="B989" s="1" t="n">
        <v>45549</v>
      </c>
      <c r="C989" s="1" t="n">
        <v>46173</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25571-2025</t>
        </is>
      </c>
      <c r="B990" s="1" t="n">
        <v>45803.4675</v>
      </c>
      <c r="C990" s="1" t="n">
        <v>46173</v>
      </c>
      <c r="D990" t="inlineStr">
        <is>
          <t>STOCKHOLMS LÄN</t>
        </is>
      </c>
      <c r="E990" t="inlineStr">
        <is>
          <t>NORRTÄLJE</t>
        </is>
      </c>
      <c r="G990" t="n">
        <v>5.4</v>
      </c>
      <c r="H990" t="n">
        <v>0</v>
      </c>
      <c r="I990" t="n">
        <v>0</v>
      </c>
      <c r="J990" t="n">
        <v>0</v>
      </c>
      <c r="K990" t="n">
        <v>0</v>
      </c>
      <c r="L990" t="n">
        <v>0</v>
      </c>
      <c r="M990" t="n">
        <v>0</v>
      </c>
      <c r="N990" t="n">
        <v>0</v>
      </c>
      <c r="O990" t="n">
        <v>0</v>
      </c>
      <c r="P990" t="n">
        <v>0</v>
      </c>
      <c r="Q990" t="n">
        <v>0</v>
      </c>
      <c r="R990" s="2" t="inlineStr"/>
    </row>
    <row r="991" ht="15" customHeight="1">
      <c r="A991" t="inlineStr">
        <is>
          <t>A 25721-2025</t>
        </is>
      </c>
      <c r="B991" s="1" t="n">
        <v>45800</v>
      </c>
      <c r="C991" s="1" t="n">
        <v>46173</v>
      </c>
      <c r="D991" t="inlineStr">
        <is>
          <t>STOCKHOLMS LÄN</t>
        </is>
      </c>
      <c r="E991" t="inlineStr">
        <is>
          <t>NORRTÄLJE</t>
        </is>
      </c>
      <c r="G991" t="n">
        <v>6</v>
      </c>
      <c r="H991" t="n">
        <v>0</v>
      </c>
      <c r="I991" t="n">
        <v>0</v>
      </c>
      <c r="J991" t="n">
        <v>0</v>
      </c>
      <c r="K991" t="n">
        <v>0</v>
      </c>
      <c r="L991" t="n">
        <v>0</v>
      </c>
      <c r="M991" t="n">
        <v>0</v>
      </c>
      <c r="N991" t="n">
        <v>0</v>
      </c>
      <c r="O991" t="n">
        <v>0</v>
      </c>
      <c r="P991" t="n">
        <v>0</v>
      </c>
      <c r="Q991" t="n">
        <v>0</v>
      </c>
      <c r="R991" s="2" t="inlineStr"/>
    </row>
    <row r="992" ht="15" customHeight="1">
      <c r="A992" t="inlineStr">
        <is>
          <t>A 25697-2025</t>
        </is>
      </c>
      <c r="B992" s="1" t="n">
        <v>45803.66587962963</v>
      </c>
      <c r="C992" s="1" t="n">
        <v>46173</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61764-2025</t>
        </is>
      </c>
      <c r="B993" s="1" t="n">
        <v>46002.62763888889</v>
      </c>
      <c r="C993" s="1" t="n">
        <v>46173</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41218-2024</t>
        </is>
      </c>
      <c r="B994" s="1" t="n">
        <v>45559.54706018518</v>
      </c>
      <c r="C994" s="1" t="n">
        <v>46173</v>
      </c>
      <c r="D994" t="inlineStr">
        <is>
          <t>STOCKHOLMS LÄN</t>
        </is>
      </c>
      <c r="E994" t="inlineStr">
        <is>
          <t>NORRTÄLJE</t>
        </is>
      </c>
      <c r="G994" t="n">
        <v>6</v>
      </c>
      <c r="H994" t="n">
        <v>0</v>
      </c>
      <c r="I994" t="n">
        <v>0</v>
      </c>
      <c r="J994" t="n">
        <v>0</v>
      </c>
      <c r="K994" t="n">
        <v>0</v>
      </c>
      <c r="L994" t="n">
        <v>0</v>
      </c>
      <c r="M994" t="n">
        <v>0</v>
      </c>
      <c r="N994" t="n">
        <v>0</v>
      </c>
      <c r="O994" t="n">
        <v>0</v>
      </c>
      <c r="P994" t="n">
        <v>0</v>
      </c>
      <c r="Q994" t="n">
        <v>0</v>
      </c>
      <c r="R994" s="2" t="inlineStr"/>
    </row>
    <row r="995" ht="15" customHeight="1">
      <c r="A995" t="inlineStr">
        <is>
          <t>A 38449-2022</t>
        </is>
      </c>
      <c r="B995" s="1" t="n">
        <v>44813</v>
      </c>
      <c r="C995" s="1" t="n">
        <v>46173</v>
      </c>
      <c r="D995" t="inlineStr">
        <is>
          <t>STOCKHOLMS LÄN</t>
        </is>
      </c>
      <c r="E995" t="inlineStr">
        <is>
          <t>NORRTÄLJE</t>
        </is>
      </c>
      <c r="G995" t="n">
        <v>4.2</v>
      </c>
      <c r="H995" t="n">
        <v>0</v>
      </c>
      <c r="I995" t="n">
        <v>0</v>
      </c>
      <c r="J995" t="n">
        <v>0</v>
      </c>
      <c r="K995" t="n">
        <v>0</v>
      </c>
      <c r="L995" t="n">
        <v>0</v>
      </c>
      <c r="M995" t="n">
        <v>0</v>
      </c>
      <c r="N995" t="n">
        <v>0</v>
      </c>
      <c r="O995" t="n">
        <v>0</v>
      </c>
      <c r="P995" t="n">
        <v>0</v>
      </c>
      <c r="Q995" t="n">
        <v>0</v>
      </c>
      <c r="R995" s="2" t="inlineStr"/>
    </row>
    <row r="996" ht="15" customHeight="1">
      <c r="A996" t="inlineStr">
        <is>
          <t>A 33279-2025</t>
        </is>
      </c>
      <c r="B996" s="1" t="n">
        <v>45840</v>
      </c>
      <c r="C996" s="1" t="n">
        <v>46173</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53499-2025</t>
        </is>
      </c>
      <c r="B997" s="1" t="n">
        <v>45960</v>
      </c>
      <c r="C997" s="1" t="n">
        <v>46173</v>
      </c>
      <c r="D997" t="inlineStr">
        <is>
          <t>STOCKHOLMS LÄN</t>
        </is>
      </c>
      <c r="E997" t="inlineStr">
        <is>
          <t>NORRTÄLJE</t>
        </is>
      </c>
      <c r="G997" t="n">
        <v>23.8</v>
      </c>
      <c r="H997" t="n">
        <v>0</v>
      </c>
      <c r="I997" t="n">
        <v>0</v>
      </c>
      <c r="J997" t="n">
        <v>0</v>
      </c>
      <c r="K997" t="n">
        <v>0</v>
      </c>
      <c r="L997" t="n">
        <v>0</v>
      </c>
      <c r="M997" t="n">
        <v>0</v>
      </c>
      <c r="N997" t="n">
        <v>0</v>
      </c>
      <c r="O997" t="n">
        <v>0</v>
      </c>
      <c r="P997" t="n">
        <v>0</v>
      </c>
      <c r="Q997" t="n">
        <v>0</v>
      </c>
      <c r="R997" s="2" t="inlineStr"/>
    </row>
    <row r="998" ht="15" customHeight="1">
      <c r="A998" t="inlineStr">
        <is>
          <t>A 53561-2023</t>
        </is>
      </c>
      <c r="B998" s="1" t="n">
        <v>45224</v>
      </c>
      <c r="C998" s="1" t="n">
        <v>46173</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62708-2025</t>
        </is>
      </c>
      <c r="B999" s="1" t="n">
        <v>46008.50986111111</v>
      </c>
      <c r="C999" s="1" t="n">
        <v>46173</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34478-2025</t>
        </is>
      </c>
      <c r="B1000" s="1" t="n">
        <v>45847</v>
      </c>
      <c r="C1000" s="1" t="n">
        <v>46173</v>
      </c>
      <c r="D1000" t="inlineStr">
        <is>
          <t>STOCKHOLMS LÄN</t>
        </is>
      </c>
      <c r="E1000" t="inlineStr">
        <is>
          <t>NORRTÄLJE</t>
        </is>
      </c>
      <c r="F1000" t="inlineStr">
        <is>
          <t>Övriga Aktiebolag</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62681-2025</t>
        </is>
      </c>
      <c r="B1001" s="1" t="n">
        <v>46008.45534722223</v>
      </c>
      <c r="C1001" s="1" t="n">
        <v>46173</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62922-2025</t>
        </is>
      </c>
      <c r="B1002" s="1" t="n">
        <v>46009.38064814815</v>
      </c>
      <c r="C1002" s="1" t="n">
        <v>46173</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26051-2025</t>
        </is>
      </c>
      <c r="B1003" s="1" t="n">
        <v>45804.74479166666</v>
      </c>
      <c r="C1003" s="1" t="n">
        <v>46173</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62689-2025</t>
        </is>
      </c>
      <c r="B1004" s="1" t="n">
        <v>46008.47171296296</v>
      </c>
      <c r="C1004" s="1" t="n">
        <v>46173</v>
      </c>
      <c r="D1004" t="inlineStr">
        <is>
          <t>STOCKHOLMS LÄN</t>
        </is>
      </c>
      <c r="E1004" t="inlineStr">
        <is>
          <t>NORRTÄLJE</t>
        </is>
      </c>
      <c r="F1004" t="inlineStr">
        <is>
          <t>Kyrkan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26708-2025</t>
        </is>
      </c>
      <c r="B1005" s="1" t="n">
        <v>45810.45633101852</v>
      </c>
      <c r="C1005" s="1" t="n">
        <v>46173</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26702-2025</t>
        </is>
      </c>
      <c r="B1006" s="1" t="n">
        <v>45810.45236111111</v>
      </c>
      <c r="C1006" s="1" t="n">
        <v>46173</v>
      </c>
      <c r="D1006" t="inlineStr">
        <is>
          <t>STOCKHOLMS LÄN</t>
        </is>
      </c>
      <c r="E1006" t="inlineStr">
        <is>
          <t>NORRTÄLJE</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23061-2025</t>
        </is>
      </c>
      <c r="B1007" s="1" t="n">
        <v>45790.81410879629</v>
      </c>
      <c r="C1007" s="1" t="n">
        <v>46173</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27040-2025</t>
        </is>
      </c>
      <c r="B1008" s="1" t="n">
        <v>45811.60451388889</v>
      </c>
      <c r="C1008" s="1" t="n">
        <v>46173</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26747-2025</t>
        </is>
      </c>
      <c r="B1009" s="1" t="n">
        <v>45810.5333912037</v>
      </c>
      <c r="C1009" s="1" t="n">
        <v>46173</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26675-2025</t>
        </is>
      </c>
      <c r="B1010" s="1" t="n">
        <v>45810.42393518519</v>
      </c>
      <c r="C1010" s="1" t="n">
        <v>46173</v>
      </c>
      <c r="D1010" t="inlineStr">
        <is>
          <t>STOCKHOLMS LÄN</t>
        </is>
      </c>
      <c r="E1010" t="inlineStr">
        <is>
          <t>NORRTÄLJE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27554-2025</t>
        </is>
      </c>
      <c r="B1011" s="1" t="n">
        <v>45813.4709375</v>
      </c>
      <c r="C1011" s="1" t="n">
        <v>46173</v>
      </c>
      <c r="D1011" t="inlineStr">
        <is>
          <t>STOCKHOLMS LÄN</t>
        </is>
      </c>
      <c r="E1011" t="inlineStr">
        <is>
          <t>NORRTÄLJE</t>
        </is>
      </c>
      <c r="F1011" t="inlineStr">
        <is>
          <t>Övriga Aktiebolag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197-2026</t>
        </is>
      </c>
      <c r="B1012" s="1" t="n">
        <v>46026</v>
      </c>
      <c r="C1012" s="1" t="n">
        <v>46173</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27700-2025</t>
        </is>
      </c>
      <c r="B1013" s="1" t="n">
        <v>45813.6799537037</v>
      </c>
      <c r="C1013" s="1" t="n">
        <v>46173</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124-2026</t>
        </is>
      </c>
      <c r="B1014" s="1" t="n">
        <v>46024.58378472222</v>
      </c>
      <c r="C1014" s="1" t="n">
        <v>46173</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27697-2025</t>
        </is>
      </c>
      <c r="B1015" s="1" t="n">
        <v>45813.66961805556</v>
      </c>
      <c r="C1015" s="1" t="n">
        <v>46173</v>
      </c>
      <c r="D1015" t="inlineStr">
        <is>
          <t>STOCKHOLMS LÄN</t>
        </is>
      </c>
      <c r="E1015" t="inlineStr">
        <is>
          <t>NORRTÄLJE</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27802-2025</t>
        </is>
      </c>
      <c r="B1016" s="1" t="n">
        <v>45817.2565625</v>
      </c>
      <c r="C1016" s="1" t="n">
        <v>46173</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27806-2025</t>
        </is>
      </c>
      <c r="B1017" s="1" t="n">
        <v>45817.30329861111</v>
      </c>
      <c r="C1017" s="1" t="n">
        <v>46173</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27808-2025</t>
        </is>
      </c>
      <c r="B1018" s="1" t="n">
        <v>45817.31085648148</v>
      </c>
      <c r="C1018" s="1" t="n">
        <v>46173</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27810-2025</t>
        </is>
      </c>
      <c r="B1019" s="1" t="n">
        <v>45817.31708333334</v>
      </c>
      <c r="C1019" s="1" t="n">
        <v>46173</v>
      </c>
      <c r="D1019" t="inlineStr">
        <is>
          <t>STOCKHOLMS LÄN</t>
        </is>
      </c>
      <c r="E1019" t="inlineStr">
        <is>
          <t>NORRTÄLJE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27811-2025</t>
        </is>
      </c>
      <c r="B1020" s="1" t="n">
        <v>45817.31986111111</v>
      </c>
      <c r="C1020" s="1" t="n">
        <v>46173</v>
      </c>
      <c r="D1020" t="inlineStr">
        <is>
          <t>STOCKHOLMS LÄN</t>
        </is>
      </c>
      <c r="E1020" t="inlineStr">
        <is>
          <t>NORRTÄLJE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27818-2025</t>
        </is>
      </c>
      <c r="B1021" s="1" t="n">
        <v>45817.33503472222</v>
      </c>
      <c r="C1021" s="1" t="n">
        <v>46173</v>
      </c>
      <c r="D1021" t="inlineStr">
        <is>
          <t>STOCKHOLMS LÄN</t>
        </is>
      </c>
      <c r="E1021" t="inlineStr">
        <is>
          <t>NORRTÄLJE</t>
        </is>
      </c>
      <c r="F1021" t="inlineStr">
        <is>
          <t>Sveaskog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27801-2025</t>
        </is>
      </c>
      <c r="B1022" s="1" t="n">
        <v>45817.25471064815</v>
      </c>
      <c r="C1022" s="1" t="n">
        <v>46173</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718-2026</t>
        </is>
      </c>
      <c r="B1023" s="1" t="n">
        <v>46029.63174768518</v>
      </c>
      <c r="C1023" s="1" t="n">
        <v>46173</v>
      </c>
      <c r="D1023" t="inlineStr">
        <is>
          <t>STOCKHOLMS LÄN</t>
        </is>
      </c>
      <c r="E1023" t="inlineStr">
        <is>
          <t>NORRTÄLJE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694-2026</t>
        </is>
      </c>
      <c r="B1024" s="1" t="n">
        <v>46029.61375</v>
      </c>
      <c r="C1024" s="1" t="n">
        <v>46173</v>
      </c>
      <c r="D1024" t="inlineStr">
        <is>
          <t>STOCKHOLMS LÄN</t>
        </is>
      </c>
      <c r="E1024" t="inlineStr">
        <is>
          <t>NORRTÄLJE</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27803-2025</t>
        </is>
      </c>
      <c r="B1025" s="1" t="n">
        <v>45817.291875</v>
      </c>
      <c r="C1025" s="1" t="n">
        <v>46173</v>
      </c>
      <c r="D1025" t="inlineStr">
        <is>
          <t>STOCKHOLMS LÄN</t>
        </is>
      </c>
      <c r="E1025" t="inlineStr">
        <is>
          <t>NORRTÄLJE</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27813-2025</t>
        </is>
      </c>
      <c r="B1026" s="1" t="n">
        <v>45817.32538194444</v>
      </c>
      <c r="C1026" s="1" t="n">
        <v>46173</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27821-2025</t>
        </is>
      </c>
      <c r="B1027" s="1" t="n">
        <v>45817.34083333334</v>
      </c>
      <c r="C1027" s="1" t="n">
        <v>46173</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693-2026</t>
        </is>
      </c>
      <c r="B1028" s="1" t="n">
        <v>46029.6133449074</v>
      </c>
      <c r="C1028" s="1" t="n">
        <v>46173</v>
      </c>
      <c r="D1028" t="inlineStr">
        <is>
          <t>STOCKHOLMS LÄN</t>
        </is>
      </c>
      <c r="E1028" t="inlineStr">
        <is>
          <t>NORRTÄLJE</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475-2026</t>
        </is>
      </c>
      <c r="B1029" s="1" t="n">
        <v>46029.39351851852</v>
      </c>
      <c r="C1029" s="1" t="n">
        <v>46173</v>
      </c>
      <c r="D1029" t="inlineStr">
        <is>
          <t>STOCKHOLMS LÄN</t>
        </is>
      </c>
      <c r="E1029" t="inlineStr">
        <is>
          <t>NORRTÄLJE</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717-2026</t>
        </is>
      </c>
      <c r="B1030" s="1" t="n">
        <v>46029.63028935185</v>
      </c>
      <c r="C1030" s="1" t="n">
        <v>46173</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812-2026</t>
        </is>
      </c>
      <c r="B1031" s="1" t="n">
        <v>46030.33358796296</v>
      </c>
      <c r="C1031" s="1" t="n">
        <v>46173</v>
      </c>
      <c r="D1031" t="inlineStr">
        <is>
          <t>STOCKHOLMS LÄN</t>
        </is>
      </c>
      <c r="E1031" t="inlineStr">
        <is>
          <t>NORRTÄLJE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15528-2025</t>
        </is>
      </c>
      <c r="B1032" s="1" t="n">
        <v>45747.63471064815</v>
      </c>
      <c r="C1032" s="1" t="n">
        <v>46173</v>
      </c>
      <c r="D1032" t="inlineStr">
        <is>
          <t>STOCKHOLMS LÄN</t>
        </is>
      </c>
      <c r="E1032" t="inlineStr">
        <is>
          <t>NORRTÄLJE</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11901-2024</t>
        </is>
      </c>
      <c r="B1033" s="1" t="n">
        <v>45376.55638888889</v>
      </c>
      <c r="C1033" s="1" t="n">
        <v>46173</v>
      </c>
      <c r="D1033" t="inlineStr">
        <is>
          <t>STOCKHOLMS LÄN</t>
        </is>
      </c>
      <c r="E1033" t="inlineStr">
        <is>
          <t>NORRTÄLJE</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44075-2023</t>
        </is>
      </c>
      <c r="B1034" s="1" t="n">
        <v>45188.41637731482</v>
      </c>
      <c r="C1034" s="1" t="n">
        <v>46173</v>
      </c>
      <c r="D1034" t="inlineStr">
        <is>
          <t>STOCKHOLMS LÄN</t>
        </is>
      </c>
      <c r="E1034" t="inlineStr">
        <is>
          <t>NORRTÄLJE</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1755-2026</t>
        </is>
      </c>
      <c r="B1035" s="1" t="n">
        <v>46034.66230324074</v>
      </c>
      <c r="C1035" s="1" t="n">
        <v>46173</v>
      </c>
      <c r="D1035" t="inlineStr">
        <is>
          <t>STOCKHOLMS LÄN</t>
        </is>
      </c>
      <c r="E1035" t="inlineStr">
        <is>
          <t>NORRTÄLJE</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1789-2026</t>
        </is>
      </c>
      <c r="B1036" s="1" t="n">
        <v>46034</v>
      </c>
      <c r="C1036" s="1" t="n">
        <v>46173</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2088-2026</t>
        </is>
      </c>
      <c r="B1037" s="1" t="n">
        <v>46036.35909722222</v>
      </c>
      <c r="C1037" s="1" t="n">
        <v>46173</v>
      </c>
      <c r="D1037" t="inlineStr">
        <is>
          <t>STOCKHOLMS LÄN</t>
        </is>
      </c>
      <c r="E1037" t="inlineStr">
        <is>
          <t>NORRTÄLJE</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2116-2026</t>
        </is>
      </c>
      <c r="B1038" s="1" t="n">
        <v>46036.38108796296</v>
      </c>
      <c r="C1038" s="1" t="n">
        <v>46173</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29250-2025</t>
        </is>
      </c>
      <c r="B1039" s="1" t="n">
        <v>45824.37275462963</v>
      </c>
      <c r="C1039" s="1" t="n">
        <v>46173</v>
      </c>
      <c r="D1039" t="inlineStr">
        <is>
          <t>STOCKHOLMS LÄN</t>
        </is>
      </c>
      <c r="E1039" t="inlineStr">
        <is>
          <t>NORRTÄLJE</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3549-2026</t>
        </is>
      </c>
      <c r="B1040" s="1" t="n">
        <v>46042</v>
      </c>
      <c r="C1040" s="1" t="n">
        <v>46173</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4227-2026</t>
        </is>
      </c>
      <c r="B1041" s="1" t="n">
        <v>46044</v>
      </c>
      <c r="C1041" s="1" t="n">
        <v>46173</v>
      </c>
      <c r="D1041" t="inlineStr">
        <is>
          <t>STOCKHOLMS LÄN</t>
        </is>
      </c>
      <c r="E1041" t="inlineStr">
        <is>
          <t>NORRTÄLJE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30639-2025</t>
        </is>
      </c>
      <c r="B1042" s="1" t="n">
        <v>45831.4844212963</v>
      </c>
      <c r="C1042" s="1" t="n">
        <v>46173</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30668-2025</t>
        </is>
      </c>
      <c r="B1043" s="1" t="n">
        <v>45831.51659722222</v>
      </c>
      <c r="C1043" s="1" t="n">
        <v>46173</v>
      </c>
      <c r="D1043" t="inlineStr">
        <is>
          <t>STOCKHOLMS LÄN</t>
        </is>
      </c>
      <c r="E1043" t="inlineStr">
        <is>
          <t>NORRTÄLJE</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4230-2026</t>
        </is>
      </c>
      <c r="B1044" s="1" t="n">
        <v>46044.89366898148</v>
      </c>
      <c r="C1044" s="1" t="n">
        <v>46173</v>
      </c>
      <c r="D1044" t="inlineStr">
        <is>
          <t>STOCKHOLMS LÄN</t>
        </is>
      </c>
      <c r="E1044" t="inlineStr">
        <is>
          <t>NORRTÄLJE</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4231-2026</t>
        </is>
      </c>
      <c r="B1045" s="1" t="n">
        <v>46044</v>
      </c>
      <c r="C1045" s="1" t="n">
        <v>46173</v>
      </c>
      <c r="D1045" t="inlineStr">
        <is>
          <t>STOCKHOLMS LÄN</t>
        </is>
      </c>
      <c r="E1045" t="inlineStr">
        <is>
          <t>NORRTÄLJE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4232-2026</t>
        </is>
      </c>
      <c r="B1046" s="1" t="n">
        <v>46044.89594907407</v>
      </c>
      <c r="C1046" s="1" t="n">
        <v>46173</v>
      </c>
      <c r="D1046" t="inlineStr">
        <is>
          <t>STOCKHOLMS LÄN</t>
        </is>
      </c>
      <c r="E1046" t="inlineStr">
        <is>
          <t>NORRTÄLJE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3933-2026</t>
        </is>
      </c>
      <c r="B1047" s="1" t="n">
        <v>46043.79916666666</v>
      </c>
      <c r="C1047" s="1" t="n">
        <v>46173</v>
      </c>
      <c r="D1047" t="inlineStr">
        <is>
          <t>STOCKHOLMS LÄN</t>
        </is>
      </c>
      <c r="E1047" t="inlineStr">
        <is>
          <t>NORRTÄLJE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4235-2026</t>
        </is>
      </c>
      <c r="B1048" s="1" t="n">
        <v>46044</v>
      </c>
      <c r="C1048" s="1" t="n">
        <v>46173</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4549-2026</t>
        </is>
      </c>
      <c r="B1049" s="1" t="n">
        <v>46047</v>
      </c>
      <c r="C1049" s="1" t="n">
        <v>46173</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31170-2025</t>
        </is>
      </c>
      <c r="B1050" s="1" t="n">
        <v>45832.66385416667</v>
      </c>
      <c r="C1050" s="1" t="n">
        <v>46173</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4886-2026</t>
        </is>
      </c>
      <c r="B1051" s="1" t="n">
        <v>46048.66328703704</v>
      </c>
      <c r="C1051" s="1" t="n">
        <v>46173</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31880-2025</t>
        </is>
      </c>
      <c r="B1052" s="1" t="n">
        <v>45834.65538194445</v>
      </c>
      <c r="C1052" s="1" t="n">
        <v>46173</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32122-2025</t>
        </is>
      </c>
      <c r="B1053" s="1" t="n">
        <v>45835.4928125</v>
      </c>
      <c r="C1053" s="1" t="n">
        <v>46173</v>
      </c>
      <c r="D1053" t="inlineStr">
        <is>
          <t>STOCKHOLMS LÄN</t>
        </is>
      </c>
      <c r="E1053" t="inlineStr">
        <is>
          <t>NORRTÄLJE</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31868-2025</t>
        </is>
      </c>
      <c r="B1054" s="1" t="n">
        <v>45834.6447337963</v>
      </c>
      <c r="C1054" s="1" t="n">
        <v>46173</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6413-2025</t>
        </is>
      </c>
      <c r="B1055" s="1" t="n">
        <v>45699.46283564815</v>
      </c>
      <c r="C1055" s="1" t="n">
        <v>46173</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32016-2025</t>
        </is>
      </c>
      <c r="B1056" s="1" t="n">
        <v>45835</v>
      </c>
      <c r="C1056" s="1" t="n">
        <v>46173</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5226-2026</t>
        </is>
      </c>
      <c r="B1057" s="1" t="n">
        <v>46049.79961805556</v>
      </c>
      <c r="C1057" s="1" t="n">
        <v>46173</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32283-2025</t>
        </is>
      </c>
      <c r="B1058" s="1" t="n">
        <v>45835.68076388889</v>
      </c>
      <c r="C1058" s="1" t="n">
        <v>46173</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5224-2026</t>
        </is>
      </c>
      <c r="B1059" s="1" t="n">
        <v>46049.79521990741</v>
      </c>
      <c r="C1059" s="1" t="n">
        <v>46173</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5227-2026</t>
        </is>
      </c>
      <c r="B1060" s="1" t="n">
        <v>46049.80460648148</v>
      </c>
      <c r="C1060" s="1" t="n">
        <v>46173</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5241-2026</t>
        </is>
      </c>
      <c r="B1061" s="1" t="n">
        <v>46049.86471064815</v>
      </c>
      <c r="C1061" s="1" t="n">
        <v>46173</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31874-2025</t>
        </is>
      </c>
      <c r="B1062" s="1" t="n">
        <v>45834</v>
      </c>
      <c r="C1062" s="1" t="n">
        <v>46173</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32094-2025</t>
        </is>
      </c>
      <c r="B1063" s="1" t="n">
        <v>45835.46034722222</v>
      </c>
      <c r="C1063" s="1" t="n">
        <v>46173</v>
      </c>
      <c r="D1063" t="inlineStr">
        <is>
          <t>STOCKHOLMS LÄN</t>
        </is>
      </c>
      <c r="E1063" t="inlineStr">
        <is>
          <t>NORRTÄLJE</t>
        </is>
      </c>
      <c r="F1063" t="inlineStr">
        <is>
          <t>Holmen skog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39610-2025</t>
        </is>
      </c>
      <c r="B1064" s="1" t="n">
        <v>45890</v>
      </c>
      <c r="C1064" s="1" t="n">
        <v>46173</v>
      </c>
      <c r="D1064" t="inlineStr">
        <is>
          <t>STOCKHOLMS LÄN</t>
        </is>
      </c>
      <c r="E1064" t="inlineStr">
        <is>
          <t>NORRTÄLJE</t>
        </is>
      </c>
      <c r="G1064" t="n">
        <v>28.6</v>
      </c>
      <c r="H1064" t="n">
        <v>0</v>
      </c>
      <c r="I1064" t="n">
        <v>0</v>
      </c>
      <c r="J1064" t="n">
        <v>0</v>
      </c>
      <c r="K1064" t="n">
        <v>0</v>
      </c>
      <c r="L1064" t="n">
        <v>0</v>
      </c>
      <c r="M1064" t="n">
        <v>0</v>
      </c>
      <c r="N1064" t="n">
        <v>0</v>
      </c>
      <c r="O1064" t="n">
        <v>0</v>
      </c>
      <c r="P1064" t="n">
        <v>0</v>
      </c>
      <c r="Q1064" t="n">
        <v>0</v>
      </c>
      <c r="R1064" s="2" t="inlineStr"/>
    </row>
    <row r="1065" ht="15" customHeight="1">
      <c r="A1065" t="inlineStr">
        <is>
          <t>A 5934-2026</t>
        </is>
      </c>
      <c r="B1065" s="1" t="n">
        <v>46052.47082175926</v>
      </c>
      <c r="C1065" s="1" t="n">
        <v>46173</v>
      </c>
      <c r="D1065" t="inlineStr">
        <is>
          <t>STOCKHOLMS LÄN</t>
        </is>
      </c>
      <c r="E1065" t="inlineStr">
        <is>
          <t>NORRTÄLJE</t>
        </is>
      </c>
      <c r="F1065" t="inlineStr">
        <is>
          <t>Holmen skog AB</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32480-2025</t>
        </is>
      </c>
      <c r="B1066" s="1" t="n">
        <v>45838.43261574074</v>
      </c>
      <c r="C1066" s="1" t="n">
        <v>46173</v>
      </c>
      <c r="D1066" t="inlineStr">
        <is>
          <t>STOCKHOLMS LÄN</t>
        </is>
      </c>
      <c r="E1066" t="inlineStr">
        <is>
          <t>NORRTÄLJE</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32872-2025</t>
        </is>
      </c>
      <c r="B1067" s="1" t="n">
        <v>45839</v>
      </c>
      <c r="C1067" s="1" t="n">
        <v>46173</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32903-2025</t>
        </is>
      </c>
      <c r="B1068" s="1" t="n">
        <v>45839.62398148148</v>
      </c>
      <c r="C1068" s="1" t="n">
        <v>46173</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32395-2025</t>
        </is>
      </c>
      <c r="B1069" s="1" t="n">
        <v>45837.93730324074</v>
      </c>
      <c r="C1069" s="1" t="n">
        <v>46173</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32396-2025</t>
        </is>
      </c>
      <c r="B1070" s="1" t="n">
        <v>45837</v>
      </c>
      <c r="C1070" s="1" t="n">
        <v>46173</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32397-2025</t>
        </is>
      </c>
      <c r="B1071" s="1" t="n">
        <v>45837.94081018519</v>
      </c>
      <c r="C1071" s="1" t="n">
        <v>46173</v>
      </c>
      <c r="D1071" t="inlineStr">
        <is>
          <t>STOCKHOLMS LÄN</t>
        </is>
      </c>
      <c r="E1071" t="inlineStr">
        <is>
          <t>NORRTÄLJE</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6724-2026</t>
        </is>
      </c>
      <c r="B1072" s="1" t="n">
        <v>46056.67717592593</v>
      </c>
      <c r="C1072" s="1" t="n">
        <v>46173</v>
      </c>
      <c r="D1072" t="inlineStr">
        <is>
          <t>STOCKHOLMS LÄN</t>
        </is>
      </c>
      <c r="E1072" t="inlineStr">
        <is>
          <t>NORRTÄLJE</t>
        </is>
      </c>
      <c r="F1072" t="inlineStr">
        <is>
          <t>Holmen skog AB</t>
        </is>
      </c>
      <c r="G1072" t="n">
        <v>16.2</v>
      </c>
      <c r="H1072" t="n">
        <v>0</v>
      </c>
      <c r="I1072" t="n">
        <v>0</v>
      </c>
      <c r="J1072" t="n">
        <v>0</v>
      </c>
      <c r="K1072" t="n">
        <v>0</v>
      </c>
      <c r="L1072" t="n">
        <v>0</v>
      </c>
      <c r="M1072" t="n">
        <v>0</v>
      </c>
      <c r="N1072" t="n">
        <v>0</v>
      </c>
      <c r="O1072" t="n">
        <v>0</v>
      </c>
      <c r="P1072" t="n">
        <v>0</v>
      </c>
      <c r="Q1072" t="n">
        <v>0</v>
      </c>
      <c r="R1072" s="2" t="inlineStr"/>
    </row>
    <row r="1073" ht="15" customHeight="1">
      <c r="A1073" t="inlineStr">
        <is>
          <t>A 6828-2026</t>
        </is>
      </c>
      <c r="B1073" s="1" t="n">
        <v>46057</v>
      </c>
      <c r="C1073" s="1" t="n">
        <v>46173</v>
      </c>
      <c r="D1073" t="inlineStr">
        <is>
          <t>STOCKHOLMS LÄN</t>
        </is>
      </c>
      <c r="E1073" t="inlineStr">
        <is>
          <t>NORRTÄLJE</t>
        </is>
      </c>
      <c r="F1073" t="inlineStr">
        <is>
          <t>Holmen skog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6838-2026</t>
        </is>
      </c>
      <c r="B1074" s="1" t="n">
        <v>46057.41151620371</v>
      </c>
      <c r="C1074" s="1" t="n">
        <v>46173</v>
      </c>
      <c r="D1074" t="inlineStr">
        <is>
          <t>STOCKHOLMS LÄN</t>
        </is>
      </c>
      <c r="E1074" t="inlineStr">
        <is>
          <t>NORRTÄLJE</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6874-2026</t>
        </is>
      </c>
      <c r="B1075" s="1" t="n">
        <v>46057.45295138889</v>
      </c>
      <c r="C1075" s="1" t="n">
        <v>46173</v>
      </c>
      <c r="D1075" t="inlineStr">
        <is>
          <t>STOCKHOLMS LÄN</t>
        </is>
      </c>
      <c r="E1075" t="inlineStr">
        <is>
          <t>NORRTÄLJE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6532-2026</t>
        </is>
      </c>
      <c r="B1076" s="1" t="n">
        <v>46056.41300925926</v>
      </c>
      <c r="C1076" s="1" t="n">
        <v>46173</v>
      </c>
      <c r="D1076" t="inlineStr">
        <is>
          <t>STOCKHOLMS LÄN</t>
        </is>
      </c>
      <c r="E1076" t="inlineStr">
        <is>
          <t>NORRTÄLJE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6701-2026</t>
        </is>
      </c>
      <c r="B1077" s="1" t="n">
        <v>46056</v>
      </c>
      <c r="C1077" s="1" t="n">
        <v>46173</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33702-2025</t>
        </is>
      </c>
      <c r="B1078" s="1" t="n">
        <v>45841.74596064815</v>
      </c>
      <c r="C1078" s="1" t="n">
        <v>46173</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33211-2025</t>
        </is>
      </c>
      <c r="B1079" s="1" t="n">
        <v>45840.62755787037</v>
      </c>
      <c r="C1079" s="1" t="n">
        <v>46173</v>
      </c>
      <c r="D1079" t="inlineStr">
        <is>
          <t>STOCKHOLMS LÄN</t>
        </is>
      </c>
      <c r="E1079" t="inlineStr">
        <is>
          <t>NORRTÄLJE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7308-2026</t>
        </is>
      </c>
      <c r="B1080" s="1" t="n">
        <v>46058.66025462963</v>
      </c>
      <c r="C1080" s="1" t="n">
        <v>46173</v>
      </c>
      <c r="D1080" t="inlineStr">
        <is>
          <t>STOCKHOLMS LÄN</t>
        </is>
      </c>
      <c r="E1080" t="inlineStr">
        <is>
          <t>NORRTÄLJE</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7532-2026</t>
        </is>
      </c>
      <c r="B1081" s="1" t="n">
        <v>46059</v>
      </c>
      <c r="C1081" s="1" t="n">
        <v>46173</v>
      </c>
      <c r="D1081" t="inlineStr">
        <is>
          <t>STOCKHOLMS LÄN</t>
        </is>
      </c>
      <c r="E1081" t="inlineStr">
        <is>
          <t>NORRTÄLJE</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33265-2025</t>
        </is>
      </c>
      <c r="B1082" s="1" t="n">
        <v>45840.67829861111</v>
      </c>
      <c r="C1082" s="1" t="n">
        <v>46173</v>
      </c>
      <c r="D1082" t="inlineStr">
        <is>
          <t>STOCKHOLMS LÄN</t>
        </is>
      </c>
      <c r="E1082" t="inlineStr">
        <is>
          <t>NORRTÄLJE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33552-2025</t>
        </is>
      </c>
      <c r="B1083" s="1" t="n">
        <v>45841.5737962963</v>
      </c>
      <c r="C1083" s="1" t="n">
        <v>46173</v>
      </c>
      <c r="D1083" t="inlineStr">
        <is>
          <t>STOCKHOLMS LÄN</t>
        </is>
      </c>
      <c r="E1083" t="inlineStr">
        <is>
          <t>NORRTÄLJE</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33336-2025</t>
        </is>
      </c>
      <c r="B1084" s="1" t="n">
        <v>45841.35611111111</v>
      </c>
      <c r="C1084" s="1" t="n">
        <v>46173</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33824-2025</t>
        </is>
      </c>
      <c r="B1085" s="1" t="n">
        <v>45842.46885416667</v>
      </c>
      <c r="C1085" s="1" t="n">
        <v>46173</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8055-2026</t>
        </is>
      </c>
      <c r="B1086" s="1" t="n">
        <v>46063.62002314815</v>
      </c>
      <c r="C1086" s="1" t="n">
        <v>46173</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7793-2026</t>
        </is>
      </c>
      <c r="B1087" s="1" t="n">
        <v>46062.59496527778</v>
      </c>
      <c r="C1087" s="1" t="n">
        <v>46173</v>
      </c>
      <c r="D1087" t="inlineStr">
        <is>
          <t>STOCKHOLMS LÄN</t>
        </is>
      </c>
      <c r="E1087" t="inlineStr">
        <is>
          <t>NORRTÄLJE</t>
        </is>
      </c>
      <c r="F1087" t="inlineStr">
        <is>
          <t>Holmen skog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34006-2025</t>
        </is>
      </c>
      <c r="B1088" s="1" t="n">
        <v>45844.62609953704</v>
      </c>
      <c r="C1088" s="1" t="n">
        <v>46173</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34139-2025</t>
        </is>
      </c>
      <c r="B1089" s="1" t="n">
        <v>45845</v>
      </c>
      <c r="C1089" s="1" t="n">
        <v>46173</v>
      </c>
      <c r="D1089" t="inlineStr">
        <is>
          <t>STOCKHOLMS LÄN</t>
        </is>
      </c>
      <c r="E1089" t="inlineStr">
        <is>
          <t>NORRTÄLJE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8096-2026</t>
        </is>
      </c>
      <c r="B1090" s="1" t="n">
        <v>46063.714375</v>
      </c>
      <c r="C1090" s="1" t="n">
        <v>46173</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34010-2025</t>
        </is>
      </c>
      <c r="B1091" s="1" t="n">
        <v>45844.91234953704</v>
      </c>
      <c r="C1091" s="1" t="n">
        <v>46173</v>
      </c>
      <c r="D1091" t="inlineStr">
        <is>
          <t>STOCKHOLMS LÄN</t>
        </is>
      </c>
      <c r="E1091" t="inlineStr">
        <is>
          <t>NORRTÄLJE</t>
        </is>
      </c>
      <c r="F1091" t="inlineStr">
        <is>
          <t>Övriga Aktiebolag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7723-2026</t>
        </is>
      </c>
      <c r="B1092" s="1" t="n">
        <v>46062.49905092592</v>
      </c>
      <c r="C1092" s="1" t="n">
        <v>46173</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7729-2026</t>
        </is>
      </c>
      <c r="B1093" s="1" t="n">
        <v>46062.51100694444</v>
      </c>
      <c r="C1093" s="1" t="n">
        <v>46173</v>
      </c>
      <c r="D1093" t="inlineStr">
        <is>
          <t>STOCKHOLMS LÄN</t>
        </is>
      </c>
      <c r="E1093" t="inlineStr">
        <is>
          <t>NORRTÄLJE</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7582-2026</t>
        </is>
      </c>
      <c r="B1094" s="1" t="n">
        <v>46061</v>
      </c>
      <c r="C1094" s="1" t="n">
        <v>46173</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8091-2026</t>
        </is>
      </c>
      <c r="B1095" s="1" t="n">
        <v>46063.70944444444</v>
      </c>
      <c r="C1095" s="1" t="n">
        <v>46173</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36689-2023</t>
        </is>
      </c>
      <c r="B1096" s="1" t="n">
        <v>45152</v>
      </c>
      <c r="C1096" s="1" t="n">
        <v>46173</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46073-2024</t>
        </is>
      </c>
      <c r="B1097" s="1" t="n">
        <v>45581</v>
      </c>
      <c r="C1097" s="1" t="n">
        <v>46173</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8410-2026</t>
        </is>
      </c>
      <c r="B1098" s="1" t="n">
        <v>46065.34261574074</v>
      </c>
      <c r="C1098" s="1" t="n">
        <v>46173</v>
      </c>
      <c r="D1098" t="inlineStr">
        <is>
          <t>STOCKHOLMS LÄN</t>
        </is>
      </c>
      <c r="E1098" t="inlineStr">
        <is>
          <t>NORRTÄLJE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8489-2026</t>
        </is>
      </c>
      <c r="B1099" s="1" t="n">
        <v>46065.48268518518</v>
      </c>
      <c r="C1099" s="1" t="n">
        <v>46173</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8465-2026</t>
        </is>
      </c>
      <c r="B1100" s="1" t="n">
        <v>46065.44141203703</v>
      </c>
      <c r="C1100" s="1" t="n">
        <v>46173</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8454-2026</t>
        </is>
      </c>
      <c r="B1101" s="1" t="n">
        <v>46065.42506944444</v>
      </c>
      <c r="C1101" s="1" t="n">
        <v>46173</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9103-2026</t>
        </is>
      </c>
      <c r="B1102" s="1" t="n">
        <v>46069.65039351852</v>
      </c>
      <c r="C1102" s="1" t="n">
        <v>46173</v>
      </c>
      <c r="D1102" t="inlineStr">
        <is>
          <t>STOCKHOLMS LÄN</t>
        </is>
      </c>
      <c r="E1102" t="inlineStr">
        <is>
          <t>NORRTÄLJE</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8989-2026</t>
        </is>
      </c>
      <c r="B1103" s="1" t="n">
        <v>46069.45789351852</v>
      </c>
      <c r="C1103" s="1" t="n">
        <v>46173</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8985-2026</t>
        </is>
      </c>
      <c r="B1104" s="1" t="n">
        <v>46069.45234953704</v>
      </c>
      <c r="C1104" s="1" t="n">
        <v>46173</v>
      </c>
      <c r="D1104" t="inlineStr">
        <is>
          <t>STOCKHOLMS LÄN</t>
        </is>
      </c>
      <c r="E1104" t="inlineStr">
        <is>
          <t>NORRTÄLJE</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8962-2026</t>
        </is>
      </c>
      <c r="B1105" s="1" t="n">
        <v>46069.41644675926</v>
      </c>
      <c r="C1105" s="1" t="n">
        <v>46173</v>
      </c>
      <c r="D1105" t="inlineStr">
        <is>
          <t>STOCKHOLMS LÄN</t>
        </is>
      </c>
      <c r="E1105" t="inlineStr">
        <is>
          <t>NORRTÄLJE</t>
        </is>
      </c>
      <c r="F1105" t="inlineStr">
        <is>
          <t>Holmen skog AB</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35110-2025</t>
        </is>
      </c>
      <c r="B1106" s="1" t="n">
        <v>45852.58030092593</v>
      </c>
      <c r="C1106" s="1" t="n">
        <v>46173</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35254-2025</t>
        </is>
      </c>
      <c r="B1107" s="1" t="n">
        <v>45853</v>
      </c>
      <c r="C1107" s="1" t="n">
        <v>46173</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35479-2025</t>
        </is>
      </c>
      <c r="B1108" s="1" t="n">
        <v>45855.69387731481</v>
      </c>
      <c r="C1108" s="1" t="n">
        <v>46173</v>
      </c>
      <c r="D1108" t="inlineStr">
        <is>
          <t>STOCKHOLMS LÄN</t>
        </is>
      </c>
      <c r="E1108" t="inlineStr">
        <is>
          <t>NORRTÄLJE</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35451-2025</t>
        </is>
      </c>
      <c r="B1109" s="1" t="n">
        <v>45855.57033564815</v>
      </c>
      <c r="C1109" s="1" t="n">
        <v>46173</v>
      </c>
      <c r="D1109" t="inlineStr">
        <is>
          <t>STOCKHOLMS LÄN</t>
        </is>
      </c>
      <c r="E1109" t="inlineStr">
        <is>
          <t>NORRTÄLJE</t>
        </is>
      </c>
      <c r="F1109" t="inlineStr">
        <is>
          <t>Holmen skog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35478-2025</t>
        </is>
      </c>
      <c r="B1110" s="1" t="n">
        <v>45855.68413194444</v>
      </c>
      <c r="C1110" s="1" t="n">
        <v>46173</v>
      </c>
      <c r="D1110" t="inlineStr">
        <is>
          <t>STOCKHOLMS LÄN</t>
        </is>
      </c>
      <c r="E1110" t="inlineStr">
        <is>
          <t>NORRTÄLJE</t>
        </is>
      </c>
      <c r="F1110" t="inlineStr">
        <is>
          <t>Holmen skog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9720-2026</t>
        </is>
      </c>
      <c r="B1111" s="1" t="n">
        <v>46072.45061342593</v>
      </c>
      <c r="C1111" s="1" t="n">
        <v>46173</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10646-2026</t>
        </is>
      </c>
      <c r="B1112" s="1" t="n">
        <v>46078.34157407407</v>
      </c>
      <c r="C1112" s="1" t="n">
        <v>46173</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10399-2026</t>
        </is>
      </c>
      <c r="B1113" s="1" t="n">
        <v>46077</v>
      </c>
      <c r="C1113" s="1" t="n">
        <v>46173</v>
      </c>
      <c r="D1113" t="inlineStr">
        <is>
          <t>STOCKHOLMS LÄN</t>
        </is>
      </c>
      <c r="E1113" t="inlineStr">
        <is>
          <t>NORRTÄLJE</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10586-2026</t>
        </is>
      </c>
      <c r="B1114" s="1" t="n">
        <v>46077.68192129629</v>
      </c>
      <c r="C1114" s="1" t="n">
        <v>46173</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10429-2026</t>
        </is>
      </c>
      <c r="B1115" s="1" t="n">
        <v>46077.3822337963</v>
      </c>
      <c r="C1115" s="1" t="n">
        <v>46173</v>
      </c>
      <c r="D1115" t="inlineStr">
        <is>
          <t>STOCKHOLMS LÄN</t>
        </is>
      </c>
      <c r="E1115" t="inlineStr">
        <is>
          <t>NORRTÄLJE</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10553-2026</t>
        </is>
      </c>
      <c r="B1116" s="1" t="n">
        <v>46077.62944444444</v>
      </c>
      <c r="C1116" s="1" t="n">
        <v>46173</v>
      </c>
      <c r="D1116" t="inlineStr">
        <is>
          <t>STOCKHOLMS LÄN</t>
        </is>
      </c>
      <c r="E1116" t="inlineStr">
        <is>
          <t>NORRTÄLJE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10444-2026</t>
        </is>
      </c>
      <c r="B1117" s="1" t="n">
        <v>46077.42230324074</v>
      </c>
      <c r="C1117" s="1" t="n">
        <v>46173</v>
      </c>
      <c r="D1117" t="inlineStr">
        <is>
          <t>STOCKHOLMS LÄN</t>
        </is>
      </c>
      <c r="E1117" t="inlineStr">
        <is>
          <t>NORRTÄLJE</t>
        </is>
      </c>
      <c r="F1117" t="inlineStr">
        <is>
          <t>Holmen skog AB</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34444-2024</t>
        </is>
      </c>
      <c r="B1118" s="1" t="n">
        <v>45525</v>
      </c>
      <c r="C1118" s="1" t="n">
        <v>46173</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20698-2025</t>
        </is>
      </c>
      <c r="B1119" s="1" t="n">
        <v>45776.47122685185</v>
      </c>
      <c r="C1119" s="1" t="n">
        <v>46173</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11648-2026</t>
        </is>
      </c>
      <c r="B1120" s="1" t="n">
        <v>46084.51575231482</v>
      </c>
      <c r="C1120" s="1" t="n">
        <v>46173</v>
      </c>
      <c r="D1120" t="inlineStr">
        <is>
          <t>STOCKHOLMS LÄN</t>
        </is>
      </c>
      <c r="E1120" t="inlineStr">
        <is>
          <t>NORRTÄLJE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22232-2024</t>
        </is>
      </c>
      <c r="B1121" s="1" t="n">
        <v>45446.4287962963</v>
      </c>
      <c r="C1121" s="1" t="n">
        <v>46173</v>
      </c>
      <c r="D1121" t="inlineStr">
        <is>
          <t>STOCKHOLMS LÄN</t>
        </is>
      </c>
      <c r="E1121" t="inlineStr">
        <is>
          <t>NORRTÄLJE</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36396-2025</t>
        </is>
      </c>
      <c r="B1122" s="1" t="n">
        <v>45868.62267361111</v>
      </c>
      <c r="C1122" s="1" t="n">
        <v>46173</v>
      </c>
      <c r="D1122" t="inlineStr">
        <is>
          <t>STOCKHOLMS LÄN</t>
        </is>
      </c>
      <c r="E1122" t="inlineStr">
        <is>
          <t>NORRTÄLJE</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12234-2026</t>
        </is>
      </c>
      <c r="B1123" s="1" t="n">
        <v>46087.4091087963</v>
      </c>
      <c r="C1123" s="1" t="n">
        <v>46173</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19170-2026</t>
        </is>
      </c>
      <c r="B1124" s="1" t="n">
        <v>46132.5859837963</v>
      </c>
      <c r="C1124" s="1" t="n">
        <v>46173</v>
      </c>
      <c r="D1124" t="inlineStr">
        <is>
          <t>STOCKHOLMS LÄN</t>
        </is>
      </c>
      <c r="E1124" t="inlineStr">
        <is>
          <t>NORRTÄLJE</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19129-2026</t>
        </is>
      </c>
      <c r="B1125" s="1" t="n">
        <v>46132.48601851852</v>
      </c>
      <c r="C1125" s="1" t="n">
        <v>46173</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12718-2026</t>
        </is>
      </c>
      <c r="B1126" s="1" t="n">
        <v>46091.60412037037</v>
      </c>
      <c r="C1126" s="1" t="n">
        <v>46173</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37261-2025</t>
        </is>
      </c>
      <c r="B1127" s="1" t="n">
        <v>45876.45253472222</v>
      </c>
      <c r="C1127" s="1" t="n">
        <v>46173</v>
      </c>
      <c r="D1127" t="inlineStr">
        <is>
          <t>STOCKHOLMS LÄN</t>
        </is>
      </c>
      <c r="E1127" t="inlineStr">
        <is>
          <t>NORRTÄLJE</t>
        </is>
      </c>
      <c r="F1127" t="inlineStr">
        <is>
          <t>Kommuner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19688-2026</t>
        </is>
      </c>
      <c r="B1128" s="1" t="n">
        <v>46134.67685185185</v>
      </c>
      <c r="C1128" s="1" t="n">
        <v>46173</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12703-2026</t>
        </is>
      </c>
      <c r="B1129" s="1" t="n">
        <v>46091.58175925926</v>
      </c>
      <c r="C1129" s="1" t="n">
        <v>46173</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37628-2025</t>
        </is>
      </c>
      <c r="B1130" s="1" t="n">
        <v>45880.46189814815</v>
      </c>
      <c r="C1130" s="1" t="n">
        <v>46173</v>
      </c>
      <c r="D1130" t="inlineStr">
        <is>
          <t>STOCKHOLMS LÄN</t>
        </is>
      </c>
      <c r="E1130" t="inlineStr">
        <is>
          <t>NORRTÄLJE</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29369-2024</t>
        </is>
      </c>
      <c r="B1131" s="1" t="n">
        <v>45483.57244212963</v>
      </c>
      <c r="C1131" s="1" t="n">
        <v>46173</v>
      </c>
      <c r="D1131" t="inlineStr">
        <is>
          <t>STOCKHOLMS LÄN</t>
        </is>
      </c>
      <c r="E1131" t="inlineStr">
        <is>
          <t>NORRTÄLJE</t>
        </is>
      </c>
      <c r="G1131" t="n">
        <v>15.9</v>
      </c>
      <c r="H1131" t="n">
        <v>0</v>
      </c>
      <c r="I1131" t="n">
        <v>0</v>
      </c>
      <c r="J1131" t="n">
        <v>0</v>
      </c>
      <c r="K1131" t="n">
        <v>0</v>
      </c>
      <c r="L1131" t="n">
        <v>0</v>
      </c>
      <c r="M1131" t="n">
        <v>0</v>
      </c>
      <c r="N1131" t="n">
        <v>0</v>
      </c>
      <c r="O1131" t="n">
        <v>0</v>
      </c>
      <c r="P1131" t="n">
        <v>0</v>
      </c>
      <c r="Q1131" t="n">
        <v>0</v>
      </c>
      <c r="R1131" s="2" t="inlineStr"/>
    </row>
    <row r="1132" ht="15" customHeight="1">
      <c r="A1132" t="inlineStr">
        <is>
          <t>A 37632-2025</t>
        </is>
      </c>
      <c r="B1132" s="1" t="n">
        <v>45880.46524305556</v>
      </c>
      <c r="C1132" s="1" t="n">
        <v>46173</v>
      </c>
      <c r="D1132" t="inlineStr">
        <is>
          <t>STOCKHOLMS LÄN</t>
        </is>
      </c>
      <c r="E1132" t="inlineStr">
        <is>
          <t>NORRTÄLJE</t>
        </is>
      </c>
      <c r="F1132" t="inlineStr">
        <is>
          <t>Sveaskog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19352-2026</t>
        </is>
      </c>
      <c r="B1133" s="1" t="n">
        <v>46133.47344907407</v>
      </c>
      <c r="C1133" s="1" t="n">
        <v>46173</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19358-2026</t>
        </is>
      </c>
      <c r="B1134" s="1" t="n">
        <v>46133.4978125</v>
      </c>
      <c r="C1134" s="1" t="n">
        <v>46173</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29841-2024</t>
        </is>
      </c>
      <c r="B1135" s="1" t="n">
        <v>45485.60261574074</v>
      </c>
      <c r="C1135" s="1" t="n">
        <v>46173</v>
      </c>
      <c r="D1135" t="inlineStr">
        <is>
          <t>STOCKHOLMS LÄN</t>
        </is>
      </c>
      <c r="E1135" t="inlineStr">
        <is>
          <t>NORRTÄLJE</t>
        </is>
      </c>
      <c r="G1135" t="n">
        <v>15.9</v>
      </c>
      <c r="H1135" t="n">
        <v>0</v>
      </c>
      <c r="I1135" t="n">
        <v>0</v>
      </c>
      <c r="J1135" t="n">
        <v>0</v>
      </c>
      <c r="K1135" t="n">
        <v>0</v>
      </c>
      <c r="L1135" t="n">
        <v>0</v>
      </c>
      <c r="M1135" t="n">
        <v>0</v>
      </c>
      <c r="N1135" t="n">
        <v>0</v>
      </c>
      <c r="O1135" t="n">
        <v>0</v>
      </c>
      <c r="P1135" t="n">
        <v>0</v>
      </c>
      <c r="Q1135" t="n">
        <v>0</v>
      </c>
      <c r="R1135" s="2" t="inlineStr"/>
    </row>
    <row r="1136" ht="15" customHeight="1">
      <c r="A1136" t="inlineStr">
        <is>
          <t>A 20692-2025</t>
        </is>
      </c>
      <c r="B1136" s="1" t="n">
        <v>45776.46369212963</v>
      </c>
      <c r="C1136" s="1" t="n">
        <v>46173</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37630-2025</t>
        </is>
      </c>
      <c r="B1137" s="1" t="n">
        <v>45880.46372685185</v>
      </c>
      <c r="C1137" s="1" t="n">
        <v>46173</v>
      </c>
      <c r="D1137" t="inlineStr">
        <is>
          <t>STOCKHOLMS LÄN</t>
        </is>
      </c>
      <c r="E1137" t="inlineStr">
        <is>
          <t>NORRTÄLJE</t>
        </is>
      </c>
      <c r="F1137" t="inlineStr">
        <is>
          <t>Sveaskog</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13544-2026</t>
        </is>
      </c>
      <c r="B1138" s="1" t="n">
        <v>46094.68538194444</v>
      </c>
      <c r="C1138" s="1" t="n">
        <v>46173</v>
      </c>
      <c r="D1138" t="inlineStr">
        <is>
          <t>STOCKHOLMS LÄN</t>
        </is>
      </c>
      <c r="E1138" t="inlineStr">
        <is>
          <t>NORRTÄLJE</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46071-2024</t>
        </is>
      </c>
      <c r="B1139" s="1" t="n">
        <v>45581</v>
      </c>
      <c r="C1139" s="1" t="n">
        <v>46173</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13204-2026</t>
        </is>
      </c>
      <c r="B1140" s="1" t="n">
        <v>46093.60788194444</v>
      </c>
      <c r="C1140" s="1" t="n">
        <v>46173</v>
      </c>
      <c r="D1140" t="inlineStr">
        <is>
          <t>STOCKHOLMS LÄN</t>
        </is>
      </c>
      <c r="E1140" t="inlineStr">
        <is>
          <t>NORRTÄLJE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13545-2026</t>
        </is>
      </c>
      <c r="B1141" s="1" t="n">
        <v>46094.6911574074</v>
      </c>
      <c r="C1141" s="1" t="n">
        <v>46173</v>
      </c>
      <c r="D1141" t="inlineStr">
        <is>
          <t>STOCKHOLMS LÄN</t>
        </is>
      </c>
      <c r="E1141" t="inlineStr">
        <is>
          <t>NORRTÄLJE</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13137-2024</t>
        </is>
      </c>
      <c r="B1142" s="1" t="n">
        <v>45386.34175925926</v>
      </c>
      <c r="C1142" s="1" t="n">
        <v>46173</v>
      </c>
      <c r="D1142" t="inlineStr">
        <is>
          <t>STOCKHOLMS LÄN</t>
        </is>
      </c>
      <c r="E1142" t="inlineStr">
        <is>
          <t>NORRTÄLJE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13109-2026</t>
        </is>
      </c>
      <c r="B1143" s="1" t="n">
        <v>46093.42730324074</v>
      </c>
      <c r="C1143" s="1" t="n">
        <v>46173</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24350-2025</t>
        </is>
      </c>
      <c r="B1144" s="1" t="n">
        <v>45797.58350694444</v>
      </c>
      <c r="C1144" s="1" t="n">
        <v>46173</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26703-2025</t>
        </is>
      </c>
      <c r="B1145" s="1" t="n">
        <v>45810.45263888889</v>
      </c>
      <c r="C1145" s="1" t="n">
        <v>46173</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13122-2026</t>
        </is>
      </c>
      <c r="B1146" s="1" t="n">
        <v>46093.45657407407</v>
      </c>
      <c r="C1146" s="1" t="n">
        <v>46173</v>
      </c>
      <c r="D1146" t="inlineStr">
        <is>
          <t>STOCKHOLMS LÄN</t>
        </is>
      </c>
      <c r="E1146" t="inlineStr">
        <is>
          <t>NORRTÄLJE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38153-2025</t>
        </is>
      </c>
      <c r="B1147" s="1" t="n">
        <v>45882.59722222222</v>
      </c>
      <c r="C1147" s="1" t="n">
        <v>46173</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13546-2026</t>
        </is>
      </c>
      <c r="B1148" s="1" t="n">
        <v>46094.69196759259</v>
      </c>
      <c r="C1148" s="1" t="n">
        <v>46173</v>
      </c>
      <c r="D1148" t="inlineStr">
        <is>
          <t>STOCKHOLMS LÄN</t>
        </is>
      </c>
      <c r="E1148" t="inlineStr">
        <is>
          <t>NORRTÄLJE</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19759-2026</t>
        </is>
      </c>
      <c r="B1149" s="1" t="n">
        <v>46135.41234953704</v>
      </c>
      <c r="C1149" s="1" t="n">
        <v>46173</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59477-2025</t>
        </is>
      </c>
      <c r="B1150" s="1" t="n">
        <v>45989.58679398148</v>
      </c>
      <c r="C1150" s="1" t="n">
        <v>46173</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14475-2026</t>
        </is>
      </c>
      <c r="B1151" s="1" t="n">
        <v>46100.57251157407</v>
      </c>
      <c r="C1151" s="1" t="n">
        <v>46173</v>
      </c>
      <c r="D1151" t="inlineStr">
        <is>
          <t>STOCKHOLMS LÄN</t>
        </is>
      </c>
      <c r="E1151" t="inlineStr">
        <is>
          <t>NORRTÄLJE</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14348-2026</t>
        </is>
      </c>
      <c r="B1152" s="1" t="n">
        <v>46100.34112268518</v>
      </c>
      <c r="C1152" s="1" t="n">
        <v>46173</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21780-2026</t>
        </is>
      </c>
      <c r="B1153" s="1" t="n">
        <v>46150.37418981481</v>
      </c>
      <c r="C1153" s="1" t="n">
        <v>46173</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21818-2026</t>
        </is>
      </c>
      <c r="B1154" s="1" t="n">
        <v>46150.47383101852</v>
      </c>
      <c r="C1154" s="1" t="n">
        <v>46173</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21786-2026</t>
        </is>
      </c>
      <c r="B1155" s="1" t="n">
        <v>46150.3862037037</v>
      </c>
      <c r="C1155" s="1" t="n">
        <v>46173</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21815-2026</t>
        </is>
      </c>
      <c r="B1156" s="1" t="n">
        <v>46150.47024305556</v>
      </c>
      <c r="C1156" s="1" t="n">
        <v>46173</v>
      </c>
      <c r="D1156" t="inlineStr">
        <is>
          <t>STOCKHOLMS LÄN</t>
        </is>
      </c>
      <c r="E1156" t="inlineStr">
        <is>
          <t>NORRTÄLJE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21820-2026</t>
        </is>
      </c>
      <c r="B1157" s="1" t="n">
        <v>46150.4799537037</v>
      </c>
      <c r="C1157" s="1" t="n">
        <v>46173</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16243-2026</t>
        </is>
      </c>
      <c r="B1158" s="1" t="n">
        <v>46111.45902777778</v>
      </c>
      <c r="C1158" s="1" t="n">
        <v>46173</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16229-2026</t>
        </is>
      </c>
      <c r="B1159" s="1" t="n">
        <v>46111.45084490741</v>
      </c>
      <c r="C1159" s="1" t="n">
        <v>46173</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17025-2026</t>
        </is>
      </c>
      <c r="B1160" s="1" t="n">
        <v>46113</v>
      </c>
      <c r="C1160" s="1" t="n">
        <v>46173</v>
      </c>
      <c r="D1160" t="inlineStr">
        <is>
          <t>STOCKHOLMS LÄN</t>
        </is>
      </c>
      <c r="E1160" t="inlineStr">
        <is>
          <t>NORRTÄLJE</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22618-2026</t>
        </is>
      </c>
      <c r="B1161" s="1" t="n">
        <v>46155.61440972222</v>
      </c>
      <c r="C1161" s="1" t="n">
        <v>46173</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17347-2026</t>
        </is>
      </c>
      <c r="B1162" s="1" t="n">
        <v>46119</v>
      </c>
      <c r="C1162" s="1" t="n">
        <v>46173</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17209-2026</t>
        </is>
      </c>
      <c r="B1163" s="1" t="n">
        <v>46119.33341435185</v>
      </c>
      <c r="C1163" s="1" t="n">
        <v>46173</v>
      </c>
      <c r="D1163" t="inlineStr">
        <is>
          <t>STOCKHOLMS LÄN</t>
        </is>
      </c>
      <c r="E1163" t="inlineStr">
        <is>
          <t>NORRTÄLJE</t>
        </is>
      </c>
      <c r="F1163" t="inlineStr">
        <is>
          <t>Holmen skog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17220-2026</t>
        </is>
      </c>
      <c r="B1164" s="1" t="n">
        <v>46119.37436342592</v>
      </c>
      <c r="C1164" s="1" t="n">
        <v>46173</v>
      </c>
      <c r="D1164" t="inlineStr">
        <is>
          <t>STOCKHOLMS LÄN</t>
        </is>
      </c>
      <c r="E1164" t="inlineStr">
        <is>
          <t>NORRTÄLJE</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17207-2026</t>
        </is>
      </c>
      <c r="B1165" s="1" t="n">
        <v>46119.31914351852</v>
      </c>
      <c r="C1165" s="1" t="n">
        <v>46173</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17345-2026</t>
        </is>
      </c>
      <c r="B1166" s="1" t="n">
        <v>46119</v>
      </c>
      <c r="C1166" s="1" t="n">
        <v>46173</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17215-2026</t>
        </is>
      </c>
      <c r="B1167" s="1" t="n">
        <v>46119.36524305555</v>
      </c>
      <c r="C1167" s="1" t="n">
        <v>46173</v>
      </c>
      <c r="D1167" t="inlineStr">
        <is>
          <t>STOCKHOLMS LÄN</t>
        </is>
      </c>
      <c r="E1167" t="inlineStr">
        <is>
          <t>NORRTÄLJE</t>
        </is>
      </c>
      <c r="F1167" t="inlineStr">
        <is>
          <t>Holmen skog AB</t>
        </is>
      </c>
      <c r="G1167" t="n">
        <v>3.8</v>
      </c>
      <c r="H1167" t="n">
        <v>0</v>
      </c>
      <c r="I1167" t="n">
        <v>0</v>
      </c>
      <c r="J1167" t="n">
        <v>0</v>
      </c>
      <c r="K1167" t="n">
        <v>0</v>
      </c>
      <c r="L1167" t="n">
        <v>0</v>
      </c>
      <c r="M1167" t="n">
        <v>0</v>
      </c>
      <c r="N1167" t="n">
        <v>0</v>
      </c>
      <c r="O1167" t="n">
        <v>0</v>
      </c>
      <c r="P1167" t="n">
        <v>0</v>
      </c>
      <c r="Q1167" t="n">
        <v>0</v>
      </c>
      <c r="R1167" s="2" t="inlineStr"/>
    </row>
    <row r="1168">
      <c r="A1168" t="inlineStr">
        <is>
          <t>A 17651-2026</t>
        </is>
      </c>
      <c r="B1168" s="1" t="n">
        <v>46121.55334490741</v>
      </c>
      <c r="C1168" s="1" t="n">
        <v>46173</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2026-05-31T10:53:39Z</dcterms:created>
  <dcterms:modified xmlns:dcterms="http://purl.org/dc/terms/" xmlns:xsi="http://www.w3.org/2001/XMLSchema-instance" xsi:type="dcterms:W3CDTF">2026-05-31T10:53:40Z</dcterms:modified>
</cp:coreProperties>
</file>