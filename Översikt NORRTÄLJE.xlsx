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46105</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46105</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30799-2025</t>
        </is>
      </c>
      <c r="B5" s="1" t="n">
        <v>45831.65079861111</v>
      </c>
      <c r="C5" s="1" t="n">
        <v>46105</v>
      </c>
      <c r="D5" t="inlineStr">
        <is>
          <t>STOCKHOLMS LÄN</t>
        </is>
      </c>
      <c r="E5" t="inlineStr">
        <is>
          <t>NORRTÄLJE</t>
        </is>
      </c>
      <c r="F5" t="inlineStr">
        <is>
          <t>Holmen skog AB</t>
        </is>
      </c>
      <c r="G5" t="n">
        <v>7.9</v>
      </c>
      <c r="H5" t="n">
        <v>1</v>
      </c>
      <c r="I5" t="n">
        <v>15</v>
      </c>
      <c r="J5" t="n">
        <v>10</v>
      </c>
      <c r="K5" t="n">
        <v>5</v>
      </c>
      <c r="L5" t="n">
        <v>0</v>
      </c>
      <c r="M5" t="n">
        <v>0</v>
      </c>
      <c r="N5" t="n">
        <v>0</v>
      </c>
      <c r="O5" t="n">
        <v>15</v>
      </c>
      <c r="P5" t="n">
        <v>5</v>
      </c>
      <c r="Q5" t="n">
        <v>31</v>
      </c>
      <c r="R5"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5">
        <f>HYPERLINK("https://klasma.github.io/Logging_0188/artfynd/A 30799-2025 artfynd.xlsx", "A 30799-2025")</f>
        <v/>
      </c>
      <c r="T5">
        <f>HYPERLINK("https://klasma.github.io/Logging_0188/kartor/A 30799-2025 karta.png", "A 30799-2025")</f>
        <v/>
      </c>
      <c r="V5">
        <f>HYPERLINK("https://klasma.github.io/Logging_0188/klagomål/A 30799-2025 FSC-klagomål.docx", "A 30799-2025")</f>
        <v/>
      </c>
      <c r="W5">
        <f>HYPERLINK("https://klasma.github.io/Logging_0188/klagomålsmail/A 30799-2025 FSC-klagomål mail.docx", "A 30799-2025")</f>
        <v/>
      </c>
      <c r="X5">
        <f>HYPERLINK("https://klasma.github.io/Logging_0188/tillsyn/A 30799-2025 tillsynsbegäran.docx", "A 30799-2025")</f>
        <v/>
      </c>
      <c r="Y5">
        <f>HYPERLINK("https://klasma.github.io/Logging_0188/tillsynsmail/A 30799-2025 tillsynsbegäran mail.docx", "A 30799-2025")</f>
        <v/>
      </c>
    </row>
    <row r="6" ht="15" customHeight="1">
      <c r="A6" t="inlineStr">
        <is>
          <t>A 24692-2025</t>
        </is>
      </c>
      <c r="B6" s="1" t="n">
        <v>45798</v>
      </c>
      <c r="C6" s="1" t="n">
        <v>46105</v>
      </c>
      <c r="D6" t="inlineStr">
        <is>
          <t>STOCKHOLMS LÄN</t>
        </is>
      </c>
      <c r="E6" t="inlineStr">
        <is>
          <t>NORRTÄLJE</t>
        </is>
      </c>
      <c r="G6" t="n">
        <v>26.3</v>
      </c>
      <c r="H6" t="n">
        <v>5</v>
      </c>
      <c r="I6" t="n">
        <v>16</v>
      </c>
      <c r="J6" t="n">
        <v>8</v>
      </c>
      <c r="K6" t="n">
        <v>3</v>
      </c>
      <c r="L6" t="n">
        <v>2</v>
      </c>
      <c r="M6" t="n">
        <v>0</v>
      </c>
      <c r="N6" t="n">
        <v>0</v>
      </c>
      <c r="O6" t="n">
        <v>13</v>
      </c>
      <c r="P6" t="n">
        <v>5</v>
      </c>
      <c r="Q6" t="n">
        <v>31</v>
      </c>
      <c r="R6"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6">
        <f>HYPERLINK("https://klasma.github.io/Logging_0188/artfynd/A 24692-2025 artfynd.xlsx", "A 24692-2025")</f>
        <v/>
      </c>
      <c r="T6">
        <f>HYPERLINK("https://klasma.github.io/Logging_0188/kartor/A 24692-2025 karta.png", "A 24692-2025")</f>
        <v/>
      </c>
      <c r="U6">
        <f>HYPERLINK("https://klasma.github.io/Logging_0188/knärot/A 24692-2025 karta knärot.png", "A 24692-2025")</f>
        <v/>
      </c>
      <c r="V6">
        <f>HYPERLINK("https://klasma.github.io/Logging_0188/klagomål/A 24692-2025 FSC-klagomål.docx", "A 24692-2025")</f>
        <v/>
      </c>
      <c r="W6">
        <f>HYPERLINK("https://klasma.github.io/Logging_0188/klagomålsmail/A 24692-2025 FSC-klagomål mail.docx", "A 24692-2025")</f>
        <v/>
      </c>
      <c r="X6">
        <f>HYPERLINK("https://klasma.github.io/Logging_0188/tillsyn/A 24692-2025 tillsynsbegäran.docx", "A 24692-2025")</f>
        <v/>
      </c>
      <c r="Y6">
        <f>HYPERLINK("https://klasma.github.io/Logging_0188/tillsynsmail/A 24692-2025 tillsynsbegäran mail.docx", "A 24692-2025")</f>
        <v/>
      </c>
      <c r="Z6">
        <f>HYPERLINK("https://klasma.github.io/Logging_0188/fåglar/A 24692-2025 prioriterade fågelarter.docx", "A 24692-2025")</f>
        <v/>
      </c>
    </row>
    <row r="7" ht="15" customHeight="1">
      <c r="A7" t="inlineStr">
        <is>
          <t>A 30156-2022</t>
        </is>
      </c>
      <c r="B7" s="1" t="n">
        <v>44757</v>
      </c>
      <c r="C7" s="1" t="n">
        <v>46105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46105</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46105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46105</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46105</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46105</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46105</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46105</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46105</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46105</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46105</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46105</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46105</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25732-2025</t>
        </is>
      </c>
      <c r="B20" s="1" t="n">
        <v>45800</v>
      </c>
      <c r="C20" s="1" t="n">
        <v>46105</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46105</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46105</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46105</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46105</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46105</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46105</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46105</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61099-2025</t>
        </is>
      </c>
      <c r="B28" s="1" t="n">
        <v>46000.44185185185</v>
      </c>
      <c r="C28" s="1" t="n">
        <v>46105</v>
      </c>
      <c r="D28" t="inlineStr">
        <is>
          <t>STOCKHOLMS LÄN</t>
        </is>
      </c>
      <c r="E28" t="inlineStr">
        <is>
          <t>NORRTÄLJE</t>
        </is>
      </c>
      <c r="G28" t="n">
        <v>9.5</v>
      </c>
      <c r="H28" t="n">
        <v>5</v>
      </c>
      <c r="I28" t="n">
        <v>1</v>
      </c>
      <c r="J28" t="n">
        <v>3</v>
      </c>
      <c r="K28" t="n">
        <v>1</v>
      </c>
      <c r="L28" t="n">
        <v>0</v>
      </c>
      <c r="M28" t="n">
        <v>0</v>
      </c>
      <c r="N28" t="n">
        <v>0</v>
      </c>
      <c r="O28" t="n">
        <v>4</v>
      </c>
      <c r="P28" t="n">
        <v>1</v>
      </c>
      <c r="Q28" t="n">
        <v>8</v>
      </c>
      <c r="R28" s="2" t="inlineStr">
        <is>
          <t>Knärot
Spillkråka
Tallkötticka
Vedtrappmossa
Stubbspretmossa
Kungsfågel
Nattviol
Blåsippa</t>
        </is>
      </c>
      <c r="S28">
        <f>HYPERLINK("https://klasma.github.io/Logging_0188/artfynd/A 61099-2025 artfynd.xlsx", "A 61099-2025")</f>
        <v/>
      </c>
      <c r="T28">
        <f>HYPERLINK("https://klasma.github.io/Logging_0188/kartor/A 61099-2025 karta.png", "A 61099-2025")</f>
        <v/>
      </c>
      <c r="U28">
        <f>HYPERLINK("https://klasma.github.io/Logging_0188/knärot/A 61099-2025 karta knärot.png", "A 61099-2025")</f>
        <v/>
      </c>
      <c r="V28">
        <f>HYPERLINK("https://klasma.github.io/Logging_0188/klagomål/A 61099-2025 FSC-klagomål.docx", "A 61099-2025")</f>
        <v/>
      </c>
      <c r="W28">
        <f>HYPERLINK("https://klasma.github.io/Logging_0188/klagomålsmail/A 61099-2025 FSC-klagomål mail.docx", "A 61099-2025")</f>
        <v/>
      </c>
      <c r="X28">
        <f>HYPERLINK("https://klasma.github.io/Logging_0188/tillsyn/A 61099-2025 tillsynsbegäran.docx", "A 61099-2025")</f>
        <v/>
      </c>
      <c r="Y28">
        <f>HYPERLINK("https://klasma.github.io/Logging_0188/tillsynsmail/A 61099-2025 tillsynsbegäran mail.docx", "A 61099-2025")</f>
        <v/>
      </c>
      <c r="Z28">
        <f>HYPERLINK("https://klasma.github.io/Logging_0188/fåglar/A 61099-2025 prioriterade fågelarter.docx", "A 61099-2025")</f>
        <v/>
      </c>
    </row>
    <row r="29" ht="15" customHeight="1">
      <c r="A29" t="inlineStr">
        <is>
          <t>A 59582-2024</t>
        </is>
      </c>
      <c r="B29" s="1" t="n">
        <v>45638</v>
      </c>
      <c r="C29" s="1" t="n">
        <v>46105</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46105</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45811-2022</t>
        </is>
      </c>
      <c r="B31" s="1" t="n">
        <v>44846</v>
      </c>
      <c r="C31" s="1" t="n">
        <v>46105</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46105</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46105</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46105</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46105</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10430-2026</t>
        </is>
      </c>
      <c r="B36" s="1" t="n">
        <v>46077</v>
      </c>
      <c r="C36" s="1" t="n">
        <v>46105</v>
      </c>
      <c r="D36" t="inlineStr">
        <is>
          <t>STOCKHOLMS LÄN</t>
        </is>
      </c>
      <c r="E36" t="inlineStr">
        <is>
          <t>NORRTÄLJE</t>
        </is>
      </c>
      <c r="G36" t="n">
        <v>2</v>
      </c>
      <c r="H36" t="n">
        <v>0</v>
      </c>
      <c r="I36" t="n">
        <v>3</v>
      </c>
      <c r="J36" t="n">
        <v>2</v>
      </c>
      <c r="K36" t="n">
        <v>1</v>
      </c>
      <c r="L36" t="n">
        <v>0</v>
      </c>
      <c r="M36" t="n">
        <v>0</v>
      </c>
      <c r="N36" t="n">
        <v>0</v>
      </c>
      <c r="O36" t="n">
        <v>3</v>
      </c>
      <c r="P36" t="n">
        <v>1</v>
      </c>
      <c r="Q36" t="n">
        <v>6</v>
      </c>
      <c r="R36" s="2" t="inlineStr">
        <is>
          <t>Granrotspindling
Bittermusseron
Persiljespindling
Olivspindling
Skarp dropptaggsvamp
Svavelriska</t>
        </is>
      </c>
      <c r="S36">
        <f>HYPERLINK("https://klasma.github.io/Logging_0188/artfynd/A 10430-2026 artfynd.xlsx", "A 10430-2026")</f>
        <v/>
      </c>
      <c r="T36">
        <f>HYPERLINK("https://klasma.github.io/Logging_0188/kartor/A 10430-2026 karta.png", "A 10430-2026")</f>
        <v/>
      </c>
      <c r="V36">
        <f>HYPERLINK("https://klasma.github.io/Logging_0188/klagomål/A 10430-2026 FSC-klagomål.docx", "A 10430-2026")</f>
        <v/>
      </c>
      <c r="W36">
        <f>HYPERLINK("https://klasma.github.io/Logging_0188/klagomålsmail/A 10430-2026 FSC-klagomål mail.docx", "A 10430-2026")</f>
        <v/>
      </c>
      <c r="X36">
        <f>HYPERLINK("https://klasma.github.io/Logging_0188/tillsyn/A 10430-2026 tillsynsbegäran.docx", "A 10430-2026")</f>
        <v/>
      </c>
      <c r="Y36">
        <f>HYPERLINK("https://klasma.github.io/Logging_0188/tillsynsmail/A 10430-2026 tillsynsbegäran mail.docx", "A 10430-2026")</f>
        <v/>
      </c>
    </row>
    <row r="37" ht="15" customHeight="1">
      <c r="A37" t="inlineStr">
        <is>
          <t>A 34528-2025</t>
        </is>
      </c>
      <c r="B37" s="1" t="n">
        <v>45847.48436342592</v>
      </c>
      <c r="C37" s="1" t="n">
        <v>46105</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46105</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46105</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15804-2025</t>
        </is>
      </c>
      <c r="B40" s="1" t="n">
        <v>45748.6521875</v>
      </c>
      <c r="C40" s="1" t="n">
        <v>46105</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56791-2025</t>
        </is>
      </c>
      <c r="B41" s="1" t="n">
        <v>45978</v>
      </c>
      <c r="C41" s="1" t="n">
        <v>46105</v>
      </c>
      <c r="D41" t="inlineStr">
        <is>
          <t>STOCKHOLMS LÄN</t>
        </is>
      </c>
      <c r="E41" t="inlineStr">
        <is>
          <t>NORRTÄLJE</t>
        </is>
      </c>
      <c r="G41" t="n">
        <v>1.8</v>
      </c>
      <c r="H41" t="n">
        <v>2</v>
      </c>
      <c r="I41" t="n">
        <v>3</v>
      </c>
      <c r="J41" t="n">
        <v>1</v>
      </c>
      <c r="K41" t="n">
        <v>0</v>
      </c>
      <c r="L41" t="n">
        <v>0</v>
      </c>
      <c r="M41" t="n">
        <v>0</v>
      </c>
      <c r="N41" t="n">
        <v>0</v>
      </c>
      <c r="O41" t="n">
        <v>1</v>
      </c>
      <c r="P41" t="n">
        <v>0</v>
      </c>
      <c r="Q41" t="n">
        <v>5</v>
      </c>
      <c r="R41" s="2" t="inlineStr">
        <is>
          <t>Spillkråka
Skarp dropptaggsvamp
Vågbandad barkbock
Vårärt
Blåsippa</t>
        </is>
      </c>
      <c r="S41">
        <f>HYPERLINK("https://klasma.github.io/Logging_0188/artfynd/A 56791-2025 artfynd.xlsx", "A 56791-2025")</f>
        <v/>
      </c>
      <c r="T41">
        <f>HYPERLINK("https://klasma.github.io/Logging_0188/kartor/A 56791-2025 karta.png", "A 56791-2025")</f>
        <v/>
      </c>
      <c r="V41">
        <f>HYPERLINK("https://klasma.github.io/Logging_0188/klagomål/A 56791-2025 FSC-klagomål.docx", "A 56791-2025")</f>
        <v/>
      </c>
      <c r="W41">
        <f>HYPERLINK("https://klasma.github.io/Logging_0188/klagomålsmail/A 56791-2025 FSC-klagomål mail.docx", "A 56791-2025")</f>
        <v/>
      </c>
      <c r="X41">
        <f>HYPERLINK("https://klasma.github.io/Logging_0188/tillsyn/A 56791-2025 tillsynsbegäran.docx", "A 56791-2025")</f>
        <v/>
      </c>
      <c r="Y41">
        <f>HYPERLINK("https://klasma.github.io/Logging_0188/tillsynsmail/A 56791-2025 tillsynsbegäran mail.docx", "A 56791-2025")</f>
        <v/>
      </c>
      <c r="Z41">
        <f>HYPERLINK("https://klasma.github.io/Logging_0188/fåglar/A 56791-2025 prioriterade fågelarter.docx", "A 56791-2025")</f>
        <v/>
      </c>
    </row>
    <row r="42" ht="15" customHeight="1">
      <c r="A42" t="inlineStr">
        <is>
          <t>A 21922-2023</t>
        </is>
      </c>
      <c r="B42" s="1" t="n">
        <v>45068</v>
      </c>
      <c r="C42" s="1" t="n">
        <v>46105</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46105</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46105</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22071-2022</t>
        </is>
      </c>
      <c r="B45" s="1" t="n">
        <v>44711</v>
      </c>
      <c r="C45" s="1" t="n">
        <v>46105</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41276-2025</t>
        </is>
      </c>
      <c r="B46" s="1" t="n">
        <v>45898.62723379629</v>
      </c>
      <c r="C46" s="1" t="n">
        <v>46105</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10876-2025</t>
        </is>
      </c>
      <c r="B47" s="1" t="n">
        <v>45722</v>
      </c>
      <c r="C47" s="1" t="n">
        <v>46105</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34521-2025</t>
        </is>
      </c>
      <c r="B48" s="1" t="n">
        <v>45847.47052083333</v>
      </c>
      <c r="C48" s="1" t="n">
        <v>46105</v>
      </c>
      <c r="D48" t="inlineStr">
        <is>
          <t>STOCKHOLMS LÄN</t>
        </is>
      </c>
      <c r="E48" t="inlineStr">
        <is>
          <t>NORRTÄLJE</t>
        </is>
      </c>
      <c r="G48" t="n">
        <v>4.3</v>
      </c>
      <c r="H48" t="n">
        <v>0</v>
      </c>
      <c r="I48" t="n">
        <v>2</v>
      </c>
      <c r="J48" t="n">
        <v>2</v>
      </c>
      <c r="K48" t="n">
        <v>0</v>
      </c>
      <c r="L48" t="n">
        <v>0</v>
      </c>
      <c r="M48" t="n">
        <v>0</v>
      </c>
      <c r="N48" t="n">
        <v>0</v>
      </c>
      <c r="O48" t="n">
        <v>2</v>
      </c>
      <c r="P48" t="n">
        <v>0</v>
      </c>
      <c r="Q48" t="n">
        <v>4</v>
      </c>
      <c r="R48" s="2" t="inlineStr">
        <is>
          <t>Kandelabersvamp
Vedtrappmossa
Anisspindling
Stor aspticka</t>
        </is>
      </c>
      <c r="S48">
        <f>HYPERLINK("https://klasma.github.io/Logging_0188/artfynd/A 34521-2025 artfynd.xlsx", "A 34521-2025")</f>
        <v/>
      </c>
      <c r="T48">
        <f>HYPERLINK("https://klasma.github.io/Logging_0188/kartor/A 34521-2025 karta.png", "A 34521-2025")</f>
        <v/>
      </c>
      <c r="V48">
        <f>HYPERLINK("https://klasma.github.io/Logging_0188/klagomål/A 34521-2025 FSC-klagomål.docx", "A 34521-2025")</f>
        <v/>
      </c>
      <c r="W48">
        <f>HYPERLINK("https://klasma.github.io/Logging_0188/klagomålsmail/A 34521-2025 FSC-klagomål mail.docx", "A 34521-2025")</f>
        <v/>
      </c>
      <c r="X48">
        <f>HYPERLINK("https://klasma.github.io/Logging_0188/tillsyn/A 34521-2025 tillsynsbegäran.docx", "A 34521-2025")</f>
        <v/>
      </c>
      <c r="Y48">
        <f>HYPERLINK("https://klasma.github.io/Logging_0188/tillsynsmail/A 34521-2025 tillsynsbegäran mail.docx", "A 34521-2025")</f>
        <v/>
      </c>
    </row>
    <row r="49" ht="15" customHeight="1">
      <c r="A49" t="inlineStr">
        <is>
          <t>A 47212-2025</t>
        </is>
      </c>
      <c r="B49" s="1" t="n">
        <v>45930</v>
      </c>
      <c r="C49" s="1" t="n">
        <v>46105</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72305-2021</t>
        </is>
      </c>
      <c r="B50" s="1" t="n">
        <v>44545</v>
      </c>
      <c r="C50" s="1" t="n">
        <v>46105</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24052-2021</t>
        </is>
      </c>
      <c r="B51" s="1" t="n">
        <v>44336</v>
      </c>
      <c r="C51" s="1" t="n">
        <v>46105</v>
      </c>
      <c r="D51" t="inlineStr">
        <is>
          <t>STOCKHOLMS LÄN</t>
        </is>
      </c>
      <c r="E51" t="inlineStr">
        <is>
          <t>NORRTÄLJE</t>
        </is>
      </c>
      <c r="G51" t="n">
        <v>8.6</v>
      </c>
      <c r="H51" t="n">
        <v>4</v>
      </c>
      <c r="I51" t="n">
        <v>0</v>
      </c>
      <c r="J51" t="n">
        <v>2</v>
      </c>
      <c r="K51" t="n">
        <v>0</v>
      </c>
      <c r="L51" t="n">
        <v>0</v>
      </c>
      <c r="M51" t="n">
        <v>0</v>
      </c>
      <c r="N51" t="n">
        <v>0</v>
      </c>
      <c r="O51" t="n">
        <v>2</v>
      </c>
      <c r="P51" t="n">
        <v>0</v>
      </c>
      <c r="Q51" t="n">
        <v>4</v>
      </c>
      <c r="R51" s="2" t="inlineStr">
        <is>
          <t>Brunlångöra
Nordfladdermus
Dvärgpipistrell
Större brunfladdermus</t>
        </is>
      </c>
      <c r="S51">
        <f>HYPERLINK("https://klasma.github.io/Logging_0188/artfynd/A 24052-2021 artfynd.xlsx", "A 24052-2021")</f>
        <v/>
      </c>
      <c r="T51">
        <f>HYPERLINK("https://klasma.github.io/Logging_0188/kartor/A 24052-2021 karta.png", "A 24052-2021")</f>
        <v/>
      </c>
      <c r="V51">
        <f>HYPERLINK("https://klasma.github.io/Logging_0188/klagomål/A 24052-2021 FSC-klagomål.docx", "A 24052-2021")</f>
        <v/>
      </c>
      <c r="W51">
        <f>HYPERLINK("https://klasma.github.io/Logging_0188/klagomålsmail/A 24052-2021 FSC-klagomål mail.docx", "A 24052-2021")</f>
        <v/>
      </c>
      <c r="X51">
        <f>HYPERLINK("https://klasma.github.io/Logging_0188/tillsyn/A 24052-2021 tillsynsbegäran.docx", "A 24052-2021")</f>
        <v/>
      </c>
      <c r="Y51">
        <f>HYPERLINK("https://klasma.github.io/Logging_0188/tillsynsmail/A 24052-2021 tillsynsbegäran mail.docx", "A 24052-2021")</f>
        <v/>
      </c>
    </row>
    <row r="52" ht="15" customHeight="1">
      <c r="A52" t="inlineStr">
        <is>
          <t>A 44709-2022</t>
        </is>
      </c>
      <c r="B52" s="1" t="n">
        <v>44839</v>
      </c>
      <c r="C52" s="1" t="n">
        <v>46105</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21730-2025</t>
        </is>
      </c>
      <c r="B53" s="1" t="n">
        <v>45783.58123842593</v>
      </c>
      <c r="C53" s="1" t="n">
        <v>46105</v>
      </c>
      <c r="D53" t="inlineStr">
        <is>
          <t>STOCKHOLMS LÄN</t>
        </is>
      </c>
      <c r="E53" t="inlineStr">
        <is>
          <t>NORRTÄLJE</t>
        </is>
      </c>
      <c r="G53" t="n">
        <v>4.2</v>
      </c>
      <c r="H53" t="n">
        <v>2</v>
      </c>
      <c r="I53" t="n">
        <v>2</v>
      </c>
      <c r="J53" t="n">
        <v>0</v>
      </c>
      <c r="K53" t="n">
        <v>0</v>
      </c>
      <c r="L53" t="n">
        <v>0</v>
      </c>
      <c r="M53" t="n">
        <v>0</v>
      </c>
      <c r="N53" t="n">
        <v>0</v>
      </c>
      <c r="O53" t="n">
        <v>0</v>
      </c>
      <c r="P53" t="n">
        <v>0</v>
      </c>
      <c r="Q53" t="n">
        <v>4</v>
      </c>
      <c r="R53" s="2" t="inlineStr">
        <is>
          <t>Blåmossa
Brandticka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25687-2025</t>
        </is>
      </c>
      <c r="B54" s="1" t="n">
        <v>45800</v>
      </c>
      <c r="C54" s="1" t="n">
        <v>46105</v>
      </c>
      <c r="D54" t="inlineStr">
        <is>
          <t>STOCKHOLMS LÄN</t>
        </is>
      </c>
      <c r="E54" t="inlineStr">
        <is>
          <t>NORRTÄLJE</t>
        </is>
      </c>
      <c r="G54" t="n">
        <v>15.7</v>
      </c>
      <c r="H54" t="n">
        <v>2</v>
      </c>
      <c r="I54" t="n">
        <v>1</v>
      </c>
      <c r="J54" t="n">
        <v>2</v>
      </c>
      <c r="K54" t="n">
        <v>0</v>
      </c>
      <c r="L54" t="n">
        <v>0</v>
      </c>
      <c r="M54" t="n">
        <v>0</v>
      </c>
      <c r="N54" t="n">
        <v>0</v>
      </c>
      <c r="O54" t="n">
        <v>2</v>
      </c>
      <c r="P54" t="n">
        <v>0</v>
      </c>
      <c r="Q54" t="n">
        <v>4</v>
      </c>
      <c r="R54" s="2" t="inlineStr">
        <is>
          <t>Spillkråka
Ullticka
Grönpyrola
Kungsfågel</t>
        </is>
      </c>
      <c r="S54">
        <f>HYPERLINK("https://klasma.github.io/Logging_0188/artfynd/A 25687-2025 artfynd.xlsx", "A 25687-2025")</f>
        <v/>
      </c>
      <c r="T54">
        <f>HYPERLINK("https://klasma.github.io/Logging_0188/kartor/A 25687-2025 karta.png", "A 25687-2025")</f>
        <v/>
      </c>
      <c r="V54">
        <f>HYPERLINK("https://klasma.github.io/Logging_0188/klagomål/A 25687-2025 FSC-klagomål.docx", "A 25687-2025")</f>
        <v/>
      </c>
      <c r="W54">
        <f>HYPERLINK("https://klasma.github.io/Logging_0188/klagomålsmail/A 25687-2025 FSC-klagomål mail.docx", "A 25687-2025")</f>
        <v/>
      </c>
      <c r="X54">
        <f>HYPERLINK("https://klasma.github.io/Logging_0188/tillsyn/A 25687-2025 tillsynsbegäran.docx", "A 25687-2025")</f>
        <v/>
      </c>
      <c r="Y54">
        <f>HYPERLINK("https://klasma.github.io/Logging_0188/tillsynsmail/A 25687-2025 tillsynsbegäran mail.docx", "A 25687-2025")</f>
        <v/>
      </c>
      <c r="Z54">
        <f>HYPERLINK("https://klasma.github.io/Logging_0188/fåglar/A 25687-2025 prioriterade fågelarter.docx", "A 25687-2025")</f>
        <v/>
      </c>
    </row>
    <row r="55" ht="15" customHeight="1">
      <c r="A55" t="inlineStr">
        <is>
          <t>A 17673-2021</t>
        </is>
      </c>
      <c r="B55" s="1" t="n">
        <v>44300</v>
      </c>
      <c r="C55" s="1" t="n">
        <v>46105</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46105</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46105</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14560-2021</t>
        </is>
      </c>
      <c r="B58" s="1" t="n">
        <v>44279</v>
      </c>
      <c r="C58" s="1" t="n">
        <v>46105</v>
      </c>
      <c r="D58" t="inlineStr">
        <is>
          <t>STOCKHOLMS LÄN</t>
        </is>
      </c>
      <c r="E58" t="inlineStr">
        <is>
          <t>NORRTÄLJE</t>
        </is>
      </c>
      <c r="G58" t="n">
        <v>1.8</v>
      </c>
      <c r="H58" t="n">
        <v>0</v>
      </c>
      <c r="I58" t="n">
        <v>2</v>
      </c>
      <c r="J58" t="n">
        <v>1</v>
      </c>
      <c r="K58" t="n">
        <v>0</v>
      </c>
      <c r="L58" t="n">
        <v>0</v>
      </c>
      <c r="M58" t="n">
        <v>0</v>
      </c>
      <c r="N58" t="n">
        <v>0</v>
      </c>
      <c r="O58" t="n">
        <v>1</v>
      </c>
      <c r="P58" t="n">
        <v>0</v>
      </c>
      <c r="Q58" t="n">
        <v>3</v>
      </c>
      <c r="R58" s="2" t="inlineStr">
        <is>
          <t>Vit vedfingersvamp
Stor aspticka
Vedticka</t>
        </is>
      </c>
      <c r="S58">
        <f>HYPERLINK("https://klasma.github.io/Logging_0188/artfynd/A 14560-2021 artfynd.xlsx", "A 14560-2021")</f>
        <v/>
      </c>
      <c r="T58">
        <f>HYPERLINK("https://klasma.github.io/Logging_0188/kartor/A 14560-2021 karta.png", "A 14560-2021")</f>
        <v/>
      </c>
      <c r="V58">
        <f>HYPERLINK("https://klasma.github.io/Logging_0188/klagomål/A 14560-2021 FSC-klagomål.docx", "A 14560-2021")</f>
        <v/>
      </c>
      <c r="W58">
        <f>HYPERLINK("https://klasma.github.io/Logging_0188/klagomålsmail/A 14560-2021 FSC-klagomål mail.docx", "A 14560-2021")</f>
        <v/>
      </c>
      <c r="X58">
        <f>HYPERLINK("https://klasma.github.io/Logging_0188/tillsyn/A 14560-2021 tillsynsbegäran.docx", "A 14560-2021")</f>
        <v/>
      </c>
      <c r="Y58">
        <f>HYPERLINK("https://klasma.github.io/Logging_0188/tillsynsmail/A 14560-2021 tillsynsbegäran mail.docx", "A 14560-2021")</f>
        <v/>
      </c>
    </row>
    <row r="59" ht="15" customHeight="1">
      <c r="A59" t="inlineStr">
        <is>
          <t>A 29185-2025</t>
        </is>
      </c>
      <c r="B59" s="1" t="n">
        <v>45821</v>
      </c>
      <c r="C59" s="1" t="n">
        <v>46105</v>
      </c>
      <c r="D59" t="inlineStr">
        <is>
          <t>STOCKHOLMS LÄN</t>
        </is>
      </c>
      <c r="E59" t="inlineStr">
        <is>
          <t>NORRTÄLJE</t>
        </is>
      </c>
      <c r="F59" t="inlineStr">
        <is>
          <t>Övriga Aktiebolag</t>
        </is>
      </c>
      <c r="G59" t="n">
        <v>8.5</v>
      </c>
      <c r="H59" t="n">
        <v>2</v>
      </c>
      <c r="I59" t="n">
        <v>1</v>
      </c>
      <c r="J59" t="n">
        <v>0</v>
      </c>
      <c r="K59" t="n">
        <v>0</v>
      </c>
      <c r="L59" t="n">
        <v>0</v>
      </c>
      <c r="M59" t="n">
        <v>0</v>
      </c>
      <c r="N59" t="n">
        <v>0</v>
      </c>
      <c r="O59" t="n">
        <v>0</v>
      </c>
      <c r="P59" t="n">
        <v>0</v>
      </c>
      <c r="Q59" t="n">
        <v>3</v>
      </c>
      <c r="R59" s="2" t="inlineStr">
        <is>
          <t>Vårärt
Fläcknycklar
Blåsippa</t>
        </is>
      </c>
      <c r="S59">
        <f>HYPERLINK("https://klasma.github.io/Logging_0188/artfynd/A 29185-2025 artfynd.xlsx", "A 29185-2025")</f>
        <v/>
      </c>
      <c r="T59">
        <f>HYPERLINK("https://klasma.github.io/Logging_0188/kartor/A 29185-2025 karta.png", "A 29185-2025")</f>
        <v/>
      </c>
      <c r="V59">
        <f>HYPERLINK("https://klasma.github.io/Logging_0188/klagomål/A 29185-2025 FSC-klagomål.docx", "A 29185-2025")</f>
        <v/>
      </c>
      <c r="W59">
        <f>HYPERLINK("https://klasma.github.io/Logging_0188/klagomålsmail/A 29185-2025 FSC-klagomål mail.docx", "A 29185-2025")</f>
        <v/>
      </c>
      <c r="X59">
        <f>HYPERLINK("https://klasma.github.io/Logging_0188/tillsyn/A 29185-2025 tillsynsbegäran.docx", "A 29185-2025")</f>
        <v/>
      </c>
      <c r="Y59">
        <f>HYPERLINK("https://klasma.github.io/Logging_0188/tillsynsmail/A 29185-2025 tillsynsbegäran mail.docx", "A 29185-2025")</f>
        <v/>
      </c>
    </row>
    <row r="60" ht="15" customHeight="1">
      <c r="A60" t="inlineStr">
        <is>
          <t>A 34524-2025</t>
        </is>
      </c>
      <c r="B60" s="1" t="n">
        <v>45847.47685185185</v>
      </c>
      <c r="C60" s="1" t="n">
        <v>46105</v>
      </c>
      <c r="D60" t="inlineStr">
        <is>
          <t>STOCKHOLMS LÄN</t>
        </is>
      </c>
      <c r="E60" t="inlineStr">
        <is>
          <t>NORRTÄLJE</t>
        </is>
      </c>
      <c r="G60" t="n">
        <v>3.3</v>
      </c>
      <c r="H60" t="n">
        <v>0</v>
      </c>
      <c r="I60" t="n">
        <v>1</v>
      </c>
      <c r="J60" t="n">
        <v>2</v>
      </c>
      <c r="K60" t="n">
        <v>0</v>
      </c>
      <c r="L60" t="n">
        <v>0</v>
      </c>
      <c r="M60" t="n">
        <v>0</v>
      </c>
      <c r="N60" t="n">
        <v>0</v>
      </c>
      <c r="O60" t="n">
        <v>2</v>
      </c>
      <c r="P60" t="n">
        <v>0</v>
      </c>
      <c r="Q60" t="n">
        <v>3</v>
      </c>
      <c r="R60" s="2" t="inlineStr">
        <is>
          <t>Tallticka
Vedtrappmossa
Kornknutmossa</t>
        </is>
      </c>
      <c r="S60">
        <f>HYPERLINK("https://klasma.github.io/Logging_0188/artfynd/A 34524-2025 artfynd.xlsx", "A 34524-2025")</f>
        <v/>
      </c>
      <c r="T60">
        <f>HYPERLINK("https://klasma.github.io/Logging_0188/kartor/A 34524-2025 karta.png", "A 34524-2025")</f>
        <v/>
      </c>
      <c r="V60">
        <f>HYPERLINK("https://klasma.github.io/Logging_0188/klagomål/A 34524-2025 FSC-klagomål.docx", "A 34524-2025")</f>
        <v/>
      </c>
      <c r="W60">
        <f>HYPERLINK("https://klasma.github.io/Logging_0188/klagomålsmail/A 34524-2025 FSC-klagomål mail.docx", "A 34524-2025")</f>
        <v/>
      </c>
      <c r="X60">
        <f>HYPERLINK("https://klasma.github.io/Logging_0188/tillsyn/A 34524-2025 tillsynsbegäran.docx", "A 34524-2025")</f>
        <v/>
      </c>
      <c r="Y60">
        <f>HYPERLINK("https://klasma.github.io/Logging_0188/tillsynsmail/A 34524-2025 tillsynsbegäran mail.docx", "A 34524-2025")</f>
        <v/>
      </c>
    </row>
    <row r="61" ht="15" customHeight="1">
      <c r="A61" t="inlineStr">
        <is>
          <t>A 2851-2023</t>
        </is>
      </c>
      <c r="B61" s="1" t="n">
        <v>44945</v>
      </c>
      <c r="C61" s="1" t="n">
        <v>46105</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46105</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52726-2025</t>
        </is>
      </c>
      <c r="B63" s="1" t="n">
        <v>45957.34722222222</v>
      </c>
      <c r="C63" s="1" t="n">
        <v>46105</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53065-2024</t>
        </is>
      </c>
      <c r="B64" s="1" t="n">
        <v>45611.47233796296</v>
      </c>
      <c r="C64" s="1" t="n">
        <v>46105</v>
      </c>
      <c r="D64" t="inlineStr">
        <is>
          <t>STOCKHOLMS LÄN</t>
        </is>
      </c>
      <c r="E64" t="inlineStr">
        <is>
          <t>NORRTÄLJE</t>
        </is>
      </c>
      <c r="G64" t="n">
        <v>12.3</v>
      </c>
      <c r="H64" t="n">
        <v>0</v>
      </c>
      <c r="I64" t="n">
        <v>1</v>
      </c>
      <c r="J64" t="n">
        <v>1</v>
      </c>
      <c r="K64" t="n">
        <v>1</v>
      </c>
      <c r="L64" t="n">
        <v>0</v>
      </c>
      <c r="M64" t="n">
        <v>0</v>
      </c>
      <c r="N64" t="n">
        <v>0</v>
      </c>
      <c r="O64" t="n">
        <v>2</v>
      </c>
      <c r="P64" t="n">
        <v>1</v>
      </c>
      <c r="Q64" t="n">
        <v>3</v>
      </c>
      <c r="R64" s="2" t="inlineStr">
        <is>
          <t>Aspsplintbock
Grön aspvedbock
Gulröd blankbock</t>
        </is>
      </c>
      <c r="S64">
        <f>HYPERLINK("https://klasma.github.io/Logging_0188/artfynd/A 53065-2024 artfynd.xlsx", "A 53065-2024")</f>
        <v/>
      </c>
      <c r="T64">
        <f>HYPERLINK("https://klasma.github.io/Logging_0188/kartor/A 53065-2024 karta.png", "A 53065-2024")</f>
        <v/>
      </c>
      <c r="V64">
        <f>HYPERLINK("https://klasma.github.io/Logging_0188/klagomål/A 53065-2024 FSC-klagomål.docx", "A 53065-2024")</f>
        <v/>
      </c>
      <c r="W64">
        <f>HYPERLINK("https://klasma.github.io/Logging_0188/klagomålsmail/A 53065-2024 FSC-klagomål mail.docx", "A 53065-2024")</f>
        <v/>
      </c>
      <c r="X64">
        <f>HYPERLINK("https://klasma.github.io/Logging_0188/tillsyn/A 53065-2024 tillsynsbegäran.docx", "A 53065-2024")</f>
        <v/>
      </c>
      <c r="Y64">
        <f>HYPERLINK("https://klasma.github.io/Logging_0188/tillsynsmail/A 53065-2024 tillsynsbegäran mail.docx", "A 53065-2024")</f>
        <v/>
      </c>
    </row>
    <row r="65" ht="15" customHeight="1">
      <c r="A65" t="inlineStr">
        <is>
          <t>A 50618-2022</t>
        </is>
      </c>
      <c r="B65" s="1" t="n">
        <v>44866</v>
      </c>
      <c r="C65" s="1" t="n">
        <v>46105</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27870-2022</t>
        </is>
      </c>
      <c r="B66" s="1" t="n">
        <v>44743.64592592593</v>
      </c>
      <c r="C66" s="1" t="n">
        <v>46105</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54110-2024</t>
        </is>
      </c>
      <c r="B67" s="1" t="n">
        <v>45616.54866898148</v>
      </c>
      <c r="C67" s="1" t="n">
        <v>46105</v>
      </c>
      <c r="D67" t="inlineStr">
        <is>
          <t>STOCKHOLMS LÄN</t>
        </is>
      </c>
      <c r="E67" t="inlineStr">
        <is>
          <t>NORRTÄLJE</t>
        </is>
      </c>
      <c r="G67" t="n">
        <v>6.7</v>
      </c>
      <c r="H67" t="n">
        <v>2</v>
      </c>
      <c r="I67" t="n">
        <v>0</v>
      </c>
      <c r="J67" t="n">
        <v>1</v>
      </c>
      <c r="K67" t="n">
        <v>0</v>
      </c>
      <c r="L67" t="n">
        <v>0</v>
      </c>
      <c r="M67" t="n">
        <v>0</v>
      </c>
      <c r="N67" t="n">
        <v>0</v>
      </c>
      <c r="O67" t="n">
        <v>1</v>
      </c>
      <c r="P67" t="n">
        <v>0</v>
      </c>
      <c r="Q67" t="n">
        <v>3</v>
      </c>
      <c r="R67" s="2" t="inlineStr">
        <is>
          <t>Klasefibbla
Nattviol
Gullviva</t>
        </is>
      </c>
      <c r="S67">
        <f>HYPERLINK("https://klasma.github.io/Logging_0188/artfynd/A 54110-2024 artfynd.xlsx", "A 54110-2024")</f>
        <v/>
      </c>
      <c r="T67">
        <f>HYPERLINK("https://klasma.github.io/Logging_0188/kartor/A 54110-2024 karta.png", "A 54110-2024")</f>
        <v/>
      </c>
      <c r="V67">
        <f>HYPERLINK("https://klasma.github.io/Logging_0188/klagomål/A 54110-2024 FSC-klagomål.docx", "A 54110-2024")</f>
        <v/>
      </c>
      <c r="W67">
        <f>HYPERLINK("https://klasma.github.io/Logging_0188/klagomålsmail/A 54110-2024 FSC-klagomål mail.docx", "A 54110-2024")</f>
        <v/>
      </c>
      <c r="X67">
        <f>HYPERLINK("https://klasma.github.io/Logging_0188/tillsyn/A 54110-2024 tillsynsbegäran.docx", "A 54110-2024")</f>
        <v/>
      </c>
      <c r="Y67">
        <f>HYPERLINK("https://klasma.github.io/Logging_0188/tillsynsmail/A 54110-2024 tillsynsbegäran mail.docx", "A 54110-2024")</f>
        <v/>
      </c>
    </row>
    <row r="68" ht="15" customHeight="1">
      <c r="A68" t="inlineStr">
        <is>
          <t>A 25270-2025</t>
        </is>
      </c>
      <c r="B68" s="1" t="n">
        <v>45800</v>
      </c>
      <c r="C68" s="1" t="n">
        <v>46105</v>
      </c>
      <c r="D68" t="inlineStr">
        <is>
          <t>STOCKHOLMS LÄN</t>
        </is>
      </c>
      <c r="E68" t="inlineStr">
        <is>
          <t>NORRTÄLJE</t>
        </is>
      </c>
      <c r="F68" t="inlineStr">
        <is>
          <t>Övriga Aktiebolag</t>
        </is>
      </c>
      <c r="G68" t="n">
        <v>30</v>
      </c>
      <c r="H68" t="n">
        <v>0</v>
      </c>
      <c r="I68" t="n">
        <v>2</v>
      </c>
      <c r="J68" t="n">
        <v>1</v>
      </c>
      <c r="K68" t="n">
        <v>0</v>
      </c>
      <c r="L68" t="n">
        <v>0</v>
      </c>
      <c r="M68" t="n">
        <v>0</v>
      </c>
      <c r="N68" t="n">
        <v>0</v>
      </c>
      <c r="O68" t="n">
        <v>1</v>
      </c>
      <c r="P68" t="n">
        <v>0</v>
      </c>
      <c r="Q68" t="n">
        <v>3</v>
      </c>
      <c r="R68" s="2" t="inlineStr">
        <is>
          <t>Kandelabersvamp
Fjällig taggsvamp s.str.
Skarp dropptaggsvamp</t>
        </is>
      </c>
      <c r="S68">
        <f>HYPERLINK("https://klasma.github.io/Logging_0188/artfynd/A 25270-2025 artfynd.xlsx", "A 25270-2025")</f>
        <v/>
      </c>
      <c r="T68">
        <f>HYPERLINK("https://klasma.github.io/Logging_0188/kartor/A 25270-2025 karta.png", "A 25270-2025")</f>
        <v/>
      </c>
      <c r="V68">
        <f>HYPERLINK("https://klasma.github.io/Logging_0188/klagomål/A 25270-2025 FSC-klagomål.docx", "A 25270-2025")</f>
        <v/>
      </c>
      <c r="W68">
        <f>HYPERLINK("https://klasma.github.io/Logging_0188/klagomålsmail/A 25270-2025 FSC-klagomål mail.docx", "A 25270-2025")</f>
        <v/>
      </c>
      <c r="X68">
        <f>HYPERLINK("https://klasma.github.io/Logging_0188/tillsyn/A 25270-2025 tillsynsbegäran.docx", "A 25270-2025")</f>
        <v/>
      </c>
      <c r="Y68">
        <f>HYPERLINK("https://klasma.github.io/Logging_0188/tillsynsmail/A 25270-2025 tillsynsbegäran mail.docx", "A 25270-2025")</f>
        <v/>
      </c>
    </row>
    <row r="69" ht="15" customHeight="1">
      <c r="A69" t="inlineStr">
        <is>
          <t>A 52133-2022</t>
        </is>
      </c>
      <c r="B69" s="1" t="n">
        <v>44868</v>
      </c>
      <c r="C69" s="1" t="n">
        <v>46105</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46105</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46105</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46105</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46105</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30693-2022</t>
        </is>
      </c>
      <c r="B74" s="1" t="n">
        <v>44763</v>
      </c>
      <c r="C74" s="1" t="n">
        <v>46105</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46105</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33548-2025</t>
        </is>
      </c>
      <c r="B76" s="1" t="n">
        <v>45841.5721875</v>
      </c>
      <c r="C76" s="1" t="n">
        <v>46105</v>
      </c>
      <c r="D76" t="inlineStr">
        <is>
          <t>STOCKHOLMS LÄN</t>
        </is>
      </c>
      <c r="E76" t="inlineStr">
        <is>
          <t>NORRTÄLJE</t>
        </is>
      </c>
      <c r="G76" t="n">
        <v>12.2</v>
      </c>
      <c r="H76" t="n">
        <v>1</v>
      </c>
      <c r="I76" t="n">
        <v>0</v>
      </c>
      <c r="J76" t="n">
        <v>1</v>
      </c>
      <c r="K76" t="n">
        <v>0</v>
      </c>
      <c r="L76" t="n">
        <v>0</v>
      </c>
      <c r="M76" t="n">
        <v>0</v>
      </c>
      <c r="N76" t="n">
        <v>0</v>
      </c>
      <c r="O76" t="n">
        <v>1</v>
      </c>
      <c r="P76" t="n">
        <v>0</v>
      </c>
      <c r="Q76" t="n">
        <v>2</v>
      </c>
      <c r="R76" s="2" t="inlineStr">
        <is>
          <t>Dofttaggsvamp
Sparvuggla</t>
        </is>
      </c>
      <c r="S76">
        <f>HYPERLINK("https://klasma.github.io/Logging_0188/artfynd/A 33548-2025 artfynd.xlsx", "A 33548-2025")</f>
        <v/>
      </c>
      <c r="T76">
        <f>HYPERLINK("https://klasma.github.io/Logging_0188/kartor/A 33548-2025 karta.png", "A 33548-2025")</f>
        <v/>
      </c>
      <c r="V76">
        <f>HYPERLINK("https://klasma.github.io/Logging_0188/klagomål/A 33548-2025 FSC-klagomål.docx", "A 33548-2025")</f>
        <v/>
      </c>
      <c r="W76">
        <f>HYPERLINK("https://klasma.github.io/Logging_0188/klagomålsmail/A 33548-2025 FSC-klagomål mail.docx", "A 33548-2025")</f>
        <v/>
      </c>
      <c r="X76">
        <f>HYPERLINK("https://klasma.github.io/Logging_0188/tillsyn/A 33548-2025 tillsynsbegäran.docx", "A 33548-2025")</f>
        <v/>
      </c>
      <c r="Y76">
        <f>HYPERLINK("https://klasma.github.io/Logging_0188/tillsynsmail/A 33548-2025 tillsynsbegäran mail.docx", "A 33548-2025")</f>
        <v/>
      </c>
      <c r="Z76">
        <f>HYPERLINK("https://klasma.github.io/Logging_0188/fåglar/A 33548-2025 prioriterade fågelarter.docx", "A 33548-2025")</f>
        <v/>
      </c>
    </row>
    <row r="77" ht="15" customHeight="1">
      <c r="A77" t="inlineStr">
        <is>
          <t>A 50697-2025</t>
        </is>
      </c>
      <c r="B77" s="1" t="n">
        <v>45945.90854166666</v>
      </c>
      <c r="C77" s="1" t="n">
        <v>46105</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16260-2022</t>
        </is>
      </c>
      <c r="B78" s="1" t="n">
        <v>44670</v>
      </c>
      <c r="C78" s="1" t="n">
        <v>46105</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22190-2024</t>
        </is>
      </c>
      <c r="B79" s="1" t="n">
        <v>45446.35888888889</v>
      </c>
      <c r="C79" s="1" t="n">
        <v>46105</v>
      </c>
      <c r="D79" t="inlineStr">
        <is>
          <t>STOCKHOLMS LÄN</t>
        </is>
      </c>
      <c r="E79" t="inlineStr">
        <is>
          <t>NORRTÄLJE</t>
        </is>
      </c>
      <c r="G79" t="n">
        <v>2.8</v>
      </c>
      <c r="H79" t="n">
        <v>2</v>
      </c>
      <c r="I79" t="n">
        <v>1</v>
      </c>
      <c r="J79" t="n">
        <v>0</v>
      </c>
      <c r="K79" t="n">
        <v>0</v>
      </c>
      <c r="L79" t="n">
        <v>0</v>
      </c>
      <c r="M79" t="n">
        <v>0</v>
      </c>
      <c r="N79" t="n">
        <v>0</v>
      </c>
      <c r="O79" t="n">
        <v>0</v>
      </c>
      <c r="P79" t="n">
        <v>0</v>
      </c>
      <c r="Q79" t="n">
        <v>2</v>
      </c>
      <c r="R79" s="2" t="inlineStr">
        <is>
          <t>Skogsknipprot
Vanlig groda</t>
        </is>
      </c>
      <c r="S79">
        <f>HYPERLINK("https://klasma.github.io/Logging_0188/artfynd/A 22190-2024 artfynd.xlsx", "A 22190-2024")</f>
        <v/>
      </c>
      <c r="T79">
        <f>HYPERLINK("https://klasma.github.io/Logging_0188/kartor/A 22190-2024 karta.png", "A 22190-2024")</f>
        <v/>
      </c>
      <c r="V79">
        <f>HYPERLINK("https://klasma.github.io/Logging_0188/klagomål/A 22190-2024 FSC-klagomål.docx", "A 22190-2024")</f>
        <v/>
      </c>
      <c r="W79">
        <f>HYPERLINK("https://klasma.github.io/Logging_0188/klagomålsmail/A 22190-2024 FSC-klagomål mail.docx", "A 22190-2024")</f>
        <v/>
      </c>
      <c r="X79">
        <f>HYPERLINK("https://klasma.github.io/Logging_0188/tillsyn/A 22190-2024 tillsynsbegäran.docx", "A 22190-2024")</f>
        <v/>
      </c>
      <c r="Y79">
        <f>HYPERLINK("https://klasma.github.io/Logging_0188/tillsynsmail/A 22190-2024 tillsynsbegäran mail.docx", "A 22190-2024")</f>
        <v/>
      </c>
    </row>
    <row r="80" ht="15" customHeight="1">
      <c r="A80" t="inlineStr">
        <is>
          <t>A 17952-2022</t>
        </is>
      </c>
      <c r="B80" s="1" t="n">
        <v>44683</v>
      </c>
      <c r="C80" s="1" t="n">
        <v>46105</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53608-2025</t>
        </is>
      </c>
      <c r="B81" s="1" t="n">
        <v>45960</v>
      </c>
      <c r="C81" s="1" t="n">
        <v>46105</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52360-2024</t>
        </is>
      </c>
      <c r="B82" s="1" t="n">
        <v>45609.37094907407</v>
      </c>
      <c r="C82" s="1" t="n">
        <v>46105</v>
      </c>
      <c r="D82" t="inlineStr">
        <is>
          <t>STOCKHOLMS LÄN</t>
        </is>
      </c>
      <c r="E82" t="inlineStr">
        <is>
          <t>NORRTÄLJE</t>
        </is>
      </c>
      <c r="G82" t="n">
        <v>2.2</v>
      </c>
      <c r="H82" t="n">
        <v>1</v>
      </c>
      <c r="I82" t="n">
        <v>1</v>
      </c>
      <c r="J82" t="n">
        <v>0</v>
      </c>
      <c r="K82" t="n">
        <v>0</v>
      </c>
      <c r="L82" t="n">
        <v>0</v>
      </c>
      <c r="M82" t="n">
        <v>0</v>
      </c>
      <c r="N82" t="n">
        <v>0</v>
      </c>
      <c r="O82" t="n">
        <v>0</v>
      </c>
      <c r="P82" t="n">
        <v>0</v>
      </c>
      <c r="Q82" t="n">
        <v>2</v>
      </c>
      <c r="R82" s="2" t="inlineStr">
        <is>
          <t>Brandticka
Blåsippa</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52825-2023</t>
        </is>
      </c>
      <c r="B83" s="1" t="n">
        <v>45226</v>
      </c>
      <c r="C83" s="1" t="n">
        <v>46105</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52124-2022</t>
        </is>
      </c>
      <c r="B84" s="1" t="n">
        <v>44868</v>
      </c>
      <c r="C84" s="1" t="n">
        <v>46105</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51980-2022</t>
        </is>
      </c>
      <c r="B85" s="1" t="n">
        <v>44872</v>
      </c>
      <c r="C85" s="1" t="n">
        <v>46105</v>
      </c>
      <c r="D85" t="inlineStr">
        <is>
          <t>STOCKHOLMS LÄN</t>
        </is>
      </c>
      <c r="E85" t="inlineStr">
        <is>
          <t>NORRTÄLJE</t>
        </is>
      </c>
      <c r="G85" t="n">
        <v>7.9</v>
      </c>
      <c r="H85" t="n">
        <v>1</v>
      </c>
      <c r="I85" t="n">
        <v>2</v>
      </c>
      <c r="J85" t="n">
        <v>0</v>
      </c>
      <c r="K85" t="n">
        <v>0</v>
      </c>
      <c r="L85" t="n">
        <v>0</v>
      </c>
      <c r="M85" t="n">
        <v>0</v>
      </c>
      <c r="N85" t="n">
        <v>0</v>
      </c>
      <c r="O85" t="n">
        <v>0</v>
      </c>
      <c r="P85" t="n">
        <v>0</v>
      </c>
      <c r="Q85" t="n">
        <v>2</v>
      </c>
      <c r="R85" s="2" t="inlineStr">
        <is>
          <t>Rödgul trumpetsvamp
Skogsknipprot</t>
        </is>
      </c>
      <c r="S85">
        <f>HYPERLINK("https://klasma.github.io/Logging_0188/artfynd/A 51980-2022 artfynd.xlsx", "A 51980-2022")</f>
        <v/>
      </c>
      <c r="T85">
        <f>HYPERLINK("https://klasma.github.io/Logging_0188/kartor/A 51980-2022 karta.png", "A 51980-2022")</f>
        <v/>
      </c>
      <c r="V85">
        <f>HYPERLINK("https://klasma.github.io/Logging_0188/klagomål/A 51980-2022 FSC-klagomål.docx", "A 51980-2022")</f>
        <v/>
      </c>
      <c r="W85">
        <f>HYPERLINK("https://klasma.github.io/Logging_0188/klagomålsmail/A 51980-2022 FSC-klagomål mail.docx", "A 51980-2022")</f>
        <v/>
      </c>
      <c r="X85">
        <f>HYPERLINK("https://klasma.github.io/Logging_0188/tillsyn/A 51980-2022 tillsynsbegäran.docx", "A 51980-2022")</f>
        <v/>
      </c>
      <c r="Y85">
        <f>HYPERLINK("https://klasma.github.io/Logging_0188/tillsynsmail/A 51980-2022 tillsynsbegäran mail.docx", "A 51980-2022")</f>
        <v/>
      </c>
    </row>
    <row r="86" ht="15" customHeight="1">
      <c r="A86" t="inlineStr">
        <is>
          <t>A 1547-2022</t>
        </is>
      </c>
      <c r="B86" s="1" t="n">
        <v>44573</v>
      </c>
      <c r="C86" s="1" t="n">
        <v>46105</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46105</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46105</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46105</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46105</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32111-2022</t>
        </is>
      </c>
      <c r="B91" s="1" t="n">
        <v>44778.92797453704</v>
      </c>
      <c r="C91" s="1" t="n">
        <v>46105</v>
      </c>
      <c r="D91" t="inlineStr">
        <is>
          <t>STOCKHOLMS LÄN</t>
        </is>
      </c>
      <c r="E91" t="inlineStr">
        <is>
          <t>NORRTÄLJE</t>
        </is>
      </c>
      <c r="G91" t="n">
        <v>3.1</v>
      </c>
      <c r="H91" t="n">
        <v>0</v>
      </c>
      <c r="I91" t="n">
        <v>0</v>
      </c>
      <c r="J91" t="n">
        <v>1</v>
      </c>
      <c r="K91" t="n">
        <v>0</v>
      </c>
      <c r="L91" t="n">
        <v>0</v>
      </c>
      <c r="M91" t="n">
        <v>0</v>
      </c>
      <c r="N91" t="n">
        <v>0</v>
      </c>
      <c r="O91" t="n">
        <v>1</v>
      </c>
      <c r="P91" t="n">
        <v>0</v>
      </c>
      <c r="Q91" t="n">
        <v>1</v>
      </c>
      <c r="R91" s="2" t="inlineStr">
        <is>
          <t>Orange taggsvamp</t>
        </is>
      </c>
      <c r="S91">
        <f>HYPERLINK("https://klasma.github.io/Logging_0188/artfynd/A 32111-2022 artfynd.xlsx", "A 32111-2022")</f>
        <v/>
      </c>
      <c r="T91">
        <f>HYPERLINK("https://klasma.github.io/Logging_0188/kartor/A 32111-2022 karta.png", "A 32111-2022")</f>
        <v/>
      </c>
      <c r="V91">
        <f>HYPERLINK("https://klasma.github.io/Logging_0188/klagomål/A 32111-2022 FSC-klagomål.docx", "A 32111-2022")</f>
        <v/>
      </c>
      <c r="W91">
        <f>HYPERLINK("https://klasma.github.io/Logging_0188/klagomålsmail/A 32111-2022 FSC-klagomål mail.docx", "A 32111-2022")</f>
        <v/>
      </c>
      <c r="X91">
        <f>HYPERLINK("https://klasma.github.io/Logging_0188/tillsyn/A 32111-2022 tillsynsbegäran.docx", "A 32111-2022")</f>
        <v/>
      </c>
      <c r="Y91">
        <f>HYPERLINK("https://klasma.github.io/Logging_0188/tillsynsmail/A 32111-2022 tillsynsbegäran mail.docx", "A 32111-2022")</f>
        <v/>
      </c>
    </row>
    <row r="92" ht="15" customHeight="1">
      <c r="A92" t="inlineStr">
        <is>
          <t>A 47898-2022</t>
        </is>
      </c>
      <c r="B92" s="1" t="n">
        <v>44855</v>
      </c>
      <c r="C92" s="1" t="n">
        <v>46105</v>
      </c>
      <c r="D92" t="inlineStr">
        <is>
          <t>STOCKHOLMS LÄN</t>
        </is>
      </c>
      <c r="E92" t="inlineStr">
        <is>
          <t>NORRTÄLJE</t>
        </is>
      </c>
      <c r="G92" t="n">
        <v>6.7</v>
      </c>
      <c r="H92" t="n">
        <v>1</v>
      </c>
      <c r="I92" t="n">
        <v>1</v>
      </c>
      <c r="J92" t="n">
        <v>0</v>
      </c>
      <c r="K92" t="n">
        <v>0</v>
      </c>
      <c r="L92" t="n">
        <v>0</v>
      </c>
      <c r="M92" t="n">
        <v>0</v>
      </c>
      <c r="N92" t="n">
        <v>0</v>
      </c>
      <c r="O92" t="n">
        <v>0</v>
      </c>
      <c r="P92" t="n">
        <v>0</v>
      </c>
      <c r="Q92" t="n">
        <v>1</v>
      </c>
      <c r="R92" s="2" t="inlineStr">
        <is>
          <t>Guckusko</t>
        </is>
      </c>
      <c r="S92">
        <f>HYPERLINK("https://klasma.github.io/Logging_0188/artfynd/A 47898-2022 artfynd.xlsx", "A 47898-2022")</f>
        <v/>
      </c>
      <c r="T92">
        <f>HYPERLINK("https://klasma.github.io/Logging_0188/kartor/A 47898-2022 karta.png", "A 47898-2022")</f>
        <v/>
      </c>
      <c r="V92">
        <f>HYPERLINK("https://klasma.github.io/Logging_0188/klagomål/A 47898-2022 FSC-klagomål.docx", "A 47898-2022")</f>
        <v/>
      </c>
      <c r="W92">
        <f>HYPERLINK("https://klasma.github.io/Logging_0188/klagomålsmail/A 47898-2022 FSC-klagomål mail.docx", "A 47898-2022")</f>
        <v/>
      </c>
      <c r="X92">
        <f>HYPERLINK("https://klasma.github.io/Logging_0188/tillsyn/A 47898-2022 tillsynsbegäran.docx", "A 47898-2022")</f>
        <v/>
      </c>
      <c r="Y92">
        <f>HYPERLINK("https://klasma.github.io/Logging_0188/tillsynsmail/A 47898-2022 tillsynsbegäran mail.docx", "A 47898-2022")</f>
        <v/>
      </c>
    </row>
    <row r="93" ht="15" customHeight="1">
      <c r="A93" t="inlineStr">
        <is>
          <t>A 4595-2023</t>
        </is>
      </c>
      <c r="B93" s="1" t="n">
        <v>44956</v>
      </c>
      <c r="C93" s="1" t="n">
        <v>46105</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4860-2022</t>
        </is>
      </c>
      <c r="B94" s="1" t="n">
        <v>44592</v>
      </c>
      <c r="C94" s="1" t="n">
        <v>46105</v>
      </c>
      <c r="D94" t="inlineStr">
        <is>
          <t>STOCKHOLMS LÄN</t>
        </is>
      </c>
      <c r="E94" t="inlineStr">
        <is>
          <t>NORRTÄLJE</t>
        </is>
      </c>
      <c r="G94" t="n">
        <v>22.3</v>
      </c>
      <c r="H94" t="n">
        <v>0</v>
      </c>
      <c r="I94" t="n">
        <v>0</v>
      </c>
      <c r="J94" t="n">
        <v>1</v>
      </c>
      <c r="K94" t="n">
        <v>0</v>
      </c>
      <c r="L94" t="n">
        <v>0</v>
      </c>
      <c r="M94" t="n">
        <v>0</v>
      </c>
      <c r="N94" t="n">
        <v>0</v>
      </c>
      <c r="O94" t="n">
        <v>1</v>
      </c>
      <c r="P94" t="n">
        <v>0</v>
      </c>
      <c r="Q94" t="n">
        <v>1</v>
      </c>
      <c r="R94" s="2" t="inlineStr">
        <is>
          <t>Igelkott</t>
        </is>
      </c>
      <c r="S94">
        <f>HYPERLINK("https://klasma.github.io/Logging_0188/artfynd/A 4860-2022 artfynd.xlsx", "A 4860-2022")</f>
        <v/>
      </c>
      <c r="T94">
        <f>HYPERLINK("https://klasma.github.io/Logging_0188/kartor/A 4860-2022 karta.png", "A 4860-2022")</f>
        <v/>
      </c>
      <c r="V94">
        <f>HYPERLINK("https://klasma.github.io/Logging_0188/klagomål/A 4860-2022 FSC-klagomål.docx", "A 4860-2022")</f>
        <v/>
      </c>
      <c r="W94">
        <f>HYPERLINK("https://klasma.github.io/Logging_0188/klagomålsmail/A 4860-2022 FSC-klagomål mail.docx", "A 4860-2022")</f>
        <v/>
      </c>
      <c r="X94">
        <f>HYPERLINK("https://klasma.github.io/Logging_0188/tillsyn/A 4860-2022 tillsynsbegäran.docx", "A 4860-2022")</f>
        <v/>
      </c>
      <c r="Y94">
        <f>HYPERLINK("https://klasma.github.io/Logging_0188/tillsynsmail/A 4860-2022 tillsynsbegäran mail.docx", "A 4860-2022")</f>
        <v/>
      </c>
    </row>
    <row r="95" ht="15" customHeight="1">
      <c r="A95" t="inlineStr">
        <is>
          <t>A 25669-2025</t>
        </is>
      </c>
      <c r="B95" s="1" t="n">
        <v>45803.62766203703</v>
      </c>
      <c r="C95" s="1" t="n">
        <v>46105</v>
      </c>
      <c r="D95" t="inlineStr">
        <is>
          <t>STOCKHOLMS LÄN</t>
        </is>
      </c>
      <c r="E95" t="inlineStr">
        <is>
          <t>NORRTÄLJE</t>
        </is>
      </c>
      <c r="F95" t="inlineStr">
        <is>
          <t>Holmen skog AB</t>
        </is>
      </c>
      <c r="G95" t="n">
        <v>3.1</v>
      </c>
      <c r="H95" t="n">
        <v>1</v>
      </c>
      <c r="I95" t="n">
        <v>0</v>
      </c>
      <c r="J95" t="n">
        <v>0</v>
      </c>
      <c r="K95" t="n">
        <v>0</v>
      </c>
      <c r="L95" t="n">
        <v>0</v>
      </c>
      <c r="M95" t="n">
        <v>0</v>
      </c>
      <c r="N95" t="n">
        <v>0</v>
      </c>
      <c r="O95" t="n">
        <v>0</v>
      </c>
      <c r="P95" t="n">
        <v>0</v>
      </c>
      <c r="Q95" t="n">
        <v>1</v>
      </c>
      <c r="R95" s="2" t="inlineStr">
        <is>
          <t>Tjäder</t>
        </is>
      </c>
      <c r="S95">
        <f>HYPERLINK("https://klasma.github.io/Logging_0188/artfynd/A 25669-2025 artfynd.xlsx", "A 25669-2025")</f>
        <v/>
      </c>
      <c r="T95">
        <f>HYPERLINK("https://klasma.github.io/Logging_0188/kartor/A 25669-2025 karta.png", "A 25669-2025")</f>
        <v/>
      </c>
      <c r="V95">
        <f>HYPERLINK("https://klasma.github.io/Logging_0188/klagomål/A 25669-2025 FSC-klagomål.docx", "A 25669-2025")</f>
        <v/>
      </c>
      <c r="W95">
        <f>HYPERLINK("https://klasma.github.io/Logging_0188/klagomålsmail/A 25669-2025 FSC-klagomål mail.docx", "A 25669-2025")</f>
        <v/>
      </c>
      <c r="X95">
        <f>HYPERLINK("https://klasma.github.io/Logging_0188/tillsyn/A 25669-2025 tillsynsbegäran.docx", "A 25669-2025")</f>
        <v/>
      </c>
      <c r="Y95">
        <f>HYPERLINK("https://klasma.github.io/Logging_0188/tillsynsmail/A 25669-2025 tillsynsbegäran mail.docx", "A 25669-2025")</f>
        <v/>
      </c>
      <c r="Z95">
        <f>HYPERLINK("https://klasma.github.io/Logging_0188/fåglar/A 25669-2025 prioriterade fågelarter.docx", "A 25669-2025")</f>
        <v/>
      </c>
    </row>
    <row r="96" ht="15" customHeight="1">
      <c r="A96" t="inlineStr">
        <is>
          <t>A 6381-2023</t>
        </is>
      </c>
      <c r="B96" s="1" t="n">
        <v>44965</v>
      </c>
      <c r="C96" s="1" t="n">
        <v>46105</v>
      </c>
      <c r="D96" t="inlineStr">
        <is>
          <t>STOCKHOLMS LÄN</t>
        </is>
      </c>
      <c r="E96" t="inlineStr">
        <is>
          <t>NORRTÄLJE</t>
        </is>
      </c>
      <c r="G96" t="n">
        <v>3.5</v>
      </c>
      <c r="H96" t="n">
        <v>1</v>
      </c>
      <c r="I96" t="n">
        <v>1</v>
      </c>
      <c r="J96" t="n">
        <v>0</v>
      </c>
      <c r="K96" t="n">
        <v>0</v>
      </c>
      <c r="L96" t="n">
        <v>0</v>
      </c>
      <c r="M96" t="n">
        <v>0</v>
      </c>
      <c r="N96" t="n">
        <v>0</v>
      </c>
      <c r="O96" t="n">
        <v>0</v>
      </c>
      <c r="P96" t="n">
        <v>0</v>
      </c>
      <c r="Q96" t="n">
        <v>1</v>
      </c>
      <c r="R96" s="2" t="inlineStr">
        <is>
          <t>Guckusko</t>
        </is>
      </c>
      <c r="S96">
        <f>HYPERLINK("https://klasma.github.io/Logging_0188/artfynd/A 6381-2023 artfynd.xlsx", "A 6381-2023")</f>
        <v/>
      </c>
      <c r="T96">
        <f>HYPERLINK("https://klasma.github.io/Logging_0188/kartor/A 6381-2023 karta.png", "A 6381-2023")</f>
        <v/>
      </c>
      <c r="V96">
        <f>HYPERLINK("https://klasma.github.io/Logging_0188/klagomål/A 6381-2023 FSC-klagomål.docx", "A 6381-2023")</f>
        <v/>
      </c>
      <c r="W96">
        <f>HYPERLINK("https://klasma.github.io/Logging_0188/klagomålsmail/A 6381-2023 FSC-klagomål mail.docx", "A 6381-2023")</f>
        <v/>
      </c>
      <c r="X96">
        <f>HYPERLINK("https://klasma.github.io/Logging_0188/tillsyn/A 6381-2023 tillsynsbegäran.docx", "A 6381-2023")</f>
        <v/>
      </c>
      <c r="Y96">
        <f>HYPERLINK("https://klasma.github.io/Logging_0188/tillsynsmail/A 6381-2023 tillsynsbegäran mail.docx", "A 6381-2023")</f>
        <v/>
      </c>
    </row>
    <row r="97" ht="15" customHeight="1">
      <c r="A97" t="inlineStr">
        <is>
          <t>A 40861-2025</t>
        </is>
      </c>
      <c r="B97" s="1" t="n">
        <v>45897.56356481482</v>
      </c>
      <c r="C97" s="1" t="n">
        <v>46105</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29946-2025</t>
        </is>
      </c>
      <c r="B98" s="1" t="n">
        <v>45826.46392361111</v>
      </c>
      <c r="C98" s="1" t="n">
        <v>46105</v>
      </c>
      <c r="D98" t="inlineStr">
        <is>
          <t>STOCKHOLMS LÄN</t>
        </is>
      </c>
      <c r="E98" t="inlineStr">
        <is>
          <t>NORRTÄLJE</t>
        </is>
      </c>
      <c r="F98" t="inlineStr">
        <is>
          <t>Holmen skog AB</t>
        </is>
      </c>
      <c r="G98" t="n">
        <v>3.6</v>
      </c>
      <c r="H98" t="n">
        <v>1</v>
      </c>
      <c r="I98" t="n">
        <v>0</v>
      </c>
      <c r="J98" t="n">
        <v>0</v>
      </c>
      <c r="K98" t="n">
        <v>0</v>
      </c>
      <c r="L98" t="n">
        <v>1</v>
      </c>
      <c r="M98" t="n">
        <v>0</v>
      </c>
      <c r="N98" t="n">
        <v>0</v>
      </c>
      <c r="O98" t="n">
        <v>1</v>
      </c>
      <c r="P98" t="n">
        <v>1</v>
      </c>
      <c r="Q98" t="n">
        <v>1</v>
      </c>
      <c r="R98" s="2" t="inlineStr">
        <is>
          <t>Asknätfjäril</t>
        </is>
      </c>
      <c r="S98">
        <f>HYPERLINK("https://klasma.github.io/Logging_0188/artfynd/A 29946-2025 artfynd.xlsx", "A 29946-2025")</f>
        <v/>
      </c>
      <c r="T98">
        <f>HYPERLINK("https://klasma.github.io/Logging_0188/kartor/A 29946-2025 karta.png", "A 29946-2025")</f>
        <v/>
      </c>
      <c r="V98">
        <f>HYPERLINK("https://klasma.github.io/Logging_0188/klagomål/A 29946-2025 FSC-klagomål.docx", "A 29946-2025")</f>
        <v/>
      </c>
      <c r="W98">
        <f>HYPERLINK("https://klasma.github.io/Logging_0188/klagomålsmail/A 29946-2025 FSC-klagomål mail.docx", "A 29946-2025")</f>
        <v/>
      </c>
      <c r="X98">
        <f>HYPERLINK("https://klasma.github.io/Logging_0188/tillsyn/A 29946-2025 tillsynsbegäran.docx", "A 29946-2025")</f>
        <v/>
      </c>
      <c r="Y98">
        <f>HYPERLINK("https://klasma.github.io/Logging_0188/tillsynsmail/A 29946-2025 tillsynsbegäran mail.docx", "A 29946-2025")</f>
        <v/>
      </c>
    </row>
    <row r="99" ht="15" customHeight="1">
      <c r="A99" t="inlineStr">
        <is>
          <t>A 13271-2025</t>
        </is>
      </c>
      <c r="B99" s="1" t="n">
        <v>45735.54510416667</v>
      </c>
      <c r="C99" s="1" t="n">
        <v>46105</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42313-2025</t>
        </is>
      </c>
      <c r="B100" s="1" t="n">
        <v>45904.6575</v>
      </c>
      <c r="C100" s="1" t="n">
        <v>46105</v>
      </c>
      <c r="D100" t="inlineStr">
        <is>
          <t>STOCKHOLMS LÄN</t>
        </is>
      </c>
      <c r="E100" t="inlineStr">
        <is>
          <t>NORRTÄLJE</t>
        </is>
      </c>
      <c r="G100" t="n">
        <v>1.7</v>
      </c>
      <c r="H100" t="n">
        <v>1</v>
      </c>
      <c r="I100" t="n">
        <v>0</v>
      </c>
      <c r="J100" t="n">
        <v>0</v>
      </c>
      <c r="K100" t="n">
        <v>0</v>
      </c>
      <c r="L100" t="n">
        <v>0</v>
      </c>
      <c r="M100" t="n">
        <v>0</v>
      </c>
      <c r="N100" t="n">
        <v>0</v>
      </c>
      <c r="O100" t="n">
        <v>0</v>
      </c>
      <c r="P100" t="n">
        <v>0</v>
      </c>
      <c r="Q100" t="n">
        <v>1</v>
      </c>
      <c r="R100" s="2" t="inlineStr">
        <is>
          <t>Vanlig padda</t>
        </is>
      </c>
      <c r="S100">
        <f>HYPERLINK("https://klasma.github.io/Logging_0188/artfynd/A 42313-2025 artfynd.xlsx", "A 42313-2025")</f>
        <v/>
      </c>
      <c r="T100">
        <f>HYPERLINK("https://klasma.github.io/Logging_0188/kartor/A 42313-2025 karta.png", "A 42313-2025")</f>
        <v/>
      </c>
      <c r="V100">
        <f>HYPERLINK("https://klasma.github.io/Logging_0188/klagomål/A 42313-2025 FSC-klagomål.docx", "A 42313-2025")</f>
        <v/>
      </c>
      <c r="W100">
        <f>HYPERLINK("https://klasma.github.io/Logging_0188/klagomålsmail/A 42313-2025 FSC-klagomål mail.docx", "A 42313-2025")</f>
        <v/>
      </c>
      <c r="X100">
        <f>HYPERLINK("https://klasma.github.io/Logging_0188/tillsyn/A 42313-2025 tillsynsbegäran.docx", "A 42313-2025")</f>
        <v/>
      </c>
      <c r="Y100">
        <f>HYPERLINK("https://klasma.github.io/Logging_0188/tillsynsmail/A 42313-2025 tillsynsbegäran mail.docx", "A 42313-2025")</f>
        <v/>
      </c>
    </row>
    <row r="101" ht="15" customHeight="1">
      <c r="A101" t="inlineStr">
        <is>
          <t>A 33546-2025</t>
        </is>
      </c>
      <c r="B101" s="1" t="n">
        <v>45841.56996527778</v>
      </c>
      <c r="C101" s="1" t="n">
        <v>46105</v>
      </c>
      <c r="D101" t="inlineStr">
        <is>
          <t>STOCKHOLMS LÄN</t>
        </is>
      </c>
      <c r="E101" t="inlineStr">
        <is>
          <t>NORRTÄLJE</t>
        </is>
      </c>
      <c r="G101" t="n">
        <v>7.2</v>
      </c>
      <c r="H101" t="n">
        <v>1</v>
      </c>
      <c r="I101" t="n">
        <v>1</v>
      </c>
      <c r="J101" t="n">
        <v>0</v>
      </c>
      <c r="K101" t="n">
        <v>0</v>
      </c>
      <c r="L101" t="n">
        <v>0</v>
      </c>
      <c r="M101" t="n">
        <v>0</v>
      </c>
      <c r="N101" t="n">
        <v>0</v>
      </c>
      <c r="O101" t="n">
        <v>0</v>
      </c>
      <c r="P101" t="n">
        <v>0</v>
      </c>
      <c r="Q101" t="n">
        <v>1</v>
      </c>
      <c r="R101" s="2" t="inlineStr">
        <is>
          <t>Nästrot</t>
        </is>
      </c>
      <c r="S101">
        <f>HYPERLINK("https://klasma.github.io/Logging_0188/artfynd/A 33546-2025 artfynd.xlsx", "A 33546-2025")</f>
        <v/>
      </c>
      <c r="T101">
        <f>HYPERLINK("https://klasma.github.io/Logging_0188/kartor/A 33546-2025 karta.png", "A 33546-2025")</f>
        <v/>
      </c>
      <c r="V101">
        <f>HYPERLINK("https://klasma.github.io/Logging_0188/klagomål/A 33546-2025 FSC-klagomål.docx", "A 33546-2025")</f>
        <v/>
      </c>
      <c r="W101">
        <f>HYPERLINK("https://klasma.github.io/Logging_0188/klagomålsmail/A 33546-2025 FSC-klagomål mail.docx", "A 33546-2025")</f>
        <v/>
      </c>
      <c r="X101">
        <f>HYPERLINK("https://klasma.github.io/Logging_0188/tillsyn/A 33546-2025 tillsynsbegäran.docx", "A 33546-2025")</f>
        <v/>
      </c>
      <c r="Y101">
        <f>HYPERLINK("https://klasma.github.io/Logging_0188/tillsynsmail/A 33546-2025 tillsynsbegäran mail.docx", "A 33546-2025")</f>
        <v/>
      </c>
    </row>
    <row r="102" ht="15" customHeight="1">
      <c r="A102" t="inlineStr">
        <is>
          <t>A 13291-2025</t>
        </is>
      </c>
      <c r="B102" s="1" t="n">
        <v>45735</v>
      </c>
      <c r="C102" s="1" t="n">
        <v>46105</v>
      </c>
      <c r="D102" t="inlineStr">
        <is>
          <t>STOCKHOLMS LÄN</t>
        </is>
      </c>
      <c r="E102" t="inlineStr">
        <is>
          <t>NORRTÄLJE</t>
        </is>
      </c>
      <c r="G102" t="n">
        <v>3.8</v>
      </c>
      <c r="H102" t="n">
        <v>1</v>
      </c>
      <c r="I102" t="n">
        <v>0</v>
      </c>
      <c r="J102" t="n">
        <v>0</v>
      </c>
      <c r="K102" t="n">
        <v>0</v>
      </c>
      <c r="L102" t="n">
        <v>0</v>
      </c>
      <c r="M102" t="n">
        <v>0</v>
      </c>
      <c r="N102" t="n">
        <v>0</v>
      </c>
      <c r="O102" t="n">
        <v>0</v>
      </c>
      <c r="P102" t="n">
        <v>0</v>
      </c>
      <c r="Q102" t="n">
        <v>1</v>
      </c>
      <c r="R102" s="2" t="inlineStr">
        <is>
          <t>Blåsippa</t>
        </is>
      </c>
      <c r="S102">
        <f>HYPERLINK("https://klasma.github.io/Logging_0188/artfynd/A 13291-2025 artfynd.xlsx", "A 13291-2025")</f>
        <v/>
      </c>
      <c r="T102">
        <f>HYPERLINK("https://klasma.github.io/Logging_0188/kartor/A 13291-2025 karta.png", "A 13291-2025")</f>
        <v/>
      </c>
      <c r="V102">
        <f>HYPERLINK("https://klasma.github.io/Logging_0188/klagomål/A 13291-2025 FSC-klagomål.docx", "A 13291-2025")</f>
        <v/>
      </c>
      <c r="W102">
        <f>HYPERLINK("https://klasma.github.io/Logging_0188/klagomålsmail/A 13291-2025 FSC-klagomål mail.docx", "A 13291-2025")</f>
        <v/>
      </c>
      <c r="X102">
        <f>HYPERLINK("https://klasma.github.io/Logging_0188/tillsyn/A 13291-2025 tillsynsbegäran.docx", "A 13291-2025")</f>
        <v/>
      </c>
      <c r="Y102">
        <f>HYPERLINK("https://klasma.github.io/Logging_0188/tillsynsmail/A 13291-2025 tillsynsbegäran mail.docx", "A 13291-2025")</f>
        <v/>
      </c>
    </row>
    <row r="103" ht="15" customHeight="1">
      <c r="A103" t="inlineStr">
        <is>
          <t>A 7734-2026</t>
        </is>
      </c>
      <c r="B103" s="1" t="n">
        <v>46062.52902777777</v>
      </c>
      <c r="C103" s="1" t="n">
        <v>46105</v>
      </c>
      <c r="D103" t="inlineStr">
        <is>
          <t>STOCKHOLMS LÄN</t>
        </is>
      </c>
      <c r="E103" t="inlineStr">
        <is>
          <t>NORRTÄLJE</t>
        </is>
      </c>
      <c r="G103" t="n">
        <v>6.6</v>
      </c>
      <c r="H103" t="n">
        <v>0</v>
      </c>
      <c r="I103" t="n">
        <v>1</v>
      </c>
      <c r="J103" t="n">
        <v>0</v>
      </c>
      <c r="K103" t="n">
        <v>0</v>
      </c>
      <c r="L103" t="n">
        <v>0</v>
      </c>
      <c r="M103" t="n">
        <v>0</v>
      </c>
      <c r="N103" t="n">
        <v>0</v>
      </c>
      <c r="O103" t="n">
        <v>0</v>
      </c>
      <c r="P103" t="n">
        <v>0</v>
      </c>
      <c r="Q103" t="n">
        <v>1</v>
      </c>
      <c r="R103" s="2" t="inlineStr">
        <is>
          <t>Kastanjefjällskivling</t>
        </is>
      </c>
      <c r="S103">
        <f>HYPERLINK("https://klasma.github.io/Logging_0188/artfynd/A 7734-2026 artfynd.xlsx", "A 7734-2026")</f>
        <v/>
      </c>
      <c r="T103">
        <f>HYPERLINK("https://klasma.github.io/Logging_0188/kartor/A 7734-2026 karta.png", "A 7734-2026")</f>
        <v/>
      </c>
      <c r="V103">
        <f>HYPERLINK("https://klasma.github.io/Logging_0188/klagomål/A 7734-2026 FSC-klagomål.docx", "A 7734-2026")</f>
        <v/>
      </c>
      <c r="W103">
        <f>HYPERLINK("https://klasma.github.io/Logging_0188/klagomålsmail/A 7734-2026 FSC-klagomål mail.docx", "A 7734-2026")</f>
        <v/>
      </c>
      <c r="X103">
        <f>HYPERLINK("https://klasma.github.io/Logging_0188/tillsyn/A 7734-2026 tillsynsbegäran.docx", "A 7734-2026")</f>
        <v/>
      </c>
      <c r="Y103">
        <f>HYPERLINK("https://klasma.github.io/Logging_0188/tillsynsmail/A 7734-2026 tillsynsbegäran mail.docx", "A 7734-2026")</f>
        <v/>
      </c>
    </row>
    <row r="104" ht="15" customHeight="1">
      <c r="A104" t="inlineStr">
        <is>
          <t>A 39158-2025</t>
        </is>
      </c>
      <c r="B104" s="1" t="n">
        <v>45888</v>
      </c>
      <c r="C104" s="1" t="n">
        <v>46105</v>
      </c>
      <c r="D104" t="inlineStr">
        <is>
          <t>STOCKHOLMS LÄN</t>
        </is>
      </c>
      <c r="E104" t="inlineStr">
        <is>
          <t>NORRTÄLJE</t>
        </is>
      </c>
      <c r="G104" t="n">
        <v>1.5</v>
      </c>
      <c r="H104" t="n">
        <v>1</v>
      </c>
      <c r="I104" t="n">
        <v>0</v>
      </c>
      <c r="J104" t="n">
        <v>0</v>
      </c>
      <c r="K104" t="n">
        <v>0</v>
      </c>
      <c r="L104" t="n">
        <v>0</v>
      </c>
      <c r="M104" t="n">
        <v>0</v>
      </c>
      <c r="N104" t="n">
        <v>0</v>
      </c>
      <c r="O104" t="n">
        <v>0</v>
      </c>
      <c r="P104" t="n">
        <v>0</v>
      </c>
      <c r="Q104" t="n">
        <v>1</v>
      </c>
      <c r="R104" s="2" t="inlineStr">
        <is>
          <t>Blåsippa</t>
        </is>
      </c>
      <c r="S104">
        <f>HYPERLINK("https://klasma.github.io/Logging_0188/artfynd/A 39158-2025 artfynd.xlsx", "A 39158-2025")</f>
        <v/>
      </c>
      <c r="T104">
        <f>HYPERLINK("https://klasma.github.io/Logging_0188/kartor/A 39158-2025 karta.png", "A 39158-2025")</f>
        <v/>
      </c>
      <c r="V104">
        <f>HYPERLINK("https://klasma.github.io/Logging_0188/klagomål/A 39158-2025 FSC-klagomål.docx", "A 39158-2025")</f>
        <v/>
      </c>
      <c r="W104">
        <f>HYPERLINK("https://klasma.github.io/Logging_0188/klagomålsmail/A 39158-2025 FSC-klagomål mail.docx", "A 39158-2025")</f>
        <v/>
      </c>
      <c r="X104">
        <f>HYPERLINK("https://klasma.github.io/Logging_0188/tillsyn/A 39158-2025 tillsynsbegäran.docx", "A 39158-2025")</f>
        <v/>
      </c>
      <c r="Y104">
        <f>HYPERLINK("https://klasma.github.io/Logging_0188/tillsynsmail/A 39158-2025 tillsynsbegäran mail.docx", "A 39158-2025")</f>
        <v/>
      </c>
    </row>
    <row r="105" ht="15" customHeight="1">
      <c r="A105" t="inlineStr">
        <is>
          <t>A 8371-2025</t>
        </is>
      </c>
      <c r="B105" s="1" t="n">
        <v>45708</v>
      </c>
      <c r="C105" s="1" t="n">
        <v>46105</v>
      </c>
      <c r="D105" t="inlineStr">
        <is>
          <t>STOCKHOLMS LÄN</t>
        </is>
      </c>
      <c r="E105" t="inlineStr">
        <is>
          <t>NORRTÄLJE</t>
        </is>
      </c>
      <c r="F105" t="inlineStr">
        <is>
          <t>Övriga Aktiebolag</t>
        </is>
      </c>
      <c r="G105" t="n">
        <v>2.9</v>
      </c>
      <c r="H105" t="n">
        <v>1</v>
      </c>
      <c r="I105" t="n">
        <v>0</v>
      </c>
      <c r="J105" t="n">
        <v>1</v>
      </c>
      <c r="K105" t="n">
        <v>0</v>
      </c>
      <c r="L105" t="n">
        <v>0</v>
      </c>
      <c r="M105" t="n">
        <v>0</v>
      </c>
      <c r="N105" t="n">
        <v>0</v>
      </c>
      <c r="O105" t="n">
        <v>1</v>
      </c>
      <c r="P105" t="n">
        <v>0</v>
      </c>
      <c r="Q105" t="n">
        <v>1</v>
      </c>
      <c r="R105" s="2" t="inlineStr">
        <is>
          <t>Spillkråka</t>
        </is>
      </c>
      <c r="S105">
        <f>HYPERLINK("https://klasma.github.io/Logging_0188/artfynd/A 8371-2025 artfynd.xlsx", "A 8371-2025")</f>
        <v/>
      </c>
      <c r="T105">
        <f>HYPERLINK("https://klasma.github.io/Logging_0188/kartor/A 8371-2025 karta.png", "A 8371-2025")</f>
        <v/>
      </c>
      <c r="V105">
        <f>HYPERLINK("https://klasma.github.io/Logging_0188/klagomål/A 8371-2025 FSC-klagomål.docx", "A 8371-2025")</f>
        <v/>
      </c>
      <c r="W105">
        <f>HYPERLINK("https://klasma.github.io/Logging_0188/klagomålsmail/A 8371-2025 FSC-klagomål mail.docx", "A 8371-2025")</f>
        <v/>
      </c>
      <c r="X105">
        <f>HYPERLINK("https://klasma.github.io/Logging_0188/tillsyn/A 8371-2025 tillsynsbegäran.docx", "A 8371-2025")</f>
        <v/>
      </c>
      <c r="Y105">
        <f>HYPERLINK("https://klasma.github.io/Logging_0188/tillsynsmail/A 8371-2025 tillsynsbegäran mail.docx", "A 8371-2025")</f>
        <v/>
      </c>
      <c r="Z105">
        <f>HYPERLINK("https://klasma.github.io/Logging_0188/fåglar/A 8371-2025 prioriterade fågelarter.docx", "A 8371-2025")</f>
        <v/>
      </c>
    </row>
    <row r="106" ht="15" customHeight="1">
      <c r="A106" t="inlineStr">
        <is>
          <t>A 58888-2021</t>
        </is>
      </c>
      <c r="B106" s="1" t="n">
        <v>44489</v>
      </c>
      <c r="C106" s="1" t="n">
        <v>46105</v>
      </c>
      <c r="D106" t="inlineStr">
        <is>
          <t>STOCKHOLMS LÄN</t>
        </is>
      </c>
      <c r="E106" t="inlineStr">
        <is>
          <t>NORRTÄLJE</t>
        </is>
      </c>
      <c r="F106" t="inlineStr">
        <is>
          <t>Holmen skog AB</t>
        </is>
      </c>
      <c r="G106" t="n">
        <v>2.5</v>
      </c>
      <c r="H106" t="n">
        <v>1</v>
      </c>
      <c r="I106" t="n">
        <v>0</v>
      </c>
      <c r="J106" t="n">
        <v>0</v>
      </c>
      <c r="K106" t="n">
        <v>0</v>
      </c>
      <c r="L106" t="n">
        <v>1</v>
      </c>
      <c r="M106" t="n">
        <v>0</v>
      </c>
      <c r="N106" t="n">
        <v>0</v>
      </c>
      <c r="O106" t="n">
        <v>1</v>
      </c>
      <c r="P106" t="n">
        <v>1</v>
      </c>
      <c r="Q106" t="n">
        <v>1</v>
      </c>
      <c r="R106" s="2" t="inlineStr">
        <is>
          <t>Asknätfjäril</t>
        </is>
      </c>
      <c r="S106">
        <f>HYPERLINK("https://klasma.github.io/Logging_0188/artfynd/A 58888-2021 artfynd.xlsx", "A 58888-2021")</f>
        <v/>
      </c>
      <c r="T106">
        <f>HYPERLINK("https://klasma.github.io/Logging_0188/kartor/A 58888-2021 karta.png", "A 58888-2021")</f>
        <v/>
      </c>
      <c r="V106">
        <f>HYPERLINK("https://klasma.github.io/Logging_0188/klagomål/A 58888-2021 FSC-klagomål.docx", "A 58888-2021")</f>
        <v/>
      </c>
      <c r="W106">
        <f>HYPERLINK("https://klasma.github.io/Logging_0188/klagomålsmail/A 58888-2021 FSC-klagomål mail.docx", "A 58888-2021")</f>
        <v/>
      </c>
      <c r="X106">
        <f>HYPERLINK("https://klasma.github.io/Logging_0188/tillsyn/A 58888-2021 tillsynsbegäran.docx", "A 58888-2021")</f>
        <v/>
      </c>
      <c r="Y106">
        <f>HYPERLINK("https://klasma.github.io/Logging_0188/tillsynsmail/A 58888-2021 tillsynsbegäran mail.docx", "A 58888-2021")</f>
        <v/>
      </c>
    </row>
    <row r="107" ht="15" customHeight="1">
      <c r="A107" t="inlineStr">
        <is>
          <t>A 52775-2025</t>
        </is>
      </c>
      <c r="B107" s="1" t="n">
        <v>45957.41608796296</v>
      </c>
      <c r="C107" s="1" t="n">
        <v>46105</v>
      </c>
      <c r="D107" t="inlineStr">
        <is>
          <t>STOCKHOLMS LÄN</t>
        </is>
      </c>
      <c r="E107" t="inlineStr">
        <is>
          <t>NORRTÄLJE</t>
        </is>
      </c>
      <c r="F107" t="inlineStr">
        <is>
          <t>Sveaskog</t>
        </is>
      </c>
      <c r="G107" t="n">
        <v>5.6</v>
      </c>
      <c r="H107" t="n">
        <v>0</v>
      </c>
      <c r="I107" t="n">
        <v>0</v>
      </c>
      <c r="J107" t="n">
        <v>1</v>
      </c>
      <c r="K107" t="n">
        <v>0</v>
      </c>
      <c r="L107" t="n">
        <v>0</v>
      </c>
      <c r="M107" t="n">
        <v>0</v>
      </c>
      <c r="N107" t="n">
        <v>0</v>
      </c>
      <c r="O107" t="n">
        <v>1</v>
      </c>
      <c r="P107" t="n">
        <v>0</v>
      </c>
      <c r="Q107" t="n">
        <v>1</v>
      </c>
      <c r="R107" s="2" t="inlineStr">
        <is>
          <t>Vedtrappmossa</t>
        </is>
      </c>
      <c r="S107">
        <f>HYPERLINK("https://klasma.github.io/Logging_0188/artfynd/A 52775-2025 artfynd.xlsx", "A 52775-2025")</f>
        <v/>
      </c>
      <c r="T107">
        <f>HYPERLINK("https://klasma.github.io/Logging_0188/kartor/A 52775-2025 karta.png", "A 52775-2025")</f>
        <v/>
      </c>
      <c r="V107">
        <f>HYPERLINK("https://klasma.github.io/Logging_0188/klagomål/A 52775-2025 FSC-klagomål.docx", "A 52775-2025")</f>
        <v/>
      </c>
      <c r="W107">
        <f>HYPERLINK("https://klasma.github.io/Logging_0188/klagomålsmail/A 52775-2025 FSC-klagomål mail.docx", "A 52775-2025")</f>
        <v/>
      </c>
      <c r="X107">
        <f>HYPERLINK("https://klasma.github.io/Logging_0188/tillsyn/A 52775-2025 tillsynsbegäran.docx", "A 52775-2025")</f>
        <v/>
      </c>
      <c r="Y107">
        <f>HYPERLINK("https://klasma.github.io/Logging_0188/tillsynsmail/A 52775-2025 tillsynsbegäran mail.docx", "A 52775-2025")</f>
        <v/>
      </c>
    </row>
    <row r="108" ht="15" customHeight="1">
      <c r="A108" t="inlineStr">
        <is>
          <t>A 53716-2025</t>
        </is>
      </c>
      <c r="B108" s="1" t="n">
        <v>45960.61782407408</v>
      </c>
      <c r="C108" s="1" t="n">
        <v>46105</v>
      </c>
      <c r="D108" t="inlineStr">
        <is>
          <t>STOCKHOLMS LÄN</t>
        </is>
      </c>
      <c r="E108" t="inlineStr">
        <is>
          <t>NORRTÄLJE</t>
        </is>
      </c>
      <c r="G108" t="n">
        <v>3.4</v>
      </c>
      <c r="H108" t="n">
        <v>0</v>
      </c>
      <c r="I108" t="n">
        <v>0</v>
      </c>
      <c r="J108" t="n">
        <v>0</v>
      </c>
      <c r="K108" t="n">
        <v>0</v>
      </c>
      <c r="L108" t="n">
        <v>1</v>
      </c>
      <c r="M108" t="n">
        <v>0</v>
      </c>
      <c r="N108" t="n">
        <v>0</v>
      </c>
      <c r="O108" t="n">
        <v>1</v>
      </c>
      <c r="P108" t="n">
        <v>1</v>
      </c>
      <c r="Q108" t="n">
        <v>1</v>
      </c>
      <c r="R108" s="2" t="inlineStr">
        <is>
          <t>Fältgentiana</t>
        </is>
      </c>
      <c r="S108">
        <f>HYPERLINK("https://klasma.github.io/Logging_0188/artfynd/A 53716-2025 artfynd.xlsx", "A 53716-2025")</f>
        <v/>
      </c>
      <c r="T108">
        <f>HYPERLINK("https://klasma.github.io/Logging_0188/kartor/A 53716-2025 karta.png", "A 53716-2025")</f>
        <v/>
      </c>
      <c r="V108">
        <f>HYPERLINK("https://klasma.github.io/Logging_0188/klagomål/A 53716-2025 FSC-klagomål.docx", "A 53716-2025")</f>
        <v/>
      </c>
      <c r="W108">
        <f>HYPERLINK("https://klasma.github.io/Logging_0188/klagomålsmail/A 53716-2025 FSC-klagomål mail.docx", "A 53716-2025")</f>
        <v/>
      </c>
      <c r="X108">
        <f>HYPERLINK("https://klasma.github.io/Logging_0188/tillsyn/A 53716-2025 tillsynsbegäran.docx", "A 53716-2025")</f>
        <v/>
      </c>
      <c r="Y108">
        <f>HYPERLINK("https://klasma.github.io/Logging_0188/tillsynsmail/A 53716-2025 tillsynsbegäran mail.docx", "A 53716-2025")</f>
        <v/>
      </c>
    </row>
    <row r="109" ht="15" customHeight="1">
      <c r="A109" t="inlineStr">
        <is>
          <t>A 16870-2025</t>
        </is>
      </c>
      <c r="B109" s="1" t="n">
        <v>45754</v>
      </c>
      <c r="C109" s="1" t="n">
        <v>46105</v>
      </c>
      <c r="D109" t="inlineStr">
        <is>
          <t>STOCKHOLMS LÄN</t>
        </is>
      </c>
      <c r="E109" t="inlineStr">
        <is>
          <t>NORRTÄLJE</t>
        </is>
      </c>
      <c r="G109" t="n">
        <v>24.6</v>
      </c>
      <c r="H109" t="n">
        <v>1</v>
      </c>
      <c r="I109" t="n">
        <v>0</v>
      </c>
      <c r="J109" t="n">
        <v>0</v>
      </c>
      <c r="K109" t="n">
        <v>0</v>
      </c>
      <c r="L109" t="n">
        <v>0</v>
      </c>
      <c r="M109" t="n">
        <v>0</v>
      </c>
      <c r="N109" t="n">
        <v>0</v>
      </c>
      <c r="O109" t="n">
        <v>0</v>
      </c>
      <c r="P109" t="n">
        <v>0</v>
      </c>
      <c r="Q109" t="n">
        <v>1</v>
      </c>
      <c r="R109" s="2" t="inlineStr">
        <is>
          <t>Vanlig groda</t>
        </is>
      </c>
      <c r="S109">
        <f>HYPERLINK("https://klasma.github.io/Logging_0188/artfynd/A 16870-2025 artfynd.xlsx", "A 16870-2025")</f>
        <v/>
      </c>
      <c r="T109">
        <f>HYPERLINK("https://klasma.github.io/Logging_0188/kartor/A 16870-2025 karta.png", "A 16870-2025")</f>
        <v/>
      </c>
      <c r="V109">
        <f>HYPERLINK("https://klasma.github.io/Logging_0188/klagomål/A 16870-2025 FSC-klagomål.docx", "A 16870-2025")</f>
        <v/>
      </c>
      <c r="W109">
        <f>HYPERLINK("https://klasma.github.io/Logging_0188/klagomålsmail/A 16870-2025 FSC-klagomål mail.docx", "A 16870-2025")</f>
        <v/>
      </c>
      <c r="X109">
        <f>HYPERLINK("https://klasma.github.io/Logging_0188/tillsyn/A 16870-2025 tillsynsbegäran.docx", "A 16870-2025")</f>
        <v/>
      </c>
      <c r="Y109">
        <f>HYPERLINK("https://klasma.github.io/Logging_0188/tillsynsmail/A 16870-2025 tillsynsbegäran mail.docx", "A 16870-2025")</f>
        <v/>
      </c>
    </row>
    <row r="110" ht="15" customHeight="1">
      <c r="A110" t="inlineStr">
        <is>
          <t>A 21744-2023</t>
        </is>
      </c>
      <c r="B110" s="1" t="n">
        <v>45065</v>
      </c>
      <c r="C110" s="1" t="n">
        <v>46105</v>
      </c>
      <c r="D110" t="inlineStr">
        <is>
          <t>STOCKHOLMS LÄN</t>
        </is>
      </c>
      <c r="E110" t="inlineStr">
        <is>
          <t>NORRTÄLJE</t>
        </is>
      </c>
      <c r="F110" t="inlineStr">
        <is>
          <t>Holmen skog AB</t>
        </is>
      </c>
      <c r="G110" t="n">
        <v>4.2</v>
      </c>
      <c r="H110" t="n">
        <v>0</v>
      </c>
      <c r="I110" t="n">
        <v>1</v>
      </c>
      <c r="J110" t="n">
        <v>0</v>
      </c>
      <c r="K110" t="n">
        <v>0</v>
      </c>
      <c r="L110" t="n">
        <v>0</v>
      </c>
      <c r="M110" t="n">
        <v>0</v>
      </c>
      <c r="N110" t="n">
        <v>0</v>
      </c>
      <c r="O110" t="n">
        <v>0</v>
      </c>
      <c r="P110" t="n">
        <v>0</v>
      </c>
      <c r="Q110" t="n">
        <v>1</v>
      </c>
      <c r="R110" s="2" t="inlineStr">
        <is>
          <t>Korallblylav</t>
        </is>
      </c>
      <c r="S110">
        <f>HYPERLINK("https://klasma.github.io/Logging_0188/artfynd/A 21744-2023 artfynd.xlsx", "A 21744-2023")</f>
        <v/>
      </c>
      <c r="T110">
        <f>HYPERLINK("https://klasma.github.io/Logging_0188/kartor/A 21744-2023 karta.png", "A 21744-2023")</f>
        <v/>
      </c>
      <c r="V110">
        <f>HYPERLINK("https://klasma.github.io/Logging_0188/klagomål/A 21744-2023 FSC-klagomål.docx", "A 21744-2023")</f>
        <v/>
      </c>
      <c r="W110">
        <f>HYPERLINK("https://klasma.github.io/Logging_0188/klagomålsmail/A 21744-2023 FSC-klagomål mail.docx", "A 21744-2023")</f>
        <v/>
      </c>
      <c r="X110">
        <f>HYPERLINK("https://klasma.github.io/Logging_0188/tillsyn/A 21744-2023 tillsynsbegäran.docx", "A 21744-2023")</f>
        <v/>
      </c>
      <c r="Y110">
        <f>HYPERLINK("https://klasma.github.io/Logging_0188/tillsynsmail/A 21744-2023 tillsynsbegäran mail.docx", "A 21744-2023")</f>
        <v/>
      </c>
    </row>
    <row r="111" ht="15" customHeight="1">
      <c r="A111" t="inlineStr">
        <is>
          <t>A 23146-2024</t>
        </is>
      </c>
      <c r="B111" s="1" t="n">
        <v>45450.63958333333</v>
      </c>
      <c r="C111" s="1" t="n">
        <v>46105</v>
      </c>
      <c r="D111" t="inlineStr">
        <is>
          <t>STOCKHOLMS LÄN</t>
        </is>
      </c>
      <c r="E111" t="inlineStr">
        <is>
          <t>NORRTÄLJE</t>
        </is>
      </c>
      <c r="F111" t="inlineStr">
        <is>
          <t>Kommuner</t>
        </is>
      </c>
      <c r="G111" t="n">
        <v>6</v>
      </c>
      <c r="H111" t="n">
        <v>0</v>
      </c>
      <c r="I111" t="n">
        <v>0</v>
      </c>
      <c r="J111" t="n">
        <v>1</v>
      </c>
      <c r="K111" t="n">
        <v>0</v>
      </c>
      <c r="L111" t="n">
        <v>0</v>
      </c>
      <c r="M111" t="n">
        <v>0</v>
      </c>
      <c r="N111" t="n">
        <v>0</v>
      </c>
      <c r="O111" t="n">
        <v>1</v>
      </c>
      <c r="P111" t="n">
        <v>0</v>
      </c>
      <c r="Q111" t="n">
        <v>1</v>
      </c>
      <c r="R111" s="2" t="inlineStr">
        <is>
          <t>Motaggsvamp</t>
        </is>
      </c>
      <c r="S111">
        <f>HYPERLINK("https://klasma.github.io/Logging_0188/artfynd/A 23146-2024 artfynd.xlsx", "A 23146-2024")</f>
        <v/>
      </c>
      <c r="T111">
        <f>HYPERLINK("https://klasma.github.io/Logging_0188/kartor/A 23146-2024 karta.png", "A 23146-2024")</f>
        <v/>
      </c>
      <c r="V111">
        <f>HYPERLINK("https://klasma.github.io/Logging_0188/klagomål/A 23146-2024 FSC-klagomål.docx", "A 23146-2024")</f>
        <v/>
      </c>
      <c r="W111">
        <f>HYPERLINK("https://klasma.github.io/Logging_0188/klagomålsmail/A 23146-2024 FSC-klagomål mail.docx", "A 23146-2024")</f>
        <v/>
      </c>
      <c r="X111">
        <f>HYPERLINK("https://klasma.github.io/Logging_0188/tillsyn/A 23146-2024 tillsynsbegäran.docx", "A 23146-2024")</f>
        <v/>
      </c>
      <c r="Y111">
        <f>HYPERLINK("https://klasma.github.io/Logging_0188/tillsynsmail/A 23146-2024 tillsynsbegäran mail.docx", "A 23146-2024")</f>
        <v/>
      </c>
    </row>
    <row r="112" ht="15" customHeight="1">
      <c r="A112" t="inlineStr">
        <is>
          <t>A 59682-2025</t>
        </is>
      </c>
      <c r="B112" s="1" t="n">
        <v>45992.47116898148</v>
      </c>
      <c r="C112" s="1" t="n">
        <v>46105</v>
      </c>
      <c r="D112" t="inlineStr">
        <is>
          <t>STOCKHOLMS LÄN</t>
        </is>
      </c>
      <c r="E112" t="inlineStr">
        <is>
          <t>NORRTÄLJE</t>
        </is>
      </c>
      <c r="G112" t="n">
        <v>1.6</v>
      </c>
      <c r="H112" t="n">
        <v>0</v>
      </c>
      <c r="I112" t="n">
        <v>1</v>
      </c>
      <c r="J112" t="n">
        <v>0</v>
      </c>
      <c r="K112" t="n">
        <v>0</v>
      </c>
      <c r="L112" t="n">
        <v>0</v>
      </c>
      <c r="M112" t="n">
        <v>0</v>
      </c>
      <c r="N112" t="n">
        <v>0</v>
      </c>
      <c r="O112" t="n">
        <v>0</v>
      </c>
      <c r="P112" t="n">
        <v>0</v>
      </c>
      <c r="Q112" t="n">
        <v>1</v>
      </c>
      <c r="R112" s="2" t="inlineStr">
        <is>
          <t>Grönpyrola</t>
        </is>
      </c>
      <c r="S112">
        <f>HYPERLINK("https://klasma.github.io/Logging_0188/artfynd/A 59682-2025 artfynd.xlsx", "A 59682-2025")</f>
        <v/>
      </c>
      <c r="T112">
        <f>HYPERLINK("https://klasma.github.io/Logging_0188/kartor/A 59682-2025 karta.png", "A 59682-2025")</f>
        <v/>
      </c>
      <c r="V112">
        <f>HYPERLINK("https://klasma.github.io/Logging_0188/klagomål/A 59682-2025 FSC-klagomål.docx", "A 59682-2025")</f>
        <v/>
      </c>
      <c r="W112">
        <f>HYPERLINK("https://klasma.github.io/Logging_0188/klagomålsmail/A 59682-2025 FSC-klagomål mail.docx", "A 59682-2025")</f>
        <v/>
      </c>
      <c r="X112">
        <f>HYPERLINK("https://klasma.github.io/Logging_0188/tillsyn/A 59682-2025 tillsynsbegäran.docx", "A 59682-2025")</f>
        <v/>
      </c>
      <c r="Y112">
        <f>HYPERLINK("https://klasma.github.io/Logging_0188/tillsynsmail/A 59682-2025 tillsynsbegäran mail.docx", "A 59682-2025")</f>
        <v/>
      </c>
    </row>
    <row r="113" ht="15" customHeight="1">
      <c r="A113" t="inlineStr">
        <is>
          <t>A 27538-2024</t>
        </is>
      </c>
      <c r="B113" s="1" t="n">
        <v>45474</v>
      </c>
      <c r="C113" s="1" t="n">
        <v>46105</v>
      </c>
      <c r="D113" t="inlineStr">
        <is>
          <t>STOCKHOLMS LÄN</t>
        </is>
      </c>
      <c r="E113" t="inlineStr">
        <is>
          <t>NORRTÄLJE</t>
        </is>
      </c>
      <c r="G113" t="n">
        <v>1.5</v>
      </c>
      <c r="H113" t="n">
        <v>1</v>
      </c>
      <c r="I113" t="n">
        <v>1</v>
      </c>
      <c r="J113" t="n">
        <v>0</v>
      </c>
      <c r="K113" t="n">
        <v>0</v>
      </c>
      <c r="L113" t="n">
        <v>0</v>
      </c>
      <c r="M113" t="n">
        <v>0</v>
      </c>
      <c r="N113" t="n">
        <v>0</v>
      </c>
      <c r="O113" t="n">
        <v>0</v>
      </c>
      <c r="P113" t="n">
        <v>0</v>
      </c>
      <c r="Q113" t="n">
        <v>1</v>
      </c>
      <c r="R113" s="2" t="inlineStr">
        <is>
          <t>Skogsknipprot</t>
        </is>
      </c>
      <c r="S113">
        <f>HYPERLINK("https://klasma.github.io/Logging_0188/artfynd/A 27538-2024 artfynd.xlsx", "A 27538-2024")</f>
        <v/>
      </c>
      <c r="T113">
        <f>HYPERLINK("https://klasma.github.io/Logging_0188/kartor/A 27538-2024 karta.png", "A 27538-2024")</f>
        <v/>
      </c>
      <c r="V113">
        <f>HYPERLINK("https://klasma.github.io/Logging_0188/klagomål/A 27538-2024 FSC-klagomål.docx", "A 27538-2024")</f>
        <v/>
      </c>
      <c r="W113">
        <f>HYPERLINK("https://klasma.github.io/Logging_0188/klagomålsmail/A 27538-2024 FSC-klagomål mail.docx", "A 27538-2024")</f>
        <v/>
      </c>
      <c r="X113">
        <f>HYPERLINK("https://klasma.github.io/Logging_0188/tillsyn/A 27538-2024 tillsynsbegäran.docx", "A 27538-2024")</f>
        <v/>
      </c>
      <c r="Y113">
        <f>HYPERLINK("https://klasma.github.io/Logging_0188/tillsynsmail/A 27538-2024 tillsynsbegäran mail.docx", "A 27538-2024")</f>
        <v/>
      </c>
    </row>
    <row r="114" ht="15" customHeight="1">
      <c r="A114" t="inlineStr">
        <is>
          <t>A 4385-2023</t>
        </is>
      </c>
      <c r="B114" s="1" t="n">
        <v>44955.71322916666</v>
      </c>
      <c r="C114" s="1" t="n">
        <v>46105</v>
      </c>
      <c r="D114" t="inlineStr">
        <is>
          <t>STOCKHOLMS LÄN</t>
        </is>
      </c>
      <c r="E114" t="inlineStr">
        <is>
          <t>NORRTÄLJE</t>
        </is>
      </c>
      <c r="G114" t="n">
        <v>7.8</v>
      </c>
      <c r="H114" t="n">
        <v>1</v>
      </c>
      <c r="I114" t="n">
        <v>1</v>
      </c>
      <c r="J114" t="n">
        <v>0</v>
      </c>
      <c r="K114" t="n">
        <v>0</v>
      </c>
      <c r="L114" t="n">
        <v>0</v>
      </c>
      <c r="M114" t="n">
        <v>0</v>
      </c>
      <c r="N114" t="n">
        <v>0</v>
      </c>
      <c r="O114" t="n">
        <v>0</v>
      </c>
      <c r="P114" t="n">
        <v>0</v>
      </c>
      <c r="Q114" t="n">
        <v>1</v>
      </c>
      <c r="R114" s="2" t="inlineStr">
        <is>
          <t>Skogsknipprot</t>
        </is>
      </c>
      <c r="S114">
        <f>HYPERLINK("https://klasma.github.io/Logging_0188/artfynd/A 4385-2023 artfynd.xlsx", "A 4385-2023")</f>
        <v/>
      </c>
      <c r="T114">
        <f>HYPERLINK("https://klasma.github.io/Logging_0188/kartor/A 4385-2023 karta.png", "A 4385-2023")</f>
        <v/>
      </c>
      <c r="V114">
        <f>HYPERLINK("https://klasma.github.io/Logging_0188/klagomål/A 4385-2023 FSC-klagomål.docx", "A 4385-2023")</f>
        <v/>
      </c>
      <c r="W114">
        <f>HYPERLINK("https://klasma.github.io/Logging_0188/klagomålsmail/A 4385-2023 FSC-klagomål mail.docx", "A 4385-2023")</f>
        <v/>
      </c>
      <c r="X114">
        <f>HYPERLINK("https://klasma.github.io/Logging_0188/tillsyn/A 4385-2023 tillsynsbegäran.docx", "A 4385-2023")</f>
        <v/>
      </c>
      <c r="Y114">
        <f>HYPERLINK("https://klasma.github.io/Logging_0188/tillsynsmail/A 4385-2023 tillsynsbegäran mail.docx", "A 4385-2023")</f>
        <v/>
      </c>
    </row>
    <row r="115" ht="15" customHeight="1">
      <c r="A115" t="inlineStr">
        <is>
          <t>A 62715-2025</t>
        </is>
      </c>
      <c r="B115" s="1" t="n">
        <v>46008.52034722222</v>
      </c>
      <c r="C115" s="1" t="n">
        <v>46105</v>
      </c>
      <c r="D115" t="inlineStr">
        <is>
          <t>STOCKHOLMS LÄN</t>
        </is>
      </c>
      <c r="E115" t="inlineStr">
        <is>
          <t>NORRTÄLJE</t>
        </is>
      </c>
      <c r="G115" t="n">
        <v>0.8</v>
      </c>
      <c r="H115" t="n">
        <v>0</v>
      </c>
      <c r="I115" t="n">
        <v>1</v>
      </c>
      <c r="J115" t="n">
        <v>0</v>
      </c>
      <c r="K115" t="n">
        <v>0</v>
      </c>
      <c r="L115" t="n">
        <v>0</v>
      </c>
      <c r="M115" t="n">
        <v>0</v>
      </c>
      <c r="N115" t="n">
        <v>0</v>
      </c>
      <c r="O115" t="n">
        <v>0</v>
      </c>
      <c r="P115" t="n">
        <v>0</v>
      </c>
      <c r="Q115" t="n">
        <v>1</v>
      </c>
      <c r="R115" s="2" t="inlineStr">
        <is>
          <t>Granbarkgnagare</t>
        </is>
      </c>
      <c r="S115">
        <f>HYPERLINK("https://klasma.github.io/Logging_0188/artfynd/A 62715-2025 artfynd.xlsx", "A 62715-2025")</f>
        <v/>
      </c>
      <c r="T115">
        <f>HYPERLINK("https://klasma.github.io/Logging_0188/kartor/A 62715-2025 karta.png", "A 62715-2025")</f>
        <v/>
      </c>
      <c r="V115">
        <f>HYPERLINK("https://klasma.github.io/Logging_0188/klagomål/A 62715-2025 FSC-klagomål.docx", "A 62715-2025")</f>
        <v/>
      </c>
      <c r="W115">
        <f>HYPERLINK("https://klasma.github.io/Logging_0188/klagomålsmail/A 62715-2025 FSC-klagomål mail.docx", "A 62715-2025")</f>
        <v/>
      </c>
      <c r="X115">
        <f>HYPERLINK("https://klasma.github.io/Logging_0188/tillsyn/A 62715-2025 tillsynsbegäran.docx", "A 62715-2025")</f>
        <v/>
      </c>
      <c r="Y115">
        <f>HYPERLINK("https://klasma.github.io/Logging_0188/tillsynsmail/A 62715-2025 tillsynsbegäran mail.docx", "A 62715-2025")</f>
        <v/>
      </c>
    </row>
    <row r="116" ht="15" customHeight="1">
      <c r="A116" t="inlineStr">
        <is>
          <t>A 63292-2025</t>
        </is>
      </c>
      <c r="B116" s="1" t="n">
        <v>46010.59232638889</v>
      </c>
      <c r="C116" s="1" t="n">
        <v>46105</v>
      </c>
      <c r="D116" t="inlineStr">
        <is>
          <t>STOCKHOLMS LÄN</t>
        </is>
      </c>
      <c r="E116" t="inlineStr">
        <is>
          <t>NORRTÄLJE</t>
        </is>
      </c>
      <c r="G116" t="n">
        <v>11.1</v>
      </c>
      <c r="H116" t="n">
        <v>1</v>
      </c>
      <c r="I116" t="n">
        <v>1</v>
      </c>
      <c r="J116" t="n">
        <v>0</v>
      </c>
      <c r="K116" t="n">
        <v>0</v>
      </c>
      <c r="L116" t="n">
        <v>0</v>
      </c>
      <c r="M116" t="n">
        <v>0</v>
      </c>
      <c r="N116" t="n">
        <v>0</v>
      </c>
      <c r="O116" t="n">
        <v>0</v>
      </c>
      <c r="P116" t="n">
        <v>0</v>
      </c>
      <c r="Q116" t="n">
        <v>1</v>
      </c>
      <c r="R116" s="2" t="inlineStr">
        <is>
          <t>Nästrot</t>
        </is>
      </c>
      <c r="S116">
        <f>HYPERLINK("https://klasma.github.io/Logging_0188/artfynd/A 63292-2025 artfynd.xlsx", "A 63292-2025")</f>
        <v/>
      </c>
      <c r="T116">
        <f>HYPERLINK("https://klasma.github.io/Logging_0188/kartor/A 63292-2025 karta.png", "A 63292-2025")</f>
        <v/>
      </c>
      <c r="V116">
        <f>HYPERLINK("https://klasma.github.io/Logging_0188/klagomål/A 63292-2025 FSC-klagomål.docx", "A 63292-2025")</f>
        <v/>
      </c>
      <c r="W116">
        <f>HYPERLINK("https://klasma.github.io/Logging_0188/klagomålsmail/A 63292-2025 FSC-klagomål mail.docx", "A 63292-2025")</f>
        <v/>
      </c>
      <c r="X116">
        <f>HYPERLINK("https://klasma.github.io/Logging_0188/tillsyn/A 63292-2025 tillsynsbegäran.docx", "A 63292-2025")</f>
        <v/>
      </c>
      <c r="Y116">
        <f>HYPERLINK("https://klasma.github.io/Logging_0188/tillsynsmail/A 63292-2025 tillsynsbegäran mail.docx", "A 63292-2025")</f>
        <v/>
      </c>
    </row>
    <row r="117" ht="15" customHeight="1">
      <c r="A117" t="inlineStr">
        <is>
          <t>A 24330-2023</t>
        </is>
      </c>
      <c r="B117" s="1" t="n">
        <v>45081</v>
      </c>
      <c r="C117" s="1" t="n">
        <v>46105</v>
      </c>
      <c r="D117" t="inlineStr">
        <is>
          <t>STOCKHOLMS LÄN</t>
        </is>
      </c>
      <c r="E117" t="inlineStr">
        <is>
          <t>NORRTÄLJE</t>
        </is>
      </c>
      <c r="G117" t="n">
        <v>5</v>
      </c>
      <c r="H117" t="n">
        <v>1</v>
      </c>
      <c r="I117" t="n">
        <v>0</v>
      </c>
      <c r="J117" t="n">
        <v>1</v>
      </c>
      <c r="K117" t="n">
        <v>0</v>
      </c>
      <c r="L117" t="n">
        <v>0</v>
      </c>
      <c r="M117" t="n">
        <v>0</v>
      </c>
      <c r="N117" t="n">
        <v>0</v>
      </c>
      <c r="O117" t="n">
        <v>1</v>
      </c>
      <c r="P117" t="n">
        <v>0</v>
      </c>
      <c r="Q117" t="n">
        <v>1</v>
      </c>
      <c r="R117" s="2" t="inlineStr">
        <is>
          <t>Mindre hackspett</t>
        </is>
      </c>
      <c r="S117">
        <f>HYPERLINK("https://klasma.github.io/Logging_0188/artfynd/A 24330-2023 artfynd.xlsx", "A 24330-2023")</f>
        <v/>
      </c>
      <c r="T117">
        <f>HYPERLINK("https://klasma.github.io/Logging_0188/kartor/A 24330-2023 karta.png", "A 24330-2023")</f>
        <v/>
      </c>
      <c r="V117">
        <f>HYPERLINK("https://klasma.github.io/Logging_0188/klagomål/A 24330-2023 FSC-klagomål.docx", "A 24330-2023")</f>
        <v/>
      </c>
      <c r="W117">
        <f>HYPERLINK("https://klasma.github.io/Logging_0188/klagomålsmail/A 24330-2023 FSC-klagomål mail.docx", "A 24330-2023")</f>
        <v/>
      </c>
      <c r="X117">
        <f>HYPERLINK("https://klasma.github.io/Logging_0188/tillsyn/A 24330-2023 tillsynsbegäran.docx", "A 24330-2023")</f>
        <v/>
      </c>
      <c r="Y117">
        <f>HYPERLINK("https://klasma.github.io/Logging_0188/tillsynsmail/A 24330-2023 tillsynsbegäran mail.docx", "A 24330-2023")</f>
        <v/>
      </c>
      <c r="Z117">
        <f>HYPERLINK("https://klasma.github.io/Logging_0188/fåglar/A 24330-2023 prioriterade fågelarter.docx", "A 24330-2023")</f>
        <v/>
      </c>
    </row>
    <row r="118" ht="15" customHeight="1">
      <c r="A118" t="inlineStr">
        <is>
          <t>A 24535-2023</t>
        </is>
      </c>
      <c r="B118" s="1" t="n">
        <v>45082</v>
      </c>
      <c r="C118" s="1" t="n">
        <v>46105</v>
      </c>
      <c r="D118" t="inlineStr">
        <is>
          <t>STOCKHOLMS LÄN</t>
        </is>
      </c>
      <c r="E118" t="inlineStr">
        <is>
          <t>NORRTÄLJE</t>
        </is>
      </c>
      <c r="F118" t="inlineStr">
        <is>
          <t>Kommuner</t>
        </is>
      </c>
      <c r="G118" t="n">
        <v>2</v>
      </c>
      <c r="H118" t="n">
        <v>1</v>
      </c>
      <c r="I118" t="n">
        <v>0</v>
      </c>
      <c r="J118" t="n">
        <v>0</v>
      </c>
      <c r="K118" t="n">
        <v>0</v>
      </c>
      <c r="L118" t="n">
        <v>0</v>
      </c>
      <c r="M118" t="n">
        <v>0</v>
      </c>
      <c r="N118" t="n">
        <v>0</v>
      </c>
      <c r="O118" t="n">
        <v>0</v>
      </c>
      <c r="P118" t="n">
        <v>0</v>
      </c>
      <c r="Q118" t="n">
        <v>1</v>
      </c>
      <c r="R118" s="2" t="inlineStr">
        <is>
          <t>Blåsippa</t>
        </is>
      </c>
      <c r="S118">
        <f>HYPERLINK("https://klasma.github.io/Logging_0188/artfynd/A 24535-2023 artfynd.xlsx", "A 24535-2023")</f>
        <v/>
      </c>
      <c r="T118">
        <f>HYPERLINK("https://klasma.github.io/Logging_0188/kartor/A 24535-2023 karta.png", "A 24535-2023")</f>
        <v/>
      </c>
      <c r="V118">
        <f>HYPERLINK("https://klasma.github.io/Logging_0188/klagomål/A 24535-2023 FSC-klagomål.docx", "A 24535-2023")</f>
        <v/>
      </c>
      <c r="W118">
        <f>HYPERLINK("https://klasma.github.io/Logging_0188/klagomålsmail/A 24535-2023 FSC-klagomål mail.docx", "A 24535-2023")</f>
        <v/>
      </c>
      <c r="X118">
        <f>HYPERLINK("https://klasma.github.io/Logging_0188/tillsyn/A 24535-2023 tillsynsbegäran.docx", "A 24535-2023")</f>
        <v/>
      </c>
      <c r="Y118">
        <f>HYPERLINK("https://klasma.github.io/Logging_0188/tillsynsmail/A 24535-2023 tillsynsbegäran mail.docx", "A 24535-2023")</f>
        <v/>
      </c>
    </row>
    <row r="119" ht="15" customHeight="1">
      <c r="A119" t="inlineStr">
        <is>
          <t>A 364-2026</t>
        </is>
      </c>
      <c r="B119" s="1" t="n">
        <v>46027.67134259259</v>
      </c>
      <c r="C119" s="1" t="n">
        <v>46105</v>
      </c>
      <c r="D119" t="inlineStr">
        <is>
          <t>STOCKHOLMS LÄN</t>
        </is>
      </c>
      <c r="E119" t="inlineStr">
        <is>
          <t>NORRTÄLJE</t>
        </is>
      </c>
      <c r="F119" t="inlineStr">
        <is>
          <t>Holmen skog AB</t>
        </is>
      </c>
      <c r="G119" t="n">
        <v>4.3</v>
      </c>
      <c r="H119" t="n">
        <v>1</v>
      </c>
      <c r="I119" t="n">
        <v>0</v>
      </c>
      <c r="J119" t="n">
        <v>0</v>
      </c>
      <c r="K119" t="n">
        <v>0</v>
      </c>
      <c r="L119" t="n">
        <v>1</v>
      </c>
      <c r="M119" t="n">
        <v>0</v>
      </c>
      <c r="N119" t="n">
        <v>0</v>
      </c>
      <c r="O119" t="n">
        <v>1</v>
      </c>
      <c r="P119" t="n">
        <v>1</v>
      </c>
      <c r="Q119" t="n">
        <v>1</v>
      </c>
      <c r="R119" s="2" t="inlineStr">
        <is>
          <t>Asknätfjäril</t>
        </is>
      </c>
      <c r="S119">
        <f>HYPERLINK("https://klasma.github.io/Logging_0188/artfynd/A 364-2026 artfynd.xlsx", "A 364-2026")</f>
        <v/>
      </c>
      <c r="T119">
        <f>HYPERLINK("https://klasma.github.io/Logging_0188/kartor/A 364-2026 karta.png", "A 364-2026")</f>
        <v/>
      </c>
      <c r="V119">
        <f>HYPERLINK("https://klasma.github.io/Logging_0188/klagomål/A 364-2026 FSC-klagomål.docx", "A 364-2026")</f>
        <v/>
      </c>
      <c r="W119">
        <f>HYPERLINK("https://klasma.github.io/Logging_0188/klagomålsmail/A 364-2026 FSC-klagomål mail.docx", "A 364-2026")</f>
        <v/>
      </c>
      <c r="X119">
        <f>HYPERLINK("https://klasma.github.io/Logging_0188/tillsyn/A 364-2026 tillsynsbegäran.docx", "A 364-2026")</f>
        <v/>
      </c>
      <c r="Y119">
        <f>HYPERLINK("https://klasma.github.io/Logging_0188/tillsynsmail/A 364-2026 tillsynsbegäran mail.docx", "A 364-2026")</f>
        <v/>
      </c>
    </row>
    <row r="120" ht="15" customHeight="1">
      <c r="A120" t="inlineStr">
        <is>
          <t>A 26635-2023</t>
        </is>
      </c>
      <c r="B120" s="1" t="n">
        <v>45092</v>
      </c>
      <c r="C120" s="1" t="n">
        <v>46105</v>
      </c>
      <c r="D120" t="inlineStr">
        <is>
          <t>STOCKHOLMS LÄN</t>
        </is>
      </c>
      <c r="E120" t="inlineStr">
        <is>
          <t>NORRTÄLJE</t>
        </is>
      </c>
      <c r="G120" t="n">
        <v>3.1</v>
      </c>
      <c r="H120" t="n">
        <v>1</v>
      </c>
      <c r="I120" t="n">
        <v>0</v>
      </c>
      <c r="J120" t="n">
        <v>0</v>
      </c>
      <c r="K120" t="n">
        <v>0</v>
      </c>
      <c r="L120" t="n">
        <v>0</v>
      </c>
      <c r="M120" t="n">
        <v>0</v>
      </c>
      <c r="N120" t="n">
        <v>0</v>
      </c>
      <c r="O120" t="n">
        <v>0</v>
      </c>
      <c r="P120" t="n">
        <v>0</v>
      </c>
      <c r="Q120" t="n">
        <v>1</v>
      </c>
      <c r="R120" s="2" t="inlineStr">
        <is>
          <t>Fläcknycklar</t>
        </is>
      </c>
      <c r="S120">
        <f>HYPERLINK("https://klasma.github.io/Logging_0188/artfynd/A 26635-2023 artfynd.xlsx", "A 26635-2023")</f>
        <v/>
      </c>
      <c r="T120">
        <f>HYPERLINK("https://klasma.github.io/Logging_0188/kartor/A 26635-2023 karta.png", "A 26635-2023")</f>
        <v/>
      </c>
      <c r="V120">
        <f>HYPERLINK("https://klasma.github.io/Logging_0188/klagomål/A 26635-2023 FSC-klagomål.docx", "A 26635-2023")</f>
        <v/>
      </c>
      <c r="W120">
        <f>HYPERLINK("https://klasma.github.io/Logging_0188/klagomålsmail/A 26635-2023 FSC-klagomål mail.docx", "A 26635-2023")</f>
        <v/>
      </c>
      <c r="X120">
        <f>HYPERLINK("https://klasma.github.io/Logging_0188/tillsyn/A 26635-2023 tillsynsbegäran.docx", "A 26635-2023")</f>
        <v/>
      </c>
      <c r="Y120">
        <f>HYPERLINK("https://klasma.github.io/Logging_0188/tillsynsmail/A 26635-2023 tillsynsbegäran mail.docx", "A 26635-2023")</f>
        <v/>
      </c>
    </row>
    <row r="121" ht="15" customHeight="1">
      <c r="A121" t="inlineStr">
        <is>
          <t>A 28816-2023</t>
        </is>
      </c>
      <c r="B121" s="1" t="n">
        <v>45104</v>
      </c>
      <c r="C121" s="1" t="n">
        <v>46105</v>
      </c>
      <c r="D121" t="inlineStr">
        <is>
          <t>STOCKHOLMS LÄN</t>
        </is>
      </c>
      <c r="E121" t="inlineStr">
        <is>
          <t>NORRTÄLJE</t>
        </is>
      </c>
      <c r="F121" t="inlineStr">
        <is>
          <t>Kommuner</t>
        </is>
      </c>
      <c r="G121" t="n">
        <v>0.5</v>
      </c>
      <c r="H121" t="n">
        <v>1</v>
      </c>
      <c r="I121" t="n">
        <v>0</v>
      </c>
      <c r="J121" t="n">
        <v>0</v>
      </c>
      <c r="K121" t="n">
        <v>0</v>
      </c>
      <c r="L121" t="n">
        <v>0</v>
      </c>
      <c r="M121" t="n">
        <v>0</v>
      </c>
      <c r="N121" t="n">
        <v>0</v>
      </c>
      <c r="O121" t="n">
        <v>0</v>
      </c>
      <c r="P121" t="n">
        <v>0</v>
      </c>
      <c r="Q121" t="n">
        <v>1</v>
      </c>
      <c r="R121" s="2" t="inlineStr">
        <is>
          <t>Kungsfågel</t>
        </is>
      </c>
      <c r="S121">
        <f>HYPERLINK("https://klasma.github.io/Logging_0188/artfynd/A 28816-2023 artfynd.xlsx", "A 28816-2023")</f>
        <v/>
      </c>
      <c r="T121">
        <f>HYPERLINK("https://klasma.github.io/Logging_0188/kartor/A 28816-2023 karta.png", "A 28816-2023")</f>
        <v/>
      </c>
      <c r="V121">
        <f>HYPERLINK("https://klasma.github.io/Logging_0188/klagomål/A 28816-2023 FSC-klagomål.docx", "A 28816-2023")</f>
        <v/>
      </c>
      <c r="W121">
        <f>HYPERLINK("https://klasma.github.io/Logging_0188/klagomålsmail/A 28816-2023 FSC-klagomål mail.docx", "A 28816-2023")</f>
        <v/>
      </c>
      <c r="X121">
        <f>HYPERLINK("https://klasma.github.io/Logging_0188/tillsyn/A 28816-2023 tillsynsbegäran.docx", "A 28816-2023")</f>
        <v/>
      </c>
      <c r="Y121">
        <f>HYPERLINK("https://klasma.github.io/Logging_0188/tillsynsmail/A 28816-2023 tillsynsbegäran mail.docx", "A 28816-2023")</f>
        <v/>
      </c>
      <c r="Z121">
        <f>HYPERLINK("https://klasma.github.io/Logging_0188/fåglar/A 28816-2023 prioriterade fågelarter.docx", "A 28816-2023")</f>
        <v/>
      </c>
    </row>
    <row r="122" ht="15" customHeight="1">
      <c r="A122" t="inlineStr">
        <is>
          <t>A 19829-2022</t>
        </is>
      </c>
      <c r="B122" s="1" t="n">
        <v>44695.43527777777</v>
      </c>
      <c r="C122" s="1" t="n">
        <v>46105</v>
      </c>
      <c r="D122" t="inlineStr">
        <is>
          <t>STOCKHOLMS LÄN</t>
        </is>
      </c>
      <c r="E122" t="inlineStr">
        <is>
          <t>NORRTÄLJE</t>
        </is>
      </c>
      <c r="G122" t="n">
        <v>2</v>
      </c>
      <c r="H122" t="n">
        <v>1</v>
      </c>
      <c r="I122" t="n">
        <v>1</v>
      </c>
      <c r="J122" t="n">
        <v>0</v>
      </c>
      <c r="K122" t="n">
        <v>0</v>
      </c>
      <c r="L122" t="n">
        <v>0</v>
      </c>
      <c r="M122" t="n">
        <v>0</v>
      </c>
      <c r="N122" t="n">
        <v>0</v>
      </c>
      <c r="O122" t="n">
        <v>0</v>
      </c>
      <c r="P122" t="n">
        <v>0</v>
      </c>
      <c r="Q122" t="n">
        <v>1</v>
      </c>
      <c r="R122" s="2" t="inlineStr">
        <is>
          <t>Guckusko</t>
        </is>
      </c>
      <c r="S122">
        <f>HYPERLINK("https://klasma.github.io/Logging_0188/artfynd/A 19829-2022 artfynd.xlsx", "A 19829-2022")</f>
        <v/>
      </c>
      <c r="T122">
        <f>HYPERLINK("https://klasma.github.io/Logging_0188/kartor/A 19829-2022 karta.png", "A 19829-2022")</f>
        <v/>
      </c>
      <c r="V122">
        <f>HYPERLINK("https://klasma.github.io/Logging_0188/klagomål/A 19829-2022 FSC-klagomål.docx", "A 19829-2022")</f>
        <v/>
      </c>
      <c r="W122">
        <f>HYPERLINK("https://klasma.github.io/Logging_0188/klagomålsmail/A 19829-2022 FSC-klagomål mail.docx", "A 19829-2022")</f>
        <v/>
      </c>
      <c r="X122">
        <f>HYPERLINK("https://klasma.github.io/Logging_0188/tillsyn/A 19829-2022 tillsynsbegäran.docx", "A 19829-2022")</f>
        <v/>
      </c>
      <c r="Y122">
        <f>HYPERLINK("https://klasma.github.io/Logging_0188/tillsynsmail/A 19829-2022 tillsynsbegäran mail.docx", "A 19829-2022")</f>
        <v/>
      </c>
    </row>
    <row r="123" ht="15" customHeight="1">
      <c r="A123" t="inlineStr">
        <is>
          <t>A 35691-2023</t>
        </is>
      </c>
      <c r="B123" s="1" t="n">
        <v>45147.65222222222</v>
      </c>
      <c r="C123" s="1" t="n">
        <v>46105</v>
      </c>
      <c r="D123" t="inlineStr">
        <is>
          <t>STOCKHOLMS LÄN</t>
        </is>
      </c>
      <c r="E123" t="inlineStr">
        <is>
          <t>NORRTÄLJE</t>
        </is>
      </c>
      <c r="G123" t="n">
        <v>2.3</v>
      </c>
      <c r="H123" t="n">
        <v>1</v>
      </c>
      <c r="I123" t="n">
        <v>0</v>
      </c>
      <c r="J123" t="n">
        <v>0</v>
      </c>
      <c r="K123" t="n">
        <v>0</v>
      </c>
      <c r="L123" t="n">
        <v>0</v>
      </c>
      <c r="M123" t="n">
        <v>0</v>
      </c>
      <c r="N123" t="n">
        <v>0</v>
      </c>
      <c r="O123" t="n">
        <v>0</v>
      </c>
      <c r="P123" t="n">
        <v>0</v>
      </c>
      <c r="Q123" t="n">
        <v>1</v>
      </c>
      <c r="R123" s="2" t="inlineStr">
        <is>
          <t>Kungsfågel</t>
        </is>
      </c>
      <c r="S123">
        <f>HYPERLINK("https://klasma.github.io/Logging_0188/artfynd/A 35691-2023 artfynd.xlsx", "A 35691-2023")</f>
        <v/>
      </c>
      <c r="T123">
        <f>HYPERLINK("https://klasma.github.io/Logging_0188/kartor/A 35691-2023 karta.png", "A 35691-2023")</f>
        <v/>
      </c>
      <c r="V123">
        <f>HYPERLINK("https://klasma.github.io/Logging_0188/klagomål/A 35691-2023 FSC-klagomål.docx", "A 35691-2023")</f>
        <v/>
      </c>
      <c r="W123">
        <f>HYPERLINK("https://klasma.github.io/Logging_0188/klagomålsmail/A 35691-2023 FSC-klagomål mail.docx", "A 35691-2023")</f>
        <v/>
      </c>
      <c r="X123">
        <f>HYPERLINK("https://klasma.github.io/Logging_0188/tillsyn/A 35691-2023 tillsynsbegäran.docx", "A 35691-2023")</f>
        <v/>
      </c>
      <c r="Y123">
        <f>HYPERLINK("https://klasma.github.io/Logging_0188/tillsynsmail/A 35691-2023 tillsynsbegäran mail.docx", "A 35691-2023")</f>
        <v/>
      </c>
      <c r="Z123">
        <f>HYPERLINK("https://klasma.github.io/Logging_0188/fåglar/A 35691-2023 prioriterade fågelarter.docx", "A 35691-2023")</f>
        <v/>
      </c>
    </row>
    <row r="124" ht="15" customHeight="1">
      <c r="A124" t="inlineStr">
        <is>
          <t>A 35693-2023</t>
        </is>
      </c>
      <c r="B124" s="1" t="n">
        <v>45147.65311342593</v>
      </c>
      <c r="C124" s="1" t="n">
        <v>46105</v>
      </c>
      <c r="D124" t="inlineStr">
        <is>
          <t>STOCKHOLMS LÄN</t>
        </is>
      </c>
      <c r="E124" t="inlineStr">
        <is>
          <t>NORRTÄLJE</t>
        </is>
      </c>
      <c r="G124" t="n">
        <v>2.2</v>
      </c>
      <c r="H124" t="n">
        <v>0</v>
      </c>
      <c r="I124" t="n">
        <v>0</v>
      </c>
      <c r="J124" t="n">
        <v>1</v>
      </c>
      <c r="K124" t="n">
        <v>0</v>
      </c>
      <c r="L124" t="n">
        <v>0</v>
      </c>
      <c r="M124" t="n">
        <v>0</v>
      </c>
      <c r="N124" t="n">
        <v>0</v>
      </c>
      <c r="O124" t="n">
        <v>1</v>
      </c>
      <c r="P124" t="n">
        <v>0</v>
      </c>
      <c r="Q124" t="n">
        <v>1</v>
      </c>
      <c r="R124" s="2" t="inlineStr">
        <is>
          <t>Motaggsvamp</t>
        </is>
      </c>
      <c r="S124">
        <f>HYPERLINK("https://klasma.github.io/Logging_0188/artfynd/A 35693-2023 artfynd.xlsx", "A 35693-2023")</f>
        <v/>
      </c>
      <c r="T124">
        <f>HYPERLINK("https://klasma.github.io/Logging_0188/kartor/A 35693-2023 karta.png", "A 35693-2023")</f>
        <v/>
      </c>
      <c r="V124">
        <f>HYPERLINK("https://klasma.github.io/Logging_0188/klagomål/A 35693-2023 FSC-klagomål.docx", "A 35693-2023")</f>
        <v/>
      </c>
      <c r="W124">
        <f>HYPERLINK("https://klasma.github.io/Logging_0188/klagomålsmail/A 35693-2023 FSC-klagomål mail.docx", "A 35693-2023")</f>
        <v/>
      </c>
      <c r="X124">
        <f>HYPERLINK("https://klasma.github.io/Logging_0188/tillsyn/A 35693-2023 tillsynsbegäran.docx", "A 35693-2023")</f>
        <v/>
      </c>
      <c r="Y124">
        <f>HYPERLINK("https://klasma.github.io/Logging_0188/tillsynsmail/A 35693-2023 tillsynsbegäran mail.docx", "A 35693-2023")</f>
        <v/>
      </c>
    </row>
    <row r="125" ht="15" customHeight="1">
      <c r="A125" t="inlineStr">
        <is>
          <t>A 4532-2025</t>
        </is>
      </c>
      <c r="B125" s="1" t="n">
        <v>45687.34177083334</v>
      </c>
      <c r="C125" s="1" t="n">
        <v>46105</v>
      </c>
      <c r="D125" t="inlineStr">
        <is>
          <t>STOCKHOLMS LÄN</t>
        </is>
      </c>
      <c r="E125" t="inlineStr">
        <is>
          <t>NORRTÄLJE</t>
        </is>
      </c>
      <c r="F125" t="inlineStr">
        <is>
          <t>Holmen skog AB</t>
        </is>
      </c>
      <c r="G125" t="n">
        <v>6.4</v>
      </c>
      <c r="H125" t="n">
        <v>1</v>
      </c>
      <c r="I125" t="n">
        <v>0</v>
      </c>
      <c r="J125" t="n">
        <v>0</v>
      </c>
      <c r="K125" t="n">
        <v>0</v>
      </c>
      <c r="L125" t="n">
        <v>1</v>
      </c>
      <c r="M125" t="n">
        <v>0</v>
      </c>
      <c r="N125" t="n">
        <v>0</v>
      </c>
      <c r="O125" t="n">
        <v>1</v>
      </c>
      <c r="P125" t="n">
        <v>1</v>
      </c>
      <c r="Q125" t="n">
        <v>1</v>
      </c>
      <c r="R125" s="2" t="inlineStr">
        <is>
          <t>Asknätfjäril</t>
        </is>
      </c>
      <c r="S125">
        <f>HYPERLINK("https://klasma.github.io/Logging_0188/artfynd/A 4532-2025 artfynd.xlsx", "A 4532-2025")</f>
        <v/>
      </c>
      <c r="T125">
        <f>HYPERLINK("https://klasma.github.io/Logging_0188/kartor/A 4532-2025 karta.png", "A 4532-2025")</f>
        <v/>
      </c>
      <c r="V125">
        <f>HYPERLINK("https://klasma.github.io/Logging_0188/klagomål/A 4532-2025 FSC-klagomål.docx", "A 4532-2025")</f>
        <v/>
      </c>
      <c r="W125">
        <f>HYPERLINK("https://klasma.github.io/Logging_0188/klagomålsmail/A 4532-2025 FSC-klagomål mail.docx", "A 4532-2025")</f>
        <v/>
      </c>
      <c r="X125">
        <f>HYPERLINK("https://klasma.github.io/Logging_0188/tillsyn/A 4532-2025 tillsynsbegäran.docx", "A 4532-2025")</f>
        <v/>
      </c>
      <c r="Y125">
        <f>HYPERLINK("https://klasma.github.io/Logging_0188/tillsynsmail/A 4532-2025 tillsynsbegäran mail.docx", "A 4532-2025")</f>
        <v/>
      </c>
    </row>
    <row r="126" ht="15" customHeight="1">
      <c r="A126" t="inlineStr">
        <is>
          <t>A 14365-2025</t>
        </is>
      </c>
      <c r="B126" s="1" t="n">
        <v>45741.38688657407</v>
      </c>
      <c r="C126" s="1" t="n">
        <v>46105</v>
      </c>
      <c r="D126" t="inlineStr">
        <is>
          <t>STOCKHOLMS LÄN</t>
        </is>
      </c>
      <c r="E126" t="inlineStr">
        <is>
          <t>NORRTÄLJE</t>
        </is>
      </c>
      <c r="G126" t="n">
        <v>2.4</v>
      </c>
      <c r="H126" t="n">
        <v>0</v>
      </c>
      <c r="I126" t="n">
        <v>0</v>
      </c>
      <c r="J126" t="n">
        <v>1</v>
      </c>
      <c r="K126" t="n">
        <v>0</v>
      </c>
      <c r="L126" t="n">
        <v>0</v>
      </c>
      <c r="M126" t="n">
        <v>0</v>
      </c>
      <c r="N126" t="n">
        <v>0</v>
      </c>
      <c r="O126" t="n">
        <v>1</v>
      </c>
      <c r="P126" t="n">
        <v>0</v>
      </c>
      <c r="Q126" t="n">
        <v>1</v>
      </c>
      <c r="R126" s="2" t="inlineStr">
        <is>
          <t>Granticka</t>
        </is>
      </c>
      <c r="S126">
        <f>HYPERLINK("https://klasma.github.io/Logging_0188/artfynd/A 14365-2025 artfynd.xlsx", "A 14365-2025")</f>
        <v/>
      </c>
      <c r="T126">
        <f>HYPERLINK("https://klasma.github.io/Logging_0188/kartor/A 14365-2025 karta.png", "A 14365-2025")</f>
        <v/>
      </c>
      <c r="V126">
        <f>HYPERLINK("https://klasma.github.io/Logging_0188/klagomål/A 14365-2025 FSC-klagomål.docx", "A 14365-2025")</f>
        <v/>
      </c>
      <c r="W126">
        <f>HYPERLINK("https://klasma.github.io/Logging_0188/klagomålsmail/A 14365-2025 FSC-klagomål mail.docx", "A 14365-2025")</f>
        <v/>
      </c>
      <c r="X126">
        <f>HYPERLINK("https://klasma.github.io/Logging_0188/tillsyn/A 14365-2025 tillsynsbegäran.docx", "A 14365-2025")</f>
        <v/>
      </c>
      <c r="Y126">
        <f>HYPERLINK("https://klasma.github.io/Logging_0188/tillsynsmail/A 14365-2025 tillsynsbegäran mail.docx", "A 14365-2025")</f>
        <v/>
      </c>
    </row>
    <row r="127" ht="15" customHeight="1">
      <c r="A127" t="inlineStr">
        <is>
          <t>A 21150-2022</t>
        </is>
      </c>
      <c r="B127" s="1" t="n">
        <v>44704</v>
      </c>
      <c r="C127" s="1" t="n">
        <v>46105</v>
      </c>
      <c r="D127" t="inlineStr">
        <is>
          <t>STOCKHOLMS LÄN</t>
        </is>
      </c>
      <c r="E127" t="inlineStr">
        <is>
          <t>NORRTÄLJE</t>
        </is>
      </c>
      <c r="G127" t="n">
        <v>12.5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21150-2022 artfynd.xlsx", "A 21150-2022")</f>
        <v/>
      </c>
      <c r="T127">
        <f>HYPERLINK("https://klasma.github.io/Logging_0188/kartor/A 21150-2022 karta.png", "A 21150-2022")</f>
        <v/>
      </c>
      <c r="V127">
        <f>HYPERLINK("https://klasma.github.io/Logging_0188/klagomål/A 21150-2022 FSC-klagomål.docx", "A 21150-2022")</f>
        <v/>
      </c>
      <c r="W127">
        <f>HYPERLINK("https://klasma.github.io/Logging_0188/klagomålsmail/A 21150-2022 FSC-klagomål mail.docx", "A 21150-2022")</f>
        <v/>
      </c>
      <c r="X127">
        <f>HYPERLINK("https://klasma.github.io/Logging_0188/tillsyn/A 21150-2022 tillsynsbegäran.docx", "A 21150-2022")</f>
        <v/>
      </c>
      <c r="Y127">
        <f>HYPERLINK("https://klasma.github.io/Logging_0188/tillsynsmail/A 21150-2022 tillsynsbegäran mail.docx", "A 21150-2022")</f>
        <v/>
      </c>
    </row>
    <row r="128" ht="15" customHeight="1">
      <c r="A128" t="inlineStr">
        <is>
          <t>A 26120-2024</t>
        </is>
      </c>
      <c r="B128" s="1" t="n">
        <v>45468.45995370371</v>
      </c>
      <c r="C128" s="1" t="n">
        <v>46105</v>
      </c>
      <c r="D128" t="inlineStr">
        <is>
          <t>STOCKHOLMS LÄN</t>
        </is>
      </c>
      <c r="E128" t="inlineStr">
        <is>
          <t>NORRTÄLJE</t>
        </is>
      </c>
      <c r="G128" t="n">
        <v>1.8</v>
      </c>
      <c r="H128" t="n">
        <v>0</v>
      </c>
      <c r="I128" t="n">
        <v>0</v>
      </c>
      <c r="J128" t="n">
        <v>1</v>
      </c>
      <c r="K128" t="n">
        <v>0</v>
      </c>
      <c r="L128" t="n">
        <v>0</v>
      </c>
      <c r="M128" t="n">
        <v>0</v>
      </c>
      <c r="N128" t="n">
        <v>0</v>
      </c>
      <c r="O128" t="n">
        <v>1</v>
      </c>
      <c r="P128" t="n">
        <v>0</v>
      </c>
      <c r="Q128" t="n">
        <v>1</v>
      </c>
      <c r="R128" s="2" t="inlineStr">
        <is>
          <t>Majviva</t>
        </is>
      </c>
      <c r="S128">
        <f>HYPERLINK("https://klasma.github.io/Logging_0188/artfynd/A 26120-2024 artfynd.xlsx", "A 26120-2024")</f>
        <v/>
      </c>
      <c r="T128">
        <f>HYPERLINK("https://klasma.github.io/Logging_0188/kartor/A 26120-2024 karta.png", "A 26120-2024")</f>
        <v/>
      </c>
      <c r="V128">
        <f>HYPERLINK("https://klasma.github.io/Logging_0188/klagomål/A 26120-2024 FSC-klagomål.docx", "A 26120-2024")</f>
        <v/>
      </c>
      <c r="W128">
        <f>HYPERLINK("https://klasma.github.io/Logging_0188/klagomålsmail/A 26120-2024 FSC-klagomål mail.docx", "A 26120-2024")</f>
        <v/>
      </c>
      <c r="X128">
        <f>HYPERLINK("https://klasma.github.io/Logging_0188/tillsyn/A 26120-2024 tillsynsbegäran.docx", "A 26120-2024")</f>
        <v/>
      </c>
      <c r="Y128">
        <f>HYPERLINK("https://klasma.github.io/Logging_0188/tillsynsmail/A 26120-2024 tillsynsbegäran mail.docx", "A 26120-2024")</f>
        <v/>
      </c>
    </row>
    <row r="129" ht="15" customHeight="1">
      <c r="A129" t="inlineStr">
        <is>
          <t>A 11429-2023</t>
        </is>
      </c>
      <c r="B129" s="1" t="n">
        <v>44993</v>
      </c>
      <c r="C129" s="1" t="n">
        <v>46105</v>
      </c>
      <c r="D129" t="inlineStr">
        <is>
          <t>STOCKHOLMS LÄN</t>
        </is>
      </c>
      <c r="E129" t="inlineStr">
        <is>
          <t>NORRTÄLJE</t>
        </is>
      </c>
      <c r="G129" t="n">
        <v>2</v>
      </c>
      <c r="H129" t="n">
        <v>0</v>
      </c>
      <c r="I129" t="n">
        <v>0</v>
      </c>
      <c r="J129" t="n">
        <v>1</v>
      </c>
      <c r="K129" t="n">
        <v>0</v>
      </c>
      <c r="L129" t="n">
        <v>0</v>
      </c>
      <c r="M129" t="n">
        <v>0</v>
      </c>
      <c r="N129" t="n">
        <v>0</v>
      </c>
      <c r="O129" t="n">
        <v>1</v>
      </c>
      <c r="P129" t="n">
        <v>0</v>
      </c>
      <c r="Q129" t="n">
        <v>1</v>
      </c>
      <c r="R129" s="2" t="inlineStr">
        <is>
          <t>Skogsklocka</t>
        </is>
      </c>
      <c r="S129">
        <f>HYPERLINK("https://klasma.github.io/Logging_0188/artfynd/A 11429-2023 artfynd.xlsx", "A 11429-2023")</f>
        <v/>
      </c>
      <c r="T129">
        <f>HYPERLINK("https://klasma.github.io/Logging_0188/kartor/A 11429-2023 karta.png", "A 11429-2023")</f>
        <v/>
      </c>
      <c r="V129">
        <f>HYPERLINK("https://klasma.github.io/Logging_0188/klagomål/A 11429-2023 FSC-klagomål.docx", "A 11429-2023")</f>
        <v/>
      </c>
      <c r="W129">
        <f>HYPERLINK("https://klasma.github.io/Logging_0188/klagomålsmail/A 11429-2023 FSC-klagomål mail.docx", "A 11429-2023")</f>
        <v/>
      </c>
      <c r="X129">
        <f>HYPERLINK("https://klasma.github.io/Logging_0188/tillsyn/A 11429-2023 tillsynsbegäran.docx", "A 11429-2023")</f>
        <v/>
      </c>
      <c r="Y129">
        <f>HYPERLINK("https://klasma.github.io/Logging_0188/tillsynsmail/A 11429-2023 tillsynsbegäran mail.docx", "A 11429-2023")</f>
        <v/>
      </c>
    </row>
    <row r="130" ht="15" customHeight="1">
      <c r="A130" t="inlineStr">
        <is>
          <t>A 50854-2022</t>
        </is>
      </c>
      <c r="B130" s="1" t="n">
        <v>44863</v>
      </c>
      <c r="C130" s="1" t="n">
        <v>46105</v>
      </c>
      <c r="D130" t="inlineStr">
        <is>
          <t>STOCKHOLMS LÄN</t>
        </is>
      </c>
      <c r="E130" t="inlineStr">
        <is>
          <t>NORRTÄLJE</t>
        </is>
      </c>
      <c r="G130" t="n">
        <v>2.9</v>
      </c>
      <c r="H130" t="n">
        <v>0</v>
      </c>
      <c r="I130" t="n">
        <v>1</v>
      </c>
      <c r="J130" t="n">
        <v>0</v>
      </c>
      <c r="K130" t="n">
        <v>0</v>
      </c>
      <c r="L130" t="n">
        <v>0</v>
      </c>
      <c r="M130" t="n">
        <v>0</v>
      </c>
      <c r="N130" t="n">
        <v>0</v>
      </c>
      <c r="O130" t="n">
        <v>0</v>
      </c>
      <c r="P130" t="n">
        <v>0</v>
      </c>
      <c r="Q130" t="n">
        <v>1</v>
      </c>
      <c r="R130" s="2" t="inlineStr">
        <is>
          <t>Tibast</t>
        </is>
      </c>
      <c r="S130">
        <f>HYPERLINK("https://klasma.github.io/Logging_0188/artfynd/A 50854-2022 artfynd.xlsx", "A 50854-2022")</f>
        <v/>
      </c>
      <c r="T130">
        <f>HYPERLINK("https://klasma.github.io/Logging_0188/kartor/A 50854-2022 karta.png", "A 50854-2022")</f>
        <v/>
      </c>
      <c r="V130">
        <f>HYPERLINK("https://klasma.github.io/Logging_0188/klagomål/A 50854-2022 FSC-klagomål.docx", "A 50854-2022")</f>
        <v/>
      </c>
      <c r="W130">
        <f>HYPERLINK("https://klasma.github.io/Logging_0188/klagomålsmail/A 50854-2022 FSC-klagomål mail.docx", "A 50854-2022")</f>
        <v/>
      </c>
      <c r="X130">
        <f>HYPERLINK("https://klasma.github.io/Logging_0188/tillsyn/A 50854-2022 tillsynsbegäran.docx", "A 50854-2022")</f>
        <v/>
      </c>
      <c r="Y130">
        <f>HYPERLINK("https://klasma.github.io/Logging_0188/tillsynsmail/A 50854-2022 tillsynsbegäran mail.docx", "A 50854-2022")</f>
        <v/>
      </c>
    </row>
    <row r="131" ht="15" customHeight="1">
      <c r="A131" t="inlineStr">
        <is>
          <t>A 64456-2023</t>
        </is>
      </c>
      <c r="B131" s="1" t="n">
        <v>45280</v>
      </c>
      <c r="C131" s="1" t="n">
        <v>46105</v>
      </c>
      <c r="D131" t="inlineStr">
        <is>
          <t>STOCKHOLMS LÄN</t>
        </is>
      </c>
      <c r="E131" t="inlineStr">
        <is>
          <t>NORRTÄLJE</t>
        </is>
      </c>
      <c r="G131" t="n">
        <v>2.5</v>
      </c>
      <c r="H131" t="n">
        <v>0</v>
      </c>
      <c r="I131" t="n">
        <v>1</v>
      </c>
      <c r="J131" t="n">
        <v>0</v>
      </c>
      <c r="K131" t="n">
        <v>0</v>
      </c>
      <c r="L131" t="n">
        <v>0</v>
      </c>
      <c r="M131" t="n">
        <v>0</v>
      </c>
      <c r="N131" t="n">
        <v>0</v>
      </c>
      <c r="O131" t="n">
        <v>0</v>
      </c>
      <c r="P131" t="n">
        <v>0</v>
      </c>
      <c r="Q131" t="n">
        <v>1</v>
      </c>
      <c r="R131" s="2" t="inlineStr">
        <is>
          <t>Rödgul trumpetsvamp</t>
        </is>
      </c>
      <c r="S131">
        <f>HYPERLINK("https://klasma.github.io/Logging_0188/artfynd/A 64456-2023 artfynd.xlsx", "A 64456-2023")</f>
        <v/>
      </c>
      <c r="T131">
        <f>HYPERLINK("https://klasma.github.io/Logging_0188/kartor/A 64456-2023 karta.png", "A 64456-2023")</f>
        <v/>
      </c>
      <c r="V131">
        <f>HYPERLINK("https://klasma.github.io/Logging_0188/klagomål/A 64456-2023 FSC-klagomål.docx", "A 64456-2023")</f>
        <v/>
      </c>
      <c r="W131">
        <f>HYPERLINK("https://klasma.github.io/Logging_0188/klagomålsmail/A 64456-2023 FSC-klagomål mail.docx", "A 64456-2023")</f>
        <v/>
      </c>
      <c r="X131">
        <f>HYPERLINK("https://klasma.github.io/Logging_0188/tillsyn/A 64456-2023 tillsynsbegäran.docx", "A 64456-2023")</f>
        <v/>
      </c>
      <c r="Y131">
        <f>HYPERLINK("https://klasma.github.io/Logging_0188/tillsynsmail/A 64456-2023 tillsynsbegäran mail.docx", "A 64456-2023")</f>
        <v/>
      </c>
    </row>
    <row r="132" ht="15" customHeight="1">
      <c r="A132" t="inlineStr">
        <is>
          <t>A 31281-2022</t>
        </is>
      </c>
      <c r="B132" s="1" t="n">
        <v>44771</v>
      </c>
      <c r="C132" s="1" t="n">
        <v>46105</v>
      </c>
      <c r="D132" t="inlineStr">
        <is>
          <t>STOCKHOLMS LÄN</t>
        </is>
      </c>
      <c r="E132" t="inlineStr">
        <is>
          <t>NORRTÄLJE</t>
        </is>
      </c>
      <c r="F132" t="inlineStr">
        <is>
          <t>Holmen skog AB</t>
        </is>
      </c>
      <c r="G132" t="n">
        <v>5.2</v>
      </c>
      <c r="H132" t="n">
        <v>1</v>
      </c>
      <c r="I132" t="n">
        <v>0</v>
      </c>
      <c r="J132" t="n">
        <v>1</v>
      </c>
      <c r="K132" t="n">
        <v>0</v>
      </c>
      <c r="L132" t="n">
        <v>0</v>
      </c>
      <c r="M132" t="n">
        <v>0</v>
      </c>
      <c r="N132" t="n">
        <v>0</v>
      </c>
      <c r="O132" t="n">
        <v>1</v>
      </c>
      <c r="P132" t="n">
        <v>0</v>
      </c>
      <c r="Q132" t="n">
        <v>1</v>
      </c>
      <c r="R132" s="2" t="inlineStr">
        <is>
          <t>Kråka</t>
        </is>
      </c>
      <c r="S132">
        <f>HYPERLINK("https://klasma.github.io/Logging_0188/artfynd/A 31281-2022 artfynd.xlsx", "A 31281-2022")</f>
        <v/>
      </c>
      <c r="T132">
        <f>HYPERLINK("https://klasma.github.io/Logging_0188/kartor/A 31281-2022 karta.png", "A 31281-2022")</f>
        <v/>
      </c>
      <c r="V132">
        <f>HYPERLINK("https://klasma.github.io/Logging_0188/klagomål/A 31281-2022 FSC-klagomål.docx", "A 31281-2022")</f>
        <v/>
      </c>
      <c r="W132">
        <f>HYPERLINK("https://klasma.github.io/Logging_0188/klagomålsmail/A 31281-2022 FSC-klagomål mail.docx", "A 31281-2022")</f>
        <v/>
      </c>
      <c r="X132">
        <f>HYPERLINK("https://klasma.github.io/Logging_0188/tillsyn/A 31281-2022 tillsynsbegäran.docx", "A 31281-2022")</f>
        <v/>
      </c>
      <c r="Y132">
        <f>HYPERLINK("https://klasma.github.io/Logging_0188/tillsynsmail/A 31281-2022 tillsynsbegäran mail.docx", "A 31281-2022")</f>
        <v/>
      </c>
      <c r="Z132">
        <f>HYPERLINK("https://klasma.github.io/Logging_0188/fåglar/A 31281-2022 prioriterade fågelarter.docx", "A 31281-2022")</f>
        <v/>
      </c>
    </row>
    <row r="133" ht="15" customHeight="1">
      <c r="A133" t="inlineStr">
        <is>
          <t>A 52611-2024</t>
        </is>
      </c>
      <c r="B133" s="1" t="n">
        <v>45609.83747685186</v>
      </c>
      <c r="C133" s="1" t="n">
        <v>46105</v>
      </c>
      <c r="D133" t="inlineStr">
        <is>
          <t>STOCKHOLMS LÄN</t>
        </is>
      </c>
      <c r="E133" t="inlineStr">
        <is>
          <t>NORRTÄLJE</t>
        </is>
      </c>
      <c r="G133" t="n">
        <v>10.6</v>
      </c>
      <c r="H133" t="n">
        <v>1</v>
      </c>
      <c r="I133" t="n">
        <v>0</v>
      </c>
      <c r="J133" t="n">
        <v>0</v>
      </c>
      <c r="K133" t="n">
        <v>0</v>
      </c>
      <c r="L133" t="n">
        <v>0</v>
      </c>
      <c r="M133" t="n">
        <v>0</v>
      </c>
      <c r="N133" t="n">
        <v>0</v>
      </c>
      <c r="O133" t="n">
        <v>0</v>
      </c>
      <c r="P133" t="n">
        <v>0</v>
      </c>
      <c r="Q133" t="n">
        <v>1</v>
      </c>
      <c r="R133" s="2" t="inlineStr">
        <is>
          <t>Blåsippa</t>
        </is>
      </c>
      <c r="S133">
        <f>HYPERLINK("https://klasma.github.io/Logging_0188/artfynd/A 52611-2024 artfynd.xlsx", "A 52611-2024")</f>
        <v/>
      </c>
      <c r="T133">
        <f>HYPERLINK("https://klasma.github.io/Logging_0188/kartor/A 52611-2024 karta.png", "A 52611-2024")</f>
        <v/>
      </c>
      <c r="V133">
        <f>HYPERLINK("https://klasma.github.io/Logging_0188/klagomål/A 52611-2024 FSC-klagomål.docx", "A 52611-2024")</f>
        <v/>
      </c>
      <c r="W133">
        <f>HYPERLINK("https://klasma.github.io/Logging_0188/klagomålsmail/A 52611-2024 FSC-klagomål mail.docx", "A 52611-2024")</f>
        <v/>
      </c>
      <c r="X133">
        <f>HYPERLINK("https://klasma.github.io/Logging_0188/tillsyn/A 52611-2024 tillsynsbegäran.docx", "A 52611-2024")</f>
        <v/>
      </c>
      <c r="Y133">
        <f>HYPERLINK("https://klasma.github.io/Logging_0188/tillsynsmail/A 52611-2024 tillsynsbegäran mail.docx", "A 52611-2024")</f>
        <v/>
      </c>
    </row>
    <row r="134" ht="15" customHeight="1">
      <c r="A134" t="inlineStr">
        <is>
          <t>A 52508-2023</t>
        </is>
      </c>
      <c r="B134" s="1" t="n">
        <v>45225</v>
      </c>
      <c r="C134" s="1" t="n">
        <v>46105</v>
      </c>
      <c r="D134" t="inlineStr">
        <is>
          <t>STOCKHOLMS LÄN</t>
        </is>
      </c>
      <c r="E134" t="inlineStr">
        <is>
          <t>NORRTÄLJE</t>
        </is>
      </c>
      <c r="G134" t="n">
        <v>19.7</v>
      </c>
      <c r="H134" t="n">
        <v>1</v>
      </c>
      <c r="I134" t="n">
        <v>0</v>
      </c>
      <c r="J134" t="n">
        <v>0</v>
      </c>
      <c r="K134" t="n">
        <v>1</v>
      </c>
      <c r="L134" t="n">
        <v>0</v>
      </c>
      <c r="M134" t="n">
        <v>0</v>
      </c>
      <c r="N134" t="n">
        <v>0</v>
      </c>
      <c r="O134" t="n">
        <v>1</v>
      </c>
      <c r="P134" t="n">
        <v>1</v>
      </c>
      <c r="Q134" t="n">
        <v>1</v>
      </c>
      <c r="R134" s="2" t="inlineStr">
        <is>
          <t>Svärta</t>
        </is>
      </c>
      <c r="S134">
        <f>HYPERLINK("https://klasma.github.io/Logging_0188/artfynd/A 52508-2023 artfynd.xlsx", "A 52508-2023")</f>
        <v/>
      </c>
      <c r="T134">
        <f>HYPERLINK("https://klasma.github.io/Logging_0188/kartor/A 52508-2023 karta.png", "A 52508-2023")</f>
        <v/>
      </c>
      <c r="V134">
        <f>HYPERLINK("https://klasma.github.io/Logging_0188/klagomål/A 52508-2023 FSC-klagomål.docx", "A 52508-2023")</f>
        <v/>
      </c>
      <c r="W134">
        <f>HYPERLINK("https://klasma.github.io/Logging_0188/klagomålsmail/A 52508-2023 FSC-klagomål mail.docx", "A 52508-2023")</f>
        <v/>
      </c>
      <c r="X134">
        <f>HYPERLINK("https://klasma.github.io/Logging_0188/tillsyn/A 52508-2023 tillsynsbegäran.docx", "A 52508-2023")</f>
        <v/>
      </c>
      <c r="Y134">
        <f>HYPERLINK("https://klasma.github.io/Logging_0188/tillsynsmail/A 52508-2023 tillsynsbegäran mail.docx", "A 52508-2023")</f>
        <v/>
      </c>
    </row>
    <row r="135" ht="15" customHeight="1">
      <c r="A135" t="inlineStr">
        <is>
          <t>A 48131-2023</t>
        </is>
      </c>
      <c r="B135" s="1" t="n">
        <v>45205</v>
      </c>
      <c r="C135" s="1" t="n">
        <v>46105</v>
      </c>
      <c r="D135" t="inlineStr">
        <is>
          <t>STOCKHOLMS LÄN</t>
        </is>
      </c>
      <c r="E135" t="inlineStr">
        <is>
          <t>NORRTÄLJE</t>
        </is>
      </c>
      <c r="G135" t="n">
        <v>2.3</v>
      </c>
      <c r="H135" t="n">
        <v>0</v>
      </c>
      <c r="I135" t="n">
        <v>0</v>
      </c>
      <c r="J135" t="n">
        <v>1</v>
      </c>
      <c r="K135" t="n">
        <v>0</v>
      </c>
      <c r="L135" t="n">
        <v>0</v>
      </c>
      <c r="M135" t="n">
        <v>0</v>
      </c>
      <c r="N135" t="n">
        <v>0</v>
      </c>
      <c r="O135" t="n">
        <v>1</v>
      </c>
      <c r="P135" t="n">
        <v>0</v>
      </c>
      <c r="Q135" t="n">
        <v>1</v>
      </c>
      <c r="R135" s="2" t="inlineStr">
        <is>
          <t>Slåtterfibbla</t>
        </is>
      </c>
      <c r="S135">
        <f>HYPERLINK("https://klasma.github.io/Logging_0188/artfynd/A 48131-2023 artfynd.xlsx", "A 48131-2023")</f>
        <v/>
      </c>
      <c r="T135">
        <f>HYPERLINK("https://klasma.github.io/Logging_0188/kartor/A 48131-2023 karta.png", "A 48131-2023")</f>
        <v/>
      </c>
      <c r="V135">
        <f>HYPERLINK("https://klasma.github.io/Logging_0188/klagomål/A 48131-2023 FSC-klagomål.docx", "A 48131-2023")</f>
        <v/>
      </c>
      <c r="W135">
        <f>HYPERLINK("https://klasma.github.io/Logging_0188/klagomålsmail/A 48131-2023 FSC-klagomål mail.docx", "A 48131-2023")</f>
        <v/>
      </c>
      <c r="X135">
        <f>HYPERLINK("https://klasma.github.io/Logging_0188/tillsyn/A 48131-2023 tillsynsbegäran.docx", "A 48131-2023")</f>
        <v/>
      </c>
      <c r="Y135">
        <f>HYPERLINK("https://klasma.github.io/Logging_0188/tillsynsmail/A 48131-2023 tillsynsbegäran mail.docx", "A 48131-2023")</f>
        <v/>
      </c>
    </row>
    <row r="136" ht="15" customHeight="1">
      <c r="A136" t="inlineStr">
        <is>
          <t>A 27827-2022</t>
        </is>
      </c>
      <c r="B136" s="1" t="n">
        <v>44743.59504629629</v>
      </c>
      <c r="C136" s="1" t="n">
        <v>46105</v>
      </c>
      <c r="D136" t="inlineStr">
        <is>
          <t>STOCKHOLMS LÄN</t>
        </is>
      </c>
      <c r="E136" t="inlineStr">
        <is>
          <t>NORRTÄLJE</t>
        </is>
      </c>
      <c r="F136" t="inlineStr">
        <is>
          <t>Holmen skog AB</t>
        </is>
      </c>
      <c r="G136" t="n">
        <v>4.7</v>
      </c>
      <c r="H136" t="n">
        <v>1</v>
      </c>
      <c r="I136" t="n">
        <v>0</v>
      </c>
      <c r="J136" t="n">
        <v>1</v>
      </c>
      <c r="K136" t="n">
        <v>0</v>
      </c>
      <c r="L136" t="n">
        <v>0</v>
      </c>
      <c r="M136" t="n">
        <v>0</v>
      </c>
      <c r="N136" t="n">
        <v>0</v>
      </c>
      <c r="O136" t="n">
        <v>1</v>
      </c>
      <c r="P136" t="n">
        <v>0</v>
      </c>
      <c r="Q136" t="n">
        <v>1</v>
      </c>
      <c r="R136" s="2" t="inlineStr">
        <is>
          <t>Nordfladdermus</t>
        </is>
      </c>
      <c r="S136">
        <f>HYPERLINK("https://klasma.github.io/Logging_0188/artfynd/A 27827-2022 artfynd.xlsx", "A 27827-2022")</f>
        <v/>
      </c>
      <c r="T136">
        <f>HYPERLINK("https://klasma.github.io/Logging_0188/kartor/A 27827-2022 karta.png", "A 27827-2022")</f>
        <v/>
      </c>
      <c r="V136">
        <f>HYPERLINK("https://klasma.github.io/Logging_0188/klagomål/A 27827-2022 FSC-klagomål.docx", "A 27827-2022")</f>
        <v/>
      </c>
      <c r="W136">
        <f>HYPERLINK("https://klasma.github.io/Logging_0188/klagomålsmail/A 27827-2022 FSC-klagomål mail.docx", "A 27827-2022")</f>
        <v/>
      </c>
      <c r="X136">
        <f>HYPERLINK("https://klasma.github.io/Logging_0188/tillsyn/A 27827-2022 tillsynsbegäran.docx", "A 27827-2022")</f>
        <v/>
      </c>
      <c r="Y136">
        <f>HYPERLINK("https://klasma.github.io/Logging_0188/tillsynsmail/A 27827-2022 tillsynsbegäran mail.docx", "A 27827-2022")</f>
        <v/>
      </c>
    </row>
    <row r="137" ht="15" customHeight="1">
      <c r="A137" t="inlineStr">
        <is>
          <t>A 9955-2022</t>
        </is>
      </c>
      <c r="B137" s="1" t="n">
        <v>44620</v>
      </c>
      <c r="C137" s="1" t="n">
        <v>46105</v>
      </c>
      <c r="D137" t="inlineStr">
        <is>
          <t>STOCKHOLMS LÄN</t>
        </is>
      </c>
      <c r="E137" t="inlineStr">
        <is>
          <t>NORRTÄLJE</t>
        </is>
      </c>
      <c r="G137" t="n">
        <v>7.8</v>
      </c>
      <c r="H137" t="n">
        <v>1</v>
      </c>
      <c r="I137" t="n">
        <v>0</v>
      </c>
      <c r="J137" t="n">
        <v>0</v>
      </c>
      <c r="K137" t="n">
        <v>0</v>
      </c>
      <c r="L137" t="n">
        <v>0</v>
      </c>
      <c r="M137" t="n">
        <v>0</v>
      </c>
      <c r="N137" t="n">
        <v>0</v>
      </c>
      <c r="O137" t="n">
        <v>0</v>
      </c>
      <c r="P137" t="n">
        <v>0</v>
      </c>
      <c r="Q137" t="n">
        <v>1</v>
      </c>
      <c r="R137" s="2" t="inlineStr">
        <is>
          <t>Åkergroda</t>
        </is>
      </c>
      <c r="S137">
        <f>HYPERLINK("https://klasma.github.io/Logging_0188/artfynd/A 9955-2022 artfynd.xlsx", "A 9955-2022")</f>
        <v/>
      </c>
      <c r="T137">
        <f>HYPERLINK("https://klasma.github.io/Logging_0188/kartor/A 9955-2022 karta.png", "A 9955-2022")</f>
        <v/>
      </c>
      <c r="V137">
        <f>HYPERLINK("https://klasma.github.io/Logging_0188/klagomål/A 9955-2022 FSC-klagomål.docx", "A 9955-2022")</f>
        <v/>
      </c>
      <c r="W137">
        <f>HYPERLINK("https://klasma.github.io/Logging_0188/klagomålsmail/A 9955-2022 FSC-klagomål mail.docx", "A 9955-2022")</f>
        <v/>
      </c>
      <c r="X137">
        <f>HYPERLINK("https://klasma.github.io/Logging_0188/tillsyn/A 9955-2022 tillsynsbegäran.docx", "A 9955-2022")</f>
        <v/>
      </c>
      <c r="Y137">
        <f>HYPERLINK("https://klasma.github.io/Logging_0188/tillsynsmail/A 9955-2022 tillsynsbegäran mail.docx", "A 9955-2022")</f>
        <v/>
      </c>
    </row>
    <row r="138" ht="15" customHeight="1">
      <c r="A138" t="inlineStr">
        <is>
          <t>A 23905-2025</t>
        </is>
      </c>
      <c r="B138" s="1" t="n">
        <v>45794.63298611111</v>
      </c>
      <c r="C138" s="1" t="n">
        <v>46105</v>
      </c>
      <c r="D138" t="inlineStr">
        <is>
          <t>STOCKHOLMS LÄN</t>
        </is>
      </c>
      <c r="E138" t="inlineStr">
        <is>
          <t>NORRTÄLJE</t>
        </is>
      </c>
      <c r="G138" t="n">
        <v>8.4</v>
      </c>
      <c r="H138" t="n">
        <v>1</v>
      </c>
      <c r="I138" t="n">
        <v>0</v>
      </c>
      <c r="J138" t="n">
        <v>0</v>
      </c>
      <c r="K138" t="n">
        <v>0</v>
      </c>
      <c r="L138" t="n">
        <v>0</v>
      </c>
      <c r="M138" t="n">
        <v>0</v>
      </c>
      <c r="N138" t="n">
        <v>0</v>
      </c>
      <c r="O138" t="n">
        <v>0</v>
      </c>
      <c r="P138" t="n">
        <v>0</v>
      </c>
      <c r="Q138" t="n">
        <v>1</v>
      </c>
      <c r="R138" s="2" t="inlineStr">
        <is>
          <t>Blåsippa</t>
        </is>
      </c>
      <c r="S138">
        <f>HYPERLINK("https://klasma.github.io/Logging_0188/artfynd/A 23905-2025 artfynd.xlsx", "A 23905-2025")</f>
        <v/>
      </c>
      <c r="T138">
        <f>HYPERLINK("https://klasma.github.io/Logging_0188/kartor/A 23905-2025 karta.png", "A 23905-2025")</f>
        <v/>
      </c>
      <c r="V138">
        <f>HYPERLINK("https://klasma.github.io/Logging_0188/klagomål/A 23905-2025 FSC-klagomål.docx", "A 23905-2025")</f>
        <v/>
      </c>
      <c r="W138">
        <f>HYPERLINK("https://klasma.github.io/Logging_0188/klagomålsmail/A 23905-2025 FSC-klagomål mail.docx", "A 23905-2025")</f>
        <v/>
      </c>
      <c r="X138">
        <f>HYPERLINK("https://klasma.github.io/Logging_0188/tillsyn/A 23905-2025 tillsynsbegäran.docx", "A 23905-2025")</f>
        <v/>
      </c>
      <c r="Y138">
        <f>HYPERLINK("https://klasma.github.io/Logging_0188/tillsynsmail/A 23905-2025 tillsynsbegäran mail.docx", "A 23905-2025")</f>
        <v/>
      </c>
    </row>
    <row r="139" ht="15" customHeight="1">
      <c r="A139" t="inlineStr">
        <is>
          <t>A 25709-2025</t>
        </is>
      </c>
      <c r="B139" s="1" t="n">
        <v>45800</v>
      </c>
      <c r="C139" s="1" t="n">
        <v>46105</v>
      </c>
      <c r="D139" t="inlineStr">
        <is>
          <t>STOCKHOLMS LÄN</t>
        </is>
      </c>
      <c r="E139" t="inlineStr">
        <is>
          <t>NORRTÄLJE</t>
        </is>
      </c>
      <c r="G139" t="n">
        <v>4.6</v>
      </c>
      <c r="H139" t="n">
        <v>0</v>
      </c>
      <c r="I139" t="n">
        <v>0</v>
      </c>
      <c r="J139" t="n">
        <v>1</v>
      </c>
      <c r="K139" t="n">
        <v>0</v>
      </c>
      <c r="L139" t="n">
        <v>0</v>
      </c>
      <c r="M139" t="n">
        <v>0</v>
      </c>
      <c r="N139" t="n">
        <v>0</v>
      </c>
      <c r="O139" t="n">
        <v>1</v>
      </c>
      <c r="P139" t="n">
        <v>0</v>
      </c>
      <c r="Q139" t="n">
        <v>1</v>
      </c>
      <c r="R139" s="2" t="inlineStr">
        <is>
          <t>Ullticka</t>
        </is>
      </c>
      <c r="S139">
        <f>HYPERLINK("https://klasma.github.io/Logging_0188/artfynd/A 25709-2025 artfynd.xlsx", "A 25709-2025")</f>
        <v/>
      </c>
      <c r="T139">
        <f>HYPERLINK("https://klasma.github.io/Logging_0188/kartor/A 25709-2025 karta.png", "A 25709-2025")</f>
        <v/>
      </c>
      <c r="V139">
        <f>HYPERLINK("https://klasma.github.io/Logging_0188/klagomål/A 25709-2025 FSC-klagomål.docx", "A 25709-2025")</f>
        <v/>
      </c>
      <c r="W139">
        <f>HYPERLINK("https://klasma.github.io/Logging_0188/klagomålsmail/A 25709-2025 FSC-klagomål mail.docx", "A 25709-2025")</f>
        <v/>
      </c>
      <c r="X139">
        <f>HYPERLINK("https://klasma.github.io/Logging_0188/tillsyn/A 25709-2025 tillsynsbegäran.docx", "A 25709-2025")</f>
        <v/>
      </c>
      <c r="Y139">
        <f>HYPERLINK("https://klasma.github.io/Logging_0188/tillsynsmail/A 25709-2025 tillsynsbegäran mail.docx", "A 25709-2025")</f>
        <v/>
      </c>
    </row>
    <row r="140" ht="15" customHeight="1">
      <c r="A140" t="inlineStr">
        <is>
          <t>A 25725-2025</t>
        </is>
      </c>
      <c r="B140" s="1" t="n">
        <v>45800</v>
      </c>
      <c r="C140" s="1" t="n">
        <v>46105</v>
      </c>
      <c r="D140" t="inlineStr">
        <is>
          <t>STOCKHOLMS LÄN</t>
        </is>
      </c>
      <c r="E140" t="inlineStr">
        <is>
          <t>NORRTÄLJE</t>
        </is>
      </c>
      <c r="G140" t="n">
        <v>5.2</v>
      </c>
      <c r="H140" t="n">
        <v>0</v>
      </c>
      <c r="I140" t="n">
        <v>0</v>
      </c>
      <c r="J140" t="n">
        <v>1</v>
      </c>
      <c r="K140" t="n">
        <v>0</v>
      </c>
      <c r="L140" t="n">
        <v>0</v>
      </c>
      <c r="M140" t="n">
        <v>0</v>
      </c>
      <c r="N140" t="n">
        <v>0</v>
      </c>
      <c r="O140" t="n">
        <v>1</v>
      </c>
      <c r="P140" t="n">
        <v>0</v>
      </c>
      <c r="Q140" t="n">
        <v>1</v>
      </c>
      <c r="R140" s="2" t="inlineStr">
        <is>
          <t>Tallticka</t>
        </is>
      </c>
      <c r="S140">
        <f>HYPERLINK("https://klasma.github.io/Logging_0188/artfynd/A 25725-2025 artfynd.xlsx", "A 25725-2025")</f>
        <v/>
      </c>
      <c r="T140">
        <f>HYPERLINK("https://klasma.github.io/Logging_0188/kartor/A 25725-2025 karta.png", "A 25725-2025")</f>
        <v/>
      </c>
      <c r="V140">
        <f>HYPERLINK("https://klasma.github.io/Logging_0188/klagomål/A 25725-2025 FSC-klagomål.docx", "A 25725-2025")</f>
        <v/>
      </c>
      <c r="W140">
        <f>HYPERLINK("https://klasma.github.io/Logging_0188/klagomålsmail/A 25725-2025 FSC-klagomål mail.docx", "A 25725-2025")</f>
        <v/>
      </c>
      <c r="X140">
        <f>HYPERLINK("https://klasma.github.io/Logging_0188/tillsyn/A 25725-2025 tillsynsbegäran.docx", "A 25725-2025")</f>
        <v/>
      </c>
      <c r="Y140">
        <f>HYPERLINK("https://klasma.github.io/Logging_0188/tillsynsmail/A 25725-2025 tillsynsbegäran mail.docx", "A 25725-2025")</f>
        <v/>
      </c>
    </row>
    <row r="141" ht="15" customHeight="1">
      <c r="A141" t="inlineStr">
        <is>
          <t>A 35649-2023</t>
        </is>
      </c>
      <c r="B141" s="1" t="n">
        <v>45146</v>
      </c>
      <c r="C141" s="1" t="n">
        <v>46105</v>
      </c>
      <c r="D141" t="inlineStr">
        <is>
          <t>STOCKHOLMS LÄN</t>
        </is>
      </c>
      <c r="E141" t="inlineStr">
        <is>
          <t>NORRTÄLJE</t>
        </is>
      </c>
      <c r="G141" t="n">
        <v>25.1</v>
      </c>
      <c r="H141" t="n">
        <v>0</v>
      </c>
      <c r="I141" t="n">
        <v>0</v>
      </c>
      <c r="J141" t="n">
        <v>1</v>
      </c>
      <c r="K141" t="n">
        <v>0</v>
      </c>
      <c r="L141" t="n">
        <v>0</v>
      </c>
      <c r="M141" t="n">
        <v>0</v>
      </c>
      <c r="N141" t="n">
        <v>0</v>
      </c>
      <c r="O141" t="n">
        <v>1</v>
      </c>
      <c r="P141" t="n">
        <v>0</v>
      </c>
      <c r="Q141" t="n">
        <v>1</v>
      </c>
      <c r="R141" s="2" t="inlineStr">
        <is>
          <t>Månlåsbräken</t>
        </is>
      </c>
      <c r="S141">
        <f>HYPERLINK("https://klasma.github.io/Logging_0188/artfynd/A 35649-2023 artfynd.xlsx", "A 35649-2023")</f>
        <v/>
      </c>
      <c r="T141">
        <f>HYPERLINK("https://klasma.github.io/Logging_0188/kartor/A 35649-2023 karta.png", "A 35649-2023")</f>
        <v/>
      </c>
      <c r="V141">
        <f>HYPERLINK("https://klasma.github.io/Logging_0188/klagomål/A 35649-2023 FSC-klagomål.docx", "A 35649-2023")</f>
        <v/>
      </c>
      <c r="W141">
        <f>HYPERLINK("https://klasma.github.io/Logging_0188/klagomålsmail/A 35649-2023 FSC-klagomål mail.docx", "A 35649-2023")</f>
        <v/>
      </c>
      <c r="X141">
        <f>HYPERLINK("https://klasma.github.io/Logging_0188/tillsyn/A 35649-2023 tillsynsbegäran.docx", "A 35649-2023")</f>
        <v/>
      </c>
      <c r="Y141">
        <f>HYPERLINK("https://klasma.github.io/Logging_0188/tillsynsmail/A 35649-2023 tillsynsbegäran mail.docx", "A 35649-2023")</f>
        <v/>
      </c>
    </row>
    <row r="142" ht="15" customHeight="1">
      <c r="A142" t="inlineStr">
        <is>
          <t>A 35764-2024</t>
        </is>
      </c>
      <c r="B142" s="1" t="n">
        <v>45532</v>
      </c>
      <c r="C142" s="1" t="n">
        <v>46105</v>
      </c>
      <c r="D142" t="inlineStr">
        <is>
          <t>STOCKHOLMS LÄN</t>
        </is>
      </c>
      <c r="E142" t="inlineStr">
        <is>
          <t>NORRTÄLJE</t>
        </is>
      </c>
      <c r="G142" t="n">
        <v>14.2</v>
      </c>
      <c r="H142" t="n">
        <v>1</v>
      </c>
      <c r="I142" t="n">
        <v>0</v>
      </c>
      <c r="J142" t="n">
        <v>0</v>
      </c>
      <c r="K142" t="n">
        <v>1</v>
      </c>
      <c r="L142" t="n">
        <v>0</v>
      </c>
      <c r="M142" t="n">
        <v>0</v>
      </c>
      <c r="N142" t="n">
        <v>0</v>
      </c>
      <c r="O142" t="n">
        <v>1</v>
      </c>
      <c r="P142" t="n">
        <v>1</v>
      </c>
      <c r="Q142" t="n">
        <v>1</v>
      </c>
      <c r="R142" s="2" t="inlineStr">
        <is>
          <t>Knärot</t>
        </is>
      </c>
      <c r="S142">
        <f>HYPERLINK("https://klasma.github.io/Logging_0188/artfynd/A 35764-2024 artfynd.xlsx", "A 35764-2024")</f>
        <v/>
      </c>
      <c r="T142">
        <f>HYPERLINK("https://klasma.github.io/Logging_0188/kartor/A 35764-2024 karta.png", "A 35764-2024")</f>
        <v/>
      </c>
      <c r="U142">
        <f>HYPERLINK("https://klasma.github.io/Logging_0188/knärot/A 35764-2024 karta knärot.png", "A 35764-2024")</f>
        <v/>
      </c>
      <c r="V142">
        <f>HYPERLINK("https://klasma.github.io/Logging_0188/klagomål/A 35764-2024 FSC-klagomål.docx", "A 35764-2024")</f>
        <v/>
      </c>
      <c r="W142">
        <f>HYPERLINK("https://klasma.github.io/Logging_0188/klagomålsmail/A 35764-2024 FSC-klagomål mail.docx", "A 35764-2024")</f>
        <v/>
      </c>
      <c r="X142">
        <f>HYPERLINK("https://klasma.github.io/Logging_0188/tillsyn/A 35764-2024 tillsynsbegäran.docx", "A 35764-2024")</f>
        <v/>
      </c>
      <c r="Y142">
        <f>HYPERLINK("https://klasma.github.io/Logging_0188/tillsynsmail/A 35764-2024 tillsynsbegäran mail.docx", "A 35764-2024")</f>
        <v/>
      </c>
    </row>
    <row r="143" ht="15" customHeight="1">
      <c r="A143" t="inlineStr">
        <is>
          <t>A 18580-2021</t>
        </is>
      </c>
      <c r="B143" s="1" t="n">
        <v>44306</v>
      </c>
      <c r="C143" s="1" t="n">
        <v>46105</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46105</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46105</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46105</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46105</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46105</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46105</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46105</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46105</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46105</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46105</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46105</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46105</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46105</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46105</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46105</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46105</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46105</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46105</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46105</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46105</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46105</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46105</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46105</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46105</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46105</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46105</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46105</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46105</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10711-2022</t>
        </is>
      </c>
      <c r="B172" s="1" t="n">
        <v>44626</v>
      </c>
      <c r="C172" s="1" t="n">
        <v>46105</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18905-2022</t>
        </is>
      </c>
      <c r="B173" s="1" t="n">
        <v>44690</v>
      </c>
      <c r="C173" s="1" t="n">
        <v>46105</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46105</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46105</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46105</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46105</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46105</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46105</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18609-2021</t>
        </is>
      </c>
      <c r="B180" s="1" t="n">
        <v>44306</v>
      </c>
      <c r="C180" s="1" t="n">
        <v>46105</v>
      </c>
      <c r="D180" t="inlineStr">
        <is>
          <t>STOCKHOLMS LÄN</t>
        </is>
      </c>
      <c r="E180" t="inlineStr">
        <is>
          <t>NORRTÄLJE</t>
        </is>
      </c>
      <c r="G180" t="n">
        <v>9.5</v>
      </c>
      <c r="H180" t="n">
        <v>0</v>
      </c>
      <c r="I180" t="n">
        <v>0</v>
      </c>
      <c r="J180" t="n">
        <v>0</v>
      </c>
      <c r="K180" t="n">
        <v>0</v>
      </c>
      <c r="L180" t="n">
        <v>0</v>
      </c>
      <c r="M180" t="n">
        <v>0</v>
      </c>
      <c r="N180" t="n">
        <v>0</v>
      </c>
      <c r="O180" t="n">
        <v>0</v>
      </c>
      <c r="P180" t="n">
        <v>0</v>
      </c>
      <c r="Q180" t="n">
        <v>0</v>
      </c>
      <c r="R180" s="2" t="inlineStr"/>
    </row>
    <row r="181" ht="15" customHeight="1">
      <c r="A181" t="inlineStr">
        <is>
          <t>A 24534-2022</t>
        </is>
      </c>
      <c r="B181" s="1" t="n">
        <v>44727</v>
      </c>
      <c r="C181" s="1" t="n">
        <v>46105</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45539-2022</t>
        </is>
      </c>
      <c r="B182" s="1" t="n">
        <v>44845.47585648148</v>
      </c>
      <c r="C182" s="1" t="n">
        <v>46105</v>
      </c>
      <c r="D182" t="inlineStr">
        <is>
          <t>STOCKHOLMS LÄN</t>
        </is>
      </c>
      <c r="E182" t="inlineStr">
        <is>
          <t>NORRTÄLJE</t>
        </is>
      </c>
      <c r="G182" t="n">
        <v>0.3</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46105</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46105</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46105</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46105</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46105</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46105</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46105</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20073-2021</t>
        </is>
      </c>
      <c r="B190" s="1" t="n">
        <v>44314</v>
      </c>
      <c r="C190" s="1" t="n">
        <v>46105</v>
      </c>
      <c r="D190" t="inlineStr">
        <is>
          <t>STOCKHOLMS LÄN</t>
        </is>
      </c>
      <c r="E190" t="inlineStr">
        <is>
          <t>NORRTÄLJE</t>
        </is>
      </c>
      <c r="G190" t="n">
        <v>4.6</v>
      </c>
      <c r="H190" t="n">
        <v>0</v>
      </c>
      <c r="I190" t="n">
        <v>0</v>
      </c>
      <c r="J190" t="n">
        <v>0</v>
      </c>
      <c r="K190" t="n">
        <v>0</v>
      </c>
      <c r="L190" t="n">
        <v>0</v>
      </c>
      <c r="M190" t="n">
        <v>0</v>
      </c>
      <c r="N190" t="n">
        <v>0</v>
      </c>
      <c r="O190" t="n">
        <v>0</v>
      </c>
      <c r="P190" t="n">
        <v>0</v>
      </c>
      <c r="Q190" t="n">
        <v>0</v>
      </c>
      <c r="R190" s="2" t="inlineStr"/>
    </row>
    <row r="191" ht="15" customHeight="1">
      <c r="A191" t="inlineStr">
        <is>
          <t>A 14381-2021</t>
        </is>
      </c>
      <c r="B191" s="1" t="n">
        <v>44279</v>
      </c>
      <c r="C191" s="1" t="n">
        <v>46105</v>
      </c>
      <c r="D191" t="inlineStr">
        <is>
          <t>STOCKHOLMS LÄN</t>
        </is>
      </c>
      <c r="E191" t="inlineStr">
        <is>
          <t>NORRTÄLJE</t>
        </is>
      </c>
      <c r="G191" t="n">
        <v>0.9</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46105</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46105</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46105</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46105</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46105</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29868-2022</t>
        </is>
      </c>
      <c r="B197" s="1" t="n">
        <v>44756.40881944444</v>
      </c>
      <c r="C197" s="1" t="n">
        <v>46105</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46105</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46105</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23123-2021</t>
        </is>
      </c>
      <c r="B200" s="1" t="n">
        <v>44330</v>
      </c>
      <c r="C200" s="1" t="n">
        <v>46105</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46105</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46105</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46105</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36565-2021</t>
        </is>
      </c>
      <c r="B204" s="1" t="n">
        <v>44391.5580787037</v>
      </c>
      <c r="C204" s="1" t="n">
        <v>46105</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46105</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46105</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46105</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46105</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46105</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46105</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65611-2021</t>
        </is>
      </c>
      <c r="B211" s="1" t="n">
        <v>44516.5275462963</v>
      </c>
      <c r="C211" s="1" t="n">
        <v>46105</v>
      </c>
      <c r="D211" t="inlineStr">
        <is>
          <t>STOCKHOLMS LÄN</t>
        </is>
      </c>
      <c r="E211" t="inlineStr">
        <is>
          <t>NORRTÄLJE</t>
        </is>
      </c>
      <c r="G211" t="n">
        <v>2.5</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46105</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17460-2021</t>
        </is>
      </c>
      <c r="B213" s="1" t="n">
        <v>44299</v>
      </c>
      <c r="C213" s="1" t="n">
        <v>46105</v>
      </c>
      <c r="D213" t="inlineStr">
        <is>
          <t>STOCKHOLMS LÄN</t>
        </is>
      </c>
      <c r="E213" t="inlineStr">
        <is>
          <t>NORRTÄLJE</t>
        </is>
      </c>
      <c r="G213" t="n">
        <v>3.2</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46105</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71325-2021</t>
        </is>
      </c>
      <c r="B215" s="1" t="n">
        <v>44539</v>
      </c>
      <c r="C215" s="1" t="n">
        <v>46105</v>
      </c>
      <c r="D215" t="inlineStr">
        <is>
          <t>STOCKHOLMS LÄN</t>
        </is>
      </c>
      <c r="E215" t="inlineStr">
        <is>
          <t>NORRTÄLJE</t>
        </is>
      </c>
      <c r="G215" t="n">
        <v>2.1</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46105</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46105</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46105</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31092-2022</t>
        </is>
      </c>
      <c r="B219" s="1" t="n">
        <v>44769.62320601852</v>
      </c>
      <c r="C219" s="1" t="n">
        <v>46105</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22316-2022</t>
        </is>
      </c>
      <c r="B220" s="1" t="n">
        <v>44712.83118055556</v>
      </c>
      <c r="C220" s="1" t="n">
        <v>46105</v>
      </c>
      <c r="D220" t="inlineStr">
        <is>
          <t>STOCKHOLMS LÄN</t>
        </is>
      </c>
      <c r="E220" t="inlineStr">
        <is>
          <t>NORRTÄLJE</t>
        </is>
      </c>
      <c r="G220" t="n">
        <v>6.3</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46105</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46105</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46105</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46105</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46105</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46105</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46105</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46105</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46105</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46105</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46105</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46105</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46105</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46105</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46105</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46105</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46105</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46105</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46105</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46105</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46105</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46105</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46105</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31924-2022</t>
        </is>
      </c>
      <c r="B244" s="1" t="n">
        <v>44777</v>
      </c>
      <c r="C244" s="1" t="n">
        <v>46105</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46105</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46105</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46105</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46105</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46105</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46105</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46105</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45541-2022</t>
        </is>
      </c>
      <c r="B252" s="1" t="n">
        <v>44845.47672453704</v>
      </c>
      <c r="C252" s="1" t="n">
        <v>46105</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68273-2021</t>
        </is>
      </c>
      <c r="B253" s="1" t="n">
        <v>44526</v>
      </c>
      <c r="C253" s="1" t="n">
        <v>46105</v>
      </c>
      <c r="D253" t="inlineStr">
        <is>
          <t>STOCKHOLMS LÄN</t>
        </is>
      </c>
      <c r="E253" t="inlineStr">
        <is>
          <t>NORRTÄLJE</t>
        </is>
      </c>
      <c r="G253" t="n">
        <v>5.3</v>
      </c>
      <c r="H253" t="n">
        <v>0</v>
      </c>
      <c r="I253" t="n">
        <v>0</v>
      </c>
      <c r="J253" t="n">
        <v>0</v>
      </c>
      <c r="K253" t="n">
        <v>0</v>
      </c>
      <c r="L253" t="n">
        <v>0</v>
      </c>
      <c r="M253" t="n">
        <v>0</v>
      </c>
      <c r="N253" t="n">
        <v>0</v>
      </c>
      <c r="O253" t="n">
        <v>0</v>
      </c>
      <c r="P253" t="n">
        <v>0</v>
      </c>
      <c r="Q253" t="n">
        <v>0</v>
      </c>
      <c r="R253" s="2" t="inlineStr"/>
    </row>
    <row r="254" ht="15" customHeight="1">
      <c r="A254" t="inlineStr">
        <is>
          <t>A 52139-2022</t>
        </is>
      </c>
      <c r="B254" s="1" t="n">
        <v>44868</v>
      </c>
      <c r="C254" s="1" t="n">
        <v>46105</v>
      </c>
      <c r="D254" t="inlineStr">
        <is>
          <t>STOCKHOLMS LÄN</t>
        </is>
      </c>
      <c r="E254" t="inlineStr">
        <is>
          <t>NORRTÄLJE</t>
        </is>
      </c>
      <c r="G254" t="n">
        <v>3.2</v>
      </c>
      <c r="H254" t="n">
        <v>0</v>
      </c>
      <c r="I254" t="n">
        <v>0</v>
      </c>
      <c r="J254" t="n">
        <v>0</v>
      </c>
      <c r="K254" t="n">
        <v>0</v>
      </c>
      <c r="L254" t="n">
        <v>0</v>
      </c>
      <c r="M254" t="n">
        <v>0</v>
      </c>
      <c r="N254" t="n">
        <v>0</v>
      </c>
      <c r="O254" t="n">
        <v>0</v>
      </c>
      <c r="P254" t="n">
        <v>0</v>
      </c>
      <c r="Q254" t="n">
        <v>0</v>
      </c>
      <c r="R254" s="2" t="inlineStr"/>
      <c r="U254">
        <f>HYPERLINK("https://klasma.github.io/Logging_0188/knärot/A 52139-2022 karta knärot.png", "A 52139-2022")</f>
        <v/>
      </c>
      <c r="V254">
        <f>HYPERLINK("https://klasma.github.io/Logging_0188/klagomål/A 52139-2022 FSC-klagomål.docx", "A 52139-2022")</f>
        <v/>
      </c>
      <c r="W254">
        <f>HYPERLINK("https://klasma.github.io/Logging_0188/klagomålsmail/A 52139-2022 FSC-klagomål mail.docx", "A 52139-2022")</f>
        <v/>
      </c>
      <c r="X254">
        <f>HYPERLINK("https://klasma.github.io/Logging_0188/tillsyn/A 52139-2022 tillsynsbegäran.docx", "A 52139-2022")</f>
        <v/>
      </c>
      <c r="Y254">
        <f>HYPERLINK("https://klasma.github.io/Logging_0188/tillsynsmail/A 52139-2022 tillsynsbegäran mail.docx", "A 52139-2022")</f>
        <v/>
      </c>
    </row>
    <row r="255" ht="15" customHeight="1">
      <c r="A255" t="inlineStr">
        <is>
          <t>A 17673-2021</t>
        </is>
      </c>
      <c r="B255" s="1" t="n">
        <v>44300</v>
      </c>
      <c r="C255" s="1" t="n">
        <v>46105</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c r="T255">
        <f>HYPERLINK("https://klasma.github.io/Logging_0188/kartor/A 17673-2021 karta.png", "A 17673-2021")</f>
        <v/>
      </c>
      <c r="V255">
        <f>HYPERLINK("https://klasma.github.io/Logging_0188/klagomål/A 17673-2021 FSC-klagomål.docx", "A 17673-2021")</f>
        <v/>
      </c>
      <c r="W255">
        <f>HYPERLINK("https://klasma.github.io/Logging_0188/klagomålsmail/A 17673-2021 FSC-klagomål mail.docx", "A 17673-2021")</f>
        <v/>
      </c>
      <c r="X255">
        <f>HYPERLINK("https://klasma.github.io/Logging_0188/tillsyn/A 17673-2021 tillsynsbegäran.docx", "A 17673-2021")</f>
        <v/>
      </c>
      <c r="Y255">
        <f>HYPERLINK("https://klasma.github.io/Logging_0188/tillsynsmail/A 17673-2021 tillsynsbegäran mail.docx", "A 17673-2021")</f>
        <v/>
      </c>
      <c r="Z255">
        <f>HYPERLINK("https://klasma.github.io/Logging_0188/fåglar/A 17673-2021 prioriterade fågelarter.docx", "A 17673-2021")</f>
        <v/>
      </c>
    </row>
    <row r="256" ht="15" customHeight="1">
      <c r="A256" t="inlineStr">
        <is>
          <t>A 27217-2021</t>
        </is>
      </c>
      <c r="B256" s="1" t="n">
        <v>44350</v>
      </c>
      <c r="C256" s="1" t="n">
        <v>46105</v>
      </c>
      <c r="D256" t="inlineStr">
        <is>
          <t>STOCKHOLMS LÄN</t>
        </is>
      </c>
      <c r="E256" t="inlineStr">
        <is>
          <t>NORRTÄLJE</t>
        </is>
      </c>
      <c r="G256" t="n">
        <v>5.5</v>
      </c>
      <c r="H256" t="n">
        <v>0</v>
      </c>
      <c r="I256" t="n">
        <v>0</v>
      </c>
      <c r="J256" t="n">
        <v>0</v>
      </c>
      <c r="K256" t="n">
        <v>0</v>
      </c>
      <c r="L256" t="n">
        <v>0</v>
      </c>
      <c r="M256" t="n">
        <v>0</v>
      </c>
      <c r="N256" t="n">
        <v>0</v>
      </c>
      <c r="O256" t="n">
        <v>0</v>
      </c>
      <c r="P256" t="n">
        <v>0</v>
      </c>
      <c r="Q256" t="n">
        <v>0</v>
      </c>
      <c r="R256" s="2" t="inlineStr"/>
    </row>
    <row r="257" ht="15" customHeight="1">
      <c r="A257" t="inlineStr">
        <is>
          <t>A 62030-2021</t>
        </is>
      </c>
      <c r="B257" s="1" t="n">
        <v>44502</v>
      </c>
      <c r="C257" s="1" t="n">
        <v>46105</v>
      </c>
      <c r="D257" t="inlineStr">
        <is>
          <t>STOCKHOLMS LÄN</t>
        </is>
      </c>
      <c r="E257" t="inlineStr">
        <is>
          <t>NORRTÄLJE</t>
        </is>
      </c>
      <c r="G257" t="n">
        <v>4.7</v>
      </c>
      <c r="H257" t="n">
        <v>0</v>
      </c>
      <c r="I257" t="n">
        <v>0</v>
      </c>
      <c r="J257" t="n">
        <v>0</v>
      </c>
      <c r="K257" t="n">
        <v>0</v>
      </c>
      <c r="L257" t="n">
        <v>0</v>
      </c>
      <c r="M257" t="n">
        <v>0</v>
      </c>
      <c r="N257" t="n">
        <v>0</v>
      </c>
      <c r="O257" t="n">
        <v>0</v>
      </c>
      <c r="P257" t="n">
        <v>0</v>
      </c>
      <c r="Q257" t="n">
        <v>0</v>
      </c>
      <c r="R257" s="2" t="inlineStr"/>
    </row>
    <row r="258" ht="15" customHeight="1">
      <c r="A258" t="inlineStr">
        <is>
          <t>A 12875-2022</t>
        </is>
      </c>
      <c r="B258" s="1" t="n">
        <v>44642.55565972222</v>
      </c>
      <c r="C258" s="1" t="n">
        <v>46105</v>
      </c>
      <c r="D258" t="inlineStr">
        <is>
          <t>STOCKHOLMS LÄN</t>
        </is>
      </c>
      <c r="E258" t="inlineStr">
        <is>
          <t>NORRTÄLJE</t>
        </is>
      </c>
      <c r="G258" t="n">
        <v>1.6</v>
      </c>
      <c r="H258" t="n">
        <v>0</v>
      </c>
      <c r="I258" t="n">
        <v>0</v>
      </c>
      <c r="J258" t="n">
        <v>0</v>
      </c>
      <c r="K258" t="n">
        <v>0</v>
      </c>
      <c r="L258" t="n">
        <v>0</v>
      </c>
      <c r="M258" t="n">
        <v>0</v>
      </c>
      <c r="N258" t="n">
        <v>0</v>
      </c>
      <c r="O258" t="n">
        <v>0</v>
      </c>
      <c r="P258" t="n">
        <v>0</v>
      </c>
      <c r="Q258" t="n">
        <v>0</v>
      </c>
      <c r="R258" s="2" t="inlineStr"/>
    </row>
    <row r="259" ht="15" customHeight="1">
      <c r="A259" t="inlineStr">
        <is>
          <t>A 23453-2021</t>
        </is>
      </c>
      <c r="B259" s="1" t="n">
        <v>44333</v>
      </c>
      <c r="C259" s="1" t="n">
        <v>46105</v>
      </c>
      <c r="D259" t="inlineStr">
        <is>
          <t>STOCKHOLMS LÄN</t>
        </is>
      </c>
      <c r="E259" t="inlineStr">
        <is>
          <t>NORRTÄLJE</t>
        </is>
      </c>
      <c r="G259" t="n">
        <v>1.8</v>
      </c>
      <c r="H259" t="n">
        <v>0</v>
      </c>
      <c r="I259" t="n">
        <v>0</v>
      </c>
      <c r="J259" t="n">
        <v>0</v>
      </c>
      <c r="K259" t="n">
        <v>0</v>
      </c>
      <c r="L259" t="n">
        <v>0</v>
      </c>
      <c r="M259" t="n">
        <v>0</v>
      </c>
      <c r="N259" t="n">
        <v>0</v>
      </c>
      <c r="O259" t="n">
        <v>0</v>
      </c>
      <c r="P259" t="n">
        <v>0</v>
      </c>
      <c r="Q259" t="n">
        <v>0</v>
      </c>
      <c r="R259" s="2" t="inlineStr"/>
    </row>
    <row r="260" ht="15" customHeight="1">
      <c r="A260" t="inlineStr">
        <is>
          <t>A 12355-2022</t>
        </is>
      </c>
      <c r="B260" s="1" t="n">
        <v>44637</v>
      </c>
      <c r="C260" s="1" t="n">
        <v>46105</v>
      </c>
      <c r="D260" t="inlineStr">
        <is>
          <t>STOCKHOLMS LÄN</t>
        </is>
      </c>
      <c r="E260" t="inlineStr">
        <is>
          <t>NORRTÄLJE</t>
        </is>
      </c>
      <c r="G260" t="n">
        <v>10.4</v>
      </c>
      <c r="H260" t="n">
        <v>0</v>
      </c>
      <c r="I260" t="n">
        <v>0</v>
      </c>
      <c r="J260" t="n">
        <v>0</v>
      </c>
      <c r="K260" t="n">
        <v>0</v>
      </c>
      <c r="L260" t="n">
        <v>0</v>
      </c>
      <c r="M260" t="n">
        <v>0</v>
      </c>
      <c r="N260" t="n">
        <v>0</v>
      </c>
      <c r="O260" t="n">
        <v>0</v>
      </c>
      <c r="P260" t="n">
        <v>0</v>
      </c>
      <c r="Q260" t="n">
        <v>0</v>
      </c>
      <c r="R260" s="2" t="inlineStr"/>
    </row>
    <row r="261" ht="15" customHeight="1">
      <c r="A261" t="inlineStr">
        <is>
          <t>A 27214-2021</t>
        </is>
      </c>
      <c r="B261" s="1" t="n">
        <v>44350</v>
      </c>
      <c r="C261" s="1" t="n">
        <v>46105</v>
      </c>
      <c r="D261" t="inlineStr">
        <is>
          <t>STOCKHOLMS LÄN</t>
        </is>
      </c>
      <c r="E261" t="inlineStr">
        <is>
          <t>NORRTÄLJE</t>
        </is>
      </c>
      <c r="G261" t="n">
        <v>1</v>
      </c>
      <c r="H261" t="n">
        <v>0</v>
      </c>
      <c r="I261" t="n">
        <v>0</v>
      </c>
      <c r="J261" t="n">
        <v>0</v>
      </c>
      <c r="K261" t="n">
        <v>0</v>
      </c>
      <c r="L261" t="n">
        <v>0</v>
      </c>
      <c r="M261" t="n">
        <v>0</v>
      </c>
      <c r="N261" t="n">
        <v>0</v>
      </c>
      <c r="O261" t="n">
        <v>0</v>
      </c>
      <c r="P261" t="n">
        <v>0</v>
      </c>
      <c r="Q261" t="n">
        <v>0</v>
      </c>
      <c r="R261" s="2" t="inlineStr"/>
    </row>
    <row r="262" ht="15" customHeight="1">
      <c r="A262" t="inlineStr">
        <is>
          <t>A 41822-2021</t>
        </is>
      </c>
      <c r="B262" s="1" t="n">
        <v>44425</v>
      </c>
      <c r="C262" s="1" t="n">
        <v>46105</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41823-2021</t>
        </is>
      </c>
      <c r="B263" s="1" t="n">
        <v>44425</v>
      </c>
      <c r="C263" s="1" t="n">
        <v>46105</v>
      </c>
      <c r="D263" t="inlineStr">
        <is>
          <t>STOCKHOLMS LÄN</t>
        </is>
      </c>
      <c r="E263" t="inlineStr">
        <is>
          <t>NORRTÄLJE</t>
        </is>
      </c>
      <c r="G263" t="n">
        <v>2.4</v>
      </c>
      <c r="H263" t="n">
        <v>0</v>
      </c>
      <c r="I263" t="n">
        <v>0</v>
      </c>
      <c r="J263" t="n">
        <v>0</v>
      </c>
      <c r="K263" t="n">
        <v>0</v>
      </c>
      <c r="L263" t="n">
        <v>0</v>
      </c>
      <c r="M263" t="n">
        <v>0</v>
      </c>
      <c r="N263" t="n">
        <v>0</v>
      </c>
      <c r="O263" t="n">
        <v>0</v>
      </c>
      <c r="P263" t="n">
        <v>0</v>
      </c>
      <c r="Q263" t="n">
        <v>0</v>
      </c>
      <c r="R263" s="2" t="inlineStr"/>
    </row>
    <row r="264" ht="15" customHeight="1">
      <c r="A264" t="inlineStr">
        <is>
          <t>A 7565-2022</t>
        </is>
      </c>
      <c r="B264" s="1" t="n">
        <v>44607</v>
      </c>
      <c r="C264" s="1" t="n">
        <v>46105</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20295-2022</t>
        </is>
      </c>
      <c r="B265" s="1" t="n">
        <v>44698</v>
      </c>
      <c r="C265" s="1" t="n">
        <v>46105</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37415-2021</t>
        </is>
      </c>
      <c r="B266" s="1" t="n">
        <v>44397</v>
      </c>
      <c r="C266" s="1" t="n">
        <v>46105</v>
      </c>
      <c r="D266" t="inlineStr">
        <is>
          <t>STOCKHOLMS LÄN</t>
        </is>
      </c>
      <c r="E266" t="inlineStr">
        <is>
          <t>NORRTÄLJE</t>
        </is>
      </c>
      <c r="F266" t="inlineStr">
        <is>
          <t>Övriga Aktiebolag</t>
        </is>
      </c>
      <c r="G266" t="n">
        <v>3</v>
      </c>
      <c r="H266" t="n">
        <v>0</v>
      </c>
      <c r="I266" t="n">
        <v>0</v>
      </c>
      <c r="J266" t="n">
        <v>0</v>
      </c>
      <c r="K266" t="n">
        <v>0</v>
      </c>
      <c r="L266" t="n">
        <v>0</v>
      </c>
      <c r="M266" t="n">
        <v>0</v>
      </c>
      <c r="N266" t="n">
        <v>0</v>
      </c>
      <c r="O266" t="n">
        <v>0</v>
      </c>
      <c r="P266" t="n">
        <v>0</v>
      </c>
      <c r="Q266" t="n">
        <v>0</v>
      </c>
      <c r="R266" s="2" t="inlineStr"/>
    </row>
    <row r="267" ht="15" customHeight="1">
      <c r="A267" t="inlineStr">
        <is>
          <t>A 8160-2022</t>
        </is>
      </c>
      <c r="B267" s="1" t="n">
        <v>44609</v>
      </c>
      <c r="C267" s="1" t="n">
        <v>46105</v>
      </c>
      <c r="D267" t="inlineStr">
        <is>
          <t>STOCKHOLMS LÄN</t>
        </is>
      </c>
      <c r="E267" t="inlineStr">
        <is>
          <t>NORRTÄLJE</t>
        </is>
      </c>
      <c r="G267" t="n">
        <v>3.9</v>
      </c>
      <c r="H267" t="n">
        <v>0</v>
      </c>
      <c r="I267" t="n">
        <v>0</v>
      </c>
      <c r="J267" t="n">
        <v>0</v>
      </c>
      <c r="K267" t="n">
        <v>0</v>
      </c>
      <c r="L267" t="n">
        <v>0</v>
      </c>
      <c r="M267" t="n">
        <v>0</v>
      </c>
      <c r="N267" t="n">
        <v>0</v>
      </c>
      <c r="O267" t="n">
        <v>0</v>
      </c>
      <c r="P267" t="n">
        <v>0</v>
      </c>
      <c r="Q267" t="n">
        <v>0</v>
      </c>
      <c r="R267" s="2" t="inlineStr"/>
    </row>
    <row r="268" ht="15" customHeight="1">
      <c r="A268" t="inlineStr">
        <is>
          <t>A 30286-2022</t>
        </is>
      </c>
      <c r="B268" s="1" t="n">
        <v>44760</v>
      </c>
      <c r="C268" s="1" t="n">
        <v>46105</v>
      </c>
      <c r="D268" t="inlineStr">
        <is>
          <t>STOCKHOLMS LÄN</t>
        </is>
      </c>
      <c r="E268" t="inlineStr">
        <is>
          <t>NORRTÄLJE</t>
        </is>
      </c>
      <c r="G268" t="n">
        <v>0.3</v>
      </c>
      <c r="H268" t="n">
        <v>0</v>
      </c>
      <c r="I268" t="n">
        <v>0</v>
      </c>
      <c r="J268" t="n">
        <v>0</v>
      </c>
      <c r="K268" t="n">
        <v>0</v>
      </c>
      <c r="L268" t="n">
        <v>0</v>
      </c>
      <c r="M268" t="n">
        <v>0</v>
      </c>
      <c r="N268" t="n">
        <v>0</v>
      </c>
      <c r="O268" t="n">
        <v>0</v>
      </c>
      <c r="P268" t="n">
        <v>0</v>
      </c>
      <c r="Q268" t="n">
        <v>0</v>
      </c>
      <c r="R268" s="2" t="inlineStr"/>
    </row>
    <row r="269" ht="15" customHeight="1">
      <c r="A269" t="inlineStr">
        <is>
          <t>A 39319-2022</t>
        </is>
      </c>
      <c r="B269" s="1" t="n">
        <v>44817.70516203704</v>
      </c>
      <c r="C269" s="1" t="n">
        <v>46105</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56219-2021</t>
        </is>
      </c>
      <c r="B270" s="1" t="n">
        <v>44477</v>
      </c>
      <c r="C270" s="1" t="n">
        <v>46105</v>
      </c>
      <c r="D270" t="inlineStr">
        <is>
          <t>STOCKHOLMS LÄN</t>
        </is>
      </c>
      <c r="E270" t="inlineStr">
        <is>
          <t>NORRTÄLJE</t>
        </is>
      </c>
      <c r="F270" t="inlineStr">
        <is>
          <t>Kommuner</t>
        </is>
      </c>
      <c r="G270" t="n">
        <v>2.3</v>
      </c>
      <c r="H270" t="n">
        <v>0</v>
      </c>
      <c r="I270" t="n">
        <v>0</v>
      </c>
      <c r="J270" t="n">
        <v>0</v>
      </c>
      <c r="K270" t="n">
        <v>0</v>
      </c>
      <c r="L270" t="n">
        <v>0</v>
      </c>
      <c r="M270" t="n">
        <v>0</v>
      </c>
      <c r="N270" t="n">
        <v>0</v>
      </c>
      <c r="O270" t="n">
        <v>0</v>
      </c>
      <c r="P270" t="n">
        <v>0</v>
      </c>
      <c r="Q270" t="n">
        <v>0</v>
      </c>
      <c r="R270" s="2" t="inlineStr"/>
    </row>
    <row r="271" ht="15" customHeight="1">
      <c r="A271" t="inlineStr">
        <is>
          <t>A 15226-2022</t>
        </is>
      </c>
      <c r="B271" s="1" t="n">
        <v>44658</v>
      </c>
      <c r="C271" s="1" t="n">
        <v>46105</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3300-2022</t>
        </is>
      </c>
      <c r="B272" s="1" t="n">
        <v>44584.91538194445</v>
      </c>
      <c r="C272" s="1" t="n">
        <v>46105</v>
      </c>
      <c r="D272" t="inlineStr">
        <is>
          <t>STOCKHOLMS LÄN</t>
        </is>
      </c>
      <c r="E272" t="inlineStr">
        <is>
          <t>NORRTÄLJE</t>
        </is>
      </c>
      <c r="G272" t="n">
        <v>0.4</v>
      </c>
      <c r="H272" t="n">
        <v>0</v>
      </c>
      <c r="I272" t="n">
        <v>0</v>
      </c>
      <c r="J272" t="n">
        <v>0</v>
      </c>
      <c r="K272" t="n">
        <v>0</v>
      </c>
      <c r="L272" t="n">
        <v>0</v>
      </c>
      <c r="M272" t="n">
        <v>0</v>
      </c>
      <c r="N272" t="n">
        <v>0</v>
      </c>
      <c r="O272" t="n">
        <v>0</v>
      </c>
      <c r="P272" t="n">
        <v>0</v>
      </c>
      <c r="Q272" t="n">
        <v>0</v>
      </c>
      <c r="R272" s="2" t="inlineStr"/>
    </row>
    <row r="273" ht="15" customHeight="1">
      <c r="A273" t="inlineStr">
        <is>
          <t>A 17388-2022</t>
        </is>
      </c>
      <c r="B273" s="1" t="n">
        <v>44678</v>
      </c>
      <c r="C273" s="1" t="n">
        <v>46105</v>
      </c>
      <c r="D273" t="inlineStr">
        <is>
          <t>STOCKHOLMS LÄN</t>
        </is>
      </c>
      <c r="E273" t="inlineStr">
        <is>
          <t>NORRTÄLJE</t>
        </is>
      </c>
      <c r="G273" t="n">
        <v>2.4</v>
      </c>
      <c r="H273" t="n">
        <v>0</v>
      </c>
      <c r="I273" t="n">
        <v>0</v>
      </c>
      <c r="J273" t="n">
        <v>0</v>
      </c>
      <c r="K273" t="n">
        <v>0</v>
      </c>
      <c r="L273" t="n">
        <v>0</v>
      </c>
      <c r="M273" t="n">
        <v>0</v>
      </c>
      <c r="N273" t="n">
        <v>0</v>
      </c>
      <c r="O273" t="n">
        <v>0</v>
      </c>
      <c r="P273" t="n">
        <v>0</v>
      </c>
      <c r="Q273" t="n">
        <v>0</v>
      </c>
      <c r="R273" s="2" t="inlineStr"/>
    </row>
    <row r="274" ht="15" customHeight="1">
      <c r="A274" t="inlineStr">
        <is>
          <t>A 17771-2022</t>
        </is>
      </c>
      <c r="B274" s="1" t="n">
        <v>44682.75924768519</v>
      </c>
      <c r="C274" s="1" t="n">
        <v>46105</v>
      </c>
      <c r="D274" t="inlineStr">
        <is>
          <t>STOCKHOLMS LÄN</t>
        </is>
      </c>
      <c r="E274" t="inlineStr">
        <is>
          <t>NORRTÄLJE</t>
        </is>
      </c>
      <c r="G274" t="n">
        <v>13.3</v>
      </c>
      <c r="H274" t="n">
        <v>0</v>
      </c>
      <c r="I274" t="n">
        <v>0</v>
      </c>
      <c r="J274" t="n">
        <v>0</v>
      </c>
      <c r="K274" t="n">
        <v>0</v>
      </c>
      <c r="L274" t="n">
        <v>0</v>
      </c>
      <c r="M274" t="n">
        <v>0</v>
      </c>
      <c r="N274" t="n">
        <v>0</v>
      </c>
      <c r="O274" t="n">
        <v>0</v>
      </c>
      <c r="P274" t="n">
        <v>0</v>
      </c>
      <c r="Q274" t="n">
        <v>0</v>
      </c>
      <c r="R274" s="2" t="inlineStr"/>
    </row>
    <row r="275" ht="15" customHeight="1">
      <c r="A275" t="inlineStr">
        <is>
          <t>A 17773-2022</t>
        </is>
      </c>
      <c r="B275" s="1" t="n">
        <v>44682.77616898148</v>
      </c>
      <c r="C275" s="1" t="n">
        <v>46105</v>
      </c>
      <c r="D275" t="inlineStr">
        <is>
          <t>STOCKHOLMS LÄN</t>
        </is>
      </c>
      <c r="E275" t="inlineStr">
        <is>
          <t>NORRTÄLJE</t>
        </is>
      </c>
      <c r="G275" t="n">
        <v>10.8</v>
      </c>
      <c r="H275" t="n">
        <v>0</v>
      </c>
      <c r="I275" t="n">
        <v>0</v>
      </c>
      <c r="J275" t="n">
        <v>0</v>
      </c>
      <c r="K275" t="n">
        <v>0</v>
      </c>
      <c r="L275" t="n">
        <v>0</v>
      </c>
      <c r="M275" t="n">
        <v>0</v>
      </c>
      <c r="N275" t="n">
        <v>0</v>
      </c>
      <c r="O275" t="n">
        <v>0</v>
      </c>
      <c r="P275" t="n">
        <v>0</v>
      </c>
      <c r="Q275" t="n">
        <v>0</v>
      </c>
      <c r="R275" s="2" t="inlineStr"/>
    </row>
    <row r="276" ht="15" customHeight="1">
      <c r="A276" t="inlineStr">
        <is>
          <t>A 10521-2022</t>
        </is>
      </c>
      <c r="B276" s="1" t="n">
        <v>44623</v>
      </c>
      <c r="C276" s="1" t="n">
        <v>46105</v>
      </c>
      <c r="D276" t="inlineStr">
        <is>
          <t>STOCKHOLMS LÄN</t>
        </is>
      </c>
      <c r="E276" t="inlineStr">
        <is>
          <t>NORRTÄLJE</t>
        </is>
      </c>
      <c r="G276" t="n">
        <v>2.9</v>
      </c>
      <c r="H276" t="n">
        <v>0</v>
      </c>
      <c r="I276" t="n">
        <v>0</v>
      </c>
      <c r="J276" t="n">
        <v>0</v>
      </c>
      <c r="K276" t="n">
        <v>0</v>
      </c>
      <c r="L276" t="n">
        <v>0</v>
      </c>
      <c r="M276" t="n">
        <v>0</v>
      </c>
      <c r="N276" t="n">
        <v>0</v>
      </c>
      <c r="O276" t="n">
        <v>0</v>
      </c>
      <c r="P276" t="n">
        <v>0</v>
      </c>
      <c r="Q276" t="n">
        <v>0</v>
      </c>
      <c r="R276" s="2" t="inlineStr"/>
    </row>
    <row r="277" ht="15" customHeight="1">
      <c r="A277" t="inlineStr">
        <is>
          <t>A 16117-2022</t>
        </is>
      </c>
      <c r="B277" s="1" t="n">
        <v>44665.65474537037</v>
      </c>
      <c r="C277" s="1" t="n">
        <v>46105</v>
      </c>
      <c r="D277" t="inlineStr">
        <is>
          <t>STOCKHOLMS LÄN</t>
        </is>
      </c>
      <c r="E277" t="inlineStr">
        <is>
          <t>NORRTÄLJE</t>
        </is>
      </c>
      <c r="G277" t="n">
        <v>8.1</v>
      </c>
      <c r="H277" t="n">
        <v>0</v>
      </c>
      <c r="I277" t="n">
        <v>0</v>
      </c>
      <c r="J277" t="n">
        <v>0</v>
      </c>
      <c r="K277" t="n">
        <v>0</v>
      </c>
      <c r="L277" t="n">
        <v>0</v>
      </c>
      <c r="M277" t="n">
        <v>0</v>
      </c>
      <c r="N277" t="n">
        <v>0</v>
      </c>
      <c r="O277" t="n">
        <v>0</v>
      </c>
      <c r="P277" t="n">
        <v>0</v>
      </c>
      <c r="Q277" t="n">
        <v>0</v>
      </c>
      <c r="R277" s="2" t="inlineStr"/>
    </row>
    <row r="278" ht="15" customHeight="1">
      <c r="A278" t="inlineStr">
        <is>
          <t>A 16132-2022</t>
        </is>
      </c>
      <c r="B278" s="1" t="n">
        <v>44665.78351851852</v>
      </c>
      <c r="C278" s="1" t="n">
        <v>46105</v>
      </c>
      <c r="D278" t="inlineStr">
        <is>
          <t>STOCKHOLMS LÄN</t>
        </is>
      </c>
      <c r="E278" t="inlineStr">
        <is>
          <t>NORRTÄLJE</t>
        </is>
      </c>
      <c r="G278" t="n">
        <v>4.4</v>
      </c>
      <c r="H278" t="n">
        <v>0</v>
      </c>
      <c r="I278" t="n">
        <v>0</v>
      </c>
      <c r="J278" t="n">
        <v>0</v>
      </c>
      <c r="K278" t="n">
        <v>0</v>
      </c>
      <c r="L278" t="n">
        <v>0</v>
      </c>
      <c r="M278" t="n">
        <v>0</v>
      </c>
      <c r="N278" t="n">
        <v>0</v>
      </c>
      <c r="O278" t="n">
        <v>0</v>
      </c>
      <c r="P278" t="n">
        <v>0</v>
      </c>
      <c r="Q278" t="n">
        <v>0</v>
      </c>
      <c r="R278" s="2" t="inlineStr"/>
    </row>
    <row r="279" ht="15" customHeight="1">
      <c r="A279" t="inlineStr">
        <is>
          <t>A 70170-2021</t>
        </is>
      </c>
      <c r="B279" s="1" t="n">
        <v>44533</v>
      </c>
      <c r="C279" s="1" t="n">
        <v>46105</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25463-2021</t>
        </is>
      </c>
      <c r="B280" s="1" t="n">
        <v>44342</v>
      </c>
      <c r="C280" s="1" t="n">
        <v>46105</v>
      </c>
      <c r="D280" t="inlineStr">
        <is>
          <t>STOCKHOLMS LÄN</t>
        </is>
      </c>
      <c r="E280" t="inlineStr">
        <is>
          <t>NORRTÄLJE</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21102-2022</t>
        </is>
      </c>
      <c r="B281" s="1" t="n">
        <v>44704</v>
      </c>
      <c r="C281" s="1" t="n">
        <v>46105</v>
      </c>
      <c r="D281" t="inlineStr">
        <is>
          <t>STOCKHOLMS LÄN</t>
        </is>
      </c>
      <c r="E281" t="inlineStr">
        <is>
          <t>NORRTÄLJE</t>
        </is>
      </c>
      <c r="G281" t="n">
        <v>0.2</v>
      </c>
      <c r="H281" t="n">
        <v>0</v>
      </c>
      <c r="I281" t="n">
        <v>0</v>
      </c>
      <c r="J281" t="n">
        <v>0</v>
      </c>
      <c r="K281" t="n">
        <v>0</v>
      </c>
      <c r="L281" t="n">
        <v>0</v>
      </c>
      <c r="M281" t="n">
        <v>0</v>
      </c>
      <c r="N281" t="n">
        <v>0</v>
      </c>
      <c r="O281" t="n">
        <v>0</v>
      </c>
      <c r="P281" t="n">
        <v>0</v>
      </c>
      <c r="Q281" t="n">
        <v>0</v>
      </c>
      <c r="R281" s="2" t="inlineStr"/>
    </row>
    <row r="282" ht="15" customHeight="1">
      <c r="A282" t="inlineStr">
        <is>
          <t>A 71880-2021</t>
        </is>
      </c>
      <c r="B282" s="1" t="n">
        <v>44543</v>
      </c>
      <c r="C282" s="1" t="n">
        <v>46105</v>
      </c>
      <c r="D282" t="inlineStr">
        <is>
          <t>STOCKHOLMS LÄN</t>
        </is>
      </c>
      <c r="E282" t="inlineStr">
        <is>
          <t>NORRTÄLJE</t>
        </is>
      </c>
      <c r="G282" t="n">
        <v>2</v>
      </c>
      <c r="H282" t="n">
        <v>0</v>
      </c>
      <c r="I282" t="n">
        <v>0</v>
      </c>
      <c r="J282" t="n">
        <v>0</v>
      </c>
      <c r="K282" t="n">
        <v>0</v>
      </c>
      <c r="L282" t="n">
        <v>0</v>
      </c>
      <c r="M282" t="n">
        <v>0</v>
      </c>
      <c r="N282" t="n">
        <v>0</v>
      </c>
      <c r="O282" t="n">
        <v>0</v>
      </c>
      <c r="P282" t="n">
        <v>0</v>
      </c>
      <c r="Q282" t="n">
        <v>0</v>
      </c>
      <c r="R282" s="2" t="inlineStr"/>
    </row>
    <row r="283" ht="15" customHeight="1">
      <c r="A283" t="inlineStr">
        <is>
          <t>A 17772-2022</t>
        </is>
      </c>
      <c r="B283" s="1" t="n">
        <v>44682.76528935185</v>
      </c>
      <c r="C283" s="1" t="n">
        <v>46105</v>
      </c>
      <c r="D283" t="inlineStr">
        <is>
          <t>STOCKHOLMS LÄN</t>
        </is>
      </c>
      <c r="E283" t="inlineStr">
        <is>
          <t>NORRTÄLJE</t>
        </is>
      </c>
      <c r="G283" t="n">
        <v>4</v>
      </c>
      <c r="H283" t="n">
        <v>0</v>
      </c>
      <c r="I283" t="n">
        <v>0</v>
      </c>
      <c r="J283" t="n">
        <v>0</v>
      </c>
      <c r="K283" t="n">
        <v>0</v>
      </c>
      <c r="L283" t="n">
        <v>0</v>
      </c>
      <c r="M283" t="n">
        <v>0</v>
      </c>
      <c r="N283" t="n">
        <v>0</v>
      </c>
      <c r="O283" t="n">
        <v>0</v>
      </c>
      <c r="P283" t="n">
        <v>0</v>
      </c>
      <c r="Q283" t="n">
        <v>0</v>
      </c>
      <c r="R283" s="2" t="inlineStr"/>
    </row>
    <row r="284" ht="15" customHeight="1">
      <c r="A284" t="inlineStr">
        <is>
          <t>A 67285-2021</t>
        </is>
      </c>
      <c r="B284" s="1" t="n">
        <v>44523.61635416667</v>
      </c>
      <c r="C284" s="1" t="n">
        <v>46105</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5611-2022</t>
        </is>
      </c>
      <c r="B285" s="1" t="n">
        <v>44595</v>
      </c>
      <c r="C285" s="1" t="n">
        <v>46105</v>
      </c>
      <c r="D285" t="inlineStr">
        <is>
          <t>STOCKHOLMS LÄN</t>
        </is>
      </c>
      <c r="E285" t="inlineStr">
        <is>
          <t>NORRTÄLJE</t>
        </is>
      </c>
      <c r="G285" t="n">
        <v>0.5</v>
      </c>
      <c r="H285" t="n">
        <v>0</v>
      </c>
      <c r="I285" t="n">
        <v>0</v>
      </c>
      <c r="J285" t="n">
        <v>0</v>
      </c>
      <c r="K285" t="n">
        <v>0</v>
      </c>
      <c r="L285" t="n">
        <v>0</v>
      </c>
      <c r="M285" t="n">
        <v>0</v>
      </c>
      <c r="N285" t="n">
        <v>0</v>
      </c>
      <c r="O285" t="n">
        <v>0</v>
      </c>
      <c r="P285" t="n">
        <v>0</v>
      </c>
      <c r="Q285" t="n">
        <v>0</v>
      </c>
      <c r="R285" s="2" t="inlineStr"/>
    </row>
    <row r="286" ht="15" customHeight="1">
      <c r="A286" t="inlineStr">
        <is>
          <t>A 32055-2021</t>
        </is>
      </c>
      <c r="B286" s="1" t="n">
        <v>44370.72197916666</v>
      </c>
      <c r="C286" s="1" t="n">
        <v>46105</v>
      </c>
      <c r="D286" t="inlineStr">
        <is>
          <t>STOCKHOLMS LÄN</t>
        </is>
      </c>
      <c r="E286" t="inlineStr">
        <is>
          <t>NORRTÄLJE</t>
        </is>
      </c>
      <c r="G286" t="n">
        <v>1.2</v>
      </c>
      <c r="H286" t="n">
        <v>0</v>
      </c>
      <c r="I286" t="n">
        <v>0</v>
      </c>
      <c r="J286" t="n">
        <v>0</v>
      </c>
      <c r="K286" t="n">
        <v>0</v>
      </c>
      <c r="L286" t="n">
        <v>0</v>
      </c>
      <c r="M286" t="n">
        <v>0</v>
      </c>
      <c r="N286" t="n">
        <v>0</v>
      </c>
      <c r="O286" t="n">
        <v>0</v>
      </c>
      <c r="P286" t="n">
        <v>0</v>
      </c>
      <c r="Q286" t="n">
        <v>0</v>
      </c>
      <c r="R286" s="2" t="inlineStr"/>
    </row>
    <row r="287" ht="15" customHeight="1">
      <c r="A287" t="inlineStr">
        <is>
          <t>A 24101-2022</t>
        </is>
      </c>
      <c r="B287" s="1" t="n">
        <v>44725</v>
      </c>
      <c r="C287" s="1" t="n">
        <v>46105</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38721-2022</t>
        </is>
      </c>
      <c r="B288" s="1" t="n">
        <v>44815</v>
      </c>
      <c r="C288" s="1" t="n">
        <v>46105</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60184-2021</t>
        </is>
      </c>
      <c r="B289" s="1" t="n">
        <v>44495</v>
      </c>
      <c r="C289" s="1" t="n">
        <v>46105</v>
      </c>
      <c r="D289" t="inlineStr">
        <is>
          <t>STOCKHOLMS LÄN</t>
        </is>
      </c>
      <c r="E289" t="inlineStr">
        <is>
          <t>NORRTÄLJE</t>
        </is>
      </c>
      <c r="G289" t="n">
        <v>1.8</v>
      </c>
      <c r="H289" t="n">
        <v>0</v>
      </c>
      <c r="I289" t="n">
        <v>0</v>
      </c>
      <c r="J289" t="n">
        <v>0</v>
      </c>
      <c r="K289" t="n">
        <v>0</v>
      </c>
      <c r="L289" t="n">
        <v>0</v>
      </c>
      <c r="M289" t="n">
        <v>0</v>
      </c>
      <c r="N289" t="n">
        <v>0</v>
      </c>
      <c r="O289" t="n">
        <v>0</v>
      </c>
      <c r="P289" t="n">
        <v>0</v>
      </c>
      <c r="Q289" t="n">
        <v>0</v>
      </c>
      <c r="R289" s="2" t="inlineStr"/>
    </row>
    <row r="290" ht="15" customHeight="1">
      <c r="A290" t="inlineStr">
        <is>
          <t>A 55012-2024</t>
        </is>
      </c>
      <c r="B290" s="1" t="n">
        <v>45621.34813657407</v>
      </c>
      <c r="C290" s="1" t="n">
        <v>46105</v>
      </c>
      <c r="D290" t="inlineStr">
        <is>
          <t>STOCKHOLMS LÄN</t>
        </is>
      </c>
      <c r="E290" t="inlineStr">
        <is>
          <t>NORRTÄLJE</t>
        </is>
      </c>
      <c r="F290" t="inlineStr">
        <is>
          <t>Sveaskog</t>
        </is>
      </c>
      <c r="G290" t="n">
        <v>5.2</v>
      </c>
      <c r="H290" t="n">
        <v>0</v>
      </c>
      <c r="I290" t="n">
        <v>0</v>
      </c>
      <c r="J290" t="n">
        <v>0</v>
      </c>
      <c r="K290" t="n">
        <v>0</v>
      </c>
      <c r="L290" t="n">
        <v>0</v>
      </c>
      <c r="M290" t="n">
        <v>0</v>
      </c>
      <c r="N290" t="n">
        <v>0</v>
      </c>
      <c r="O290" t="n">
        <v>0</v>
      </c>
      <c r="P290" t="n">
        <v>0</v>
      </c>
      <c r="Q290" t="n">
        <v>0</v>
      </c>
      <c r="R290" s="2" t="inlineStr"/>
    </row>
    <row r="291" ht="15" customHeight="1">
      <c r="A291" t="inlineStr">
        <is>
          <t>A 12348-2025</t>
        </is>
      </c>
      <c r="B291" s="1" t="n">
        <v>45730.35026620371</v>
      </c>
      <c r="C291" s="1" t="n">
        <v>46105</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23271-2023</t>
        </is>
      </c>
      <c r="B292" s="1" t="n">
        <v>45075.91362268518</v>
      </c>
      <c r="C292" s="1" t="n">
        <v>46105</v>
      </c>
      <c r="D292" t="inlineStr">
        <is>
          <t>STOCKHOLMS LÄN</t>
        </is>
      </c>
      <c r="E292" t="inlineStr">
        <is>
          <t>NORRTÄLJE</t>
        </is>
      </c>
      <c r="G292" t="n">
        <v>5.1</v>
      </c>
      <c r="H292" t="n">
        <v>0</v>
      </c>
      <c r="I292" t="n">
        <v>0</v>
      </c>
      <c r="J292" t="n">
        <v>0</v>
      </c>
      <c r="K292" t="n">
        <v>0</v>
      </c>
      <c r="L292" t="n">
        <v>0</v>
      </c>
      <c r="M292" t="n">
        <v>0</v>
      </c>
      <c r="N292" t="n">
        <v>0</v>
      </c>
      <c r="O292" t="n">
        <v>0</v>
      </c>
      <c r="P292" t="n">
        <v>0</v>
      </c>
      <c r="Q292" t="n">
        <v>0</v>
      </c>
      <c r="R292" s="2" t="inlineStr"/>
    </row>
    <row r="293" ht="15" customHeight="1">
      <c r="A293" t="inlineStr">
        <is>
          <t>A 23273-2023</t>
        </is>
      </c>
      <c r="B293" s="1" t="n">
        <v>45075.91971064815</v>
      </c>
      <c r="C293" s="1" t="n">
        <v>46105</v>
      </c>
      <c r="D293" t="inlineStr">
        <is>
          <t>STOCKHOLMS LÄN</t>
        </is>
      </c>
      <c r="E293" t="inlineStr">
        <is>
          <t>NORRTÄLJE</t>
        </is>
      </c>
      <c r="G293" t="n">
        <v>7.5</v>
      </c>
      <c r="H293" t="n">
        <v>0</v>
      </c>
      <c r="I293" t="n">
        <v>0</v>
      </c>
      <c r="J293" t="n">
        <v>0</v>
      </c>
      <c r="K293" t="n">
        <v>0</v>
      </c>
      <c r="L293" t="n">
        <v>0</v>
      </c>
      <c r="M293" t="n">
        <v>0</v>
      </c>
      <c r="N293" t="n">
        <v>0</v>
      </c>
      <c r="O293" t="n">
        <v>0</v>
      </c>
      <c r="P293" t="n">
        <v>0</v>
      </c>
      <c r="Q293" t="n">
        <v>0</v>
      </c>
      <c r="R293" s="2" t="inlineStr"/>
    </row>
    <row r="294" ht="15" customHeight="1">
      <c r="A294" t="inlineStr">
        <is>
          <t>A 30802-2022</t>
        </is>
      </c>
      <c r="B294" s="1" t="n">
        <v>44764</v>
      </c>
      <c r="C294" s="1" t="n">
        <v>46105</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19706-2023</t>
        </is>
      </c>
      <c r="B295" s="1" t="n">
        <v>45051.455</v>
      </c>
      <c r="C295" s="1" t="n">
        <v>46105</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33053-2021</t>
        </is>
      </c>
      <c r="B296" s="1" t="n">
        <v>44376</v>
      </c>
      <c r="C296" s="1" t="n">
        <v>46105</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16008-2025</t>
        </is>
      </c>
      <c r="B297" s="1" t="n">
        <v>45749</v>
      </c>
      <c r="C297" s="1" t="n">
        <v>46105</v>
      </c>
      <c r="D297" t="inlineStr">
        <is>
          <t>STOCKHOLMS LÄN</t>
        </is>
      </c>
      <c r="E297" t="inlineStr">
        <is>
          <t>NORRTÄLJE</t>
        </is>
      </c>
      <c r="F297" t="inlineStr">
        <is>
          <t>Holmen skog AB</t>
        </is>
      </c>
      <c r="G297" t="n">
        <v>0.9</v>
      </c>
      <c r="H297" t="n">
        <v>0</v>
      </c>
      <c r="I297" t="n">
        <v>0</v>
      </c>
      <c r="J297" t="n">
        <v>0</v>
      </c>
      <c r="K297" t="n">
        <v>0</v>
      </c>
      <c r="L297" t="n">
        <v>0</v>
      </c>
      <c r="M297" t="n">
        <v>0</v>
      </c>
      <c r="N297" t="n">
        <v>0</v>
      </c>
      <c r="O297" t="n">
        <v>0</v>
      </c>
      <c r="P297" t="n">
        <v>0</v>
      </c>
      <c r="Q297" t="n">
        <v>0</v>
      </c>
      <c r="R297" s="2" t="inlineStr"/>
    </row>
    <row r="298" ht="15" customHeight="1">
      <c r="A298" t="inlineStr">
        <is>
          <t>A 9765-2024</t>
        </is>
      </c>
      <c r="B298" s="1" t="n">
        <v>45362.62811342593</v>
      </c>
      <c r="C298" s="1" t="n">
        <v>46105</v>
      </c>
      <c r="D298" t="inlineStr">
        <is>
          <t>STOCKHOLMS LÄN</t>
        </is>
      </c>
      <c r="E298" t="inlineStr">
        <is>
          <t>NORRTÄLJE</t>
        </is>
      </c>
      <c r="G298" t="n">
        <v>1.4</v>
      </c>
      <c r="H298" t="n">
        <v>0</v>
      </c>
      <c r="I298" t="n">
        <v>0</v>
      </c>
      <c r="J298" t="n">
        <v>0</v>
      </c>
      <c r="K298" t="n">
        <v>0</v>
      </c>
      <c r="L298" t="n">
        <v>0</v>
      </c>
      <c r="M298" t="n">
        <v>0</v>
      </c>
      <c r="N298" t="n">
        <v>0</v>
      </c>
      <c r="O298" t="n">
        <v>0</v>
      </c>
      <c r="P298" t="n">
        <v>0</v>
      </c>
      <c r="Q298" t="n">
        <v>0</v>
      </c>
      <c r="R298" s="2" t="inlineStr"/>
    </row>
    <row r="299" ht="15" customHeight="1">
      <c r="A299" t="inlineStr">
        <is>
          <t>A 20013-2025</t>
        </is>
      </c>
      <c r="B299" s="1" t="n">
        <v>45772.30436342592</v>
      </c>
      <c r="C299" s="1" t="n">
        <v>46105</v>
      </c>
      <c r="D299" t="inlineStr">
        <is>
          <t>STOCKHOLMS LÄN</t>
        </is>
      </c>
      <c r="E299" t="inlineStr">
        <is>
          <t>NORRTÄLJE</t>
        </is>
      </c>
      <c r="G299" t="n">
        <v>2.3</v>
      </c>
      <c r="H299" t="n">
        <v>0</v>
      </c>
      <c r="I299" t="n">
        <v>0</v>
      </c>
      <c r="J299" t="n">
        <v>0</v>
      </c>
      <c r="K299" t="n">
        <v>0</v>
      </c>
      <c r="L299" t="n">
        <v>0</v>
      </c>
      <c r="M299" t="n">
        <v>0</v>
      </c>
      <c r="N299" t="n">
        <v>0</v>
      </c>
      <c r="O299" t="n">
        <v>0</v>
      </c>
      <c r="P299" t="n">
        <v>0</v>
      </c>
      <c r="Q299" t="n">
        <v>0</v>
      </c>
      <c r="R299" s="2" t="inlineStr"/>
    </row>
    <row r="300" ht="15" customHeight="1">
      <c r="A300" t="inlineStr">
        <is>
          <t>A 47694-2023</t>
        </is>
      </c>
      <c r="B300" s="1" t="n">
        <v>45203.63303240741</v>
      </c>
      <c r="C300" s="1" t="n">
        <v>46105</v>
      </c>
      <c r="D300" t="inlineStr">
        <is>
          <t>STOCKHOLMS LÄN</t>
        </is>
      </c>
      <c r="E300" t="inlineStr">
        <is>
          <t>NORRTÄLJE</t>
        </is>
      </c>
      <c r="G300" t="n">
        <v>5.2</v>
      </c>
      <c r="H300" t="n">
        <v>0</v>
      </c>
      <c r="I300" t="n">
        <v>0</v>
      </c>
      <c r="J300" t="n">
        <v>0</v>
      </c>
      <c r="K300" t="n">
        <v>0</v>
      </c>
      <c r="L300" t="n">
        <v>0</v>
      </c>
      <c r="M300" t="n">
        <v>0</v>
      </c>
      <c r="N300" t="n">
        <v>0</v>
      </c>
      <c r="O300" t="n">
        <v>0</v>
      </c>
      <c r="P300" t="n">
        <v>0</v>
      </c>
      <c r="Q300" t="n">
        <v>0</v>
      </c>
      <c r="R300" s="2" t="inlineStr"/>
    </row>
    <row r="301" ht="15" customHeight="1">
      <c r="A301" t="inlineStr">
        <is>
          <t>A 40656-2022</t>
        </is>
      </c>
      <c r="B301" s="1" t="n">
        <v>44824.36069444445</v>
      </c>
      <c r="C301" s="1" t="n">
        <v>46105</v>
      </c>
      <c r="D301" t="inlineStr">
        <is>
          <t>STOCKHOLMS LÄN</t>
        </is>
      </c>
      <c r="E301" t="inlineStr">
        <is>
          <t>NORRTÄLJE</t>
        </is>
      </c>
      <c r="G301" t="n">
        <v>2.7</v>
      </c>
      <c r="H301" t="n">
        <v>0</v>
      </c>
      <c r="I301" t="n">
        <v>0</v>
      </c>
      <c r="J301" t="n">
        <v>0</v>
      </c>
      <c r="K301" t="n">
        <v>0</v>
      </c>
      <c r="L301" t="n">
        <v>0</v>
      </c>
      <c r="M301" t="n">
        <v>0</v>
      </c>
      <c r="N301" t="n">
        <v>0</v>
      </c>
      <c r="O301" t="n">
        <v>0</v>
      </c>
      <c r="P301" t="n">
        <v>0</v>
      </c>
      <c r="Q301" t="n">
        <v>0</v>
      </c>
      <c r="R301" s="2" t="inlineStr"/>
    </row>
    <row r="302" ht="15" customHeight="1">
      <c r="A302" t="inlineStr">
        <is>
          <t>A 63161-2023</t>
        </is>
      </c>
      <c r="B302" s="1" t="n">
        <v>45273</v>
      </c>
      <c r="C302" s="1" t="n">
        <v>46105</v>
      </c>
      <c r="D302" t="inlineStr">
        <is>
          <t>STOCKHOLMS LÄN</t>
        </is>
      </c>
      <c r="E302" t="inlineStr">
        <is>
          <t>NORRTÄLJE</t>
        </is>
      </c>
      <c r="G302" t="n">
        <v>1.6</v>
      </c>
      <c r="H302" t="n">
        <v>0</v>
      </c>
      <c r="I302" t="n">
        <v>0</v>
      </c>
      <c r="J302" t="n">
        <v>0</v>
      </c>
      <c r="K302" t="n">
        <v>0</v>
      </c>
      <c r="L302" t="n">
        <v>0</v>
      </c>
      <c r="M302" t="n">
        <v>0</v>
      </c>
      <c r="N302" t="n">
        <v>0</v>
      </c>
      <c r="O302" t="n">
        <v>0</v>
      </c>
      <c r="P302" t="n">
        <v>0</v>
      </c>
      <c r="Q302" t="n">
        <v>0</v>
      </c>
      <c r="R302" s="2" t="inlineStr"/>
    </row>
    <row r="303" ht="15" customHeight="1">
      <c r="A303" t="inlineStr">
        <is>
          <t>A 40425-2021</t>
        </is>
      </c>
      <c r="B303" s="1" t="n">
        <v>44419</v>
      </c>
      <c r="C303" s="1" t="n">
        <v>46105</v>
      </c>
      <c r="D303" t="inlineStr">
        <is>
          <t>STOCKHOLMS LÄN</t>
        </is>
      </c>
      <c r="E303" t="inlineStr">
        <is>
          <t>NORRTÄLJE</t>
        </is>
      </c>
      <c r="G303" t="n">
        <v>5</v>
      </c>
      <c r="H303" t="n">
        <v>0</v>
      </c>
      <c r="I303" t="n">
        <v>0</v>
      </c>
      <c r="J303" t="n">
        <v>0</v>
      </c>
      <c r="K303" t="n">
        <v>0</v>
      </c>
      <c r="L303" t="n">
        <v>0</v>
      </c>
      <c r="M303" t="n">
        <v>0</v>
      </c>
      <c r="N303" t="n">
        <v>0</v>
      </c>
      <c r="O303" t="n">
        <v>0</v>
      </c>
      <c r="P303" t="n">
        <v>0</v>
      </c>
      <c r="Q303" t="n">
        <v>0</v>
      </c>
      <c r="R303" s="2" t="inlineStr"/>
    </row>
    <row r="304" ht="15" customHeight="1">
      <c r="A304" t="inlineStr">
        <is>
          <t>A 20014-2025</t>
        </is>
      </c>
      <c r="B304" s="1" t="n">
        <v>45772.3078125</v>
      </c>
      <c r="C304" s="1" t="n">
        <v>46105</v>
      </c>
      <c r="D304" t="inlineStr">
        <is>
          <t>STOCKHOLMS LÄN</t>
        </is>
      </c>
      <c r="E304" t="inlineStr">
        <is>
          <t>NORRTÄLJE</t>
        </is>
      </c>
      <c r="G304" t="n">
        <v>4.4</v>
      </c>
      <c r="H304" t="n">
        <v>0</v>
      </c>
      <c r="I304" t="n">
        <v>0</v>
      </c>
      <c r="J304" t="n">
        <v>0</v>
      </c>
      <c r="K304" t="n">
        <v>0</v>
      </c>
      <c r="L304" t="n">
        <v>0</v>
      </c>
      <c r="M304" t="n">
        <v>0</v>
      </c>
      <c r="N304" t="n">
        <v>0</v>
      </c>
      <c r="O304" t="n">
        <v>0</v>
      </c>
      <c r="P304" t="n">
        <v>0</v>
      </c>
      <c r="Q304" t="n">
        <v>0</v>
      </c>
      <c r="R304" s="2" t="inlineStr"/>
    </row>
    <row r="305" ht="15" customHeight="1">
      <c r="A305" t="inlineStr">
        <is>
          <t>A 56631-2024</t>
        </is>
      </c>
      <c r="B305" s="1" t="n">
        <v>45625</v>
      </c>
      <c r="C305" s="1" t="n">
        <v>46105</v>
      </c>
      <c r="D305" t="inlineStr">
        <is>
          <t>STOCKHOLMS LÄN</t>
        </is>
      </c>
      <c r="E305" t="inlineStr">
        <is>
          <t>NORRTÄLJE</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48587-2023</t>
        </is>
      </c>
      <c r="B306" s="1" t="n">
        <v>45208</v>
      </c>
      <c r="C306" s="1" t="n">
        <v>46105</v>
      </c>
      <c r="D306" t="inlineStr">
        <is>
          <t>STOCKHOLMS LÄN</t>
        </is>
      </c>
      <c r="E306" t="inlineStr">
        <is>
          <t>NORRTÄLJE</t>
        </is>
      </c>
      <c r="G306" t="n">
        <v>7</v>
      </c>
      <c r="H306" t="n">
        <v>0</v>
      </c>
      <c r="I306" t="n">
        <v>0</v>
      </c>
      <c r="J306" t="n">
        <v>0</v>
      </c>
      <c r="K306" t="n">
        <v>0</v>
      </c>
      <c r="L306" t="n">
        <v>0</v>
      </c>
      <c r="M306" t="n">
        <v>0</v>
      </c>
      <c r="N306" t="n">
        <v>0</v>
      </c>
      <c r="O306" t="n">
        <v>0</v>
      </c>
      <c r="P306" t="n">
        <v>0</v>
      </c>
      <c r="Q306" t="n">
        <v>0</v>
      </c>
      <c r="R306" s="2" t="inlineStr"/>
    </row>
    <row r="307" ht="15" customHeight="1">
      <c r="A307" t="inlineStr">
        <is>
          <t>A 27715-2022</t>
        </is>
      </c>
      <c r="B307" s="1" t="n">
        <v>44743.47407407407</v>
      </c>
      <c r="C307" s="1" t="n">
        <v>46105</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53600-2022</t>
        </is>
      </c>
      <c r="B308" s="1" t="n">
        <v>44879.70518518519</v>
      </c>
      <c r="C308" s="1" t="n">
        <v>46105</v>
      </c>
      <c r="D308" t="inlineStr">
        <is>
          <t>STOCKHOLMS LÄN</t>
        </is>
      </c>
      <c r="E308" t="inlineStr">
        <is>
          <t>NORRTÄLJE</t>
        </is>
      </c>
      <c r="G308" t="n">
        <v>4.3</v>
      </c>
      <c r="H308" t="n">
        <v>0</v>
      </c>
      <c r="I308" t="n">
        <v>0</v>
      </c>
      <c r="J308" t="n">
        <v>0</v>
      </c>
      <c r="K308" t="n">
        <v>0</v>
      </c>
      <c r="L308" t="n">
        <v>0</v>
      </c>
      <c r="M308" t="n">
        <v>0</v>
      </c>
      <c r="N308" t="n">
        <v>0</v>
      </c>
      <c r="O308" t="n">
        <v>0</v>
      </c>
      <c r="P308" t="n">
        <v>0</v>
      </c>
      <c r="Q308" t="n">
        <v>0</v>
      </c>
      <c r="R308" s="2" t="inlineStr"/>
    </row>
    <row r="309" ht="15" customHeight="1">
      <c r="A309" t="inlineStr">
        <is>
          <t>A 42955-2022</t>
        </is>
      </c>
      <c r="B309" s="1" t="n">
        <v>44833.40876157407</v>
      </c>
      <c r="C309" s="1" t="n">
        <v>46105</v>
      </c>
      <c r="D309" t="inlineStr">
        <is>
          <t>STOCKHOLMS LÄN</t>
        </is>
      </c>
      <c r="E309" t="inlineStr">
        <is>
          <t>NORRTÄLJE</t>
        </is>
      </c>
      <c r="G309" t="n">
        <v>13.1</v>
      </c>
      <c r="H309" t="n">
        <v>0</v>
      </c>
      <c r="I309" t="n">
        <v>0</v>
      </c>
      <c r="J309" t="n">
        <v>0</v>
      </c>
      <c r="K309" t="n">
        <v>0</v>
      </c>
      <c r="L309" t="n">
        <v>0</v>
      </c>
      <c r="M309" t="n">
        <v>0</v>
      </c>
      <c r="N309" t="n">
        <v>0</v>
      </c>
      <c r="O309" t="n">
        <v>0</v>
      </c>
      <c r="P309" t="n">
        <v>0</v>
      </c>
      <c r="Q309" t="n">
        <v>0</v>
      </c>
      <c r="R309" s="2" t="inlineStr"/>
    </row>
    <row r="310" ht="15" customHeight="1">
      <c r="A310" t="inlineStr">
        <is>
          <t>A 20136-2025</t>
        </is>
      </c>
      <c r="B310" s="1" t="n">
        <v>45772.51127314815</v>
      </c>
      <c r="C310" s="1" t="n">
        <v>46105</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15978-2024</t>
        </is>
      </c>
      <c r="B311" s="1" t="n">
        <v>45405.57927083333</v>
      </c>
      <c r="C311" s="1" t="n">
        <v>46105</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20473-2021</t>
        </is>
      </c>
      <c r="B312" s="1" t="n">
        <v>44315</v>
      </c>
      <c r="C312" s="1" t="n">
        <v>46105</v>
      </c>
      <c r="D312" t="inlineStr">
        <is>
          <t>STOCKHOLMS LÄN</t>
        </is>
      </c>
      <c r="E312" t="inlineStr">
        <is>
          <t>NORRTÄLJE</t>
        </is>
      </c>
      <c r="F312" t="inlineStr">
        <is>
          <t>Övriga Aktiebolag</t>
        </is>
      </c>
      <c r="G312" t="n">
        <v>3.6</v>
      </c>
      <c r="H312" t="n">
        <v>0</v>
      </c>
      <c r="I312" t="n">
        <v>0</v>
      </c>
      <c r="J312" t="n">
        <v>0</v>
      </c>
      <c r="K312" t="n">
        <v>0</v>
      </c>
      <c r="L312" t="n">
        <v>0</v>
      </c>
      <c r="M312" t="n">
        <v>0</v>
      </c>
      <c r="N312" t="n">
        <v>0</v>
      </c>
      <c r="O312" t="n">
        <v>0</v>
      </c>
      <c r="P312" t="n">
        <v>0</v>
      </c>
      <c r="Q312" t="n">
        <v>0</v>
      </c>
      <c r="R312" s="2" t="inlineStr"/>
    </row>
    <row r="313" ht="15" customHeight="1">
      <c r="A313" t="inlineStr">
        <is>
          <t>A 8736-2024</t>
        </is>
      </c>
      <c r="B313" s="1" t="n">
        <v>45356.4722800926</v>
      </c>
      <c r="C313" s="1" t="n">
        <v>46105</v>
      </c>
      <c r="D313" t="inlineStr">
        <is>
          <t>STOCKHOLMS LÄN</t>
        </is>
      </c>
      <c r="E313" t="inlineStr">
        <is>
          <t>NORRTÄLJE</t>
        </is>
      </c>
      <c r="G313" t="n">
        <v>8.9</v>
      </c>
      <c r="H313" t="n">
        <v>0</v>
      </c>
      <c r="I313" t="n">
        <v>0</v>
      </c>
      <c r="J313" t="n">
        <v>0</v>
      </c>
      <c r="K313" t="n">
        <v>0</v>
      </c>
      <c r="L313" t="n">
        <v>0</v>
      </c>
      <c r="M313" t="n">
        <v>0</v>
      </c>
      <c r="N313" t="n">
        <v>0</v>
      </c>
      <c r="O313" t="n">
        <v>0</v>
      </c>
      <c r="P313" t="n">
        <v>0</v>
      </c>
      <c r="Q313" t="n">
        <v>0</v>
      </c>
      <c r="R313" s="2" t="inlineStr"/>
    </row>
    <row r="314" ht="15" customHeight="1">
      <c r="A314" t="inlineStr">
        <is>
          <t>A 7603-2025</t>
        </is>
      </c>
      <c r="B314" s="1" t="n">
        <v>45705.66126157407</v>
      </c>
      <c r="C314" s="1" t="n">
        <v>46105</v>
      </c>
      <c r="D314" t="inlineStr">
        <is>
          <t>STOCKHOLMS LÄN</t>
        </is>
      </c>
      <c r="E314" t="inlineStr">
        <is>
          <t>NORRTÄLJE</t>
        </is>
      </c>
      <c r="F314" t="inlineStr">
        <is>
          <t>Holmen skog AB</t>
        </is>
      </c>
      <c r="G314" t="n">
        <v>2.4</v>
      </c>
      <c r="H314" t="n">
        <v>0</v>
      </c>
      <c r="I314" t="n">
        <v>0</v>
      </c>
      <c r="J314" t="n">
        <v>0</v>
      </c>
      <c r="K314" t="n">
        <v>0</v>
      </c>
      <c r="L314" t="n">
        <v>0</v>
      </c>
      <c r="M314" t="n">
        <v>0</v>
      </c>
      <c r="N314" t="n">
        <v>0</v>
      </c>
      <c r="O314" t="n">
        <v>0</v>
      </c>
      <c r="P314" t="n">
        <v>0</v>
      </c>
      <c r="Q314" t="n">
        <v>0</v>
      </c>
      <c r="R314" s="2" t="inlineStr"/>
    </row>
    <row r="315" ht="15" customHeight="1">
      <c r="A315" t="inlineStr">
        <is>
          <t>A 15552-2021</t>
        </is>
      </c>
      <c r="B315" s="1" t="n">
        <v>44285</v>
      </c>
      <c r="C315" s="1" t="n">
        <v>46105</v>
      </c>
      <c r="D315" t="inlineStr">
        <is>
          <t>STOCKHOLMS LÄN</t>
        </is>
      </c>
      <c r="E315" t="inlineStr">
        <is>
          <t>NORRTÄLJE</t>
        </is>
      </c>
      <c r="G315" t="n">
        <v>10</v>
      </c>
      <c r="H315" t="n">
        <v>0</v>
      </c>
      <c r="I315" t="n">
        <v>0</v>
      </c>
      <c r="J315" t="n">
        <v>0</v>
      </c>
      <c r="K315" t="n">
        <v>0</v>
      </c>
      <c r="L315" t="n">
        <v>0</v>
      </c>
      <c r="M315" t="n">
        <v>0</v>
      </c>
      <c r="N315" t="n">
        <v>0</v>
      </c>
      <c r="O315" t="n">
        <v>0</v>
      </c>
      <c r="P315" t="n">
        <v>0</v>
      </c>
      <c r="Q315" t="n">
        <v>0</v>
      </c>
      <c r="R315" s="2" t="inlineStr"/>
    </row>
    <row r="316" ht="15" customHeight="1">
      <c r="A316" t="inlineStr">
        <is>
          <t>A 5158-2024</t>
        </is>
      </c>
      <c r="B316" s="1" t="n">
        <v>45330.50098379629</v>
      </c>
      <c r="C316" s="1" t="n">
        <v>46105</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14762-2024</t>
        </is>
      </c>
      <c r="B317" s="1" t="n">
        <v>45397</v>
      </c>
      <c r="C317" s="1" t="n">
        <v>46105</v>
      </c>
      <c r="D317" t="inlineStr">
        <is>
          <t>STOCKHOLMS LÄN</t>
        </is>
      </c>
      <c r="E317" t="inlineStr">
        <is>
          <t>NORRTÄLJE</t>
        </is>
      </c>
      <c r="G317" t="n">
        <v>11</v>
      </c>
      <c r="H317" t="n">
        <v>0</v>
      </c>
      <c r="I317" t="n">
        <v>0</v>
      </c>
      <c r="J317" t="n">
        <v>0</v>
      </c>
      <c r="K317" t="n">
        <v>0</v>
      </c>
      <c r="L317" t="n">
        <v>0</v>
      </c>
      <c r="M317" t="n">
        <v>0</v>
      </c>
      <c r="N317" t="n">
        <v>0</v>
      </c>
      <c r="O317" t="n">
        <v>0</v>
      </c>
      <c r="P317" t="n">
        <v>0</v>
      </c>
      <c r="Q317" t="n">
        <v>0</v>
      </c>
      <c r="R317" s="2" t="inlineStr"/>
    </row>
    <row r="318" ht="15" customHeight="1">
      <c r="A318" t="inlineStr">
        <is>
          <t>A 45255-2022</t>
        </is>
      </c>
      <c r="B318" s="1" t="n">
        <v>44840</v>
      </c>
      <c r="C318" s="1" t="n">
        <v>46105</v>
      </c>
      <c r="D318" t="inlineStr">
        <is>
          <t>STOCKHOLMS LÄN</t>
        </is>
      </c>
      <c r="E318" t="inlineStr">
        <is>
          <t>NORRTÄLJE</t>
        </is>
      </c>
      <c r="G318" t="n">
        <v>4.1</v>
      </c>
      <c r="H318" t="n">
        <v>0</v>
      </c>
      <c r="I318" t="n">
        <v>0</v>
      </c>
      <c r="J318" t="n">
        <v>0</v>
      </c>
      <c r="K318" t="n">
        <v>0</v>
      </c>
      <c r="L318" t="n">
        <v>0</v>
      </c>
      <c r="M318" t="n">
        <v>0</v>
      </c>
      <c r="N318" t="n">
        <v>0</v>
      </c>
      <c r="O318" t="n">
        <v>0</v>
      </c>
      <c r="P318" t="n">
        <v>0</v>
      </c>
      <c r="Q318" t="n">
        <v>0</v>
      </c>
      <c r="R318" s="2" t="inlineStr"/>
    </row>
    <row r="319" ht="15" customHeight="1">
      <c r="A319" t="inlineStr">
        <is>
          <t>A 19915-2024</t>
        </is>
      </c>
      <c r="B319" s="1" t="n">
        <v>45433.58431712963</v>
      </c>
      <c r="C319" s="1" t="n">
        <v>46105</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12629-2024</t>
        </is>
      </c>
      <c r="B320" s="1" t="n">
        <v>45383</v>
      </c>
      <c r="C320" s="1" t="n">
        <v>46105</v>
      </c>
      <c r="D320" t="inlineStr">
        <is>
          <t>STOCKHOLMS LÄN</t>
        </is>
      </c>
      <c r="E320" t="inlineStr">
        <is>
          <t>NORRTÄLJE</t>
        </is>
      </c>
      <c r="G320" t="n">
        <v>2.6</v>
      </c>
      <c r="H320" t="n">
        <v>0</v>
      </c>
      <c r="I320" t="n">
        <v>0</v>
      </c>
      <c r="J320" t="n">
        <v>0</v>
      </c>
      <c r="K320" t="n">
        <v>0</v>
      </c>
      <c r="L320" t="n">
        <v>0</v>
      </c>
      <c r="M320" t="n">
        <v>0</v>
      </c>
      <c r="N320" t="n">
        <v>0</v>
      </c>
      <c r="O320" t="n">
        <v>0</v>
      </c>
      <c r="P320" t="n">
        <v>0</v>
      </c>
      <c r="Q320" t="n">
        <v>0</v>
      </c>
      <c r="R320" s="2" t="inlineStr"/>
    </row>
    <row r="321" ht="15" customHeight="1">
      <c r="A321" t="inlineStr">
        <is>
          <t>A 20428-2024</t>
        </is>
      </c>
      <c r="B321" s="1" t="n">
        <v>45435</v>
      </c>
      <c r="C321" s="1" t="n">
        <v>46105</v>
      </c>
      <c r="D321" t="inlineStr">
        <is>
          <t>STOCKHOLMS LÄN</t>
        </is>
      </c>
      <c r="E321" t="inlineStr">
        <is>
          <t>NORRTÄLJE</t>
        </is>
      </c>
      <c r="G321" t="n">
        <v>3.7</v>
      </c>
      <c r="H321" t="n">
        <v>0</v>
      </c>
      <c r="I321" t="n">
        <v>0</v>
      </c>
      <c r="J321" t="n">
        <v>0</v>
      </c>
      <c r="K321" t="n">
        <v>0</v>
      </c>
      <c r="L321" t="n">
        <v>0</v>
      </c>
      <c r="M321" t="n">
        <v>0</v>
      </c>
      <c r="N321" t="n">
        <v>0</v>
      </c>
      <c r="O321" t="n">
        <v>0</v>
      </c>
      <c r="P321" t="n">
        <v>0</v>
      </c>
      <c r="Q321" t="n">
        <v>0</v>
      </c>
      <c r="R321" s="2" t="inlineStr"/>
    </row>
    <row r="322" ht="15" customHeight="1">
      <c r="A322" t="inlineStr">
        <is>
          <t>A 23149-2024</t>
        </is>
      </c>
      <c r="B322" s="1" t="n">
        <v>45450.64208333333</v>
      </c>
      <c r="C322" s="1" t="n">
        <v>46105</v>
      </c>
      <c r="D322" t="inlineStr">
        <is>
          <t>STOCKHOLMS LÄN</t>
        </is>
      </c>
      <c r="E322" t="inlineStr">
        <is>
          <t>NORRTÄLJE</t>
        </is>
      </c>
      <c r="F322" t="inlineStr">
        <is>
          <t>Kommuner</t>
        </is>
      </c>
      <c r="G322" t="n">
        <v>1.3</v>
      </c>
      <c r="H322" t="n">
        <v>0</v>
      </c>
      <c r="I322" t="n">
        <v>0</v>
      </c>
      <c r="J322" t="n">
        <v>0</v>
      </c>
      <c r="K322" t="n">
        <v>0</v>
      </c>
      <c r="L322" t="n">
        <v>0</v>
      </c>
      <c r="M322" t="n">
        <v>0</v>
      </c>
      <c r="N322" t="n">
        <v>0</v>
      </c>
      <c r="O322" t="n">
        <v>0</v>
      </c>
      <c r="P322" t="n">
        <v>0</v>
      </c>
      <c r="Q322" t="n">
        <v>0</v>
      </c>
      <c r="R322" s="2" t="inlineStr"/>
    </row>
    <row r="323" ht="15" customHeight="1">
      <c r="A323" t="inlineStr">
        <is>
          <t>A 23151-2024</t>
        </is>
      </c>
      <c r="B323" s="1" t="n">
        <v>45450</v>
      </c>
      <c r="C323" s="1" t="n">
        <v>46105</v>
      </c>
      <c r="D323" t="inlineStr">
        <is>
          <t>STOCKHOLMS LÄN</t>
        </is>
      </c>
      <c r="E323" t="inlineStr">
        <is>
          <t>NORRTÄLJE</t>
        </is>
      </c>
      <c r="F323" t="inlineStr">
        <is>
          <t>Kommuner</t>
        </is>
      </c>
      <c r="G323" t="n">
        <v>1.2</v>
      </c>
      <c r="H323" t="n">
        <v>0</v>
      </c>
      <c r="I323" t="n">
        <v>0</v>
      </c>
      <c r="J323" t="n">
        <v>0</v>
      </c>
      <c r="K323" t="n">
        <v>0</v>
      </c>
      <c r="L323" t="n">
        <v>0</v>
      </c>
      <c r="M323" t="n">
        <v>0</v>
      </c>
      <c r="N323" t="n">
        <v>0</v>
      </c>
      <c r="O323" t="n">
        <v>0</v>
      </c>
      <c r="P323" t="n">
        <v>0</v>
      </c>
      <c r="Q323" t="n">
        <v>0</v>
      </c>
      <c r="R323" s="2" t="inlineStr"/>
    </row>
    <row r="324" ht="15" customHeight="1">
      <c r="A324" t="inlineStr">
        <is>
          <t>A 57037-2022</t>
        </is>
      </c>
      <c r="B324" s="1" t="n">
        <v>44895</v>
      </c>
      <c r="C324" s="1" t="n">
        <v>46105</v>
      </c>
      <c r="D324" t="inlineStr">
        <is>
          <t>STOCKHOLMS LÄN</t>
        </is>
      </c>
      <c r="E324" t="inlineStr">
        <is>
          <t>NORRTÄLJE</t>
        </is>
      </c>
      <c r="G324" t="n">
        <v>0.6</v>
      </c>
      <c r="H324" t="n">
        <v>0</v>
      </c>
      <c r="I324" t="n">
        <v>0</v>
      </c>
      <c r="J324" t="n">
        <v>0</v>
      </c>
      <c r="K324" t="n">
        <v>0</v>
      </c>
      <c r="L324" t="n">
        <v>0</v>
      </c>
      <c r="M324" t="n">
        <v>0</v>
      </c>
      <c r="N324" t="n">
        <v>0</v>
      </c>
      <c r="O324" t="n">
        <v>0</v>
      </c>
      <c r="P324" t="n">
        <v>0</v>
      </c>
      <c r="Q324" t="n">
        <v>0</v>
      </c>
      <c r="R324" s="2" t="inlineStr"/>
    </row>
    <row r="325" ht="15" customHeight="1">
      <c r="A325" t="inlineStr">
        <is>
          <t>A 55755-2023</t>
        </is>
      </c>
      <c r="B325" s="1" t="n">
        <v>45239</v>
      </c>
      <c r="C325" s="1" t="n">
        <v>46105</v>
      </c>
      <c r="D325" t="inlineStr">
        <is>
          <t>STOCKHOLMS LÄN</t>
        </is>
      </c>
      <c r="E325" t="inlineStr">
        <is>
          <t>NORRTÄLJE</t>
        </is>
      </c>
      <c r="G325" t="n">
        <v>0.6</v>
      </c>
      <c r="H325" t="n">
        <v>0</v>
      </c>
      <c r="I325" t="n">
        <v>0</v>
      </c>
      <c r="J325" t="n">
        <v>0</v>
      </c>
      <c r="K325" t="n">
        <v>0</v>
      </c>
      <c r="L325" t="n">
        <v>0</v>
      </c>
      <c r="M325" t="n">
        <v>0</v>
      </c>
      <c r="N325" t="n">
        <v>0</v>
      </c>
      <c r="O325" t="n">
        <v>0</v>
      </c>
      <c r="P325" t="n">
        <v>0</v>
      </c>
      <c r="Q325" t="n">
        <v>0</v>
      </c>
      <c r="R325" s="2" t="inlineStr"/>
    </row>
    <row r="326" ht="15" customHeight="1">
      <c r="A326" t="inlineStr">
        <is>
          <t>A 16913-2025</t>
        </is>
      </c>
      <c r="B326" s="1" t="n">
        <v>45755.36583333334</v>
      </c>
      <c r="C326" s="1" t="n">
        <v>46105</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40761-2024</t>
        </is>
      </c>
      <c r="B327" s="1" t="n">
        <v>45558.46283564815</v>
      </c>
      <c r="C327" s="1" t="n">
        <v>46105</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45549-2022</t>
        </is>
      </c>
      <c r="B328" s="1" t="n">
        <v>44845.48064814815</v>
      </c>
      <c r="C328" s="1" t="n">
        <v>46105</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23692-2024</t>
        </is>
      </c>
      <c r="B329" s="1" t="n">
        <v>45454.65774305556</v>
      </c>
      <c r="C329" s="1" t="n">
        <v>46105</v>
      </c>
      <c r="D329" t="inlineStr">
        <is>
          <t>STOCKHOLMS LÄN</t>
        </is>
      </c>
      <c r="E329" t="inlineStr">
        <is>
          <t>NORRTÄLJE</t>
        </is>
      </c>
      <c r="G329" t="n">
        <v>3.7</v>
      </c>
      <c r="H329" t="n">
        <v>0</v>
      </c>
      <c r="I329" t="n">
        <v>0</v>
      </c>
      <c r="J329" t="n">
        <v>0</v>
      </c>
      <c r="K329" t="n">
        <v>0</v>
      </c>
      <c r="L329" t="n">
        <v>0</v>
      </c>
      <c r="M329" t="n">
        <v>0</v>
      </c>
      <c r="N329" t="n">
        <v>0</v>
      </c>
      <c r="O329" t="n">
        <v>0</v>
      </c>
      <c r="P329" t="n">
        <v>0</v>
      </c>
      <c r="Q329" t="n">
        <v>0</v>
      </c>
      <c r="R329" s="2" t="inlineStr"/>
    </row>
    <row r="330" ht="15" customHeight="1">
      <c r="A330" t="inlineStr">
        <is>
          <t>A 51978-2023</t>
        </is>
      </c>
      <c r="B330" s="1" t="n">
        <v>45223</v>
      </c>
      <c r="C330" s="1" t="n">
        <v>46105</v>
      </c>
      <c r="D330" t="inlineStr">
        <is>
          <t>STOCKHOLMS LÄN</t>
        </is>
      </c>
      <c r="E330" t="inlineStr">
        <is>
          <t>NORRTÄLJE</t>
        </is>
      </c>
      <c r="G330" t="n">
        <v>1.9</v>
      </c>
      <c r="H330" t="n">
        <v>0</v>
      </c>
      <c r="I330" t="n">
        <v>0</v>
      </c>
      <c r="J330" t="n">
        <v>0</v>
      </c>
      <c r="K330" t="n">
        <v>0</v>
      </c>
      <c r="L330" t="n">
        <v>0</v>
      </c>
      <c r="M330" t="n">
        <v>0</v>
      </c>
      <c r="N330" t="n">
        <v>0</v>
      </c>
      <c r="O330" t="n">
        <v>0</v>
      </c>
      <c r="P330" t="n">
        <v>0</v>
      </c>
      <c r="Q330" t="n">
        <v>0</v>
      </c>
      <c r="R330" s="2" t="inlineStr"/>
    </row>
    <row r="331" ht="15" customHeight="1">
      <c r="A331" t="inlineStr">
        <is>
          <t>A 47431-2023</t>
        </is>
      </c>
      <c r="B331" s="1" t="n">
        <v>45202</v>
      </c>
      <c r="C331" s="1" t="n">
        <v>46105</v>
      </c>
      <c r="D331" t="inlineStr">
        <is>
          <t>STOCKHOLMS LÄN</t>
        </is>
      </c>
      <c r="E331" t="inlineStr">
        <is>
          <t>NORRTÄLJE</t>
        </is>
      </c>
      <c r="F331" t="inlineStr">
        <is>
          <t>Naturvårdsverket</t>
        </is>
      </c>
      <c r="G331" t="n">
        <v>1.2</v>
      </c>
      <c r="H331" t="n">
        <v>0</v>
      </c>
      <c r="I331" t="n">
        <v>0</v>
      </c>
      <c r="J331" t="n">
        <v>0</v>
      </c>
      <c r="K331" t="n">
        <v>0</v>
      </c>
      <c r="L331" t="n">
        <v>0</v>
      </c>
      <c r="M331" t="n">
        <v>0</v>
      </c>
      <c r="N331" t="n">
        <v>0</v>
      </c>
      <c r="O331" t="n">
        <v>0</v>
      </c>
      <c r="P331" t="n">
        <v>0</v>
      </c>
      <c r="Q331" t="n">
        <v>0</v>
      </c>
      <c r="R331" s="2" t="inlineStr"/>
    </row>
    <row r="332" ht="15" customHeight="1">
      <c r="A332" t="inlineStr">
        <is>
          <t>A 23262-2023</t>
        </is>
      </c>
      <c r="B332" s="1" t="n">
        <v>45075.90270833333</v>
      </c>
      <c r="C332" s="1" t="n">
        <v>46105</v>
      </c>
      <c r="D332" t="inlineStr">
        <is>
          <t>STOCKHOLMS LÄN</t>
        </is>
      </c>
      <c r="E332" t="inlineStr">
        <is>
          <t>NORRTÄLJE</t>
        </is>
      </c>
      <c r="F332" t="inlineStr">
        <is>
          <t>Kommuner</t>
        </is>
      </c>
      <c r="G332" t="n">
        <v>1.9</v>
      </c>
      <c r="H332" t="n">
        <v>0</v>
      </c>
      <c r="I332" t="n">
        <v>0</v>
      </c>
      <c r="J332" t="n">
        <v>0</v>
      </c>
      <c r="K332" t="n">
        <v>0</v>
      </c>
      <c r="L332" t="n">
        <v>0</v>
      </c>
      <c r="M332" t="n">
        <v>0</v>
      </c>
      <c r="N332" t="n">
        <v>0</v>
      </c>
      <c r="O332" t="n">
        <v>0</v>
      </c>
      <c r="P332" t="n">
        <v>0</v>
      </c>
      <c r="Q332" t="n">
        <v>0</v>
      </c>
      <c r="R332" s="2" t="inlineStr"/>
    </row>
    <row r="333" ht="15" customHeight="1">
      <c r="A333" t="inlineStr">
        <is>
          <t>A 23268-2023</t>
        </is>
      </c>
      <c r="B333" s="1" t="n">
        <v>45075.91042824074</v>
      </c>
      <c r="C333" s="1" t="n">
        <v>46105</v>
      </c>
      <c r="D333" t="inlineStr">
        <is>
          <t>STOCKHOLMS LÄN</t>
        </is>
      </c>
      <c r="E333" t="inlineStr">
        <is>
          <t>NORRTÄLJE</t>
        </is>
      </c>
      <c r="G333" t="n">
        <v>3.3</v>
      </c>
      <c r="H333" t="n">
        <v>0</v>
      </c>
      <c r="I333" t="n">
        <v>0</v>
      </c>
      <c r="J333" t="n">
        <v>0</v>
      </c>
      <c r="K333" t="n">
        <v>0</v>
      </c>
      <c r="L333" t="n">
        <v>0</v>
      </c>
      <c r="M333" t="n">
        <v>0</v>
      </c>
      <c r="N333" t="n">
        <v>0</v>
      </c>
      <c r="O333" t="n">
        <v>0</v>
      </c>
      <c r="P333" t="n">
        <v>0</v>
      </c>
      <c r="Q333" t="n">
        <v>0</v>
      </c>
      <c r="R333" s="2" t="inlineStr"/>
    </row>
    <row r="334" ht="15" customHeight="1">
      <c r="A334" t="inlineStr">
        <is>
          <t>A 23270-2023</t>
        </is>
      </c>
      <c r="B334" s="1" t="n">
        <v>45075.91265046296</v>
      </c>
      <c r="C334" s="1" t="n">
        <v>46105</v>
      </c>
      <c r="D334" t="inlineStr">
        <is>
          <t>STOCKHOLMS LÄN</t>
        </is>
      </c>
      <c r="E334" t="inlineStr">
        <is>
          <t>NORRTÄLJE</t>
        </is>
      </c>
      <c r="G334" t="n">
        <v>12.3</v>
      </c>
      <c r="H334" t="n">
        <v>0</v>
      </c>
      <c r="I334" t="n">
        <v>0</v>
      </c>
      <c r="J334" t="n">
        <v>0</v>
      </c>
      <c r="K334" t="n">
        <v>0</v>
      </c>
      <c r="L334" t="n">
        <v>0</v>
      </c>
      <c r="M334" t="n">
        <v>0</v>
      </c>
      <c r="N334" t="n">
        <v>0</v>
      </c>
      <c r="O334" t="n">
        <v>0</v>
      </c>
      <c r="P334" t="n">
        <v>0</v>
      </c>
      <c r="Q334" t="n">
        <v>0</v>
      </c>
      <c r="R334" s="2" t="inlineStr"/>
    </row>
    <row r="335" ht="15" customHeight="1">
      <c r="A335" t="inlineStr">
        <is>
          <t>A 23274-2023</t>
        </is>
      </c>
      <c r="B335" s="1" t="n">
        <v>45075.92153935185</v>
      </c>
      <c r="C335" s="1" t="n">
        <v>46105</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51046-2023</t>
        </is>
      </c>
      <c r="B336" s="1" t="n">
        <v>45218</v>
      </c>
      <c r="C336" s="1" t="n">
        <v>46105</v>
      </c>
      <c r="D336" t="inlineStr">
        <is>
          <t>STOCKHOLMS LÄN</t>
        </is>
      </c>
      <c r="E336" t="inlineStr">
        <is>
          <t>NORRTÄLJE</t>
        </is>
      </c>
      <c r="G336" t="n">
        <v>2.5</v>
      </c>
      <c r="H336" t="n">
        <v>0</v>
      </c>
      <c r="I336" t="n">
        <v>0</v>
      </c>
      <c r="J336" t="n">
        <v>0</v>
      </c>
      <c r="K336" t="n">
        <v>0</v>
      </c>
      <c r="L336" t="n">
        <v>0</v>
      </c>
      <c r="M336" t="n">
        <v>0</v>
      </c>
      <c r="N336" t="n">
        <v>0</v>
      </c>
      <c r="O336" t="n">
        <v>0</v>
      </c>
      <c r="P336" t="n">
        <v>0</v>
      </c>
      <c r="Q336" t="n">
        <v>0</v>
      </c>
      <c r="R336" s="2" t="inlineStr"/>
    </row>
    <row r="337" ht="15" customHeight="1">
      <c r="A337" t="inlineStr">
        <is>
          <t>A 37550-2022</t>
        </is>
      </c>
      <c r="B337" s="1" t="n">
        <v>44809</v>
      </c>
      <c r="C337" s="1" t="n">
        <v>46105</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50569-2022</t>
        </is>
      </c>
      <c r="B338" s="1" t="n">
        <v>44866.63775462963</v>
      </c>
      <c r="C338" s="1" t="n">
        <v>46105</v>
      </c>
      <c r="D338" t="inlineStr">
        <is>
          <t>STOCKHOLMS LÄN</t>
        </is>
      </c>
      <c r="E338" t="inlineStr">
        <is>
          <t>NORRTÄLJE</t>
        </is>
      </c>
      <c r="G338" t="n">
        <v>1.2</v>
      </c>
      <c r="H338" t="n">
        <v>0</v>
      </c>
      <c r="I338" t="n">
        <v>0</v>
      </c>
      <c r="J338" t="n">
        <v>0</v>
      </c>
      <c r="K338" t="n">
        <v>0</v>
      </c>
      <c r="L338" t="n">
        <v>0</v>
      </c>
      <c r="M338" t="n">
        <v>0</v>
      </c>
      <c r="N338" t="n">
        <v>0</v>
      </c>
      <c r="O338" t="n">
        <v>0</v>
      </c>
      <c r="P338" t="n">
        <v>0</v>
      </c>
      <c r="Q338" t="n">
        <v>0</v>
      </c>
      <c r="R338" s="2" t="inlineStr"/>
    </row>
    <row r="339" ht="15" customHeight="1">
      <c r="A339" t="inlineStr">
        <is>
          <t>A 5732-2023</t>
        </is>
      </c>
      <c r="B339" s="1" t="n">
        <v>44962</v>
      </c>
      <c r="C339" s="1" t="n">
        <v>46105</v>
      </c>
      <c r="D339" t="inlineStr">
        <is>
          <t>STOCKHOLMS LÄN</t>
        </is>
      </c>
      <c r="E339" t="inlineStr">
        <is>
          <t>NORRTÄLJE</t>
        </is>
      </c>
      <c r="G339" t="n">
        <v>0.5</v>
      </c>
      <c r="H339" t="n">
        <v>0</v>
      </c>
      <c r="I339" t="n">
        <v>0</v>
      </c>
      <c r="J339" t="n">
        <v>0</v>
      </c>
      <c r="K339" t="n">
        <v>0</v>
      </c>
      <c r="L339" t="n">
        <v>0</v>
      </c>
      <c r="M339" t="n">
        <v>0</v>
      </c>
      <c r="N339" t="n">
        <v>0</v>
      </c>
      <c r="O339" t="n">
        <v>0</v>
      </c>
      <c r="P339" t="n">
        <v>0</v>
      </c>
      <c r="Q339" t="n">
        <v>0</v>
      </c>
      <c r="R339" s="2" t="inlineStr"/>
    </row>
    <row r="340" ht="15" customHeight="1">
      <c r="A340" t="inlineStr">
        <is>
          <t>A 60224-2023</t>
        </is>
      </c>
      <c r="B340" s="1" t="n">
        <v>45257</v>
      </c>
      <c r="C340" s="1" t="n">
        <v>46105</v>
      </c>
      <c r="D340" t="inlineStr">
        <is>
          <t>STOCKHOLMS LÄN</t>
        </is>
      </c>
      <c r="E340" t="inlineStr">
        <is>
          <t>NORRTÄLJE</t>
        </is>
      </c>
      <c r="G340" t="n">
        <v>8.1</v>
      </c>
      <c r="H340" t="n">
        <v>0</v>
      </c>
      <c r="I340" t="n">
        <v>0</v>
      </c>
      <c r="J340" t="n">
        <v>0</v>
      </c>
      <c r="K340" t="n">
        <v>0</v>
      </c>
      <c r="L340" t="n">
        <v>0</v>
      </c>
      <c r="M340" t="n">
        <v>0</v>
      </c>
      <c r="N340" t="n">
        <v>0</v>
      </c>
      <c r="O340" t="n">
        <v>0</v>
      </c>
      <c r="P340" t="n">
        <v>0</v>
      </c>
      <c r="Q340" t="n">
        <v>0</v>
      </c>
      <c r="R340" s="2" t="inlineStr"/>
    </row>
    <row r="341" ht="15" customHeight="1">
      <c r="A341" t="inlineStr">
        <is>
          <t>A 25609-2023</t>
        </is>
      </c>
      <c r="B341" s="1" t="n">
        <v>45089</v>
      </c>
      <c r="C341" s="1" t="n">
        <v>46105</v>
      </c>
      <c r="D341" t="inlineStr">
        <is>
          <t>STOCKHOLMS LÄN</t>
        </is>
      </c>
      <c r="E341" t="inlineStr">
        <is>
          <t>NORRTÄLJE</t>
        </is>
      </c>
      <c r="G341" t="n">
        <v>2.5</v>
      </c>
      <c r="H341" t="n">
        <v>0</v>
      </c>
      <c r="I341" t="n">
        <v>0</v>
      </c>
      <c r="J341" t="n">
        <v>0</v>
      </c>
      <c r="K341" t="n">
        <v>0</v>
      </c>
      <c r="L341" t="n">
        <v>0</v>
      </c>
      <c r="M341" t="n">
        <v>0</v>
      </c>
      <c r="N341" t="n">
        <v>0</v>
      </c>
      <c r="O341" t="n">
        <v>0</v>
      </c>
      <c r="P341" t="n">
        <v>0</v>
      </c>
      <c r="Q341" t="n">
        <v>0</v>
      </c>
      <c r="R341" s="2" t="inlineStr"/>
    </row>
    <row r="342" ht="15" customHeight="1">
      <c r="A342" t="inlineStr">
        <is>
          <t>A 33569-2023</t>
        </is>
      </c>
      <c r="B342" s="1" t="n">
        <v>45131.666875</v>
      </c>
      <c r="C342" s="1" t="n">
        <v>46105</v>
      </c>
      <c r="D342" t="inlineStr">
        <is>
          <t>STOCKHOLMS LÄN</t>
        </is>
      </c>
      <c r="E342" t="inlineStr">
        <is>
          <t>NORRTÄLJE</t>
        </is>
      </c>
      <c r="G342" t="n">
        <v>2.3</v>
      </c>
      <c r="H342" t="n">
        <v>0</v>
      </c>
      <c r="I342" t="n">
        <v>0</v>
      </c>
      <c r="J342" t="n">
        <v>0</v>
      </c>
      <c r="K342" t="n">
        <v>0</v>
      </c>
      <c r="L342" t="n">
        <v>0</v>
      </c>
      <c r="M342" t="n">
        <v>0</v>
      </c>
      <c r="N342" t="n">
        <v>0</v>
      </c>
      <c r="O342" t="n">
        <v>0</v>
      </c>
      <c r="P342" t="n">
        <v>0</v>
      </c>
      <c r="Q342" t="n">
        <v>0</v>
      </c>
      <c r="R342" s="2" t="inlineStr"/>
    </row>
    <row r="343" ht="15" customHeight="1">
      <c r="A343" t="inlineStr">
        <is>
          <t>A 17785-2024</t>
        </is>
      </c>
      <c r="B343" s="1" t="n">
        <v>45418.6968287037</v>
      </c>
      <c r="C343" s="1" t="n">
        <v>46105</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29684-2021</t>
        </is>
      </c>
      <c r="B344" s="1" t="n">
        <v>44362.37172453704</v>
      </c>
      <c r="C344" s="1" t="n">
        <v>46105</v>
      </c>
      <c r="D344" t="inlineStr">
        <is>
          <t>STOCKHOLMS LÄN</t>
        </is>
      </c>
      <c r="E344" t="inlineStr">
        <is>
          <t>NORRTÄLJE</t>
        </is>
      </c>
      <c r="F344" t="inlineStr">
        <is>
          <t>Holmen skog AB</t>
        </is>
      </c>
      <c r="G344" t="n">
        <v>1.5</v>
      </c>
      <c r="H344" t="n">
        <v>0</v>
      </c>
      <c r="I344" t="n">
        <v>0</v>
      </c>
      <c r="J344" t="n">
        <v>0</v>
      </c>
      <c r="K344" t="n">
        <v>0</v>
      </c>
      <c r="L344" t="n">
        <v>0</v>
      </c>
      <c r="M344" t="n">
        <v>0</v>
      </c>
      <c r="N344" t="n">
        <v>0</v>
      </c>
      <c r="O344" t="n">
        <v>0</v>
      </c>
      <c r="P344" t="n">
        <v>0</v>
      </c>
      <c r="Q344" t="n">
        <v>0</v>
      </c>
      <c r="R344" s="2" t="inlineStr"/>
    </row>
    <row r="345" ht="15" customHeight="1">
      <c r="A345" t="inlineStr">
        <is>
          <t>A 22833-2024</t>
        </is>
      </c>
      <c r="B345" s="1" t="n">
        <v>45448.56746527777</v>
      </c>
      <c r="C345" s="1" t="n">
        <v>46105</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26115-2024</t>
        </is>
      </c>
      <c r="B346" s="1" t="n">
        <v>45468.45628472222</v>
      </c>
      <c r="C346" s="1" t="n">
        <v>46105</v>
      </c>
      <c r="D346" t="inlineStr">
        <is>
          <t>STOCKHOLMS LÄN</t>
        </is>
      </c>
      <c r="E346" t="inlineStr">
        <is>
          <t>NORRTÄLJE</t>
        </is>
      </c>
      <c r="G346" t="n">
        <v>0.3</v>
      </c>
      <c r="H346" t="n">
        <v>0</v>
      </c>
      <c r="I346" t="n">
        <v>0</v>
      </c>
      <c r="J346" t="n">
        <v>0</v>
      </c>
      <c r="K346" t="n">
        <v>0</v>
      </c>
      <c r="L346" t="n">
        <v>0</v>
      </c>
      <c r="M346" t="n">
        <v>0</v>
      </c>
      <c r="N346" t="n">
        <v>0</v>
      </c>
      <c r="O346" t="n">
        <v>0</v>
      </c>
      <c r="P346" t="n">
        <v>0</v>
      </c>
      <c r="Q346" t="n">
        <v>0</v>
      </c>
      <c r="R346" s="2" t="inlineStr"/>
    </row>
    <row r="347" ht="15" customHeight="1">
      <c r="A347" t="inlineStr">
        <is>
          <t>A 21386-2023</t>
        </is>
      </c>
      <c r="B347" s="1" t="n">
        <v>45063.35880787037</v>
      </c>
      <c r="C347" s="1" t="n">
        <v>46105</v>
      </c>
      <c r="D347" t="inlineStr">
        <is>
          <t>STOCKHOLMS LÄN</t>
        </is>
      </c>
      <c r="E347" t="inlineStr">
        <is>
          <t>NORRTÄLJE</t>
        </is>
      </c>
      <c r="G347" t="n">
        <v>1.8</v>
      </c>
      <c r="H347" t="n">
        <v>0</v>
      </c>
      <c r="I347" t="n">
        <v>0</v>
      </c>
      <c r="J347" t="n">
        <v>0</v>
      </c>
      <c r="K347" t="n">
        <v>0</v>
      </c>
      <c r="L347" t="n">
        <v>0</v>
      </c>
      <c r="M347" t="n">
        <v>0</v>
      </c>
      <c r="N347" t="n">
        <v>0</v>
      </c>
      <c r="O347" t="n">
        <v>0</v>
      </c>
      <c r="P347" t="n">
        <v>0</v>
      </c>
      <c r="Q347" t="n">
        <v>0</v>
      </c>
      <c r="R347" s="2" t="inlineStr"/>
    </row>
    <row r="348" ht="15" customHeight="1">
      <c r="A348" t="inlineStr">
        <is>
          <t>A 32071-2023</t>
        </is>
      </c>
      <c r="B348" s="1" t="n">
        <v>45119.57728009259</v>
      </c>
      <c r="C348" s="1" t="n">
        <v>46105</v>
      </c>
      <c r="D348" t="inlineStr">
        <is>
          <t>STOCKHOLMS LÄN</t>
        </is>
      </c>
      <c r="E348" t="inlineStr">
        <is>
          <t>NORRTÄLJE</t>
        </is>
      </c>
      <c r="G348" t="n">
        <v>6.5</v>
      </c>
      <c r="H348" t="n">
        <v>0</v>
      </c>
      <c r="I348" t="n">
        <v>0</v>
      </c>
      <c r="J348" t="n">
        <v>0</v>
      </c>
      <c r="K348" t="n">
        <v>0</v>
      </c>
      <c r="L348" t="n">
        <v>0</v>
      </c>
      <c r="M348" t="n">
        <v>0</v>
      </c>
      <c r="N348" t="n">
        <v>0</v>
      </c>
      <c r="O348" t="n">
        <v>0</v>
      </c>
      <c r="P348" t="n">
        <v>0</v>
      </c>
      <c r="Q348" t="n">
        <v>0</v>
      </c>
      <c r="R348" s="2" t="inlineStr"/>
    </row>
    <row r="349" ht="15" customHeight="1">
      <c r="A349" t="inlineStr">
        <is>
          <t>A 4593-2023</t>
        </is>
      </c>
      <c r="B349" s="1" t="n">
        <v>44956</v>
      </c>
      <c r="C349" s="1" t="n">
        <v>46105</v>
      </c>
      <c r="D349" t="inlineStr">
        <is>
          <t>STOCKHOLMS LÄN</t>
        </is>
      </c>
      <c r="E349" t="inlineStr">
        <is>
          <t>NORRTÄLJE</t>
        </is>
      </c>
      <c r="G349" t="n">
        <v>0.4</v>
      </c>
      <c r="H349" t="n">
        <v>0</v>
      </c>
      <c r="I349" t="n">
        <v>0</v>
      </c>
      <c r="J349" t="n">
        <v>0</v>
      </c>
      <c r="K349" t="n">
        <v>0</v>
      </c>
      <c r="L349" t="n">
        <v>0</v>
      </c>
      <c r="M349" t="n">
        <v>0</v>
      </c>
      <c r="N349" t="n">
        <v>0</v>
      </c>
      <c r="O349" t="n">
        <v>0</v>
      </c>
      <c r="P349" t="n">
        <v>0</v>
      </c>
      <c r="Q349" t="n">
        <v>0</v>
      </c>
      <c r="R349" s="2" t="inlineStr"/>
    </row>
    <row r="350" ht="15" customHeight="1">
      <c r="A350" t="inlineStr">
        <is>
          <t>A 25681-2024</t>
        </is>
      </c>
      <c r="B350" s="1" t="n">
        <v>45463.80486111111</v>
      </c>
      <c r="C350" s="1" t="n">
        <v>46105</v>
      </c>
      <c r="D350" t="inlineStr">
        <is>
          <t>STOCKHOLMS LÄN</t>
        </is>
      </c>
      <c r="E350" t="inlineStr">
        <is>
          <t>NORRTÄLJE</t>
        </is>
      </c>
      <c r="G350" t="n">
        <v>2.7</v>
      </c>
      <c r="H350" t="n">
        <v>0</v>
      </c>
      <c r="I350" t="n">
        <v>0</v>
      </c>
      <c r="J350" t="n">
        <v>0</v>
      </c>
      <c r="K350" t="n">
        <v>0</v>
      </c>
      <c r="L350" t="n">
        <v>0</v>
      </c>
      <c r="M350" t="n">
        <v>0</v>
      </c>
      <c r="N350" t="n">
        <v>0</v>
      </c>
      <c r="O350" t="n">
        <v>0</v>
      </c>
      <c r="P350" t="n">
        <v>0</v>
      </c>
      <c r="Q350" t="n">
        <v>0</v>
      </c>
      <c r="R350" s="2" t="inlineStr"/>
    </row>
    <row r="351" ht="15" customHeight="1">
      <c r="A351" t="inlineStr">
        <is>
          <t>A 54396-2021</t>
        </is>
      </c>
      <c r="B351" s="1" t="n">
        <v>44472</v>
      </c>
      <c r="C351" s="1" t="n">
        <v>46105</v>
      </c>
      <c r="D351" t="inlineStr">
        <is>
          <t>STOCKHOLMS LÄN</t>
        </is>
      </c>
      <c r="E351" t="inlineStr">
        <is>
          <t>NORRTÄLJE</t>
        </is>
      </c>
      <c r="G351" t="n">
        <v>2.6</v>
      </c>
      <c r="H351" t="n">
        <v>0</v>
      </c>
      <c r="I351" t="n">
        <v>0</v>
      </c>
      <c r="J351" t="n">
        <v>0</v>
      </c>
      <c r="K351" t="n">
        <v>0</v>
      </c>
      <c r="L351" t="n">
        <v>0</v>
      </c>
      <c r="M351" t="n">
        <v>0</v>
      </c>
      <c r="N351" t="n">
        <v>0</v>
      </c>
      <c r="O351" t="n">
        <v>0</v>
      </c>
      <c r="P351" t="n">
        <v>0</v>
      </c>
      <c r="Q351" t="n">
        <v>0</v>
      </c>
      <c r="R351" s="2" t="inlineStr"/>
    </row>
    <row r="352" ht="15" customHeight="1">
      <c r="A352" t="inlineStr">
        <is>
          <t>A 24245-2024</t>
        </is>
      </c>
      <c r="B352" s="1" t="n">
        <v>45457</v>
      </c>
      <c r="C352" s="1" t="n">
        <v>46105</v>
      </c>
      <c r="D352" t="inlineStr">
        <is>
          <t>STOCKHOLMS LÄN</t>
        </is>
      </c>
      <c r="E352" t="inlineStr">
        <is>
          <t>NORRTÄLJE</t>
        </is>
      </c>
      <c r="F352" t="inlineStr">
        <is>
          <t>Holmen skog AB</t>
        </is>
      </c>
      <c r="G352" t="n">
        <v>3.4</v>
      </c>
      <c r="H352" t="n">
        <v>0</v>
      </c>
      <c r="I352" t="n">
        <v>0</v>
      </c>
      <c r="J352" t="n">
        <v>0</v>
      </c>
      <c r="K352" t="n">
        <v>0</v>
      </c>
      <c r="L352" t="n">
        <v>0</v>
      </c>
      <c r="M352" t="n">
        <v>0</v>
      </c>
      <c r="N352" t="n">
        <v>0</v>
      </c>
      <c r="O352" t="n">
        <v>0</v>
      </c>
      <c r="P352" t="n">
        <v>0</v>
      </c>
      <c r="Q352" t="n">
        <v>0</v>
      </c>
      <c r="R352" s="2" t="inlineStr"/>
    </row>
    <row r="353" ht="15" customHeight="1">
      <c r="A353" t="inlineStr">
        <is>
          <t>A 6537-2024</t>
        </is>
      </c>
      <c r="B353" s="1" t="n">
        <v>45341.39853009259</v>
      </c>
      <c r="C353" s="1" t="n">
        <v>46105</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52260-2022</t>
        </is>
      </c>
      <c r="B354" s="1" t="n">
        <v>44869</v>
      </c>
      <c r="C354" s="1" t="n">
        <v>46105</v>
      </c>
      <c r="D354" t="inlineStr">
        <is>
          <t>STOCKHOLMS LÄN</t>
        </is>
      </c>
      <c r="E354" t="inlineStr">
        <is>
          <t>NORRTÄLJE</t>
        </is>
      </c>
      <c r="G354" t="n">
        <v>3.1</v>
      </c>
      <c r="H354" t="n">
        <v>0</v>
      </c>
      <c r="I354" t="n">
        <v>0</v>
      </c>
      <c r="J354" t="n">
        <v>0</v>
      </c>
      <c r="K354" t="n">
        <v>0</v>
      </c>
      <c r="L354" t="n">
        <v>0</v>
      </c>
      <c r="M354" t="n">
        <v>0</v>
      </c>
      <c r="N354" t="n">
        <v>0</v>
      </c>
      <c r="O354" t="n">
        <v>0</v>
      </c>
      <c r="P354" t="n">
        <v>0</v>
      </c>
      <c r="Q354" t="n">
        <v>0</v>
      </c>
      <c r="R354" s="2" t="inlineStr"/>
    </row>
    <row r="355" ht="15" customHeight="1">
      <c r="A355" t="inlineStr">
        <is>
          <t>A 4035-2023</t>
        </is>
      </c>
      <c r="B355" s="1" t="n">
        <v>44952.57989583333</v>
      </c>
      <c r="C355" s="1" t="n">
        <v>46105</v>
      </c>
      <c r="D355" t="inlineStr">
        <is>
          <t>STOCKHOLMS LÄN</t>
        </is>
      </c>
      <c r="E355" t="inlineStr">
        <is>
          <t>NORRTÄLJE</t>
        </is>
      </c>
      <c r="F355" t="inlineStr">
        <is>
          <t>Holmen skog AB</t>
        </is>
      </c>
      <c r="G355" t="n">
        <v>1.5</v>
      </c>
      <c r="H355" t="n">
        <v>0</v>
      </c>
      <c r="I355" t="n">
        <v>0</v>
      </c>
      <c r="J355" t="n">
        <v>0</v>
      </c>
      <c r="K355" t="n">
        <v>0</v>
      </c>
      <c r="L355" t="n">
        <v>0</v>
      </c>
      <c r="M355" t="n">
        <v>0</v>
      </c>
      <c r="N355" t="n">
        <v>0</v>
      </c>
      <c r="O355" t="n">
        <v>0</v>
      </c>
      <c r="P355" t="n">
        <v>0</v>
      </c>
      <c r="Q355" t="n">
        <v>0</v>
      </c>
      <c r="R355" s="2" t="inlineStr"/>
    </row>
    <row r="356" ht="15" customHeight="1">
      <c r="A356" t="inlineStr">
        <is>
          <t>A 55058-2021</t>
        </is>
      </c>
      <c r="B356" s="1" t="n">
        <v>44474.62141203704</v>
      </c>
      <c r="C356" s="1" t="n">
        <v>46105</v>
      </c>
      <c r="D356" t="inlineStr">
        <is>
          <t>STOCKHOLMS LÄN</t>
        </is>
      </c>
      <c r="E356" t="inlineStr">
        <is>
          <t>NORRTÄLJE</t>
        </is>
      </c>
      <c r="G356" t="n">
        <v>1.9</v>
      </c>
      <c r="H356" t="n">
        <v>0</v>
      </c>
      <c r="I356" t="n">
        <v>0</v>
      </c>
      <c r="J356" t="n">
        <v>0</v>
      </c>
      <c r="K356" t="n">
        <v>0</v>
      </c>
      <c r="L356" t="n">
        <v>0</v>
      </c>
      <c r="M356" t="n">
        <v>0</v>
      </c>
      <c r="N356" t="n">
        <v>0</v>
      </c>
      <c r="O356" t="n">
        <v>0</v>
      </c>
      <c r="P356" t="n">
        <v>0</v>
      </c>
      <c r="Q356" t="n">
        <v>0</v>
      </c>
      <c r="R356" s="2" t="inlineStr"/>
    </row>
    <row r="357" ht="15" customHeight="1">
      <c r="A357" t="inlineStr">
        <is>
          <t>A 34295-2024</t>
        </is>
      </c>
      <c r="B357" s="1" t="n">
        <v>45524</v>
      </c>
      <c r="C357" s="1" t="n">
        <v>46105</v>
      </c>
      <c r="D357" t="inlineStr">
        <is>
          <t>STOCKHOLMS LÄN</t>
        </is>
      </c>
      <c r="E357" t="inlineStr">
        <is>
          <t>NORRTÄLJE</t>
        </is>
      </c>
      <c r="G357" t="n">
        <v>1.3</v>
      </c>
      <c r="H357" t="n">
        <v>0</v>
      </c>
      <c r="I357" t="n">
        <v>0</v>
      </c>
      <c r="J357" t="n">
        <v>0</v>
      </c>
      <c r="K357" t="n">
        <v>0</v>
      </c>
      <c r="L357" t="n">
        <v>0</v>
      </c>
      <c r="M357" t="n">
        <v>0</v>
      </c>
      <c r="N357" t="n">
        <v>0</v>
      </c>
      <c r="O357" t="n">
        <v>0</v>
      </c>
      <c r="P357" t="n">
        <v>0</v>
      </c>
      <c r="Q357" t="n">
        <v>0</v>
      </c>
      <c r="R357" s="2" t="inlineStr"/>
    </row>
    <row r="358" ht="15" customHeight="1">
      <c r="A358" t="inlineStr">
        <is>
          <t>A 40192-2023</t>
        </is>
      </c>
      <c r="B358" s="1" t="n">
        <v>45169</v>
      </c>
      <c r="C358" s="1" t="n">
        <v>46105</v>
      </c>
      <c r="D358" t="inlineStr">
        <is>
          <t>STOCKHOLMS LÄN</t>
        </is>
      </c>
      <c r="E358" t="inlineStr">
        <is>
          <t>NORRTÄLJE</t>
        </is>
      </c>
      <c r="F358" t="inlineStr">
        <is>
          <t>Kyrkan</t>
        </is>
      </c>
      <c r="G358" t="n">
        <v>0.7</v>
      </c>
      <c r="H358" t="n">
        <v>0</v>
      </c>
      <c r="I358" t="n">
        <v>0</v>
      </c>
      <c r="J358" t="n">
        <v>0</v>
      </c>
      <c r="K358" t="n">
        <v>0</v>
      </c>
      <c r="L358" t="n">
        <v>0</v>
      </c>
      <c r="M358" t="n">
        <v>0</v>
      </c>
      <c r="N358" t="n">
        <v>0</v>
      </c>
      <c r="O358" t="n">
        <v>0</v>
      </c>
      <c r="P358" t="n">
        <v>0</v>
      </c>
      <c r="Q358" t="n">
        <v>0</v>
      </c>
      <c r="R358" s="2" t="inlineStr"/>
    </row>
    <row r="359" ht="15" customHeight="1">
      <c r="A359" t="inlineStr">
        <is>
          <t>A 26644-2024</t>
        </is>
      </c>
      <c r="B359" s="1" t="n">
        <v>45469</v>
      </c>
      <c r="C359" s="1" t="n">
        <v>46105</v>
      </c>
      <c r="D359" t="inlineStr">
        <is>
          <t>STOCKHOLMS LÄN</t>
        </is>
      </c>
      <c r="E359" t="inlineStr">
        <is>
          <t>NORRTÄLJE</t>
        </is>
      </c>
      <c r="G359" t="n">
        <v>4.3</v>
      </c>
      <c r="H359" t="n">
        <v>0</v>
      </c>
      <c r="I359" t="n">
        <v>0</v>
      </c>
      <c r="J359" t="n">
        <v>0</v>
      </c>
      <c r="K359" t="n">
        <v>0</v>
      </c>
      <c r="L359" t="n">
        <v>0</v>
      </c>
      <c r="M359" t="n">
        <v>0</v>
      </c>
      <c r="N359" t="n">
        <v>0</v>
      </c>
      <c r="O359" t="n">
        <v>0</v>
      </c>
      <c r="P359" t="n">
        <v>0</v>
      </c>
      <c r="Q359" t="n">
        <v>0</v>
      </c>
      <c r="R359" s="2" t="inlineStr"/>
    </row>
    <row r="360" ht="15" customHeight="1">
      <c r="A360" t="inlineStr">
        <is>
          <t>A 26668-2024</t>
        </is>
      </c>
      <c r="B360" s="1" t="n">
        <v>45469</v>
      </c>
      <c r="C360" s="1" t="n">
        <v>46105</v>
      </c>
      <c r="D360" t="inlineStr">
        <is>
          <t>STOCKHOLMS LÄN</t>
        </is>
      </c>
      <c r="E360" t="inlineStr">
        <is>
          <t>NORRTÄLJE</t>
        </is>
      </c>
      <c r="G360" t="n">
        <v>4.8</v>
      </c>
      <c r="H360" t="n">
        <v>0</v>
      </c>
      <c r="I360" t="n">
        <v>0</v>
      </c>
      <c r="J360" t="n">
        <v>0</v>
      </c>
      <c r="K360" t="n">
        <v>0</v>
      </c>
      <c r="L360" t="n">
        <v>0</v>
      </c>
      <c r="M360" t="n">
        <v>0</v>
      </c>
      <c r="N360" t="n">
        <v>0</v>
      </c>
      <c r="O360" t="n">
        <v>0</v>
      </c>
      <c r="P360" t="n">
        <v>0</v>
      </c>
      <c r="Q360" t="n">
        <v>0</v>
      </c>
      <c r="R360" s="2" t="inlineStr"/>
    </row>
    <row r="361" ht="15" customHeight="1">
      <c r="A361" t="inlineStr">
        <is>
          <t>A 54273-2021</t>
        </is>
      </c>
      <c r="B361" s="1" t="n">
        <v>44470.72987268519</v>
      </c>
      <c r="C361" s="1" t="n">
        <v>46105</v>
      </c>
      <c r="D361" t="inlineStr">
        <is>
          <t>STOCKHOLMS LÄN</t>
        </is>
      </c>
      <c r="E361" t="inlineStr">
        <is>
          <t>NORRTÄLJE</t>
        </is>
      </c>
      <c r="G361" t="n">
        <v>2.7</v>
      </c>
      <c r="H361" t="n">
        <v>0</v>
      </c>
      <c r="I361" t="n">
        <v>0</v>
      </c>
      <c r="J361" t="n">
        <v>0</v>
      </c>
      <c r="K361" t="n">
        <v>0</v>
      </c>
      <c r="L361" t="n">
        <v>0</v>
      </c>
      <c r="M361" t="n">
        <v>0</v>
      </c>
      <c r="N361" t="n">
        <v>0</v>
      </c>
      <c r="O361" t="n">
        <v>0</v>
      </c>
      <c r="P361" t="n">
        <v>0</v>
      </c>
      <c r="Q361" t="n">
        <v>0</v>
      </c>
      <c r="R361" s="2" t="inlineStr"/>
    </row>
    <row r="362" ht="15" customHeight="1">
      <c r="A362" t="inlineStr">
        <is>
          <t>A 43212-2022</t>
        </is>
      </c>
      <c r="B362" s="1" t="n">
        <v>44834.38636574074</v>
      </c>
      <c r="C362" s="1" t="n">
        <v>46105</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46988-2024</t>
        </is>
      </c>
      <c r="B363" s="1" t="n">
        <v>45586</v>
      </c>
      <c r="C363" s="1" t="n">
        <v>46105</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71552-2021</t>
        </is>
      </c>
      <c r="B364" s="1" t="n">
        <v>44540</v>
      </c>
      <c r="C364" s="1" t="n">
        <v>46105</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37085-2021</t>
        </is>
      </c>
      <c r="B365" s="1" t="n">
        <v>44395</v>
      </c>
      <c r="C365" s="1" t="n">
        <v>46105</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17382-2024</t>
        </is>
      </c>
      <c r="B366" s="1" t="n">
        <v>45414.65855324074</v>
      </c>
      <c r="C366" s="1" t="n">
        <v>46105</v>
      </c>
      <c r="D366" t="inlineStr">
        <is>
          <t>STOCKHOLMS LÄN</t>
        </is>
      </c>
      <c r="E366" t="inlineStr">
        <is>
          <t>NORRTÄLJE</t>
        </is>
      </c>
      <c r="G366" t="n">
        <v>1.2</v>
      </c>
      <c r="H366" t="n">
        <v>0</v>
      </c>
      <c r="I366" t="n">
        <v>0</v>
      </c>
      <c r="J366" t="n">
        <v>0</v>
      </c>
      <c r="K366" t="n">
        <v>0</v>
      </c>
      <c r="L366" t="n">
        <v>0</v>
      </c>
      <c r="M366" t="n">
        <v>0</v>
      </c>
      <c r="N366" t="n">
        <v>0</v>
      </c>
      <c r="O366" t="n">
        <v>0</v>
      </c>
      <c r="P366" t="n">
        <v>0</v>
      </c>
      <c r="Q366" t="n">
        <v>0</v>
      </c>
      <c r="R366" s="2" t="inlineStr"/>
    </row>
    <row r="367" ht="15" customHeight="1">
      <c r="A367" t="inlineStr">
        <is>
          <t>A 9914-2023</t>
        </is>
      </c>
      <c r="B367" s="1" t="n">
        <v>44985</v>
      </c>
      <c r="C367" s="1" t="n">
        <v>46105</v>
      </c>
      <c r="D367" t="inlineStr">
        <is>
          <t>STOCKHOLMS LÄN</t>
        </is>
      </c>
      <c r="E367" t="inlineStr">
        <is>
          <t>NORRTÄLJE</t>
        </is>
      </c>
      <c r="G367" t="n">
        <v>4.2</v>
      </c>
      <c r="H367" t="n">
        <v>0</v>
      </c>
      <c r="I367" t="n">
        <v>0</v>
      </c>
      <c r="J367" t="n">
        <v>0</v>
      </c>
      <c r="K367" t="n">
        <v>0</v>
      </c>
      <c r="L367" t="n">
        <v>0</v>
      </c>
      <c r="M367" t="n">
        <v>0</v>
      </c>
      <c r="N367" t="n">
        <v>0</v>
      </c>
      <c r="O367" t="n">
        <v>0</v>
      </c>
      <c r="P367" t="n">
        <v>0</v>
      </c>
      <c r="Q367" t="n">
        <v>0</v>
      </c>
      <c r="R367" s="2" t="inlineStr"/>
    </row>
    <row r="368" ht="15" customHeight="1">
      <c r="A368" t="inlineStr">
        <is>
          <t>A 25557-2023</t>
        </is>
      </c>
      <c r="B368" s="1" t="n">
        <v>45089</v>
      </c>
      <c r="C368" s="1" t="n">
        <v>46105</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60525-2022</t>
        </is>
      </c>
      <c r="B369" s="1" t="n">
        <v>44904</v>
      </c>
      <c r="C369" s="1" t="n">
        <v>46105</v>
      </c>
      <c r="D369" t="inlineStr">
        <is>
          <t>STOCKHOLMS LÄN</t>
        </is>
      </c>
      <c r="E369" t="inlineStr">
        <is>
          <t>NORRTÄLJE</t>
        </is>
      </c>
      <c r="G369" t="n">
        <v>13.4</v>
      </c>
      <c r="H369" t="n">
        <v>0</v>
      </c>
      <c r="I369" t="n">
        <v>0</v>
      </c>
      <c r="J369" t="n">
        <v>0</v>
      </c>
      <c r="K369" t="n">
        <v>0</v>
      </c>
      <c r="L369" t="n">
        <v>0</v>
      </c>
      <c r="M369" t="n">
        <v>0</v>
      </c>
      <c r="N369" t="n">
        <v>0</v>
      </c>
      <c r="O369" t="n">
        <v>0</v>
      </c>
      <c r="P369" t="n">
        <v>0</v>
      </c>
      <c r="Q369" t="n">
        <v>0</v>
      </c>
      <c r="R369" s="2" t="inlineStr"/>
    </row>
    <row r="370" ht="15" customHeight="1">
      <c r="A370" t="inlineStr">
        <is>
          <t>A 23060-2023</t>
        </is>
      </c>
      <c r="B370" s="1" t="n">
        <v>45075</v>
      </c>
      <c r="C370" s="1" t="n">
        <v>46105</v>
      </c>
      <c r="D370" t="inlineStr">
        <is>
          <t>STOCKHOLMS LÄN</t>
        </is>
      </c>
      <c r="E370" t="inlineStr">
        <is>
          <t>NORRTÄLJE</t>
        </is>
      </c>
      <c r="G370" t="n">
        <v>0.5</v>
      </c>
      <c r="H370" t="n">
        <v>0</v>
      </c>
      <c r="I370" t="n">
        <v>0</v>
      </c>
      <c r="J370" t="n">
        <v>0</v>
      </c>
      <c r="K370" t="n">
        <v>0</v>
      </c>
      <c r="L370" t="n">
        <v>0</v>
      </c>
      <c r="M370" t="n">
        <v>0</v>
      </c>
      <c r="N370" t="n">
        <v>0</v>
      </c>
      <c r="O370" t="n">
        <v>0</v>
      </c>
      <c r="P370" t="n">
        <v>0</v>
      </c>
      <c r="Q370" t="n">
        <v>0</v>
      </c>
      <c r="R370" s="2" t="inlineStr"/>
    </row>
    <row r="371" ht="15" customHeight="1">
      <c r="A371" t="inlineStr">
        <is>
          <t>A 58302-2022</t>
        </is>
      </c>
      <c r="B371" s="1" t="n">
        <v>44901</v>
      </c>
      <c r="C371" s="1" t="n">
        <v>46105</v>
      </c>
      <c r="D371" t="inlineStr">
        <is>
          <t>STOCKHOLMS LÄN</t>
        </is>
      </c>
      <c r="E371" t="inlineStr">
        <is>
          <t>NORRTÄLJE</t>
        </is>
      </c>
      <c r="G371" t="n">
        <v>3.9</v>
      </c>
      <c r="H371" t="n">
        <v>0</v>
      </c>
      <c r="I371" t="n">
        <v>0</v>
      </c>
      <c r="J371" t="n">
        <v>0</v>
      </c>
      <c r="K371" t="n">
        <v>0</v>
      </c>
      <c r="L371" t="n">
        <v>0</v>
      </c>
      <c r="M371" t="n">
        <v>0</v>
      </c>
      <c r="N371" t="n">
        <v>0</v>
      </c>
      <c r="O371" t="n">
        <v>0</v>
      </c>
      <c r="P371" t="n">
        <v>0</v>
      </c>
      <c r="Q371" t="n">
        <v>0</v>
      </c>
      <c r="R371" s="2" t="inlineStr"/>
    </row>
    <row r="372" ht="15" customHeight="1">
      <c r="A372" t="inlineStr">
        <is>
          <t>A 23269-2023</t>
        </is>
      </c>
      <c r="B372" s="1" t="n">
        <v>45075.91148148148</v>
      </c>
      <c r="C372" s="1" t="n">
        <v>46105</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25697-2025</t>
        </is>
      </c>
      <c r="B373" s="1" t="n">
        <v>45803.66587962963</v>
      </c>
      <c r="C373" s="1" t="n">
        <v>46105</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52743-2024</t>
        </is>
      </c>
      <c r="B374" s="1" t="n">
        <v>45610.47414351852</v>
      </c>
      <c r="C374" s="1" t="n">
        <v>46105</v>
      </c>
      <c r="D374" t="inlineStr">
        <is>
          <t>STOCKHOLMS LÄN</t>
        </is>
      </c>
      <c r="E374" t="inlineStr">
        <is>
          <t>NORRTÄLJE</t>
        </is>
      </c>
      <c r="G374" t="n">
        <v>1.5</v>
      </c>
      <c r="H374" t="n">
        <v>0</v>
      </c>
      <c r="I374" t="n">
        <v>0</v>
      </c>
      <c r="J374" t="n">
        <v>0</v>
      </c>
      <c r="K374" t="n">
        <v>0</v>
      </c>
      <c r="L374" t="n">
        <v>0</v>
      </c>
      <c r="M374" t="n">
        <v>0</v>
      </c>
      <c r="N374" t="n">
        <v>0</v>
      </c>
      <c r="O374" t="n">
        <v>0</v>
      </c>
      <c r="P374" t="n">
        <v>0</v>
      </c>
      <c r="Q374" t="n">
        <v>0</v>
      </c>
      <c r="R374" s="2" t="inlineStr"/>
    </row>
    <row r="375" ht="15" customHeight="1">
      <c r="A375" t="inlineStr">
        <is>
          <t>A 11499-2023</t>
        </is>
      </c>
      <c r="B375" s="1" t="n">
        <v>44993.66707175926</v>
      </c>
      <c r="C375" s="1" t="n">
        <v>46105</v>
      </c>
      <c r="D375" t="inlineStr">
        <is>
          <t>STOCKHOLMS LÄN</t>
        </is>
      </c>
      <c r="E375" t="inlineStr">
        <is>
          <t>NORRTÄLJE</t>
        </is>
      </c>
      <c r="F375" t="inlineStr">
        <is>
          <t>Holmen skog AB</t>
        </is>
      </c>
      <c r="G375" t="n">
        <v>2.8</v>
      </c>
      <c r="H375" t="n">
        <v>0</v>
      </c>
      <c r="I375" t="n">
        <v>0</v>
      </c>
      <c r="J375" t="n">
        <v>0</v>
      </c>
      <c r="K375" t="n">
        <v>0</v>
      </c>
      <c r="L375" t="n">
        <v>0</v>
      </c>
      <c r="M375" t="n">
        <v>0</v>
      </c>
      <c r="N375" t="n">
        <v>0</v>
      </c>
      <c r="O375" t="n">
        <v>0</v>
      </c>
      <c r="P375" t="n">
        <v>0</v>
      </c>
      <c r="Q375" t="n">
        <v>0</v>
      </c>
      <c r="R375" s="2" t="inlineStr"/>
    </row>
    <row r="376" ht="15" customHeight="1">
      <c r="A376" t="inlineStr">
        <is>
          <t>A 47259-2024</t>
        </is>
      </c>
      <c r="B376" s="1" t="n">
        <v>45586</v>
      </c>
      <c r="C376" s="1" t="n">
        <v>46105</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64600-2021</t>
        </is>
      </c>
      <c r="B377" s="1" t="n">
        <v>44511.70518518519</v>
      </c>
      <c r="C377" s="1" t="n">
        <v>46105</v>
      </c>
      <c r="D377" t="inlineStr">
        <is>
          <t>STOCKHOLMS LÄN</t>
        </is>
      </c>
      <c r="E377" t="inlineStr">
        <is>
          <t>NORRTÄLJE</t>
        </is>
      </c>
      <c r="G377" t="n">
        <v>6.2</v>
      </c>
      <c r="H377" t="n">
        <v>0</v>
      </c>
      <c r="I377" t="n">
        <v>0</v>
      </c>
      <c r="J377" t="n">
        <v>0</v>
      </c>
      <c r="K377" t="n">
        <v>0</v>
      </c>
      <c r="L377" t="n">
        <v>0</v>
      </c>
      <c r="M377" t="n">
        <v>0</v>
      </c>
      <c r="N377" t="n">
        <v>0</v>
      </c>
      <c r="O377" t="n">
        <v>0</v>
      </c>
      <c r="P377" t="n">
        <v>0</v>
      </c>
      <c r="Q377" t="n">
        <v>0</v>
      </c>
      <c r="R377" s="2" t="inlineStr"/>
    </row>
    <row r="378" ht="15" customHeight="1">
      <c r="A378" t="inlineStr">
        <is>
          <t>A 35640-2024</t>
        </is>
      </c>
      <c r="B378" s="1" t="n">
        <v>45531</v>
      </c>
      <c r="C378" s="1" t="n">
        <v>46105</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22816-2021</t>
        </is>
      </c>
      <c r="B379" s="1" t="n">
        <v>44325</v>
      </c>
      <c r="C379" s="1" t="n">
        <v>46105</v>
      </c>
      <c r="D379" t="inlineStr">
        <is>
          <t>STOCKHOLMS LÄN</t>
        </is>
      </c>
      <c r="E379" t="inlineStr">
        <is>
          <t>NORRTÄLJE</t>
        </is>
      </c>
      <c r="G379" t="n">
        <v>4.5</v>
      </c>
      <c r="H379" t="n">
        <v>0</v>
      </c>
      <c r="I379" t="n">
        <v>0</v>
      </c>
      <c r="J379" t="n">
        <v>0</v>
      </c>
      <c r="K379" t="n">
        <v>0</v>
      </c>
      <c r="L379" t="n">
        <v>0</v>
      </c>
      <c r="M379" t="n">
        <v>0</v>
      </c>
      <c r="N379" t="n">
        <v>0</v>
      </c>
      <c r="O379" t="n">
        <v>0</v>
      </c>
      <c r="P379" t="n">
        <v>0</v>
      </c>
      <c r="Q379" t="n">
        <v>0</v>
      </c>
      <c r="R379" s="2" t="inlineStr"/>
    </row>
    <row r="380" ht="15" customHeight="1">
      <c r="A380" t="inlineStr">
        <is>
          <t>A 8586-2023</t>
        </is>
      </c>
      <c r="B380" s="1" t="n">
        <v>44977</v>
      </c>
      <c r="C380" s="1" t="n">
        <v>46105</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67990-2021</t>
        </is>
      </c>
      <c r="B381" s="1" t="n">
        <v>44525</v>
      </c>
      <c r="C381" s="1" t="n">
        <v>46105</v>
      </c>
      <c r="D381" t="inlineStr">
        <is>
          <t>STOCKHOLMS LÄN</t>
        </is>
      </c>
      <c r="E381" t="inlineStr">
        <is>
          <t>NORRTÄLJE</t>
        </is>
      </c>
      <c r="F381" t="inlineStr">
        <is>
          <t>Sveaskog</t>
        </is>
      </c>
      <c r="G381" t="n">
        <v>7.8</v>
      </c>
      <c r="H381" t="n">
        <v>0</v>
      </c>
      <c r="I381" t="n">
        <v>0</v>
      </c>
      <c r="J381" t="n">
        <v>0</v>
      </c>
      <c r="K381" t="n">
        <v>0</v>
      </c>
      <c r="L381" t="n">
        <v>0</v>
      </c>
      <c r="M381" t="n">
        <v>0</v>
      </c>
      <c r="N381" t="n">
        <v>0</v>
      </c>
      <c r="O381" t="n">
        <v>0</v>
      </c>
      <c r="P381" t="n">
        <v>0</v>
      </c>
      <c r="Q381" t="n">
        <v>0</v>
      </c>
      <c r="R381" s="2" t="inlineStr"/>
    </row>
    <row r="382" ht="15" customHeight="1">
      <c r="A382" t="inlineStr">
        <is>
          <t>A 65499-2021</t>
        </is>
      </c>
      <c r="B382" s="1" t="n">
        <v>44516</v>
      </c>
      <c r="C382" s="1" t="n">
        <v>46105</v>
      </c>
      <c r="D382" t="inlineStr">
        <is>
          <t>STOCKHOLMS LÄN</t>
        </is>
      </c>
      <c r="E382" t="inlineStr">
        <is>
          <t>NORRTÄLJE</t>
        </is>
      </c>
      <c r="F382" t="inlineStr">
        <is>
          <t>Kommuner</t>
        </is>
      </c>
      <c r="G382" t="n">
        <v>5.2</v>
      </c>
      <c r="H382" t="n">
        <v>0</v>
      </c>
      <c r="I382" t="n">
        <v>0</v>
      </c>
      <c r="J382" t="n">
        <v>0</v>
      </c>
      <c r="K382" t="n">
        <v>0</v>
      </c>
      <c r="L382" t="n">
        <v>0</v>
      </c>
      <c r="M382" t="n">
        <v>0</v>
      </c>
      <c r="N382" t="n">
        <v>0</v>
      </c>
      <c r="O382" t="n">
        <v>0</v>
      </c>
      <c r="P382" t="n">
        <v>0</v>
      </c>
      <c r="Q382" t="n">
        <v>0</v>
      </c>
      <c r="R382" s="2" t="inlineStr"/>
    </row>
    <row r="383" ht="15" customHeight="1">
      <c r="A383" t="inlineStr">
        <is>
          <t>A 11648-2026</t>
        </is>
      </c>
      <c r="B383" s="1" t="n">
        <v>46084.51575231482</v>
      </c>
      <c r="C383" s="1" t="n">
        <v>46105</v>
      </c>
      <c r="D383" t="inlineStr">
        <is>
          <t>STOCKHOLMS LÄN</t>
        </is>
      </c>
      <c r="E383" t="inlineStr">
        <is>
          <t>NORRTÄLJE</t>
        </is>
      </c>
      <c r="G383" t="n">
        <v>4.1</v>
      </c>
      <c r="H383" t="n">
        <v>0</v>
      </c>
      <c r="I383" t="n">
        <v>0</v>
      </c>
      <c r="J383" t="n">
        <v>0</v>
      </c>
      <c r="K383" t="n">
        <v>0</v>
      </c>
      <c r="L383" t="n">
        <v>0</v>
      </c>
      <c r="M383" t="n">
        <v>0</v>
      </c>
      <c r="N383" t="n">
        <v>0</v>
      </c>
      <c r="O383" t="n">
        <v>0</v>
      </c>
      <c r="P383" t="n">
        <v>0</v>
      </c>
      <c r="Q383" t="n">
        <v>0</v>
      </c>
      <c r="R383" s="2" t="inlineStr"/>
    </row>
    <row r="384" ht="15" customHeight="1">
      <c r="A384" t="inlineStr">
        <is>
          <t>A 3549-2026</t>
        </is>
      </c>
      <c r="B384" s="1" t="n">
        <v>46042</v>
      </c>
      <c r="C384" s="1" t="n">
        <v>46105</v>
      </c>
      <c r="D384" t="inlineStr">
        <is>
          <t>STOCKHOLMS LÄN</t>
        </is>
      </c>
      <c r="E384" t="inlineStr">
        <is>
          <t>NORRTÄLJE</t>
        </is>
      </c>
      <c r="G384" t="n">
        <v>0.7</v>
      </c>
      <c r="H384" t="n">
        <v>0</v>
      </c>
      <c r="I384" t="n">
        <v>0</v>
      </c>
      <c r="J384" t="n">
        <v>0</v>
      </c>
      <c r="K384" t="n">
        <v>0</v>
      </c>
      <c r="L384" t="n">
        <v>0</v>
      </c>
      <c r="M384" t="n">
        <v>0</v>
      </c>
      <c r="N384" t="n">
        <v>0</v>
      </c>
      <c r="O384" t="n">
        <v>0</v>
      </c>
      <c r="P384" t="n">
        <v>0</v>
      </c>
      <c r="Q384" t="n">
        <v>0</v>
      </c>
      <c r="R384" s="2" t="inlineStr"/>
    </row>
    <row r="385" ht="15" customHeight="1">
      <c r="A385" t="inlineStr">
        <is>
          <t>A 26675-2025</t>
        </is>
      </c>
      <c r="B385" s="1" t="n">
        <v>45810.42393518519</v>
      </c>
      <c r="C385" s="1" t="n">
        <v>46105</v>
      </c>
      <c r="D385" t="inlineStr">
        <is>
          <t>STOCKHOLMS LÄN</t>
        </is>
      </c>
      <c r="E385" t="inlineStr">
        <is>
          <t>NORRTÄLJE</t>
        </is>
      </c>
      <c r="G385" t="n">
        <v>2.7</v>
      </c>
      <c r="H385" t="n">
        <v>0</v>
      </c>
      <c r="I385" t="n">
        <v>0</v>
      </c>
      <c r="J385" t="n">
        <v>0</v>
      </c>
      <c r="K385" t="n">
        <v>0</v>
      </c>
      <c r="L385" t="n">
        <v>0</v>
      </c>
      <c r="M385" t="n">
        <v>0</v>
      </c>
      <c r="N385" t="n">
        <v>0</v>
      </c>
      <c r="O385" t="n">
        <v>0</v>
      </c>
      <c r="P385" t="n">
        <v>0</v>
      </c>
      <c r="Q385" t="n">
        <v>0</v>
      </c>
      <c r="R385" s="2" t="inlineStr"/>
    </row>
    <row r="386" ht="15" customHeight="1">
      <c r="A386" t="inlineStr">
        <is>
          <t>A 23061-2025</t>
        </is>
      </c>
      <c r="B386" s="1" t="n">
        <v>45790.81410879629</v>
      </c>
      <c r="C386" s="1" t="n">
        <v>46105</v>
      </c>
      <c r="D386" t="inlineStr">
        <is>
          <t>STOCKHOLMS LÄN</t>
        </is>
      </c>
      <c r="E386" t="inlineStr">
        <is>
          <t>NORRTÄLJE</t>
        </is>
      </c>
      <c r="G386" t="n">
        <v>1.4</v>
      </c>
      <c r="H386" t="n">
        <v>0</v>
      </c>
      <c r="I386" t="n">
        <v>0</v>
      </c>
      <c r="J386" t="n">
        <v>0</v>
      </c>
      <c r="K386" t="n">
        <v>0</v>
      </c>
      <c r="L386" t="n">
        <v>0</v>
      </c>
      <c r="M386" t="n">
        <v>0</v>
      </c>
      <c r="N386" t="n">
        <v>0</v>
      </c>
      <c r="O386" t="n">
        <v>0</v>
      </c>
      <c r="P386" t="n">
        <v>0</v>
      </c>
      <c r="Q386" t="n">
        <v>0</v>
      </c>
      <c r="R386" s="2" t="inlineStr"/>
    </row>
    <row r="387" ht="15" customHeight="1">
      <c r="A387" t="inlineStr">
        <is>
          <t>A 26747-2025</t>
        </is>
      </c>
      <c r="B387" s="1" t="n">
        <v>45810.5333912037</v>
      </c>
      <c r="C387" s="1" t="n">
        <v>46105</v>
      </c>
      <c r="D387" t="inlineStr">
        <is>
          <t>STOCKHOLMS LÄN</t>
        </is>
      </c>
      <c r="E387" t="inlineStr">
        <is>
          <t>NORRTÄLJE</t>
        </is>
      </c>
      <c r="G387" t="n">
        <v>1.9</v>
      </c>
      <c r="H387" t="n">
        <v>0</v>
      </c>
      <c r="I387" t="n">
        <v>0</v>
      </c>
      <c r="J387" t="n">
        <v>0</v>
      </c>
      <c r="K387" t="n">
        <v>0</v>
      </c>
      <c r="L387" t="n">
        <v>0</v>
      </c>
      <c r="M387" t="n">
        <v>0</v>
      </c>
      <c r="N387" t="n">
        <v>0</v>
      </c>
      <c r="O387" t="n">
        <v>0</v>
      </c>
      <c r="P387" t="n">
        <v>0</v>
      </c>
      <c r="Q387" t="n">
        <v>0</v>
      </c>
      <c r="R387" s="2" t="inlineStr"/>
    </row>
    <row r="388" ht="15" customHeight="1">
      <c r="A388" t="inlineStr">
        <is>
          <t>A 39149-2025</t>
        </is>
      </c>
      <c r="B388" s="1" t="n">
        <v>45888.60714120371</v>
      </c>
      <c r="C388" s="1" t="n">
        <v>46105</v>
      </c>
      <c r="D388" t="inlineStr">
        <is>
          <t>STOCKHOLMS LÄN</t>
        </is>
      </c>
      <c r="E388" t="inlineStr">
        <is>
          <t>NORRTÄLJE</t>
        </is>
      </c>
      <c r="G388" t="n">
        <v>3.5</v>
      </c>
      <c r="H388" t="n">
        <v>0</v>
      </c>
      <c r="I388" t="n">
        <v>0</v>
      </c>
      <c r="J388" t="n">
        <v>0</v>
      </c>
      <c r="K388" t="n">
        <v>0</v>
      </c>
      <c r="L388" t="n">
        <v>0</v>
      </c>
      <c r="M388" t="n">
        <v>0</v>
      </c>
      <c r="N388" t="n">
        <v>0</v>
      </c>
      <c r="O388" t="n">
        <v>0</v>
      </c>
      <c r="P388" t="n">
        <v>0</v>
      </c>
      <c r="Q388" t="n">
        <v>0</v>
      </c>
      <c r="R388" s="2" t="inlineStr"/>
    </row>
    <row r="389" ht="15" customHeight="1">
      <c r="A389" t="inlineStr">
        <is>
          <t>A 38720-2025</t>
        </is>
      </c>
      <c r="B389" s="1" t="n">
        <v>45886</v>
      </c>
      <c r="C389" s="1" t="n">
        <v>46105</v>
      </c>
      <c r="D389" t="inlineStr">
        <is>
          <t>STOCKHOLMS LÄN</t>
        </is>
      </c>
      <c r="E389" t="inlineStr">
        <is>
          <t>NORRTÄLJE</t>
        </is>
      </c>
      <c r="G389" t="n">
        <v>1.6</v>
      </c>
      <c r="H389" t="n">
        <v>0</v>
      </c>
      <c r="I389" t="n">
        <v>0</v>
      </c>
      <c r="J389" t="n">
        <v>0</v>
      </c>
      <c r="K389" t="n">
        <v>0</v>
      </c>
      <c r="L389" t="n">
        <v>0</v>
      </c>
      <c r="M389" t="n">
        <v>0</v>
      </c>
      <c r="N389" t="n">
        <v>0</v>
      </c>
      <c r="O389" t="n">
        <v>0</v>
      </c>
      <c r="P389" t="n">
        <v>0</v>
      </c>
      <c r="Q389" t="n">
        <v>0</v>
      </c>
      <c r="R389" s="2" t="inlineStr"/>
    </row>
    <row r="390" ht="15" customHeight="1">
      <c r="A390" t="inlineStr">
        <is>
          <t>A 26702-2025</t>
        </is>
      </c>
      <c r="B390" s="1" t="n">
        <v>45810.45236111111</v>
      </c>
      <c r="C390" s="1" t="n">
        <v>46105</v>
      </c>
      <c r="D390" t="inlineStr">
        <is>
          <t>STOCKHOLMS LÄN</t>
        </is>
      </c>
      <c r="E390" t="inlineStr">
        <is>
          <t>NORRTÄLJE</t>
        </is>
      </c>
      <c r="G390" t="n">
        <v>7.3</v>
      </c>
      <c r="H390" t="n">
        <v>0</v>
      </c>
      <c r="I390" t="n">
        <v>0</v>
      </c>
      <c r="J390" t="n">
        <v>0</v>
      </c>
      <c r="K390" t="n">
        <v>0</v>
      </c>
      <c r="L390" t="n">
        <v>0</v>
      </c>
      <c r="M390" t="n">
        <v>0</v>
      </c>
      <c r="N390" t="n">
        <v>0</v>
      </c>
      <c r="O390" t="n">
        <v>0</v>
      </c>
      <c r="P390" t="n">
        <v>0</v>
      </c>
      <c r="Q390" t="n">
        <v>0</v>
      </c>
      <c r="R390" s="2" t="inlineStr"/>
    </row>
    <row r="391" ht="15" customHeight="1">
      <c r="A391" t="inlineStr">
        <is>
          <t>A 26708-2025</t>
        </is>
      </c>
      <c r="B391" s="1" t="n">
        <v>45810.45633101852</v>
      </c>
      <c r="C391" s="1" t="n">
        <v>46105</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27040-2025</t>
        </is>
      </c>
      <c r="B392" s="1" t="n">
        <v>45811.60451388889</v>
      </c>
      <c r="C392" s="1" t="n">
        <v>46105</v>
      </c>
      <c r="D392" t="inlineStr">
        <is>
          <t>STOCKHOLMS LÄN</t>
        </is>
      </c>
      <c r="E392" t="inlineStr">
        <is>
          <t>NORRTÄLJE</t>
        </is>
      </c>
      <c r="G392" t="n">
        <v>4.3</v>
      </c>
      <c r="H392" t="n">
        <v>0</v>
      </c>
      <c r="I392" t="n">
        <v>0</v>
      </c>
      <c r="J392" t="n">
        <v>0</v>
      </c>
      <c r="K392" t="n">
        <v>0</v>
      </c>
      <c r="L392" t="n">
        <v>0</v>
      </c>
      <c r="M392" t="n">
        <v>0</v>
      </c>
      <c r="N392" t="n">
        <v>0</v>
      </c>
      <c r="O392" t="n">
        <v>0</v>
      </c>
      <c r="P392" t="n">
        <v>0</v>
      </c>
      <c r="Q392" t="n">
        <v>0</v>
      </c>
      <c r="R392" s="2" t="inlineStr"/>
    </row>
    <row r="393" ht="15" customHeight="1">
      <c r="A393" t="inlineStr">
        <is>
          <t>A 39152-2025</t>
        </is>
      </c>
      <c r="B393" s="1" t="n">
        <v>45888</v>
      </c>
      <c r="C393" s="1" t="n">
        <v>46105</v>
      </c>
      <c r="D393" t="inlineStr">
        <is>
          <t>STOCKHOLMS LÄN</t>
        </is>
      </c>
      <c r="E393" t="inlineStr">
        <is>
          <t>NORRTÄLJE</t>
        </is>
      </c>
      <c r="G393" t="n">
        <v>4.6</v>
      </c>
      <c r="H393" t="n">
        <v>0</v>
      </c>
      <c r="I393" t="n">
        <v>0</v>
      </c>
      <c r="J393" t="n">
        <v>0</v>
      </c>
      <c r="K393" t="n">
        <v>0</v>
      </c>
      <c r="L393" t="n">
        <v>0</v>
      </c>
      <c r="M393" t="n">
        <v>0</v>
      </c>
      <c r="N393" t="n">
        <v>0</v>
      </c>
      <c r="O393" t="n">
        <v>0</v>
      </c>
      <c r="P393" t="n">
        <v>0</v>
      </c>
      <c r="Q393" t="n">
        <v>0</v>
      </c>
      <c r="R393" s="2" t="inlineStr"/>
    </row>
    <row r="394" ht="15" customHeight="1">
      <c r="A394" t="inlineStr">
        <is>
          <t>A 4231-2026</t>
        </is>
      </c>
      <c r="B394" s="1" t="n">
        <v>46044</v>
      </c>
      <c r="C394" s="1" t="n">
        <v>46105</v>
      </c>
      <c r="D394" t="inlineStr">
        <is>
          <t>STOCKHOLMS LÄN</t>
        </is>
      </c>
      <c r="E394" t="inlineStr">
        <is>
          <t>NORRTÄLJE</t>
        </is>
      </c>
      <c r="G394" t="n">
        <v>2.9</v>
      </c>
      <c r="H394" t="n">
        <v>0</v>
      </c>
      <c r="I394" t="n">
        <v>0</v>
      </c>
      <c r="J394" t="n">
        <v>0</v>
      </c>
      <c r="K394" t="n">
        <v>0</v>
      </c>
      <c r="L394" t="n">
        <v>0</v>
      </c>
      <c r="M394" t="n">
        <v>0</v>
      </c>
      <c r="N394" t="n">
        <v>0</v>
      </c>
      <c r="O394" t="n">
        <v>0</v>
      </c>
      <c r="P394" t="n">
        <v>0</v>
      </c>
      <c r="Q394" t="n">
        <v>0</v>
      </c>
      <c r="R394" s="2" t="inlineStr"/>
    </row>
    <row r="395" ht="15" customHeight="1">
      <c r="A395" t="inlineStr">
        <is>
          <t>A 4235-2026</t>
        </is>
      </c>
      <c r="B395" s="1" t="n">
        <v>46044</v>
      </c>
      <c r="C395" s="1" t="n">
        <v>46105</v>
      </c>
      <c r="D395" t="inlineStr">
        <is>
          <t>STOCKHOLMS LÄN</t>
        </is>
      </c>
      <c r="E395" t="inlineStr">
        <is>
          <t>NORRTÄLJE</t>
        </is>
      </c>
      <c r="G395" t="n">
        <v>1.3</v>
      </c>
      <c r="H395" t="n">
        <v>0</v>
      </c>
      <c r="I395" t="n">
        <v>0</v>
      </c>
      <c r="J395" t="n">
        <v>0</v>
      </c>
      <c r="K395" t="n">
        <v>0</v>
      </c>
      <c r="L395" t="n">
        <v>0</v>
      </c>
      <c r="M395" t="n">
        <v>0</v>
      </c>
      <c r="N395" t="n">
        <v>0</v>
      </c>
      <c r="O395" t="n">
        <v>0</v>
      </c>
      <c r="P395" t="n">
        <v>0</v>
      </c>
      <c r="Q395" t="n">
        <v>0</v>
      </c>
      <c r="R395" s="2" t="inlineStr"/>
    </row>
    <row r="396" ht="15" customHeight="1">
      <c r="A396" t="inlineStr">
        <is>
          <t>A 39692-2025</t>
        </is>
      </c>
      <c r="B396" s="1" t="n">
        <v>45890.68083333333</v>
      </c>
      <c r="C396" s="1" t="n">
        <v>46105</v>
      </c>
      <c r="D396" t="inlineStr">
        <is>
          <t>STOCKHOLMS LÄN</t>
        </is>
      </c>
      <c r="E396" t="inlineStr">
        <is>
          <t>NORRTÄLJE</t>
        </is>
      </c>
      <c r="G396" t="n">
        <v>10.5</v>
      </c>
      <c r="H396" t="n">
        <v>0</v>
      </c>
      <c r="I396" t="n">
        <v>0</v>
      </c>
      <c r="J396" t="n">
        <v>0</v>
      </c>
      <c r="K396" t="n">
        <v>0</v>
      </c>
      <c r="L396" t="n">
        <v>0</v>
      </c>
      <c r="M396" t="n">
        <v>0</v>
      </c>
      <c r="N396" t="n">
        <v>0</v>
      </c>
      <c r="O396" t="n">
        <v>0</v>
      </c>
      <c r="P396" t="n">
        <v>0</v>
      </c>
      <c r="Q396" t="n">
        <v>0</v>
      </c>
      <c r="R396" s="2" t="inlineStr"/>
    </row>
    <row r="397" ht="15" customHeight="1">
      <c r="A397" t="inlineStr">
        <is>
          <t>A 27697-2025</t>
        </is>
      </c>
      <c r="B397" s="1" t="n">
        <v>45813.66961805556</v>
      </c>
      <c r="C397" s="1" t="n">
        <v>46105</v>
      </c>
      <c r="D397" t="inlineStr">
        <is>
          <t>STOCKHOLMS LÄN</t>
        </is>
      </c>
      <c r="E397" t="inlineStr">
        <is>
          <t>NORRTÄLJE</t>
        </is>
      </c>
      <c r="G397" t="n">
        <v>6.2</v>
      </c>
      <c r="H397" t="n">
        <v>0</v>
      </c>
      <c r="I397" t="n">
        <v>0</v>
      </c>
      <c r="J397" t="n">
        <v>0</v>
      </c>
      <c r="K397" t="n">
        <v>0</v>
      </c>
      <c r="L397" t="n">
        <v>0</v>
      </c>
      <c r="M397" t="n">
        <v>0</v>
      </c>
      <c r="N397" t="n">
        <v>0</v>
      </c>
      <c r="O397" t="n">
        <v>0</v>
      </c>
      <c r="P397" t="n">
        <v>0</v>
      </c>
      <c r="Q397" t="n">
        <v>0</v>
      </c>
      <c r="R397" s="2" t="inlineStr"/>
    </row>
    <row r="398" ht="15" customHeight="1">
      <c r="A398" t="inlineStr">
        <is>
          <t>A 4227-2026</t>
        </is>
      </c>
      <c r="B398" s="1" t="n">
        <v>46044</v>
      </c>
      <c r="C398" s="1" t="n">
        <v>46105</v>
      </c>
      <c r="D398" t="inlineStr">
        <is>
          <t>STOCKHOLMS LÄN</t>
        </is>
      </c>
      <c r="E398" t="inlineStr">
        <is>
          <t>NORRTÄLJE</t>
        </is>
      </c>
      <c r="G398" t="n">
        <v>3.6</v>
      </c>
      <c r="H398" t="n">
        <v>0</v>
      </c>
      <c r="I398" t="n">
        <v>0</v>
      </c>
      <c r="J398" t="n">
        <v>0</v>
      </c>
      <c r="K398" t="n">
        <v>0</v>
      </c>
      <c r="L398" t="n">
        <v>0</v>
      </c>
      <c r="M398" t="n">
        <v>0</v>
      </c>
      <c r="N398" t="n">
        <v>0</v>
      </c>
      <c r="O398" t="n">
        <v>0</v>
      </c>
      <c r="P398" t="n">
        <v>0</v>
      </c>
      <c r="Q398" t="n">
        <v>0</v>
      </c>
      <c r="R398" s="2" t="inlineStr"/>
    </row>
    <row r="399" ht="15" customHeight="1">
      <c r="A399" t="inlineStr">
        <is>
          <t>A 27700-2025</t>
        </is>
      </c>
      <c r="B399" s="1" t="n">
        <v>45813.6799537037</v>
      </c>
      <c r="C399" s="1" t="n">
        <v>46105</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27554-2025</t>
        </is>
      </c>
      <c r="B400" s="1" t="n">
        <v>45813.4709375</v>
      </c>
      <c r="C400" s="1" t="n">
        <v>46105</v>
      </c>
      <c r="D400" t="inlineStr">
        <is>
          <t>STOCKHOLMS LÄN</t>
        </is>
      </c>
      <c r="E400" t="inlineStr">
        <is>
          <t>NORRTÄLJE</t>
        </is>
      </c>
      <c r="F400" t="inlineStr">
        <is>
          <t>Övriga Aktiebolag</t>
        </is>
      </c>
      <c r="G400" t="n">
        <v>2.5</v>
      </c>
      <c r="H400" t="n">
        <v>0</v>
      </c>
      <c r="I400" t="n">
        <v>0</v>
      </c>
      <c r="J400" t="n">
        <v>0</v>
      </c>
      <c r="K400" t="n">
        <v>0</v>
      </c>
      <c r="L400" t="n">
        <v>0</v>
      </c>
      <c r="M400" t="n">
        <v>0</v>
      </c>
      <c r="N400" t="n">
        <v>0</v>
      </c>
      <c r="O400" t="n">
        <v>0</v>
      </c>
      <c r="P400" t="n">
        <v>0</v>
      </c>
      <c r="Q400" t="n">
        <v>0</v>
      </c>
      <c r="R400" s="2" t="inlineStr"/>
    </row>
    <row r="401" ht="15" customHeight="1">
      <c r="A401" t="inlineStr">
        <is>
          <t>A 27677-2025</t>
        </is>
      </c>
      <c r="B401" s="1" t="n">
        <v>45813.63650462963</v>
      </c>
      <c r="C401" s="1" t="n">
        <v>46105</v>
      </c>
      <c r="D401" t="inlineStr">
        <is>
          <t>STOCKHOLMS LÄN</t>
        </is>
      </c>
      <c r="E401" t="inlineStr">
        <is>
          <t>NORRTÄLJE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11901-2024</t>
        </is>
      </c>
      <c r="B402" s="1" t="n">
        <v>45376.55638888889</v>
      </c>
      <c r="C402" s="1" t="n">
        <v>46105</v>
      </c>
      <c r="D402" t="inlineStr">
        <is>
          <t>STOCKHOLMS LÄN</t>
        </is>
      </c>
      <c r="E402" t="inlineStr">
        <is>
          <t>NORRTÄLJE</t>
        </is>
      </c>
      <c r="F402" t="inlineStr">
        <is>
          <t>Holmen skog AB</t>
        </is>
      </c>
      <c r="G402" t="n">
        <v>3.5</v>
      </c>
      <c r="H402" t="n">
        <v>0</v>
      </c>
      <c r="I402" t="n">
        <v>0</v>
      </c>
      <c r="J402" t="n">
        <v>0</v>
      </c>
      <c r="K402" t="n">
        <v>0</v>
      </c>
      <c r="L402" t="n">
        <v>0</v>
      </c>
      <c r="M402" t="n">
        <v>0</v>
      </c>
      <c r="N402" t="n">
        <v>0</v>
      </c>
      <c r="O402" t="n">
        <v>0</v>
      </c>
      <c r="P402" t="n">
        <v>0</v>
      </c>
      <c r="Q402" t="n">
        <v>0</v>
      </c>
      <c r="R402" s="2" t="inlineStr"/>
    </row>
    <row r="403" ht="15" customHeight="1">
      <c r="A403" t="inlineStr">
        <is>
          <t>A 3933-2026</t>
        </is>
      </c>
      <c r="B403" s="1" t="n">
        <v>46043.79916666666</v>
      </c>
      <c r="C403" s="1" t="n">
        <v>46105</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40230-2025</t>
        </is>
      </c>
      <c r="B404" s="1" t="n">
        <v>45894.71101851852</v>
      </c>
      <c r="C404" s="1" t="n">
        <v>46105</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27802-2025</t>
        </is>
      </c>
      <c r="B405" s="1" t="n">
        <v>45817.2565625</v>
      </c>
      <c r="C405" s="1" t="n">
        <v>46105</v>
      </c>
      <c r="D405" t="inlineStr">
        <is>
          <t>STOCKHOLMS LÄN</t>
        </is>
      </c>
      <c r="E405" t="inlineStr">
        <is>
          <t>NORRTÄLJE</t>
        </is>
      </c>
      <c r="G405" t="n">
        <v>3</v>
      </c>
      <c r="H405" t="n">
        <v>0</v>
      </c>
      <c r="I405" t="n">
        <v>0</v>
      </c>
      <c r="J405" t="n">
        <v>0</v>
      </c>
      <c r="K405" t="n">
        <v>0</v>
      </c>
      <c r="L405" t="n">
        <v>0</v>
      </c>
      <c r="M405" t="n">
        <v>0</v>
      </c>
      <c r="N405" t="n">
        <v>0</v>
      </c>
      <c r="O405" t="n">
        <v>0</v>
      </c>
      <c r="P405" t="n">
        <v>0</v>
      </c>
      <c r="Q405" t="n">
        <v>0</v>
      </c>
      <c r="R405" s="2" t="inlineStr"/>
    </row>
    <row r="406" ht="15" customHeight="1">
      <c r="A406" t="inlineStr">
        <is>
          <t>A 27806-2025</t>
        </is>
      </c>
      <c r="B406" s="1" t="n">
        <v>45817.30329861111</v>
      </c>
      <c r="C406" s="1" t="n">
        <v>46105</v>
      </c>
      <c r="D406" t="inlineStr">
        <is>
          <t>STOCKHOLMS LÄN</t>
        </is>
      </c>
      <c r="E406" t="inlineStr">
        <is>
          <t>NORRTÄLJE</t>
        </is>
      </c>
      <c r="G406" t="n">
        <v>3</v>
      </c>
      <c r="H406" t="n">
        <v>0</v>
      </c>
      <c r="I406" t="n">
        <v>0</v>
      </c>
      <c r="J406" t="n">
        <v>0</v>
      </c>
      <c r="K406" t="n">
        <v>0</v>
      </c>
      <c r="L406" t="n">
        <v>0</v>
      </c>
      <c r="M406" t="n">
        <v>0</v>
      </c>
      <c r="N406" t="n">
        <v>0</v>
      </c>
      <c r="O406" t="n">
        <v>0</v>
      </c>
      <c r="P406" t="n">
        <v>0</v>
      </c>
      <c r="Q406" t="n">
        <v>0</v>
      </c>
      <c r="R406" s="2" t="inlineStr"/>
    </row>
    <row r="407" ht="15" customHeight="1">
      <c r="A407" t="inlineStr">
        <is>
          <t>A 27808-2025</t>
        </is>
      </c>
      <c r="B407" s="1" t="n">
        <v>45817.31085648148</v>
      </c>
      <c r="C407" s="1" t="n">
        <v>46105</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27810-2025</t>
        </is>
      </c>
      <c r="B408" s="1" t="n">
        <v>45817.31708333334</v>
      </c>
      <c r="C408" s="1" t="n">
        <v>46105</v>
      </c>
      <c r="D408" t="inlineStr">
        <is>
          <t>STOCKHOLMS LÄN</t>
        </is>
      </c>
      <c r="E408" t="inlineStr">
        <is>
          <t>NORRTÄLJE</t>
        </is>
      </c>
      <c r="G408" t="n">
        <v>3.9</v>
      </c>
      <c r="H408" t="n">
        <v>0</v>
      </c>
      <c r="I408" t="n">
        <v>0</v>
      </c>
      <c r="J408" t="n">
        <v>0</v>
      </c>
      <c r="K408" t="n">
        <v>0</v>
      </c>
      <c r="L408" t="n">
        <v>0</v>
      </c>
      <c r="M408" t="n">
        <v>0</v>
      </c>
      <c r="N408" t="n">
        <v>0</v>
      </c>
      <c r="O408" t="n">
        <v>0</v>
      </c>
      <c r="P408" t="n">
        <v>0</v>
      </c>
      <c r="Q408" t="n">
        <v>0</v>
      </c>
      <c r="R408" s="2" t="inlineStr"/>
    </row>
    <row r="409" ht="15" customHeight="1">
      <c r="A409" t="inlineStr">
        <is>
          <t>A 27811-2025</t>
        </is>
      </c>
      <c r="B409" s="1" t="n">
        <v>45817.31986111111</v>
      </c>
      <c r="C409" s="1" t="n">
        <v>46105</v>
      </c>
      <c r="D409" t="inlineStr">
        <is>
          <t>STOCKHOLMS LÄN</t>
        </is>
      </c>
      <c r="E409" t="inlineStr">
        <is>
          <t>NORRTÄLJE</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27818-2025</t>
        </is>
      </c>
      <c r="B410" s="1" t="n">
        <v>45817.33503472222</v>
      </c>
      <c r="C410" s="1" t="n">
        <v>46105</v>
      </c>
      <c r="D410" t="inlineStr">
        <is>
          <t>STOCKHOLMS LÄN</t>
        </is>
      </c>
      <c r="E410" t="inlineStr">
        <is>
          <t>NORRTÄLJE</t>
        </is>
      </c>
      <c r="F410" t="inlineStr">
        <is>
          <t>Sveaskog</t>
        </is>
      </c>
      <c r="G410" t="n">
        <v>0.3</v>
      </c>
      <c r="H410" t="n">
        <v>0</v>
      </c>
      <c r="I410" t="n">
        <v>0</v>
      </c>
      <c r="J410" t="n">
        <v>0</v>
      </c>
      <c r="K410" t="n">
        <v>0</v>
      </c>
      <c r="L410" t="n">
        <v>0</v>
      </c>
      <c r="M410" t="n">
        <v>0</v>
      </c>
      <c r="N410" t="n">
        <v>0</v>
      </c>
      <c r="O410" t="n">
        <v>0</v>
      </c>
      <c r="P410" t="n">
        <v>0</v>
      </c>
      <c r="Q410" t="n">
        <v>0</v>
      </c>
      <c r="R410" s="2" t="inlineStr"/>
    </row>
    <row r="411" ht="15" customHeight="1">
      <c r="A411" t="inlineStr">
        <is>
          <t>A 40228-2025</t>
        </is>
      </c>
      <c r="B411" s="1" t="n">
        <v>45894.70854166667</v>
      </c>
      <c r="C411" s="1" t="n">
        <v>46105</v>
      </c>
      <c r="D411" t="inlineStr">
        <is>
          <t>STOCKHOLMS LÄN</t>
        </is>
      </c>
      <c r="E411" t="inlineStr">
        <is>
          <t>NORRTÄLJE</t>
        </is>
      </c>
      <c r="G411" t="n">
        <v>2.1</v>
      </c>
      <c r="H411" t="n">
        <v>0</v>
      </c>
      <c r="I411" t="n">
        <v>0</v>
      </c>
      <c r="J411" t="n">
        <v>0</v>
      </c>
      <c r="K411" t="n">
        <v>0</v>
      </c>
      <c r="L411" t="n">
        <v>0</v>
      </c>
      <c r="M411" t="n">
        <v>0</v>
      </c>
      <c r="N411" t="n">
        <v>0</v>
      </c>
      <c r="O411" t="n">
        <v>0</v>
      </c>
      <c r="P411" t="n">
        <v>0</v>
      </c>
      <c r="Q411" t="n">
        <v>0</v>
      </c>
      <c r="R411" s="2" t="inlineStr"/>
    </row>
    <row r="412" ht="15" customHeight="1">
      <c r="A412" t="inlineStr">
        <is>
          <t>A 35636-2025</t>
        </is>
      </c>
      <c r="B412" s="1" t="n">
        <v>45859</v>
      </c>
      <c r="C412" s="1" t="n">
        <v>46105</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15528-2025</t>
        </is>
      </c>
      <c r="B413" s="1" t="n">
        <v>45747.63471064815</v>
      </c>
      <c r="C413" s="1" t="n">
        <v>46105</v>
      </c>
      <c r="D413" t="inlineStr">
        <is>
          <t>STOCKHOLMS LÄN</t>
        </is>
      </c>
      <c r="E413" t="inlineStr">
        <is>
          <t>NORRTÄLJE</t>
        </is>
      </c>
      <c r="G413" t="n">
        <v>10</v>
      </c>
      <c r="H413" t="n">
        <v>0</v>
      </c>
      <c r="I413" t="n">
        <v>0</v>
      </c>
      <c r="J413" t="n">
        <v>0</v>
      </c>
      <c r="K413" t="n">
        <v>0</v>
      </c>
      <c r="L413" t="n">
        <v>0</v>
      </c>
      <c r="M413" t="n">
        <v>0</v>
      </c>
      <c r="N413" t="n">
        <v>0</v>
      </c>
      <c r="O413" t="n">
        <v>0</v>
      </c>
      <c r="P413" t="n">
        <v>0</v>
      </c>
      <c r="Q413" t="n">
        <v>0</v>
      </c>
      <c r="R413" s="2" t="inlineStr"/>
    </row>
    <row r="414" ht="15" customHeight="1">
      <c r="A414" t="inlineStr">
        <is>
          <t>A 40172-2025</t>
        </is>
      </c>
      <c r="B414" s="1" t="n">
        <v>45894.6353125</v>
      </c>
      <c r="C414" s="1" t="n">
        <v>46105</v>
      </c>
      <c r="D414" t="inlineStr">
        <is>
          <t>STOCKHOLMS LÄN</t>
        </is>
      </c>
      <c r="E414" t="inlineStr">
        <is>
          <t>NORRTÄLJE</t>
        </is>
      </c>
      <c r="G414" t="n">
        <v>6</v>
      </c>
      <c r="H414" t="n">
        <v>0</v>
      </c>
      <c r="I414" t="n">
        <v>0</v>
      </c>
      <c r="J414" t="n">
        <v>0</v>
      </c>
      <c r="K414" t="n">
        <v>0</v>
      </c>
      <c r="L414" t="n">
        <v>0</v>
      </c>
      <c r="M414" t="n">
        <v>0</v>
      </c>
      <c r="N414" t="n">
        <v>0</v>
      </c>
      <c r="O414" t="n">
        <v>0</v>
      </c>
      <c r="P414" t="n">
        <v>0</v>
      </c>
      <c r="Q414" t="n">
        <v>0</v>
      </c>
      <c r="R414" s="2" t="inlineStr"/>
    </row>
    <row r="415" ht="15" customHeight="1">
      <c r="A415" t="inlineStr">
        <is>
          <t>A 27803-2025</t>
        </is>
      </c>
      <c r="B415" s="1" t="n">
        <v>45817.291875</v>
      </c>
      <c r="C415" s="1" t="n">
        <v>46105</v>
      </c>
      <c r="D415" t="inlineStr">
        <is>
          <t>STOCKHOLMS LÄN</t>
        </is>
      </c>
      <c r="E415" t="inlineStr">
        <is>
          <t>NORRTÄLJE</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27813-2025</t>
        </is>
      </c>
      <c r="B416" s="1" t="n">
        <v>45817.32538194444</v>
      </c>
      <c r="C416" s="1" t="n">
        <v>46105</v>
      </c>
      <c r="D416" t="inlineStr">
        <is>
          <t>STOCKHOLMS LÄN</t>
        </is>
      </c>
      <c r="E416" t="inlineStr">
        <is>
          <t>NORRTÄLJE</t>
        </is>
      </c>
      <c r="G416" t="n">
        <v>1.6</v>
      </c>
      <c r="H416" t="n">
        <v>0</v>
      </c>
      <c r="I416" t="n">
        <v>0</v>
      </c>
      <c r="J416" t="n">
        <v>0</v>
      </c>
      <c r="K416" t="n">
        <v>0</v>
      </c>
      <c r="L416" t="n">
        <v>0</v>
      </c>
      <c r="M416" t="n">
        <v>0</v>
      </c>
      <c r="N416" t="n">
        <v>0</v>
      </c>
      <c r="O416" t="n">
        <v>0</v>
      </c>
      <c r="P416" t="n">
        <v>0</v>
      </c>
      <c r="Q416" t="n">
        <v>0</v>
      </c>
      <c r="R416" s="2" t="inlineStr"/>
    </row>
    <row r="417" ht="15" customHeight="1">
      <c r="A417" t="inlineStr">
        <is>
          <t>A 40033-2025</t>
        </is>
      </c>
      <c r="B417" s="1" t="n">
        <v>45893</v>
      </c>
      <c r="C417" s="1" t="n">
        <v>46105</v>
      </c>
      <c r="D417" t="inlineStr">
        <is>
          <t>STOCKHOLMS LÄN</t>
        </is>
      </c>
      <c r="E417" t="inlineStr">
        <is>
          <t>NORRTÄLJE</t>
        </is>
      </c>
      <c r="G417" t="n">
        <v>1.7</v>
      </c>
      <c r="H417" t="n">
        <v>0</v>
      </c>
      <c r="I417" t="n">
        <v>0</v>
      </c>
      <c r="J417" t="n">
        <v>0</v>
      </c>
      <c r="K417" t="n">
        <v>0</v>
      </c>
      <c r="L417" t="n">
        <v>0</v>
      </c>
      <c r="M417" t="n">
        <v>0</v>
      </c>
      <c r="N417" t="n">
        <v>0</v>
      </c>
      <c r="O417" t="n">
        <v>0</v>
      </c>
      <c r="P417" t="n">
        <v>0</v>
      </c>
      <c r="Q417" t="n">
        <v>0</v>
      </c>
      <c r="R417" s="2" t="inlineStr"/>
    </row>
    <row r="418" ht="15" customHeight="1">
      <c r="A418" t="inlineStr">
        <is>
          <t>A 27801-2025</t>
        </is>
      </c>
      <c r="B418" s="1" t="n">
        <v>45817.25471064815</v>
      </c>
      <c r="C418" s="1" t="n">
        <v>46105</v>
      </c>
      <c r="D418" t="inlineStr">
        <is>
          <t>STOCKHOLMS LÄN</t>
        </is>
      </c>
      <c r="E418" t="inlineStr">
        <is>
          <t>NORRTÄLJE</t>
        </is>
      </c>
      <c r="G418" t="n">
        <v>2</v>
      </c>
      <c r="H418" t="n">
        <v>0</v>
      </c>
      <c r="I418" t="n">
        <v>0</v>
      </c>
      <c r="J418" t="n">
        <v>0</v>
      </c>
      <c r="K418" t="n">
        <v>0</v>
      </c>
      <c r="L418" t="n">
        <v>0</v>
      </c>
      <c r="M418" t="n">
        <v>0</v>
      </c>
      <c r="N418" t="n">
        <v>0</v>
      </c>
      <c r="O418" t="n">
        <v>0</v>
      </c>
      <c r="P418" t="n">
        <v>0</v>
      </c>
      <c r="Q418" t="n">
        <v>0</v>
      </c>
      <c r="R418" s="2" t="inlineStr"/>
    </row>
    <row r="419" ht="15" customHeight="1">
      <c r="A419" t="inlineStr">
        <is>
          <t>A 4549-2026</t>
        </is>
      </c>
      <c r="B419" s="1" t="n">
        <v>46047</v>
      </c>
      <c r="C419" s="1" t="n">
        <v>46105</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40217-2025</t>
        </is>
      </c>
      <c r="B420" s="1" t="n">
        <v>45894.68864583333</v>
      </c>
      <c r="C420" s="1" t="n">
        <v>46105</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35639-2025</t>
        </is>
      </c>
      <c r="B421" s="1" t="n">
        <v>45859</v>
      </c>
      <c r="C421" s="1" t="n">
        <v>46105</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27821-2025</t>
        </is>
      </c>
      <c r="B422" s="1" t="n">
        <v>45817.34083333334</v>
      </c>
      <c r="C422" s="1" t="n">
        <v>46105</v>
      </c>
      <c r="D422" t="inlineStr">
        <is>
          <t>STOCKHOLMS LÄN</t>
        </is>
      </c>
      <c r="E422" t="inlineStr">
        <is>
          <t>NORRTÄLJE</t>
        </is>
      </c>
      <c r="G422" t="n">
        <v>3.2</v>
      </c>
      <c r="H422" t="n">
        <v>0</v>
      </c>
      <c r="I422" t="n">
        <v>0</v>
      </c>
      <c r="J422" t="n">
        <v>0</v>
      </c>
      <c r="K422" t="n">
        <v>0</v>
      </c>
      <c r="L422" t="n">
        <v>0</v>
      </c>
      <c r="M422" t="n">
        <v>0</v>
      </c>
      <c r="N422" t="n">
        <v>0</v>
      </c>
      <c r="O422" t="n">
        <v>0</v>
      </c>
      <c r="P422" t="n">
        <v>0</v>
      </c>
      <c r="Q422" t="n">
        <v>0</v>
      </c>
      <c r="R422" s="2" t="inlineStr"/>
    </row>
    <row r="423" ht="15" customHeight="1">
      <c r="A423" t="inlineStr">
        <is>
          <t>A 40032-2025</t>
        </is>
      </c>
      <c r="B423" s="1" t="n">
        <v>45893</v>
      </c>
      <c r="C423" s="1" t="n">
        <v>46105</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40097-2025</t>
        </is>
      </c>
      <c r="B424" s="1" t="n">
        <v>45894.48322916667</v>
      </c>
      <c r="C424" s="1" t="n">
        <v>46105</v>
      </c>
      <c r="D424" t="inlineStr">
        <is>
          <t>STOCKHOLMS LÄN</t>
        </is>
      </c>
      <c r="E424" t="inlineStr">
        <is>
          <t>NORRTÄLJE</t>
        </is>
      </c>
      <c r="G424" t="n">
        <v>3</v>
      </c>
      <c r="H424" t="n">
        <v>0</v>
      </c>
      <c r="I424" t="n">
        <v>0</v>
      </c>
      <c r="J424" t="n">
        <v>0</v>
      </c>
      <c r="K424" t="n">
        <v>0</v>
      </c>
      <c r="L424" t="n">
        <v>0</v>
      </c>
      <c r="M424" t="n">
        <v>0</v>
      </c>
      <c r="N424" t="n">
        <v>0</v>
      </c>
      <c r="O424" t="n">
        <v>0</v>
      </c>
      <c r="P424" t="n">
        <v>0</v>
      </c>
      <c r="Q424" t="n">
        <v>0</v>
      </c>
      <c r="R424" s="2" t="inlineStr"/>
    </row>
    <row r="425" ht="15" customHeight="1">
      <c r="A425" t="inlineStr">
        <is>
          <t>A 21696-2024</t>
        </is>
      </c>
      <c r="B425" s="1" t="n">
        <v>45442.45686342593</v>
      </c>
      <c r="C425" s="1" t="n">
        <v>46105</v>
      </c>
      <c r="D425" t="inlineStr">
        <is>
          <t>STOCKHOLMS LÄN</t>
        </is>
      </c>
      <c r="E425" t="inlineStr">
        <is>
          <t>NORRTÄLJE</t>
        </is>
      </c>
      <c r="G425" t="n">
        <v>2.9</v>
      </c>
      <c r="H425" t="n">
        <v>0</v>
      </c>
      <c r="I425" t="n">
        <v>0</v>
      </c>
      <c r="J425" t="n">
        <v>0</v>
      </c>
      <c r="K425" t="n">
        <v>0</v>
      </c>
      <c r="L425" t="n">
        <v>0</v>
      </c>
      <c r="M425" t="n">
        <v>0</v>
      </c>
      <c r="N425" t="n">
        <v>0</v>
      </c>
      <c r="O425" t="n">
        <v>0</v>
      </c>
      <c r="P425" t="n">
        <v>0</v>
      </c>
      <c r="Q425" t="n">
        <v>0</v>
      </c>
      <c r="R425" s="2" t="inlineStr"/>
    </row>
    <row r="426" ht="15" customHeight="1">
      <c r="A426" t="inlineStr">
        <is>
          <t>A 40529-2025</t>
        </is>
      </c>
      <c r="B426" s="1" t="n">
        <v>45896.38466435186</v>
      </c>
      <c r="C426" s="1" t="n">
        <v>46105</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4886-2026</t>
        </is>
      </c>
      <c r="B427" s="1" t="n">
        <v>46048.66328703704</v>
      </c>
      <c r="C427" s="1" t="n">
        <v>46105</v>
      </c>
      <c r="D427" t="inlineStr">
        <is>
          <t>STOCKHOLMS LÄN</t>
        </is>
      </c>
      <c r="E427" t="inlineStr">
        <is>
          <t>NORRTÄLJE</t>
        </is>
      </c>
      <c r="G427" t="n">
        <v>2</v>
      </c>
      <c r="H427" t="n">
        <v>0</v>
      </c>
      <c r="I427" t="n">
        <v>0</v>
      </c>
      <c r="J427" t="n">
        <v>0</v>
      </c>
      <c r="K427" t="n">
        <v>0</v>
      </c>
      <c r="L427" t="n">
        <v>0</v>
      </c>
      <c r="M427" t="n">
        <v>0</v>
      </c>
      <c r="N427" t="n">
        <v>0</v>
      </c>
      <c r="O427" t="n">
        <v>0</v>
      </c>
      <c r="P427" t="n">
        <v>0</v>
      </c>
      <c r="Q427" t="n">
        <v>0</v>
      </c>
      <c r="R427" s="2" t="inlineStr"/>
    </row>
    <row r="428" ht="15" customHeight="1">
      <c r="A428" t="inlineStr">
        <is>
          <t>A 37136-2023</t>
        </is>
      </c>
      <c r="B428" s="1" t="n">
        <v>45155</v>
      </c>
      <c r="C428" s="1" t="n">
        <v>46105</v>
      </c>
      <c r="D428" t="inlineStr">
        <is>
          <t>STOCKHOLMS LÄN</t>
        </is>
      </c>
      <c r="E428" t="inlineStr">
        <is>
          <t>NORRTÄLJE</t>
        </is>
      </c>
      <c r="G428" t="n">
        <v>2.5</v>
      </c>
      <c r="H428" t="n">
        <v>0</v>
      </c>
      <c r="I428" t="n">
        <v>0</v>
      </c>
      <c r="J428" t="n">
        <v>0</v>
      </c>
      <c r="K428" t="n">
        <v>0</v>
      </c>
      <c r="L428" t="n">
        <v>0</v>
      </c>
      <c r="M428" t="n">
        <v>0</v>
      </c>
      <c r="N428" t="n">
        <v>0</v>
      </c>
      <c r="O428" t="n">
        <v>0</v>
      </c>
      <c r="P428" t="n">
        <v>0</v>
      </c>
      <c r="Q428" t="n">
        <v>0</v>
      </c>
      <c r="R428" s="2" t="inlineStr"/>
    </row>
    <row r="429" ht="15" customHeight="1">
      <c r="A429" t="inlineStr">
        <is>
          <t>A 4230-2026</t>
        </is>
      </c>
      <c r="B429" s="1" t="n">
        <v>46044.89366898148</v>
      </c>
      <c r="C429" s="1" t="n">
        <v>46105</v>
      </c>
      <c r="D429" t="inlineStr">
        <is>
          <t>STOCKHOLMS LÄN</t>
        </is>
      </c>
      <c r="E429" t="inlineStr">
        <is>
          <t>NORRTÄLJE</t>
        </is>
      </c>
      <c r="G429" t="n">
        <v>10.8</v>
      </c>
      <c r="H429" t="n">
        <v>0</v>
      </c>
      <c r="I429" t="n">
        <v>0</v>
      </c>
      <c r="J429" t="n">
        <v>0</v>
      </c>
      <c r="K429" t="n">
        <v>0</v>
      </c>
      <c r="L429" t="n">
        <v>0</v>
      </c>
      <c r="M429" t="n">
        <v>0</v>
      </c>
      <c r="N429" t="n">
        <v>0</v>
      </c>
      <c r="O429" t="n">
        <v>0</v>
      </c>
      <c r="P429" t="n">
        <v>0</v>
      </c>
      <c r="Q429" t="n">
        <v>0</v>
      </c>
      <c r="R429" s="2" t="inlineStr"/>
    </row>
    <row r="430" ht="15" customHeight="1">
      <c r="A430" t="inlineStr">
        <is>
          <t>A 4232-2026</t>
        </is>
      </c>
      <c r="B430" s="1" t="n">
        <v>46044.89594907407</v>
      </c>
      <c r="C430" s="1" t="n">
        <v>46105</v>
      </c>
      <c r="D430" t="inlineStr">
        <is>
          <t>STOCKHOLMS LÄN</t>
        </is>
      </c>
      <c r="E430" t="inlineStr">
        <is>
          <t>NORRTÄLJE</t>
        </is>
      </c>
      <c r="G430" t="n">
        <v>3.8</v>
      </c>
      <c r="H430" t="n">
        <v>0</v>
      </c>
      <c r="I430" t="n">
        <v>0</v>
      </c>
      <c r="J430" t="n">
        <v>0</v>
      </c>
      <c r="K430" t="n">
        <v>0</v>
      </c>
      <c r="L430" t="n">
        <v>0</v>
      </c>
      <c r="M430" t="n">
        <v>0</v>
      </c>
      <c r="N430" t="n">
        <v>0</v>
      </c>
      <c r="O430" t="n">
        <v>0</v>
      </c>
      <c r="P430" t="n">
        <v>0</v>
      </c>
      <c r="Q430" t="n">
        <v>0</v>
      </c>
      <c r="R430" s="2" t="inlineStr"/>
    </row>
    <row r="431" ht="15" customHeight="1">
      <c r="A431" t="inlineStr">
        <is>
          <t>A 40292-2025</t>
        </is>
      </c>
      <c r="B431" s="1" t="n">
        <v>45895.3867824074</v>
      </c>
      <c r="C431" s="1" t="n">
        <v>46105</v>
      </c>
      <c r="D431" t="inlineStr">
        <is>
          <t>STOCKHOLMS LÄN</t>
        </is>
      </c>
      <c r="E431" t="inlineStr">
        <is>
          <t>NORRTÄLJE</t>
        </is>
      </c>
      <c r="G431" t="n">
        <v>3.5</v>
      </c>
      <c r="H431" t="n">
        <v>0</v>
      </c>
      <c r="I431" t="n">
        <v>0</v>
      </c>
      <c r="J431" t="n">
        <v>0</v>
      </c>
      <c r="K431" t="n">
        <v>0</v>
      </c>
      <c r="L431" t="n">
        <v>0</v>
      </c>
      <c r="M431" t="n">
        <v>0</v>
      </c>
      <c r="N431" t="n">
        <v>0</v>
      </c>
      <c r="O431" t="n">
        <v>0</v>
      </c>
      <c r="P431" t="n">
        <v>0</v>
      </c>
      <c r="Q431" t="n">
        <v>0</v>
      </c>
      <c r="R431" s="2" t="inlineStr"/>
    </row>
    <row r="432" ht="15" customHeight="1">
      <c r="A432" t="inlineStr">
        <is>
          <t>A 40294-2025</t>
        </is>
      </c>
      <c r="B432" s="1" t="n">
        <v>45895.38778935185</v>
      </c>
      <c r="C432" s="1" t="n">
        <v>46105</v>
      </c>
      <c r="D432" t="inlineStr">
        <is>
          <t>STOCKHOLMS LÄN</t>
        </is>
      </c>
      <c r="E432" t="inlineStr">
        <is>
          <t>NORRTÄLJE</t>
        </is>
      </c>
      <c r="G432" t="n">
        <v>0.9</v>
      </c>
      <c r="H432" t="n">
        <v>0</v>
      </c>
      <c r="I432" t="n">
        <v>0</v>
      </c>
      <c r="J432" t="n">
        <v>0</v>
      </c>
      <c r="K432" t="n">
        <v>0</v>
      </c>
      <c r="L432" t="n">
        <v>0</v>
      </c>
      <c r="M432" t="n">
        <v>0</v>
      </c>
      <c r="N432" t="n">
        <v>0</v>
      </c>
      <c r="O432" t="n">
        <v>0</v>
      </c>
      <c r="P432" t="n">
        <v>0</v>
      </c>
      <c r="Q432" t="n">
        <v>0</v>
      </c>
      <c r="R432" s="2" t="inlineStr"/>
    </row>
    <row r="433" ht="15" customHeight="1">
      <c r="A433" t="inlineStr">
        <is>
          <t>A 44075-2023</t>
        </is>
      </c>
      <c r="B433" s="1" t="n">
        <v>45188.41637731482</v>
      </c>
      <c r="C433" s="1" t="n">
        <v>46105</v>
      </c>
      <c r="D433" t="inlineStr">
        <is>
          <t>STOCKHOLMS LÄN</t>
        </is>
      </c>
      <c r="E433" t="inlineStr">
        <is>
          <t>NORRTÄLJE</t>
        </is>
      </c>
      <c r="F433" t="inlineStr">
        <is>
          <t>Holmen skog AB</t>
        </is>
      </c>
      <c r="G433" t="n">
        <v>2.4</v>
      </c>
      <c r="H433" t="n">
        <v>0</v>
      </c>
      <c r="I433" t="n">
        <v>0</v>
      </c>
      <c r="J433" t="n">
        <v>0</v>
      </c>
      <c r="K433" t="n">
        <v>0</v>
      </c>
      <c r="L433" t="n">
        <v>0</v>
      </c>
      <c r="M433" t="n">
        <v>0</v>
      </c>
      <c r="N433" t="n">
        <v>0</v>
      </c>
      <c r="O433" t="n">
        <v>0</v>
      </c>
      <c r="P433" t="n">
        <v>0</v>
      </c>
      <c r="Q433" t="n">
        <v>0</v>
      </c>
      <c r="R433" s="2" t="inlineStr"/>
    </row>
    <row r="434" ht="15" customHeight="1">
      <c r="A434" t="inlineStr">
        <is>
          <t>A 12234-2026</t>
        </is>
      </c>
      <c r="B434" s="1" t="n">
        <v>46087.4091087963</v>
      </c>
      <c r="C434" s="1" t="n">
        <v>46105</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41275-2025</t>
        </is>
      </c>
      <c r="B435" s="1" t="n">
        <v>45898.62625</v>
      </c>
      <c r="C435" s="1" t="n">
        <v>46105</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40837-2025</t>
        </is>
      </c>
      <c r="B436" s="1" t="n">
        <v>45897.51328703704</v>
      </c>
      <c r="C436" s="1" t="n">
        <v>46105</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41030-2025</t>
        </is>
      </c>
      <c r="B437" s="1" t="n">
        <v>45898.37636574074</v>
      </c>
      <c r="C437" s="1" t="n">
        <v>46105</v>
      </c>
      <c r="D437" t="inlineStr">
        <is>
          <t>STOCKHOLMS LÄN</t>
        </is>
      </c>
      <c r="E437" t="inlineStr">
        <is>
          <t>NORRTÄLJE</t>
        </is>
      </c>
      <c r="F437" t="inlineStr">
        <is>
          <t>Holmen skog AB</t>
        </is>
      </c>
      <c r="G437" t="n">
        <v>2.6</v>
      </c>
      <c r="H437" t="n">
        <v>0</v>
      </c>
      <c r="I437" t="n">
        <v>0</v>
      </c>
      <c r="J437" t="n">
        <v>0</v>
      </c>
      <c r="K437" t="n">
        <v>0</v>
      </c>
      <c r="L437" t="n">
        <v>0</v>
      </c>
      <c r="M437" t="n">
        <v>0</v>
      </c>
      <c r="N437" t="n">
        <v>0</v>
      </c>
      <c r="O437" t="n">
        <v>0</v>
      </c>
      <c r="P437" t="n">
        <v>0</v>
      </c>
      <c r="Q437" t="n">
        <v>0</v>
      </c>
      <c r="R437" s="2" t="inlineStr"/>
    </row>
    <row r="438" ht="15" customHeight="1">
      <c r="A438" t="inlineStr">
        <is>
          <t>A 41158-2025</t>
        </is>
      </c>
      <c r="B438" s="1" t="n">
        <v>45898.5315625</v>
      </c>
      <c r="C438" s="1" t="n">
        <v>46105</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5241-2026</t>
        </is>
      </c>
      <c r="B439" s="1" t="n">
        <v>46049.86471064815</v>
      </c>
      <c r="C439" s="1" t="n">
        <v>46105</v>
      </c>
      <c r="D439" t="inlineStr">
        <is>
          <t>STOCKHOLMS LÄN</t>
        </is>
      </c>
      <c r="E439" t="inlineStr">
        <is>
          <t>NORRTÄLJE</t>
        </is>
      </c>
      <c r="G439" t="n">
        <v>1.3</v>
      </c>
      <c r="H439" t="n">
        <v>0</v>
      </c>
      <c r="I439" t="n">
        <v>0</v>
      </c>
      <c r="J439" t="n">
        <v>0</v>
      </c>
      <c r="K439" t="n">
        <v>0</v>
      </c>
      <c r="L439" t="n">
        <v>0</v>
      </c>
      <c r="M439" t="n">
        <v>0</v>
      </c>
      <c r="N439" t="n">
        <v>0</v>
      </c>
      <c r="O439" t="n">
        <v>0</v>
      </c>
      <c r="P439" t="n">
        <v>0</v>
      </c>
      <c r="Q439" t="n">
        <v>0</v>
      </c>
      <c r="R439" s="2" t="inlineStr"/>
    </row>
    <row r="440" ht="15" customHeight="1">
      <c r="A440" t="inlineStr">
        <is>
          <t>A 41301-2025</t>
        </is>
      </c>
      <c r="B440" s="1" t="n">
        <v>45898.68826388889</v>
      </c>
      <c r="C440" s="1" t="n">
        <v>46105</v>
      </c>
      <c r="D440" t="inlineStr">
        <is>
          <t>STOCKHOLMS LÄN</t>
        </is>
      </c>
      <c r="E440" t="inlineStr">
        <is>
          <t>NORRTÄLJE</t>
        </is>
      </c>
      <c r="G440" t="n">
        <v>1</v>
      </c>
      <c r="H440" t="n">
        <v>0</v>
      </c>
      <c r="I440" t="n">
        <v>0</v>
      </c>
      <c r="J440" t="n">
        <v>0</v>
      </c>
      <c r="K440" t="n">
        <v>0</v>
      </c>
      <c r="L440" t="n">
        <v>0</v>
      </c>
      <c r="M440" t="n">
        <v>0</v>
      </c>
      <c r="N440" t="n">
        <v>0</v>
      </c>
      <c r="O440" t="n">
        <v>0</v>
      </c>
      <c r="P440" t="n">
        <v>0</v>
      </c>
      <c r="Q440" t="n">
        <v>0</v>
      </c>
      <c r="R440" s="2" t="inlineStr"/>
    </row>
    <row r="441" ht="15" customHeight="1">
      <c r="A441" t="inlineStr">
        <is>
          <t>A 41106-2025</t>
        </is>
      </c>
      <c r="B441" s="1" t="n">
        <v>45898.45636574074</v>
      </c>
      <c r="C441" s="1" t="n">
        <v>46105</v>
      </c>
      <c r="D441" t="inlineStr">
        <is>
          <t>STOCKHOLMS LÄN</t>
        </is>
      </c>
      <c r="E441" t="inlineStr">
        <is>
          <t>NORRTÄLJE</t>
        </is>
      </c>
      <c r="G441" t="n">
        <v>2.6</v>
      </c>
      <c r="H441" t="n">
        <v>0</v>
      </c>
      <c r="I441" t="n">
        <v>0</v>
      </c>
      <c r="J441" t="n">
        <v>0</v>
      </c>
      <c r="K441" t="n">
        <v>0</v>
      </c>
      <c r="L441" t="n">
        <v>0</v>
      </c>
      <c r="M441" t="n">
        <v>0</v>
      </c>
      <c r="N441" t="n">
        <v>0</v>
      </c>
      <c r="O441" t="n">
        <v>0</v>
      </c>
      <c r="P441" t="n">
        <v>0</v>
      </c>
      <c r="Q441" t="n">
        <v>0</v>
      </c>
      <c r="R441" s="2" t="inlineStr"/>
    </row>
    <row r="442" ht="15" customHeight="1">
      <c r="A442" t="inlineStr">
        <is>
          <t>A 12703-2026</t>
        </is>
      </c>
      <c r="B442" s="1" t="n">
        <v>46091.58175925926</v>
      </c>
      <c r="C442" s="1" t="n">
        <v>46105</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29250-2025</t>
        </is>
      </c>
      <c r="B443" s="1" t="n">
        <v>45824.37275462963</v>
      </c>
      <c r="C443" s="1" t="n">
        <v>46105</v>
      </c>
      <c r="D443" t="inlineStr">
        <is>
          <t>STOCKHOLMS LÄN</t>
        </is>
      </c>
      <c r="E443" t="inlineStr">
        <is>
          <t>NORRTÄLJE</t>
        </is>
      </c>
      <c r="F443" t="inlineStr">
        <is>
          <t>Sveaskog</t>
        </is>
      </c>
      <c r="G443" t="n">
        <v>6.4</v>
      </c>
      <c r="H443" t="n">
        <v>0</v>
      </c>
      <c r="I443" t="n">
        <v>0</v>
      </c>
      <c r="J443" t="n">
        <v>0</v>
      </c>
      <c r="K443" t="n">
        <v>0</v>
      </c>
      <c r="L443" t="n">
        <v>0</v>
      </c>
      <c r="M443" t="n">
        <v>0</v>
      </c>
      <c r="N443" t="n">
        <v>0</v>
      </c>
      <c r="O443" t="n">
        <v>0</v>
      </c>
      <c r="P443" t="n">
        <v>0</v>
      </c>
      <c r="Q443" t="n">
        <v>0</v>
      </c>
      <c r="R443" s="2" t="inlineStr"/>
    </row>
    <row r="444" ht="15" customHeight="1">
      <c r="A444" t="inlineStr">
        <is>
          <t>A 41174-2025</t>
        </is>
      </c>
      <c r="B444" s="1" t="n">
        <v>45898.54921296296</v>
      </c>
      <c r="C444" s="1" t="n">
        <v>46105</v>
      </c>
      <c r="D444" t="inlineStr">
        <is>
          <t>STOCKHOLMS LÄN</t>
        </is>
      </c>
      <c r="E444" t="inlineStr">
        <is>
          <t>NORRTÄLJE</t>
        </is>
      </c>
      <c r="G444" t="n">
        <v>0.6</v>
      </c>
      <c r="H444" t="n">
        <v>0</v>
      </c>
      <c r="I444" t="n">
        <v>0</v>
      </c>
      <c r="J444" t="n">
        <v>0</v>
      </c>
      <c r="K444" t="n">
        <v>0</v>
      </c>
      <c r="L444" t="n">
        <v>0</v>
      </c>
      <c r="M444" t="n">
        <v>0</v>
      </c>
      <c r="N444" t="n">
        <v>0</v>
      </c>
      <c r="O444" t="n">
        <v>0</v>
      </c>
      <c r="P444" t="n">
        <v>0</v>
      </c>
      <c r="Q444" t="n">
        <v>0</v>
      </c>
      <c r="R444" s="2" t="inlineStr"/>
    </row>
    <row r="445" ht="15" customHeight="1">
      <c r="A445" t="inlineStr">
        <is>
          <t>A 41110-2025</t>
        </is>
      </c>
      <c r="B445" s="1" t="n">
        <v>45898.45976851852</v>
      </c>
      <c r="C445" s="1" t="n">
        <v>46105</v>
      </c>
      <c r="D445" t="inlineStr">
        <is>
          <t>STOCKHOLMS LÄN</t>
        </is>
      </c>
      <c r="E445" t="inlineStr">
        <is>
          <t>NORRTÄLJE</t>
        </is>
      </c>
      <c r="F445" t="inlineStr">
        <is>
          <t>Holmen skog AB</t>
        </is>
      </c>
      <c r="G445" t="n">
        <v>6.7</v>
      </c>
      <c r="H445" t="n">
        <v>0</v>
      </c>
      <c r="I445" t="n">
        <v>0</v>
      </c>
      <c r="J445" t="n">
        <v>0</v>
      </c>
      <c r="K445" t="n">
        <v>0</v>
      </c>
      <c r="L445" t="n">
        <v>0</v>
      </c>
      <c r="M445" t="n">
        <v>0</v>
      </c>
      <c r="N445" t="n">
        <v>0</v>
      </c>
      <c r="O445" t="n">
        <v>0</v>
      </c>
      <c r="P445" t="n">
        <v>0</v>
      </c>
      <c r="Q445" t="n">
        <v>0</v>
      </c>
      <c r="R445" s="2" t="inlineStr"/>
    </row>
    <row r="446" ht="15" customHeight="1">
      <c r="A446" t="inlineStr">
        <is>
          <t>A 41259-2025</t>
        </is>
      </c>
      <c r="B446" s="1" t="n">
        <v>45898.61054398148</v>
      </c>
      <c r="C446" s="1" t="n">
        <v>46105</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41053-2025</t>
        </is>
      </c>
      <c r="B447" s="1" t="n">
        <v>45898.40480324074</v>
      </c>
      <c r="C447" s="1" t="n">
        <v>46105</v>
      </c>
      <c r="D447" t="inlineStr">
        <is>
          <t>STOCKHOLMS LÄN</t>
        </is>
      </c>
      <c r="E447" t="inlineStr">
        <is>
          <t>NORRTÄLJE</t>
        </is>
      </c>
      <c r="F447" t="inlineStr">
        <is>
          <t>Holmen skog AB</t>
        </is>
      </c>
      <c r="G447" t="n">
        <v>2.5</v>
      </c>
      <c r="H447" t="n">
        <v>0</v>
      </c>
      <c r="I447" t="n">
        <v>0</v>
      </c>
      <c r="J447" t="n">
        <v>0</v>
      </c>
      <c r="K447" t="n">
        <v>0</v>
      </c>
      <c r="L447" t="n">
        <v>0</v>
      </c>
      <c r="M447" t="n">
        <v>0</v>
      </c>
      <c r="N447" t="n">
        <v>0</v>
      </c>
      <c r="O447" t="n">
        <v>0</v>
      </c>
      <c r="P447" t="n">
        <v>0</v>
      </c>
      <c r="Q447" t="n">
        <v>0</v>
      </c>
      <c r="R447" s="2" t="inlineStr"/>
    </row>
    <row r="448" ht="15" customHeight="1">
      <c r="A448" t="inlineStr">
        <is>
          <t>A 40829-2025</t>
        </is>
      </c>
      <c r="B448" s="1" t="n">
        <v>45897.50802083333</v>
      </c>
      <c r="C448" s="1" t="n">
        <v>46105</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40831-2025</t>
        </is>
      </c>
      <c r="B449" s="1" t="n">
        <v>45897.51077546296</v>
      </c>
      <c r="C449" s="1" t="n">
        <v>46105</v>
      </c>
      <c r="D449" t="inlineStr">
        <is>
          <t>STOCKHOLMS LÄN</t>
        </is>
      </c>
      <c r="E449" t="inlineStr">
        <is>
          <t>NORRTÄLJE</t>
        </is>
      </c>
      <c r="G449" t="n">
        <v>1.8</v>
      </c>
      <c r="H449" t="n">
        <v>0</v>
      </c>
      <c r="I449" t="n">
        <v>0</v>
      </c>
      <c r="J449" t="n">
        <v>0</v>
      </c>
      <c r="K449" t="n">
        <v>0</v>
      </c>
      <c r="L449" t="n">
        <v>0</v>
      </c>
      <c r="M449" t="n">
        <v>0</v>
      </c>
      <c r="N449" t="n">
        <v>0</v>
      </c>
      <c r="O449" t="n">
        <v>0</v>
      </c>
      <c r="P449" t="n">
        <v>0</v>
      </c>
      <c r="Q449" t="n">
        <v>0</v>
      </c>
      <c r="R449" s="2" t="inlineStr"/>
    </row>
    <row r="450" ht="15" customHeight="1">
      <c r="A450" t="inlineStr">
        <is>
          <t>A 5224-2026</t>
        </is>
      </c>
      <c r="B450" s="1" t="n">
        <v>46049.79521990741</v>
      </c>
      <c r="C450" s="1" t="n">
        <v>46105</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5227-2026</t>
        </is>
      </c>
      <c r="B451" s="1" t="n">
        <v>46049.80460648148</v>
      </c>
      <c r="C451" s="1" t="n">
        <v>46105</v>
      </c>
      <c r="D451" t="inlineStr">
        <is>
          <t>STOCKHOLMS LÄN</t>
        </is>
      </c>
      <c r="E451" t="inlineStr">
        <is>
          <t>NORRTÄLJE</t>
        </is>
      </c>
      <c r="G451" t="n">
        <v>1</v>
      </c>
      <c r="H451" t="n">
        <v>0</v>
      </c>
      <c r="I451" t="n">
        <v>0</v>
      </c>
      <c r="J451" t="n">
        <v>0</v>
      </c>
      <c r="K451" t="n">
        <v>0</v>
      </c>
      <c r="L451" t="n">
        <v>0</v>
      </c>
      <c r="M451" t="n">
        <v>0</v>
      </c>
      <c r="N451" t="n">
        <v>0</v>
      </c>
      <c r="O451" t="n">
        <v>0</v>
      </c>
      <c r="P451" t="n">
        <v>0</v>
      </c>
      <c r="Q451" t="n">
        <v>0</v>
      </c>
      <c r="R451" s="2" t="inlineStr"/>
    </row>
    <row r="452" ht="15" customHeight="1">
      <c r="A452" t="inlineStr">
        <is>
          <t>A 5226-2026</t>
        </is>
      </c>
      <c r="B452" s="1" t="n">
        <v>46049.79961805556</v>
      </c>
      <c r="C452" s="1" t="n">
        <v>46105</v>
      </c>
      <c r="D452" t="inlineStr">
        <is>
          <t>STOCKHOLMS LÄN</t>
        </is>
      </c>
      <c r="E452" t="inlineStr">
        <is>
          <t>NORRTÄLJE</t>
        </is>
      </c>
      <c r="G452" t="n">
        <v>1.4</v>
      </c>
      <c r="H452" t="n">
        <v>0</v>
      </c>
      <c r="I452" t="n">
        <v>0</v>
      </c>
      <c r="J452" t="n">
        <v>0</v>
      </c>
      <c r="K452" t="n">
        <v>0</v>
      </c>
      <c r="L452" t="n">
        <v>0</v>
      </c>
      <c r="M452" t="n">
        <v>0</v>
      </c>
      <c r="N452" t="n">
        <v>0</v>
      </c>
      <c r="O452" t="n">
        <v>0</v>
      </c>
      <c r="P452" t="n">
        <v>0</v>
      </c>
      <c r="Q452" t="n">
        <v>0</v>
      </c>
      <c r="R452" s="2" t="inlineStr"/>
    </row>
    <row r="453" ht="15" customHeight="1">
      <c r="A453" t="inlineStr">
        <is>
          <t>A 41272-2025</t>
        </is>
      </c>
      <c r="B453" s="1" t="n">
        <v>45898.62373842593</v>
      </c>
      <c r="C453" s="1" t="n">
        <v>46105</v>
      </c>
      <c r="D453" t="inlineStr">
        <is>
          <t>STOCKHOLMS LÄN</t>
        </is>
      </c>
      <c r="E453" t="inlineStr">
        <is>
          <t>NORRTÄLJE</t>
        </is>
      </c>
      <c r="G453" t="n">
        <v>1.1</v>
      </c>
      <c r="H453" t="n">
        <v>0</v>
      </c>
      <c r="I453" t="n">
        <v>0</v>
      </c>
      <c r="J453" t="n">
        <v>0</v>
      </c>
      <c r="K453" t="n">
        <v>0</v>
      </c>
      <c r="L453" t="n">
        <v>0</v>
      </c>
      <c r="M453" t="n">
        <v>0</v>
      </c>
      <c r="N453" t="n">
        <v>0</v>
      </c>
      <c r="O453" t="n">
        <v>0</v>
      </c>
      <c r="P453" t="n">
        <v>0</v>
      </c>
      <c r="Q453" t="n">
        <v>0</v>
      </c>
      <c r="R453" s="2" t="inlineStr"/>
    </row>
    <row r="454" ht="15" customHeight="1">
      <c r="A454" t="inlineStr">
        <is>
          <t>A 12718-2026</t>
        </is>
      </c>
      <c r="B454" s="1" t="n">
        <v>46091.60412037037</v>
      </c>
      <c r="C454" s="1" t="n">
        <v>46105</v>
      </c>
      <c r="D454" t="inlineStr">
        <is>
          <t>STOCKHOLMS LÄN</t>
        </is>
      </c>
      <c r="E454" t="inlineStr">
        <is>
          <t>NORRTÄLJE</t>
        </is>
      </c>
      <c r="F454" t="inlineStr">
        <is>
          <t>Holmen skog AB</t>
        </is>
      </c>
      <c r="G454" t="n">
        <v>1</v>
      </c>
      <c r="H454" t="n">
        <v>0</v>
      </c>
      <c r="I454" t="n">
        <v>0</v>
      </c>
      <c r="J454" t="n">
        <v>0</v>
      </c>
      <c r="K454" t="n">
        <v>0</v>
      </c>
      <c r="L454" t="n">
        <v>0</v>
      </c>
      <c r="M454" t="n">
        <v>0</v>
      </c>
      <c r="N454" t="n">
        <v>0</v>
      </c>
      <c r="O454" t="n">
        <v>0</v>
      </c>
      <c r="P454" t="n">
        <v>0</v>
      </c>
      <c r="Q454" t="n">
        <v>0</v>
      </c>
      <c r="R454" s="2" t="inlineStr"/>
    </row>
    <row r="455" ht="15" customHeight="1">
      <c r="A455" t="inlineStr">
        <is>
          <t>A 41036-2025</t>
        </is>
      </c>
      <c r="B455" s="1" t="n">
        <v>45898.38552083333</v>
      </c>
      <c r="C455" s="1" t="n">
        <v>46105</v>
      </c>
      <c r="D455" t="inlineStr">
        <is>
          <t>STOCKHOLMS LÄN</t>
        </is>
      </c>
      <c r="E455" t="inlineStr">
        <is>
          <t>NORRTÄLJE</t>
        </is>
      </c>
      <c r="F455" t="inlineStr">
        <is>
          <t>Holmen skog AB</t>
        </is>
      </c>
      <c r="G455" t="n">
        <v>2.7</v>
      </c>
      <c r="H455" t="n">
        <v>0</v>
      </c>
      <c r="I455" t="n">
        <v>0</v>
      </c>
      <c r="J455" t="n">
        <v>0</v>
      </c>
      <c r="K455" t="n">
        <v>0</v>
      </c>
      <c r="L455" t="n">
        <v>0</v>
      </c>
      <c r="M455" t="n">
        <v>0</v>
      </c>
      <c r="N455" t="n">
        <v>0</v>
      </c>
      <c r="O455" t="n">
        <v>0</v>
      </c>
      <c r="P455" t="n">
        <v>0</v>
      </c>
      <c r="Q455" t="n">
        <v>0</v>
      </c>
      <c r="R455" s="2" t="inlineStr"/>
    </row>
    <row r="456" ht="15" customHeight="1">
      <c r="A456" t="inlineStr">
        <is>
          <t>A 19058-2024</t>
        </is>
      </c>
      <c r="B456" s="1" t="n">
        <v>45427.89121527778</v>
      </c>
      <c r="C456" s="1" t="n">
        <v>46105</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19057-2024</t>
        </is>
      </c>
      <c r="B457" s="1" t="n">
        <v>45427.88731481481</v>
      </c>
      <c r="C457" s="1" t="n">
        <v>46105</v>
      </c>
      <c r="D457" t="inlineStr">
        <is>
          <t>STOCKHOLMS LÄN</t>
        </is>
      </c>
      <c r="E457" t="inlineStr">
        <is>
          <t>NORRTÄLJE</t>
        </is>
      </c>
      <c r="G457" t="n">
        <v>3</v>
      </c>
      <c r="H457" t="n">
        <v>0</v>
      </c>
      <c r="I457" t="n">
        <v>0</v>
      </c>
      <c r="J457" t="n">
        <v>0</v>
      </c>
      <c r="K457" t="n">
        <v>0</v>
      </c>
      <c r="L457" t="n">
        <v>0</v>
      </c>
      <c r="M457" t="n">
        <v>0</v>
      </c>
      <c r="N457" t="n">
        <v>0</v>
      </c>
      <c r="O457" t="n">
        <v>0</v>
      </c>
      <c r="P457" t="n">
        <v>0</v>
      </c>
      <c r="Q457" t="n">
        <v>0</v>
      </c>
      <c r="R457" s="2" t="inlineStr"/>
    </row>
    <row r="458" ht="15" customHeight="1">
      <c r="A458" t="inlineStr">
        <is>
          <t>A 1740-2023</t>
        </is>
      </c>
      <c r="B458" s="1" t="n">
        <v>44938</v>
      </c>
      <c r="C458" s="1" t="n">
        <v>46105</v>
      </c>
      <c r="D458" t="inlineStr">
        <is>
          <t>STOCKHOLMS LÄN</t>
        </is>
      </c>
      <c r="E458" t="inlineStr">
        <is>
          <t>NORRTÄLJE</t>
        </is>
      </c>
      <c r="G458" t="n">
        <v>0.9</v>
      </c>
      <c r="H458" t="n">
        <v>0</v>
      </c>
      <c r="I458" t="n">
        <v>0</v>
      </c>
      <c r="J458" t="n">
        <v>0</v>
      </c>
      <c r="K458" t="n">
        <v>0</v>
      </c>
      <c r="L458" t="n">
        <v>0</v>
      </c>
      <c r="M458" t="n">
        <v>0</v>
      </c>
      <c r="N458" t="n">
        <v>0</v>
      </c>
      <c r="O458" t="n">
        <v>0</v>
      </c>
      <c r="P458" t="n">
        <v>0</v>
      </c>
      <c r="Q458" t="n">
        <v>0</v>
      </c>
      <c r="R458" s="2" t="inlineStr"/>
    </row>
    <row r="459" ht="15" customHeight="1">
      <c r="A459" t="inlineStr">
        <is>
          <t>A 15733-2025</t>
        </is>
      </c>
      <c r="B459" s="1" t="n">
        <v>45748</v>
      </c>
      <c r="C459" s="1" t="n">
        <v>46105</v>
      </c>
      <c r="D459" t="inlineStr">
        <is>
          <t>STOCKHOLMS LÄN</t>
        </is>
      </c>
      <c r="E459" t="inlineStr">
        <is>
          <t>NORRTÄLJE</t>
        </is>
      </c>
      <c r="G459" t="n">
        <v>13.3</v>
      </c>
      <c r="H459" t="n">
        <v>0</v>
      </c>
      <c r="I459" t="n">
        <v>0</v>
      </c>
      <c r="J459" t="n">
        <v>0</v>
      </c>
      <c r="K459" t="n">
        <v>0</v>
      </c>
      <c r="L459" t="n">
        <v>0</v>
      </c>
      <c r="M459" t="n">
        <v>0</v>
      </c>
      <c r="N459" t="n">
        <v>0</v>
      </c>
      <c r="O459" t="n">
        <v>0</v>
      </c>
      <c r="P459" t="n">
        <v>0</v>
      </c>
      <c r="Q459" t="n">
        <v>0</v>
      </c>
      <c r="R459" s="2" t="inlineStr"/>
    </row>
    <row r="460" ht="15" customHeight="1">
      <c r="A460" t="inlineStr">
        <is>
          <t>A 10511-2025</t>
        </is>
      </c>
      <c r="B460" s="1" t="n">
        <v>45721.40780092592</v>
      </c>
      <c r="C460" s="1" t="n">
        <v>46105</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30668-2025</t>
        </is>
      </c>
      <c r="B461" s="1" t="n">
        <v>45831.51659722222</v>
      </c>
      <c r="C461" s="1" t="n">
        <v>46105</v>
      </c>
      <c r="D461" t="inlineStr">
        <is>
          <t>STOCKHOLMS LÄN</t>
        </is>
      </c>
      <c r="E461" t="inlineStr">
        <is>
          <t>NORRTÄLJE</t>
        </is>
      </c>
      <c r="G461" t="n">
        <v>4.9</v>
      </c>
      <c r="H461" t="n">
        <v>0</v>
      </c>
      <c r="I461" t="n">
        <v>0</v>
      </c>
      <c r="J461" t="n">
        <v>0</v>
      </c>
      <c r="K461" t="n">
        <v>0</v>
      </c>
      <c r="L461" t="n">
        <v>0</v>
      </c>
      <c r="M461" t="n">
        <v>0</v>
      </c>
      <c r="N461" t="n">
        <v>0</v>
      </c>
      <c r="O461" t="n">
        <v>0</v>
      </c>
      <c r="P461" t="n">
        <v>0</v>
      </c>
      <c r="Q461" t="n">
        <v>0</v>
      </c>
      <c r="R461" s="2" t="inlineStr"/>
    </row>
    <row r="462" ht="15" customHeight="1">
      <c r="A462" t="inlineStr">
        <is>
          <t>A 13544-2026</t>
        </is>
      </c>
      <c r="B462" s="1" t="n">
        <v>46094.68538194444</v>
      </c>
      <c r="C462" s="1" t="n">
        <v>46105</v>
      </c>
      <c r="D462" t="inlineStr">
        <is>
          <t>STOCKHOLMS LÄN</t>
        </is>
      </c>
      <c r="E462" t="inlineStr">
        <is>
          <t>NORRTÄLJE</t>
        </is>
      </c>
      <c r="F462" t="inlineStr">
        <is>
          <t>Holmen skog AB</t>
        </is>
      </c>
      <c r="G462" t="n">
        <v>3.2</v>
      </c>
      <c r="H462" t="n">
        <v>0</v>
      </c>
      <c r="I462" t="n">
        <v>0</v>
      </c>
      <c r="J462" t="n">
        <v>0</v>
      </c>
      <c r="K462" t="n">
        <v>0</v>
      </c>
      <c r="L462" t="n">
        <v>0</v>
      </c>
      <c r="M462" t="n">
        <v>0</v>
      </c>
      <c r="N462" t="n">
        <v>0</v>
      </c>
      <c r="O462" t="n">
        <v>0</v>
      </c>
      <c r="P462" t="n">
        <v>0</v>
      </c>
      <c r="Q462" t="n">
        <v>0</v>
      </c>
      <c r="R462" s="2" t="inlineStr"/>
    </row>
    <row r="463" ht="15" customHeight="1">
      <c r="A463" t="inlineStr">
        <is>
          <t>A 13109-2026</t>
        </is>
      </c>
      <c r="B463" s="1" t="n">
        <v>46093.42730324074</v>
      </c>
      <c r="C463" s="1" t="n">
        <v>46105</v>
      </c>
      <c r="D463" t="inlineStr">
        <is>
          <t>STOCKHOLMS LÄN</t>
        </is>
      </c>
      <c r="E463" t="inlineStr">
        <is>
          <t>NORRTÄLJE</t>
        </is>
      </c>
      <c r="G463" t="n">
        <v>4</v>
      </c>
      <c r="H463" t="n">
        <v>0</v>
      </c>
      <c r="I463" t="n">
        <v>0</v>
      </c>
      <c r="J463" t="n">
        <v>0</v>
      </c>
      <c r="K463" t="n">
        <v>0</v>
      </c>
      <c r="L463" t="n">
        <v>0</v>
      </c>
      <c r="M463" t="n">
        <v>0</v>
      </c>
      <c r="N463" t="n">
        <v>0</v>
      </c>
      <c r="O463" t="n">
        <v>0</v>
      </c>
      <c r="P463" t="n">
        <v>0</v>
      </c>
      <c r="Q463" t="n">
        <v>0</v>
      </c>
      <c r="R463" s="2" t="inlineStr"/>
    </row>
    <row r="464" ht="15" customHeight="1">
      <c r="A464" t="inlineStr">
        <is>
          <t>A 13546-2026</t>
        </is>
      </c>
      <c r="B464" s="1" t="n">
        <v>46094.69196759259</v>
      </c>
      <c r="C464" s="1" t="n">
        <v>46105</v>
      </c>
      <c r="D464" t="inlineStr">
        <is>
          <t>STOCKHOLMS LÄN</t>
        </is>
      </c>
      <c r="E464" t="inlineStr">
        <is>
          <t>NORRTÄLJE</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42038-2025</t>
        </is>
      </c>
      <c r="B465" s="1" t="n">
        <v>45903.61431712963</v>
      </c>
      <c r="C465" s="1" t="n">
        <v>46105</v>
      </c>
      <c r="D465" t="inlineStr">
        <is>
          <t>STOCKHOLMS LÄN</t>
        </is>
      </c>
      <c r="E465" t="inlineStr">
        <is>
          <t>NORRTÄLJE</t>
        </is>
      </c>
      <c r="F465" t="inlineStr">
        <is>
          <t>Sveaskog</t>
        </is>
      </c>
      <c r="G465" t="n">
        <v>6.4</v>
      </c>
      <c r="H465" t="n">
        <v>0</v>
      </c>
      <c r="I465" t="n">
        <v>0</v>
      </c>
      <c r="J465" t="n">
        <v>0</v>
      </c>
      <c r="K465" t="n">
        <v>0</v>
      </c>
      <c r="L465" t="n">
        <v>0</v>
      </c>
      <c r="M465" t="n">
        <v>0</v>
      </c>
      <c r="N465" t="n">
        <v>0</v>
      </c>
      <c r="O465" t="n">
        <v>0</v>
      </c>
      <c r="P465" t="n">
        <v>0</v>
      </c>
      <c r="Q465" t="n">
        <v>0</v>
      </c>
      <c r="R465" s="2" t="inlineStr"/>
    </row>
    <row r="466" ht="15" customHeight="1">
      <c r="A466" t="inlineStr">
        <is>
          <t>A 41964-2025</t>
        </is>
      </c>
      <c r="B466" s="1" t="n">
        <v>45903.47270833333</v>
      </c>
      <c r="C466" s="1" t="n">
        <v>46105</v>
      </c>
      <c r="D466" t="inlineStr">
        <is>
          <t>STOCKHOLMS LÄN</t>
        </is>
      </c>
      <c r="E466" t="inlineStr">
        <is>
          <t>NORRTÄLJE</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5934-2026</t>
        </is>
      </c>
      <c r="B467" s="1" t="n">
        <v>46052.47082175926</v>
      </c>
      <c r="C467" s="1" t="n">
        <v>46105</v>
      </c>
      <c r="D467" t="inlineStr">
        <is>
          <t>STOCKHOLMS LÄN</t>
        </is>
      </c>
      <c r="E467" t="inlineStr">
        <is>
          <t>NORRTÄLJE</t>
        </is>
      </c>
      <c r="F467" t="inlineStr">
        <is>
          <t>Holmen skog AB</t>
        </is>
      </c>
      <c r="G467" t="n">
        <v>5.5</v>
      </c>
      <c r="H467" t="n">
        <v>0</v>
      </c>
      <c r="I467" t="n">
        <v>0</v>
      </c>
      <c r="J467" t="n">
        <v>0</v>
      </c>
      <c r="K467" t="n">
        <v>0</v>
      </c>
      <c r="L467" t="n">
        <v>0</v>
      </c>
      <c r="M467" t="n">
        <v>0</v>
      </c>
      <c r="N467" t="n">
        <v>0</v>
      </c>
      <c r="O467" t="n">
        <v>0</v>
      </c>
      <c r="P467" t="n">
        <v>0</v>
      </c>
      <c r="Q467" t="n">
        <v>0</v>
      </c>
      <c r="R467" s="2" t="inlineStr"/>
    </row>
    <row r="468" ht="15" customHeight="1">
      <c r="A468" t="inlineStr">
        <is>
          <t>A 41966-2025</t>
        </is>
      </c>
      <c r="B468" s="1" t="n">
        <v>45903.47456018518</v>
      </c>
      <c r="C468" s="1" t="n">
        <v>46105</v>
      </c>
      <c r="D468" t="inlineStr">
        <is>
          <t>STOCKHOLMS LÄN</t>
        </is>
      </c>
      <c r="E468" t="inlineStr">
        <is>
          <t>NORRTÄLJE</t>
        </is>
      </c>
      <c r="F468" t="inlineStr">
        <is>
          <t>Sveaskog</t>
        </is>
      </c>
      <c r="G468" t="n">
        <v>3.7</v>
      </c>
      <c r="H468" t="n">
        <v>0</v>
      </c>
      <c r="I468" t="n">
        <v>0</v>
      </c>
      <c r="J468" t="n">
        <v>0</v>
      </c>
      <c r="K468" t="n">
        <v>0</v>
      </c>
      <c r="L468" t="n">
        <v>0</v>
      </c>
      <c r="M468" t="n">
        <v>0</v>
      </c>
      <c r="N468" t="n">
        <v>0</v>
      </c>
      <c r="O468" t="n">
        <v>0</v>
      </c>
      <c r="P468" t="n">
        <v>0</v>
      </c>
      <c r="Q468" t="n">
        <v>0</v>
      </c>
      <c r="R468" s="2" t="inlineStr"/>
    </row>
    <row r="469" ht="15" customHeight="1">
      <c r="A469" t="inlineStr">
        <is>
          <t>A 30639-2025</t>
        </is>
      </c>
      <c r="B469" s="1" t="n">
        <v>45831.4844212963</v>
      </c>
      <c r="C469" s="1" t="n">
        <v>46105</v>
      </c>
      <c r="D469" t="inlineStr">
        <is>
          <t>STOCKHOLMS LÄN</t>
        </is>
      </c>
      <c r="E469" t="inlineStr">
        <is>
          <t>NORRTÄLJE</t>
        </is>
      </c>
      <c r="G469" t="n">
        <v>2</v>
      </c>
      <c r="H469" t="n">
        <v>0</v>
      </c>
      <c r="I469" t="n">
        <v>0</v>
      </c>
      <c r="J469" t="n">
        <v>0</v>
      </c>
      <c r="K469" t="n">
        <v>0</v>
      </c>
      <c r="L469" t="n">
        <v>0</v>
      </c>
      <c r="M469" t="n">
        <v>0</v>
      </c>
      <c r="N469" t="n">
        <v>0</v>
      </c>
      <c r="O469" t="n">
        <v>0</v>
      </c>
      <c r="P469" t="n">
        <v>0</v>
      </c>
      <c r="Q469" t="n">
        <v>0</v>
      </c>
      <c r="R469" s="2" t="inlineStr"/>
    </row>
    <row r="470" ht="15" customHeight="1">
      <c r="A470" t="inlineStr">
        <is>
          <t>A 31170-2025</t>
        </is>
      </c>
      <c r="B470" s="1" t="n">
        <v>45832.66385416667</v>
      </c>
      <c r="C470" s="1" t="n">
        <v>46105</v>
      </c>
      <c r="D470" t="inlineStr">
        <is>
          <t>STOCKHOLMS LÄN</t>
        </is>
      </c>
      <c r="E470" t="inlineStr">
        <is>
          <t>NORRTÄLJE</t>
        </is>
      </c>
      <c r="G470" t="n">
        <v>2.7</v>
      </c>
      <c r="H470" t="n">
        <v>0</v>
      </c>
      <c r="I470" t="n">
        <v>0</v>
      </c>
      <c r="J470" t="n">
        <v>0</v>
      </c>
      <c r="K470" t="n">
        <v>0</v>
      </c>
      <c r="L470" t="n">
        <v>0</v>
      </c>
      <c r="M470" t="n">
        <v>0</v>
      </c>
      <c r="N470" t="n">
        <v>0</v>
      </c>
      <c r="O470" t="n">
        <v>0</v>
      </c>
      <c r="P470" t="n">
        <v>0</v>
      </c>
      <c r="Q470" t="n">
        <v>0</v>
      </c>
      <c r="R470" s="2" t="inlineStr"/>
    </row>
    <row r="471" ht="15" customHeight="1">
      <c r="A471" t="inlineStr">
        <is>
          <t>A 13122-2026</t>
        </is>
      </c>
      <c r="B471" s="1" t="n">
        <v>46093.45657407407</v>
      </c>
      <c r="C471" s="1" t="n">
        <v>46105</v>
      </c>
      <c r="D471" t="inlineStr">
        <is>
          <t>STOCKHOLMS LÄN</t>
        </is>
      </c>
      <c r="E471" t="inlineStr">
        <is>
          <t>NORRTÄLJE</t>
        </is>
      </c>
      <c r="G471" t="n">
        <v>4</v>
      </c>
      <c r="H471" t="n">
        <v>0</v>
      </c>
      <c r="I471" t="n">
        <v>0</v>
      </c>
      <c r="J471" t="n">
        <v>0</v>
      </c>
      <c r="K471" t="n">
        <v>0</v>
      </c>
      <c r="L471" t="n">
        <v>0</v>
      </c>
      <c r="M471" t="n">
        <v>0</v>
      </c>
      <c r="N471" t="n">
        <v>0</v>
      </c>
      <c r="O471" t="n">
        <v>0</v>
      </c>
      <c r="P471" t="n">
        <v>0</v>
      </c>
      <c r="Q471" t="n">
        <v>0</v>
      </c>
      <c r="R471" s="2" t="inlineStr"/>
    </row>
    <row r="472" ht="15" customHeight="1">
      <c r="A472" t="inlineStr">
        <is>
          <t>A 13204-2026</t>
        </is>
      </c>
      <c r="B472" s="1" t="n">
        <v>46093.60788194444</v>
      </c>
      <c r="C472" s="1" t="n">
        <v>46105</v>
      </c>
      <c r="D472" t="inlineStr">
        <is>
          <t>STOCKHOLMS LÄN</t>
        </is>
      </c>
      <c r="E472" t="inlineStr">
        <is>
          <t>NORRTÄLJE</t>
        </is>
      </c>
      <c r="G472" t="n">
        <v>3.5</v>
      </c>
      <c r="H472" t="n">
        <v>0</v>
      </c>
      <c r="I472" t="n">
        <v>0</v>
      </c>
      <c r="J472" t="n">
        <v>0</v>
      </c>
      <c r="K472" t="n">
        <v>0</v>
      </c>
      <c r="L472" t="n">
        <v>0</v>
      </c>
      <c r="M472" t="n">
        <v>0</v>
      </c>
      <c r="N472" t="n">
        <v>0</v>
      </c>
      <c r="O472" t="n">
        <v>0</v>
      </c>
      <c r="P472" t="n">
        <v>0</v>
      </c>
      <c r="Q472" t="n">
        <v>0</v>
      </c>
      <c r="R472" s="2" t="inlineStr"/>
    </row>
    <row r="473" ht="15" customHeight="1">
      <c r="A473" t="inlineStr">
        <is>
          <t>A 30699-2025</t>
        </is>
      </c>
      <c r="B473" s="1" t="n">
        <v>45831.54618055555</v>
      </c>
      <c r="C473" s="1" t="n">
        <v>46105</v>
      </c>
      <c r="D473" t="inlineStr">
        <is>
          <t>STOCKHOLMS LÄN</t>
        </is>
      </c>
      <c r="E473" t="inlineStr">
        <is>
          <t>NORRTÄLJE</t>
        </is>
      </c>
      <c r="G473" t="n">
        <v>0.6</v>
      </c>
      <c r="H473" t="n">
        <v>0</v>
      </c>
      <c r="I473" t="n">
        <v>0</v>
      </c>
      <c r="J473" t="n">
        <v>0</v>
      </c>
      <c r="K473" t="n">
        <v>0</v>
      </c>
      <c r="L473" t="n">
        <v>0</v>
      </c>
      <c r="M473" t="n">
        <v>0</v>
      </c>
      <c r="N473" t="n">
        <v>0</v>
      </c>
      <c r="O473" t="n">
        <v>0</v>
      </c>
      <c r="P473" t="n">
        <v>0</v>
      </c>
      <c r="Q473" t="n">
        <v>0</v>
      </c>
      <c r="R473" s="2" t="inlineStr"/>
    </row>
    <row r="474" ht="15" customHeight="1">
      <c r="A474" t="inlineStr">
        <is>
          <t>A 13545-2026</t>
        </is>
      </c>
      <c r="B474" s="1" t="n">
        <v>46094.6911574074</v>
      </c>
      <c r="C474" s="1" t="n">
        <v>46105</v>
      </c>
      <c r="D474" t="inlineStr">
        <is>
          <t>STOCKHOLMS LÄN</t>
        </is>
      </c>
      <c r="E474" t="inlineStr">
        <is>
          <t>NORRTÄLJE</t>
        </is>
      </c>
      <c r="F474" t="inlineStr">
        <is>
          <t>Holmen skog AB</t>
        </is>
      </c>
      <c r="G474" t="n">
        <v>0.8</v>
      </c>
      <c r="H474" t="n">
        <v>0</v>
      </c>
      <c r="I474" t="n">
        <v>0</v>
      </c>
      <c r="J474" t="n">
        <v>0</v>
      </c>
      <c r="K474" t="n">
        <v>0</v>
      </c>
      <c r="L474" t="n">
        <v>0</v>
      </c>
      <c r="M474" t="n">
        <v>0</v>
      </c>
      <c r="N474" t="n">
        <v>0</v>
      </c>
      <c r="O474" t="n">
        <v>0</v>
      </c>
      <c r="P474" t="n">
        <v>0</v>
      </c>
      <c r="Q474" t="n">
        <v>0</v>
      </c>
      <c r="R474" s="2" t="inlineStr"/>
    </row>
    <row r="475" ht="15" customHeight="1">
      <c r="A475" t="inlineStr">
        <is>
          <t>A 31874-2025</t>
        </is>
      </c>
      <c r="B475" s="1" t="n">
        <v>45834</v>
      </c>
      <c r="C475" s="1" t="n">
        <v>46105</v>
      </c>
      <c r="D475" t="inlineStr">
        <is>
          <t>STOCKHOLMS LÄN</t>
        </is>
      </c>
      <c r="E475" t="inlineStr">
        <is>
          <t>NORRTÄLJE</t>
        </is>
      </c>
      <c r="G475" t="n">
        <v>1.4</v>
      </c>
      <c r="H475" t="n">
        <v>0</v>
      </c>
      <c r="I475" t="n">
        <v>0</v>
      </c>
      <c r="J475" t="n">
        <v>0</v>
      </c>
      <c r="K475" t="n">
        <v>0</v>
      </c>
      <c r="L475" t="n">
        <v>0</v>
      </c>
      <c r="M475" t="n">
        <v>0</v>
      </c>
      <c r="N475" t="n">
        <v>0</v>
      </c>
      <c r="O475" t="n">
        <v>0</v>
      </c>
      <c r="P475" t="n">
        <v>0</v>
      </c>
      <c r="Q475" t="n">
        <v>0</v>
      </c>
      <c r="R475" s="2" t="inlineStr"/>
    </row>
    <row r="476" ht="15" customHeight="1">
      <c r="A476" t="inlineStr">
        <is>
          <t>A 39610-2025</t>
        </is>
      </c>
      <c r="B476" s="1" t="n">
        <v>45890</v>
      </c>
      <c r="C476" s="1" t="n">
        <v>46105</v>
      </c>
      <c r="D476" t="inlineStr">
        <is>
          <t>STOCKHOLMS LÄN</t>
        </is>
      </c>
      <c r="E476" t="inlineStr">
        <is>
          <t>NORRTÄLJE</t>
        </is>
      </c>
      <c r="G476" t="n">
        <v>28.6</v>
      </c>
      <c r="H476" t="n">
        <v>0</v>
      </c>
      <c r="I476" t="n">
        <v>0</v>
      </c>
      <c r="J476" t="n">
        <v>0</v>
      </c>
      <c r="K476" t="n">
        <v>0</v>
      </c>
      <c r="L476" t="n">
        <v>0</v>
      </c>
      <c r="M476" t="n">
        <v>0</v>
      </c>
      <c r="N476" t="n">
        <v>0</v>
      </c>
      <c r="O476" t="n">
        <v>0</v>
      </c>
      <c r="P476" t="n">
        <v>0</v>
      </c>
      <c r="Q476" t="n">
        <v>0</v>
      </c>
      <c r="R476" s="2" t="inlineStr"/>
    </row>
    <row r="477" ht="15" customHeight="1">
      <c r="A477" t="inlineStr">
        <is>
          <t>A 31868-2025</t>
        </is>
      </c>
      <c r="B477" s="1" t="n">
        <v>45834.6447337963</v>
      </c>
      <c r="C477" s="1" t="n">
        <v>46105</v>
      </c>
      <c r="D477" t="inlineStr">
        <is>
          <t>STOCKHOLMS LÄN</t>
        </is>
      </c>
      <c r="E477" t="inlineStr">
        <is>
          <t>NORRTÄLJE</t>
        </is>
      </c>
      <c r="G477" t="n">
        <v>1.1</v>
      </c>
      <c r="H477" t="n">
        <v>0</v>
      </c>
      <c r="I477" t="n">
        <v>0</v>
      </c>
      <c r="J477" t="n">
        <v>0</v>
      </c>
      <c r="K477" t="n">
        <v>0</v>
      </c>
      <c r="L477" t="n">
        <v>0</v>
      </c>
      <c r="M477" t="n">
        <v>0</v>
      </c>
      <c r="N477" t="n">
        <v>0</v>
      </c>
      <c r="O477" t="n">
        <v>0</v>
      </c>
      <c r="P477" t="n">
        <v>0</v>
      </c>
      <c r="Q477" t="n">
        <v>0</v>
      </c>
      <c r="R477" s="2" t="inlineStr"/>
    </row>
    <row r="478" ht="15" customHeight="1">
      <c r="A478" t="inlineStr">
        <is>
          <t>A 6413-2025</t>
        </is>
      </c>
      <c r="B478" s="1" t="n">
        <v>45699.46283564815</v>
      </c>
      <c r="C478" s="1" t="n">
        <v>46105</v>
      </c>
      <c r="D478" t="inlineStr">
        <is>
          <t>STOCKHOLMS LÄN</t>
        </is>
      </c>
      <c r="E478" t="inlineStr">
        <is>
          <t>NORRTÄLJE</t>
        </is>
      </c>
      <c r="G478" t="n">
        <v>3.6</v>
      </c>
      <c r="H478" t="n">
        <v>0</v>
      </c>
      <c r="I478" t="n">
        <v>0</v>
      </c>
      <c r="J478" t="n">
        <v>0</v>
      </c>
      <c r="K478" t="n">
        <v>0</v>
      </c>
      <c r="L478" t="n">
        <v>0</v>
      </c>
      <c r="M478" t="n">
        <v>0</v>
      </c>
      <c r="N478" t="n">
        <v>0</v>
      </c>
      <c r="O478" t="n">
        <v>0</v>
      </c>
      <c r="P478" t="n">
        <v>0</v>
      </c>
      <c r="Q478" t="n">
        <v>0</v>
      </c>
      <c r="R478" s="2" t="inlineStr"/>
    </row>
    <row r="479" ht="15" customHeight="1">
      <c r="A479" t="inlineStr">
        <is>
          <t>A 42856-2025</t>
        </is>
      </c>
      <c r="B479" s="1" t="n">
        <v>45908</v>
      </c>
      <c r="C479" s="1" t="n">
        <v>46105</v>
      </c>
      <c r="D479" t="inlineStr">
        <is>
          <t>STOCKHOLMS LÄN</t>
        </is>
      </c>
      <c r="E479" t="inlineStr">
        <is>
          <t>NORRTÄLJE</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6701-2026</t>
        </is>
      </c>
      <c r="B480" s="1" t="n">
        <v>46056</v>
      </c>
      <c r="C480" s="1" t="n">
        <v>46105</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20011-2025</t>
        </is>
      </c>
      <c r="B481" s="1" t="n">
        <v>45772.29622685185</v>
      </c>
      <c r="C481" s="1" t="n">
        <v>46105</v>
      </c>
      <c r="D481" t="inlineStr">
        <is>
          <t>STOCKHOLMS LÄN</t>
        </is>
      </c>
      <c r="E481" t="inlineStr">
        <is>
          <t>NORRTÄLJE</t>
        </is>
      </c>
      <c r="G481" t="n">
        <v>3.5</v>
      </c>
      <c r="H481" t="n">
        <v>0</v>
      </c>
      <c r="I481" t="n">
        <v>0</v>
      </c>
      <c r="J481" t="n">
        <v>0</v>
      </c>
      <c r="K481" t="n">
        <v>0</v>
      </c>
      <c r="L481" t="n">
        <v>0</v>
      </c>
      <c r="M481" t="n">
        <v>0</v>
      </c>
      <c r="N481" t="n">
        <v>0</v>
      </c>
      <c r="O481" t="n">
        <v>0</v>
      </c>
      <c r="P481" t="n">
        <v>0</v>
      </c>
      <c r="Q481" t="n">
        <v>0</v>
      </c>
      <c r="R481" s="2" t="inlineStr"/>
    </row>
    <row r="482" ht="15" customHeight="1">
      <c r="A482" t="inlineStr">
        <is>
          <t>A 31880-2025</t>
        </is>
      </c>
      <c r="B482" s="1" t="n">
        <v>45834.65538194445</v>
      </c>
      <c r="C482" s="1" t="n">
        <v>46105</v>
      </c>
      <c r="D482" t="inlineStr">
        <is>
          <t>STOCKHOLMS LÄN</t>
        </is>
      </c>
      <c r="E482" t="inlineStr">
        <is>
          <t>NORRTÄLJE</t>
        </is>
      </c>
      <c r="G482" t="n">
        <v>1.4</v>
      </c>
      <c r="H482" t="n">
        <v>0</v>
      </c>
      <c r="I482" t="n">
        <v>0</v>
      </c>
      <c r="J482" t="n">
        <v>0</v>
      </c>
      <c r="K482" t="n">
        <v>0</v>
      </c>
      <c r="L482" t="n">
        <v>0</v>
      </c>
      <c r="M482" t="n">
        <v>0</v>
      </c>
      <c r="N482" t="n">
        <v>0</v>
      </c>
      <c r="O482" t="n">
        <v>0</v>
      </c>
      <c r="P482" t="n">
        <v>0</v>
      </c>
      <c r="Q482" t="n">
        <v>0</v>
      </c>
      <c r="R482" s="2" t="inlineStr"/>
    </row>
    <row r="483" ht="15" customHeight="1">
      <c r="A483" t="inlineStr">
        <is>
          <t>A 32283-2025</t>
        </is>
      </c>
      <c r="B483" s="1" t="n">
        <v>45835.68076388889</v>
      </c>
      <c r="C483" s="1" t="n">
        <v>46105</v>
      </c>
      <c r="D483" t="inlineStr">
        <is>
          <t>STOCKHOLMS LÄN</t>
        </is>
      </c>
      <c r="E483" t="inlineStr">
        <is>
          <t>NORRTÄLJE</t>
        </is>
      </c>
      <c r="G483" t="n">
        <v>1.8</v>
      </c>
      <c r="H483" t="n">
        <v>0</v>
      </c>
      <c r="I483" t="n">
        <v>0</v>
      </c>
      <c r="J483" t="n">
        <v>0</v>
      </c>
      <c r="K483" t="n">
        <v>0</v>
      </c>
      <c r="L483" t="n">
        <v>0</v>
      </c>
      <c r="M483" t="n">
        <v>0</v>
      </c>
      <c r="N483" t="n">
        <v>0</v>
      </c>
      <c r="O483" t="n">
        <v>0</v>
      </c>
      <c r="P483" t="n">
        <v>0</v>
      </c>
      <c r="Q483" t="n">
        <v>0</v>
      </c>
      <c r="R483" s="2" t="inlineStr"/>
    </row>
    <row r="484" ht="15" customHeight="1">
      <c r="A484" t="inlineStr">
        <is>
          <t>A 32122-2025</t>
        </is>
      </c>
      <c r="B484" s="1" t="n">
        <v>45835.4928125</v>
      </c>
      <c r="C484" s="1" t="n">
        <v>46105</v>
      </c>
      <c r="D484" t="inlineStr">
        <is>
          <t>STOCKHOLMS LÄN</t>
        </is>
      </c>
      <c r="E484" t="inlineStr">
        <is>
          <t>NORRTÄLJE</t>
        </is>
      </c>
      <c r="F484" t="inlineStr">
        <is>
          <t>Holmen skog AB</t>
        </is>
      </c>
      <c r="G484" t="n">
        <v>1.9</v>
      </c>
      <c r="H484" t="n">
        <v>0</v>
      </c>
      <c r="I484" t="n">
        <v>0</v>
      </c>
      <c r="J484" t="n">
        <v>0</v>
      </c>
      <c r="K484" t="n">
        <v>0</v>
      </c>
      <c r="L484" t="n">
        <v>0</v>
      </c>
      <c r="M484" t="n">
        <v>0</v>
      </c>
      <c r="N484" t="n">
        <v>0</v>
      </c>
      <c r="O484" t="n">
        <v>0</v>
      </c>
      <c r="P484" t="n">
        <v>0</v>
      </c>
      <c r="Q484" t="n">
        <v>0</v>
      </c>
      <c r="R484" s="2" t="inlineStr"/>
    </row>
    <row r="485" ht="15" customHeight="1">
      <c r="A485" t="inlineStr">
        <is>
          <t>A 32094-2025</t>
        </is>
      </c>
      <c r="B485" s="1" t="n">
        <v>45835.46034722222</v>
      </c>
      <c r="C485" s="1" t="n">
        <v>46105</v>
      </c>
      <c r="D485" t="inlineStr">
        <is>
          <t>STOCKHOLMS LÄN</t>
        </is>
      </c>
      <c r="E485" t="inlineStr">
        <is>
          <t>NORRTÄLJE</t>
        </is>
      </c>
      <c r="F485" t="inlineStr">
        <is>
          <t>Holmen skog AB</t>
        </is>
      </c>
      <c r="G485" t="n">
        <v>2.9</v>
      </c>
      <c r="H485" t="n">
        <v>0</v>
      </c>
      <c r="I485" t="n">
        <v>0</v>
      </c>
      <c r="J485" t="n">
        <v>0</v>
      </c>
      <c r="K485" t="n">
        <v>0</v>
      </c>
      <c r="L485" t="n">
        <v>0</v>
      </c>
      <c r="M485" t="n">
        <v>0</v>
      </c>
      <c r="N485" t="n">
        <v>0</v>
      </c>
      <c r="O485" t="n">
        <v>0</v>
      </c>
      <c r="P485" t="n">
        <v>0</v>
      </c>
      <c r="Q485" t="n">
        <v>0</v>
      </c>
      <c r="R485" s="2" t="inlineStr"/>
    </row>
    <row r="486" ht="15" customHeight="1">
      <c r="A486" t="inlineStr">
        <is>
          <t>A 24835-2025</t>
        </is>
      </c>
      <c r="B486" s="1" t="n">
        <v>45799</v>
      </c>
      <c r="C486" s="1" t="n">
        <v>46105</v>
      </c>
      <c r="D486" t="inlineStr">
        <is>
          <t>STOCKHOLMS LÄN</t>
        </is>
      </c>
      <c r="E486" t="inlineStr">
        <is>
          <t>NORRTÄLJE</t>
        </is>
      </c>
      <c r="G486" t="n">
        <v>2.5</v>
      </c>
      <c r="H486" t="n">
        <v>0</v>
      </c>
      <c r="I486" t="n">
        <v>0</v>
      </c>
      <c r="J486" t="n">
        <v>0</v>
      </c>
      <c r="K486" t="n">
        <v>0</v>
      </c>
      <c r="L486" t="n">
        <v>0</v>
      </c>
      <c r="M486" t="n">
        <v>0</v>
      </c>
      <c r="N486" t="n">
        <v>0</v>
      </c>
      <c r="O486" t="n">
        <v>0</v>
      </c>
      <c r="P486" t="n">
        <v>0</v>
      </c>
      <c r="Q486" t="n">
        <v>0</v>
      </c>
      <c r="R486" s="2" t="inlineStr"/>
    </row>
    <row r="487" ht="15" customHeight="1">
      <c r="A487" t="inlineStr">
        <is>
          <t>A 6724-2026</t>
        </is>
      </c>
      <c r="B487" s="1" t="n">
        <v>46056.67717592593</v>
      </c>
      <c r="C487" s="1" t="n">
        <v>46105</v>
      </c>
      <c r="D487" t="inlineStr">
        <is>
          <t>STOCKHOLMS LÄN</t>
        </is>
      </c>
      <c r="E487" t="inlineStr">
        <is>
          <t>NORRTÄLJE</t>
        </is>
      </c>
      <c r="F487" t="inlineStr">
        <is>
          <t>Holmen skog AB</t>
        </is>
      </c>
      <c r="G487" t="n">
        <v>16.2</v>
      </c>
      <c r="H487" t="n">
        <v>0</v>
      </c>
      <c r="I487" t="n">
        <v>0</v>
      </c>
      <c r="J487" t="n">
        <v>0</v>
      </c>
      <c r="K487" t="n">
        <v>0</v>
      </c>
      <c r="L487" t="n">
        <v>0</v>
      </c>
      <c r="M487" t="n">
        <v>0</v>
      </c>
      <c r="N487" t="n">
        <v>0</v>
      </c>
      <c r="O487" t="n">
        <v>0</v>
      </c>
      <c r="P487" t="n">
        <v>0</v>
      </c>
      <c r="Q487" t="n">
        <v>0</v>
      </c>
      <c r="R487" s="2" t="inlineStr"/>
    </row>
    <row r="488" ht="15" customHeight="1">
      <c r="A488" t="inlineStr">
        <is>
          <t>A 43169-2025</t>
        </is>
      </c>
      <c r="B488" s="1" t="n">
        <v>45910</v>
      </c>
      <c r="C488" s="1" t="n">
        <v>46105</v>
      </c>
      <c r="D488" t="inlineStr">
        <is>
          <t>STOCKHOLMS LÄN</t>
        </is>
      </c>
      <c r="E488" t="inlineStr">
        <is>
          <t>NORRTÄLJE</t>
        </is>
      </c>
      <c r="G488" t="n">
        <v>6.9</v>
      </c>
      <c r="H488" t="n">
        <v>0</v>
      </c>
      <c r="I488" t="n">
        <v>0</v>
      </c>
      <c r="J488" t="n">
        <v>0</v>
      </c>
      <c r="K488" t="n">
        <v>0</v>
      </c>
      <c r="L488" t="n">
        <v>0</v>
      </c>
      <c r="M488" t="n">
        <v>0</v>
      </c>
      <c r="N488" t="n">
        <v>0</v>
      </c>
      <c r="O488" t="n">
        <v>0</v>
      </c>
      <c r="P488" t="n">
        <v>0</v>
      </c>
      <c r="Q488" t="n">
        <v>0</v>
      </c>
      <c r="R488" s="2" t="inlineStr"/>
    </row>
    <row r="489" ht="15" customHeight="1">
      <c r="A489" t="inlineStr">
        <is>
          <t>A 43269-2025</t>
        </is>
      </c>
      <c r="B489" s="1" t="n">
        <v>45910.5819212963</v>
      </c>
      <c r="C489" s="1" t="n">
        <v>46105</v>
      </c>
      <c r="D489" t="inlineStr">
        <is>
          <t>STOCKHOLMS LÄN</t>
        </is>
      </c>
      <c r="E489" t="inlineStr">
        <is>
          <t>NORRTÄLJE</t>
        </is>
      </c>
      <c r="G489" t="n">
        <v>3.7</v>
      </c>
      <c r="H489" t="n">
        <v>0</v>
      </c>
      <c r="I489" t="n">
        <v>0</v>
      </c>
      <c r="J489" t="n">
        <v>0</v>
      </c>
      <c r="K489" t="n">
        <v>0</v>
      </c>
      <c r="L489" t="n">
        <v>0</v>
      </c>
      <c r="M489" t="n">
        <v>0</v>
      </c>
      <c r="N489" t="n">
        <v>0</v>
      </c>
      <c r="O489" t="n">
        <v>0</v>
      </c>
      <c r="P489" t="n">
        <v>0</v>
      </c>
      <c r="Q489" t="n">
        <v>0</v>
      </c>
      <c r="R489" s="2" t="inlineStr"/>
    </row>
    <row r="490" ht="15" customHeight="1">
      <c r="A490" t="inlineStr">
        <is>
          <t>A 32016-2025</t>
        </is>
      </c>
      <c r="B490" s="1" t="n">
        <v>45835</v>
      </c>
      <c r="C490" s="1" t="n">
        <v>46105</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32396-2025</t>
        </is>
      </c>
      <c r="B491" s="1" t="n">
        <v>45837</v>
      </c>
      <c r="C491" s="1" t="n">
        <v>46105</v>
      </c>
      <c r="D491" t="inlineStr">
        <is>
          <t>STOCKHOLMS LÄN</t>
        </is>
      </c>
      <c r="E491" t="inlineStr">
        <is>
          <t>NORRTÄLJE</t>
        </is>
      </c>
      <c r="G491" t="n">
        <v>2</v>
      </c>
      <c r="H491" t="n">
        <v>0</v>
      </c>
      <c r="I491" t="n">
        <v>0</v>
      </c>
      <c r="J491" t="n">
        <v>0</v>
      </c>
      <c r="K491" t="n">
        <v>0</v>
      </c>
      <c r="L491" t="n">
        <v>0</v>
      </c>
      <c r="M491" t="n">
        <v>0</v>
      </c>
      <c r="N491" t="n">
        <v>0</v>
      </c>
      <c r="O491" t="n">
        <v>0</v>
      </c>
      <c r="P491" t="n">
        <v>0</v>
      </c>
      <c r="Q491" t="n">
        <v>0</v>
      </c>
      <c r="R491" s="2" t="inlineStr"/>
    </row>
    <row r="492" ht="15" customHeight="1">
      <c r="A492" t="inlineStr">
        <is>
          <t>A 32397-2025</t>
        </is>
      </c>
      <c r="B492" s="1" t="n">
        <v>45837.94081018519</v>
      </c>
      <c r="C492" s="1" t="n">
        <v>46105</v>
      </c>
      <c r="D492" t="inlineStr">
        <is>
          <t>STOCKHOLMS LÄN</t>
        </is>
      </c>
      <c r="E492" t="inlineStr">
        <is>
          <t>NORRTÄLJE</t>
        </is>
      </c>
      <c r="G492" t="n">
        <v>5.9</v>
      </c>
      <c r="H492" t="n">
        <v>0</v>
      </c>
      <c r="I492" t="n">
        <v>0</v>
      </c>
      <c r="J492" t="n">
        <v>0</v>
      </c>
      <c r="K492" t="n">
        <v>0</v>
      </c>
      <c r="L492" t="n">
        <v>0</v>
      </c>
      <c r="M492" t="n">
        <v>0</v>
      </c>
      <c r="N492" t="n">
        <v>0</v>
      </c>
      <c r="O492" t="n">
        <v>0</v>
      </c>
      <c r="P492" t="n">
        <v>0</v>
      </c>
      <c r="Q492" t="n">
        <v>0</v>
      </c>
      <c r="R492" s="2" t="inlineStr"/>
    </row>
    <row r="493" ht="15" customHeight="1">
      <c r="A493" t="inlineStr">
        <is>
          <t>A 32480-2025</t>
        </is>
      </c>
      <c r="B493" s="1" t="n">
        <v>45838.43261574074</v>
      </c>
      <c r="C493" s="1" t="n">
        <v>46105</v>
      </c>
      <c r="D493" t="inlineStr">
        <is>
          <t>STOCKHOLMS LÄN</t>
        </is>
      </c>
      <c r="E493" t="inlineStr">
        <is>
          <t>NORRTÄLJE</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32395-2025</t>
        </is>
      </c>
      <c r="B494" s="1" t="n">
        <v>45837.93730324074</v>
      </c>
      <c r="C494" s="1" t="n">
        <v>46105</v>
      </c>
      <c r="D494" t="inlineStr">
        <is>
          <t>STOCKHOLMS LÄN</t>
        </is>
      </c>
      <c r="E494" t="inlineStr">
        <is>
          <t>NORRTÄLJE</t>
        </is>
      </c>
      <c r="G494" t="n">
        <v>2.2</v>
      </c>
      <c r="H494" t="n">
        <v>0</v>
      </c>
      <c r="I494" t="n">
        <v>0</v>
      </c>
      <c r="J494" t="n">
        <v>0</v>
      </c>
      <c r="K494" t="n">
        <v>0</v>
      </c>
      <c r="L494" t="n">
        <v>0</v>
      </c>
      <c r="M494" t="n">
        <v>0</v>
      </c>
      <c r="N494" t="n">
        <v>0</v>
      </c>
      <c r="O494" t="n">
        <v>0</v>
      </c>
      <c r="P494" t="n">
        <v>0</v>
      </c>
      <c r="Q494" t="n">
        <v>0</v>
      </c>
      <c r="R494" s="2" t="inlineStr"/>
    </row>
    <row r="495" ht="15" customHeight="1">
      <c r="A495" t="inlineStr">
        <is>
          <t>A 33211-2025</t>
        </is>
      </c>
      <c r="B495" s="1" t="n">
        <v>45840.62755787037</v>
      </c>
      <c r="C495" s="1" t="n">
        <v>46105</v>
      </c>
      <c r="D495" t="inlineStr">
        <is>
          <t>STOCKHOLMS LÄN</t>
        </is>
      </c>
      <c r="E495" t="inlineStr">
        <is>
          <t>NORRTÄLJE</t>
        </is>
      </c>
      <c r="G495" t="n">
        <v>5.1</v>
      </c>
      <c r="H495" t="n">
        <v>0</v>
      </c>
      <c r="I495" t="n">
        <v>0</v>
      </c>
      <c r="J495" t="n">
        <v>0</v>
      </c>
      <c r="K495" t="n">
        <v>0</v>
      </c>
      <c r="L495" t="n">
        <v>0</v>
      </c>
      <c r="M495" t="n">
        <v>0</v>
      </c>
      <c r="N495" t="n">
        <v>0</v>
      </c>
      <c r="O495" t="n">
        <v>0</v>
      </c>
      <c r="P495" t="n">
        <v>0</v>
      </c>
      <c r="Q495" t="n">
        <v>0</v>
      </c>
      <c r="R495" s="2" t="inlineStr"/>
    </row>
    <row r="496" ht="15" customHeight="1">
      <c r="A496" t="inlineStr">
        <is>
          <t>A 6532-2026</t>
        </is>
      </c>
      <c r="B496" s="1" t="n">
        <v>46056.41300925926</v>
      </c>
      <c r="C496" s="1" t="n">
        <v>46105</v>
      </c>
      <c r="D496" t="inlineStr">
        <is>
          <t>STOCKHOLMS LÄN</t>
        </is>
      </c>
      <c r="E496" t="inlineStr">
        <is>
          <t>NORRTÄLJE</t>
        </is>
      </c>
      <c r="G496" t="n">
        <v>2.2</v>
      </c>
      <c r="H496" t="n">
        <v>0</v>
      </c>
      <c r="I496" t="n">
        <v>0</v>
      </c>
      <c r="J496" t="n">
        <v>0</v>
      </c>
      <c r="K496" t="n">
        <v>0</v>
      </c>
      <c r="L496" t="n">
        <v>0</v>
      </c>
      <c r="M496" t="n">
        <v>0</v>
      </c>
      <c r="N496" t="n">
        <v>0</v>
      </c>
      <c r="O496" t="n">
        <v>0</v>
      </c>
      <c r="P496" t="n">
        <v>0</v>
      </c>
      <c r="Q496" t="n">
        <v>0</v>
      </c>
      <c r="R496" s="2" t="inlineStr"/>
    </row>
    <row r="497" ht="15" customHeight="1">
      <c r="A497" t="inlineStr">
        <is>
          <t>A 32903-2025</t>
        </is>
      </c>
      <c r="B497" s="1" t="n">
        <v>45839.62398148148</v>
      </c>
      <c r="C497" s="1" t="n">
        <v>46105</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30719-2025</t>
        </is>
      </c>
      <c r="B498" s="1" t="n">
        <v>45831</v>
      </c>
      <c r="C498" s="1" t="n">
        <v>46105</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33265-2025</t>
        </is>
      </c>
      <c r="B499" s="1" t="n">
        <v>45840.67829861111</v>
      </c>
      <c r="C499" s="1" t="n">
        <v>46105</v>
      </c>
      <c r="D499" t="inlineStr">
        <is>
          <t>STOCKHOLMS LÄN</t>
        </is>
      </c>
      <c r="E499" t="inlineStr">
        <is>
          <t>NORRTÄLJE</t>
        </is>
      </c>
      <c r="G499" t="n">
        <v>5.5</v>
      </c>
      <c r="H499" t="n">
        <v>0</v>
      </c>
      <c r="I499" t="n">
        <v>0</v>
      </c>
      <c r="J499" t="n">
        <v>0</v>
      </c>
      <c r="K499" t="n">
        <v>0</v>
      </c>
      <c r="L499" t="n">
        <v>0</v>
      </c>
      <c r="M499" t="n">
        <v>0</v>
      </c>
      <c r="N499" t="n">
        <v>0</v>
      </c>
      <c r="O499" t="n">
        <v>0</v>
      </c>
      <c r="P499" t="n">
        <v>0</v>
      </c>
      <c r="Q499" t="n">
        <v>0</v>
      </c>
      <c r="R499" s="2" t="inlineStr"/>
    </row>
    <row r="500" ht="15" customHeight="1">
      <c r="A500" t="inlineStr">
        <is>
          <t>A 32872-2025</t>
        </is>
      </c>
      <c r="B500" s="1" t="n">
        <v>45839</v>
      </c>
      <c r="C500" s="1" t="n">
        <v>46105</v>
      </c>
      <c r="D500" t="inlineStr">
        <is>
          <t>STOCKHOLMS LÄN</t>
        </is>
      </c>
      <c r="E500" t="inlineStr">
        <is>
          <t>NORRTÄLJE</t>
        </is>
      </c>
      <c r="G500" t="n">
        <v>0.6</v>
      </c>
      <c r="H500" t="n">
        <v>0</v>
      </c>
      <c r="I500" t="n">
        <v>0</v>
      </c>
      <c r="J500" t="n">
        <v>0</v>
      </c>
      <c r="K500" t="n">
        <v>0</v>
      </c>
      <c r="L500" t="n">
        <v>0</v>
      </c>
      <c r="M500" t="n">
        <v>0</v>
      </c>
      <c r="N500" t="n">
        <v>0</v>
      </c>
      <c r="O500" t="n">
        <v>0</v>
      </c>
      <c r="P500" t="n">
        <v>0</v>
      </c>
      <c r="Q500" t="n">
        <v>0</v>
      </c>
      <c r="R500" s="2" t="inlineStr"/>
    </row>
    <row r="501" ht="15" customHeight="1">
      <c r="A501" t="inlineStr">
        <is>
          <t>A 44343-2025</t>
        </is>
      </c>
      <c r="B501" s="1" t="n">
        <v>45916.43378472222</v>
      </c>
      <c r="C501" s="1" t="n">
        <v>46105</v>
      </c>
      <c r="D501" t="inlineStr">
        <is>
          <t>STOCKHOLMS LÄN</t>
        </is>
      </c>
      <c r="E501" t="inlineStr">
        <is>
          <t>NORRTÄLJE</t>
        </is>
      </c>
      <c r="G501" t="n">
        <v>1.6</v>
      </c>
      <c r="H501" t="n">
        <v>0</v>
      </c>
      <c r="I501" t="n">
        <v>0</v>
      </c>
      <c r="J501" t="n">
        <v>0</v>
      </c>
      <c r="K501" t="n">
        <v>0</v>
      </c>
      <c r="L501" t="n">
        <v>0</v>
      </c>
      <c r="M501" t="n">
        <v>0</v>
      </c>
      <c r="N501" t="n">
        <v>0</v>
      </c>
      <c r="O501" t="n">
        <v>0</v>
      </c>
      <c r="P501" t="n">
        <v>0</v>
      </c>
      <c r="Q501" t="n">
        <v>0</v>
      </c>
      <c r="R501" s="2" t="inlineStr"/>
    </row>
    <row r="502" ht="15" customHeight="1">
      <c r="A502" t="inlineStr">
        <is>
          <t>A 43916-2025</t>
        </is>
      </c>
      <c r="B502" s="1" t="n">
        <v>45914.78884259259</v>
      </c>
      <c r="C502" s="1" t="n">
        <v>46105</v>
      </c>
      <c r="D502" t="inlineStr">
        <is>
          <t>STOCKHOLMS LÄN</t>
        </is>
      </c>
      <c r="E502" t="inlineStr">
        <is>
          <t>NORRTÄLJE</t>
        </is>
      </c>
      <c r="G502" t="n">
        <v>1.5</v>
      </c>
      <c r="H502" t="n">
        <v>0</v>
      </c>
      <c r="I502" t="n">
        <v>0</v>
      </c>
      <c r="J502" t="n">
        <v>0</v>
      </c>
      <c r="K502" t="n">
        <v>0</v>
      </c>
      <c r="L502" t="n">
        <v>0</v>
      </c>
      <c r="M502" t="n">
        <v>0</v>
      </c>
      <c r="N502" t="n">
        <v>0</v>
      </c>
      <c r="O502" t="n">
        <v>0</v>
      </c>
      <c r="P502" t="n">
        <v>0</v>
      </c>
      <c r="Q502" t="n">
        <v>0</v>
      </c>
      <c r="R502" s="2" t="inlineStr"/>
    </row>
    <row r="503" ht="15" customHeight="1">
      <c r="A503" t="inlineStr">
        <is>
          <t>A 7308-2026</t>
        </is>
      </c>
      <c r="B503" s="1" t="n">
        <v>46058.66025462963</v>
      </c>
      <c r="C503" s="1" t="n">
        <v>46105</v>
      </c>
      <c r="D503" t="inlineStr">
        <is>
          <t>STOCKHOLMS LÄN</t>
        </is>
      </c>
      <c r="E503" t="inlineStr">
        <is>
          <t>NORRTÄLJE</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33702-2025</t>
        </is>
      </c>
      <c r="B504" s="1" t="n">
        <v>45841.74596064815</v>
      </c>
      <c r="C504" s="1" t="n">
        <v>46105</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33336-2025</t>
        </is>
      </c>
      <c r="B505" s="1" t="n">
        <v>45841.35611111111</v>
      </c>
      <c r="C505" s="1" t="n">
        <v>46105</v>
      </c>
      <c r="D505" t="inlineStr">
        <is>
          <t>STOCKHOLMS LÄN</t>
        </is>
      </c>
      <c r="E505" t="inlineStr">
        <is>
          <t>NORRTÄLJE</t>
        </is>
      </c>
      <c r="G505" t="n">
        <v>2.4</v>
      </c>
      <c r="H505" t="n">
        <v>0</v>
      </c>
      <c r="I505" t="n">
        <v>0</v>
      </c>
      <c r="J505" t="n">
        <v>0</v>
      </c>
      <c r="K505" t="n">
        <v>0</v>
      </c>
      <c r="L505" t="n">
        <v>0</v>
      </c>
      <c r="M505" t="n">
        <v>0</v>
      </c>
      <c r="N505" t="n">
        <v>0</v>
      </c>
      <c r="O505" t="n">
        <v>0</v>
      </c>
      <c r="P505" t="n">
        <v>0</v>
      </c>
      <c r="Q505" t="n">
        <v>0</v>
      </c>
      <c r="R505" s="2" t="inlineStr"/>
    </row>
    <row r="506" ht="15" customHeight="1">
      <c r="A506" t="inlineStr">
        <is>
          <t>A 44311-2025</t>
        </is>
      </c>
      <c r="B506" s="1" t="n">
        <v>45916.38394675926</v>
      </c>
      <c r="C506" s="1" t="n">
        <v>46105</v>
      </c>
      <c r="D506" t="inlineStr">
        <is>
          <t>STOCKHOLMS LÄN</t>
        </is>
      </c>
      <c r="E506" t="inlineStr">
        <is>
          <t>NORRTÄLJE</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44349-2025</t>
        </is>
      </c>
      <c r="B507" s="1" t="n">
        <v>45916.43929398148</v>
      </c>
      <c r="C507" s="1" t="n">
        <v>46105</v>
      </c>
      <c r="D507" t="inlineStr">
        <is>
          <t>STOCKHOLMS LÄN</t>
        </is>
      </c>
      <c r="E507" t="inlineStr">
        <is>
          <t>NORRTÄLJE</t>
        </is>
      </c>
      <c r="G507" t="n">
        <v>3.5</v>
      </c>
      <c r="H507" t="n">
        <v>0</v>
      </c>
      <c r="I507" t="n">
        <v>0</v>
      </c>
      <c r="J507" t="n">
        <v>0</v>
      </c>
      <c r="K507" t="n">
        <v>0</v>
      </c>
      <c r="L507" t="n">
        <v>0</v>
      </c>
      <c r="M507" t="n">
        <v>0</v>
      </c>
      <c r="N507" t="n">
        <v>0</v>
      </c>
      <c r="O507" t="n">
        <v>0</v>
      </c>
      <c r="P507" t="n">
        <v>0</v>
      </c>
      <c r="Q507" t="n">
        <v>0</v>
      </c>
      <c r="R507" s="2" t="inlineStr"/>
    </row>
    <row r="508" ht="15" customHeight="1">
      <c r="A508" t="inlineStr">
        <is>
          <t>A 14348-2026</t>
        </is>
      </c>
      <c r="B508" s="1" t="n">
        <v>46100.34112268518</v>
      </c>
      <c r="C508" s="1" t="n">
        <v>46105</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6838-2026</t>
        </is>
      </c>
      <c r="B509" s="1" t="n">
        <v>46057.41151620371</v>
      </c>
      <c r="C509" s="1" t="n">
        <v>46105</v>
      </c>
      <c r="D509" t="inlineStr">
        <is>
          <t>STOCKHOLMS LÄN</t>
        </is>
      </c>
      <c r="E509" t="inlineStr">
        <is>
          <t>NORRTÄLJE</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14475-2026</t>
        </is>
      </c>
      <c r="B510" s="1" t="n">
        <v>46100.57251157407</v>
      </c>
      <c r="C510" s="1" t="n">
        <v>46105</v>
      </c>
      <c r="D510" t="inlineStr">
        <is>
          <t>STOCKHOLMS LÄN</t>
        </is>
      </c>
      <c r="E510" t="inlineStr">
        <is>
          <t>NORRTÄLJE</t>
        </is>
      </c>
      <c r="G510" t="n">
        <v>12.3</v>
      </c>
      <c r="H510" t="n">
        <v>0</v>
      </c>
      <c r="I510" t="n">
        <v>0</v>
      </c>
      <c r="J510" t="n">
        <v>0</v>
      </c>
      <c r="K510" t="n">
        <v>0</v>
      </c>
      <c r="L510" t="n">
        <v>0</v>
      </c>
      <c r="M510" t="n">
        <v>0</v>
      </c>
      <c r="N510" t="n">
        <v>0</v>
      </c>
      <c r="O510" t="n">
        <v>0</v>
      </c>
      <c r="P510" t="n">
        <v>0</v>
      </c>
      <c r="Q510" t="n">
        <v>0</v>
      </c>
      <c r="R510" s="2" t="inlineStr"/>
    </row>
    <row r="511" ht="15" customHeight="1">
      <c r="A511" t="inlineStr">
        <is>
          <t>A 44354-2025</t>
        </is>
      </c>
      <c r="B511" s="1" t="n">
        <v>45916.44655092592</v>
      </c>
      <c r="C511" s="1" t="n">
        <v>46105</v>
      </c>
      <c r="D511" t="inlineStr">
        <is>
          <t>STOCKHOLMS LÄN</t>
        </is>
      </c>
      <c r="E511" t="inlineStr">
        <is>
          <t>NORRTÄLJE</t>
        </is>
      </c>
      <c r="G511" t="n">
        <v>2.3</v>
      </c>
      <c r="H511" t="n">
        <v>0</v>
      </c>
      <c r="I511" t="n">
        <v>0</v>
      </c>
      <c r="J511" t="n">
        <v>0</v>
      </c>
      <c r="K511" t="n">
        <v>0</v>
      </c>
      <c r="L511" t="n">
        <v>0</v>
      </c>
      <c r="M511" t="n">
        <v>0</v>
      </c>
      <c r="N511" t="n">
        <v>0</v>
      </c>
      <c r="O511" t="n">
        <v>0</v>
      </c>
      <c r="P511" t="n">
        <v>0</v>
      </c>
      <c r="Q511" t="n">
        <v>0</v>
      </c>
      <c r="R511" s="2" t="inlineStr"/>
    </row>
    <row r="512" ht="15" customHeight="1">
      <c r="A512" t="inlineStr">
        <is>
          <t>A 33552-2025</t>
        </is>
      </c>
      <c r="B512" s="1" t="n">
        <v>45841.5737962963</v>
      </c>
      <c r="C512" s="1" t="n">
        <v>46105</v>
      </c>
      <c r="D512" t="inlineStr">
        <is>
          <t>STOCKHOLMS LÄN</t>
        </is>
      </c>
      <c r="E512" t="inlineStr">
        <is>
          <t>NORRTÄLJE</t>
        </is>
      </c>
      <c r="G512" t="n">
        <v>8.9</v>
      </c>
      <c r="H512" t="n">
        <v>0</v>
      </c>
      <c r="I512" t="n">
        <v>0</v>
      </c>
      <c r="J512" t="n">
        <v>0</v>
      </c>
      <c r="K512" t="n">
        <v>0</v>
      </c>
      <c r="L512" t="n">
        <v>0</v>
      </c>
      <c r="M512" t="n">
        <v>0</v>
      </c>
      <c r="N512" t="n">
        <v>0</v>
      </c>
      <c r="O512" t="n">
        <v>0</v>
      </c>
      <c r="P512" t="n">
        <v>0</v>
      </c>
      <c r="Q512" t="n">
        <v>0</v>
      </c>
      <c r="R512" s="2" t="inlineStr"/>
    </row>
    <row r="513" ht="15" customHeight="1">
      <c r="A513" t="inlineStr">
        <is>
          <t>A 33824-2025</t>
        </is>
      </c>
      <c r="B513" s="1" t="n">
        <v>45842.46885416667</v>
      </c>
      <c r="C513" s="1" t="n">
        <v>46105</v>
      </c>
      <c r="D513" t="inlineStr">
        <is>
          <t>STOCKHOLMS LÄN</t>
        </is>
      </c>
      <c r="E513" t="inlineStr">
        <is>
          <t>NORRTÄLJE</t>
        </is>
      </c>
      <c r="G513" t="n">
        <v>1.9</v>
      </c>
      <c r="H513" t="n">
        <v>0</v>
      </c>
      <c r="I513" t="n">
        <v>0</v>
      </c>
      <c r="J513" t="n">
        <v>0</v>
      </c>
      <c r="K513" t="n">
        <v>0</v>
      </c>
      <c r="L513" t="n">
        <v>0</v>
      </c>
      <c r="M513" t="n">
        <v>0</v>
      </c>
      <c r="N513" t="n">
        <v>0</v>
      </c>
      <c r="O513" t="n">
        <v>0</v>
      </c>
      <c r="P513" t="n">
        <v>0</v>
      </c>
      <c r="Q513" t="n">
        <v>0</v>
      </c>
      <c r="R513" s="2" t="inlineStr"/>
    </row>
    <row r="514" ht="15" customHeight="1">
      <c r="A514" t="inlineStr">
        <is>
          <t>A 44333-2025</t>
        </is>
      </c>
      <c r="B514" s="1" t="n">
        <v>45916.42293981482</v>
      </c>
      <c r="C514" s="1" t="n">
        <v>46105</v>
      </c>
      <c r="D514" t="inlineStr">
        <is>
          <t>STOCKHOLMS LÄN</t>
        </is>
      </c>
      <c r="E514" t="inlineStr">
        <is>
          <t>NORRTÄLJE</t>
        </is>
      </c>
      <c r="G514" t="n">
        <v>1.5</v>
      </c>
      <c r="H514" t="n">
        <v>0</v>
      </c>
      <c r="I514" t="n">
        <v>0</v>
      </c>
      <c r="J514" t="n">
        <v>0</v>
      </c>
      <c r="K514" t="n">
        <v>0</v>
      </c>
      <c r="L514" t="n">
        <v>0</v>
      </c>
      <c r="M514" t="n">
        <v>0</v>
      </c>
      <c r="N514" t="n">
        <v>0</v>
      </c>
      <c r="O514" t="n">
        <v>0</v>
      </c>
      <c r="P514" t="n">
        <v>0</v>
      </c>
      <c r="Q514" t="n">
        <v>0</v>
      </c>
      <c r="R514" s="2" t="inlineStr"/>
    </row>
    <row r="515" ht="15" customHeight="1">
      <c r="A515" t="inlineStr">
        <is>
          <t>A 44306-2025</t>
        </is>
      </c>
      <c r="B515" s="1" t="n">
        <v>45916.37736111111</v>
      </c>
      <c r="C515" s="1" t="n">
        <v>46105</v>
      </c>
      <c r="D515" t="inlineStr">
        <is>
          <t>STOCKHOLMS LÄN</t>
        </is>
      </c>
      <c r="E515" t="inlineStr">
        <is>
          <t>NORRTÄLJE</t>
        </is>
      </c>
      <c r="G515" t="n">
        <v>2.8</v>
      </c>
      <c r="H515" t="n">
        <v>0</v>
      </c>
      <c r="I515" t="n">
        <v>0</v>
      </c>
      <c r="J515" t="n">
        <v>0</v>
      </c>
      <c r="K515" t="n">
        <v>0</v>
      </c>
      <c r="L515" t="n">
        <v>0</v>
      </c>
      <c r="M515" t="n">
        <v>0</v>
      </c>
      <c r="N515" t="n">
        <v>0</v>
      </c>
      <c r="O515" t="n">
        <v>0</v>
      </c>
      <c r="P515" t="n">
        <v>0</v>
      </c>
      <c r="Q515" t="n">
        <v>0</v>
      </c>
      <c r="R515" s="2" t="inlineStr"/>
    </row>
    <row r="516" ht="15" customHeight="1">
      <c r="A516" t="inlineStr">
        <is>
          <t>A 6874-2026</t>
        </is>
      </c>
      <c r="B516" s="1" t="n">
        <v>46057.45295138889</v>
      </c>
      <c r="C516" s="1" t="n">
        <v>46105</v>
      </c>
      <c r="D516" t="inlineStr">
        <is>
          <t>STOCKHOLMS LÄN</t>
        </is>
      </c>
      <c r="E516" t="inlineStr">
        <is>
          <t>NORRTÄLJE</t>
        </is>
      </c>
      <c r="F516" t="inlineStr">
        <is>
          <t>Holmen skog AB</t>
        </is>
      </c>
      <c r="G516" t="n">
        <v>1.4</v>
      </c>
      <c r="H516" t="n">
        <v>0</v>
      </c>
      <c r="I516" t="n">
        <v>0</v>
      </c>
      <c r="J516" t="n">
        <v>0</v>
      </c>
      <c r="K516" t="n">
        <v>0</v>
      </c>
      <c r="L516" t="n">
        <v>0</v>
      </c>
      <c r="M516" t="n">
        <v>0</v>
      </c>
      <c r="N516" t="n">
        <v>0</v>
      </c>
      <c r="O516" t="n">
        <v>0</v>
      </c>
      <c r="P516" t="n">
        <v>0</v>
      </c>
      <c r="Q516" t="n">
        <v>0</v>
      </c>
      <c r="R516" s="2" t="inlineStr"/>
    </row>
    <row r="517" ht="15" customHeight="1">
      <c r="A517" t="inlineStr">
        <is>
          <t>A 46073-2024</t>
        </is>
      </c>
      <c r="B517" s="1" t="n">
        <v>45581</v>
      </c>
      <c r="C517" s="1" t="n">
        <v>46105</v>
      </c>
      <c r="D517" t="inlineStr">
        <is>
          <t>STOCKHOLMS LÄN</t>
        </is>
      </c>
      <c r="E517" t="inlineStr">
        <is>
          <t>NORRTÄLJE</t>
        </is>
      </c>
      <c r="G517" t="n">
        <v>2</v>
      </c>
      <c r="H517" t="n">
        <v>0</v>
      </c>
      <c r="I517" t="n">
        <v>0</v>
      </c>
      <c r="J517" t="n">
        <v>0</v>
      </c>
      <c r="K517" t="n">
        <v>0</v>
      </c>
      <c r="L517" t="n">
        <v>0</v>
      </c>
      <c r="M517" t="n">
        <v>0</v>
      </c>
      <c r="N517" t="n">
        <v>0</v>
      </c>
      <c r="O517" t="n">
        <v>0</v>
      </c>
      <c r="P517" t="n">
        <v>0</v>
      </c>
      <c r="Q517" t="n">
        <v>0</v>
      </c>
      <c r="R517" s="2" t="inlineStr"/>
    </row>
    <row r="518" ht="15" customHeight="1">
      <c r="A518" t="inlineStr">
        <is>
          <t>A 36689-2023</t>
        </is>
      </c>
      <c r="B518" s="1" t="n">
        <v>45152</v>
      </c>
      <c r="C518" s="1" t="n">
        <v>46105</v>
      </c>
      <c r="D518" t="inlineStr">
        <is>
          <t>STOCKHOLMS LÄN</t>
        </is>
      </c>
      <c r="E518" t="inlineStr">
        <is>
          <t>NORRTÄLJE</t>
        </is>
      </c>
      <c r="G518" t="n">
        <v>1.8</v>
      </c>
      <c r="H518" t="n">
        <v>0</v>
      </c>
      <c r="I518" t="n">
        <v>0</v>
      </c>
      <c r="J518" t="n">
        <v>0</v>
      </c>
      <c r="K518" t="n">
        <v>0</v>
      </c>
      <c r="L518" t="n">
        <v>0</v>
      </c>
      <c r="M518" t="n">
        <v>0</v>
      </c>
      <c r="N518" t="n">
        <v>0</v>
      </c>
      <c r="O518" t="n">
        <v>0</v>
      </c>
      <c r="P518" t="n">
        <v>0</v>
      </c>
      <c r="Q518" t="n">
        <v>0</v>
      </c>
      <c r="R518" s="2" t="inlineStr"/>
    </row>
    <row r="519" ht="15" customHeight="1">
      <c r="A519" t="inlineStr">
        <is>
          <t>A 34139-2025</t>
        </is>
      </c>
      <c r="B519" s="1" t="n">
        <v>45845</v>
      </c>
      <c r="C519" s="1" t="n">
        <v>46105</v>
      </c>
      <c r="D519" t="inlineStr">
        <is>
          <t>STOCKHOLMS LÄN</t>
        </is>
      </c>
      <c r="E519" t="inlineStr">
        <is>
          <t>NORRTÄLJE</t>
        </is>
      </c>
      <c r="G519" t="n">
        <v>5.5</v>
      </c>
      <c r="H519" t="n">
        <v>0</v>
      </c>
      <c r="I519" t="n">
        <v>0</v>
      </c>
      <c r="J519" t="n">
        <v>0</v>
      </c>
      <c r="K519" t="n">
        <v>0</v>
      </c>
      <c r="L519" t="n">
        <v>0</v>
      </c>
      <c r="M519" t="n">
        <v>0</v>
      </c>
      <c r="N519" t="n">
        <v>0</v>
      </c>
      <c r="O519" t="n">
        <v>0</v>
      </c>
      <c r="P519" t="n">
        <v>0</v>
      </c>
      <c r="Q519" t="n">
        <v>0</v>
      </c>
      <c r="R519" s="2" t="inlineStr"/>
    </row>
    <row r="520" ht="15" customHeight="1">
      <c r="A520" t="inlineStr">
        <is>
          <t>A 34006-2025</t>
        </is>
      </c>
      <c r="B520" s="1" t="n">
        <v>45844.62609953704</v>
      </c>
      <c r="C520" s="1" t="n">
        <v>46105</v>
      </c>
      <c r="D520" t="inlineStr">
        <is>
          <t>STOCKHOLMS LÄN</t>
        </is>
      </c>
      <c r="E520" t="inlineStr">
        <is>
          <t>NORRTÄLJE</t>
        </is>
      </c>
      <c r="G520" t="n">
        <v>2.3</v>
      </c>
      <c r="H520" t="n">
        <v>0</v>
      </c>
      <c r="I520" t="n">
        <v>0</v>
      </c>
      <c r="J520" t="n">
        <v>0</v>
      </c>
      <c r="K520" t="n">
        <v>0</v>
      </c>
      <c r="L520" t="n">
        <v>0</v>
      </c>
      <c r="M520" t="n">
        <v>0</v>
      </c>
      <c r="N520" t="n">
        <v>0</v>
      </c>
      <c r="O520" t="n">
        <v>0</v>
      </c>
      <c r="P520" t="n">
        <v>0</v>
      </c>
      <c r="Q520" t="n">
        <v>0</v>
      </c>
      <c r="R520" s="2" t="inlineStr"/>
    </row>
    <row r="521" ht="15" customHeight="1">
      <c r="A521" t="inlineStr">
        <is>
          <t>A 5423-2023</t>
        </is>
      </c>
      <c r="B521" s="1" t="n">
        <v>44959.74533564815</v>
      </c>
      <c r="C521" s="1" t="n">
        <v>46105</v>
      </c>
      <c r="D521" t="inlineStr">
        <is>
          <t>STOCKHOLMS LÄN</t>
        </is>
      </c>
      <c r="E521" t="inlineStr">
        <is>
          <t>NORRTÄLJE</t>
        </is>
      </c>
      <c r="G521" t="n">
        <v>2</v>
      </c>
      <c r="H521" t="n">
        <v>0</v>
      </c>
      <c r="I521" t="n">
        <v>0</v>
      </c>
      <c r="J521" t="n">
        <v>0</v>
      </c>
      <c r="K521" t="n">
        <v>0</v>
      </c>
      <c r="L521" t="n">
        <v>0</v>
      </c>
      <c r="M521" t="n">
        <v>0</v>
      </c>
      <c r="N521" t="n">
        <v>0</v>
      </c>
      <c r="O521" t="n">
        <v>0</v>
      </c>
      <c r="P521" t="n">
        <v>0</v>
      </c>
      <c r="Q521" t="n">
        <v>0</v>
      </c>
      <c r="R521" s="2" t="inlineStr"/>
    </row>
    <row r="522" ht="15" customHeight="1">
      <c r="A522" t="inlineStr">
        <is>
          <t>A 44937-2025</t>
        </is>
      </c>
      <c r="B522" s="1" t="n">
        <v>45918</v>
      </c>
      <c r="C522" s="1" t="n">
        <v>46105</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34010-2025</t>
        </is>
      </c>
      <c r="B523" s="1" t="n">
        <v>45844.91234953704</v>
      </c>
      <c r="C523" s="1" t="n">
        <v>46105</v>
      </c>
      <c r="D523" t="inlineStr">
        <is>
          <t>STOCKHOLMS LÄN</t>
        </is>
      </c>
      <c r="E523" t="inlineStr">
        <is>
          <t>NORRTÄLJE</t>
        </is>
      </c>
      <c r="F523" t="inlineStr">
        <is>
          <t>Övriga Aktiebolag</t>
        </is>
      </c>
      <c r="G523" t="n">
        <v>1.1</v>
      </c>
      <c r="H523" t="n">
        <v>0</v>
      </c>
      <c r="I523" t="n">
        <v>0</v>
      </c>
      <c r="J523" t="n">
        <v>0</v>
      </c>
      <c r="K523" t="n">
        <v>0</v>
      </c>
      <c r="L523" t="n">
        <v>0</v>
      </c>
      <c r="M523" t="n">
        <v>0</v>
      </c>
      <c r="N523" t="n">
        <v>0</v>
      </c>
      <c r="O523" t="n">
        <v>0</v>
      </c>
      <c r="P523" t="n">
        <v>0</v>
      </c>
      <c r="Q523" t="n">
        <v>0</v>
      </c>
      <c r="R523" s="2" t="inlineStr"/>
    </row>
    <row r="524" ht="15" customHeight="1">
      <c r="A524" t="inlineStr">
        <is>
          <t>A 58492-2022</t>
        </is>
      </c>
      <c r="B524" s="1" t="n">
        <v>44902</v>
      </c>
      <c r="C524" s="1" t="n">
        <v>46105</v>
      </c>
      <c r="D524" t="inlineStr">
        <is>
          <t>STOCKHOLMS LÄN</t>
        </is>
      </c>
      <c r="E524" t="inlineStr">
        <is>
          <t>NORRTÄLJE</t>
        </is>
      </c>
      <c r="G524" t="n">
        <v>1</v>
      </c>
      <c r="H524" t="n">
        <v>0</v>
      </c>
      <c r="I524" t="n">
        <v>0</v>
      </c>
      <c r="J524" t="n">
        <v>0</v>
      </c>
      <c r="K524" t="n">
        <v>0</v>
      </c>
      <c r="L524" t="n">
        <v>0</v>
      </c>
      <c r="M524" t="n">
        <v>0</v>
      </c>
      <c r="N524" t="n">
        <v>0</v>
      </c>
      <c r="O524" t="n">
        <v>0</v>
      </c>
      <c r="P524" t="n">
        <v>0</v>
      </c>
      <c r="Q524" t="n">
        <v>0</v>
      </c>
      <c r="R524" s="2" t="inlineStr"/>
    </row>
    <row r="525" ht="15" customHeight="1">
      <c r="A525" t="inlineStr">
        <is>
          <t>A 6828-2026</t>
        </is>
      </c>
      <c r="B525" s="1" t="n">
        <v>46057</v>
      </c>
      <c r="C525" s="1" t="n">
        <v>46105</v>
      </c>
      <c r="D525" t="inlineStr">
        <is>
          <t>STOCKHOLMS LÄN</t>
        </is>
      </c>
      <c r="E525" t="inlineStr">
        <is>
          <t>NORRTÄLJE</t>
        </is>
      </c>
      <c r="F525" t="inlineStr">
        <is>
          <t>Holmen skog AB</t>
        </is>
      </c>
      <c r="G525" t="n">
        <v>2.8</v>
      </c>
      <c r="H525" t="n">
        <v>0</v>
      </c>
      <c r="I525" t="n">
        <v>0</v>
      </c>
      <c r="J525" t="n">
        <v>0</v>
      </c>
      <c r="K525" t="n">
        <v>0</v>
      </c>
      <c r="L525" t="n">
        <v>0</v>
      </c>
      <c r="M525" t="n">
        <v>0</v>
      </c>
      <c r="N525" t="n">
        <v>0</v>
      </c>
      <c r="O525" t="n">
        <v>0</v>
      </c>
      <c r="P525" t="n">
        <v>0</v>
      </c>
      <c r="Q525" t="n">
        <v>0</v>
      </c>
      <c r="R525" s="2" t="inlineStr"/>
    </row>
    <row r="526" ht="15" customHeight="1">
      <c r="A526" t="inlineStr">
        <is>
          <t>A 22359-2025</t>
        </is>
      </c>
      <c r="B526" s="1" t="n">
        <v>45786</v>
      </c>
      <c r="C526" s="1" t="n">
        <v>46105</v>
      </c>
      <c r="D526" t="inlineStr">
        <is>
          <t>STOCKHOLMS LÄN</t>
        </is>
      </c>
      <c r="E526" t="inlineStr">
        <is>
          <t>NORRTÄLJE</t>
        </is>
      </c>
      <c r="G526" t="n">
        <v>5</v>
      </c>
      <c r="H526" t="n">
        <v>0</v>
      </c>
      <c r="I526" t="n">
        <v>0</v>
      </c>
      <c r="J526" t="n">
        <v>0</v>
      </c>
      <c r="K526" t="n">
        <v>0</v>
      </c>
      <c r="L526" t="n">
        <v>0</v>
      </c>
      <c r="M526" t="n">
        <v>0</v>
      </c>
      <c r="N526" t="n">
        <v>0</v>
      </c>
      <c r="O526" t="n">
        <v>0</v>
      </c>
      <c r="P526" t="n">
        <v>0</v>
      </c>
      <c r="Q526" t="n">
        <v>0</v>
      </c>
      <c r="R526" s="2" t="inlineStr"/>
    </row>
    <row r="527" ht="15" customHeight="1">
      <c r="A527" t="inlineStr">
        <is>
          <t>A 7532-2026</t>
        </is>
      </c>
      <c r="B527" s="1" t="n">
        <v>46059</v>
      </c>
      <c r="C527" s="1" t="n">
        <v>46105</v>
      </c>
      <c r="D527" t="inlineStr">
        <is>
          <t>STOCKHOLMS LÄN</t>
        </is>
      </c>
      <c r="E527" t="inlineStr">
        <is>
          <t>NORRTÄLJE</t>
        </is>
      </c>
      <c r="G527" t="n">
        <v>5.2</v>
      </c>
      <c r="H527" t="n">
        <v>0</v>
      </c>
      <c r="I527" t="n">
        <v>0</v>
      </c>
      <c r="J527" t="n">
        <v>0</v>
      </c>
      <c r="K527" t="n">
        <v>0</v>
      </c>
      <c r="L527" t="n">
        <v>0</v>
      </c>
      <c r="M527" t="n">
        <v>0</v>
      </c>
      <c r="N527" t="n">
        <v>0</v>
      </c>
      <c r="O527" t="n">
        <v>0</v>
      </c>
      <c r="P527" t="n">
        <v>0</v>
      </c>
      <c r="Q527" t="n">
        <v>0</v>
      </c>
      <c r="R527" s="2" t="inlineStr"/>
    </row>
    <row r="528" ht="15" customHeight="1">
      <c r="A528" t="inlineStr">
        <is>
          <t>A 35110-2025</t>
        </is>
      </c>
      <c r="B528" s="1" t="n">
        <v>45852.58030092593</v>
      </c>
      <c r="C528" s="1" t="n">
        <v>46105</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7723-2026</t>
        </is>
      </c>
      <c r="B529" s="1" t="n">
        <v>46062.49905092592</v>
      </c>
      <c r="C529" s="1" t="n">
        <v>46105</v>
      </c>
      <c r="D529" t="inlineStr">
        <is>
          <t>STOCKHOLMS LÄN</t>
        </is>
      </c>
      <c r="E529" t="inlineStr">
        <is>
          <t>NORRTÄLJE</t>
        </is>
      </c>
      <c r="G529" t="n">
        <v>0.8</v>
      </c>
      <c r="H529" t="n">
        <v>0</v>
      </c>
      <c r="I529" t="n">
        <v>0</v>
      </c>
      <c r="J529" t="n">
        <v>0</v>
      </c>
      <c r="K529" t="n">
        <v>0</v>
      </c>
      <c r="L529" t="n">
        <v>0</v>
      </c>
      <c r="M529" t="n">
        <v>0</v>
      </c>
      <c r="N529" t="n">
        <v>0</v>
      </c>
      <c r="O529" t="n">
        <v>0</v>
      </c>
      <c r="P529" t="n">
        <v>0</v>
      </c>
      <c r="Q529" t="n">
        <v>0</v>
      </c>
      <c r="R529" s="2" t="inlineStr"/>
    </row>
    <row r="530" ht="15" customHeight="1">
      <c r="A530" t="inlineStr">
        <is>
          <t>A 7729-2026</t>
        </is>
      </c>
      <c r="B530" s="1" t="n">
        <v>46062.51100694444</v>
      </c>
      <c r="C530" s="1" t="n">
        <v>46105</v>
      </c>
      <c r="D530" t="inlineStr">
        <is>
          <t>STOCKHOLMS LÄN</t>
        </is>
      </c>
      <c r="E530" t="inlineStr">
        <is>
          <t>NORRTÄLJE</t>
        </is>
      </c>
      <c r="G530" t="n">
        <v>6.6</v>
      </c>
      <c r="H530" t="n">
        <v>0</v>
      </c>
      <c r="I530" t="n">
        <v>0</v>
      </c>
      <c r="J530" t="n">
        <v>0</v>
      </c>
      <c r="K530" t="n">
        <v>0</v>
      </c>
      <c r="L530" t="n">
        <v>0</v>
      </c>
      <c r="M530" t="n">
        <v>0</v>
      </c>
      <c r="N530" t="n">
        <v>0</v>
      </c>
      <c r="O530" t="n">
        <v>0</v>
      </c>
      <c r="P530" t="n">
        <v>0</v>
      </c>
      <c r="Q530" t="n">
        <v>0</v>
      </c>
      <c r="R530" s="2" t="inlineStr"/>
    </row>
    <row r="531" ht="15" customHeight="1">
      <c r="A531" t="inlineStr">
        <is>
          <t>A 45697-2025</t>
        </is>
      </c>
      <c r="B531" s="1" t="n">
        <v>45923.39877314815</v>
      </c>
      <c r="C531" s="1" t="n">
        <v>46105</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35254-2025</t>
        </is>
      </c>
      <c r="B532" s="1" t="n">
        <v>45853</v>
      </c>
      <c r="C532" s="1" t="n">
        <v>46105</v>
      </c>
      <c r="D532" t="inlineStr">
        <is>
          <t>STOCKHOLMS LÄN</t>
        </is>
      </c>
      <c r="E532" t="inlineStr">
        <is>
          <t>NORRTÄLJE</t>
        </is>
      </c>
      <c r="G532" t="n">
        <v>6.5</v>
      </c>
      <c r="H532" t="n">
        <v>0</v>
      </c>
      <c r="I532" t="n">
        <v>0</v>
      </c>
      <c r="J532" t="n">
        <v>0</v>
      </c>
      <c r="K532" t="n">
        <v>0</v>
      </c>
      <c r="L532" t="n">
        <v>0</v>
      </c>
      <c r="M532" t="n">
        <v>0</v>
      </c>
      <c r="N532" t="n">
        <v>0</v>
      </c>
      <c r="O532" t="n">
        <v>0</v>
      </c>
      <c r="P532" t="n">
        <v>0</v>
      </c>
      <c r="Q532" t="n">
        <v>0</v>
      </c>
      <c r="R532" s="2" t="inlineStr"/>
    </row>
    <row r="533" ht="15" customHeight="1">
      <c r="A533" t="inlineStr">
        <is>
          <t>A 35256-2025</t>
        </is>
      </c>
      <c r="B533" s="1" t="n">
        <v>45853</v>
      </c>
      <c r="C533" s="1" t="n">
        <v>46105</v>
      </c>
      <c r="D533" t="inlineStr">
        <is>
          <t>STOCKHOLMS LÄN</t>
        </is>
      </c>
      <c r="E533" t="inlineStr">
        <is>
          <t>NORRTÄLJE</t>
        </is>
      </c>
      <c r="G533" t="n">
        <v>6.4</v>
      </c>
      <c r="H533" t="n">
        <v>0</v>
      </c>
      <c r="I533" t="n">
        <v>0</v>
      </c>
      <c r="J533" t="n">
        <v>0</v>
      </c>
      <c r="K533" t="n">
        <v>0</v>
      </c>
      <c r="L533" t="n">
        <v>0</v>
      </c>
      <c r="M533" t="n">
        <v>0</v>
      </c>
      <c r="N533" t="n">
        <v>0</v>
      </c>
      <c r="O533" t="n">
        <v>0</v>
      </c>
      <c r="P533" t="n">
        <v>0</v>
      </c>
      <c r="Q533" t="n">
        <v>0</v>
      </c>
      <c r="R533" s="2" t="inlineStr"/>
    </row>
    <row r="534" ht="15" customHeight="1">
      <c r="A534" t="inlineStr">
        <is>
          <t>A 35479-2025</t>
        </is>
      </c>
      <c r="B534" s="1" t="n">
        <v>45855.69387731481</v>
      </c>
      <c r="C534" s="1" t="n">
        <v>46105</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35451-2025</t>
        </is>
      </c>
      <c r="B535" s="1" t="n">
        <v>45855.57033564815</v>
      </c>
      <c r="C535" s="1" t="n">
        <v>46105</v>
      </c>
      <c r="D535" t="inlineStr">
        <is>
          <t>STOCKHOLMS LÄN</t>
        </is>
      </c>
      <c r="E535" t="inlineStr">
        <is>
          <t>NORRTÄLJE</t>
        </is>
      </c>
      <c r="F535" t="inlineStr">
        <is>
          <t>Holmen skog AB</t>
        </is>
      </c>
      <c r="G535" t="n">
        <v>7.4</v>
      </c>
      <c r="H535" t="n">
        <v>0</v>
      </c>
      <c r="I535" t="n">
        <v>0</v>
      </c>
      <c r="J535" t="n">
        <v>0</v>
      </c>
      <c r="K535" t="n">
        <v>0</v>
      </c>
      <c r="L535" t="n">
        <v>0</v>
      </c>
      <c r="M535" t="n">
        <v>0</v>
      </c>
      <c r="N535" t="n">
        <v>0</v>
      </c>
      <c r="O535" t="n">
        <v>0</v>
      </c>
      <c r="P535" t="n">
        <v>0</v>
      </c>
      <c r="Q535" t="n">
        <v>0</v>
      </c>
      <c r="R535" s="2" t="inlineStr"/>
    </row>
    <row r="536" ht="15" customHeight="1">
      <c r="A536" t="inlineStr">
        <is>
          <t>A 35478-2025</t>
        </is>
      </c>
      <c r="B536" s="1" t="n">
        <v>45855.68413194444</v>
      </c>
      <c r="C536" s="1" t="n">
        <v>46105</v>
      </c>
      <c r="D536" t="inlineStr">
        <is>
          <t>STOCKHOLMS LÄN</t>
        </is>
      </c>
      <c r="E536" t="inlineStr">
        <is>
          <t>NORRTÄLJE</t>
        </is>
      </c>
      <c r="F536" t="inlineStr">
        <is>
          <t>Holmen skog AB</t>
        </is>
      </c>
      <c r="G536" t="n">
        <v>2.7</v>
      </c>
      <c r="H536" t="n">
        <v>0</v>
      </c>
      <c r="I536" t="n">
        <v>0</v>
      </c>
      <c r="J536" t="n">
        <v>0</v>
      </c>
      <c r="K536" t="n">
        <v>0</v>
      </c>
      <c r="L536" t="n">
        <v>0</v>
      </c>
      <c r="M536" t="n">
        <v>0</v>
      </c>
      <c r="N536" t="n">
        <v>0</v>
      </c>
      <c r="O536" t="n">
        <v>0</v>
      </c>
      <c r="P536" t="n">
        <v>0</v>
      </c>
      <c r="Q536" t="n">
        <v>0</v>
      </c>
      <c r="R536" s="2" t="inlineStr"/>
    </row>
    <row r="537" ht="15" customHeight="1">
      <c r="A537" t="inlineStr">
        <is>
          <t>A 7582-2026</t>
        </is>
      </c>
      <c r="B537" s="1" t="n">
        <v>46061</v>
      </c>
      <c r="C537" s="1" t="n">
        <v>46105</v>
      </c>
      <c r="D537" t="inlineStr">
        <is>
          <t>STOCKHOLMS LÄN</t>
        </is>
      </c>
      <c r="E537" t="inlineStr">
        <is>
          <t>NORRTÄLJE</t>
        </is>
      </c>
      <c r="G537" t="n">
        <v>1.3</v>
      </c>
      <c r="H537" t="n">
        <v>0</v>
      </c>
      <c r="I537" t="n">
        <v>0</v>
      </c>
      <c r="J537" t="n">
        <v>0</v>
      </c>
      <c r="K537" t="n">
        <v>0</v>
      </c>
      <c r="L537" t="n">
        <v>0</v>
      </c>
      <c r="M537" t="n">
        <v>0</v>
      </c>
      <c r="N537" t="n">
        <v>0</v>
      </c>
      <c r="O537" t="n">
        <v>0</v>
      </c>
      <c r="P537" t="n">
        <v>0</v>
      </c>
      <c r="Q537" t="n">
        <v>0</v>
      </c>
      <c r="R537" s="2" t="inlineStr"/>
    </row>
    <row r="538" ht="15" customHeight="1">
      <c r="A538" t="inlineStr">
        <is>
          <t>A 7793-2026</t>
        </is>
      </c>
      <c r="B538" s="1" t="n">
        <v>46062.59496527778</v>
      </c>
      <c r="C538" s="1" t="n">
        <v>46105</v>
      </c>
      <c r="D538" t="inlineStr">
        <is>
          <t>STOCKHOLMS LÄN</t>
        </is>
      </c>
      <c r="E538" t="inlineStr">
        <is>
          <t>NORRTÄLJE</t>
        </is>
      </c>
      <c r="F538" t="inlineStr">
        <is>
          <t>Holmen skog AB</t>
        </is>
      </c>
      <c r="G538" t="n">
        <v>3.8</v>
      </c>
      <c r="H538" t="n">
        <v>0</v>
      </c>
      <c r="I538" t="n">
        <v>0</v>
      </c>
      <c r="J538" t="n">
        <v>0</v>
      </c>
      <c r="K538" t="n">
        <v>0</v>
      </c>
      <c r="L538" t="n">
        <v>0</v>
      </c>
      <c r="M538" t="n">
        <v>0</v>
      </c>
      <c r="N538" t="n">
        <v>0</v>
      </c>
      <c r="O538" t="n">
        <v>0</v>
      </c>
      <c r="P538" t="n">
        <v>0</v>
      </c>
      <c r="Q538" t="n">
        <v>0</v>
      </c>
      <c r="R538" s="2" t="inlineStr"/>
    </row>
    <row r="539" ht="15" customHeight="1">
      <c r="A539" t="inlineStr">
        <is>
          <t>A 46415-2025</t>
        </is>
      </c>
      <c r="B539" s="1" t="n">
        <v>45925.58636574074</v>
      </c>
      <c r="C539" s="1" t="n">
        <v>46105</v>
      </c>
      <c r="D539" t="inlineStr">
        <is>
          <t>STOCKHOLMS LÄN</t>
        </is>
      </c>
      <c r="E539" t="inlineStr">
        <is>
          <t>NORRTÄLJE</t>
        </is>
      </c>
      <c r="G539" t="n">
        <v>3.8</v>
      </c>
      <c r="H539" t="n">
        <v>0</v>
      </c>
      <c r="I539" t="n">
        <v>0</v>
      </c>
      <c r="J539" t="n">
        <v>0</v>
      </c>
      <c r="K539" t="n">
        <v>0</v>
      </c>
      <c r="L539" t="n">
        <v>0</v>
      </c>
      <c r="M539" t="n">
        <v>0</v>
      </c>
      <c r="N539" t="n">
        <v>0</v>
      </c>
      <c r="O539" t="n">
        <v>0</v>
      </c>
      <c r="P539" t="n">
        <v>0</v>
      </c>
      <c r="Q539" t="n">
        <v>0</v>
      </c>
      <c r="R539" s="2" t="inlineStr"/>
    </row>
    <row r="540" ht="15" customHeight="1">
      <c r="A540" t="inlineStr">
        <is>
          <t>A 47460-2025</t>
        </is>
      </c>
      <c r="B540" s="1" t="n">
        <v>45930.66012731481</v>
      </c>
      <c r="C540" s="1" t="n">
        <v>46105</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20698-2025</t>
        </is>
      </c>
      <c r="B541" s="1" t="n">
        <v>45776.47122685185</v>
      </c>
      <c r="C541" s="1" t="n">
        <v>46105</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4581-2025</t>
        </is>
      </c>
      <c r="B542" s="1" t="n">
        <v>45687</v>
      </c>
      <c r="C542" s="1" t="n">
        <v>46105</v>
      </c>
      <c r="D542" t="inlineStr">
        <is>
          <t>STOCKHOLMS LÄN</t>
        </is>
      </c>
      <c r="E542" t="inlineStr">
        <is>
          <t>NORRTÄLJE</t>
        </is>
      </c>
      <c r="F542" t="inlineStr">
        <is>
          <t>Holmen skog AB</t>
        </is>
      </c>
      <c r="G542" t="n">
        <v>2.8</v>
      </c>
      <c r="H542" t="n">
        <v>0</v>
      </c>
      <c r="I542" t="n">
        <v>0</v>
      </c>
      <c r="J542" t="n">
        <v>0</v>
      </c>
      <c r="K542" t="n">
        <v>0</v>
      </c>
      <c r="L542" t="n">
        <v>0</v>
      </c>
      <c r="M542" t="n">
        <v>0</v>
      </c>
      <c r="N542" t="n">
        <v>0</v>
      </c>
      <c r="O542" t="n">
        <v>0</v>
      </c>
      <c r="P542" t="n">
        <v>0</v>
      </c>
      <c r="Q542" t="n">
        <v>0</v>
      </c>
      <c r="R542" s="2" t="inlineStr"/>
    </row>
    <row r="543" ht="15" customHeight="1">
      <c r="A543" t="inlineStr">
        <is>
          <t>A 46900-2025</t>
        </is>
      </c>
      <c r="B543" s="1" t="n">
        <v>45929.38712962963</v>
      </c>
      <c r="C543" s="1" t="n">
        <v>46105</v>
      </c>
      <c r="D543" t="inlineStr">
        <is>
          <t>STOCKHOLMS LÄN</t>
        </is>
      </c>
      <c r="E543" t="inlineStr">
        <is>
          <t>NORRTÄLJE</t>
        </is>
      </c>
      <c r="F543" t="inlineStr">
        <is>
          <t>Holmen skog AB</t>
        </is>
      </c>
      <c r="G543" t="n">
        <v>6.2</v>
      </c>
      <c r="H543" t="n">
        <v>0</v>
      </c>
      <c r="I543" t="n">
        <v>0</v>
      </c>
      <c r="J543" t="n">
        <v>0</v>
      </c>
      <c r="K543" t="n">
        <v>0</v>
      </c>
      <c r="L543" t="n">
        <v>0</v>
      </c>
      <c r="M543" t="n">
        <v>0</v>
      </c>
      <c r="N543" t="n">
        <v>0</v>
      </c>
      <c r="O543" t="n">
        <v>0</v>
      </c>
      <c r="P543" t="n">
        <v>0</v>
      </c>
      <c r="Q543" t="n">
        <v>0</v>
      </c>
      <c r="R543" s="2" t="inlineStr"/>
    </row>
    <row r="544" ht="15" customHeight="1">
      <c r="A544" t="inlineStr">
        <is>
          <t>A 36396-2025</t>
        </is>
      </c>
      <c r="B544" s="1" t="n">
        <v>45868.62267361111</v>
      </c>
      <c r="C544" s="1" t="n">
        <v>46105</v>
      </c>
      <c r="D544" t="inlineStr">
        <is>
          <t>STOCKHOLMS LÄN</t>
        </is>
      </c>
      <c r="E544" t="inlineStr">
        <is>
          <t>NORRTÄLJE</t>
        </is>
      </c>
      <c r="G544" t="n">
        <v>4.1</v>
      </c>
      <c r="H544" t="n">
        <v>0</v>
      </c>
      <c r="I544" t="n">
        <v>0</v>
      </c>
      <c r="J544" t="n">
        <v>0</v>
      </c>
      <c r="K544" t="n">
        <v>0</v>
      </c>
      <c r="L544" t="n">
        <v>0</v>
      </c>
      <c r="M544" t="n">
        <v>0</v>
      </c>
      <c r="N544" t="n">
        <v>0</v>
      </c>
      <c r="O544" t="n">
        <v>0</v>
      </c>
      <c r="P544" t="n">
        <v>0</v>
      </c>
      <c r="Q544" t="n">
        <v>0</v>
      </c>
      <c r="R544" s="2" t="inlineStr"/>
    </row>
    <row r="545" ht="15" customHeight="1">
      <c r="A545" t="inlineStr">
        <is>
          <t>A 22232-2024</t>
        </is>
      </c>
      <c r="B545" s="1" t="n">
        <v>45446.4287962963</v>
      </c>
      <c r="C545" s="1" t="n">
        <v>46105</v>
      </c>
      <c r="D545" t="inlineStr">
        <is>
          <t>STOCKHOLMS LÄN</t>
        </is>
      </c>
      <c r="E545" t="inlineStr">
        <is>
          <t>NORRTÄLJE</t>
        </is>
      </c>
      <c r="G545" t="n">
        <v>12.8</v>
      </c>
      <c r="H545" t="n">
        <v>0</v>
      </c>
      <c r="I545" t="n">
        <v>0</v>
      </c>
      <c r="J545" t="n">
        <v>0</v>
      </c>
      <c r="K545" t="n">
        <v>0</v>
      </c>
      <c r="L545" t="n">
        <v>0</v>
      </c>
      <c r="M545" t="n">
        <v>0</v>
      </c>
      <c r="N545" t="n">
        <v>0</v>
      </c>
      <c r="O545" t="n">
        <v>0</v>
      </c>
      <c r="P545" t="n">
        <v>0</v>
      </c>
      <c r="Q545" t="n">
        <v>0</v>
      </c>
      <c r="R545" s="2" t="inlineStr"/>
    </row>
    <row r="546" ht="15" customHeight="1">
      <c r="A546" t="inlineStr">
        <is>
          <t>A 34444-2024</t>
        </is>
      </c>
      <c r="B546" s="1" t="n">
        <v>45525</v>
      </c>
      <c r="C546" s="1" t="n">
        <v>46105</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47498-2025</t>
        </is>
      </c>
      <c r="B547" s="1" t="n">
        <v>45930.8134375</v>
      </c>
      <c r="C547" s="1" t="n">
        <v>46105</v>
      </c>
      <c r="D547" t="inlineStr">
        <is>
          <t>STOCKHOLMS LÄN</t>
        </is>
      </c>
      <c r="E547" t="inlineStr">
        <is>
          <t>NORRTÄLJE</t>
        </is>
      </c>
      <c r="F547" t="inlineStr">
        <is>
          <t>Holmen skog AB</t>
        </is>
      </c>
      <c r="G547" t="n">
        <v>1.7</v>
      </c>
      <c r="H547" t="n">
        <v>0</v>
      </c>
      <c r="I547" t="n">
        <v>0</v>
      </c>
      <c r="J547" t="n">
        <v>0</v>
      </c>
      <c r="K547" t="n">
        <v>0</v>
      </c>
      <c r="L547" t="n">
        <v>0</v>
      </c>
      <c r="M547" t="n">
        <v>0</v>
      </c>
      <c r="N547" t="n">
        <v>0</v>
      </c>
      <c r="O547" t="n">
        <v>0</v>
      </c>
      <c r="P547" t="n">
        <v>0</v>
      </c>
      <c r="Q547" t="n">
        <v>0</v>
      </c>
      <c r="R547" s="2" t="inlineStr"/>
    </row>
    <row r="548" ht="15" customHeight="1">
      <c r="A548" t="inlineStr">
        <is>
          <t>A 36157-2024</t>
        </is>
      </c>
      <c r="B548" s="1" t="n">
        <v>45534.38240740741</v>
      </c>
      <c r="C548" s="1" t="n">
        <v>46105</v>
      </c>
      <c r="D548" t="inlineStr">
        <is>
          <t>STOCKHOLMS LÄN</t>
        </is>
      </c>
      <c r="E548" t="inlineStr">
        <is>
          <t>NORRTÄLJE</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62398-2022</t>
        </is>
      </c>
      <c r="B549" s="1" t="n">
        <v>44923.90159722222</v>
      </c>
      <c r="C549" s="1" t="n">
        <v>46105</v>
      </c>
      <c r="D549" t="inlineStr">
        <is>
          <t>STOCKHOLMS LÄN</t>
        </is>
      </c>
      <c r="E549" t="inlineStr">
        <is>
          <t>NORRTÄLJE</t>
        </is>
      </c>
      <c r="G549" t="n">
        <v>4</v>
      </c>
      <c r="H549" t="n">
        <v>0</v>
      </c>
      <c r="I549" t="n">
        <v>0</v>
      </c>
      <c r="J549" t="n">
        <v>0</v>
      </c>
      <c r="K549" t="n">
        <v>0</v>
      </c>
      <c r="L549" t="n">
        <v>0</v>
      </c>
      <c r="M549" t="n">
        <v>0</v>
      </c>
      <c r="N549" t="n">
        <v>0</v>
      </c>
      <c r="O549" t="n">
        <v>0</v>
      </c>
      <c r="P549" t="n">
        <v>0</v>
      </c>
      <c r="Q549" t="n">
        <v>0</v>
      </c>
      <c r="R549" s="2" t="inlineStr"/>
    </row>
    <row r="550" ht="15" customHeight="1">
      <c r="A550" t="inlineStr">
        <is>
          <t>A 47496-2025</t>
        </is>
      </c>
      <c r="B550" s="1" t="n">
        <v>45930.79252314815</v>
      </c>
      <c r="C550" s="1" t="n">
        <v>46105</v>
      </c>
      <c r="D550" t="inlineStr">
        <is>
          <t>STOCKHOLMS LÄN</t>
        </is>
      </c>
      <c r="E550" t="inlineStr">
        <is>
          <t>NORRTÄLJE</t>
        </is>
      </c>
      <c r="F550" t="inlineStr">
        <is>
          <t>Holmen skog AB</t>
        </is>
      </c>
      <c r="G550" t="n">
        <v>0.9</v>
      </c>
      <c r="H550" t="n">
        <v>0</v>
      </c>
      <c r="I550" t="n">
        <v>0</v>
      </c>
      <c r="J550" t="n">
        <v>0</v>
      </c>
      <c r="K550" t="n">
        <v>0</v>
      </c>
      <c r="L550" t="n">
        <v>0</v>
      </c>
      <c r="M550" t="n">
        <v>0</v>
      </c>
      <c r="N550" t="n">
        <v>0</v>
      </c>
      <c r="O550" t="n">
        <v>0</v>
      </c>
      <c r="P550" t="n">
        <v>0</v>
      </c>
      <c r="Q550" t="n">
        <v>0</v>
      </c>
      <c r="R550" s="2" t="inlineStr"/>
    </row>
    <row r="551" ht="15" customHeight="1">
      <c r="A551" t="inlineStr">
        <is>
          <t>A 47497-2025</t>
        </is>
      </c>
      <c r="B551" s="1" t="n">
        <v>45930.80217592593</v>
      </c>
      <c r="C551" s="1" t="n">
        <v>46105</v>
      </c>
      <c r="D551" t="inlineStr">
        <is>
          <t>STOCKHOLMS LÄN</t>
        </is>
      </c>
      <c r="E551" t="inlineStr">
        <is>
          <t>NORRTÄLJE</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17039-2024</t>
        </is>
      </c>
      <c r="B552" s="1" t="n">
        <v>45412.4104050926</v>
      </c>
      <c r="C552" s="1" t="n">
        <v>46105</v>
      </c>
      <c r="D552" t="inlineStr">
        <is>
          <t>STOCKHOLMS LÄN</t>
        </is>
      </c>
      <c r="E552" t="inlineStr">
        <is>
          <t>NORRTÄLJE</t>
        </is>
      </c>
      <c r="G552" t="n">
        <v>5.9</v>
      </c>
      <c r="H552" t="n">
        <v>0</v>
      </c>
      <c r="I552" t="n">
        <v>0</v>
      </c>
      <c r="J552" t="n">
        <v>0</v>
      </c>
      <c r="K552" t="n">
        <v>0</v>
      </c>
      <c r="L552" t="n">
        <v>0</v>
      </c>
      <c r="M552" t="n">
        <v>0</v>
      </c>
      <c r="N552" t="n">
        <v>0</v>
      </c>
      <c r="O552" t="n">
        <v>0</v>
      </c>
      <c r="P552" t="n">
        <v>0</v>
      </c>
      <c r="Q552" t="n">
        <v>0</v>
      </c>
      <c r="R552" s="2" t="inlineStr"/>
    </row>
    <row r="553" ht="15" customHeight="1">
      <c r="A553" t="inlineStr">
        <is>
          <t>A 3509-2022</t>
        </is>
      </c>
      <c r="B553" s="1" t="n">
        <v>44585</v>
      </c>
      <c r="C553" s="1" t="n">
        <v>46105</v>
      </c>
      <c r="D553" t="inlineStr">
        <is>
          <t>STOCKHOLMS LÄN</t>
        </is>
      </c>
      <c r="E553" t="inlineStr">
        <is>
          <t>NORRTÄLJE</t>
        </is>
      </c>
      <c r="F553" t="inlineStr">
        <is>
          <t>Kommuner</t>
        </is>
      </c>
      <c r="G553" t="n">
        <v>0.8</v>
      </c>
      <c r="H553" t="n">
        <v>0</v>
      </c>
      <c r="I553" t="n">
        <v>0</v>
      </c>
      <c r="J553" t="n">
        <v>0</v>
      </c>
      <c r="K553" t="n">
        <v>0</v>
      </c>
      <c r="L553" t="n">
        <v>0</v>
      </c>
      <c r="M553" t="n">
        <v>0</v>
      </c>
      <c r="N553" t="n">
        <v>0</v>
      </c>
      <c r="O553" t="n">
        <v>0</v>
      </c>
      <c r="P553" t="n">
        <v>0</v>
      </c>
      <c r="Q553" t="n">
        <v>0</v>
      </c>
      <c r="R553" s="2" t="inlineStr"/>
    </row>
    <row r="554" ht="15" customHeight="1">
      <c r="A554" t="inlineStr">
        <is>
          <t>A 48718-2025</t>
        </is>
      </c>
      <c r="B554" s="1" t="n">
        <v>45936</v>
      </c>
      <c r="C554" s="1" t="n">
        <v>46105</v>
      </c>
      <c r="D554" t="inlineStr">
        <is>
          <t>STOCKHOLMS LÄN</t>
        </is>
      </c>
      <c r="E554" t="inlineStr">
        <is>
          <t>NORRTÄLJE</t>
        </is>
      </c>
      <c r="G554" t="n">
        <v>2.1</v>
      </c>
      <c r="H554" t="n">
        <v>0</v>
      </c>
      <c r="I554" t="n">
        <v>0</v>
      </c>
      <c r="J554" t="n">
        <v>0</v>
      </c>
      <c r="K554" t="n">
        <v>0</v>
      </c>
      <c r="L554" t="n">
        <v>0</v>
      </c>
      <c r="M554" t="n">
        <v>0</v>
      </c>
      <c r="N554" t="n">
        <v>0</v>
      </c>
      <c r="O554" t="n">
        <v>0</v>
      </c>
      <c r="P554" t="n">
        <v>0</v>
      </c>
      <c r="Q554" t="n">
        <v>0</v>
      </c>
      <c r="R554" s="2" t="inlineStr"/>
    </row>
    <row r="555" ht="15" customHeight="1">
      <c r="A555" t="inlineStr">
        <is>
          <t>A 48360-2025</t>
        </is>
      </c>
      <c r="B555" s="1" t="n">
        <v>45933.66253472222</v>
      </c>
      <c r="C555" s="1" t="n">
        <v>46105</v>
      </c>
      <c r="D555" t="inlineStr">
        <is>
          <t>STOCKHOLMS LÄN</t>
        </is>
      </c>
      <c r="E555" t="inlineStr">
        <is>
          <t>NORRTÄLJE</t>
        </is>
      </c>
      <c r="G555" t="n">
        <v>4.1</v>
      </c>
      <c r="H555" t="n">
        <v>0</v>
      </c>
      <c r="I555" t="n">
        <v>0</v>
      </c>
      <c r="J555" t="n">
        <v>0</v>
      </c>
      <c r="K555" t="n">
        <v>0</v>
      </c>
      <c r="L555" t="n">
        <v>0</v>
      </c>
      <c r="M555" t="n">
        <v>0</v>
      </c>
      <c r="N555" t="n">
        <v>0</v>
      </c>
      <c r="O555" t="n">
        <v>0</v>
      </c>
      <c r="P555" t="n">
        <v>0</v>
      </c>
      <c r="Q555" t="n">
        <v>0</v>
      </c>
      <c r="R555" s="2" t="inlineStr"/>
    </row>
    <row r="556" ht="15" customHeight="1">
      <c r="A556" t="inlineStr">
        <is>
          <t>A 48370-2025</t>
        </is>
      </c>
      <c r="B556" s="1" t="n">
        <v>45933.67854166667</v>
      </c>
      <c r="C556" s="1" t="n">
        <v>46105</v>
      </c>
      <c r="D556" t="inlineStr">
        <is>
          <t>STOCKHOLMS LÄN</t>
        </is>
      </c>
      <c r="E556" t="inlineStr">
        <is>
          <t>NORRTÄLJE</t>
        </is>
      </c>
      <c r="G556" t="n">
        <v>4.5</v>
      </c>
      <c r="H556" t="n">
        <v>0</v>
      </c>
      <c r="I556" t="n">
        <v>0</v>
      </c>
      <c r="J556" t="n">
        <v>0</v>
      </c>
      <c r="K556" t="n">
        <v>0</v>
      </c>
      <c r="L556" t="n">
        <v>0</v>
      </c>
      <c r="M556" t="n">
        <v>0</v>
      </c>
      <c r="N556" t="n">
        <v>0</v>
      </c>
      <c r="O556" t="n">
        <v>0</v>
      </c>
      <c r="P556" t="n">
        <v>0</v>
      </c>
      <c r="Q556" t="n">
        <v>0</v>
      </c>
      <c r="R556" s="2" t="inlineStr"/>
    </row>
    <row r="557" ht="15" customHeight="1">
      <c r="A557" t="inlineStr">
        <is>
          <t>A 48443-2025</t>
        </is>
      </c>
      <c r="B557" s="1" t="n">
        <v>45935.55326388889</v>
      </c>
      <c r="C557" s="1" t="n">
        <v>46105</v>
      </c>
      <c r="D557" t="inlineStr">
        <is>
          <t>STOCKHOLMS LÄN</t>
        </is>
      </c>
      <c r="E557" t="inlineStr">
        <is>
          <t>NORRTÄLJE</t>
        </is>
      </c>
      <c r="G557" t="n">
        <v>1</v>
      </c>
      <c r="H557" t="n">
        <v>0</v>
      </c>
      <c r="I557" t="n">
        <v>0</v>
      </c>
      <c r="J557" t="n">
        <v>0</v>
      </c>
      <c r="K557" t="n">
        <v>0</v>
      </c>
      <c r="L557" t="n">
        <v>0</v>
      </c>
      <c r="M557" t="n">
        <v>0</v>
      </c>
      <c r="N557" t="n">
        <v>0</v>
      </c>
      <c r="O557" t="n">
        <v>0</v>
      </c>
      <c r="P557" t="n">
        <v>0</v>
      </c>
      <c r="Q557" t="n">
        <v>0</v>
      </c>
      <c r="R557" s="2" t="inlineStr"/>
    </row>
    <row r="558" ht="15" customHeight="1">
      <c r="A558" t="inlineStr">
        <is>
          <t>A 7697-2025</t>
        </is>
      </c>
      <c r="B558" s="1" t="n">
        <v>45706.40086805556</v>
      </c>
      <c r="C558" s="1" t="n">
        <v>46105</v>
      </c>
      <c r="D558" t="inlineStr">
        <is>
          <t>STOCKHOLMS LÄN</t>
        </is>
      </c>
      <c r="E558" t="inlineStr">
        <is>
          <t>NORRTÄLJE</t>
        </is>
      </c>
      <c r="F558" t="inlineStr">
        <is>
          <t>Holmen skog AB</t>
        </is>
      </c>
      <c r="G558" t="n">
        <v>1.8</v>
      </c>
      <c r="H558" t="n">
        <v>0</v>
      </c>
      <c r="I558" t="n">
        <v>0</v>
      </c>
      <c r="J558" t="n">
        <v>0</v>
      </c>
      <c r="K558" t="n">
        <v>0</v>
      </c>
      <c r="L558" t="n">
        <v>0</v>
      </c>
      <c r="M558" t="n">
        <v>0</v>
      </c>
      <c r="N558" t="n">
        <v>0</v>
      </c>
      <c r="O558" t="n">
        <v>0</v>
      </c>
      <c r="P558" t="n">
        <v>0</v>
      </c>
      <c r="Q558" t="n">
        <v>0</v>
      </c>
      <c r="R558" s="2" t="inlineStr"/>
    </row>
    <row r="559" ht="15" customHeight="1">
      <c r="A559" t="inlineStr">
        <is>
          <t>A 48127-2025</t>
        </is>
      </c>
      <c r="B559" s="1" t="n">
        <v>45933.36621527778</v>
      </c>
      <c r="C559" s="1" t="n">
        <v>46105</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48364-2025</t>
        </is>
      </c>
      <c r="B560" s="1" t="n">
        <v>45933.66796296297</v>
      </c>
      <c r="C560" s="1" t="n">
        <v>46105</v>
      </c>
      <c r="D560" t="inlineStr">
        <is>
          <t>STOCKHOLMS LÄN</t>
        </is>
      </c>
      <c r="E560" t="inlineStr">
        <is>
          <t>NORRTÄLJE</t>
        </is>
      </c>
      <c r="G560" t="n">
        <v>0.7</v>
      </c>
      <c r="H560" t="n">
        <v>0</v>
      </c>
      <c r="I560" t="n">
        <v>0</v>
      </c>
      <c r="J560" t="n">
        <v>0</v>
      </c>
      <c r="K560" t="n">
        <v>0</v>
      </c>
      <c r="L560" t="n">
        <v>0</v>
      </c>
      <c r="M560" t="n">
        <v>0</v>
      </c>
      <c r="N560" t="n">
        <v>0</v>
      </c>
      <c r="O560" t="n">
        <v>0</v>
      </c>
      <c r="P560" t="n">
        <v>0</v>
      </c>
      <c r="Q560" t="n">
        <v>0</v>
      </c>
      <c r="R560" s="2" t="inlineStr"/>
    </row>
    <row r="561" ht="15" customHeight="1">
      <c r="A561" t="inlineStr">
        <is>
          <t>A 48179-2025</t>
        </is>
      </c>
      <c r="B561" s="1" t="n">
        <v>45933.44907407407</v>
      </c>
      <c r="C561" s="1" t="n">
        <v>46105</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39669-2024</t>
        </is>
      </c>
      <c r="B562" s="1" t="n">
        <v>45552.52827546297</v>
      </c>
      <c r="C562" s="1" t="n">
        <v>46105</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48174-2025</t>
        </is>
      </c>
      <c r="B563" s="1" t="n">
        <v>45933.44230324074</v>
      </c>
      <c r="C563" s="1" t="n">
        <v>46105</v>
      </c>
      <c r="D563" t="inlineStr">
        <is>
          <t>STOCKHOLMS LÄN</t>
        </is>
      </c>
      <c r="E563" t="inlineStr">
        <is>
          <t>NORRTÄLJE</t>
        </is>
      </c>
      <c r="G563" t="n">
        <v>2.6</v>
      </c>
      <c r="H563" t="n">
        <v>0</v>
      </c>
      <c r="I563" t="n">
        <v>0</v>
      </c>
      <c r="J563" t="n">
        <v>0</v>
      </c>
      <c r="K563" t="n">
        <v>0</v>
      </c>
      <c r="L563" t="n">
        <v>0</v>
      </c>
      <c r="M563" t="n">
        <v>0</v>
      </c>
      <c r="N563" t="n">
        <v>0</v>
      </c>
      <c r="O563" t="n">
        <v>0</v>
      </c>
      <c r="P563" t="n">
        <v>0</v>
      </c>
      <c r="Q563" t="n">
        <v>0</v>
      </c>
      <c r="R563" s="2" t="inlineStr"/>
    </row>
    <row r="564" ht="15" customHeight="1">
      <c r="A564" t="inlineStr">
        <is>
          <t>A 48593-2025</t>
        </is>
      </c>
      <c r="B564" s="1" t="n">
        <v>45936.4627662037</v>
      </c>
      <c r="C564" s="1" t="n">
        <v>46105</v>
      </c>
      <c r="D564" t="inlineStr">
        <is>
          <t>STOCKHOLMS LÄN</t>
        </is>
      </c>
      <c r="E564" t="inlineStr">
        <is>
          <t>NORRTÄLJE</t>
        </is>
      </c>
      <c r="G564" t="n">
        <v>4.2</v>
      </c>
      <c r="H564" t="n">
        <v>0</v>
      </c>
      <c r="I564" t="n">
        <v>0</v>
      </c>
      <c r="J564" t="n">
        <v>0</v>
      </c>
      <c r="K564" t="n">
        <v>0</v>
      </c>
      <c r="L564" t="n">
        <v>0</v>
      </c>
      <c r="M564" t="n">
        <v>0</v>
      </c>
      <c r="N564" t="n">
        <v>0</v>
      </c>
      <c r="O564" t="n">
        <v>0</v>
      </c>
      <c r="P564" t="n">
        <v>0</v>
      </c>
      <c r="Q564" t="n">
        <v>0</v>
      </c>
      <c r="R564" s="2" t="inlineStr"/>
    </row>
    <row r="565" ht="15" customHeight="1">
      <c r="A565" t="inlineStr">
        <is>
          <t>A 49129-2025</t>
        </is>
      </c>
      <c r="B565" s="1" t="n">
        <v>45937.89517361111</v>
      </c>
      <c r="C565" s="1" t="n">
        <v>46105</v>
      </c>
      <c r="D565" t="inlineStr">
        <is>
          <t>STOCKHOLMS LÄN</t>
        </is>
      </c>
      <c r="E565" t="inlineStr">
        <is>
          <t>NORRTÄLJE</t>
        </is>
      </c>
      <c r="G565" t="n">
        <v>0.5</v>
      </c>
      <c r="H565" t="n">
        <v>0</v>
      </c>
      <c r="I565" t="n">
        <v>0</v>
      </c>
      <c r="J565" t="n">
        <v>0</v>
      </c>
      <c r="K565" t="n">
        <v>0</v>
      </c>
      <c r="L565" t="n">
        <v>0</v>
      </c>
      <c r="M565" t="n">
        <v>0</v>
      </c>
      <c r="N565" t="n">
        <v>0</v>
      </c>
      <c r="O565" t="n">
        <v>0</v>
      </c>
      <c r="P565" t="n">
        <v>0</v>
      </c>
      <c r="Q565" t="n">
        <v>0</v>
      </c>
      <c r="R565" s="2" t="inlineStr"/>
    </row>
    <row r="566" ht="15" customHeight="1">
      <c r="A566" t="inlineStr">
        <is>
          <t>A 37261-2025</t>
        </is>
      </c>
      <c r="B566" s="1" t="n">
        <v>45876.45253472222</v>
      </c>
      <c r="C566" s="1" t="n">
        <v>46105</v>
      </c>
      <c r="D566" t="inlineStr">
        <is>
          <t>STOCKHOLMS LÄN</t>
        </is>
      </c>
      <c r="E566" t="inlineStr">
        <is>
          <t>NORRTÄLJE</t>
        </is>
      </c>
      <c r="F566" t="inlineStr">
        <is>
          <t>Kommuner</t>
        </is>
      </c>
      <c r="G566" t="n">
        <v>2.2</v>
      </c>
      <c r="H566" t="n">
        <v>0</v>
      </c>
      <c r="I566" t="n">
        <v>0</v>
      </c>
      <c r="J566" t="n">
        <v>0</v>
      </c>
      <c r="K566" t="n">
        <v>0</v>
      </c>
      <c r="L566" t="n">
        <v>0</v>
      </c>
      <c r="M566" t="n">
        <v>0</v>
      </c>
      <c r="N566" t="n">
        <v>0</v>
      </c>
      <c r="O566" t="n">
        <v>0</v>
      </c>
      <c r="P566" t="n">
        <v>0</v>
      </c>
      <c r="Q566" t="n">
        <v>0</v>
      </c>
      <c r="R566" s="2" t="inlineStr"/>
    </row>
    <row r="567" ht="15" customHeight="1">
      <c r="A567" t="inlineStr">
        <is>
          <t>A 2982-2023</t>
        </is>
      </c>
      <c r="B567" s="1" t="n">
        <v>44945.67409722223</v>
      </c>
      <c r="C567" s="1" t="n">
        <v>46105</v>
      </c>
      <c r="D567" t="inlineStr">
        <is>
          <t>STOCKHOLMS LÄN</t>
        </is>
      </c>
      <c r="E567" t="inlineStr">
        <is>
          <t>NORRTÄLJE</t>
        </is>
      </c>
      <c r="G567" t="n">
        <v>3.3</v>
      </c>
      <c r="H567" t="n">
        <v>0</v>
      </c>
      <c r="I567" t="n">
        <v>0</v>
      </c>
      <c r="J567" t="n">
        <v>0</v>
      </c>
      <c r="K567" t="n">
        <v>0</v>
      </c>
      <c r="L567" t="n">
        <v>0</v>
      </c>
      <c r="M567" t="n">
        <v>0</v>
      </c>
      <c r="N567" t="n">
        <v>0</v>
      </c>
      <c r="O567" t="n">
        <v>0</v>
      </c>
      <c r="P567" t="n">
        <v>0</v>
      </c>
      <c r="Q567" t="n">
        <v>0</v>
      </c>
      <c r="R567" s="2" t="inlineStr"/>
    </row>
    <row r="568" ht="15" customHeight="1">
      <c r="A568" t="inlineStr">
        <is>
          <t>A 48780-2025</t>
        </is>
      </c>
      <c r="B568" s="1" t="n">
        <v>45937.30377314815</v>
      </c>
      <c r="C568" s="1" t="n">
        <v>46105</v>
      </c>
      <c r="D568" t="inlineStr">
        <is>
          <t>STOCKHOLMS LÄN</t>
        </is>
      </c>
      <c r="E568" t="inlineStr">
        <is>
          <t>NORRTÄLJE</t>
        </is>
      </c>
      <c r="G568" t="n">
        <v>7.7</v>
      </c>
      <c r="H568" t="n">
        <v>0</v>
      </c>
      <c r="I568" t="n">
        <v>0</v>
      </c>
      <c r="J568" t="n">
        <v>0</v>
      </c>
      <c r="K568" t="n">
        <v>0</v>
      </c>
      <c r="L568" t="n">
        <v>0</v>
      </c>
      <c r="M568" t="n">
        <v>0</v>
      </c>
      <c r="N568" t="n">
        <v>0</v>
      </c>
      <c r="O568" t="n">
        <v>0</v>
      </c>
      <c r="P568" t="n">
        <v>0</v>
      </c>
      <c r="Q568" t="n">
        <v>0</v>
      </c>
      <c r="R568" s="2" t="inlineStr"/>
    </row>
    <row r="569" ht="15" customHeight="1">
      <c r="A569" t="inlineStr">
        <is>
          <t>A 20692-2025</t>
        </is>
      </c>
      <c r="B569" s="1" t="n">
        <v>45776.46369212963</v>
      </c>
      <c r="C569" s="1" t="n">
        <v>46105</v>
      </c>
      <c r="D569" t="inlineStr">
        <is>
          <t>STOCKHOLMS LÄN</t>
        </is>
      </c>
      <c r="E569" t="inlineStr">
        <is>
          <t>NORRTÄLJE</t>
        </is>
      </c>
      <c r="G569" t="n">
        <v>2.1</v>
      </c>
      <c r="H569" t="n">
        <v>0</v>
      </c>
      <c r="I569" t="n">
        <v>0</v>
      </c>
      <c r="J569" t="n">
        <v>0</v>
      </c>
      <c r="K569" t="n">
        <v>0</v>
      </c>
      <c r="L569" t="n">
        <v>0</v>
      </c>
      <c r="M569" t="n">
        <v>0</v>
      </c>
      <c r="N569" t="n">
        <v>0</v>
      </c>
      <c r="O569" t="n">
        <v>0</v>
      </c>
      <c r="P569" t="n">
        <v>0</v>
      </c>
      <c r="Q569" t="n">
        <v>0</v>
      </c>
      <c r="R569" s="2" t="inlineStr"/>
    </row>
    <row r="570" ht="15" customHeight="1">
      <c r="A570" t="inlineStr">
        <is>
          <t>A 1448-2023</t>
        </is>
      </c>
      <c r="B570" s="1" t="n">
        <v>44937</v>
      </c>
      <c r="C570" s="1" t="n">
        <v>46105</v>
      </c>
      <c r="D570" t="inlineStr">
        <is>
          <t>STOCKHOLMS LÄN</t>
        </is>
      </c>
      <c r="E570" t="inlineStr">
        <is>
          <t>NORRTÄLJE</t>
        </is>
      </c>
      <c r="G570" t="n">
        <v>1.9</v>
      </c>
      <c r="H570" t="n">
        <v>0</v>
      </c>
      <c r="I570" t="n">
        <v>0</v>
      </c>
      <c r="J570" t="n">
        <v>0</v>
      </c>
      <c r="K570" t="n">
        <v>0</v>
      </c>
      <c r="L570" t="n">
        <v>0</v>
      </c>
      <c r="M570" t="n">
        <v>0</v>
      </c>
      <c r="N570" t="n">
        <v>0</v>
      </c>
      <c r="O570" t="n">
        <v>0</v>
      </c>
      <c r="P570" t="n">
        <v>0</v>
      </c>
      <c r="Q570" t="n">
        <v>0</v>
      </c>
      <c r="R570" s="2" t="inlineStr"/>
    </row>
    <row r="571" ht="15" customHeight="1">
      <c r="A571" t="inlineStr">
        <is>
          <t>A 46071-2024</t>
        </is>
      </c>
      <c r="B571" s="1" t="n">
        <v>45581</v>
      </c>
      <c r="C571" s="1" t="n">
        <v>46105</v>
      </c>
      <c r="D571" t="inlineStr">
        <is>
          <t>STOCKHOLMS LÄN</t>
        </is>
      </c>
      <c r="E571" t="inlineStr">
        <is>
          <t>NORRTÄLJE</t>
        </is>
      </c>
      <c r="G571" t="n">
        <v>2.3</v>
      </c>
      <c r="H571" t="n">
        <v>0</v>
      </c>
      <c r="I571" t="n">
        <v>0</v>
      </c>
      <c r="J571" t="n">
        <v>0</v>
      </c>
      <c r="K571" t="n">
        <v>0</v>
      </c>
      <c r="L571" t="n">
        <v>0</v>
      </c>
      <c r="M571" t="n">
        <v>0</v>
      </c>
      <c r="N571" t="n">
        <v>0</v>
      </c>
      <c r="O571" t="n">
        <v>0</v>
      </c>
      <c r="P571" t="n">
        <v>0</v>
      </c>
      <c r="Q571" t="n">
        <v>0</v>
      </c>
      <c r="R571" s="2" t="inlineStr"/>
    </row>
    <row r="572" ht="15" customHeight="1">
      <c r="A572" t="inlineStr">
        <is>
          <t>A 35127-2023</t>
        </is>
      </c>
      <c r="B572" s="1" t="n">
        <v>45145.51</v>
      </c>
      <c r="C572" s="1" t="n">
        <v>46105</v>
      </c>
      <c r="D572" t="inlineStr">
        <is>
          <t>STOCKHOLMS LÄN</t>
        </is>
      </c>
      <c r="E572" t="inlineStr">
        <is>
          <t>NORRTÄLJE</t>
        </is>
      </c>
      <c r="G572" t="n">
        <v>4.7</v>
      </c>
      <c r="H572" t="n">
        <v>0</v>
      </c>
      <c r="I572" t="n">
        <v>0</v>
      </c>
      <c r="J572" t="n">
        <v>0</v>
      </c>
      <c r="K572" t="n">
        <v>0</v>
      </c>
      <c r="L572" t="n">
        <v>0</v>
      </c>
      <c r="M572" t="n">
        <v>0</v>
      </c>
      <c r="N572" t="n">
        <v>0</v>
      </c>
      <c r="O572" t="n">
        <v>0</v>
      </c>
      <c r="P572" t="n">
        <v>0</v>
      </c>
      <c r="Q572" t="n">
        <v>0</v>
      </c>
      <c r="R572" s="2" t="inlineStr"/>
    </row>
    <row r="573" ht="15" customHeight="1">
      <c r="A573" t="inlineStr">
        <is>
          <t>A 29369-2024</t>
        </is>
      </c>
      <c r="B573" s="1" t="n">
        <v>45483.57244212963</v>
      </c>
      <c r="C573" s="1" t="n">
        <v>46105</v>
      </c>
      <c r="D573" t="inlineStr">
        <is>
          <t>STOCKHOLMS LÄN</t>
        </is>
      </c>
      <c r="E573" t="inlineStr">
        <is>
          <t>NORRTÄLJE</t>
        </is>
      </c>
      <c r="G573" t="n">
        <v>15.9</v>
      </c>
      <c r="H573" t="n">
        <v>0</v>
      </c>
      <c r="I573" t="n">
        <v>0</v>
      </c>
      <c r="J573" t="n">
        <v>0</v>
      </c>
      <c r="K573" t="n">
        <v>0</v>
      </c>
      <c r="L573" t="n">
        <v>0</v>
      </c>
      <c r="M573" t="n">
        <v>0</v>
      </c>
      <c r="N573" t="n">
        <v>0</v>
      </c>
      <c r="O573" t="n">
        <v>0</v>
      </c>
      <c r="P573" t="n">
        <v>0</v>
      </c>
      <c r="Q573" t="n">
        <v>0</v>
      </c>
      <c r="R573" s="2" t="inlineStr"/>
    </row>
    <row r="574" ht="15" customHeight="1">
      <c r="A574" t="inlineStr">
        <is>
          <t>A 37630-2025</t>
        </is>
      </c>
      <c r="B574" s="1" t="n">
        <v>45880.46372685185</v>
      </c>
      <c r="C574" s="1" t="n">
        <v>46105</v>
      </c>
      <c r="D574" t="inlineStr">
        <is>
          <t>STOCKHOLMS LÄN</t>
        </is>
      </c>
      <c r="E574" t="inlineStr">
        <is>
          <t>NORRTÄLJE</t>
        </is>
      </c>
      <c r="F574" t="inlineStr">
        <is>
          <t>Sveaskog</t>
        </is>
      </c>
      <c r="G574" t="n">
        <v>12.9</v>
      </c>
      <c r="H574" t="n">
        <v>0</v>
      </c>
      <c r="I574" t="n">
        <v>0</v>
      </c>
      <c r="J574" t="n">
        <v>0</v>
      </c>
      <c r="K574" t="n">
        <v>0</v>
      </c>
      <c r="L574" t="n">
        <v>0</v>
      </c>
      <c r="M574" t="n">
        <v>0</v>
      </c>
      <c r="N574" t="n">
        <v>0</v>
      </c>
      <c r="O574" t="n">
        <v>0</v>
      </c>
      <c r="P574" t="n">
        <v>0</v>
      </c>
      <c r="Q574" t="n">
        <v>0</v>
      </c>
      <c r="R574" s="2" t="inlineStr"/>
    </row>
    <row r="575" ht="15" customHeight="1">
      <c r="A575" t="inlineStr">
        <is>
          <t>A 37632-2025</t>
        </is>
      </c>
      <c r="B575" s="1" t="n">
        <v>45880.46524305556</v>
      </c>
      <c r="C575" s="1" t="n">
        <v>46105</v>
      </c>
      <c r="D575" t="inlineStr">
        <is>
          <t>STOCKHOLMS LÄN</t>
        </is>
      </c>
      <c r="E575" t="inlineStr">
        <is>
          <t>NORRTÄLJE</t>
        </is>
      </c>
      <c r="F575" t="inlineStr">
        <is>
          <t>Sveaskog</t>
        </is>
      </c>
      <c r="G575" t="n">
        <v>6.4</v>
      </c>
      <c r="H575" t="n">
        <v>0</v>
      </c>
      <c r="I575" t="n">
        <v>0</v>
      </c>
      <c r="J575" t="n">
        <v>0</v>
      </c>
      <c r="K575" t="n">
        <v>0</v>
      </c>
      <c r="L575" t="n">
        <v>0</v>
      </c>
      <c r="M575" t="n">
        <v>0</v>
      </c>
      <c r="N575" t="n">
        <v>0</v>
      </c>
      <c r="O575" t="n">
        <v>0</v>
      </c>
      <c r="P575" t="n">
        <v>0</v>
      </c>
      <c r="Q575" t="n">
        <v>0</v>
      </c>
      <c r="R575" s="2" t="inlineStr"/>
    </row>
    <row r="576" ht="15" customHeight="1">
      <c r="A576" t="inlineStr">
        <is>
          <t>A 29841-2024</t>
        </is>
      </c>
      <c r="B576" s="1" t="n">
        <v>45485.60261574074</v>
      </c>
      <c r="C576" s="1" t="n">
        <v>46105</v>
      </c>
      <c r="D576" t="inlineStr">
        <is>
          <t>STOCKHOLMS LÄN</t>
        </is>
      </c>
      <c r="E576" t="inlineStr">
        <is>
          <t>NORRTÄLJE</t>
        </is>
      </c>
      <c r="G576" t="n">
        <v>15.9</v>
      </c>
      <c r="H576" t="n">
        <v>0</v>
      </c>
      <c r="I576" t="n">
        <v>0</v>
      </c>
      <c r="J576" t="n">
        <v>0</v>
      </c>
      <c r="K576" t="n">
        <v>0</v>
      </c>
      <c r="L576" t="n">
        <v>0</v>
      </c>
      <c r="M576" t="n">
        <v>0</v>
      </c>
      <c r="N576" t="n">
        <v>0</v>
      </c>
      <c r="O576" t="n">
        <v>0</v>
      </c>
      <c r="P576" t="n">
        <v>0</v>
      </c>
      <c r="Q576" t="n">
        <v>0</v>
      </c>
      <c r="R576" s="2" t="inlineStr"/>
    </row>
    <row r="577" ht="15" customHeight="1">
      <c r="A577" t="inlineStr">
        <is>
          <t>A 49836-2025</t>
        </is>
      </c>
      <c r="B577" s="1" t="n">
        <v>45940.46862268518</v>
      </c>
      <c r="C577" s="1" t="n">
        <v>46105</v>
      </c>
      <c r="D577" t="inlineStr">
        <is>
          <t>STOCKHOLMS LÄN</t>
        </is>
      </c>
      <c r="E577" t="inlineStr">
        <is>
          <t>NORRTÄLJE</t>
        </is>
      </c>
      <c r="G577" t="n">
        <v>3.5</v>
      </c>
      <c r="H577" t="n">
        <v>0</v>
      </c>
      <c r="I577" t="n">
        <v>0</v>
      </c>
      <c r="J577" t="n">
        <v>0</v>
      </c>
      <c r="K577" t="n">
        <v>0</v>
      </c>
      <c r="L577" t="n">
        <v>0</v>
      </c>
      <c r="M577" t="n">
        <v>0</v>
      </c>
      <c r="N577" t="n">
        <v>0</v>
      </c>
      <c r="O577" t="n">
        <v>0</v>
      </c>
      <c r="P577" t="n">
        <v>0</v>
      </c>
      <c r="Q577" t="n">
        <v>0</v>
      </c>
      <c r="R577" s="2" t="inlineStr"/>
    </row>
    <row r="578" ht="15" customHeight="1">
      <c r="A578" t="inlineStr">
        <is>
          <t>A 50136-2023</t>
        </is>
      </c>
      <c r="B578" s="1" t="n">
        <v>45215</v>
      </c>
      <c r="C578" s="1" t="n">
        <v>46105</v>
      </c>
      <c r="D578" t="inlineStr">
        <is>
          <t>STOCKHOLMS LÄN</t>
        </is>
      </c>
      <c r="E578" t="inlineStr">
        <is>
          <t>NORRTÄLJE</t>
        </is>
      </c>
      <c r="G578" t="n">
        <v>5.2</v>
      </c>
      <c r="H578" t="n">
        <v>0</v>
      </c>
      <c r="I578" t="n">
        <v>0</v>
      </c>
      <c r="J578" t="n">
        <v>0</v>
      </c>
      <c r="K578" t="n">
        <v>0</v>
      </c>
      <c r="L578" t="n">
        <v>0</v>
      </c>
      <c r="M578" t="n">
        <v>0</v>
      </c>
      <c r="N578" t="n">
        <v>0</v>
      </c>
      <c r="O578" t="n">
        <v>0</v>
      </c>
      <c r="P578" t="n">
        <v>0</v>
      </c>
      <c r="Q578" t="n">
        <v>0</v>
      </c>
      <c r="R578" s="2" t="inlineStr"/>
    </row>
    <row r="579" ht="15" customHeight="1">
      <c r="A579" t="inlineStr">
        <is>
          <t>A 37628-2025</t>
        </is>
      </c>
      <c r="B579" s="1" t="n">
        <v>45880.46189814815</v>
      </c>
      <c r="C579" s="1" t="n">
        <v>46105</v>
      </c>
      <c r="D579" t="inlineStr">
        <is>
          <t>STOCKHOLMS LÄN</t>
        </is>
      </c>
      <c r="E579" t="inlineStr">
        <is>
          <t>NORRTÄLJE</t>
        </is>
      </c>
      <c r="F579" t="inlineStr">
        <is>
          <t>Sveaskog</t>
        </is>
      </c>
      <c r="G579" t="n">
        <v>2.6</v>
      </c>
      <c r="H579" t="n">
        <v>0</v>
      </c>
      <c r="I579" t="n">
        <v>0</v>
      </c>
      <c r="J579" t="n">
        <v>0</v>
      </c>
      <c r="K579" t="n">
        <v>0</v>
      </c>
      <c r="L579" t="n">
        <v>0</v>
      </c>
      <c r="M579" t="n">
        <v>0</v>
      </c>
      <c r="N579" t="n">
        <v>0</v>
      </c>
      <c r="O579" t="n">
        <v>0</v>
      </c>
      <c r="P579" t="n">
        <v>0</v>
      </c>
      <c r="Q579" t="n">
        <v>0</v>
      </c>
      <c r="R579" s="2" t="inlineStr"/>
    </row>
    <row r="580" ht="15" customHeight="1">
      <c r="A580" t="inlineStr">
        <is>
          <t>A 24350-2025</t>
        </is>
      </c>
      <c r="B580" s="1" t="n">
        <v>45797.58350694444</v>
      </c>
      <c r="C580" s="1" t="n">
        <v>46105</v>
      </c>
      <c r="D580" t="inlineStr">
        <is>
          <t>STOCKHOLMS LÄN</t>
        </is>
      </c>
      <c r="E580" t="inlineStr">
        <is>
          <t>NORRTÄLJE</t>
        </is>
      </c>
      <c r="G580" t="n">
        <v>4.5</v>
      </c>
      <c r="H580" t="n">
        <v>0</v>
      </c>
      <c r="I580" t="n">
        <v>0</v>
      </c>
      <c r="J580" t="n">
        <v>0</v>
      </c>
      <c r="K580" t="n">
        <v>0</v>
      </c>
      <c r="L580" t="n">
        <v>0</v>
      </c>
      <c r="M580" t="n">
        <v>0</v>
      </c>
      <c r="N580" t="n">
        <v>0</v>
      </c>
      <c r="O580" t="n">
        <v>0</v>
      </c>
      <c r="P580" t="n">
        <v>0</v>
      </c>
      <c r="Q580" t="n">
        <v>0</v>
      </c>
      <c r="R580" s="2" t="inlineStr"/>
    </row>
    <row r="581" ht="15" customHeight="1">
      <c r="A581" t="inlineStr">
        <is>
          <t>A 11229-2022</t>
        </is>
      </c>
      <c r="B581" s="1" t="n">
        <v>44629</v>
      </c>
      <c r="C581" s="1" t="n">
        <v>46105</v>
      </c>
      <c r="D581" t="inlineStr">
        <is>
          <t>STOCKHOLMS LÄN</t>
        </is>
      </c>
      <c r="E581" t="inlineStr">
        <is>
          <t>NORRTÄLJE</t>
        </is>
      </c>
      <c r="F581" t="inlineStr">
        <is>
          <t>Övriga Aktiebolag</t>
        </is>
      </c>
      <c r="G581" t="n">
        <v>4.1</v>
      </c>
      <c r="H581" t="n">
        <v>0</v>
      </c>
      <c r="I581" t="n">
        <v>0</v>
      </c>
      <c r="J581" t="n">
        <v>0</v>
      </c>
      <c r="K581" t="n">
        <v>0</v>
      </c>
      <c r="L581" t="n">
        <v>0</v>
      </c>
      <c r="M581" t="n">
        <v>0</v>
      </c>
      <c r="N581" t="n">
        <v>0</v>
      </c>
      <c r="O581" t="n">
        <v>0</v>
      </c>
      <c r="P581" t="n">
        <v>0</v>
      </c>
      <c r="Q581" t="n">
        <v>0</v>
      </c>
      <c r="R581" s="2" t="inlineStr"/>
    </row>
    <row r="582" ht="15" customHeight="1">
      <c r="A582" t="inlineStr">
        <is>
          <t>A 9654-2022</t>
        </is>
      </c>
      <c r="B582" s="1" t="n">
        <v>44617</v>
      </c>
      <c r="C582" s="1" t="n">
        <v>46105</v>
      </c>
      <c r="D582" t="inlineStr">
        <is>
          <t>STOCKHOLMS LÄN</t>
        </is>
      </c>
      <c r="E582" t="inlineStr">
        <is>
          <t>NORRTÄLJE</t>
        </is>
      </c>
      <c r="G582" t="n">
        <v>6.4</v>
      </c>
      <c r="H582" t="n">
        <v>0</v>
      </c>
      <c r="I582" t="n">
        <v>0</v>
      </c>
      <c r="J582" t="n">
        <v>0</v>
      </c>
      <c r="K582" t="n">
        <v>0</v>
      </c>
      <c r="L582" t="n">
        <v>0</v>
      </c>
      <c r="M582" t="n">
        <v>0</v>
      </c>
      <c r="N582" t="n">
        <v>0</v>
      </c>
      <c r="O582" t="n">
        <v>0</v>
      </c>
      <c r="P582" t="n">
        <v>0</v>
      </c>
      <c r="Q582" t="n">
        <v>0</v>
      </c>
      <c r="R582" s="2" t="inlineStr"/>
    </row>
    <row r="583" ht="15" customHeight="1">
      <c r="A583" t="inlineStr">
        <is>
          <t>A 5389-2025</t>
        </is>
      </c>
      <c r="B583" s="1" t="n">
        <v>45692</v>
      </c>
      <c r="C583" s="1" t="n">
        <v>46105</v>
      </c>
      <c r="D583" t="inlineStr">
        <is>
          <t>STOCKHOLMS LÄN</t>
        </is>
      </c>
      <c r="E583" t="inlineStr">
        <is>
          <t>NORRTÄLJE</t>
        </is>
      </c>
      <c r="G583" t="n">
        <v>0.8</v>
      </c>
      <c r="H583" t="n">
        <v>0</v>
      </c>
      <c r="I583" t="n">
        <v>0</v>
      </c>
      <c r="J583" t="n">
        <v>0</v>
      </c>
      <c r="K583" t="n">
        <v>0</v>
      </c>
      <c r="L583" t="n">
        <v>0</v>
      </c>
      <c r="M583" t="n">
        <v>0</v>
      </c>
      <c r="N583" t="n">
        <v>0</v>
      </c>
      <c r="O583" t="n">
        <v>0</v>
      </c>
      <c r="P583" t="n">
        <v>0</v>
      </c>
      <c r="Q583" t="n">
        <v>0</v>
      </c>
      <c r="R583" s="2" t="inlineStr"/>
    </row>
    <row r="584" ht="15" customHeight="1">
      <c r="A584" t="inlineStr">
        <is>
          <t>A 26703-2025</t>
        </is>
      </c>
      <c r="B584" s="1" t="n">
        <v>45810.45263888889</v>
      </c>
      <c r="C584" s="1" t="n">
        <v>46105</v>
      </c>
      <c r="D584" t="inlineStr">
        <is>
          <t>STOCKHOLMS LÄN</t>
        </is>
      </c>
      <c r="E584" t="inlineStr">
        <is>
          <t>NORRTÄLJE</t>
        </is>
      </c>
      <c r="G584" t="n">
        <v>1.8</v>
      </c>
      <c r="H584" t="n">
        <v>0</v>
      </c>
      <c r="I584" t="n">
        <v>0</v>
      </c>
      <c r="J584" t="n">
        <v>0</v>
      </c>
      <c r="K584" t="n">
        <v>0</v>
      </c>
      <c r="L584" t="n">
        <v>0</v>
      </c>
      <c r="M584" t="n">
        <v>0</v>
      </c>
      <c r="N584" t="n">
        <v>0</v>
      </c>
      <c r="O584" t="n">
        <v>0</v>
      </c>
      <c r="P584" t="n">
        <v>0</v>
      </c>
      <c r="Q584" t="n">
        <v>0</v>
      </c>
      <c r="R584" s="2" t="inlineStr"/>
    </row>
    <row r="585" ht="15" customHeight="1">
      <c r="A585" t="inlineStr">
        <is>
          <t>A 37147-2023</t>
        </is>
      </c>
      <c r="B585" s="1" t="n">
        <v>45155</v>
      </c>
      <c r="C585" s="1" t="n">
        <v>46105</v>
      </c>
      <c r="D585" t="inlineStr">
        <is>
          <t>STOCKHOLMS LÄN</t>
        </is>
      </c>
      <c r="E585" t="inlineStr">
        <is>
          <t>NORRTÄLJE</t>
        </is>
      </c>
      <c r="G585" t="n">
        <v>8</v>
      </c>
      <c r="H585" t="n">
        <v>0</v>
      </c>
      <c r="I585" t="n">
        <v>0</v>
      </c>
      <c r="J585" t="n">
        <v>0</v>
      </c>
      <c r="K585" t="n">
        <v>0</v>
      </c>
      <c r="L585" t="n">
        <v>0</v>
      </c>
      <c r="M585" t="n">
        <v>0</v>
      </c>
      <c r="N585" t="n">
        <v>0</v>
      </c>
      <c r="O585" t="n">
        <v>0</v>
      </c>
      <c r="P585" t="n">
        <v>0</v>
      </c>
      <c r="Q585" t="n">
        <v>0</v>
      </c>
      <c r="R585" s="2" t="inlineStr"/>
    </row>
    <row r="586" ht="15" customHeight="1">
      <c r="A586" t="inlineStr">
        <is>
          <t>A 13137-2024</t>
        </is>
      </c>
      <c r="B586" s="1" t="n">
        <v>45386.34175925926</v>
      </c>
      <c r="C586" s="1" t="n">
        <v>46105</v>
      </c>
      <c r="D586" t="inlineStr">
        <is>
          <t>STOCKHOLMS LÄN</t>
        </is>
      </c>
      <c r="E586" t="inlineStr">
        <is>
          <t>NORRTÄLJE</t>
        </is>
      </c>
      <c r="G586" t="n">
        <v>5</v>
      </c>
      <c r="H586" t="n">
        <v>0</v>
      </c>
      <c r="I586" t="n">
        <v>0</v>
      </c>
      <c r="J586" t="n">
        <v>0</v>
      </c>
      <c r="K586" t="n">
        <v>0</v>
      </c>
      <c r="L586" t="n">
        <v>0</v>
      </c>
      <c r="M586" t="n">
        <v>0</v>
      </c>
      <c r="N586" t="n">
        <v>0</v>
      </c>
      <c r="O586" t="n">
        <v>0</v>
      </c>
      <c r="P586" t="n">
        <v>0</v>
      </c>
      <c r="Q586" t="n">
        <v>0</v>
      </c>
      <c r="R586" s="2" t="inlineStr"/>
    </row>
    <row r="587" ht="15" customHeight="1">
      <c r="A587" t="inlineStr">
        <is>
          <t>A 38153-2025</t>
        </is>
      </c>
      <c r="B587" s="1" t="n">
        <v>45882.59722222222</v>
      </c>
      <c r="C587" s="1" t="n">
        <v>46105</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59499-2023</t>
        </is>
      </c>
      <c r="B588" s="1" t="n">
        <v>45254</v>
      </c>
      <c r="C588" s="1" t="n">
        <v>46105</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60654-2023</t>
        </is>
      </c>
      <c r="B589" s="1" t="n">
        <v>45260.43225694444</v>
      </c>
      <c r="C589" s="1" t="n">
        <v>46105</v>
      </c>
      <c r="D589" t="inlineStr">
        <is>
          <t>STOCKHOLMS LÄN</t>
        </is>
      </c>
      <c r="E589" t="inlineStr">
        <is>
          <t>NORRTÄLJE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60656-2023</t>
        </is>
      </c>
      <c r="B590" s="1" t="n">
        <v>45260.4333449074</v>
      </c>
      <c r="C590" s="1" t="n">
        <v>46105</v>
      </c>
      <c r="D590" t="inlineStr">
        <is>
          <t>STOCKHOLMS LÄN</t>
        </is>
      </c>
      <c r="E590" t="inlineStr">
        <is>
          <t>NORRTÄLJE</t>
        </is>
      </c>
      <c r="G590" t="n">
        <v>4.8</v>
      </c>
      <c r="H590" t="n">
        <v>0</v>
      </c>
      <c r="I590" t="n">
        <v>0</v>
      </c>
      <c r="J590" t="n">
        <v>0</v>
      </c>
      <c r="K590" t="n">
        <v>0</v>
      </c>
      <c r="L590" t="n">
        <v>0</v>
      </c>
      <c r="M590" t="n">
        <v>0</v>
      </c>
      <c r="N590" t="n">
        <v>0</v>
      </c>
      <c r="O590" t="n">
        <v>0</v>
      </c>
      <c r="P590" t="n">
        <v>0</v>
      </c>
      <c r="Q590" t="n">
        <v>0</v>
      </c>
      <c r="R590" s="2" t="inlineStr"/>
    </row>
    <row r="591" ht="15" customHeight="1">
      <c r="A591" t="inlineStr">
        <is>
          <t>A 50097-2025</t>
        </is>
      </c>
      <c r="B591" s="1" t="n">
        <v>45943.50207175926</v>
      </c>
      <c r="C591" s="1" t="n">
        <v>46105</v>
      </c>
      <c r="D591" t="inlineStr">
        <is>
          <t>STOCKHOLMS LÄN</t>
        </is>
      </c>
      <c r="E591" t="inlineStr">
        <is>
          <t>NORRTÄLJE</t>
        </is>
      </c>
      <c r="F591" t="inlineStr">
        <is>
          <t>Holmen skog AB</t>
        </is>
      </c>
      <c r="G591" t="n">
        <v>12</v>
      </c>
      <c r="H591" t="n">
        <v>0</v>
      </c>
      <c r="I591" t="n">
        <v>0</v>
      </c>
      <c r="J591" t="n">
        <v>0</v>
      </c>
      <c r="K591" t="n">
        <v>0</v>
      </c>
      <c r="L591" t="n">
        <v>0</v>
      </c>
      <c r="M591" t="n">
        <v>0</v>
      </c>
      <c r="N591" t="n">
        <v>0</v>
      </c>
      <c r="O591" t="n">
        <v>0</v>
      </c>
      <c r="P591" t="n">
        <v>0</v>
      </c>
      <c r="Q591" t="n">
        <v>0</v>
      </c>
      <c r="R591" s="2" t="inlineStr"/>
    </row>
    <row r="592" ht="15" customHeight="1">
      <c r="A592" t="inlineStr">
        <is>
          <t>A 22697-2022</t>
        </is>
      </c>
      <c r="B592" s="1" t="n">
        <v>44714.56040509259</v>
      </c>
      <c r="C592" s="1" t="n">
        <v>46105</v>
      </c>
      <c r="D592" t="inlineStr">
        <is>
          <t>STOCKHOLMS LÄN</t>
        </is>
      </c>
      <c r="E592" t="inlineStr">
        <is>
          <t>NORRTÄLJE</t>
        </is>
      </c>
      <c r="G592" t="n">
        <v>5.6</v>
      </c>
      <c r="H592" t="n">
        <v>0</v>
      </c>
      <c r="I592" t="n">
        <v>0</v>
      </c>
      <c r="J592" t="n">
        <v>0</v>
      </c>
      <c r="K592" t="n">
        <v>0</v>
      </c>
      <c r="L592" t="n">
        <v>0</v>
      </c>
      <c r="M592" t="n">
        <v>0</v>
      </c>
      <c r="N592" t="n">
        <v>0</v>
      </c>
      <c r="O592" t="n">
        <v>0</v>
      </c>
      <c r="P592" t="n">
        <v>0</v>
      </c>
      <c r="Q592" t="n">
        <v>0</v>
      </c>
      <c r="R592" s="2" t="inlineStr"/>
    </row>
    <row r="593" ht="15" customHeight="1">
      <c r="A593" t="inlineStr">
        <is>
          <t>A 50333-2025</t>
        </is>
      </c>
      <c r="B593" s="1" t="n">
        <v>45944.47178240741</v>
      </c>
      <c r="C593" s="1" t="n">
        <v>46105</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50563-2025</t>
        </is>
      </c>
      <c r="B594" s="1" t="n">
        <v>45944</v>
      </c>
      <c r="C594" s="1" t="n">
        <v>46105</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50327-2025</t>
        </is>
      </c>
      <c r="B595" s="1" t="n">
        <v>45944.46387731482</v>
      </c>
      <c r="C595" s="1" t="n">
        <v>46105</v>
      </c>
      <c r="D595" t="inlineStr">
        <is>
          <t>STOCKHOLMS LÄN</t>
        </is>
      </c>
      <c r="E595" t="inlineStr">
        <is>
          <t>NORRTÄLJE</t>
        </is>
      </c>
      <c r="G595" t="n">
        <v>0.3</v>
      </c>
      <c r="H595" t="n">
        <v>0</v>
      </c>
      <c r="I595" t="n">
        <v>0</v>
      </c>
      <c r="J595" t="n">
        <v>0</v>
      </c>
      <c r="K595" t="n">
        <v>0</v>
      </c>
      <c r="L595" t="n">
        <v>0</v>
      </c>
      <c r="M595" t="n">
        <v>0</v>
      </c>
      <c r="N595" t="n">
        <v>0</v>
      </c>
      <c r="O595" t="n">
        <v>0</v>
      </c>
      <c r="P595" t="n">
        <v>0</v>
      </c>
      <c r="Q595" t="n">
        <v>0</v>
      </c>
      <c r="R595" s="2" t="inlineStr"/>
    </row>
    <row r="596" ht="15" customHeight="1">
      <c r="A596" t="inlineStr">
        <is>
          <t>A 38593-2025</t>
        </is>
      </c>
      <c r="B596" s="1" t="n">
        <v>45884.48696759259</v>
      </c>
      <c r="C596" s="1" t="n">
        <v>46105</v>
      </c>
      <c r="D596" t="inlineStr">
        <is>
          <t>STOCKHOLMS LÄN</t>
        </is>
      </c>
      <c r="E596" t="inlineStr">
        <is>
          <t>NORRTÄLJE</t>
        </is>
      </c>
      <c r="G596" t="n">
        <v>3</v>
      </c>
      <c r="H596" t="n">
        <v>0</v>
      </c>
      <c r="I596" t="n">
        <v>0</v>
      </c>
      <c r="J596" t="n">
        <v>0</v>
      </c>
      <c r="K596" t="n">
        <v>0</v>
      </c>
      <c r="L596" t="n">
        <v>0</v>
      </c>
      <c r="M596" t="n">
        <v>0</v>
      </c>
      <c r="N596" t="n">
        <v>0</v>
      </c>
      <c r="O596" t="n">
        <v>0</v>
      </c>
      <c r="P596" t="n">
        <v>0</v>
      </c>
      <c r="Q596" t="n">
        <v>0</v>
      </c>
      <c r="R596" s="2" t="inlineStr"/>
    </row>
    <row r="597" ht="15" customHeight="1">
      <c r="A597" t="inlineStr">
        <is>
          <t>A 48180-2023</t>
        </is>
      </c>
      <c r="B597" s="1" t="n">
        <v>45205</v>
      </c>
      <c r="C597" s="1" t="n">
        <v>46105</v>
      </c>
      <c r="D597" t="inlineStr">
        <is>
          <t>STOCKHOLMS LÄN</t>
        </is>
      </c>
      <c r="E597" t="inlineStr">
        <is>
          <t>NORRTÄLJE</t>
        </is>
      </c>
      <c r="G597" t="n">
        <v>1.5</v>
      </c>
      <c r="H597" t="n">
        <v>0</v>
      </c>
      <c r="I597" t="n">
        <v>0</v>
      </c>
      <c r="J597" t="n">
        <v>0</v>
      </c>
      <c r="K597" t="n">
        <v>0</v>
      </c>
      <c r="L597" t="n">
        <v>0</v>
      </c>
      <c r="M597" t="n">
        <v>0</v>
      </c>
      <c r="N597" t="n">
        <v>0</v>
      </c>
      <c r="O597" t="n">
        <v>0</v>
      </c>
      <c r="P597" t="n">
        <v>0</v>
      </c>
      <c r="Q597" t="n">
        <v>0</v>
      </c>
      <c r="R597" s="2" t="inlineStr"/>
    </row>
    <row r="598" ht="15" customHeight="1">
      <c r="A598" t="inlineStr">
        <is>
          <t>A 57353-2024</t>
        </is>
      </c>
      <c r="B598" s="1" t="n">
        <v>45629.65143518519</v>
      </c>
      <c r="C598" s="1" t="n">
        <v>46105</v>
      </c>
      <c r="D598" t="inlineStr">
        <is>
          <t>STOCKHOLMS LÄN</t>
        </is>
      </c>
      <c r="E598" t="inlineStr">
        <is>
          <t>NORRTÄLJE</t>
        </is>
      </c>
      <c r="F598" t="inlineStr">
        <is>
          <t>Holmen skog AB</t>
        </is>
      </c>
      <c r="G598" t="n">
        <v>0.9</v>
      </c>
      <c r="H598" t="n">
        <v>0</v>
      </c>
      <c r="I598" t="n">
        <v>0</v>
      </c>
      <c r="J598" t="n">
        <v>0</v>
      </c>
      <c r="K598" t="n">
        <v>0</v>
      </c>
      <c r="L598" t="n">
        <v>0</v>
      </c>
      <c r="M598" t="n">
        <v>0</v>
      </c>
      <c r="N598" t="n">
        <v>0</v>
      </c>
      <c r="O598" t="n">
        <v>0</v>
      </c>
      <c r="P598" t="n">
        <v>0</v>
      </c>
      <c r="Q598" t="n">
        <v>0</v>
      </c>
      <c r="R598" s="2" t="inlineStr"/>
    </row>
    <row r="599" ht="15" customHeight="1">
      <c r="A599" t="inlineStr">
        <is>
          <t>A 67921-2021</t>
        </is>
      </c>
      <c r="B599" s="1" t="n">
        <v>44525</v>
      </c>
      <c r="C599" s="1" t="n">
        <v>46105</v>
      </c>
      <c r="D599" t="inlineStr">
        <is>
          <t>STOCKHOLMS LÄN</t>
        </is>
      </c>
      <c r="E599" t="inlineStr">
        <is>
          <t>NORRTÄLJE</t>
        </is>
      </c>
      <c r="G599" t="n">
        <v>6.3</v>
      </c>
      <c r="H599" t="n">
        <v>0</v>
      </c>
      <c r="I599" t="n">
        <v>0</v>
      </c>
      <c r="J599" t="n">
        <v>0</v>
      </c>
      <c r="K599" t="n">
        <v>0</v>
      </c>
      <c r="L599" t="n">
        <v>0</v>
      </c>
      <c r="M599" t="n">
        <v>0</v>
      </c>
      <c r="N599" t="n">
        <v>0</v>
      </c>
      <c r="O599" t="n">
        <v>0</v>
      </c>
      <c r="P599" t="n">
        <v>0</v>
      </c>
      <c r="Q599" t="n">
        <v>0</v>
      </c>
      <c r="R599" s="2" t="inlineStr"/>
    </row>
    <row r="600" ht="15" customHeight="1">
      <c r="A600" t="inlineStr">
        <is>
          <t>A 55696-2022</t>
        </is>
      </c>
      <c r="B600" s="1" t="n">
        <v>44888</v>
      </c>
      <c r="C600" s="1" t="n">
        <v>46105</v>
      </c>
      <c r="D600" t="inlineStr">
        <is>
          <t>STOCKHOLMS LÄN</t>
        </is>
      </c>
      <c r="E600" t="inlineStr">
        <is>
          <t>NORRTÄLJE</t>
        </is>
      </c>
      <c r="G600" t="n">
        <v>2.2</v>
      </c>
      <c r="H600" t="n">
        <v>0</v>
      </c>
      <c r="I600" t="n">
        <v>0</v>
      </c>
      <c r="J600" t="n">
        <v>0</v>
      </c>
      <c r="K600" t="n">
        <v>0</v>
      </c>
      <c r="L600" t="n">
        <v>0</v>
      </c>
      <c r="M600" t="n">
        <v>0</v>
      </c>
      <c r="N600" t="n">
        <v>0</v>
      </c>
      <c r="O600" t="n">
        <v>0</v>
      </c>
      <c r="P600" t="n">
        <v>0</v>
      </c>
      <c r="Q600" t="n">
        <v>0</v>
      </c>
      <c r="R600" s="2" t="inlineStr"/>
    </row>
    <row r="601" ht="15" customHeight="1">
      <c r="A601" t="inlineStr">
        <is>
          <t>A 50907-2022</t>
        </is>
      </c>
      <c r="B601" s="1" t="n">
        <v>44867.62090277778</v>
      </c>
      <c r="C601" s="1" t="n">
        <v>46105</v>
      </c>
      <c r="D601" t="inlineStr">
        <is>
          <t>STOCKHOLMS LÄN</t>
        </is>
      </c>
      <c r="E601" t="inlineStr">
        <is>
          <t>NORRTÄLJE</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6919-2025</t>
        </is>
      </c>
      <c r="B602" s="1" t="n">
        <v>45701.44372685185</v>
      </c>
      <c r="C602" s="1" t="n">
        <v>46105</v>
      </c>
      <c r="D602" t="inlineStr">
        <is>
          <t>STOCKHOLMS LÄN</t>
        </is>
      </c>
      <c r="E602" t="inlineStr">
        <is>
          <t>NORRTÄLJE</t>
        </is>
      </c>
      <c r="G602" t="n">
        <v>3.5</v>
      </c>
      <c r="H602" t="n">
        <v>0</v>
      </c>
      <c r="I602" t="n">
        <v>0</v>
      </c>
      <c r="J602" t="n">
        <v>0</v>
      </c>
      <c r="K602" t="n">
        <v>0</v>
      </c>
      <c r="L602" t="n">
        <v>0</v>
      </c>
      <c r="M602" t="n">
        <v>0</v>
      </c>
      <c r="N602" t="n">
        <v>0</v>
      </c>
      <c r="O602" t="n">
        <v>0</v>
      </c>
      <c r="P602" t="n">
        <v>0</v>
      </c>
      <c r="Q602" t="n">
        <v>0</v>
      </c>
      <c r="R602" s="2" t="inlineStr"/>
    </row>
    <row r="603" ht="15" customHeight="1">
      <c r="A603" t="inlineStr">
        <is>
          <t>A 53362-2023</t>
        </is>
      </c>
      <c r="B603" s="1" t="n">
        <v>45223</v>
      </c>
      <c r="C603" s="1" t="n">
        <v>46105</v>
      </c>
      <c r="D603" t="inlineStr">
        <is>
          <t>STOCKHOLMS LÄN</t>
        </is>
      </c>
      <c r="E603" t="inlineStr">
        <is>
          <t>NORRTÄLJE</t>
        </is>
      </c>
      <c r="G603" t="n">
        <v>1.2</v>
      </c>
      <c r="H603" t="n">
        <v>0</v>
      </c>
      <c r="I603" t="n">
        <v>0</v>
      </c>
      <c r="J603" t="n">
        <v>0</v>
      </c>
      <c r="K603" t="n">
        <v>0</v>
      </c>
      <c r="L603" t="n">
        <v>0</v>
      </c>
      <c r="M603" t="n">
        <v>0</v>
      </c>
      <c r="N603" t="n">
        <v>0</v>
      </c>
      <c r="O603" t="n">
        <v>0</v>
      </c>
      <c r="P603" t="n">
        <v>0</v>
      </c>
      <c r="Q603" t="n">
        <v>0</v>
      </c>
      <c r="R603" s="2" t="inlineStr"/>
    </row>
    <row r="604" ht="15" customHeight="1">
      <c r="A604" t="inlineStr">
        <is>
          <t>A 51240-2025</t>
        </is>
      </c>
      <c r="B604" s="1" t="n">
        <v>45947.70420138889</v>
      </c>
      <c r="C604" s="1" t="n">
        <v>46105</v>
      </c>
      <c r="D604" t="inlineStr">
        <is>
          <t>STOCKHOLMS LÄN</t>
        </is>
      </c>
      <c r="E604" t="inlineStr">
        <is>
          <t>NORRTÄLJE</t>
        </is>
      </c>
      <c r="F604" t="inlineStr">
        <is>
          <t>Naturvårdsverket</t>
        </is>
      </c>
      <c r="G604" t="n">
        <v>3</v>
      </c>
      <c r="H604" t="n">
        <v>0</v>
      </c>
      <c r="I604" t="n">
        <v>0</v>
      </c>
      <c r="J604" t="n">
        <v>0</v>
      </c>
      <c r="K604" t="n">
        <v>0</v>
      </c>
      <c r="L604" t="n">
        <v>0</v>
      </c>
      <c r="M604" t="n">
        <v>0</v>
      </c>
      <c r="N604" t="n">
        <v>0</v>
      </c>
      <c r="O604" t="n">
        <v>0</v>
      </c>
      <c r="P604" t="n">
        <v>0</v>
      </c>
      <c r="Q604" t="n">
        <v>0</v>
      </c>
      <c r="R604" s="2" t="inlineStr"/>
    </row>
    <row r="605" ht="15" customHeight="1">
      <c r="A605" t="inlineStr">
        <is>
          <t>A 59477-2025</t>
        </is>
      </c>
      <c r="B605" s="1" t="n">
        <v>45989.58679398148</v>
      </c>
      <c r="C605" s="1" t="n">
        <v>46105</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51121-2025</t>
        </is>
      </c>
      <c r="B606" s="1" t="n">
        <v>45947.53293981482</v>
      </c>
      <c r="C606" s="1" t="n">
        <v>46105</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51532-2025</t>
        </is>
      </c>
      <c r="B607" s="1" t="n">
        <v>45950.68297453703</v>
      </c>
      <c r="C607" s="1" t="n">
        <v>46105</v>
      </c>
      <c r="D607" t="inlineStr">
        <is>
          <t>STOCKHOLMS LÄN</t>
        </is>
      </c>
      <c r="E607" t="inlineStr">
        <is>
          <t>NORRTÄLJE</t>
        </is>
      </c>
      <c r="F607" t="inlineStr">
        <is>
          <t>Naturvårdsverket</t>
        </is>
      </c>
      <c r="G607" t="n">
        <v>17.3</v>
      </c>
      <c r="H607" t="n">
        <v>0</v>
      </c>
      <c r="I607" t="n">
        <v>0</v>
      </c>
      <c r="J607" t="n">
        <v>0</v>
      </c>
      <c r="K607" t="n">
        <v>0</v>
      </c>
      <c r="L607" t="n">
        <v>0</v>
      </c>
      <c r="M607" t="n">
        <v>0</v>
      </c>
      <c r="N607" t="n">
        <v>0</v>
      </c>
      <c r="O607" t="n">
        <v>0</v>
      </c>
      <c r="P607" t="n">
        <v>0</v>
      </c>
      <c r="Q607" t="n">
        <v>0</v>
      </c>
      <c r="R607" s="2" t="inlineStr"/>
    </row>
    <row r="608" ht="15" customHeight="1">
      <c r="A608" t="inlineStr">
        <is>
          <t>A 8433-2022</t>
        </is>
      </c>
      <c r="B608" s="1" t="n">
        <v>44611</v>
      </c>
      <c r="C608" s="1" t="n">
        <v>46105</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51233-2025</t>
        </is>
      </c>
      <c r="B609" s="1" t="n">
        <v>45947.68232638889</v>
      </c>
      <c r="C609" s="1" t="n">
        <v>46105</v>
      </c>
      <c r="D609" t="inlineStr">
        <is>
          <t>STOCKHOLMS LÄN</t>
        </is>
      </c>
      <c r="E609" t="inlineStr">
        <is>
          <t>NORRTÄLJE</t>
        </is>
      </c>
      <c r="F609" t="inlineStr">
        <is>
          <t>Naturvårdsverket</t>
        </is>
      </c>
      <c r="G609" t="n">
        <v>8.1</v>
      </c>
      <c r="H609" t="n">
        <v>0</v>
      </c>
      <c r="I609" t="n">
        <v>0</v>
      </c>
      <c r="J609" t="n">
        <v>0</v>
      </c>
      <c r="K609" t="n">
        <v>0</v>
      </c>
      <c r="L609" t="n">
        <v>0</v>
      </c>
      <c r="M609" t="n">
        <v>0</v>
      </c>
      <c r="N609" t="n">
        <v>0</v>
      </c>
      <c r="O609" t="n">
        <v>0</v>
      </c>
      <c r="P609" t="n">
        <v>0</v>
      </c>
      <c r="Q609" t="n">
        <v>0</v>
      </c>
      <c r="R609" s="2" t="inlineStr"/>
    </row>
    <row r="610" ht="15" customHeight="1">
      <c r="A610" t="inlineStr">
        <is>
          <t>A 51236-2025</t>
        </is>
      </c>
      <c r="B610" s="1" t="n">
        <v>45947.69078703703</v>
      </c>
      <c r="C610" s="1" t="n">
        <v>46105</v>
      </c>
      <c r="D610" t="inlineStr">
        <is>
          <t>STOCKHOLMS LÄN</t>
        </is>
      </c>
      <c r="E610" t="inlineStr">
        <is>
          <t>NORRTÄLJE</t>
        </is>
      </c>
      <c r="F610" t="inlineStr">
        <is>
          <t>Naturvårdsverket</t>
        </is>
      </c>
      <c r="G610" t="n">
        <v>6.3</v>
      </c>
      <c r="H610" t="n">
        <v>0</v>
      </c>
      <c r="I610" t="n">
        <v>0</v>
      </c>
      <c r="J610" t="n">
        <v>0</v>
      </c>
      <c r="K610" t="n">
        <v>0</v>
      </c>
      <c r="L610" t="n">
        <v>0</v>
      </c>
      <c r="M610" t="n">
        <v>0</v>
      </c>
      <c r="N610" t="n">
        <v>0</v>
      </c>
      <c r="O610" t="n">
        <v>0</v>
      </c>
      <c r="P610" t="n">
        <v>0</v>
      </c>
      <c r="Q610" t="n">
        <v>0</v>
      </c>
      <c r="R610" s="2" t="inlineStr"/>
    </row>
    <row r="611" ht="15" customHeight="1">
      <c r="A611" t="inlineStr">
        <is>
          <t>A 51241-2025</t>
        </is>
      </c>
      <c r="B611" s="1" t="n">
        <v>45947.71726851852</v>
      </c>
      <c r="C611" s="1" t="n">
        <v>46105</v>
      </c>
      <c r="D611" t="inlineStr">
        <is>
          <t>STOCKHOLMS LÄN</t>
        </is>
      </c>
      <c r="E611" t="inlineStr">
        <is>
          <t>NORRTÄLJE</t>
        </is>
      </c>
      <c r="F611" t="inlineStr">
        <is>
          <t>Naturvårdsverket</t>
        </is>
      </c>
      <c r="G611" t="n">
        <v>6.4</v>
      </c>
      <c r="H611" t="n">
        <v>0</v>
      </c>
      <c r="I611" t="n">
        <v>0</v>
      </c>
      <c r="J611" t="n">
        <v>0</v>
      </c>
      <c r="K611" t="n">
        <v>0</v>
      </c>
      <c r="L611" t="n">
        <v>0</v>
      </c>
      <c r="M611" t="n">
        <v>0</v>
      </c>
      <c r="N611" t="n">
        <v>0</v>
      </c>
      <c r="O611" t="n">
        <v>0</v>
      </c>
      <c r="P611" t="n">
        <v>0</v>
      </c>
      <c r="Q611" t="n">
        <v>0</v>
      </c>
      <c r="R611" s="2" t="inlineStr"/>
    </row>
    <row r="612" ht="15" customHeight="1">
      <c r="A612" t="inlineStr">
        <is>
          <t>A 51122-2025</t>
        </is>
      </c>
      <c r="B612" s="1" t="n">
        <v>45947.53693287037</v>
      </c>
      <c r="C612" s="1" t="n">
        <v>46105</v>
      </c>
      <c r="D612" t="inlineStr">
        <is>
          <t>STOCKHOLMS LÄN</t>
        </is>
      </c>
      <c r="E612" t="inlineStr">
        <is>
          <t>NORRTÄLJE</t>
        </is>
      </c>
      <c r="G612" t="n">
        <v>3.8</v>
      </c>
      <c r="H612" t="n">
        <v>0</v>
      </c>
      <c r="I612" t="n">
        <v>0</v>
      </c>
      <c r="J612" t="n">
        <v>0</v>
      </c>
      <c r="K612" t="n">
        <v>0</v>
      </c>
      <c r="L612" t="n">
        <v>0</v>
      </c>
      <c r="M612" t="n">
        <v>0</v>
      </c>
      <c r="N612" t="n">
        <v>0</v>
      </c>
      <c r="O612" t="n">
        <v>0</v>
      </c>
      <c r="P612" t="n">
        <v>0</v>
      </c>
      <c r="Q612" t="n">
        <v>0</v>
      </c>
      <c r="R612" s="2" t="inlineStr"/>
    </row>
    <row r="613" ht="15" customHeight="1">
      <c r="A613" t="inlineStr">
        <is>
          <t>A 10215-2023</t>
        </is>
      </c>
      <c r="B613" s="1" t="n">
        <v>44986.5887962963</v>
      </c>
      <c r="C613" s="1" t="n">
        <v>46105</v>
      </c>
      <c r="D613" t="inlineStr">
        <is>
          <t>STOCKHOLMS LÄN</t>
        </is>
      </c>
      <c r="E613" t="inlineStr">
        <is>
          <t>NORRTÄLJE</t>
        </is>
      </c>
      <c r="G613" t="n">
        <v>6.5</v>
      </c>
      <c r="H613" t="n">
        <v>0</v>
      </c>
      <c r="I613" t="n">
        <v>0</v>
      </c>
      <c r="J613" t="n">
        <v>0</v>
      </c>
      <c r="K613" t="n">
        <v>0</v>
      </c>
      <c r="L613" t="n">
        <v>0</v>
      </c>
      <c r="M613" t="n">
        <v>0</v>
      </c>
      <c r="N613" t="n">
        <v>0</v>
      </c>
      <c r="O613" t="n">
        <v>0</v>
      </c>
      <c r="P613" t="n">
        <v>0</v>
      </c>
      <c r="Q613" t="n">
        <v>0</v>
      </c>
      <c r="R613" s="2" t="inlineStr"/>
    </row>
    <row r="614" ht="15" customHeight="1">
      <c r="A614" t="inlineStr">
        <is>
          <t>A 51945-2025</t>
        </is>
      </c>
      <c r="B614" s="1" t="n">
        <v>45952.52679398148</v>
      </c>
      <c r="C614" s="1" t="n">
        <v>46105</v>
      </c>
      <c r="D614" t="inlineStr">
        <is>
          <t>STOCKHOLMS LÄN</t>
        </is>
      </c>
      <c r="E614" t="inlineStr">
        <is>
          <t>NORRTÄLJE</t>
        </is>
      </c>
      <c r="G614" t="n">
        <v>7</v>
      </c>
      <c r="H614" t="n">
        <v>0</v>
      </c>
      <c r="I614" t="n">
        <v>0</v>
      </c>
      <c r="J614" t="n">
        <v>0</v>
      </c>
      <c r="K614" t="n">
        <v>0</v>
      </c>
      <c r="L614" t="n">
        <v>0</v>
      </c>
      <c r="M614" t="n">
        <v>0</v>
      </c>
      <c r="N614" t="n">
        <v>0</v>
      </c>
      <c r="O614" t="n">
        <v>0</v>
      </c>
      <c r="P614" t="n">
        <v>0</v>
      </c>
      <c r="Q614" t="n">
        <v>0</v>
      </c>
      <c r="R614" s="2" t="inlineStr"/>
    </row>
    <row r="615" ht="15" customHeight="1">
      <c r="A615" t="inlineStr">
        <is>
          <t>A 51941-2025</t>
        </is>
      </c>
      <c r="B615" s="1" t="n">
        <v>45952.52261574074</v>
      </c>
      <c r="C615" s="1" t="n">
        <v>46105</v>
      </c>
      <c r="D615" t="inlineStr">
        <is>
          <t>STOCKHOLMS LÄN</t>
        </is>
      </c>
      <c r="E615" t="inlineStr">
        <is>
          <t>NORRTÄLJE</t>
        </is>
      </c>
      <c r="G615" t="n">
        <v>1.1</v>
      </c>
      <c r="H615" t="n">
        <v>0</v>
      </c>
      <c r="I615" t="n">
        <v>0</v>
      </c>
      <c r="J615" t="n">
        <v>0</v>
      </c>
      <c r="K615" t="n">
        <v>0</v>
      </c>
      <c r="L615" t="n">
        <v>0</v>
      </c>
      <c r="M615" t="n">
        <v>0</v>
      </c>
      <c r="N615" t="n">
        <v>0</v>
      </c>
      <c r="O615" t="n">
        <v>0</v>
      </c>
      <c r="P615" t="n">
        <v>0</v>
      </c>
      <c r="Q615" t="n">
        <v>0</v>
      </c>
      <c r="R615" s="2" t="inlineStr"/>
    </row>
    <row r="616" ht="15" customHeight="1">
      <c r="A616" t="inlineStr">
        <is>
          <t>A 52061-2025</t>
        </is>
      </c>
      <c r="B616" s="1" t="n">
        <v>45952.63679398148</v>
      </c>
      <c r="C616" s="1" t="n">
        <v>46105</v>
      </c>
      <c r="D616" t="inlineStr">
        <is>
          <t>STOCKHOLMS LÄN</t>
        </is>
      </c>
      <c r="E616" t="inlineStr">
        <is>
          <t>NORRTÄLJE</t>
        </is>
      </c>
      <c r="G616" t="n">
        <v>9.5</v>
      </c>
      <c r="H616" t="n">
        <v>0</v>
      </c>
      <c r="I616" t="n">
        <v>0</v>
      </c>
      <c r="J616" t="n">
        <v>0</v>
      </c>
      <c r="K616" t="n">
        <v>0</v>
      </c>
      <c r="L616" t="n">
        <v>0</v>
      </c>
      <c r="M616" t="n">
        <v>0</v>
      </c>
      <c r="N616" t="n">
        <v>0</v>
      </c>
      <c r="O616" t="n">
        <v>0</v>
      </c>
      <c r="P616" t="n">
        <v>0</v>
      </c>
      <c r="Q616" t="n">
        <v>0</v>
      </c>
      <c r="R616" s="2" t="inlineStr"/>
    </row>
    <row r="617" ht="15" customHeight="1">
      <c r="A617" t="inlineStr">
        <is>
          <t>A 14127-2025</t>
        </is>
      </c>
      <c r="B617" s="1" t="n">
        <v>45740.47055555556</v>
      </c>
      <c r="C617" s="1" t="n">
        <v>46105</v>
      </c>
      <c r="D617" t="inlineStr">
        <is>
          <t>STOCKHOLMS LÄN</t>
        </is>
      </c>
      <c r="E617" t="inlineStr">
        <is>
          <t>NORRTÄLJE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51960-2025</t>
        </is>
      </c>
      <c r="B618" s="1" t="n">
        <v>45952.54755787037</v>
      </c>
      <c r="C618" s="1" t="n">
        <v>46105</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31559-2022</t>
        </is>
      </c>
      <c r="B619" s="1" t="n">
        <v>44775</v>
      </c>
      <c r="C619" s="1" t="n">
        <v>46105</v>
      </c>
      <c r="D619" t="inlineStr">
        <is>
          <t>STOCKHOLMS LÄN</t>
        </is>
      </c>
      <c r="E619" t="inlineStr">
        <is>
          <t>NORRTÄLJE</t>
        </is>
      </c>
      <c r="G619" t="n">
        <v>5.6</v>
      </c>
      <c r="H619" t="n">
        <v>0</v>
      </c>
      <c r="I619" t="n">
        <v>0</v>
      </c>
      <c r="J619" t="n">
        <v>0</v>
      </c>
      <c r="K619" t="n">
        <v>0</v>
      </c>
      <c r="L619" t="n">
        <v>0</v>
      </c>
      <c r="M619" t="n">
        <v>0</v>
      </c>
      <c r="N619" t="n">
        <v>0</v>
      </c>
      <c r="O619" t="n">
        <v>0</v>
      </c>
      <c r="P619" t="n">
        <v>0</v>
      </c>
      <c r="Q619" t="n">
        <v>0</v>
      </c>
      <c r="R619" s="2" t="inlineStr"/>
    </row>
    <row r="620" ht="15" customHeight="1">
      <c r="A620" t="inlineStr">
        <is>
          <t>A 51789-2025</t>
        </is>
      </c>
      <c r="B620" s="1" t="n">
        <v>45951.68046296296</v>
      </c>
      <c r="C620" s="1" t="n">
        <v>46105</v>
      </c>
      <c r="D620" t="inlineStr">
        <is>
          <t>STOCKHOLMS LÄN</t>
        </is>
      </c>
      <c r="E620" t="inlineStr">
        <is>
          <t>NORRTÄLJE</t>
        </is>
      </c>
      <c r="F620" t="inlineStr">
        <is>
          <t>Naturvårdsverket</t>
        </is>
      </c>
      <c r="G620" t="n">
        <v>8.9</v>
      </c>
      <c r="H620" t="n">
        <v>0</v>
      </c>
      <c r="I620" t="n">
        <v>0</v>
      </c>
      <c r="J620" t="n">
        <v>0</v>
      </c>
      <c r="K620" t="n">
        <v>0</v>
      </c>
      <c r="L620" t="n">
        <v>0</v>
      </c>
      <c r="M620" t="n">
        <v>0</v>
      </c>
      <c r="N620" t="n">
        <v>0</v>
      </c>
      <c r="O620" t="n">
        <v>0</v>
      </c>
      <c r="P620" t="n">
        <v>0</v>
      </c>
      <c r="Q620" t="n">
        <v>0</v>
      </c>
      <c r="R620" s="2" t="inlineStr"/>
    </row>
    <row r="621" ht="15" customHeight="1">
      <c r="A621" t="inlineStr">
        <is>
          <t>A 52001-2023</t>
        </is>
      </c>
      <c r="B621" s="1" t="n">
        <v>45223</v>
      </c>
      <c r="C621" s="1" t="n">
        <v>46105</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52529-2025</t>
        </is>
      </c>
      <c r="B622" s="1" t="n">
        <v>45954.53229166667</v>
      </c>
      <c r="C622" s="1" t="n">
        <v>46105</v>
      </c>
      <c r="D622" t="inlineStr">
        <is>
          <t>STOCKHOLMS LÄN</t>
        </is>
      </c>
      <c r="E622" t="inlineStr">
        <is>
          <t>NORRTÄLJE</t>
        </is>
      </c>
      <c r="F622" t="inlineStr">
        <is>
          <t>Sveaskog</t>
        </is>
      </c>
      <c r="G622" t="n">
        <v>7.8</v>
      </c>
      <c r="H622" t="n">
        <v>0</v>
      </c>
      <c r="I622" t="n">
        <v>0</v>
      </c>
      <c r="J622" t="n">
        <v>0</v>
      </c>
      <c r="K622" t="n">
        <v>0</v>
      </c>
      <c r="L622" t="n">
        <v>0</v>
      </c>
      <c r="M622" t="n">
        <v>0</v>
      </c>
      <c r="N622" t="n">
        <v>0</v>
      </c>
      <c r="O622" t="n">
        <v>0</v>
      </c>
      <c r="P622" t="n">
        <v>0</v>
      </c>
      <c r="Q622" t="n">
        <v>0</v>
      </c>
      <c r="R622" s="2" t="inlineStr"/>
    </row>
    <row r="623" ht="15" customHeight="1">
      <c r="A623" t="inlineStr">
        <is>
          <t>A 52251-2025</t>
        </is>
      </c>
      <c r="B623" s="1" t="n">
        <v>45953.49185185185</v>
      </c>
      <c r="C623" s="1" t="n">
        <v>46105</v>
      </c>
      <c r="D623" t="inlineStr">
        <is>
          <t>STOCKHOLMS LÄN</t>
        </is>
      </c>
      <c r="E623" t="inlineStr">
        <is>
          <t>NORRTÄLJE</t>
        </is>
      </c>
      <c r="G623" t="n">
        <v>6.2</v>
      </c>
      <c r="H623" t="n">
        <v>0</v>
      </c>
      <c r="I623" t="n">
        <v>0</v>
      </c>
      <c r="J623" t="n">
        <v>0</v>
      </c>
      <c r="K623" t="n">
        <v>0</v>
      </c>
      <c r="L623" t="n">
        <v>0</v>
      </c>
      <c r="M623" t="n">
        <v>0</v>
      </c>
      <c r="N623" t="n">
        <v>0</v>
      </c>
      <c r="O623" t="n">
        <v>0</v>
      </c>
      <c r="P623" t="n">
        <v>0</v>
      </c>
      <c r="Q623" t="n">
        <v>0</v>
      </c>
      <c r="R623" s="2" t="inlineStr"/>
    </row>
    <row r="624" ht="15" customHeight="1">
      <c r="A624" t="inlineStr">
        <is>
          <t>A 52254-2025</t>
        </is>
      </c>
      <c r="B624" s="1" t="n">
        <v>45953.49519675926</v>
      </c>
      <c r="C624" s="1" t="n">
        <v>46105</v>
      </c>
      <c r="D624" t="inlineStr">
        <is>
          <t>STOCKHOLMS LÄN</t>
        </is>
      </c>
      <c r="E624" t="inlineStr">
        <is>
          <t>NORRTÄLJE</t>
        </is>
      </c>
      <c r="G624" t="n">
        <v>2.2</v>
      </c>
      <c r="H624" t="n">
        <v>0</v>
      </c>
      <c r="I624" t="n">
        <v>0</v>
      </c>
      <c r="J624" t="n">
        <v>0</v>
      </c>
      <c r="K624" t="n">
        <v>0</v>
      </c>
      <c r="L624" t="n">
        <v>0</v>
      </c>
      <c r="M624" t="n">
        <v>0</v>
      </c>
      <c r="N624" t="n">
        <v>0</v>
      </c>
      <c r="O624" t="n">
        <v>0</v>
      </c>
      <c r="P624" t="n">
        <v>0</v>
      </c>
      <c r="Q624" t="n">
        <v>0</v>
      </c>
      <c r="R624" s="2" t="inlineStr"/>
    </row>
    <row r="625" ht="15" customHeight="1">
      <c r="A625" t="inlineStr">
        <is>
          <t>A 52526-2025</t>
        </is>
      </c>
      <c r="B625" s="1" t="n">
        <v>45954.53061342592</v>
      </c>
      <c r="C625" s="1" t="n">
        <v>46105</v>
      </c>
      <c r="D625" t="inlineStr">
        <is>
          <t>STOCKHOLMS LÄN</t>
        </is>
      </c>
      <c r="E625" t="inlineStr">
        <is>
          <t>NORRTÄLJE</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22456-2023</t>
        </is>
      </c>
      <c r="B626" s="1" t="n">
        <v>45070</v>
      </c>
      <c r="C626" s="1" t="n">
        <v>46105</v>
      </c>
      <c r="D626" t="inlineStr">
        <is>
          <t>STOCKHOLMS LÄN</t>
        </is>
      </c>
      <c r="E626" t="inlineStr">
        <is>
          <t>NORRTÄLJE</t>
        </is>
      </c>
      <c r="G626" t="n">
        <v>3.1</v>
      </c>
      <c r="H626" t="n">
        <v>0</v>
      </c>
      <c r="I626" t="n">
        <v>0</v>
      </c>
      <c r="J626" t="n">
        <v>0</v>
      </c>
      <c r="K626" t="n">
        <v>0</v>
      </c>
      <c r="L626" t="n">
        <v>0</v>
      </c>
      <c r="M626" t="n">
        <v>0</v>
      </c>
      <c r="N626" t="n">
        <v>0</v>
      </c>
      <c r="O626" t="n">
        <v>0</v>
      </c>
      <c r="P626" t="n">
        <v>0</v>
      </c>
      <c r="Q626" t="n">
        <v>0</v>
      </c>
      <c r="R626" s="2" t="inlineStr"/>
    </row>
    <row r="627" ht="15" customHeight="1">
      <c r="A627" t="inlineStr">
        <is>
          <t>A 19580-2022</t>
        </is>
      </c>
      <c r="B627" s="1" t="n">
        <v>44693</v>
      </c>
      <c r="C627" s="1" t="n">
        <v>46105</v>
      </c>
      <c r="D627" t="inlineStr">
        <is>
          <t>STOCKHOLMS LÄN</t>
        </is>
      </c>
      <c r="E627" t="inlineStr">
        <is>
          <t>NORRTÄLJE</t>
        </is>
      </c>
      <c r="G627" t="n">
        <v>0.4</v>
      </c>
      <c r="H627" t="n">
        <v>0</v>
      </c>
      <c r="I627" t="n">
        <v>0</v>
      </c>
      <c r="J627" t="n">
        <v>0</v>
      </c>
      <c r="K627" t="n">
        <v>0</v>
      </c>
      <c r="L627" t="n">
        <v>0</v>
      </c>
      <c r="M627" t="n">
        <v>0</v>
      </c>
      <c r="N627" t="n">
        <v>0</v>
      </c>
      <c r="O627" t="n">
        <v>0</v>
      </c>
      <c r="P627" t="n">
        <v>0</v>
      </c>
      <c r="Q627" t="n">
        <v>0</v>
      </c>
      <c r="R627" s="2" t="inlineStr"/>
    </row>
    <row r="628" ht="15" customHeight="1">
      <c r="A628" t="inlineStr">
        <is>
          <t>A 52729-2025</t>
        </is>
      </c>
      <c r="B628" s="1" t="n">
        <v>45957.3636574074</v>
      </c>
      <c r="C628" s="1" t="n">
        <v>46105</v>
      </c>
      <c r="D628" t="inlineStr">
        <is>
          <t>STOCKHOLMS LÄN</t>
        </is>
      </c>
      <c r="E628" t="inlineStr">
        <is>
          <t>NORRTÄLJE</t>
        </is>
      </c>
      <c r="F628" t="inlineStr">
        <is>
          <t>Sveaskog</t>
        </is>
      </c>
      <c r="G628" t="n">
        <v>2</v>
      </c>
      <c r="H628" t="n">
        <v>0</v>
      </c>
      <c r="I628" t="n">
        <v>0</v>
      </c>
      <c r="J628" t="n">
        <v>0</v>
      </c>
      <c r="K628" t="n">
        <v>0</v>
      </c>
      <c r="L628" t="n">
        <v>0</v>
      </c>
      <c r="M628" t="n">
        <v>0</v>
      </c>
      <c r="N628" t="n">
        <v>0</v>
      </c>
      <c r="O628" t="n">
        <v>0</v>
      </c>
      <c r="P628" t="n">
        <v>0</v>
      </c>
      <c r="Q628" t="n">
        <v>0</v>
      </c>
      <c r="R628" s="2" t="inlineStr"/>
    </row>
    <row r="629" ht="15" customHeight="1">
      <c r="A629" t="inlineStr">
        <is>
          <t>A 52777-2025</t>
        </is>
      </c>
      <c r="B629" s="1" t="n">
        <v>45957.41832175926</v>
      </c>
      <c r="C629" s="1" t="n">
        <v>46105</v>
      </c>
      <c r="D629" t="inlineStr">
        <is>
          <t>STOCKHOLMS LÄN</t>
        </is>
      </c>
      <c r="E629" t="inlineStr">
        <is>
          <t>NORRTÄLJE</t>
        </is>
      </c>
      <c r="F629" t="inlineStr">
        <is>
          <t>Sveaskog</t>
        </is>
      </c>
      <c r="G629" t="n">
        <v>1.9</v>
      </c>
      <c r="H629" t="n">
        <v>0</v>
      </c>
      <c r="I629" t="n">
        <v>0</v>
      </c>
      <c r="J629" t="n">
        <v>0</v>
      </c>
      <c r="K629" t="n">
        <v>0</v>
      </c>
      <c r="L629" t="n">
        <v>0</v>
      </c>
      <c r="M629" t="n">
        <v>0</v>
      </c>
      <c r="N629" t="n">
        <v>0</v>
      </c>
      <c r="O629" t="n">
        <v>0</v>
      </c>
      <c r="P629" t="n">
        <v>0</v>
      </c>
      <c r="Q629" t="n">
        <v>0</v>
      </c>
      <c r="R629" s="2" t="inlineStr"/>
    </row>
    <row r="630" ht="15" customHeight="1">
      <c r="A630" t="inlineStr">
        <is>
          <t>A 52553-2025</t>
        </is>
      </c>
      <c r="B630" s="1" t="n">
        <v>45954.5624537037</v>
      </c>
      <c r="C630" s="1" t="n">
        <v>46105</v>
      </c>
      <c r="D630" t="inlineStr">
        <is>
          <t>STOCKHOLMS LÄN</t>
        </is>
      </c>
      <c r="E630" t="inlineStr">
        <is>
          <t>NORRTÄLJE</t>
        </is>
      </c>
      <c r="G630" t="n">
        <v>4.4</v>
      </c>
      <c r="H630" t="n">
        <v>0</v>
      </c>
      <c r="I630" t="n">
        <v>0</v>
      </c>
      <c r="J630" t="n">
        <v>0</v>
      </c>
      <c r="K630" t="n">
        <v>0</v>
      </c>
      <c r="L630" t="n">
        <v>0</v>
      </c>
      <c r="M630" t="n">
        <v>0</v>
      </c>
      <c r="N630" t="n">
        <v>0</v>
      </c>
      <c r="O630" t="n">
        <v>0</v>
      </c>
      <c r="P630" t="n">
        <v>0</v>
      </c>
      <c r="Q630" t="n">
        <v>0</v>
      </c>
      <c r="R630" s="2" t="inlineStr"/>
    </row>
    <row r="631" ht="15" customHeight="1">
      <c r="A631" t="inlineStr">
        <is>
          <t>A 53087-2025</t>
        </is>
      </c>
      <c r="B631" s="1" t="n">
        <v>45958.41065972222</v>
      </c>
      <c r="C631" s="1" t="n">
        <v>46105</v>
      </c>
      <c r="D631" t="inlineStr">
        <is>
          <t>STOCKHOLMS LÄN</t>
        </is>
      </c>
      <c r="E631" t="inlineStr">
        <is>
          <t>NORRTÄLJE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5823-2023</t>
        </is>
      </c>
      <c r="B632" s="1" t="n">
        <v>44963</v>
      </c>
      <c r="C632" s="1" t="n">
        <v>46105</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30731-2023</t>
        </is>
      </c>
      <c r="B633" s="1" t="n">
        <v>45112</v>
      </c>
      <c r="C633" s="1" t="n">
        <v>46105</v>
      </c>
      <c r="D633" t="inlineStr">
        <is>
          <t>STOCKHOLMS LÄN</t>
        </is>
      </c>
      <c r="E633" t="inlineStr">
        <is>
          <t>NORRTÄLJE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52704-2025</t>
        </is>
      </c>
      <c r="B634" s="1" t="n">
        <v>45956.89097222222</v>
      </c>
      <c r="C634" s="1" t="n">
        <v>46105</v>
      </c>
      <c r="D634" t="inlineStr">
        <is>
          <t>STOCKHOLMS LÄN</t>
        </is>
      </c>
      <c r="E634" t="inlineStr">
        <is>
          <t>NORRTÄLJE</t>
        </is>
      </c>
      <c r="G634" t="n">
        <v>2.3</v>
      </c>
      <c r="H634" t="n">
        <v>0</v>
      </c>
      <c r="I634" t="n">
        <v>0</v>
      </c>
      <c r="J634" t="n">
        <v>0</v>
      </c>
      <c r="K634" t="n">
        <v>0</v>
      </c>
      <c r="L634" t="n">
        <v>0</v>
      </c>
      <c r="M634" t="n">
        <v>0</v>
      </c>
      <c r="N634" t="n">
        <v>0</v>
      </c>
      <c r="O634" t="n">
        <v>0</v>
      </c>
      <c r="P634" t="n">
        <v>0</v>
      </c>
      <c r="Q634" t="n">
        <v>0</v>
      </c>
      <c r="R634" s="2" t="inlineStr"/>
    </row>
    <row r="635" ht="15" customHeight="1">
      <c r="A635" t="inlineStr">
        <is>
          <t>A 52734-2025</t>
        </is>
      </c>
      <c r="B635" s="1" t="n">
        <v>45957.3710300926</v>
      </c>
      <c r="C635" s="1" t="n">
        <v>46105</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52773-2025</t>
        </is>
      </c>
      <c r="B636" s="1" t="n">
        <v>45957.41457175926</v>
      </c>
      <c r="C636" s="1" t="n">
        <v>46105</v>
      </c>
      <c r="D636" t="inlineStr">
        <is>
          <t>STOCKHOLMS LÄN</t>
        </is>
      </c>
      <c r="E636" t="inlineStr">
        <is>
          <t>NORRTÄLJE</t>
        </is>
      </c>
      <c r="F636" t="inlineStr">
        <is>
          <t>Sveaskog</t>
        </is>
      </c>
      <c r="G636" t="n">
        <v>10.5</v>
      </c>
      <c r="H636" t="n">
        <v>0</v>
      </c>
      <c r="I636" t="n">
        <v>0</v>
      </c>
      <c r="J636" t="n">
        <v>0</v>
      </c>
      <c r="K636" t="n">
        <v>0</v>
      </c>
      <c r="L636" t="n">
        <v>0</v>
      </c>
      <c r="M636" t="n">
        <v>0</v>
      </c>
      <c r="N636" t="n">
        <v>0</v>
      </c>
      <c r="O636" t="n">
        <v>0</v>
      </c>
      <c r="P636" t="n">
        <v>0</v>
      </c>
      <c r="Q636" t="n">
        <v>0</v>
      </c>
      <c r="R636" s="2" t="inlineStr"/>
    </row>
    <row r="637" ht="15" customHeight="1">
      <c r="A637" t="inlineStr">
        <is>
          <t>A 52776-2025</t>
        </is>
      </c>
      <c r="B637" s="1" t="n">
        <v>45957.41724537037</v>
      </c>
      <c r="C637" s="1" t="n">
        <v>46105</v>
      </c>
      <c r="D637" t="inlineStr">
        <is>
          <t>STOCKHOLMS LÄN</t>
        </is>
      </c>
      <c r="E637" t="inlineStr">
        <is>
          <t>NORRTÄLJE</t>
        </is>
      </c>
      <c r="F637" t="inlineStr">
        <is>
          <t>Sveaskog</t>
        </is>
      </c>
      <c r="G637" t="n">
        <v>2.5</v>
      </c>
      <c r="H637" t="n">
        <v>0</v>
      </c>
      <c r="I637" t="n">
        <v>0</v>
      </c>
      <c r="J637" t="n">
        <v>0</v>
      </c>
      <c r="K637" t="n">
        <v>0</v>
      </c>
      <c r="L637" t="n">
        <v>0</v>
      </c>
      <c r="M637" t="n">
        <v>0</v>
      </c>
      <c r="N637" t="n">
        <v>0</v>
      </c>
      <c r="O637" t="n">
        <v>0</v>
      </c>
      <c r="P637" t="n">
        <v>0</v>
      </c>
      <c r="Q637" t="n">
        <v>0</v>
      </c>
      <c r="R637" s="2" t="inlineStr"/>
    </row>
    <row r="638" ht="15" customHeight="1">
      <c r="A638" t="inlineStr">
        <is>
          <t>A 51653-2022</t>
        </is>
      </c>
      <c r="B638" s="1" t="n">
        <v>44867</v>
      </c>
      <c r="C638" s="1" t="n">
        <v>46105</v>
      </c>
      <c r="D638" t="inlineStr">
        <is>
          <t>STOCKHOLMS LÄN</t>
        </is>
      </c>
      <c r="E638" t="inlineStr">
        <is>
          <t>NORRTÄLJE</t>
        </is>
      </c>
      <c r="G638" t="n">
        <v>6.6</v>
      </c>
      <c r="H638" t="n">
        <v>0</v>
      </c>
      <c r="I638" t="n">
        <v>0</v>
      </c>
      <c r="J638" t="n">
        <v>0</v>
      </c>
      <c r="K638" t="n">
        <v>0</v>
      </c>
      <c r="L638" t="n">
        <v>0</v>
      </c>
      <c r="M638" t="n">
        <v>0</v>
      </c>
      <c r="N638" t="n">
        <v>0</v>
      </c>
      <c r="O638" t="n">
        <v>0</v>
      </c>
      <c r="P638" t="n">
        <v>0</v>
      </c>
      <c r="Q638" t="n">
        <v>0</v>
      </c>
      <c r="R638" s="2" t="inlineStr"/>
    </row>
    <row r="639" ht="15" customHeight="1">
      <c r="A639" t="inlineStr">
        <is>
          <t>A 52703-2025</t>
        </is>
      </c>
      <c r="B639" s="1" t="n">
        <v>45956.88643518519</v>
      </c>
      <c r="C639" s="1" t="n">
        <v>46105</v>
      </c>
      <c r="D639" t="inlineStr">
        <is>
          <t>STOCKHOLMS LÄN</t>
        </is>
      </c>
      <c r="E639" t="inlineStr">
        <is>
          <t>NORRTÄLJE</t>
        </is>
      </c>
      <c r="G639" t="n">
        <v>4.7</v>
      </c>
      <c r="H639" t="n">
        <v>0</v>
      </c>
      <c r="I639" t="n">
        <v>0</v>
      </c>
      <c r="J639" t="n">
        <v>0</v>
      </c>
      <c r="K639" t="n">
        <v>0</v>
      </c>
      <c r="L639" t="n">
        <v>0</v>
      </c>
      <c r="M639" t="n">
        <v>0</v>
      </c>
      <c r="N639" t="n">
        <v>0</v>
      </c>
      <c r="O639" t="n">
        <v>0</v>
      </c>
      <c r="P639" t="n">
        <v>0</v>
      </c>
      <c r="Q639" t="n">
        <v>0</v>
      </c>
      <c r="R639" s="2" t="inlineStr"/>
    </row>
    <row r="640" ht="15" customHeight="1">
      <c r="A640" t="inlineStr">
        <is>
          <t>A 32103-2022</t>
        </is>
      </c>
      <c r="B640" s="1" t="n">
        <v>44778</v>
      </c>
      <c r="C640" s="1" t="n">
        <v>46105</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55952-2024</t>
        </is>
      </c>
      <c r="B641" s="1" t="n">
        <v>45623.62563657408</v>
      </c>
      <c r="C641" s="1" t="n">
        <v>46105</v>
      </c>
      <c r="D641" t="inlineStr">
        <is>
          <t>STOCKHOLMS LÄN</t>
        </is>
      </c>
      <c r="E641" t="inlineStr">
        <is>
          <t>NORRTÄLJE</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53000-2025</t>
        </is>
      </c>
      <c r="B642" s="1" t="n">
        <v>45957.74357638889</v>
      </c>
      <c r="C642" s="1" t="n">
        <v>46105</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53115-2025</t>
        </is>
      </c>
      <c r="B643" s="1" t="n">
        <v>45958.44614583333</v>
      </c>
      <c r="C643" s="1" t="n">
        <v>46105</v>
      </c>
      <c r="D643" t="inlineStr">
        <is>
          <t>STOCKHOLMS LÄN</t>
        </is>
      </c>
      <c r="E643" t="inlineStr">
        <is>
          <t>NORRTÄLJE</t>
        </is>
      </c>
      <c r="F643" t="inlineStr">
        <is>
          <t>Kyrkan</t>
        </is>
      </c>
      <c r="G643" t="n">
        <v>2.5</v>
      </c>
      <c r="H643" t="n">
        <v>0</v>
      </c>
      <c r="I643" t="n">
        <v>0</v>
      </c>
      <c r="J643" t="n">
        <v>0</v>
      </c>
      <c r="K643" t="n">
        <v>0</v>
      </c>
      <c r="L643" t="n">
        <v>0</v>
      </c>
      <c r="M643" t="n">
        <v>0</v>
      </c>
      <c r="N643" t="n">
        <v>0</v>
      </c>
      <c r="O643" t="n">
        <v>0</v>
      </c>
      <c r="P643" t="n">
        <v>0</v>
      </c>
      <c r="Q643" t="n">
        <v>0</v>
      </c>
      <c r="R643" s="2" t="inlineStr"/>
    </row>
    <row r="644" ht="15" customHeight="1">
      <c r="A644" t="inlineStr">
        <is>
          <t>A 23070-2023</t>
        </is>
      </c>
      <c r="B644" s="1" t="n">
        <v>45075</v>
      </c>
      <c r="C644" s="1" t="n">
        <v>46105</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8792-2025</t>
        </is>
      </c>
      <c r="B645" s="1" t="n">
        <v>45712</v>
      </c>
      <c r="C645" s="1" t="n">
        <v>46105</v>
      </c>
      <c r="D645" t="inlineStr">
        <is>
          <t>STOCKHOLMS LÄN</t>
        </is>
      </c>
      <c r="E645" t="inlineStr">
        <is>
          <t>NORRTÄLJE</t>
        </is>
      </c>
      <c r="F645" t="inlineStr">
        <is>
          <t>Övriga Aktiebolag</t>
        </is>
      </c>
      <c r="G645" t="n">
        <v>6.6</v>
      </c>
      <c r="H645" t="n">
        <v>0</v>
      </c>
      <c r="I645" t="n">
        <v>0</v>
      </c>
      <c r="J645" t="n">
        <v>0</v>
      </c>
      <c r="K645" t="n">
        <v>0</v>
      </c>
      <c r="L645" t="n">
        <v>0</v>
      </c>
      <c r="M645" t="n">
        <v>0</v>
      </c>
      <c r="N645" t="n">
        <v>0</v>
      </c>
      <c r="O645" t="n">
        <v>0</v>
      </c>
      <c r="P645" t="n">
        <v>0</v>
      </c>
      <c r="Q645" t="n">
        <v>0</v>
      </c>
      <c r="R645" s="2" t="inlineStr"/>
    </row>
    <row r="646" ht="15" customHeight="1">
      <c r="A646" t="inlineStr">
        <is>
          <t>A 53629-2025</t>
        </is>
      </c>
      <c r="B646" s="1" t="n">
        <v>45960.49570601852</v>
      </c>
      <c r="C646" s="1" t="n">
        <v>46105</v>
      </c>
      <c r="D646" t="inlineStr">
        <is>
          <t>STOCKHOLMS LÄN</t>
        </is>
      </c>
      <c r="E646" t="inlineStr">
        <is>
          <t>NORRTÄLJE</t>
        </is>
      </c>
      <c r="F646" t="inlineStr">
        <is>
          <t>Naturvårdsverket</t>
        </is>
      </c>
      <c r="G646" t="n">
        <v>7.9</v>
      </c>
      <c r="H646" t="n">
        <v>0</v>
      </c>
      <c r="I646" t="n">
        <v>0</v>
      </c>
      <c r="J646" t="n">
        <v>0</v>
      </c>
      <c r="K646" t="n">
        <v>0</v>
      </c>
      <c r="L646" t="n">
        <v>0</v>
      </c>
      <c r="M646" t="n">
        <v>0</v>
      </c>
      <c r="N646" t="n">
        <v>0</v>
      </c>
      <c r="O646" t="n">
        <v>0</v>
      </c>
      <c r="P646" t="n">
        <v>0</v>
      </c>
      <c r="Q646" t="n">
        <v>0</v>
      </c>
      <c r="R646" s="2" t="inlineStr"/>
    </row>
    <row r="647" ht="15" customHeight="1">
      <c r="A647" t="inlineStr">
        <is>
          <t>A 7571-2024</t>
        </is>
      </c>
      <c r="B647" s="1" t="n">
        <v>45348.46300925926</v>
      </c>
      <c r="C647" s="1" t="n">
        <v>46105</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53747-2025</t>
        </is>
      </c>
      <c r="B648" s="1" t="n">
        <v>45960.65415509259</v>
      </c>
      <c r="C648" s="1" t="n">
        <v>46105</v>
      </c>
      <c r="D648" t="inlineStr">
        <is>
          <t>STOCKHOLMS LÄN</t>
        </is>
      </c>
      <c r="E648" t="inlineStr">
        <is>
          <t>NORRTÄLJE</t>
        </is>
      </c>
      <c r="G648" t="n">
        <v>1.8</v>
      </c>
      <c r="H648" t="n">
        <v>0</v>
      </c>
      <c r="I648" t="n">
        <v>0</v>
      </c>
      <c r="J648" t="n">
        <v>0</v>
      </c>
      <c r="K648" t="n">
        <v>0</v>
      </c>
      <c r="L648" t="n">
        <v>0</v>
      </c>
      <c r="M648" t="n">
        <v>0</v>
      </c>
      <c r="N648" t="n">
        <v>0</v>
      </c>
      <c r="O648" t="n">
        <v>0</v>
      </c>
      <c r="P648" t="n">
        <v>0</v>
      </c>
      <c r="Q648" t="n">
        <v>0</v>
      </c>
      <c r="R648" s="2" t="inlineStr"/>
    </row>
    <row r="649" ht="15" customHeight="1">
      <c r="A649" t="inlineStr">
        <is>
          <t>A 53299-2025</t>
        </is>
      </c>
      <c r="B649" s="1" t="n">
        <v>45959.31901620371</v>
      </c>
      <c r="C649" s="1" t="n">
        <v>46105</v>
      </c>
      <c r="D649" t="inlineStr">
        <is>
          <t>STOCKHOLMS LÄN</t>
        </is>
      </c>
      <c r="E649" t="inlineStr">
        <is>
          <t>NORRTÄLJE</t>
        </is>
      </c>
      <c r="G649" t="n">
        <v>4.8</v>
      </c>
      <c r="H649" t="n">
        <v>0</v>
      </c>
      <c r="I649" t="n">
        <v>0</v>
      </c>
      <c r="J649" t="n">
        <v>0</v>
      </c>
      <c r="K649" t="n">
        <v>0</v>
      </c>
      <c r="L649" t="n">
        <v>0</v>
      </c>
      <c r="M649" t="n">
        <v>0</v>
      </c>
      <c r="N649" t="n">
        <v>0</v>
      </c>
      <c r="O649" t="n">
        <v>0</v>
      </c>
      <c r="P649" t="n">
        <v>0</v>
      </c>
      <c r="Q649" t="n">
        <v>0</v>
      </c>
      <c r="R649" s="2" t="inlineStr"/>
    </row>
    <row r="650" ht="15" customHeight="1">
      <c r="A650" t="inlineStr">
        <is>
          <t>A 36269-2022</t>
        </is>
      </c>
      <c r="B650" s="1" t="n">
        <v>44803</v>
      </c>
      <c r="C650" s="1" t="n">
        <v>46105</v>
      </c>
      <c r="D650" t="inlineStr">
        <is>
          <t>STOCKHOLMS LÄN</t>
        </is>
      </c>
      <c r="E650" t="inlineStr">
        <is>
          <t>NORRTÄLJE</t>
        </is>
      </c>
      <c r="G650" t="n">
        <v>2.3</v>
      </c>
      <c r="H650" t="n">
        <v>0</v>
      </c>
      <c r="I650" t="n">
        <v>0</v>
      </c>
      <c r="J650" t="n">
        <v>0</v>
      </c>
      <c r="K650" t="n">
        <v>0</v>
      </c>
      <c r="L650" t="n">
        <v>0</v>
      </c>
      <c r="M650" t="n">
        <v>0</v>
      </c>
      <c r="N650" t="n">
        <v>0</v>
      </c>
      <c r="O650" t="n">
        <v>0</v>
      </c>
      <c r="P650" t="n">
        <v>0</v>
      </c>
      <c r="Q650" t="n">
        <v>0</v>
      </c>
      <c r="R650" s="2" t="inlineStr"/>
    </row>
    <row r="651" ht="15" customHeight="1">
      <c r="A651" t="inlineStr">
        <is>
          <t>A 5665-2025</t>
        </is>
      </c>
      <c r="B651" s="1" t="n">
        <v>45693</v>
      </c>
      <c r="C651" s="1" t="n">
        <v>46105</v>
      </c>
      <c r="D651" t="inlineStr">
        <is>
          <t>STOCKHOLMS LÄN</t>
        </is>
      </c>
      <c r="E651" t="inlineStr">
        <is>
          <t>NORRTÄLJE</t>
        </is>
      </c>
      <c r="G651" t="n">
        <v>4</v>
      </c>
      <c r="H651" t="n">
        <v>0</v>
      </c>
      <c r="I651" t="n">
        <v>0</v>
      </c>
      <c r="J651" t="n">
        <v>0</v>
      </c>
      <c r="K651" t="n">
        <v>0</v>
      </c>
      <c r="L651" t="n">
        <v>0</v>
      </c>
      <c r="M651" t="n">
        <v>0</v>
      </c>
      <c r="N651" t="n">
        <v>0</v>
      </c>
      <c r="O651" t="n">
        <v>0</v>
      </c>
      <c r="P651" t="n">
        <v>0</v>
      </c>
      <c r="Q651" t="n">
        <v>0</v>
      </c>
      <c r="R651" s="2" t="inlineStr"/>
    </row>
    <row r="652" ht="15" customHeight="1">
      <c r="A652" t="inlineStr">
        <is>
          <t>A 12407-2025</t>
        </is>
      </c>
      <c r="B652" s="1" t="n">
        <v>45730.42851851852</v>
      </c>
      <c r="C652" s="1" t="n">
        <v>46105</v>
      </c>
      <c r="D652" t="inlineStr">
        <is>
          <t>STOCKHOLMS LÄN</t>
        </is>
      </c>
      <c r="E652" t="inlineStr">
        <is>
          <t>NORRTÄLJE</t>
        </is>
      </c>
      <c r="F652" t="inlineStr">
        <is>
          <t>Holmen skog AB</t>
        </is>
      </c>
      <c r="G652" t="n">
        <v>2.6</v>
      </c>
      <c r="H652" t="n">
        <v>0</v>
      </c>
      <c r="I652" t="n">
        <v>0</v>
      </c>
      <c r="J652" t="n">
        <v>0</v>
      </c>
      <c r="K652" t="n">
        <v>0</v>
      </c>
      <c r="L652" t="n">
        <v>0</v>
      </c>
      <c r="M652" t="n">
        <v>0</v>
      </c>
      <c r="N652" t="n">
        <v>0</v>
      </c>
      <c r="O652" t="n">
        <v>0</v>
      </c>
      <c r="P652" t="n">
        <v>0</v>
      </c>
      <c r="Q652" t="n">
        <v>0</v>
      </c>
      <c r="R652" s="2" t="inlineStr"/>
    </row>
    <row r="653" ht="15" customHeight="1">
      <c r="A653" t="inlineStr">
        <is>
          <t>A 26636-2023</t>
        </is>
      </c>
      <c r="B653" s="1" t="n">
        <v>45092</v>
      </c>
      <c r="C653" s="1" t="n">
        <v>46105</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26637-2023</t>
        </is>
      </c>
      <c r="B654" s="1" t="n">
        <v>45092</v>
      </c>
      <c r="C654" s="1" t="n">
        <v>46105</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23266-2023</t>
        </is>
      </c>
      <c r="B655" s="1" t="n">
        <v>45075.90817129629</v>
      </c>
      <c r="C655" s="1" t="n">
        <v>46105</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35161-2022</t>
        </is>
      </c>
      <c r="B656" s="1" t="n">
        <v>44797</v>
      </c>
      <c r="C656" s="1" t="n">
        <v>46105</v>
      </c>
      <c r="D656" t="inlineStr">
        <is>
          <t>STOCKHOLMS LÄN</t>
        </is>
      </c>
      <c r="E656" t="inlineStr">
        <is>
          <t>NORRTÄLJE</t>
        </is>
      </c>
      <c r="G656" t="n">
        <v>6</v>
      </c>
      <c r="H656" t="n">
        <v>0</v>
      </c>
      <c r="I656" t="n">
        <v>0</v>
      </c>
      <c r="J656" t="n">
        <v>0</v>
      </c>
      <c r="K656" t="n">
        <v>0</v>
      </c>
      <c r="L656" t="n">
        <v>0</v>
      </c>
      <c r="M656" t="n">
        <v>0</v>
      </c>
      <c r="N656" t="n">
        <v>0</v>
      </c>
      <c r="O656" t="n">
        <v>0</v>
      </c>
      <c r="P656" t="n">
        <v>0</v>
      </c>
      <c r="Q656" t="n">
        <v>0</v>
      </c>
      <c r="R656" s="2" t="inlineStr"/>
    </row>
    <row r="657" ht="15" customHeight="1">
      <c r="A657" t="inlineStr">
        <is>
          <t>A 58863-2024</t>
        </is>
      </c>
      <c r="B657" s="1" t="n">
        <v>45636.41572916666</v>
      </c>
      <c r="C657" s="1" t="n">
        <v>46105</v>
      </c>
      <c r="D657" t="inlineStr">
        <is>
          <t>STOCKHOLMS LÄN</t>
        </is>
      </c>
      <c r="E657" t="inlineStr">
        <is>
          <t>NORRTÄLJE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15447-2023</t>
        </is>
      </c>
      <c r="B658" s="1" t="n">
        <v>45020</v>
      </c>
      <c r="C658" s="1" t="n">
        <v>46105</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34391-2023</t>
        </is>
      </c>
      <c r="B659" s="1" t="n">
        <v>45139.51457175926</v>
      </c>
      <c r="C659" s="1" t="n">
        <v>46105</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53312-2024</t>
        </is>
      </c>
      <c r="B660" s="1" t="n">
        <v>45614.39627314815</v>
      </c>
      <c r="C660" s="1" t="n">
        <v>46105</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21158-2022</t>
        </is>
      </c>
      <c r="B661" s="1" t="n">
        <v>44704</v>
      </c>
      <c r="C661" s="1" t="n">
        <v>46105</v>
      </c>
      <c r="D661" t="inlineStr">
        <is>
          <t>STOCKHOLMS LÄN</t>
        </is>
      </c>
      <c r="E661" t="inlineStr">
        <is>
          <t>NORRTÄLJE</t>
        </is>
      </c>
      <c r="G661" t="n">
        <v>17.8</v>
      </c>
      <c r="H661" t="n">
        <v>0</v>
      </c>
      <c r="I661" t="n">
        <v>0</v>
      </c>
      <c r="J661" t="n">
        <v>0</v>
      </c>
      <c r="K661" t="n">
        <v>0</v>
      </c>
      <c r="L661" t="n">
        <v>0</v>
      </c>
      <c r="M661" t="n">
        <v>0</v>
      </c>
      <c r="N661" t="n">
        <v>0</v>
      </c>
      <c r="O661" t="n">
        <v>0</v>
      </c>
      <c r="P661" t="n">
        <v>0</v>
      </c>
      <c r="Q661" t="n">
        <v>0</v>
      </c>
      <c r="R661" s="2" t="inlineStr"/>
    </row>
    <row r="662" ht="15" customHeight="1">
      <c r="A662" t="inlineStr">
        <is>
          <t>A 54907-2025</t>
        </is>
      </c>
      <c r="B662" s="1" t="n">
        <v>45967.37137731481</v>
      </c>
      <c r="C662" s="1" t="n">
        <v>46105</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15915-2023</t>
        </is>
      </c>
      <c r="B663" s="1" t="n">
        <v>45022</v>
      </c>
      <c r="C663" s="1" t="n">
        <v>46105</v>
      </c>
      <c r="D663" t="inlineStr">
        <is>
          <t>STOCKHOLMS LÄN</t>
        </is>
      </c>
      <c r="E663" t="inlineStr">
        <is>
          <t>NORRTÄLJE</t>
        </is>
      </c>
      <c r="G663" t="n">
        <v>2.9</v>
      </c>
      <c r="H663" t="n">
        <v>0</v>
      </c>
      <c r="I663" t="n">
        <v>0</v>
      </c>
      <c r="J663" t="n">
        <v>0</v>
      </c>
      <c r="K663" t="n">
        <v>0</v>
      </c>
      <c r="L663" t="n">
        <v>0</v>
      </c>
      <c r="M663" t="n">
        <v>0</v>
      </c>
      <c r="N663" t="n">
        <v>0</v>
      </c>
      <c r="O663" t="n">
        <v>0</v>
      </c>
      <c r="P663" t="n">
        <v>0</v>
      </c>
      <c r="Q663" t="n">
        <v>0</v>
      </c>
      <c r="R663" s="2" t="inlineStr"/>
    </row>
    <row r="664" ht="15" customHeight="1">
      <c r="A664" t="inlineStr">
        <is>
          <t>A 58993-2022</t>
        </is>
      </c>
      <c r="B664" s="1" t="n">
        <v>44903</v>
      </c>
      <c r="C664" s="1" t="n">
        <v>46105</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39905-2023</t>
        </is>
      </c>
      <c r="B665" s="1" t="n">
        <v>45168.44489583333</v>
      </c>
      <c r="C665" s="1" t="n">
        <v>46105</v>
      </c>
      <c r="D665" t="inlineStr">
        <is>
          <t>STOCKHOLMS LÄN</t>
        </is>
      </c>
      <c r="E665" t="inlineStr">
        <is>
          <t>NORRTÄLJE</t>
        </is>
      </c>
      <c r="F665" t="inlineStr">
        <is>
          <t>Holmen skog AB</t>
        </is>
      </c>
      <c r="G665" t="n">
        <v>1.5</v>
      </c>
      <c r="H665" t="n">
        <v>0</v>
      </c>
      <c r="I665" t="n">
        <v>0</v>
      </c>
      <c r="J665" t="n">
        <v>0</v>
      </c>
      <c r="K665" t="n">
        <v>0</v>
      </c>
      <c r="L665" t="n">
        <v>0</v>
      </c>
      <c r="M665" t="n">
        <v>0</v>
      </c>
      <c r="N665" t="n">
        <v>0</v>
      </c>
      <c r="O665" t="n">
        <v>0</v>
      </c>
      <c r="P665" t="n">
        <v>0</v>
      </c>
      <c r="Q665" t="n">
        <v>0</v>
      </c>
      <c r="R665" s="2" t="inlineStr"/>
    </row>
    <row r="666" ht="15" customHeight="1">
      <c r="A666" t="inlineStr">
        <is>
          <t>A 33793-2022</t>
        </is>
      </c>
      <c r="B666" s="1" t="n">
        <v>44790</v>
      </c>
      <c r="C666" s="1" t="n">
        <v>46105</v>
      </c>
      <c r="D666" t="inlineStr">
        <is>
          <t>STOCKHOLMS LÄN</t>
        </is>
      </c>
      <c r="E666" t="inlineStr">
        <is>
          <t>NORRTÄLJE</t>
        </is>
      </c>
      <c r="G666" t="n">
        <v>1.5</v>
      </c>
      <c r="H666" t="n">
        <v>0</v>
      </c>
      <c r="I666" t="n">
        <v>0</v>
      </c>
      <c r="J666" t="n">
        <v>0</v>
      </c>
      <c r="K666" t="n">
        <v>0</v>
      </c>
      <c r="L666" t="n">
        <v>0</v>
      </c>
      <c r="M666" t="n">
        <v>0</v>
      </c>
      <c r="N666" t="n">
        <v>0</v>
      </c>
      <c r="O666" t="n">
        <v>0</v>
      </c>
      <c r="P666" t="n">
        <v>0</v>
      </c>
      <c r="Q666" t="n">
        <v>0</v>
      </c>
      <c r="R666" s="2" t="inlineStr"/>
    </row>
    <row r="667" ht="15" customHeight="1">
      <c r="A667" t="inlineStr">
        <is>
          <t>A 55503-2025</t>
        </is>
      </c>
      <c r="B667" s="1" t="n">
        <v>45971</v>
      </c>
      <c r="C667" s="1" t="n">
        <v>46105</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17304-2024</t>
        </is>
      </c>
      <c r="B668" s="1" t="n">
        <v>45414</v>
      </c>
      <c r="C668" s="1" t="n">
        <v>46105</v>
      </c>
      <c r="D668" t="inlineStr">
        <is>
          <t>STOCKHOLMS LÄN</t>
        </is>
      </c>
      <c r="E668" t="inlineStr">
        <is>
          <t>NORRTÄLJE</t>
        </is>
      </c>
      <c r="G668" t="n">
        <v>0.9</v>
      </c>
      <c r="H668" t="n">
        <v>0</v>
      </c>
      <c r="I668" t="n">
        <v>0</v>
      </c>
      <c r="J668" t="n">
        <v>0</v>
      </c>
      <c r="K668" t="n">
        <v>0</v>
      </c>
      <c r="L668" t="n">
        <v>0</v>
      </c>
      <c r="M668" t="n">
        <v>0</v>
      </c>
      <c r="N668" t="n">
        <v>0</v>
      </c>
      <c r="O668" t="n">
        <v>0</v>
      </c>
      <c r="P668" t="n">
        <v>0</v>
      </c>
      <c r="Q668" t="n">
        <v>0</v>
      </c>
      <c r="R668" s="2" t="inlineStr"/>
    </row>
    <row r="669" ht="15" customHeight="1">
      <c r="A669" t="inlineStr">
        <is>
          <t>A 16852-2024</t>
        </is>
      </c>
      <c r="B669" s="1" t="n">
        <v>45411.54768518519</v>
      </c>
      <c r="C669" s="1" t="n">
        <v>46105</v>
      </c>
      <c r="D669" t="inlineStr">
        <is>
          <t>STOCKHOLMS LÄN</t>
        </is>
      </c>
      <c r="E669" t="inlineStr">
        <is>
          <t>NORRTÄLJE</t>
        </is>
      </c>
      <c r="F669" t="inlineStr">
        <is>
          <t>Holmen skog AB</t>
        </is>
      </c>
      <c r="G669" t="n">
        <v>1.2</v>
      </c>
      <c r="H669" t="n">
        <v>0</v>
      </c>
      <c r="I669" t="n">
        <v>0</v>
      </c>
      <c r="J669" t="n">
        <v>0</v>
      </c>
      <c r="K669" t="n">
        <v>0</v>
      </c>
      <c r="L669" t="n">
        <v>0</v>
      </c>
      <c r="M669" t="n">
        <v>0</v>
      </c>
      <c r="N669" t="n">
        <v>0</v>
      </c>
      <c r="O669" t="n">
        <v>0</v>
      </c>
      <c r="P669" t="n">
        <v>0</v>
      </c>
      <c r="Q669" t="n">
        <v>0</v>
      </c>
      <c r="R669" s="2" t="inlineStr"/>
    </row>
    <row r="670" ht="15" customHeight="1">
      <c r="A670" t="inlineStr">
        <is>
          <t>A 4326-2023</t>
        </is>
      </c>
      <c r="B670" s="1" t="n">
        <v>44953.70481481482</v>
      </c>
      <c r="C670" s="1" t="n">
        <v>46105</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55599-2025</t>
        </is>
      </c>
      <c r="B671" s="1" t="n">
        <v>45971.76810185185</v>
      </c>
      <c r="C671" s="1" t="n">
        <v>46105</v>
      </c>
      <c r="D671" t="inlineStr">
        <is>
          <t>STOCKHOLMS LÄN</t>
        </is>
      </c>
      <c r="E671" t="inlineStr">
        <is>
          <t>NORRTÄLJE</t>
        </is>
      </c>
      <c r="F671" t="inlineStr">
        <is>
          <t>Holmen skog AB</t>
        </is>
      </c>
      <c r="G671" t="n">
        <v>6.4</v>
      </c>
      <c r="H671" t="n">
        <v>0</v>
      </c>
      <c r="I671" t="n">
        <v>0</v>
      </c>
      <c r="J671" t="n">
        <v>0</v>
      </c>
      <c r="K671" t="n">
        <v>0</v>
      </c>
      <c r="L671" t="n">
        <v>0</v>
      </c>
      <c r="M671" t="n">
        <v>0</v>
      </c>
      <c r="N671" t="n">
        <v>0</v>
      </c>
      <c r="O671" t="n">
        <v>0</v>
      </c>
      <c r="P671" t="n">
        <v>0</v>
      </c>
      <c r="Q671" t="n">
        <v>0</v>
      </c>
      <c r="R671" s="2" t="inlineStr"/>
    </row>
    <row r="672" ht="15" customHeight="1">
      <c r="A672" t="inlineStr">
        <is>
          <t>A 33385-2024</t>
        </is>
      </c>
      <c r="B672" s="1" t="n">
        <v>45519</v>
      </c>
      <c r="C672" s="1" t="n">
        <v>46105</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29714-2023</t>
        </is>
      </c>
      <c r="B673" s="1" t="n">
        <v>45107.42538194444</v>
      </c>
      <c r="C673" s="1" t="n">
        <v>46105</v>
      </c>
      <c r="D673" t="inlineStr">
        <is>
          <t>STOCKHOLMS LÄN</t>
        </is>
      </c>
      <c r="E673" t="inlineStr">
        <is>
          <t>NORRTÄLJE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30508-2023</t>
        </is>
      </c>
      <c r="B674" s="1" t="n">
        <v>45111</v>
      </c>
      <c r="C674" s="1" t="n">
        <v>46105</v>
      </c>
      <c r="D674" t="inlineStr">
        <is>
          <t>STOCKHOLMS LÄN</t>
        </is>
      </c>
      <c r="E674" t="inlineStr">
        <is>
          <t>NORRTÄLJE</t>
        </is>
      </c>
      <c r="G674" t="n">
        <v>2.1</v>
      </c>
      <c r="H674" t="n">
        <v>0</v>
      </c>
      <c r="I674" t="n">
        <v>0</v>
      </c>
      <c r="J674" t="n">
        <v>0</v>
      </c>
      <c r="K674" t="n">
        <v>0</v>
      </c>
      <c r="L674" t="n">
        <v>0</v>
      </c>
      <c r="M674" t="n">
        <v>0</v>
      </c>
      <c r="N674" t="n">
        <v>0</v>
      </c>
      <c r="O674" t="n">
        <v>0</v>
      </c>
      <c r="P674" t="n">
        <v>0</v>
      </c>
      <c r="Q674" t="n">
        <v>0</v>
      </c>
      <c r="R674" s="2" t="inlineStr"/>
    </row>
    <row r="675" ht="15" customHeight="1">
      <c r="A675" t="inlineStr">
        <is>
          <t>A 56207-2025</t>
        </is>
      </c>
      <c r="B675" s="1" t="n">
        <v>45974.47329861111</v>
      </c>
      <c r="C675" s="1" t="n">
        <v>46105</v>
      </c>
      <c r="D675" t="inlineStr">
        <is>
          <t>STOCKHOLMS LÄN</t>
        </is>
      </c>
      <c r="E675" t="inlineStr">
        <is>
          <t>NORRTÄLJE</t>
        </is>
      </c>
      <c r="G675" t="n">
        <v>3.2</v>
      </c>
      <c r="H675" t="n">
        <v>0</v>
      </c>
      <c r="I675" t="n">
        <v>0</v>
      </c>
      <c r="J675" t="n">
        <v>0</v>
      </c>
      <c r="K675" t="n">
        <v>0</v>
      </c>
      <c r="L675" t="n">
        <v>0</v>
      </c>
      <c r="M675" t="n">
        <v>0</v>
      </c>
      <c r="N675" t="n">
        <v>0</v>
      </c>
      <c r="O675" t="n">
        <v>0</v>
      </c>
      <c r="P675" t="n">
        <v>0</v>
      </c>
      <c r="Q675" t="n">
        <v>0</v>
      </c>
      <c r="R675" s="2" t="inlineStr"/>
    </row>
    <row r="676" ht="15" customHeight="1">
      <c r="A676" t="inlineStr">
        <is>
          <t>A 8296-2023</t>
        </is>
      </c>
      <c r="B676" s="1" t="n">
        <v>44974</v>
      </c>
      <c r="C676" s="1" t="n">
        <v>46105</v>
      </c>
      <c r="D676" t="inlineStr">
        <is>
          <t>STOCKHOLMS LÄN</t>
        </is>
      </c>
      <c r="E676" t="inlineStr">
        <is>
          <t>NORRTÄLJE</t>
        </is>
      </c>
      <c r="G676" t="n">
        <v>3.8</v>
      </c>
      <c r="H676" t="n">
        <v>0</v>
      </c>
      <c r="I676" t="n">
        <v>0</v>
      </c>
      <c r="J676" t="n">
        <v>0</v>
      </c>
      <c r="K676" t="n">
        <v>0</v>
      </c>
      <c r="L676" t="n">
        <v>0</v>
      </c>
      <c r="M676" t="n">
        <v>0</v>
      </c>
      <c r="N676" t="n">
        <v>0</v>
      </c>
      <c r="O676" t="n">
        <v>0</v>
      </c>
      <c r="P676" t="n">
        <v>0</v>
      </c>
      <c r="Q676" t="n">
        <v>0</v>
      </c>
      <c r="R676" s="2" t="inlineStr"/>
    </row>
    <row r="677" ht="15" customHeight="1">
      <c r="A677" t="inlineStr">
        <is>
          <t>A 56114-2025</t>
        </is>
      </c>
      <c r="B677" s="1" t="n">
        <v>45973.74474537037</v>
      </c>
      <c r="C677" s="1" t="n">
        <v>46105</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31236-2022</t>
        </is>
      </c>
      <c r="B678" s="1" t="n">
        <v>44771</v>
      </c>
      <c r="C678" s="1" t="n">
        <v>46105</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52593-2024</t>
        </is>
      </c>
      <c r="B679" s="1" t="n">
        <v>45609.70778935185</v>
      </c>
      <c r="C679" s="1" t="n">
        <v>46105</v>
      </c>
      <c r="D679" t="inlineStr">
        <is>
          <t>STOCKHOLMS LÄN</t>
        </is>
      </c>
      <c r="E679" t="inlineStr">
        <is>
          <t>NORRTÄLJE</t>
        </is>
      </c>
      <c r="F679" t="inlineStr">
        <is>
          <t>Holmen skog AB</t>
        </is>
      </c>
      <c r="G679" t="n">
        <v>2.4</v>
      </c>
      <c r="H679" t="n">
        <v>0</v>
      </c>
      <c r="I679" t="n">
        <v>0</v>
      </c>
      <c r="J679" t="n">
        <v>0</v>
      </c>
      <c r="K679" t="n">
        <v>0</v>
      </c>
      <c r="L679" t="n">
        <v>0</v>
      </c>
      <c r="M679" t="n">
        <v>0</v>
      </c>
      <c r="N679" t="n">
        <v>0</v>
      </c>
      <c r="O679" t="n">
        <v>0</v>
      </c>
      <c r="P679" t="n">
        <v>0</v>
      </c>
      <c r="Q679" t="n">
        <v>0</v>
      </c>
      <c r="R679" s="2" t="inlineStr"/>
    </row>
    <row r="680" ht="15" customHeight="1">
      <c r="A680" t="inlineStr">
        <is>
          <t>A 52617-2024</t>
        </is>
      </c>
      <c r="B680" s="1" t="n">
        <v>45609.85146990741</v>
      </c>
      <c r="C680" s="1" t="n">
        <v>46105</v>
      </c>
      <c r="D680" t="inlineStr">
        <is>
          <t>STOCKHOLMS LÄN</t>
        </is>
      </c>
      <c r="E680" t="inlineStr">
        <is>
          <t>NORRTÄLJE</t>
        </is>
      </c>
      <c r="G680" t="n">
        <v>0.8</v>
      </c>
      <c r="H680" t="n">
        <v>0</v>
      </c>
      <c r="I680" t="n">
        <v>0</v>
      </c>
      <c r="J680" t="n">
        <v>0</v>
      </c>
      <c r="K680" t="n">
        <v>0</v>
      </c>
      <c r="L680" t="n">
        <v>0</v>
      </c>
      <c r="M680" t="n">
        <v>0</v>
      </c>
      <c r="N680" t="n">
        <v>0</v>
      </c>
      <c r="O680" t="n">
        <v>0</v>
      </c>
      <c r="P680" t="n">
        <v>0</v>
      </c>
      <c r="Q680" t="n">
        <v>0</v>
      </c>
      <c r="R680" s="2" t="inlineStr"/>
    </row>
    <row r="681" ht="15" customHeight="1">
      <c r="A681" t="inlineStr">
        <is>
          <t>A 27824-2022</t>
        </is>
      </c>
      <c r="B681" s="1" t="n">
        <v>44743.59331018518</v>
      </c>
      <c r="C681" s="1" t="n">
        <v>46105</v>
      </c>
      <c r="D681" t="inlineStr">
        <is>
          <t>STOCKHOLMS LÄN</t>
        </is>
      </c>
      <c r="E681" t="inlineStr">
        <is>
          <t>NORRTÄLJE</t>
        </is>
      </c>
      <c r="F681" t="inlineStr">
        <is>
          <t>Kommuner</t>
        </is>
      </c>
      <c r="G681" t="n">
        <v>3.1</v>
      </c>
      <c r="H681" t="n">
        <v>0</v>
      </c>
      <c r="I681" t="n">
        <v>0</v>
      </c>
      <c r="J681" t="n">
        <v>0</v>
      </c>
      <c r="K681" t="n">
        <v>0</v>
      </c>
      <c r="L681" t="n">
        <v>0</v>
      </c>
      <c r="M681" t="n">
        <v>0</v>
      </c>
      <c r="N681" t="n">
        <v>0</v>
      </c>
      <c r="O681" t="n">
        <v>0</v>
      </c>
      <c r="P681" t="n">
        <v>0</v>
      </c>
      <c r="Q681" t="n">
        <v>0</v>
      </c>
      <c r="R681" s="2" t="inlineStr"/>
    </row>
    <row r="682" ht="15" customHeight="1">
      <c r="A682" t="inlineStr">
        <is>
          <t>A 47521-2024</t>
        </is>
      </c>
      <c r="B682" s="1" t="n">
        <v>45587.62565972222</v>
      </c>
      <c r="C682" s="1" t="n">
        <v>46105</v>
      </c>
      <c r="D682" t="inlineStr">
        <is>
          <t>STOCKHOLMS LÄN</t>
        </is>
      </c>
      <c r="E682" t="inlineStr">
        <is>
          <t>NORRTÄLJE</t>
        </is>
      </c>
      <c r="G682" t="n">
        <v>4.7</v>
      </c>
      <c r="H682" t="n">
        <v>0</v>
      </c>
      <c r="I682" t="n">
        <v>0</v>
      </c>
      <c r="J682" t="n">
        <v>0</v>
      </c>
      <c r="K682" t="n">
        <v>0</v>
      </c>
      <c r="L682" t="n">
        <v>0</v>
      </c>
      <c r="M682" t="n">
        <v>0</v>
      </c>
      <c r="N682" t="n">
        <v>0</v>
      </c>
      <c r="O682" t="n">
        <v>0</v>
      </c>
      <c r="P682" t="n">
        <v>0</v>
      </c>
      <c r="Q682" t="n">
        <v>0</v>
      </c>
      <c r="R682" s="2" t="inlineStr"/>
    </row>
    <row r="683" ht="15" customHeight="1">
      <c r="A683" t="inlineStr">
        <is>
          <t>A 50534-2024</t>
        </is>
      </c>
      <c r="B683" s="1" t="n">
        <v>45601.56726851852</v>
      </c>
      <c r="C683" s="1" t="n">
        <v>46105</v>
      </c>
      <c r="D683" t="inlineStr">
        <is>
          <t>STOCKHOLMS LÄN</t>
        </is>
      </c>
      <c r="E683" t="inlineStr">
        <is>
          <t>NORRTÄLJE</t>
        </is>
      </c>
      <c r="G683" t="n">
        <v>2.6</v>
      </c>
      <c r="H683" t="n">
        <v>0</v>
      </c>
      <c r="I683" t="n">
        <v>0</v>
      </c>
      <c r="J683" t="n">
        <v>0</v>
      </c>
      <c r="K683" t="n">
        <v>0</v>
      </c>
      <c r="L683" t="n">
        <v>0</v>
      </c>
      <c r="M683" t="n">
        <v>0</v>
      </c>
      <c r="N683" t="n">
        <v>0</v>
      </c>
      <c r="O683" t="n">
        <v>0</v>
      </c>
      <c r="P683" t="n">
        <v>0</v>
      </c>
      <c r="Q683" t="n">
        <v>0</v>
      </c>
      <c r="R683" s="2" t="inlineStr"/>
    </row>
    <row r="684" ht="15" customHeight="1">
      <c r="A684" t="inlineStr">
        <is>
          <t>A 42094-2023</t>
        </is>
      </c>
      <c r="B684" s="1" t="n">
        <v>45177.61498842593</v>
      </c>
      <c r="C684" s="1" t="n">
        <v>46105</v>
      </c>
      <c r="D684" t="inlineStr">
        <is>
          <t>STOCKHOLMS LÄN</t>
        </is>
      </c>
      <c r="E684" t="inlineStr">
        <is>
          <t>NORRTÄLJE</t>
        </is>
      </c>
      <c r="G684" t="n">
        <v>0.3</v>
      </c>
      <c r="H684" t="n">
        <v>0</v>
      </c>
      <c r="I684" t="n">
        <v>0</v>
      </c>
      <c r="J684" t="n">
        <v>0</v>
      </c>
      <c r="K684" t="n">
        <v>0</v>
      </c>
      <c r="L684" t="n">
        <v>0</v>
      </c>
      <c r="M684" t="n">
        <v>0</v>
      </c>
      <c r="N684" t="n">
        <v>0</v>
      </c>
      <c r="O684" t="n">
        <v>0</v>
      </c>
      <c r="P684" t="n">
        <v>0</v>
      </c>
      <c r="Q684" t="n">
        <v>0</v>
      </c>
      <c r="R684" s="2" t="inlineStr"/>
    </row>
    <row r="685" ht="15" customHeight="1">
      <c r="A685" t="inlineStr">
        <is>
          <t>A 58530-2024</t>
        </is>
      </c>
      <c r="B685" s="1" t="n">
        <v>45635.44788194444</v>
      </c>
      <c r="C685" s="1" t="n">
        <v>46105</v>
      </c>
      <c r="D685" t="inlineStr">
        <is>
          <t>STOCKHOLMS LÄN</t>
        </is>
      </c>
      <c r="E685" t="inlineStr">
        <is>
          <t>NORRTÄLJE</t>
        </is>
      </c>
      <c r="G685" t="n">
        <v>4.5</v>
      </c>
      <c r="H685" t="n">
        <v>0</v>
      </c>
      <c r="I685" t="n">
        <v>0</v>
      </c>
      <c r="J685" t="n">
        <v>0</v>
      </c>
      <c r="K685" t="n">
        <v>0</v>
      </c>
      <c r="L685" t="n">
        <v>0</v>
      </c>
      <c r="M685" t="n">
        <v>0</v>
      </c>
      <c r="N685" t="n">
        <v>0</v>
      </c>
      <c r="O685" t="n">
        <v>0</v>
      </c>
      <c r="P685" t="n">
        <v>0</v>
      </c>
      <c r="Q685" t="n">
        <v>0</v>
      </c>
      <c r="R685" s="2" t="inlineStr"/>
    </row>
    <row r="686" ht="15" customHeight="1">
      <c r="A686" t="inlineStr">
        <is>
          <t>A 30620-2022</t>
        </is>
      </c>
      <c r="B686" s="1" t="n">
        <v>44763.40914351852</v>
      </c>
      <c r="C686" s="1" t="n">
        <v>46105</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57602-2024</t>
        </is>
      </c>
      <c r="B687" s="1" t="n">
        <v>45630.52866898148</v>
      </c>
      <c r="C687" s="1" t="n">
        <v>46105</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11854-2025</t>
        </is>
      </c>
      <c r="B688" s="1" t="n">
        <v>45728.38924768518</v>
      </c>
      <c r="C688" s="1" t="n">
        <v>46105</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1283-2025</t>
        </is>
      </c>
      <c r="B689" s="1" t="n">
        <v>45667.49878472222</v>
      </c>
      <c r="C689" s="1" t="n">
        <v>46105</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58142-2025</t>
        </is>
      </c>
      <c r="B690" s="1" t="n">
        <v>45982.63791666667</v>
      </c>
      <c r="C690" s="1" t="n">
        <v>46105</v>
      </c>
      <c r="D690" t="inlineStr">
        <is>
          <t>STOCKHOLMS LÄN</t>
        </is>
      </c>
      <c r="E690" t="inlineStr">
        <is>
          <t>NORRTÄLJE</t>
        </is>
      </c>
      <c r="G690" t="n">
        <v>3.3</v>
      </c>
      <c r="H690" t="n">
        <v>0</v>
      </c>
      <c r="I690" t="n">
        <v>0</v>
      </c>
      <c r="J690" t="n">
        <v>0</v>
      </c>
      <c r="K690" t="n">
        <v>0</v>
      </c>
      <c r="L690" t="n">
        <v>0</v>
      </c>
      <c r="M690" t="n">
        <v>0</v>
      </c>
      <c r="N690" t="n">
        <v>0</v>
      </c>
      <c r="O690" t="n">
        <v>0</v>
      </c>
      <c r="P690" t="n">
        <v>0</v>
      </c>
      <c r="Q690" t="n">
        <v>0</v>
      </c>
      <c r="R690" s="2" t="inlineStr"/>
    </row>
    <row r="691" ht="15" customHeight="1">
      <c r="A691" t="inlineStr">
        <is>
          <t>A 60217-2021</t>
        </is>
      </c>
      <c r="B691" s="1" t="n">
        <v>44495.5893287037</v>
      </c>
      <c r="C691" s="1" t="n">
        <v>46105</v>
      </c>
      <c r="D691" t="inlineStr">
        <is>
          <t>STOCKHOLMS LÄN</t>
        </is>
      </c>
      <c r="E691" t="inlineStr">
        <is>
          <t>NORRTÄLJE</t>
        </is>
      </c>
      <c r="G691" t="n">
        <v>4.3</v>
      </c>
      <c r="H691" t="n">
        <v>0</v>
      </c>
      <c r="I691" t="n">
        <v>0</v>
      </c>
      <c r="J691" t="n">
        <v>0</v>
      </c>
      <c r="K691" t="n">
        <v>0</v>
      </c>
      <c r="L691" t="n">
        <v>0</v>
      </c>
      <c r="M691" t="n">
        <v>0</v>
      </c>
      <c r="N691" t="n">
        <v>0</v>
      </c>
      <c r="O691" t="n">
        <v>0</v>
      </c>
      <c r="P691" t="n">
        <v>0</v>
      </c>
      <c r="Q691" t="n">
        <v>0</v>
      </c>
      <c r="R691" s="2" t="inlineStr"/>
    </row>
    <row r="692" ht="15" customHeight="1">
      <c r="A692" t="inlineStr">
        <is>
          <t>A 57953-2025</t>
        </is>
      </c>
      <c r="B692" s="1" t="n">
        <v>45982.35016203704</v>
      </c>
      <c r="C692" s="1" t="n">
        <v>46105</v>
      </c>
      <c r="D692" t="inlineStr">
        <is>
          <t>STOCKHOLMS LÄN</t>
        </is>
      </c>
      <c r="E692" t="inlineStr">
        <is>
          <t>NORRTÄLJE</t>
        </is>
      </c>
      <c r="F692" t="inlineStr">
        <is>
          <t>Sveaskog</t>
        </is>
      </c>
      <c r="G692" t="n">
        <v>3</v>
      </c>
      <c r="H692" t="n">
        <v>0</v>
      </c>
      <c r="I692" t="n">
        <v>0</v>
      </c>
      <c r="J692" t="n">
        <v>0</v>
      </c>
      <c r="K692" t="n">
        <v>0</v>
      </c>
      <c r="L692" t="n">
        <v>0</v>
      </c>
      <c r="M692" t="n">
        <v>0</v>
      </c>
      <c r="N692" t="n">
        <v>0</v>
      </c>
      <c r="O692" t="n">
        <v>0</v>
      </c>
      <c r="P692" t="n">
        <v>0</v>
      </c>
      <c r="Q692" t="n">
        <v>0</v>
      </c>
      <c r="R692" s="2" t="inlineStr"/>
    </row>
    <row r="693" ht="15" customHeight="1">
      <c r="A693" t="inlineStr">
        <is>
          <t>A 28900-2022</t>
        </is>
      </c>
      <c r="B693" s="1" t="n">
        <v>44749.55258101852</v>
      </c>
      <c r="C693" s="1" t="n">
        <v>46105</v>
      </c>
      <c r="D693" t="inlineStr">
        <is>
          <t>STOCKHOLMS LÄN</t>
        </is>
      </c>
      <c r="E693" t="inlineStr">
        <is>
          <t>NORRTÄLJE</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32514-2022</t>
        </is>
      </c>
      <c r="B694" s="1" t="n">
        <v>44782</v>
      </c>
      <c r="C694" s="1" t="n">
        <v>46105</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23125-2022</t>
        </is>
      </c>
      <c r="B695" s="1" t="n">
        <v>44719</v>
      </c>
      <c r="C695" s="1" t="n">
        <v>46105</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9329-2023</t>
        </is>
      </c>
      <c r="B696" s="1" t="n">
        <v>44980</v>
      </c>
      <c r="C696" s="1" t="n">
        <v>46105</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6855-2025</t>
        </is>
      </c>
      <c r="B697" s="1" t="n">
        <v>45700</v>
      </c>
      <c r="C697" s="1" t="n">
        <v>46105</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14873-2025</t>
        </is>
      </c>
      <c r="B698" s="1" t="n">
        <v>45743.44953703704</v>
      </c>
      <c r="C698" s="1" t="n">
        <v>46105</v>
      </c>
      <c r="D698" t="inlineStr">
        <is>
          <t>STOCKHOLMS LÄN</t>
        </is>
      </c>
      <c r="E698" t="inlineStr">
        <is>
          <t>NORRTÄLJE</t>
        </is>
      </c>
      <c r="G698" t="n">
        <v>10.2</v>
      </c>
      <c r="H698" t="n">
        <v>0</v>
      </c>
      <c r="I698" t="n">
        <v>0</v>
      </c>
      <c r="J698" t="n">
        <v>0</v>
      </c>
      <c r="K698" t="n">
        <v>0</v>
      </c>
      <c r="L698" t="n">
        <v>0</v>
      </c>
      <c r="M698" t="n">
        <v>0</v>
      </c>
      <c r="N698" t="n">
        <v>0</v>
      </c>
      <c r="O698" t="n">
        <v>0</v>
      </c>
      <c r="P698" t="n">
        <v>0</v>
      </c>
      <c r="Q698" t="n">
        <v>0</v>
      </c>
      <c r="R698" s="2" t="inlineStr"/>
    </row>
    <row r="699" ht="15" customHeight="1">
      <c r="A699" t="inlineStr">
        <is>
          <t>A 8135-2025</t>
        </is>
      </c>
      <c r="B699" s="1" t="n">
        <v>45707.84997685185</v>
      </c>
      <c r="C699" s="1" t="n">
        <v>46105</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31936-2022</t>
        </is>
      </c>
      <c r="B700" s="1" t="n">
        <v>44777</v>
      </c>
      <c r="C700" s="1" t="n">
        <v>46105</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24887-2023</t>
        </is>
      </c>
      <c r="B701" s="1" t="n">
        <v>45085</v>
      </c>
      <c r="C701" s="1" t="n">
        <v>46105</v>
      </c>
      <c r="D701" t="inlineStr">
        <is>
          <t>STOCKHOLMS LÄN</t>
        </is>
      </c>
      <c r="E701" t="inlineStr">
        <is>
          <t>NORRTÄLJE</t>
        </is>
      </c>
      <c r="G701" t="n">
        <v>13.9</v>
      </c>
      <c r="H701" t="n">
        <v>0</v>
      </c>
      <c r="I701" t="n">
        <v>0</v>
      </c>
      <c r="J701" t="n">
        <v>0</v>
      </c>
      <c r="K701" t="n">
        <v>0</v>
      </c>
      <c r="L701" t="n">
        <v>0</v>
      </c>
      <c r="M701" t="n">
        <v>0</v>
      </c>
      <c r="N701" t="n">
        <v>0</v>
      </c>
      <c r="O701" t="n">
        <v>0</v>
      </c>
      <c r="P701" t="n">
        <v>0</v>
      </c>
      <c r="Q701" t="n">
        <v>0</v>
      </c>
      <c r="R701" s="2" t="inlineStr"/>
    </row>
    <row r="702" ht="15" customHeight="1">
      <c r="A702" t="inlineStr">
        <is>
          <t>A 56428-2023</t>
        </is>
      </c>
      <c r="B702" s="1" t="n">
        <v>45243.45289351852</v>
      </c>
      <c r="C702" s="1" t="n">
        <v>46105</v>
      </c>
      <c r="D702" t="inlineStr">
        <is>
          <t>STOCKHOLMS LÄN</t>
        </is>
      </c>
      <c r="E702" t="inlineStr">
        <is>
          <t>NORRTÄLJE</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58403-2025</t>
        </is>
      </c>
      <c r="B703" s="1" t="n">
        <v>45985.56777777777</v>
      </c>
      <c r="C703" s="1" t="n">
        <v>46105</v>
      </c>
      <c r="D703" t="inlineStr">
        <is>
          <t>STOCKHOLMS LÄN</t>
        </is>
      </c>
      <c r="E703" t="inlineStr">
        <is>
          <t>NORRTÄLJE</t>
        </is>
      </c>
      <c r="F703" t="inlineStr">
        <is>
          <t>Naturvårdsverket</t>
        </is>
      </c>
      <c r="G703" t="n">
        <v>13.5</v>
      </c>
      <c r="H703" t="n">
        <v>0</v>
      </c>
      <c r="I703" t="n">
        <v>0</v>
      </c>
      <c r="J703" t="n">
        <v>0</v>
      </c>
      <c r="K703" t="n">
        <v>0</v>
      </c>
      <c r="L703" t="n">
        <v>0</v>
      </c>
      <c r="M703" t="n">
        <v>0</v>
      </c>
      <c r="N703" t="n">
        <v>0</v>
      </c>
      <c r="O703" t="n">
        <v>0</v>
      </c>
      <c r="P703" t="n">
        <v>0</v>
      </c>
      <c r="Q703" t="n">
        <v>0</v>
      </c>
      <c r="R703" s="2" t="inlineStr"/>
    </row>
    <row r="704" ht="15" customHeight="1">
      <c r="A704" t="inlineStr">
        <is>
          <t>A 30338-2022</t>
        </is>
      </c>
      <c r="B704" s="1" t="n">
        <v>44760</v>
      </c>
      <c r="C704" s="1" t="n">
        <v>46105</v>
      </c>
      <c r="D704" t="inlineStr">
        <is>
          <t>STOCKHOLMS LÄN</t>
        </is>
      </c>
      <c r="E704" t="inlineStr">
        <is>
          <t>NORRTÄLJE</t>
        </is>
      </c>
      <c r="G704" t="n">
        <v>0.3</v>
      </c>
      <c r="H704" t="n">
        <v>0</v>
      </c>
      <c r="I704" t="n">
        <v>0</v>
      </c>
      <c r="J704" t="n">
        <v>0</v>
      </c>
      <c r="K704" t="n">
        <v>0</v>
      </c>
      <c r="L704" t="n">
        <v>0</v>
      </c>
      <c r="M704" t="n">
        <v>0</v>
      </c>
      <c r="N704" t="n">
        <v>0</v>
      </c>
      <c r="O704" t="n">
        <v>0</v>
      </c>
      <c r="P704" t="n">
        <v>0</v>
      </c>
      <c r="Q704" t="n">
        <v>0</v>
      </c>
      <c r="R704" s="2" t="inlineStr"/>
    </row>
    <row r="705" ht="15" customHeight="1">
      <c r="A705" t="inlineStr">
        <is>
          <t>A 18541-2023</t>
        </is>
      </c>
      <c r="B705" s="1" t="n">
        <v>45042.74291666667</v>
      </c>
      <c r="C705" s="1" t="n">
        <v>46105</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32857-2021</t>
        </is>
      </c>
      <c r="B706" s="1" t="n">
        <v>44375</v>
      </c>
      <c r="C706" s="1" t="n">
        <v>46105</v>
      </c>
      <c r="D706" t="inlineStr">
        <is>
          <t>STOCKHOLMS LÄN</t>
        </is>
      </c>
      <c r="E706" t="inlineStr">
        <is>
          <t>NORRTÄLJE</t>
        </is>
      </c>
      <c r="G706" t="n">
        <v>2.9</v>
      </c>
      <c r="H706" t="n">
        <v>0</v>
      </c>
      <c r="I706" t="n">
        <v>0</v>
      </c>
      <c r="J706" t="n">
        <v>0</v>
      </c>
      <c r="K706" t="n">
        <v>0</v>
      </c>
      <c r="L706" t="n">
        <v>0</v>
      </c>
      <c r="M706" t="n">
        <v>0</v>
      </c>
      <c r="N706" t="n">
        <v>0</v>
      </c>
      <c r="O706" t="n">
        <v>0</v>
      </c>
      <c r="P706" t="n">
        <v>0</v>
      </c>
      <c r="Q706" t="n">
        <v>0</v>
      </c>
      <c r="R706" s="2" t="inlineStr"/>
    </row>
    <row r="707" ht="15" customHeight="1">
      <c r="A707" t="inlineStr">
        <is>
          <t>A 51325-2023</t>
        </is>
      </c>
      <c r="B707" s="1" t="n">
        <v>45219</v>
      </c>
      <c r="C707" s="1" t="n">
        <v>46105</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21729-2024</t>
        </is>
      </c>
      <c r="B708" s="1" t="n">
        <v>45442</v>
      </c>
      <c r="C708" s="1" t="n">
        <v>46105</v>
      </c>
      <c r="D708" t="inlineStr">
        <is>
          <t>STOCKHOLMS LÄN</t>
        </is>
      </c>
      <c r="E708" t="inlineStr">
        <is>
          <t>NORRTÄLJE</t>
        </is>
      </c>
      <c r="G708" t="n">
        <v>2.2</v>
      </c>
      <c r="H708" t="n">
        <v>0</v>
      </c>
      <c r="I708" t="n">
        <v>0</v>
      </c>
      <c r="J708" t="n">
        <v>0</v>
      </c>
      <c r="K708" t="n">
        <v>0</v>
      </c>
      <c r="L708" t="n">
        <v>0</v>
      </c>
      <c r="M708" t="n">
        <v>0</v>
      </c>
      <c r="N708" t="n">
        <v>0</v>
      </c>
      <c r="O708" t="n">
        <v>0</v>
      </c>
      <c r="P708" t="n">
        <v>0</v>
      </c>
      <c r="Q708" t="n">
        <v>0</v>
      </c>
      <c r="R708" s="2" t="inlineStr"/>
    </row>
    <row r="709" ht="15" customHeight="1">
      <c r="A709" t="inlineStr">
        <is>
          <t>A 21894-2023</t>
        </is>
      </c>
      <c r="B709" s="1" t="n">
        <v>45068.51783564815</v>
      </c>
      <c r="C709" s="1" t="n">
        <v>46105</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58939-2025</t>
        </is>
      </c>
      <c r="B710" s="1" t="n">
        <v>45987.5681712963</v>
      </c>
      <c r="C710" s="1" t="n">
        <v>46105</v>
      </c>
      <c r="D710" t="inlineStr">
        <is>
          <t>STOCKHOLMS LÄN</t>
        </is>
      </c>
      <c r="E710" t="inlineStr">
        <is>
          <t>NORRTÄLJE</t>
        </is>
      </c>
      <c r="G710" t="n">
        <v>2</v>
      </c>
      <c r="H710" t="n">
        <v>0</v>
      </c>
      <c r="I710" t="n">
        <v>0</v>
      </c>
      <c r="J710" t="n">
        <v>0</v>
      </c>
      <c r="K710" t="n">
        <v>0</v>
      </c>
      <c r="L710" t="n">
        <v>0</v>
      </c>
      <c r="M710" t="n">
        <v>0</v>
      </c>
      <c r="N710" t="n">
        <v>0</v>
      </c>
      <c r="O710" t="n">
        <v>0</v>
      </c>
      <c r="P710" t="n">
        <v>0</v>
      </c>
      <c r="Q710" t="n">
        <v>0</v>
      </c>
      <c r="R710" s="2" t="inlineStr"/>
    </row>
    <row r="711" ht="15" customHeight="1">
      <c r="A711" t="inlineStr">
        <is>
          <t>A 21732-2023</t>
        </is>
      </c>
      <c r="B711" s="1" t="n">
        <v>45063</v>
      </c>
      <c r="C711" s="1" t="n">
        <v>46105</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57788-2025</t>
        </is>
      </c>
      <c r="B712" s="1" t="n">
        <v>45981.5778125</v>
      </c>
      <c r="C712" s="1" t="n">
        <v>46105</v>
      </c>
      <c r="D712" t="inlineStr">
        <is>
          <t>STOCKHOLMS LÄN</t>
        </is>
      </c>
      <c r="E712" t="inlineStr">
        <is>
          <t>NORRTÄLJE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7806-2025</t>
        </is>
      </c>
      <c r="B713" s="1" t="n">
        <v>45706.61178240741</v>
      </c>
      <c r="C713" s="1" t="n">
        <v>46105</v>
      </c>
      <c r="D713" t="inlineStr">
        <is>
          <t>STOCKHOLMS LÄN</t>
        </is>
      </c>
      <c r="E713" t="inlineStr">
        <is>
          <t>NORRTÄLJE</t>
        </is>
      </c>
      <c r="F713" t="inlineStr">
        <is>
          <t>Holmen skog AB</t>
        </is>
      </c>
      <c r="G713" t="n">
        <v>3.5</v>
      </c>
      <c r="H713" t="n">
        <v>0</v>
      </c>
      <c r="I713" t="n">
        <v>0</v>
      </c>
      <c r="J713" t="n">
        <v>0</v>
      </c>
      <c r="K713" t="n">
        <v>0</v>
      </c>
      <c r="L713" t="n">
        <v>0</v>
      </c>
      <c r="M713" t="n">
        <v>0</v>
      </c>
      <c r="N713" t="n">
        <v>0</v>
      </c>
      <c r="O713" t="n">
        <v>0</v>
      </c>
      <c r="P713" t="n">
        <v>0</v>
      </c>
      <c r="Q713" t="n">
        <v>0</v>
      </c>
      <c r="R713" s="2" t="inlineStr"/>
    </row>
    <row r="714" ht="15" customHeight="1">
      <c r="A714" t="inlineStr">
        <is>
          <t>A 37444-2021</t>
        </is>
      </c>
      <c r="B714" s="1" t="n">
        <v>44398</v>
      </c>
      <c r="C714" s="1" t="n">
        <v>46105</v>
      </c>
      <c r="D714" t="inlineStr">
        <is>
          <t>STOCKHOLMS LÄN</t>
        </is>
      </c>
      <c r="E714" t="inlineStr">
        <is>
          <t>NORRTÄLJE</t>
        </is>
      </c>
      <c r="F714" t="inlineStr">
        <is>
          <t>Holmen skog AB</t>
        </is>
      </c>
      <c r="G714" t="n">
        <v>3.2</v>
      </c>
      <c r="H714" t="n">
        <v>0</v>
      </c>
      <c r="I714" t="n">
        <v>0</v>
      </c>
      <c r="J714" t="n">
        <v>0</v>
      </c>
      <c r="K714" t="n">
        <v>0</v>
      </c>
      <c r="L714" t="n">
        <v>0</v>
      </c>
      <c r="M714" t="n">
        <v>0</v>
      </c>
      <c r="N714" t="n">
        <v>0</v>
      </c>
      <c r="O714" t="n">
        <v>0</v>
      </c>
      <c r="P714" t="n">
        <v>0</v>
      </c>
      <c r="Q714" t="n">
        <v>0</v>
      </c>
      <c r="R714" s="2" t="inlineStr"/>
    </row>
    <row r="715" ht="15" customHeight="1">
      <c r="A715" t="inlineStr">
        <is>
          <t>A 59672-2025</t>
        </is>
      </c>
      <c r="B715" s="1" t="n">
        <v>45992.45884259259</v>
      </c>
      <c r="C715" s="1" t="n">
        <v>46105</v>
      </c>
      <c r="D715" t="inlineStr">
        <is>
          <t>STOCKHOLMS LÄN</t>
        </is>
      </c>
      <c r="E715" t="inlineStr">
        <is>
          <t>NORRTÄLJE</t>
        </is>
      </c>
      <c r="G715" t="n">
        <v>4</v>
      </c>
      <c r="H715" t="n">
        <v>0</v>
      </c>
      <c r="I715" t="n">
        <v>0</v>
      </c>
      <c r="J715" t="n">
        <v>0</v>
      </c>
      <c r="K715" t="n">
        <v>0</v>
      </c>
      <c r="L715" t="n">
        <v>0</v>
      </c>
      <c r="M715" t="n">
        <v>0</v>
      </c>
      <c r="N715" t="n">
        <v>0</v>
      </c>
      <c r="O715" t="n">
        <v>0</v>
      </c>
      <c r="P715" t="n">
        <v>0</v>
      </c>
      <c r="Q715" t="n">
        <v>0</v>
      </c>
      <c r="R715" s="2" t="inlineStr"/>
    </row>
    <row r="716" ht="15" customHeight="1">
      <c r="A716" t="inlineStr">
        <is>
          <t>A 45173-2023</t>
        </is>
      </c>
      <c r="B716" s="1" t="n">
        <v>45191</v>
      </c>
      <c r="C716" s="1" t="n">
        <v>46105</v>
      </c>
      <c r="D716" t="inlineStr">
        <is>
          <t>STOCKHOLMS LÄN</t>
        </is>
      </c>
      <c r="E716" t="inlineStr">
        <is>
          <t>NORRTÄLJE</t>
        </is>
      </c>
      <c r="F716" t="inlineStr">
        <is>
          <t>Sveaskog</t>
        </is>
      </c>
      <c r="G716" t="n">
        <v>3.6</v>
      </c>
      <c r="H716" t="n">
        <v>0</v>
      </c>
      <c r="I716" t="n">
        <v>0</v>
      </c>
      <c r="J716" t="n">
        <v>0</v>
      </c>
      <c r="K716" t="n">
        <v>0</v>
      </c>
      <c r="L716" t="n">
        <v>0</v>
      </c>
      <c r="M716" t="n">
        <v>0</v>
      </c>
      <c r="N716" t="n">
        <v>0</v>
      </c>
      <c r="O716" t="n">
        <v>0</v>
      </c>
      <c r="P716" t="n">
        <v>0</v>
      </c>
      <c r="Q716" t="n">
        <v>0</v>
      </c>
      <c r="R716" s="2" t="inlineStr"/>
    </row>
    <row r="717" ht="15" customHeight="1">
      <c r="A717" t="inlineStr">
        <is>
          <t>A 60223-2025</t>
        </is>
      </c>
      <c r="B717" s="1" t="n">
        <v>45994.54497685185</v>
      </c>
      <c r="C717" s="1" t="n">
        <v>46105</v>
      </c>
      <c r="D717" t="inlineStr">
        <is>
          <t>STOCKHOLMS LÄN</t>
        </is>
      </c>
      <c r="E717" t="inlineStr">
        <is>
          <t>NORRTÄLJE</t>
        </is>
      </c>
      <c r="G717" t="n">
        <v>2.4</v>
      </c>
      <c r="H717" t="n">
        <v>0</v>
      </c>
      <c r="I717" t="n">
        <v>0</v>
      </c>
      <c r="J717" t="n">
        <v>0</v>
      </c>
      <c r="K717" t="n">
        <v>0</v>
      </c>
      <c r="L717" t="n">
        <v>0</v>
      </c>
      <c r="M717" t="n">
        <v>0</v>
      </c>
      <c r="N717" t="n">
        <v>0</v>
      </c>
      <c r="O717" t="n">
        <v>0</v>
      </c>
      <c r="P717" t="n">
        <v>0</v>
      </c>
      <c r="Q717" t="n">
        <v>0</v>
      </c>
      <c r="R717" s="2" t="inlineStr"/>
    </row>
    <row r="718" ht="15" customHeight="1">
      <c r="A718" t="inlineStr">
        <is>
          <t>A 59914-2025</t>
        </is>
      </c>
      <c r="B718" s="1" t="n">
        <v>45993.37056712963</v>
      </c>
      <c r="C718" s="1" t="n">
        <v>46105</v>
      </c>
      <c r="D718" t="inlineStr">
        <is>
          <t>STOCKHOLMS LÄN</t>
        </is>
      </c>
      <c r="E718" t="inlineStr">
        <is>
          <t>NORRTÄLJE</t>
        </is>
      </c>
      <c r="G718" t="n">
        <v>0.7</v>
      </c>
      <c r="H718" t="n">
        <v>0</v>
      </c>
      <c r="I718" t="n">
        <v>0</v>
      </c>
      <c r="J718" t="n">
        <v>0</v>
      </c>
      <c r="K718" t="n">
        <v>0</v>
      </c>
      <c r="L718" t="n">
        <v>0</v>
      </c>
      <c r="M718" t="n">
        <v>0</v>
      </c>
      <c r="N718" t="n">
        <v>0</v>
      </c>
      <c r="O718" t="n">
        <v>0</v>
      </c>
      <c r="P718" t="n">
        <v>0</v>
      </c>
      <c r="Q718" t="n">
        <v>0</v>
      </c>
      <c r="R718" s="2" t="inlineStr"/>
    </row>
    <row r="719" ht="15" customHeight="1">
      <c r="A719" t="inlineStr">
        <is>
          <t>A 59041-2025</t>
        </is>
      </c>
      <c r="B719" s="1" t="n">
        <v>45988</v>
      </c>
      <c r="C719" s="1" t="n">
        <v>46105</v>
      </c>
      <c r="D719" t="inlineStr">
        <is>
          <t>STOCKHOLMS LÄN</t>
        </is>
      </c>
      <c r="E719" t="inlineStr">
        <is>
          <t>NORRTÄLJE</t>
        </is>
      </c>
      <c r="G719" t="n">
        <v>6.6</v>
      </c>
      <c r="H719" t="n">
        <v>0</v>
      </c>
      <c r="I719" t="n">
        <v>0</v>
      </c>
      <c r="J719" t="n">
        <v>0</v>
      </c>
      <c r="K719" t="n">
        <v>0</v>
      </c>
      <c r="L719" t="n">
        <v>0</v>
      </c>
      <c r="M719" t="n">
        <v>0</v>
      </c>
      <c r="N719" t="n">
        <v>0</v>
      </c>
      <c r="O719" t="n">
        <v>0</v>
      </c>
      <c r="P719" t="n">
        <v>0</v>
      </c>
      <c r="Q719" t="n">
        <v>0</v>
      </c>
      <c r="R719" s="2" t="inlineStr"/>
    </row>
    <row r="720" ht="15" customHeight="1">
      <c r="A720" t="inlineStr">
        <is>
          <t>A 60214-2025</t>
        </is>
      </c>
      <c r="B720" s="1" t="n">
        <v>45994.53761574074</v>
      </c>
      <c r="C720" s="1" t="n">
        <v>46105</v>
      </c>
      <c r="D720" t="inlineStr">
        <is>
          <t>STOCKHOLMS LÄN</t>
        </is>
      </c>
      <c r="E720" t="inlineStr">
        <is>
          <t>NORRTÄLJE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64137-2021</t>
        </is>
      </c>
      <c r="B721" s="1" t="n">
        <v>44510.51422453704</v>
      </c>
      <c r="C721" s="1" t="n">
        <v>46105</v>
      </c>
      <c r="D721" t="inlineStr">
        <is>
          <t>STOCKHOLMS LÄN</t>
        </is>
      </c>
      <c r="E721" t="inlineStr">
        <is>
          <t>NORRTÄLJE</t>
        </is>
      </c>
      <c r="F721" t="inlineStr">
        <is>
          <t>Holmen skog AB</t>
        </is>
      </c>
      <c r="G721" t="n">
        <v>1.5</v>
      </c>
      <c r="H721" t="n">
        <v>0</v>
      </c>
      <c r="I721" t="n">
        <v>0</v>
      </c>
      <c r="J721" t="n">
        <v>0</v>
      </c>
      <c r="K721" t="n">
        <v>0</v>
      </c>
      <c r="L721" t="n">
        <v>0</v>
      </c>
      <c r="M721" t="n">
        <v>0</v>
      </c>
      <c r="N721" t="n">
        <v>0</v>
      </c>
      <c r="O721" t="n">
        <v>0</v>
      </c>
      <c r="P721" t="n">
        <v>0</v>
      </c>
      <c r="Q721" t="n">
        <v>0</v>
      </c>
      <c r="R721" s="2" t="inlineStr"/>
    </row>
    <row r="722" ht="15" customHeight="1">
      <c r="A722" t="inlineStr">
        <is>
          <t>A 60253-2025</t>
        </is>
      </c>
      <c r="B722" s="1" t="n">
        <v>45994.59827546297</v>
      </c>
      <c r="C722" s="1" t="n">
        <v>46105</v>
      </c>
      <c r="D722" t="inlineStr">
        <is>
          <t>STOCKHOLMS LÄN</t>
        </is>
      </c>
      <c r="E722" t="inlineStr">
        <is>
          <t>NORRTÄLJE</t>
        </is>
      </c>
      <c r="F722" t="inlineStr">
        <is>
          <t>Holmen skog AB</t>
        </is>
      </c>
      <c r="G722" t="n">
        <v>3.6</v>
      </c>
      <c r="H722" t="n">
        <v>0</v>
      </c>
      <c r="I722" t="n">
        <v>0</v>
      </c>
      <c r="J722" t="n">
        <v>0</v>
      </c>
      <c r="K722" t="n">
        <v>0</v>
      </c>
      <c r="L722" t="n">
        <v>0</v>
      </c>
      <c r="M722" t="n">
        <v>0</v>
      </c>
      <c r="N722" t="n">
        <v>0</v>
      </c>
      <c r="O722" t="n">
        <v>0</v>
      </c>
      <c r="P722" t="n">
        <v>0</v>
      </c>
      <c r="Q722" t="n">
        <v>0</v>
      </c>
      <c r="R722" s="2" t="inlineStr"/>
    </row>
    <row r="723" ht="15" customHeight="1">
      <c r="A723" t="inlineStr">
        <is>
          <t>A 59907-2025</t>
        </is>
      </c>
      <c r="B723" s="1" t="n">
        <v>45993.35350694445</v>
      </c>
      <c r="C723" s="1" t="n">
        <v>46105</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59924-2025</t>
        </is>
      </c>
      <c r="B724" s="1" t="n">
        <v>45993.38928240741</v>
      </c>
      <c r="C724" s="1" t="n">
        <v>46105</v>
      </c>
      <c r="D724" t="inlineStr">
        <is>
          <t>STOCKHOLMS LÄN</t>
        </is>
      </c>
      <c r="E724" t="inlineStr">
        <is>
          <t>NORRTÄLJE</t>
        </is>
      </c>
      <c r="G724" t="n">
        <v>2.1</v>
      </c>
      <c r="H724" t="n">
        <v>0</v>
      </c>
      <c r="I724" t="n">
        <v>0</v>
      </c>
      <c r="J724" t="n">
        <v>0</v>
      </c>
      <c r="K724" t="n">
        <v>0</v>
      </c>
      <c r="L724" t="n">
        <v>0</v>
      </c>
      <c r="M724" t="n">
        <v>0</v>
      </c>
      <c r="N724" t="n">
        <v>0</v>
      </c>
      <c r="O724" t="n">
        <v>0</v>
      </c>
      <c r="P724" t="n">
        <v>0</v>
      </c>
      <c r="Q724" t="n">
        <v>0</v>
      </c>
      <c r="R724" s="2" t="inlineStr"/>
    </row>
    <row r="725" ht="15" customHeight="1">
      <c r="A725" t="inlineStr">
        <is>
          <t>A 38720-2022</t>
        </is>
      </c>
      <c r="B725" s="1" t="n">
        <v>44815.74539351852</v>
      </c>
      <c r="C725" s="1" t="n">
        <v>46105</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34432-2021</t>
        </is>
      </c>
      <c r="B726" s="1" t="n">
        <v>44380.77346064815</v>
      </c>
      <c r="C726" s="1" t="n">
        <v>46105</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19911-2025</t>
        </is>
      </c>
      <c r="B727" s="1" t="n">
        <v>45771</v>
      </c>
      <c r="C727" s="1" t="n">
        <v>46105</v>
      </c>
      <c r="D727" t="inlineStr">
        <is>
          <t>STOCKHOLMS LÄN</t>
        </is>
      </c>
      <c r="E727" t="inlineStr">
        <is>
          <t>NORRTÄLJE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60649-2025</t>
        </is>
      </c>
      <c r="B728" s="1" t="n">
        <v>45996.4560300926</v>
      </c>
      <c r="C728" s="1" t="n">
        <v>46105</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14130-2025</t>
        </is>
      </c>
      <c r="B729" s="1" t="n">
        <v>45740.47288194444</v>
      </c>
      <c r="C729" s="1" t="n">
        <v>46105</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12532-2025</t>
        </is>
      </c>
      <c r="B730" s="1" t="n">
        <v>45730.69143518519</v>
      </c>
      <c r="C730" s="1" t="n">
        <v>46105</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40175-2024</t>
        </is>
      </c>
      <c r="B731" s="1" t="n">
        <v>45554.55707175926</v>
      </c>
      <c r="C731" s="1" t="n">
        <v>46105</v>
      </c>
      <c r="D731" t="inlineStr">
        <is>
          <t>STOCKHOLMS LÄN</t>
        </is>
      </c>
      <c r="E731" t="inlineStr">
        <is>
          <t>NORRTÄLJE</t>
        </is>
      </c>
      <c r="G731" t="n">
        <v>7.7</v>
      </c>
      <c r="H731" t="n">
        <v>0</v>
      </c>
      <c r="I731" t="n">
        <v>0</v>
      </c>
      <c r="J731" t="n">
        <v>0</v>
      </c>
      <c r="K731" t="n">
        <v>0</v>
      </c>
      <c r="L731" t="n">
        <v>0</v>
      </c>
      <c r="M731" t="n">
        <v>0</v>
      </c>
      <c r="N731" t="n">
        <v>0</v>
      </c>
      <c r="O731" t="n">
        <v>0</v>
      </c>
      <c r="P731" t="n">
        <v>0</v>
      </c>
      <c r="Q731" t="n">
        <v>0</v>
      </c>
      <c r="R731" s="2" t="inlineStr"/>
    </row>
    <row r="732" ht="15" customHeight="1">
      <c r="A732" t="inlineStr">
        <is>
          <t>A 16229-2022</t>
        </is>
      </c>
      <c r="B732" s="1" t="n">
        <v>44670.4190162037</v>
      </c>
      <c r="C732" s="1" t="n">
        <v>46105</v>
      </c>
      <c r="D732" t="inlineStr">
        <is>
          <t>STOCKHOLMS LÄN</t>
        </is>
      </c>
      <c r="E732" t="inlineStr">
        <is>
          <t>NORRTÄLJE</t>
        </is>
      </c>
      <c r="G732" t="n">
        <v>7.4</v>
      </c>
      <c r="H732" t="n">
        <v>0</v>
      </c>
      <c r="I732" t="n">
        <v>0</v>
      </c>
      <c r="J732" t="n">
        <v>0</v>
      </c>
      <c r="K732" t="n">
        <v>0</v>
      </c>
      <c r="L732" t="n">
        <v>0</v>
      </c>
      <c r="M732" t="n">
        <v>0</v>
      </c>
      <c r="N732" t="n">
        <v>0</v>
      </c>
      <c r="O732" t="n">
        <v>0</v>
      </c>
      <c r="P732" t="n">
        <v>0</v>
      </c>
      <c r="Q732" t="n">
        <v>0</v>
      </c>
      <c r="R732" s="2" t="inlineStr"/>
    </row>
    <row r="733" ht="15" customHeight="1">
      <c r="A733" t="inlineStr">
        <is>
          <t>A 60745-2025</t>
        </is>
      </c>
      <c r="B733" s="1" t="n">
        <v>45999.37753472223</v>
      </c>
      <c r="C733" s="1" t="n">
        <v>46105</v>
      </c>
      <c r="D733" t="inlineStr">
        <is>
          <t>STOCKHOLMS LÄN</t>
        </is>
      </c>
      <c r="E733" t="inlineStr">
        <is>
          <t>NORRTÄLJE</t>
        </is>
      </c>
      <c r="G733" t="n">
        <v>2</v>
      </c>
      <c r="H733" t="n">
        <v>0</v>
      </c>
      <c r="I733" t="n">
        <v>0</v>
      </c>
      <c r="J733" t="n">
        <v>0</v>
      </c>
      <c r="K733" t="n">
        <v>0</v>
      </c>
      <c r="L733" t="n">
        <v>0</v>
      </c>
      <c r="M733" t="n">
        <v>0</v>
      </c>
      <c r="N733" t="n">
        <v>0</v>
      </c>
      <c r="O733" t="n">
        <v>0</v>
      </c>
      <c r="P733" t="n">
        <v>0</v>
      </c>
      <c r="Q733" t="n">
        <v>0</v>
      </c>
      <c r="R733" s="2" t="inlineStr"/>
    </row>
    <row r="734" ht="15" customHeight="1">
      <c r="A734" t="inlineStr">
        <is>
          <t>A 46914-2022</t>
        </is>
      </c>
      <c r="B734" s="1" t="n">
        <v>44851</v>
      </c>
      <c r="C734" s="1" t="n">
        <v>46105</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60928-2025</t>
        </is>
      </c>
      <c r="B735" s="1" t="n">
        <v>45999.633125</v>
      </c>
      <c r="C735" s="1" t="n">
        <v>46105</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60948-2025</t>
        </is>
      </c>
      <c r="B736" s="1" t="n">
        <v>45999.650625</v>
      </c>
      <c r="C736" s="1" t="n">
        <v>46105</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20244-2025</t>
        </is>
      </c>
      <c r="B737" s="1" t="n">
        <v>45772.71221064815</v>
      </c>
      <c r="C737" s="1" t="n">
        <v>46105</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50143-2023</t>
        </is>
      </c>
      <c r="B738" s="1" t="n">
        <v>45215</v>
      </c>
      <c r="C738" s="1" t="n">
        <v>46105</v>
      </c>
      <c r="D738" t="inlineStr">
        <is>
          <t>STOCKHOLMS LÄN</t>
        </is>
      </c>
      <c r="E738" t="inlineStr">
        <is>
          <t>NORRTÄLJE</t>
        </is>
      </c>
      <c r="G738" t="n">
        <v>10.3</v>
      </c>
      <c r="H738" t="n">
        <v>0</v>
      </c>
      <c r="I738" t="n">
        <v>0</v>
      </c>
      <c r="J738" t="n">
        <v>0</v>
      </c>
      <c r="K738" t="n">
        <v>0</v>
      </c>
      <c r="L738" t="n">
        <v>0</v>
      </c>
      <c r="M738" t="n">
        <v>0</v>
      </c>
      <c r="N738" t="n">
        <v>0</v>
      </c>
      <c r="O738" t="n">
        <v>0</v>
      </c>
      <c r="P738" t="n">
        <v>0</v>
      </c>
      <c r="Q738" t="n">
        <v>0</v>
      </c>
      <c r="R738" s="2" t="inlineStr"/>
    </row>
    <row r="739" ht="15" customHeight="1">
      <c r="A739" t="inlineStr">
        <is>
          <t>A 61160-2025</t>
        </is>
      </c>
      <c r="B739" s="1" t="n">
        <v>46000.55262731481</v>
      </c>
      <c r="C739" s="1" t="n">
        <v>46105</v>
      </c>
      <c r="D739" t="inlineStr">
        <is>
          <t>STOCKHOLMS LÄN</t>
        </is>
      </c>
      <c r="E739" t="inlineStr">
        <is>
          <t>NORRTÄLJE</t>
        </is>
      </c>
      <c r="G739" t="n">
        <v>5.3</v>
      </c>
      <c r="H739" t="n">
        <v>0</v>
      </c>
      <c r="I739" t="n">
        <v>0</v>
      </c>
      <c r="J739" t="n">
        <v>0</v>
      </c>
      <c r="K739" t="n">
        <v>0</v>
      </c>
      <c r="L739" t="n">
        <v>0</v>
      </c>
      <c r="M739" t="n">
        <v>0</v>
      </c>
      <c r="N739" t="n">
        <v>0</v>
      </c>
      <c r="O739" t="n">
        <v>0</v>
      </c>
      <c r="P739" t="n">
        <v>0</v>
      </c>
      <c r="Q739" t="n">
        <v>0</v>
      </c>
      <c r="R739" s="2" t="inlineStr"/>
    </row>
    <row r="740" ht="15" customHeight="1">
      <c r="A740" t="inlineStr">
        <is>
          <t>A 20015-2023</t>
        </is>
      </c>
      <c r="B740" s="1" t="n">
        <v>45054</v>
      </c>
      <c r="C740" s="1" t="n">
        <v>46105</v>
      </c>
      <c r="D740" t="inlineStr">
        <is>
          <t>STOCKHOLMS LÄN</t>
        </is>
      </c>
      <c r="E740" t="inlineStr">
        <is>
          <t>NORRTÄLJE</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61769-2025</t>
        </is>
      </c>
      <c r="B741" s="1" t="n">
        <v>46002.64556712963</v>
      </c>
      <c r="C741" s="1" t="n">
        <v>46105</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5027-2025</t>
        </is>
      </c>
      <c r="B742" s="1" t="n">
        <v>45691.41101851852</v>
      </c>
      <c r="C742" s="1" t="n">
        <v>46105</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61764-2025</t>
        </is>
      </c>
      <c r="B743" s="1" t="n">
        <v>46002.62763888889</v>
      </c>
      <c r="C743" s="1" t="n">
        <v>46105</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61289-2025</t>
        </is>
      </c>
      <c r="B744" s="1" t="n">
        <v>46000.73659722223</v>
      </c>
      <c r="C744" s="1" t="n">
        <v>46105</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61419-2025</t>
        </is>
      </c>
      <c r="B745" s="1" t="n">
        <v>46001.54137731482</v>
      </c>
      <c r="C745" s="1" t="n">
        <v>46105</v>
      </c>
      <c r="D745" t="inlineStr">
        <is>
          <t>STOCKHOLMS LÄN</t>
        </is>
      </c>
      <c r="E745" t="inlineStr">
        <is>
          <t>NORRTÄLJE</t>
        </is>
      </c>
      <c r="G745" t="n">
        <v>5.2</v>
      </c>
      <c r="H745" t="n">
        <v>0</v>
      </c>
      <c r="I745" t="n">
        <v>0</v>
      </c>
      <c r="J745" t="n">
        <v>0</v>
      </c>
      <c r="K745" t="n">
        <v>0</v>
      </c>
      <c r="L745" t="n">
        <v>0</v>
      </c>
      <c r="M745" t="n">
        <v>0</v>
      </c>
      <c r="N745" t="n">
        <v>0</v>
      </c>
      <c r="O745" t="n">
        <v>0</v>
      </c>
      <c r="P745" t="n">
        <v>0</v>
      </c>
      <c r="Q745" t="n">
        <v>0</v>
      </c>
      <c r="R745" s="2" t="inlineStr"/>
    </row>
    <row r="746" ht="15" customHeight="1">
      <c r="A746" t="inlineStr">
        <is>
          <t>A 8315-2025</t>
        </is>
      </c>
      <c r="B746" s="1" t="n">
        <v>45708.61761574074</v>
      </c>
      <c r="C746" s="1" t="n">
        <v>46105</v>
      </c>
      <c r="D746" t="inlineStr">
        <is>
          <t>STOCKHOLMS LÄN</t>
        </is>
      </c>
      <c r="E746" t="inlineStr">
        <is>
          <t>NORRTÄLJE</t>
        </is>
      </c>
      <c r="G746" t="n">
        <v>3.9</v>
      </c>
      <c r="H746" t="n">
        <v>0</v>
      </c>
      <c r="I746" t="n">
        <v>0</v>
      </c>
      <c r="J746" t="n">
        <v>0</v>
      </c>
      <c r="K746" t="n">
        <v>0</v>
      </c>
      <c r="L746" t="n">
        <v>0</v>
      </c>
      <c r="M746" t="n">
        <v>0</v>
      </c>
      <c r="N746" t="n">
        <v>0</v>
      </c>
      <c r="O746" t="n">
        <v>0</v>
      </c>
      <c r="P746" t="n">
        <v>0</v>
      </c>
      <c r="Q746" t="n">
        <v>0</v>
      </c>
      <c r="R746" s="2" t="inlineStr"/>
    </row>
    <row r="747" ht="15" customHeight="1">
      <c r="A747" t="inlineStr">
        <is>
          <t>A 61430-2025</t>
        </is>
      </c>
      <c r="B747" s="1" t="n">
        <v>46001.55583333333</v>
      </c>
      <c r="C747" s="1" t="n">
        <v>46105</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61452-2025</t>
        </is>
      </c>
      <c r="B748" s="1" t="n">
        <v>46001.58043981482</v>
      </c>
      <c r="C748" s="1" t="n">
        <v>46105</v>
      </c>
      <c r="D748" t="inlineStr">
        <is>
          <t>STOCKHOLMS LÄN</t>
        </is>
      </c>
      <c r="E748" t="inlineStr">
        <is>
          <t>NORRTÄLJE</t>
        </is>
      </c>
      <c r="F748" t="inlineStr">
        <is>
          <t>Holmen skog AB</t>
        </is>
      </c>
      <c r="G748" t="n">
        <v>3.7</v>
      </c>
      <c r="H748" t="n">
        <v>0</v>
      </c>
      <c r="I748" t="n">
        <v>0</v>
      </c>
      <c r="J748" t="n">
        <v>0</v>
      </c>
      <c r="K748" t="n">
        <v>0</v>
      </c>
      <c r="L748" t="n">
        <v>0</v>
      </c>
      <c r="M748" t="n">
        <v>0</v>
      </c>
      <c r="N748" t="n">
        <v>0</v>
      </c>
      <c r="O748" t="n">
        <v>0</v>
      </c>
      <c r="P748" t="n">
        <v>0</v>
      </c>
      <c r="Q748" t="n">
        <v>0</v>
      </c>
      <c r="R748" s="2" t="inlineStr"/>
    </row>
    <row r="749" ht="15" customHeight="1">
      <c r="A749" t="inlineStr">
        <is>
          <t>A 12251-2025</t>
        </is>
      </c>
      <c r="B749" s="1" t="n">
        <v>45729.60859953704</v>
      </c>
      <c r="C749" s="1" t="n">
        <v>46105</v>
      </c>
      <c r="D749" t="inlineStr">
        <is>
          <t>STOCKHOLMS LÄN</t>
        </is>
      </c>
      <c r="E749" t="inlineStr">
        <is>
          <t>NORRTÄLJE</t>
        </is>
      </c>
      <c r="F749" t="inlineStr">
        <is>
          <t>Holmen skog AB</t>
        </is>
      </c>
      <c r="G749" t="n">
        <v>5.9</v>
      </c>
      <c r="H749" t="n">
        <v>0</v>
      </c>
      <c r="I749" t="n">
        <v>0</v>
      </c>
      <c r="J749" t="n">
        <v>0</v>
      </c>
      <c r="K749" t="n">
        <v>0</v>
      </c>
      <c r="L749" t="n">
        <v>0</v>
      </c>
      <c r="M749" t="n">
        <v>0</v>
      </c>
      <c r="N749" t="n">
        <v>0</v>
      </c>
      <c r="O749" t="n">
        <v>0</v>
      </c>
      <c r="P749" t="n">
        <v>0</v>
      </c>
      <c r="Q749" t="n">
        <v>0</v>
      </c>
      <c r="R749" s="2" t="inlineStr"/>
    </row>
    <row r="750" ht="15" customHeight="1">
      <c r="A750" t="inlineStr">
        <is>
          <t>A 53499-2025</t>
        </is>
      </c>
      <c r="B750" s="1" t="n">
        <v>45960</v>
      </c>
      <c r="C750" s="1" t="n">
        <v>46105</v>
      </c>
      <c r="D750" t="inlineStr">
        <is>
          <t>STOCKHOLMS LÄN</t>
        </is>
      </c>
      <c r="E750" t="inlineStr">
        <is>
          <t>NORRTÄLJE</t>
        </is>
      </c>
      <c r="G750" t="n">
        <v>23.8</v>
      </c>
      <c r="H750" t="n">
        <v>0</v>
      </c>
      <c r="I750" t="n">
        <v>0</v>
      </c>
      <c r="J750" t="n">
        <v>0</v>
      </c>
      <c r="K750" t="n">
        <v>0</v>
      </c>
      <c r="L750" t="n">
        <v>0</v>
      </c>
      <c r="M750" t="n">
        <v>0</v>
      </c>
      <c r="N750" t="n">
        <v>0</v>
      </c>
      <c r="O750" t="n">
        <v>0</v>
      </c>
      <c r="P750" t="n">
        <v>0</v>
      </c>
      <c r="Q750" t="n">
        <v>0</v>
      </c>
      <c r="R750" s="2" t="inlineStr"/>
    </row>
    <row r="751" ht="15" customHeight="1">
      <c r="A751" t="inlineStr">
        <is>
          <t>A 54776-2023</t>
        </is>
      </c>
      <c r="B751" s="1" t="n">
        <v>45236.46369212963</v>
      </c>
      <c r="C751" s="1" t="n">
        <v>46105</v>
      </c>
      <c r="D751" t="inlineStr">
        <is>
          <t>STOCKHOLMS LÄN</t>
        </is>
      </c>
      <c r="E751" t="inlineStr">
        <is>
          <t>NORRTÄLJE</t>
        </is>
      </c>
      <c r="G751" t="n">
        <v>0.3</v>
      </c>
      <c r="H751" t="n">
        <v>0</v>
      </c>
      <c r="I751" t="n">
        <v>0</v>
      </c>
      <c r="J751" t="n">
        <v>0</v>
      </c>
      <c r="K751" t="n">
        <v>0</v>
      </c>
      <c r="L751" t="n">
        <v>0</v>
      </c>
      <c r="M751" t="n">
        <v>0</v>
      </c>
      <c r="N751" t="n">
        <v>0</v>
      </c>
      <c r="O751" t="n">
        <v>0</v>
      </c>
      <c r="P751" t="n">
        <v>0</v>
      </c>
      <c r="Q751" t="n">
        <v>0</v>
      </c>
      <c r="R751" s="2" t="inlineStr"/>
    </row>
    <row r="752" ht="15" customHeight="1">
      <c r="A752" t="inlineStr">
        <is>
          <t>A 62708-2025</t>
        </is>
      </c>
      <c r="B752" s="1" t="n">
        <v>46008.50986111111</v>
      </c>
      <c r="C752" s="1" t="n">
        <v>46105</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20144-2023</t>
        </is>
      </c>
      <c r="B753" s="1" t="n">
        <v>45055.43509259259</v>
      </c>
      <c r="C753" s="1" t="n">
        <v>46105</v>
      </c>
      <c r="D753" t="inlineStr">
        <is>
          <t>STOCKHOLMS LÄN</t>
        </is>
      </c>
      <c r="E753" t="inlineStr">
        <is>
          <t>NORRTÄLJE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62689-2025</t>
        </is>
      </c>
      <c r="B754" s="1" t="n">
        <v>46008.47171296296</v>
      </c>
      <c r="C754" s="1" t="n">
        <v>46105</v>
      </c>
      <c r="D754" t="inlineStr">
        <is>
          <t>STOCKHOLMS LÄN</t>
        </is>
      </c>
      <c r="E754" t="inlineStr">
        <is>
          <t>NORRTÄLJE</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13314-2025</t>
        </is>
      </c>
      <c r="B755" s="1" t="n">
        <v>45735.59287037037</v>
      </c>
      <c r="C755" s="1" t="n">
        <v>46105</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33279-2025</t>
        </is>
      </c>
      <c r="B756" s="1" t="n">
        <v>45840</v>
      </c>
      <c r="C756" s="1" t="n">
        <v>46105</v>
      </c>
      <c r="D756" t="inlineStr">
        <is>
          <t>STOCKHOLMS LÄN</t>
        </is>
      </c>
      <c r="E756" t="inlineStr">
        <is>
          <t>NORRTÄLJE</t>
        </is>
      </c>
      <c r="G756" t="n">
        <v>1.8</v>
      </c>
      <c r="H756" t="n">
        <v>0</v>
      </c>
      <c r="I756" t="n">
        <v>0</v>
      </c>
      <c r="J756" t="n">
        <v>0</v>
      </c>
      <c r="K756" t="n">
        <v>0</v>
      </c>
      <c r="L756" t="n">
        <v>0</v>
      </c>
      <c r="M756" t="n">
        <v>0</v>
      </c>
      <c r="N756" t="n">
        <v>0</v>
      </c>
      <c r="O756" t="n">
        <v>0</v>
      </c>
      <c r="P756" t="n">
        <v>0</v>
      </c>
      <c r="Q756" t="n">
        <v>0</v>
      </c>
      <c r="R756" s="2" t="inlineStr"/>
    </row>
    <row r="757" ht="15" customHeight="1">
      <c r="A757" t="inlineStr">
        <is>
          <t>A 23056-2023</t>
        </is>
      </c>
      <c r="B757" s="1" t="n">
        <v>45075</v>
      </c>
      <c r="C757" s="1" t="n">
        <v>46105</v>
      </c>
      <c r="D757" t="inlineStr">
        <is>
          <t>STOCKHOLMS LÄN</t>
        </is>
      </c>
      <c r="E757" t="inlineStr">
        <is>
          <t>NORRTÄLJE</t>
        </is>
      </c>
      <c r="G757" t="n">
        <v>1.7</v>
      </c>
      <c r="H757" t="n">
        <v>0</v>
      </c>
      <c r="I757" t="n">
        <v>0</v>
      </c>
      <c r="J757" t="n">
        <v>0</v>
      </c>
      <c r="K757" t="n">
        <v>0</v>
      </c>
      <c r="L757" t="n">
        <v>0</v>
      </c>
      <c r="M757" t="n">
        <v>0</v>
      </c>
      <c r="N757" t="n">
        <v>0</v>
      </c>
      <c r="O757" t="n">
        <v>0</v>
      </c>
      <c r="P757" t="n">
        <v>0</v>
      </c>
      <c r="Q757" t="n">
        <v>0</v>
      </c>
      <c r="R757" s="2" t="inlineStr"/>
    </row>
    <row r="758" ht="15" customHeight="1">
      <c r="A758" t="inlineStr">
        <is>
          <t>A 13172-2025</t>
        </is>
      </c>
      <c r="B758" s="1" t="n">
        <v>45735.36873842592</v>
      </c>
      <c r="C758" s="1" t="n">
        <v>46105</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62681-2025</t>
        </is>
      </c>
      <c r="B759" s="1" t="n">
        <v>46008.45534722223</v>
      </c>
      <c r="C759" s="1" t="n">
        <v>46105</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34478-2025</t>
        </is>
      </c>
      <c r="B760" s="1" t="n">
        <v>45847</v>
      </c>
      <c r="C760" s="1" t="n">
        <v>46105</v>
      </c>
      <c r="D760" t="inlineStr">
        <is>
          <t>STOCKHOLMS LÄN</t>
        </is>
      </c>
      <c r="E760" t="inlineStr">
        <is>
          <t>NORRTÄLJE</t>
        </is>
      </c>
      <c r="F760" t="inlineStr">
        <is>
          <t>Övriga Aktiebolag</t>
        </is>
      </c>
      <c r="G760" t="n">
        <v>10.8</v>
      </c>
      <c r="H760" t="n">
        <v>0</v>
      </c>
      <c r="I760" t="n">
        <v>0</v>
      </c>
      <c r="J760" t="n">
        <v>0</v>
      </c>
      <c r="K760" t="n">
        <v>0</v>
      </c>
      <c r="L760" t="n">
        <v>0</v>
      </c>
      <c r="M760" t="n">
        <v>0</v>
      </c>
      <c r="N760" t="n">
        <v>0</v>
      </c>
      <c r="O760" t="n">
        <v>0</v>
      </c>
      <c r="P760" t="n">
        <v>0</v>
      </c>
      <c r="Q760" t="n">
        <v>0</v>
      </c>
      <c r="R760" s="2" t="inlineStr"/>
    </row>
    <row r="761" ht="15" customHeight="1">
      <c r="A761" t="inlineStr">
        <is>
          <t>A 19025-2025</t>
        </is>
      </c>
      <c r="B761" s="1" t="n">
        <v>45764.6359837963</v>
      </c>
      <c r="C761" s="1" t="n">
        <v>46105</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5867-2022</t>
        </is>
      </c>
      <c r="B762" s="1" t="n">
        <v>44596.66335648148</v>
      </c>
      <c r="C762" s="1" t="n">
        <v>46105</v>
      </c>
      <c r="D762" t="inlineStr">
        <is>
          <t>STOCKHOLMS LÄN</t>
        </is>
      </c>
      <c r="E762" t="inlineStr">
        <is>
          <t>NORRTÄLJE</t>
        </is>
      </c>
      <c r="F762" t="inlineStr">
        <is>
          <t>Naturvårdsverket</t>
        </is>
      </c>
      <c r="G762" t="n">
        <v>1.6</v>
      </c>
      <c r="H762" t="n">
        <v>0</v>
      </c>
      <c r="I762" t="n">
        <v>0</v>
      </c>
      <c r="J762" t="n">
        <v>0</v>
      </c>
      <c r="K762" t="n">
        <v>0</v>
      </c>
      <c r="L762" t="n">
        <v>0</v>
      </c>
      <c r="M762" t="n">
        <v>0</v>
      </c>
      <c r="N762" t="n">
        <v>0</v>
      </c>
      <c r="O762" t="n">
        <v>0</v>
      </c>
      <c r="P762" t="n">
        <v>0</v>
      </c>
      <c r="Q762" t="n">
        <v>0</v>
      </c>
      <c r="R762" s="2" t="inlineStr"/>
    </row>
    <row r="763" ht="15" customHeight="1">
      <c r="A763" t="inlineStr">
        <is>
          <t>A 62922-2025</t>
        </is>
      </c>
      <c r="B763" s="1" t="n">
        <v>46009.38064814815</v>
      </c>
      <c r="C763" s="1" t="n">
        <v>46105</v>
      </c>
      <c r="D763" t="inlineStr">
        <is>
          <t>STOCKHOLMS LÄN</t>
        </is>
      </c>
      <c r="E763" t="inlineStr">
        <is>
          <t>NORRTÄLJE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73307-2021</t>
        </is>
      </c>
      <c r="B764" s="1" t="n">
        <v>44549</v>
      </c>
      <c r="C764" s="1" t="n">
        <v>46105</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21731-2023</t>
        </is>
      </c>
      <c r="B765" s="1" t="n">
        <v>45063</v>
      </c>
      <c r="C765" s="1" t="n">
        <v>46105</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21745-2023</t>
        </is>
      </c>
      <c r="B766" s="1" t="n">
        <v>45065.55917824074</v>
      </c>
      <c r="C766" s="1" t="n">
        <v>46105</v>
      </c>
      <c r="D766" t="inlineStr">
        <is>
          <t>STOCKHOLMS LÄN</t>
        </is>
      </c>
      <c r="E766" t="inlineStr">
        <is>
          <t>NORRTÄLJE</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30221-2024</t>
        </is>
      </c>
      <c r="B767" s="1" t="n">
        <v>45490.45342592592</v>
      </c>
      <c r="C767" s="1" t="n">
        <v>46105</v>
      </c>
      <c r="D767" t="inlineStr">
        <is>
          <t>STOCKHOLMS LÄN</t>
        </is>
      </c>
      <c r="E767" t="inlineStr">
        <is>
          <t>NORRTÄLJE</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26365-2024</t>
        </is>
      </c>
      <c r="B768" s="1" t="n">
        <v>45469</v>
      </c>
      <c r="C768" s="1" t="n">
        <v>46105</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50602-2021</t>
        </is>
      </c>
      <c r="B769" s="1" t="n">
        <v>44459</v>
      </c>
      <c r="C769" s="1" t="n">
        <v>46105</v>
      </c>
      <c r="D769" t="inlineStr">
        <is>
          <t>STOCKHOLMS LÄN</t>
        </is>
      </c>
      <c r="E769" t="inlineStr">
        <is>
          <t>NORRTÄLJE</t>
        </is>
      </c>
      <c r="F769" t="inlineStr">
        <is>
          <t>Holmen skog AB</t>
        </is>
      </c>
      <c r="G769" t="n">
        <v>2</v>
      </c>
      <c r="H769" t="n">
        <v>0</v>
      </c>
      <c r="I769" t="n">
        <v>0</v>
      </c>
      <c r="J769" t="n">
        <v>0</v>
      </c>
      <c r="K769" t="n">
        <v>0</v>
      </c>
      <c r="L769" t="n">
        <v>0</v>
      </c>
      <c r="M769" t="n">
        <v>0</v>
      </c>
      <c r="N769" t="n">
        <v>0</v>
      </c>
      <c r="O769" t="n">
        <v>0</v>
      </c>
      <c r="P769" t="n">
        <v>0</v>
      </c>
      <c r="Q769" t="n">
        <v>0</v>
      </c>
      <c r="R769" s="2" t="inlineStr"/>
    </row>
    <row r="770" ht="15" customHeight="1">
      <c r="A770" t="inlineStr">
        <is>
          <t>A 48798-2021</t>
        </is>
      </c>
      <c r="B770" s="1" t="n">
        <v>44452</v>
      </c>
      <c r="C770" s="1" t="n">
        <v>46105</v>
      </c>
      <c r="D770" t="inlineStr">
        <is>
          <t>STOCKHOLMS LÄN</t>
        </is>
      </c>
      <c r="E770" t="inlineStr">
        <is>
          <t>NORRTÄLJE</t>
        </is>
      </c>
      <c r="G770" t="n">
        <v>2</v>
      </c>
      <c r="H770" t="n">
        <v>0</v>
      </c>
      <c r="I770" t="n">
        <v>0</v>
      </c>
      <c r="J770" t="n">
        <v>0</v>
      </c>
      <c r="K770" t="n">
        <v>0</v>
      </c>
      <c r="L770" t="n">
        <v>0</v>
      </c>
      <c r="M770" t="n">
        <v>0</v>
      </c>
      <c r="N770" t="n">
        <v>0</v>
      </c>
      <c r="O770" t="n">
        <v>0</v>
      </c>
      <c r="P770" t="n">
        <v>0</v>
      </c>
      <c r="Q770" t="n">
        <v>0</v>
      </c>
      <c r="R770" s="2" t="inlineStr"/>
    </row>
    <row r="771" ht="15" customHeight="1">
      <c r="A771" t="inlineStr">
        <is>
          <t>A 30283-2022</t>
        </is>
      </c>
      <c r="B771" s="1" t="n">
        <v>44760</v>
      </c>
      <c r="C771" s="1" t="n">
        <v>46105</v>
      </c>
      <c r="D771" t="inlineStr">
        <is>
          <t>STOCKHOLMS LÄN</t>
        </is>
      </c>
      <c r="E771" t="inlineStr">
        <is>
          <t>NORRTÄLJE</t>
        </is>
      </c>
      <c r="G771" t="n">
        <v>6.2</v>
      </c>
      <c r="H771" t="n">
        <v>0</v>
      </c>
      <c r="I771" t="n">
        <v>0</v>
      </c>
      <c r="J771" t="n">
        <v>0</v>
      </c>
      <c r="K771" t="n">
        <v>0</v>
      </c>
      <c r="L771" t="n">
        <v>0</v>
      </c>
      <c r="M771" t="n">
        <v>0</v>
      </c>
      <c r="N771" t="n">
        <v>0</v>
      </c>
      <c r="O771" t="n">
        <v>0</v>
      </c>
      <c r="P771" t="n">
        <v>0</v>
      </c>
      <c r="Q771" t="n">
        <v>0</v>
      </c>
      <c r="R771" s="2" t="inlineStr"/>
    </row>
    <row r="772" ht="15" customHeight="1">
      <c r="A772" t="inlineStr">
        <is>
          <t>A 30290-2022</t>
        </is>
      </c>
      <c r="B772" s="1" t="n">
        <v>44760</v>
      </c>
      <c r="C772" s="1" t="n">
        <v>46105</v>
      </c>
      <c r="D772" t="inlineStr">
        <is>
          <t>STOCKHOLMS LÄN</t>
        </is>
      </c>
      <c r="E772" t="inlineStr">
        <is>
          <t>NORRTÄLJE</t>
        </is>
      </c>
      <c r="G772" t="n">
        <v>4.8</v>
      </c>
      <c r="H772" t="n">
        <v>0</v>
      </c>
      <c r="I772" t="n">
        <v>0</v>
      </c>
      <c r="J772" t="n">
        <v>0</v>
      </c>
      <c r="K772" t="n">
        <v>0</v>
      </c>
      <c r="L772" t="n">
        <v>0</v>
      </c>
      <c r="M772" t="n">
        <v>0</v>
      </c>
      <c r="N772" t="n">
        <v>0</v>
      </c>
      <c r="O772" t="n">
        <v>0</v>
      </c>
      <c r="P772" t="n">
        <v>0</v>
      </c>
      <c r="Q772" t="n">
        <v>0</v>
      </c>
      <c r="R772" s="2" t="inlineStr"/>
    </row>
    <row r="773" ht="15" customHeight="1">
      <c r="A773" t="inlineStr">
        <is>
          <t>A 38985-2022</t>
        </is>
      </c>
      <c r="B773" s="1" t="n">
        <v>44816</v>
      </c>
      <c r="C773" s="1" t="n">
        <v>46105</v>
      </c>
      <c r="D773" t="inlineStr">
        <is>
          <t>STOCKHOLMS LÄN</t>
        </is>
      </c>
      <c r="E773" t="inlineStr">
        <is>
          <t>NORRTÄLJE</t>
        </is>
      </c>
      <c r="G773" t="n">
        <v>10.1</v>
      </c>
      <c r="H773" t="n">
        <v>0</v>
      </c>
      <c r="I773" t="n">
        <v>0</v>
      </c>
      <c r="J773" t="n">
        <v>0</v>
      </c>
      <c r="K773" t="n">
        <v>0</v>
      </c>
      <c r="L773" t="n">
        <v>0</v>
      </c>
      <c r="M773" t="n">
        <v>0</v>
      </c>
      <c r="N773" t="n">
        <v>0</v>
      </c>
      <c r="O773" t="n">
        <v>0</v>
      </c>
      <c r="P773" t="n">
        <v>0</v>
      </c>
      <c r="Q773" t="n">
        <v>0</v>
      </c>
      <c r="R773" s="2" t="inlineStr"/>
    </row>
    <row r="774" ht="15" customHeight="1">
      <c r="A774" t="inlineStr">
        <is>
          <t>A 8055-2026</t>
        </is>
      </c>
      <c r="B774" s="1" t="n">
        <v>46063.62002314815</v>
      </c>
      <c r="C774" s="1" t="n">
        <v>46105</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8091-2026</t>
        </is>
      </c>
      <c r="B775" s="1" t="n">
        <v>46063.70944444444</v>
      </c>
      <c r="C775" s="1" t="n">
        <v>46105</v>
      </c>
      <c r="D775" t="inlineStr">
        <is>
          <t>STOCKHOLMS LÄN</t>
        </is>
      </c>
      <c r="E775" t="inlineStr">
        <is>
          <t>NORRTÄLJE</t>
        </is>
      </c>
      <c r="G775" t="n">
        <v>4.7</v>
      </c>
      <c r="H775" t="n">
        <v>0</v>
      </c>
      <c r="I775" t="n">
        <v>0</v>
      </c>
      <c r="J775" t="n">
        <v>0</v>
      </c>
      <c r="K775" t="n">
        <v>0</v>
      </c>
      <c r="L775" t="n">
        <v>0</v>
      </c>
      <c r="M775" t="n">
        <v>0</v>
      </c>
      <c r="N775" t="n">
        <v>0</v>
      </c>
      <c r="O775" t="n">
        <v>0</v>
      </c>
      <c r="P775" t="n">
        <v>0</v>
      </c>
      <c r="Q775" t="n">
        <v>0</v>
      </c>
      <c r="R775" s="2" t="inlineStr"/>
    </row>
    <row r="776" ht="15" customHeight="1">
      <c r="A776" t="inlineStr">
        <is>
          <t>A 8096-2026</t>
        </is>
      </c>
      <c r="B776" s="1" t="n">
        <v>46063.714375</v>
      </c>
      <c r="C776" s="1" t="n">
        <v>46105</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25625-2023</t>
        </is>
      </c>
      <c r="B777" s="1" t="n">
        <v>45089</v>
      </c>
      <c r="C777" s="1" t="n">
        <v>46105</v>
      </c>
      <c r="D777" t="inlineStr">
        <is>
          <t>STOCKHOLMS LÄN</t>
        </is>
      </c>
      <c r="E777" t="inlineStr">
        <is>
          <t>NORRTÄLJE</t>
        </is>
      </c>
      <c r="G777" t="n">
        <v>5.5</v>
      </c>
      <c r="H777" t="n">
        <v>0</v>
      </c>
      <c r="I777" t="n">
        <v>0</v>
      </c>
      <c r="J777" t="n">
        <v>0</v>
      </c>
      <c r="K777" t="n">
        <v>0</v>
      </c>
      <c r="L777" t="n">
        <v>0</v>
      </c>
      <c r="M777" t="n">
        <v>0</v>
      </c>
      <c r="N777" t="n">
        <v>0</v>
      </c>
      <c r="O777" t="n">
        <v>0</v>
      </c>
      <c r="P777" t="n">
        <v>0</v>
      </c>
      <c r="Q777" t="n">
        <v>0</v>
      </c>
      <c r="R777" s="2" t="inlineStr"/>
    </row>
    <row r="778" ht="15" customHeight="1">
      <c r="A778" t="inlineStr">
        <is>
          <t>A 8489-2026</t>
        </is>
      </c>
      <c r="B778" s="1" t="n">
        <v>46065.48268518518</v>
      </c>
      <c r="C778" s="1" t="n">
        <v>46105</v>
      </c>
      <c r="D778" t="inlineStr">
        <is>
          <t>STOCKHOLMS LÄN</t>
        </is>
      </c>
      <c r="E778" t="inlineStr">
        <is>
          <t>NORRTÄLJE</t>
        </is>
      </c>
      <c r="G778" t="n">
        <v>2.1</v>
      </c>
      <c r="H778" t="n">
        <v>0</v>
      </c>
      <c r="I778" t="n">
        <v>0</v>
      </c>
      <c r="J778" t="n">
        <v>0</v>
      </c>
      <c r="K778" t="n">
        <v>0</v>
      </c>
      <c r="L778" t="n">
        <v>0</v>
      </c>
      <c r="M778" t="n">
        <v>0</v>
      </c>
      <c r="N778" t="n">
        <v>0</v>
      </c>
      <c r="O778" t="n">
        <v>0</v>
      </c>
      <c r="P778" t="n">
        <v>0</v>
      </c>
      <c r="Q778" t="n">
        <v>0</v>
      </c>
      <c r="R778" s="2" t="inlineStr"/>
    </row>
    <row r="779" ht="15" customHeight="1">
      <c r="A779" t="inlineStr">
        <is>
          <t>A 8454-2026</t>
        </is>
      </c>
      <c r="B779" s="1" t="n">
        <v>46065.42506944444</v>
      </c>
      <c r="C779" s="1" t="n">
        <v>46105</v>
      </c>
      <c r="D779" t="inlineStr">
        <is>
          <t>STOCKHOLMS LÄN</t>
        </is>
      </c>
      <c r="E779" t="inlineStr">
        <is>
          <t>NORRTÄLJE</t>
        </is>
      </c>
      <c r="G779" t="n">
        <v>3.2</v>
      </c>
      <c r="H779" t="n">
        <v>0</v>
      </c>
      <c r="I779" t="n">
        <v>0</v>
      </c>
      <c r="J779" t="n">
        <v>0</v>
      </c>
      <c r="K779" t="n">
        <v>0</v>
      </c>
      <c r="L779" t="n">
        <v>0</v>
      </c>
      <c r="M779" t="n">
        <v>0</v>
      </c>
      <c r="N779" t="n">
        <v>0</v>
      </c>
      <c r="O779" t="n">
        <v>0</v>
      </c>
      <c r="P779" t="n">
        <v>0</v>
      </c>
      <c r="Q779" t="n">
        <v>0</v>
      </c>
      <c r="R779" s="2" t="inlineStr"/>
    </row>
    <row r="780" ht="15" customHeight="1">
      <c r="A780" t="inlineStr">
        <is>
          <t>A 124-2026</t>
        </is>
      </c>
      <c r="B780" s="1" t="n">
        <v>46024.58378472222</v>
      </c>
      <c r="C780" s="1" t="n">
        <v>46105</v>
      </c>
      <c r="D780" t="inlineStr">
        <is>
          <t>STOCKHOLMS LÄN</t>
        </is>
      </c>
      <c r="E780" t="inlineStr">
        <is>
          <t>NORRTÄLJE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8410-2026</t>
        </is>
      </c>
      <c r="B781" s="1" t="n">
        <v>46065.34261574074</v>
      </c>
      <c r="C781" s="1" t="n">
        <v>46105</v>
      </c>
      <c r="D781" t="inlineStr">
        <is>
          <t>STOCKHOLMS LÄN</t>
        </is>
      </c>
      <c r="E781" t="inlineStr">
        <is>
          <t>NORRTÄLJE</t>
        </is>
      </c>
      <c r="G781" t="n">
        <v>3.9</v>
      </c>
      <c r="H781" t="n">
        <v>0</v>
      </c>
      <c r="I781" t="n">
        <v>0</v>
      </c>
      <c r="J781" t="n">
        <v>0</v>
      </c>
      <c r="K781" t="n">
        <v>0</v>
      </c>
      <c r="L781" t="n">
        <v>0</v>
      </c>
      <c r="M781" t="n">
        <v>0</v>
      </c>
      <c r="N781" t="n">
        <v>0</v>
      </c>
      <c r="O781" t="n">
        <v>0</v>
      </c>
      <c r="P781" t="n">
        <v>0</v>
      </c>
      <c r="Q781" t="n">
        <v>0</v>
      </c>
      <c r="R781" s="2" t="inlineStr"/>
    </row>
    <row r="782" ht="15" customHeight="1">
      <c r="A782" t="inlineStr">
        <is>
          <t>A 8465-2026</t>
        </is>
      </c>
      <c r="B782" s="1" t="n">
        <v>46065.44141203703</v>
      </c>
      <c r="C782" s="1" t="n">
        <v>46105</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14132-2025</t>
        </is>
      </c>
      <c r="B783" s="1" t="n">
        <v>45740.47550925926</v>
      </c>
      <c r="C783" s="1" t="n">
        <v>46105</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14133-2025</t>
        </is>
      </c>
      <c r="B784" s="1" t="n">
        <v>45740.47724537037</v>
      </c>
      <c r="C784" s="1" t="n">
        <v>46105</v>
      </c>
      <c r="D784" t="inlineStr">
        <is>
          <t>STOCKHOLMS LÄN</t>
        </is>
      </c>
      <c r="E784" t="inlineStr">
        <is>
          <t>NORRTÄLJE</t>
        </is>
      </c>
      <c r="G784" t="n">
        <v>0.4</v>
      </c>
      <c r="H784" t="n">
        <v>0</v>
      </c>
      <c r="I784" t="n">
        <v>0</v>
      </c>
      <c r="J784" t="n">
        <v>0</v>
      </c>
      <c r="K784" t="n">
        <v>0</v>
      </c>
      <c r="L784" t="n">
        <v>0</v>
      </c>
      <c r="M784" t="n">
        <v>0</v>
      </c>
      <c r="N784" t="n">
        <v>0</v>
      </c>
      <c r="O784" t="n">
        <v>0</v>
      </c>
      <c r="P784" t="n">
        <v>0</v>
      </c>
      <c r="Q784" t="n">
        <v>0</v>
      </c>
      <c r="R784" s="2" t="inlineStr"/>
    </row>
    <row r="785" ht="15" customHeight="1">
      <c r="A785" t="inlineStr">
        <is>
          <t>A 7186-2024</t>
        </is>
      </c>
      <c r="B785" s="1" t="n">
        <v>45344</v>
      </c>
      <c r="C785" s="1" t="n">
        <v>46105</v>
      </c>
      <c r="D785" t="inlineStr">
        <is>
          <t>STOCKHOLMS LÄN</t>
        </is>
      </c>
      <c r="E785" t="inlineStr">
        <is>
          <t>NORRTÄLJE</t>
        </is>
      </c>
      <c r="G785" t="n">
        <v>4.9</v>
      </c>
      <c r="H785" t="n">
        <v>0</v>
      </c>
      <c r="I785" t="n">
        <v>0</v>
      </c>
      <c r="J785" t="n">
        <v>0</v>
      </c>
      <c r="K785" t="n">
        <v>0</v>
      </c>
      <c r="L785" t="n">
        <v>0</v>
      </c>
      <c r="M785" t="n">
        <v>0</v>
      </c>
      <c r="N785" t="n">
        <v>0</v>
      </c>
      <c r="O785" t="n">
        <v>0</v>
      </c>
      <c r="P785" t="n">
        <v>0</v>
      </c>
      <c r="Q785" t="n">
        <v>0</v>
      </c>
      <c r="R785" s="2" t="inlineStr"/>
    </row>
    <row r="786" ht="15" customHeight="1">
      <c r="A786" t="inlineStr">
        <is>
          <t>A 197-2026</t>
        </is>
      </c>
      <c r="B786" s="1" t="n">
        <v>46026</v>
      </c>
      <c r="C786" s="1" t="n">
        <v>46105</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8985-2026</t>
        </is>
      </c>
      <c r="B787" s="1" t="n">
        <v>46069.45234953704</v>
      </c>
      <c r="C787" s="1" t="n">
        <v>46105</v>
      </c>
      <c r="D787" t="inlineStr">
        <is>
          <t>STOCKHOLMS LÄN</t>
        </is>
      </c>
      <c r="E787" t="inlineStr">
        <is>
          <t>NORRTÄLJE</t>
        </is>
      </c>
      <c r="F787" t="inlineStr">
        <is>
          <t>Holmen skog AB</t>
        </is>
      </c>
      <c r="G787" t="n">
        <v>1.1</v>
      </c>
      <c r="H787" t="n">
        <v>0</v>
      </c>
      <c r="I787" t="n">
        <v>0</v>
      </c>
      <c r="J787" t="n">
        <v>0</v>
      </c>
      <c r="K787" t="n">
        <v>0</v>
      </c>
      <c r="L787" t="n">
        <v>0</v>
      </c>
      <c r="M787" t="n">
        <v>0</v>
      </c>
      <c r="N787" t="n">
        <v>0</v>
      </c>
      <c r="O787" t="n">
        <v>0</v>
      </c>
      <c r="P787" t="n">
        <v>0</v>
      </c>
      <c r="Q787" t="n">
        <v>0</v>
      </c>
      <c r="R787" s="2" t="inlineStr"/>
    </row>
    <row r="788" ht="15" customHeight="1">
      <c r="A788" t="inlineStr">
        <is>
          <t>A 39202-2024</t>
        </is>
      </c>
      <c r="B788" s="1" t="n">
        <v>45548.72306712963</v>
      </c>
      <c r="C788" s="1" t="n">
        <v>46105</v>
      </c>
      <c r="D788" t="inlineStr">
        <is>
          <t>STOCKHOLMS LÄN</t>
        </is>
      </c>
      <c r="E788" t="inlineStr">
        <is>
          <t>NORRTÄLJE</t>
        </is>
      </c>
      <c r="G788" t="n">
        <v>1.9</v>
      </c>
      <c r="H788" t="n">
        <v>0</v>
      </c>
      <c r="I788" t="n">
        <v>0</v>
      </c>
      <c r="J788" t="n">
        <v>0</v>
      </c>
      <c r="K788" t="n">
        <v>0</v>
      </c>
      <c r="L788" t="n">
        <v>0</v>
      </c>
      <c r="M788" t="n">
        <v>0</v>
      </c>
      <c r="N788" t="n">
        <v>0</v>
      </c>
      <c r="O788" t="n">
        <v>0</v>
      </c>
      <c r="P788" t="n">
        <v>0</v>
      </c>
      <c r="Q788" t="n">
        <v>0</v>
      </c>
      <c r="R788" s="2" t="inlineStr"/>
    </row>
    <row r="789" ht="15" customHeight="1">
      <c r="A789" t="inlineStr">
        <is>
          <t>A 8962-2026</t>
        </is>
      </c>
      <c r="B789" s="1" t="n">
        <v>46069.41644675926</v>
      </c>
      <c r="C789" s="1" t="n">
        <v>46105</v>
      </c>
      <c r="D789" t="inlineStr">
        <is>
          <t>STOCKHOLMS LÄN</t>
        </is>
      </c>
      <c r="E789" t="inlineStr">
        <is>
          <t>NORRTÄLJE</t>
        </is>
      </c>
      <c r="F789" t="inlineStr">
        <is>
          <t>Holmen skog AB</t>
        </is>
      </c>
      <c r="G789" t="n">
        <v>4.1</v>
      </c>
      <c r="H789" t="n">
        <v>0</v>
      </c>
      <c r="I789" t="n">
        <v>0</v>
      </c>
      <c r="J789" t="n">
        <v>0</v>
      </c>
      <c r="K789" t="n">
        <v>0</v>
      </c>
      <c r="L789" t="n">
        <v>0</v>
      </c>
      <c r="M789" t="n">
        <v>0</v>
      </c>
      <c r="N789" t="n">
        <v>0</v>
      </c>
      <c r="O789" t="n">
        <v>0</v>
      </c>
      <c r="P789" t="n">
        <v>0</v>
      </c>
      <c r="Q789" t="n">
        <v>0</v>
      </c>
      <c r="R789" s="2" t="inlineStr"/>
    </row>
    <row r="790" ht="15" customHeight="1">
      <c r="A790" t="inlineStr">
        <is>
          <t>A 8989-2026</t>
        </is>
      </c>
      <c r="B790" s="1" t="n">
        <v>46069.45789351852</v>
      </c>
      <c r="C790" s="1" t="n">
        <v>46105</v>
      </c>
      <c r="D790" t="inlineStr">
        <is>
          <t>STOCKHOLMS LÄN</t>
        </is>
      </c>
      <c r="E790" t="inlineStr">
        <is>
          <t>NORRTÄLJE</t>
        </is>
      </c>
      <c r="F790" t="inlineStr">
        <is>
          <t>Holmen skog AB</t>
        </is>
      </c>
      <c r="G790" t="n">
        <v>0.8</v>
      </c>
      <c r="H790" t="n">
        <v>0</v>
      </c>
      <c r="I790" t="n">
        <v>0</v>
      </c>
      <c r="J790" t="n">
        <v>0</v>
      </c>
      <c r="K790" t="n">
        <v>0</v>
      </c>
      <c r="L790" t="n">
        <v>0</v>
      </c>
      <c r="M790" t="n">
        <v>0</v>
      </c>
      <c r="N790" t="n">
        <v>0</v>
      </c>
      <c r="O790" t="n">
        <v>0</v>
      </c>
      <c r="P790" t="n">
        <v>0</v>
      </c>
      <c r="Q790" t="n">
        <v>0</v>
      </c>
      <c r="R790" s="2" t="inlineStr"/>
    </row>
    <row r="791" ht="15" customHeight="1">
      <c r="A791" t="inlineStr">
        <is>
          <t>A 9103-2026</t>
        </is>
      </c>
      <c r="B791" s="1" t="n">
        <v>46069.65039351852</v>
      </c>
      <c r="C791" s="1" t="n">
        <v>46105</v>
      </c>
      <c r="D791" t="inlineStr">
        <is>
          <t>STOCKHOLMS LÄN</t>
        </is>
      </c>
      <c r="E791" t="inlineStr">
        <is>
          <t>NORRTÄLJE</t>
        </is>
      </c>
      <c r="F791" t="inlineStr">
        <is>
          <t>Holmen skog AB</t>
        </is>
      </c>
      <c r="G791" t="n">
        <v>3.6</v>
      </c>
      <c r="H791" t="n">
        <v>0</v>
      </c>
      <c r="I791" t="n">
        <v>0</v>
      </c>
      <c r="J791" t="n">
        <v>0</v>
      </c>
      <c r="K791" t="n">
        <v>0</v>
      </c>
      <c r="L791" t="n">
        <v>0</v>
      </c>
      <c r="M791" t="n">
        <v>0</v>
      </c>
      <c r="N791" t="n">
        <v>0</v>
      </c>
      <c r="O791" t="n">
        <v>0</v>
      </c>
      <c r="P791" t="n">
        <v>0</v>
      </c>
      <c r="Q791" t="n">
        <v>0</v>
      </c>
      <c r="R791" s="2" t="inlineStr"/>
    </row>
    <row r="792" ht="15" customHeight="1">
      <c r="A792" t="inlineStr">
        <is>
          <t>A 718-2026</t>
        </is>
      </c>
      <c r="B792" s="1" t="n">
        <v>46029.63174768518</v>
      </c>
      <c r="C792" s="1" t="n">
        <v>46105</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53792-2023</t>
        </is>
      </c>
      <c r="B793" s="1" t="n">
        <v>45231.34144675926</v>
      </c>
      <c r="C793" s="1" t="n">
        <v>46105</v>
      </c>
      <c r="D793" t="inlineStr">
        <is>
          <t>STOCKHOLMS LÄN</t>
        </is>
      </c>
      <c r="E793" t="inlineStr">
        <is>
          <t>NORRTÄLJE</t>
        </is>
      </c>
      <c r="G793" t="n">
        <v>1.1</v>
      </c>
      <c r="H793" t="n">
        <v>0</v>
      </c>
      <c r="I793" t="n">
        <v>0</v>
      </c>
      <c r="J793" t="n">
        <v>0</v>
      </c>
      <c r="K793" t="n">
        <v>0</v>
      </c>
      <c r="L793" t="n">
        <v>0</v>
      </c>
      <c r="M793" t="n">
        <v>0</v>
      </c>
      <c r="N793" t="n">
        <v>0</v>
      </c>
      <c r="O793" t="n">
        <v>0</v>
      </c>
      <c r="P793" t="n">
        <v>0</v>
      </c>
      <c r="Q793" t="n">
        <v>0</v>
      </c>
      <c r="R793" s="2" t="inlineStr"/>
    </row>
    <row r="794" ht="15" customHeight="1">
      <c r="A794" t="inlineStr">
        <is>
          <t>A 694-2026</t>
        </is>
      </c>
      <c r="B794" s="1" t="n">
        <v>46029.61375</v>
      </c>
      <c r="C794" s="1" t="n">
        <v>46105</v>
      </c>
      <c r="D794" t="inlineStr">
        <is>
          <t>STOCKHOLMS LÄN</t>
        </is>
      </c>
      <c r="E794" t="inlineStr">
        <is>
          <t>NORRTÄLJE</t>
        </is>
      </c>
      <c r="G794" t="n">
        <v>9.6</v>
      </c>
      <c r="H794" t="n">
        <v>0</v>
      </c>
      <c r="I794" t="n">
        <v>0</v>
      </c>
      <c r="J794" t="n">
        <v>0</v>
      </c>
      <c r="K794" t="n">
        <v>0</v>
      </c>
      <c r="L794" t="n">
        <v>0</v>
      </c>
      <c r="M794" t="n">
        <v>0</v>
      </c>
      <c r="N794" t="n">
        <v>0</v>
      </c>
      <c r="O794" t="n">
        <v>0</v>
      </c>
      <c r="P794" t="n">
        <v>0</v>
      </c>
      <c r="Q794" t="n">
        <v>0</v>
      </c>
      <c r="R794" s="2" t="inlineStr"/>
    </row>
    <row r="795" ht="15" customHeight="1">
      <c r="A795" t="inlineStr">
        <is>
          <t>A 11280-2023</t>
        </is>
      </c>
      <c r="B795" s="1" t="n">
        <v>44992</v>
      </c>
      <c r="C795" s="1" t="n">
        <v>46105</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57442-2021</t>
        </is>
      </c>
      <c r="B796" s="1" t="n">
        <v>44483</v>
      </c>
      <c r="C796" s="1" t="n">
        <v>46105</v>
      </c>
      <c r="D796" t="inlineStr">
        <is>
          <t>STOCKHOLMS LÄN</t>
        </is>
      </c>
      <c r="E796" t="inlineStr">
        <is>
          <t>NORRTÄLJE</t>
        </is>
      </c>
      <c r="G796" t="n">
        <v>3.3</v>
      </c>
      <c r="H796" t="n">
        <v>0</v>
      </c>
      <c r="I796" t="n">
        <v>0</v>
      </c>
      <c r="J796" t="n">
        <v>0</v>
      </c>
      <c r="K796" t="n">
        <v>0</v>
      </c>
      <c r="L796" t="n">
        <v>0</v>
      </c>
      <c r="M796" t="n">
        <v>0</v>
      </c>
      <c r="N796" t="n">
        <v>0</v>
      </c>
      <c r="O796" t="n">
        <v>0</v>
      </c>
      <c r="P796" t="n">
        <v>0</v>
      </c>
      <c r="Q796" t="n">
        <v>0</v>
      </c>
      <c r="R796" s="2" t="inlineStr"/>
    </row>
    <row r="797" ht="15" customHeight="1">
      <c r="A797" t="inlineStr">
        <is>
          <t>A 19952-2023</t>
        </is>
      </c>
      <c r="B797" s="1" t="n">
        <v>45054.54091435186</v>
      </c>
      <c r="C797" s="1" t="n">
        <v>46105</v>
      </c>
      <c r="D797" t="inlineStr">
        <is>
          <t>STOCKHOLMS LÄN</t>
        </is>
      </c>
      <c r="E797" t="inlineStr">
        <is>
          <t>NORRTÄLJE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19994-2023</t>
        </is>
      </c>
      <c r="B798" s="1" t="n">
        <v>45054</v>
      </c>
      <c r="C798" s="1" t="n">
        <v>46105</v>
      </c>
      <c r="D798" t="inlineStr">
        <is>
          <t>STOCKHOLMS LÄN</t>
        </is>
      </c>
      <c r="E798" t="inlineStr">
        <is>
          <t>NORRTÄLJE</t>
        </is>
      </c>
      <c r="G798" t="n">
        <v>4.3</v>
      </c>
      <c r="H798" t="n">
        <v>0</v>
      </c>
      <c r="I798" t="n">
        <v>0</v>
      </c>
      <c r="J798" t="n">
        <v>0</v>
      </c>
      <c r="K798" t="n">
        <v>0</v>
      </c>
      <c r="L798" t="n">
        <v>0</v>
      </c>
      <c r="M798" t="n">
        <v>0</v>
      </c>
      <c r="N798" t="n">
        <v>0</v>
      </c>
      <c r="O798" t="n">
        <v>0</v>
      </c>
      <c r="P798" t="n">
        <v>0</v>
      </c>
      <c r="Q798" t="n">
        <v>0</v>
      </c>
      <c r="R798" s="2" t="inlineStr"/>
    </row>
    <row r="799" ht="15" customHeight="1">
      <c r="A799" t="inlineStr">
        <is>
          <t>A 29003-2023</t>
        </is>
      </c>
      <c r="B799" s="1" t="n">
        <v>45104</v>
      </c>
      <c r="C799" s="1" t="n">
        <v>46105</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693-2026</t>
        </is>
      </c>
      <c r="B800" s="1" t="n">
        <v>46029.6133449074</v>
      </c>
      <c r="C800" s="1" t="n">
        <v>46105</v>
      </c>
      <c r="D800" t="inlineStr">
        <is>
          <t>STOCKHOLMS LÄN</t>
        </is>
      </c>
      <c r="E800" t="inlineStr">
        <is>
          <t>NORRTÄLJE</t>
        </is>
      </c>
      <c r="G800" t="n">
        <v>9.6</v>
      </c>
      <c r="H800" t="n">
        <v>0</v>
      </c>
      <c r="I800" t="n">
        <v>0</v>
      </c>
      <c r="J800" t="n">
        <v>0</v>
      </c>
      <c r="K800" t="n">
        <v>0</v>
      </c>
      <c r="L800" t="n">
        <v>0</v>
      </c>
      <c r="M800" t="n">
        <v>0</v>
      </c>
      <c r="N800" t="n">
        <v>0</v>
      </c>
      <c r="O800" t="n">
        <v>0</v>
      </c>
      <c r="P800" t="n">
        <v>0</v>
      </c>
      <c r="Q800" t="n">
        <v>0</v>
      </c>
      <c r="R800" s="2" t="inlineStr"/>
    </row>
    <row r="801" ht="15" customHeight="1">
      <c r="A801" t="inlineStr">
        <is>
          <t>A 812-2026</t>
        </is>
      </c>
      <c r="B801" s="1" t="n">
        <v>46030.33358796296</v>
      </c>
      <c r="C801" s="1" t="n">
        <v>46105</v>
      </c>
      <c r="D801" t="inlineStr">
        <is>
          <t>STOCKHOLMS LÄN</t>
        </is>
      </c>
      <c r="E801" t="inlineStr">
        <is>
          <t>NORRTÄLJE</t>
        </is>
      </c>
      <c r="G801" t="n">
        <v>2.4</v>
      </c>
      <c r="H801" t="n">
        <v>0</v>
      </c>
      <c r="I801" t="n">
        <v>0</v>
      </c>
      <c r="J801" t="n">
        <v>0</v>
      </c>
      <c r="K801" t="n">
        <v>0</v>
      </c>
      <c r="L801" t="n">
        <v>0</v>
      </c>
      <c r="M801" t="n">
        <v>0</v>
      </c>
      <c r="N801" t="n">
        <v>0</v>
      </c>
      <c r="O801" t="n">
        <v>0</v>
      </c>
      <c r="P801" t="n">
        <v>0</v>
      </c>
      <c r="Q801" t="n">
        <v>0</v>
      </c>
      <c r="R801" s="2" t="inlineStr"/>
    </row>
    <row r="802" ht="15" customHeight="1">
      <c r="A802" t="inlineStr">
        <is>
          <t>A 717-2026</t>
        </is>
      </c>
      <c r="B802" s="1" t="n">
        <v>46029.63028935185</v>
      </c>
      <c r="C802" s="1" t="n">
        <v>46105</v>
      </c>
      <c r="D802" t="inlineStr">
        <is>
          <t>STOCKHOLMS LÄN</t>
        </is>
      </c>
      <c r="E802" t="inlineStr">
        <is>
          <t>NORRTÄLJE</t>
        </is>
      </c>
      <c r="G802" t="n">
        <v>2.4</v>
      </c>
      <c r="H802" t="n">
        <v>0</v>
      </c>
      <c r="I802" t="n">
        <v>0</v>
      </c>
      <c r="J802" t="n">
        <v>0</v>
      </c>
      <c r="K802" t="n">
        <v>0</v>
      </c>
      <c r="L802" t="n">
        <v>0</v>
      </c>
      <c r="M802" t="n">
        <v>0</v>
      </c>
      <c r="N802" t="n">
        <v>0</v>
      </c>
      <c r="O802" t="n">
        <v>0</v>
      </c>
      <c r="P802" t="n">
        <v>0</v>
      </c>
      <c r="Q802" t="n">
        <v>0</v>
      </c>
      <c r="R802" s="2" t="inlineStr"/>
    </row>
    <row r="803" ht="15" customHeight="1">
      <c r="A803" t="inlineStr">
        <is>
          <t>A 15956-2023</t>
        </is>
      </c>
      <c r="B803" s="1" t="n">
        <v>45022.61003472222</v>
      </c>
      <c r="C803" s="1" t="n">
        <v>46105</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475-2026</t>
        </is>
      </c>
      <c r="B804" s="1" t="n">
        <v>46029.39351851852</v>
      </c>
      <c r="C804" s="1" t="n">
        <v>46105</v>
      </c>
      <c r="D804" t="inlineStr">
        <is>
          <t>STOCKHOLMS LÄN</t>
        </is>
      </c>
      <c r="E804" t="inlineStr">
        <is>
          <t>NORRTÄLJE</t>
        </is>
      </c>
      <c r="G804" t="n">
        <v>4.6</v>
      </c>
      <c r="H804" t="n">
        <v>0</v>
      </c>
      <c r="I804" t="n">
        <v>0</v>
      </c>
      <c r="J804" t="n">
        <v>0</v>
      </c>
      <c r="K804" t="n">
        <v>0</v>
      </c>
      <c r="L804" t="n">
        <v>0</v>
      </c>
      <c r="M804" t="n">
        <v>0</v>
      </c>
      <c r="N804" t="n">
        <v>0</v>
      </c>
      <c r="O804" t="n">
        <v>0</v>
      </c>
      <c r="P804" t="n">
        <v>0</v>
      </c>
      <c r="Q804" t="n">
        <v>0</v>
      </c>
      <c r="R804" s="2" t="inlineStr"/>
    </row>
    <row r="805" ht="15" customHeight="1">
      <c r="A805" t="inlineStr">
        <is>
          <t>A 9720-2026</t>
        </is>
      </c>
      <c r="B805" s="1" t="n">
        <v>46072.45061342593</v>
      </c>
      <c r="C805" s="1" t="n">
        <v>46105</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13053-2022</t>
        </is>
      </c>
      <c r="B806" s="1" t="n">
        <v>44643</v>
      </c>
      <c r="C806" s="1" t="n">
        <v>46105</v>
      </c>
      <c r="D806" t="inlineStr">
        <is>
          <t>STOCKHOLMS LÄN</t>
        </is>
      </c>
      <c r="E806" t="inlineStr">
        <is>
          <t>NORRTÄLJE</t>
        </is>
      </c>
      <c r="G806" t="n">
        <v>2.8</v>
      </c>
      <c r="H806" t="n">
        <v>0</v>
      </c>
      <c r="I806" t="n">
        <v>0</v>
      </c>
      <c r="J806" t="n">
        <v>0</v>
      </c>
      <c r="K806" t="n">
        <v>0</v>
      </c>
      <c r="L806" t="n">
        <v>0</v>
      </c>
      <c r="M806" t="n">
        <v>0</v>
      </c>
      <c r="N806" t="n">
        <v>0</v>
      </c>
      <c r="O806" t="n">
        <v>0</v>
      </c>
      <c r="P806" t="n">
        <v>0</v>
      </c>
      <c r="Q806" t="n">
        <v>0</v>
      </c>
      <c r="R806" s="2" t="inlineStr"/>
    </row>
    <row r="807" ht="15" customHeight="1">
      <c r="A807" t="inlineStr">
        <is>
          <t>A 3383-2023</t>
        </is>
      </c>
      <c r="B807" s="1" t="n">
        <v>44949</v>
      </c>
      <c r="C807" s="1" t="n">
        <v>46105</v>
      </c>
      <c r="D807" t="inlineStr">
        <is>
          <t>STOCKHOLMS LÄN</t>
        </is>
      </c>
      <c r="E807" t="inlineStr">
        <is>
          <t>NORRTÄLJE</t>
        </is>
      </c>
      <c r="G807" t="n">
        <v>14.6</v>
      </c>
      <c r="H807" t="n">
        <v>0</v>
      </c>
      <c r="I807" t="n">
        <v>0</v>
      </c>
      <c r="J807" t="n">
        <v>0</v>
      </c>
      <c r="K807" t="n">
        <v>0</v>
      </c>
      <c r="L807" t="n">
        <v>0</v>
      </c>
      <c r="M807" t="n">
        <v>0</v>
      </c>
      <c r="N807" t="n">
        <v>0</v>
      </c>
      <c r="O807" t="n">
        <v>0</v>
      </c>
      <c r="P807" t="n">
        <v>0</v>
      </c>
      <c r="Q807" t="n">
        <v>0</v>
      </c>
      <c r="R807" s="2" t="inlineStr"/>
    </row>
    <row r="808" ht="15" customHeight="1">
      <c r="A808" t="inlineStr">
        <is>
          <t>A 4316-2023</t>
        </is>
      </c>
      <c r="B808" s="1" t="n">
        <v>44953.67443287037</v>
      </c>
      <c r="C808" s="1" t="n">
        <v>46105</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1789-2026</t>
        </is>
      </c>
      <c r="B809" s="1" t="n">
        <v>46034</v>
      </c>
      <c r="C809" s="1" t="n">
        <v>46105</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5839-2023</t>
        </is>
      </c>
      <c r="B810" s="1" t="n">
        <v>44963</v>
      </c>
      <c r="C810" s="1" t="n">
        <v>46105</v>
      </c>
      <c r="D810" t="inlineStr">
        <is>
          <t>STOCKHOLMS LÄN</t>
        </is>
      </c>
      <c r="E810" t="inlineStr">
        <is>
          <t>NORRTÄLJE</t>
        </is>
      </c>
      <c r="G810" t="n">
        <v>3.6</v>
      </c>
      <c r="H810" t="n">
        <v>0</v>
      </c>
      <c r="I810" t="n">
        <v>0</v>
      </c>
      <c r="J810" t="n">
        <v>0</v>
      </c>
      <c r="K810" t="n">
        <v>0</v>
      </c>
      <c r="L810" t="n">
        <v>0</v>
      </c>
      <c r="M810" t="n">
        <v>0</v>
      </c>
      <c r="N810" t="n">
        <v>0</v>
      </c>
      <c r="O810" t="n">
        <v>0</v>
      </c>
      <c r="P810" t="n">
        <v>0</v>
      </c>
      <c r="Q810" t="n">
        <v>0</v>
      </c>
      <c r="R810" s="2" t="inlineStr"/>
    </row>
    <row r="811" ht="15" customHeight="1">
      <c r="A811" t="inlineStr">
        <is>
          <t>A 1755-2026</t>
        </is>
      </c>
      <c r="B811" s="1" t="n">
        <v>46034.66230324074</v>
      </c>
      <c r="C811" s="1" t="n">
        <v>46105</v>
      </c>
      <c r="D811" t="inlineStr">
        <is>
          <t>STOCKHOLMS LÄN</t>
        </is>
      </c>
      <c r="E811" t="inlineStr">
        <is>
          <t>NORRTÄLJE</t>
        </is>
      </c>
      <c r="F811" t="inlineStr">
        <is>
          <t>Holmen skog AB</t>
        </is>
      </c>
      <c r="G811" t="n">
        <v>3.5</v>
      </c>
      <c r="H811" t="n">
        <v>0</v>
      </c>
      <c r="I811" t="n">
        <v>0</v>
      </c>
      <c r="J811" t="n">
        <v>0</v>
      </c>
      <c r="K811" t="n">
        <v>0</v>
      </c>
      <c r="L811" t="n">
        <v>0</v>
      </c>
      <c r="M811" t="n">
        <v>0</v>
      </c>
      <c r="N811" t="n">
        <v>0</v>
      </c>
      <c r="O811" t="n">
        <v>0</v>
      </c>
      <c r="P811" t="n">
        <v>0</v>
      </c>
      <c r="Q811" t="n">
        <v>0</v>
      </c>
      <c r="R811" s="2" t="inlineStr"/>
    </row>
    <row r="812" ht="15" customHeight="1">
      <c r="A812" t="inlineStr">
        <is>
          <t>A 5804-2025</t>
        </is>
      </c>
      <c r="B812" s="1" t="n">
        <v>45694.68207175926</v>
      </c>
      <c r="C812" s="1" t="n">
        <v>46105</v>
      </c>
      <c r="D812" t="inlineStr">
        <is>
          <t>STOCKHOLMS LÄN</t>
        </is>
      </c>
      <c r="E812" t="inlineStr">
        <is>
          <t>NORRTÄLJE</t>
        </is>
      </c>
      <c r="F812" t="inlineStr">
        <is>
          <t>Holmen skog AB</t>
        </is>
      </c>
      <c r="G812" t="n">
        <v>2.6</v>
      </c>
      <c r="H812" t="n">
        <v>0</v>
      </c>
      <c r="I812" t="n">
        <v>0</v>
      </c>
      <c r="J812" t="n">
        <v>0</v>
      </c>
      <c r="K812" t="n">
        <v>0</v>
      </c>
      <c r="L812" t="n">
        <v>0</v>
      </c>
      <c r="M812" t="n">
        <v>0</v>
      </c>
      <c r="N812" t="n">
        <v>0</v>
      </c>
      <c r="O812" t="n">
        <v>0</v>
      </c>
      <c r="P812" t="n">
        <v>0</v>
      </c>
      <c r="Q812" t="n">
        <v>0</v>
      </c>
      <c r="R812" s="2" t="inlineStr"/>
    </row>
    <row r="813" ht="15" customHeight="1">
      <c r="A813" t="inlineStr">
        <is>
          <t>A 10429-2026</t>
        </is>
      </c>
      <c r="B813" s="1" t="n">
        <v>46077.3822337963</v>
      </c>
      <c r="C813" s="1" t="n">
        <v>46105</v>
      </c>
      <c r="D813" t="inlineStr">
        <is>
          <t>STOCKHOLMS LÄN</t>
        </is>
      </c>
      <c r="E813" t="inlineStr">
        <is>
          <t>NORRTÄLJE</t>
        </is>
      </c>
      <c r="F813" t="inlineStr">
        <is>
          <t>Holmen skog AB</t>
        </is>
      </c>
      <c r="G813" t="n">
        <v>1.9</v>
      </c>
      <c r="H813" t="n">
        <v>0</v>
      </c>
      <c r="I813" t="n">
        <v>0</v>
      </c>
      <c r="J813" t="n">
        <v>0</v>
      </c>
      <c r="K813" t="n">
        <v>0</v>
      </c>
      <c r="L813" t="n">
        <v>0</v>
      </c>
      <c r="M813" t="n">
        <v>0</v>
      </c>
      <c r="N813" t="n">
        <v>0</v>
      </c>
      <c r="O813" t="n">
        <v>0</v>
      </c>
      <c r="P813" t="n">
        <v>0</v>
      </c>
      <c r="Q813" t="n">
        <v>0</v>
      </c>
      <c r="R813" s="2" t="inlineStr"/>
    </row>
    <row r="814" ht="15" customHeight="1">
      <c r="A814" t="inlineStr">
        <is>
          <t>A 24705-2023</t>
        </is>
      </c>
      <c r="B814" s="1" t="n">
        <v>45084.54459490741</v>
      </c>
      <c r="C814" s="1" t="n">
        <v>46105</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10444-2026</t>
        </is>
      </c>
      <c r="B815" s="1" t="n">
        <v>46077.42230324074</v>
      </c>
      <c r="C815" s="1" t="n">
        <v>46105</v>
      </c>
      <c r="D815" t="inlineStr">
        <is>
          <t>STOCKHOLMS LÄN</t>
        </is>
      </c>
      <c r="E815" t="inlineStr">
        <is>
          <t>NORRTÄLJE</t>
        </is>
      </c>
      <c r="F815" t="inlineStr">
        <is>
          <t>Holmen skog AB</t>
        </is>
      </c>
      <c r="G815" t="n">
        <v>4.9</v>
      </c>
      <c r="H815" t="n">
        <v>0</v>
      </c>
      <c r="I815" t="n">
        <v>0</v>
      </c>
      <c r="J815" t="n">
        <v>0</v>
      </c>
      <c r="K815" t="n">
        <v>0</v>
      </c>
      <c r="L815" t="n">
        <v>0</v>
      </c>
      <c r="M815" t="n">
        <v>0</v>
      </c>
      <c r="N815" t="n">
        <v>0</v>
      </c>
      <c r="O815" t="n">
        <v>0</v>
      </c>
      <c r="P815" t="n">
        <v>0</v>
      </c>
      <c r="Q815" t="n">
        <v>0</v>
      </c>
      <c r="R815" s="2" t="inlineStr"/>
    </row>
    <row r="816" ht="15" customHeight="1">
      <c r="A816" t="inlineStr">
        <is>
          <t>A 2088-2026</t>
        </is>
      </c>
      <c r="B816" s="1" t="n">
        <v>46036.35909722222</v>
      </c>
      <c r="C816" s="1" t="n">
        <v>46105</v>
      </c>
      <c r="D816" t="inlineStr">
        <is>
          <t>STOCKHOLMS LÄN</t>
        </is>
      </c>
      <c r="E816" t="inlineStr">
        <is>
          <t>NORRTÄLJE</t>
        </is>
      </c>
      <c r="G816" t="n">
        <v>7</v>
      </c>
      <c r="H816" t="n">
        <v>0</v>
      </c>
      <c r="I816" t="n">
        <v>0</v>
      </c>
      <c r="J816" t="n">
        <v>0</v>
      </c>
      <c r="K816" t="n">
        <v>0</v>
      </c>
      <c r="L816" t="n">
        <v>0</v>
      </c>
      <c r="M816" t="n">
        <v>0</v>
      </c>
      <c r="N816" t="n">
        <v>0</v>
      </c>
      <c r="O816" t="n">
        <v>0</v>
      </c>
      <c r="P816" t="n">
        <v>0</v>
      </c>
      <c r="Q816" t="n">
        <v>0</v>
      </c>
      <c r="R816" s="2" t="inlineStr"/>
    </row>
    <row r="817" ht="15" customHeight="1">
      <c r="A817" t="inlineStr">
        <is>
          <t>A 2116-2026</t>
        </is>
      </c>
      <c r="B817" s="1" t="n">
        <v>46036.38108796296</v>
      </c>
      <c r="C817" s="1" t="n">
        <v>46105</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10399-2026</t>
        </is>
      </c>
      <c r="B818" s="1" t="n">
        <v>46077</v>
      </c>
      <c r="C818" s="1" t="n">
        <v>46105</v>
      </c>
      <c r="D818" t="inlineStr">
        <is>
          <t>STOCKHOLMS LÄN</t>
        </is>
      </c>
      <c r="E818" t="inlineStr">
        <is>
          <t>NORRTÄLJE</t>
        </is>
      </c>
      <c r="F818" t="inlineStr">
        <is>
          <t>Övriga Aktiebolag</t>
        </is>
      </c>
      <c r="G818" t="n">
        <v>0.2</v>
      </c>
      <c r="H818" t="n">
        <v>0</v>
      </c>
      <c r="I818" t="n">
        <v>0</v>
      </c>
      <c r="J818" t="n">
        <v>0</v>
      </c>
      <c r="K818" t="n">
        <v>0</v>
      </c>
      <c r="L818" t="n">
        <v>0</v>
      </c>
      <c r="M818" t="n">
        <v>0</v>
      </c>
      <c r="N818" t="n">
        <v>0</v>
      </c>
      <c r="O818" t="n">
        <v>0</v>
      </c>
      <c r="P818" t="n">
        <v>0</v>
      </c>
      <c r="Q818" t="n">
        <v>0</v>
      </c>
      <c r="R818" s="2" t="inlineStr"/>
    </row>
    <row r="819" ht="15" customHeight="1">
      <c r="A819" t="inlineStr">
        <is>
          <t>A 54358-2022</t>
        </is>
      </c>
      <c r="B819" s="1" t="n">
        <v>44882</v>
      </c>
      <c r="C819" s="1" t="n">
        <v>46105</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10646-2026</t>
        </is>
      </c>
      <c r="B820" s="1" t="n">
        <v>46078.34157407407</v>
      </c>
      <c r="C820" s="1" t="n">
        <v>46105</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23749-2024</t>
        </is>
      </c>
      <c r="B821" s="1" t="n">
        <v>45455.33037037037</v>
      </c>
      <c r="C821" s="1" t="n">
        <v>46105</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35698-2023</t>
        </is>
      </c>
      <c r="B822" s="1" t="n">
        <v>45147</v>
      </c>
      <c r="C822" s="1" t="n">
        <v>46105</v>
      </c>
      <c r="D822" t="inlineStr">
        <is>
          <t>STOCKHOLMS LÄN</t>
        </is>
      </c>
      <c r="E822" t="inlineStr">
        <is>
          <t>NORRTÄLJE</t>
        </is>
      </c>
      <c r="G822" t="n">
        <v>2.1</v>
      </c>
      <c r="H822" t="n">
        <v>0</v>
      </c>
      <c r="I822" t="n">
        <v>0</v>
      </c>
      <c r="J822" t="n">
        <v>0</v>
      </c>
      <c r="K822" t="n">
        <v>0</v>
      </c>
      <c r="L822" t="n">
        <v>0</v>
      </c>
      <c r="M822" t="n">
        <v>0</v>
      </c>
      <c r="N822" t="n">
        <v>0</v>
      </c>
      <c r="O822" t="n">
        <v>0</v>
      </c>
      <c r="P822" t="n">
        <v>0</v>
      </c>
      <c r="Q822" t="n">
        <v>0</v>
      </c>
      <c r="R822" s="2" t="inlineStr"/>
    </row>
    <row r="823" ht="15" customHeight="1">
      <c r="A823" t="inlineStr">
        <is>
          <t>A 10553-2026</t>
        </is>
      </c>
      <c r="B823" s="1" t="n">
        <v>46077.62944444444</v>
      </c>
      <c r="C823" s="1" t="n">
        <v>46105</v>
      </c>
      <c r="D823" t="inlineStr">
        <is>
          <t>STOCKHOLMS LÄN</t>
        </is>
      </c>
      <c r="E823" t="inlineStr">
        <is>
          <t>NORRTÄLJE</t>
        </is>
      </c>
      <c r="G823" t="n">
        <v>4.9</v>
      </c>
      <c r="H823" t="n">
        <v>0</v>
      </c>
      <c r="I823" t="n">
        <v>0</v>
      </c>
      <c r="J823" t="n">
        <v>0</v>
      </c>
      <c r="K823" t="n">
        <v>0</v>
      </c>
      <c r="L823" t="n">
        <v>0</v>
      </c>
      <c r="M823" t="n">
        <v>0</v>
      </c>
      <c r="N823" t="n">
        <v>0</v>
      </c>
      <c r="O823" t="n">
        <v>0</v>
      </c>
      <c r="P823" t="n">
        <v>0</v>
      </c>
      <c r="Q823" t="n">
        <v>0</v>
      </c>
      <c r="R823" s="2" t="inlineStr"/>
    </row>
    <row r="824" ht="15" customHeight="1">
      <c r="A824" t="inlineStr">
        <is>
          <t>A 10586-2026</t>
        </is>
      </c>
      <c r="B824" s="1" t="n">
        <v>46077.68192129629</v>
      </c>
      <c r="C824" s="1" t="n">
        <v>46105</v>
      </c>
      <c r="D824" t="inlineStr">
        <is>
          <t>STOCKHOLMS LÄN</t>
        </is>
      </c>
      <c r="E824" t="inlineStr">
        <is>
          <t>NORRTÄLJE</t>
        </is>
      </c>
      <c r="F824" t="inlineStr">
        <is>
          <t>Holmen skog AB</t>
        </is>
      </c>
      <c r="G824" t="n">
        <v>3.3</v>
      </c>
      <c r="H824" t="n">
        <v>0</v>
      </c>
      <c r="I824" t="n">
        <v>0</v>
      </c>
      <c r="J824" t="n">
        <v>0</v>
      </c>
      <c r="K824" t="n">
        <v>0</v>
      </c>
      <c r="L824" t="n">
        <v>0</v>
      </c>
      <c r="M824" t="n">
        <v>0</v>
      </c>
      <c r="N824" t="n">
        <v>0</v>
      </c>
      <c r="O824" t="n">
        <v>0</v>
      </c>
      <c r="P824" t="n">
        <v>0</v>
      </c>
      <c r="Q824" t="n">
        <v>0</v>
      </c>
      <c r="R824" s="2" t="inlineStr"/>
    </row>
    <row r="825" ht="15" customHeight="1">
      <c r="A825" t="inlineStr">
        <is>
          <t>A 73992-2021</t>
        </is>
      </c>
      <c r="B825" s="1" t="n">
        <v>44556</v>
      </c>
      <c r="C825" s="1" t="n">
        <v>46105</v>
      </c>
      <c r="D825" t="inlineStr">
        <is>
          <t>STOCKHOLMS LÄN</t>
        </is>
      </c>
      <c r="E825" t="inlineStr">
        <is>
          <t>NORRTÄLJE</t>
        </is>
      </c>
      <c r="G825" t="n">
        <v>12.5</v>
      </c>
      <c r="H825" t="n">
        <v>0</v>
      </c>
      <c r="I825" t="n">
        <v>0</v>
      </c>
      <c r="J825" t="n">
        <v>0</v>
      </c>
      <c r="K825" t="n">
        <v>0</v>
      </c>
      <c r="L825" t="n">
        <v>0</v>
      </c>
      <c r="M825" t="n">
        <v>0</v>
      </c>
      <c r="N825" t="n">
        <v>0</v>
      </c>
      <c r="O825" t="n">
        <v>0</v>
      </c>
      <c r="P825" t="n">
        <v>0</v>
      </c>
      <c r="Q825" t="n">
        <v>0</v>
      </c>
      <c r="R825" s="2" t="inlineStr"/>
    </row>
    <row r="826" ht="15" customHeight="1">
      <c r="A826" t="inlineStr">
        <is>
          <t>A 21329-2022</t>
        </is>
      </c>
      <c r="B826" s="1" t="n">
        <v>44705.60626157407</v>
      </c>
      <c r="C826" s="1" t="n">
        <v>46105</v>
      </c>
      <c r="D826" t="inlineStr">
        <is>
          <t>STOCKHOLMS LÄN</t>
        </is>
      </c>
      <c r="E826" t="inlineStr">
        <is>
          <t>NORRTÄLJE</t>
        </is>
      </c>
      <c r="G826" t="n">
        <v>4.1</v>
      </c>
      <c r="H826" t="n">
        <v>0</v>
      </c>
      <c r="I826" t="n">
        <v>0</v>
      </c>
      <c r="J826" t="n">
        <v>0</v>
      </c>
      <c r="K826" t="n">
        <v>0</v>
      </c>
      <c r="L826" t="n">
        <v>0</v>
      </c>
      <c r="M826" t="n">
        <v>0</v>
      </c>
      <c r="N826" t="n">
        <v>0</v>
      </c>
      <c r="O826" t="n">
        <v>0</v>
      </c>
      <c r="P826" t="n">
        <v>0</v>
      </c>
      <c r="Q826" t="n">
        <v>0</v>
      </c>
      <c r="R826" s="2" t="inlineStr"/>
    </row>
    <row r="827" ht="15" customHeight="1">
      <c r="A827" t="inlineStr">
        <is>
          <t>A 54276-2021</t>
        </is>
      </c>
      <c r="B827" s="1" t="n">
        <v>44470</v>
      </c>
      <c r="C827" s="1" t="n">
        <v>46105</v>
      </c>
      <c r="D827" t="inlineStr">
        <is>
          <t>STOCKHOLMS LÄN</t>
        </is>
      </c>
      <c r="E827" t="inlineStr">
        <is>
          <t>NORRTÄLJE</t>
        </is>
      </c>
      <c r="G827" t="n">
        <v>7.3</v>
      </c>
      <c r="H827" t="n">
        <v>0</v>
      </c>
      <c r="I827" t="n">
        <v>0</v>
      </c>
      <c r="J827" t="n">
        <v>0</v>
      </c>
      <c r="K827" t="n">
        <v>0</v>
      </c>
      <c r="L827" t="n">
        <v>0</v>
      </c>
      <c r="M827" t="n">
        <v>0</v>
      </c>
      <c r="N827" t="n">
        <v>0</v>
      </c>
      <c r="O827" t="n">
        <v>0</v>
      </c>
      <c r="P827" t="n">
        <v>0</v>
      </c>
      <c r="Q827" t="n">
        <v>0</v>
      </c>
      <c r="R827" s="2" t="inlineStr"/>
    </row>
    <row r="828" ht="15" customHeight="1">
      <c r="A828" t="inlineStr">
        <is>
          <t>A 10090-2022</t>
        </is>
      </c>
      <c r="B828" s="1" t="n">
        <v>44621</v>
      </c>
      <c r="C828" s="1" t="n">
        <v>46105</v>
      </c>
      <c r="D828" t="inlineStr">
        <is>
          <t>STOCKHOLMS LÄN</t>
        </is>
      </c>
      <c r="E828" t="inlineStr">
        <is>
          <t>NORRTÄLJE</t>
        </is>
      </c>
      <c r="G828" t="n">
        <v>5.2</v>
      </c>
      <c r="H828" t="n">
        <v>0</v>
      </c>
      <c r="I828" t="n">
        <v>0</v>
      </c>
      <c r="J828" t="n">
        <v>0</v>
      </c>
      <c r="K828" t="n">
        <v>0</v>
      </c>
      <c r="L828" t="n">
        <v>0</v>
      </c>
      <c r="M828" t="n">
        <v>0</v>
      </c>
      <c r="N828" t="n">
        <v>0</v>
      </c>
      <c r="O828" t="n">
        <v>0</v>
      </c>
      <c r="P828" t="n">
        <v>0</v>
      </c>
      <c r="Q828" t="n">
        <v>0</v>
      </c>
      <c r="R828" s="2" t="inlineStr"/>
    </row>
    <row r="829" ht="15" customHeight="1">
      <c r="A829" t="inlineStr">
        <is>
          <t>A 13785-2024</t>
        </is>
      </c>
      <c r="B829" s="1" t="n">
        <v>45391.3395949074</v>
      </c>
      <c r="C829" s="1" t="n">
        <v>46105</v>
      </c>
      <c r="D829" t="inlineStr">
        <is>
          <t>STOCKHOLMS LÄN</t>
        </is>
      </c>
      <c r="E829" t="inlineStr">
        <is>
          <t>NORRTÄLJE</t>
        </is>
      </c>
      <c r="G829" t="n">
        <v>5</v>
      </c>
      <c r="H829" t="n">
        <v>0</v>
      </c>
      <c r="I829" t="n">
        <v>0</v>
      </c>
      <c r="J829" t="n">
        <v>0</v>
      </c>
      <c r="K829" t="n">
        <v>0</v>
      </c>
      <c r="L829" t="n">
        <v>0</v>
      </c>
      <c r="M829" t="n">
        <v>0</v>
      </c>
      <c r="N829" t="n">
        <v>0</v>
      </c>
      <c r="O829" t="n">
        <v>0</v>
      </c>
      <c r="P829" t="n">
        <v>0</v>
      </c>
      <c r="Q829" t="n">
        <v>0</v>
      </c>
      <c r="R829" s="2" t="inlineStr"/>
    </row>
    <row r="830" ht="15" customHeight="1">
      <c r="A830" t="inlineStr">
        <is>
          <t>A 51116-2022</t>
        </is>
      </c>
      <c r="B830" s="1" t="n">
        <v>44868.45741898148</v>
      </c>
      <c r="C830" s="1" t="n">
        <v>46105</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29972-2024</t>
        </is>
      </c>
      <c r="B831" s="1" t="n">
        <v>45485</v>
      </c>
      <c r="C831" s="1" t="n">
        <v>46105</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28809-2023</t>
        </is>
      </c>
      <c r="B832" s="1" t="n">
        <v>45104</v>
      </c>
      <c r="C832" s="1" t="n">
        <v>46105</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28813-2023</t>
        </is>
      </c>
      <c r="B833" s="1" t="n">
        <v>45104</v>
      </c>
      <c r="C833" s="1" t="n">
        <v>46105</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19131-2025</t>
        </is>
      </c>
      <c r="B834" s="1" t="n">
        <v>45769</v>
      </c>
      <c r="C834" s="1" t="n">
        <v>46105</v>
      </c>
      <c r="D834" t="inlineStr">
        <is>
          <t>STOCKHOLMS LÄN</t>
        </is>
      </c>
      <c r="E834" t="inlineStr">
        <is>
          <t>NORRTÄLJE</t>
        </is>
      </c>
      <c r="G834" t="n">
        <v>1.6</v>
      </c>
      <c r="H834" t="n">
        <v>0</v>
      </c>
      <c r="I834" t="n">
        <v>0</v>
      </c>
      <c r="J834" t="n">
        <v>0</v>
      </c>
      <c r="K834" t="n">
        <v>0</v>
      </c>
      <c r="L834" t="n">
        <v>0</v>
      </c>
      <c r="M834" t="n">
        <v>0</v>
      </c>
      <c r="N834" t="n">
        <v>0</v>
      </c>
      <c r="O834" t="n">
        <v>0</v>
      </c>
      <c r="P834" t="n">
        <v>0</v>
      </c>
      <c r="Q834" t="n">
        <v>0</v>
      </c>
      <c r="R834" s="2" t="inlineStr"/>
    </row>
    <row r="835" ht="15" customHeight="1">
      <c r="A835" t="inlineStr">
        <is>
          <t>A 11929-2024</t>
        </is>
      </c>
      <c r="B835" s="1" t="n">
        <v>45376.64532407407</v>
      </c>
      <c r="C835" s="1" t="n">
        <v>46105</v>
      </c>
      <c r="D835" t="inlineStr">
        <is>
          <t>STOCKHOLMS LÄN</t>
        </is>
      </c>
      <c r="E835" t="inlineStr">
        <is>
          <t>NORRTÄLJE</t>
        </is>
      </c>
      <c r="G835" t="n">
        <v>0.7</v>
      </c>
      <c r="H835" t="n">
        <v>0</v>
      </c>
      <c r="I835" t="n">
        <v>0</v>
      </c>
      <c r="J835" t="n">
        <v>0</v>
      </c>
      <c r="K835" t="n">
        <v>0</v>
      </c>
      <c r="L835" t="n">
        <v>0</v>
      </c>
      <c r="M835" t="n">
        <v>0</v>
      </c>
      <c r="N835" t="n">
        <v>0</v>
      </c>
      <c r="O835" t="n">
        <v>0</v>
      </c>
      <c r="P835" t="n">
        <v>0</v>
      </c>
      <c r="Q835" t="n">
        <v>0</v>
      </c>
      <c r="R835" s="2" t="inlineStr"/>
    </row>
    <row r="836" ht="15" customHeight="1">
      <c r="A836" t="inlineStr">
        <is>
          <t>A 64145-2021</t>
        </is>
      </c>
      <c r="B836" s="1" t="n">
        <v>44510</v>
      </c>
      <c r="C836" s="1" t="n">
        <v>46105</v>
      </c>
      <c r="D836" t="inlineStr">
        <is>
          <t>STOCKHOLMS LÄN</t>
        </is>
      </c>
      <c r="E836" t="inlineStr">
        <is>
          <t>NORRTÄLJE</t>
        </is>
      </c>
      <c r="F836" t="inlineStr">
        <is>
          <t>Holmen skog AB</t>
        </is>
      </c>
      <c r="G836" t="n">
        <v>1.5</v>
      </c>
      <c r="H836" t="n">
        <v>0</v>
      </c>
      <c r="I836" t="n">
        <v>0</v>
      </c>
      <c r="J836" t="n">
        <v>0</v>
      </c>
      <c r="K836" t="n">
        <v>0</v>
      </c>
      <c r="L836" t="n">
        <v>0</v>
      </c>
      <c r="M836" t="n">
        <v>0</v>
      </c>
      <c r="N836" t="n">
        <v>0</v>
      </c>
      <c r="O836" t="n">
        <v>0</v>
      </c>
      <c r="P836" t="n">
        <v>0</v>
      </c>
      <c r="Q836" t="n">
        <v>0</v>
      </c>
      <c r="R836" s="2" t="inlineStr"/>
    </row>
    <row r="837" ht="15" customHeight="1">
      <c r="A837" t="inlineStr">
        <is>
          <t>A 45451-2024</t>
        </is>
      </c>
      <c r="B837" s="1" t="n">
        <v>45576</v>
      </c>
      <c r="C837" s="1" t="n">
        <v>46105</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17843-2024</t>
        </is>
      </c>
      <c r="B838" s="1" t="n">
        <v>45418</v>
      </c>
      <c r="C838" s="1" t="n">
        <v>46105</v>
      </c>
      <c r="D838" t="inlineStr">
        <is>
          <t>STOCKHOLMS LÄN</t>
        </is>
      </c>
      <c r="E838" t="inlineStr">
        <is>
          <t>NORRTÄLJE</t>
        </is>
      </c>
      <c r="G838" t="n">
        <v>5.4</v>
      </c>
      <c r="H838" t="n">
        <v>0</v>
      </c>
      <c r="I838" t="n">
        <v>0</v>
      </c>
      <c r="J838" t="n">
        <v>0</v>
      </c>
      <c r="K838" t="n">
        <v>0</v>
      </c>
      <c r="L838" t="n">
        <v>0</v>
      </c>
      <c r="M838" t="n">
        <v>0</v>
      </c>
      <c r="N838" t="n">
        <v>0</v>
      </c>
      <c r="O838" t="n">
        <v>0</v>
      </c>
      <c r="P838" t="n">
        <v>0</v>
      </c>
      <c r="Q838" t="n">
        <v>0</v>
      </c>
      <c r="R838" s="2" t="inlineStr"/>
    </row>
    <row r="839" ht="15" customHeight="1">
      <c r="A839" t="inlineStr">
        <is>
          <t>A 12890-2024</t>
        </is>
      </c>
      <c r="B839" s="1" t="n">
        <v>45385.36243055556</v>
      </c>
      <c r="C839" s="1" t="n">
        <v>46105</v>
      </c>
      <c r="D839" t="inlineStr">
        <is>
          <t>STOCKHOLMS LÄN</t>
        </is>
      </c>
      <c r="E839" t="inlineStr">
        <is>
          <t>NORRTÄLJE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36430-2024</t>
        </is>
      </c>
      <c r="B840" s="1" t="n">
        <v>45536</v>
      </c>
      <c r="C840" s="1" t="n">
        <v>46105</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41172-2023</t>
        </is>
      </c>
      <c r="B841" s="1" t="n">
        <v>45170</v>
      </c>
      <c r="C841" s="1" t="n">
        <v>46105</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67921-2021</t>
        </is>
      </c>
      <c r="B842" s="1" t="n">
        <v>44525</v>
      </c>
      <c r="C842" s="1" t="n">
        <v>46105</v>
      </c>
      <c r="D842" t="inlineStr">
        <is>
          <t>STOCKHOLMS LÄN</t>
        </is>
      </c>
      <c r="E842" t="inlineStr">
        <is>
          <t>NORRTÄLJE</t>
        </is>
      </c>
      <c r="G842" t="n">
        <v>6.3</v>
      </c>
      <c r="H842" t="n">
        <v>0</v>
      </c>
      <c r="I842" t="n">
        <v>0</v>
      </c>
      <c r="J842" t="n">
        <v>0</v>
      </c>
      <c r="K842" t="n">
        <v>0</v>
      </c>
      <c r="L842" t="n">
        <v>0</v>
      </c>
      <c r="M842" t="n">
        <v>0</v>
      </c>
      <c r="N842" t="n">
        <v>0</v>
      </c>
      <c r="O842" t="n">
        <v>0</v>
      </c>
      <c r="P842" t="n">
        <v>0</v>
      </c>
      <c r="Q842" t="n">
        <v>0</v>
      </c>
      <c r="R842" s="2" t="inlineStr"/>
    </row>
    <row r="843" ht="15" customHeight="1">
      <c r="A843" t="inlineStr">
        <is>
          <t>A 72704-2021</t>
        </is>
      </c>
      <c r="B843" s="1" t="n">
        <v>44546</v>
      </c>
      <c r="C843" s="1" t="n">
        <v>46105</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65499-2021</t>
        </is>
      </c>
      <c r="B844" s="1" t="n">
        <v>44516</v>
      </c>
      <c r="C844" s="1" t="n">
        <v>46105</v>
      </c>
      <c r="D844" t="inlineStr">
        <is>
          <t>STOCKHOLMS LÄN</t>
        </is>
      </c>
      <c r="E844" t="inlineStr">
        <is>
          <t>NORRTÄLJE</t>
        </is>
      </c>
      <c r="F844" t="inlineStr">
        <is>
          <t>Kommuner</t>
        </is>
      </c>
      <c r="G844" t="n">
        <v>5.2</v>
      </c>
      <c r="H844" t="n">
        <v>0</v>
      </c>
      <c r="I844" t="n">
        <v>0</v>
      </c>
      <c r="J844" t="n">
        <v>0</v>
      </c>
      <c r="K844" t="n">
        <v>0</v>
      </c>
      <c r="L844" t="n">
        <v>0</v>
      </c>
      <c r="M844" t="n">
        <v>0</v>
      </c>
      <c r="N844" t="n">
        <v>0</v>
      </c>
      <c r="O844" t="n">
        <v>0</v>
      </c>
      <c r="P844" t="n">
        <v>0</v>
      </c>
      <c r="Q844" t="n">
        <v>0</v>
      </c>
      <c r="R844" s="2" t="inlineStr"/>
    </row>
    <row r="845" ht="15" customHeight="1">
      <c r="A845" t="inlineStr">
        <is>
          <t>A 65511-2021</t>
        </is>
      </c>
      <c r="B845" s="1" t="n">
        <v>44516.40674768519</v>
      </c>
      <c r="C845" s="1" t="n">
        <v>46105</v>
      </c>
      <c r="D845" t="inlineStr">
        <is>
          <t>STOCKHOLMS LÄN</t>
        </is>
      </c>
      <c r="E845" t="inlineStr">
        <is>
          <t>NORRTÄLJE</t>
        </is>
      </c>
      <c r="F845" t="inlineStr">
        <is>
          <t>Kommuner</t>
        </is>
      </c>
      <c r="G845" t="n">
        <v>2.8</v>
      </c>
      <c r="H845" t="n">
        <v>0</v>
      </c>
      <c r="I845" t="n">
        <v>0</v>
      </c>
      <c r="J845" t="n">
        <v>0</v>
      </c>
      <c r="K845" t="n">
        <v>0</v>
      </c>
      <c r="L845" t="n">
        <v>0</v>
      </c>
      <c r="M845" t="n">
        <v>0</v>
      </c>
      <c r="N845" t="n">
        <v>0</v>
      </c>
      <c r="O845" t="n">
        <v>0</v>
      </c>
      <c r="P845" t="n">
        <v>0</v>
      </c>
      <c r="Q845" t="n">
        <v>0</v>
      </c>
      <c r="R845" s="2" t="inlineStr"/>
    </row>
    <row r="846" ht="15" customHeight="1">
      <c r="A846" t="inlineStr">
        <is>
          <t>A 26113-2024</t>
        </is>
      </c>
      <c r="B846" s="1" t="n">
        <v>45468.45541666666</v>
      </c>
      <c r="C846" s="1" t="n">
        <v>46105</v>
      </c>
      <c r="D846" t="inlineStr">
        <is>
          <t>STOCKHOLMS LÄN</t>
        </is>
      </c>
      <c r="E846" t="inlineStr">
        <is>
          <t>NORRTÄLJE</t>
        </is>
      </c>
      <c r="G846" t="n">
        <v>0.4</v>
      </c>
      <c r="H846" t="n">
        <v>0</v>
      </c>
      <c r="I846" t="n">
        <v>0</v>
      </c>
      <c r="J846" t="n">
        <v>0</v>
      </c>
      <c r="K846" t="n">
        <v>0</v>
      </c>
      <c r="L846" t="n">
        <v>0</v>
      </c>
      <c r="M846" t="n">
        <v>0</v>
      </c>
      <c r="N846" t="n">
        <v>0</v>
      </c>
      <c r="O846" t="n">
        <v>0</v>
      </c>
      <c r="P846" t="n">
        <v>0</v>
      </c>
      <c r="Q846" t="n">
        <v>0</v>
      </c>
      <c r="R846" s="2" t="inlineStr"/>
    </row>
    <row r="847" ht="15" customHeight="1">
      <c r="A847" t="inlineStr">
        <is>
          <t>A 26116-2024</t>
        </is>
      </c>
      <c r="B847" s="1" t="n">
        <v>45468.45747685185</v>
      </c>
      <c r="C847" s="1" t="n">
        <v>46105</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52686-2024</t>
        </is>
      </c>
      <c r="B848" s="1" t="n">
        <v>45610.39271990741</v>
      </c>
      <c r="C848" s="1" t="n">
        <v>46105</v>
      </c>
      <c r="D848" t="inlineStr">
        <is>
          <t>STOCKHOLMS LÄN</t>
        </is>
      </c>
      <c r="E848" t="inlineStr">
        <is>
          <t>NORRTÄLJE</t>
        </is>
      </c>
      <c r="G848" t="n">
        <v>5.7</v>
      </c>
      <c r="H848" t="n">
        <v>0</v>
      </c>
      <c r="I848" t="n">
        <v>0</v>
      </c>
      <c r="J848" t="n">
        <v>0</v>
      </c>
      <c r="K848" t="n">
        <v>0</v>
      </c>
      <c r="L848" t="n">
        <v>0</v>
      </c>
      <c r="M848" t="n">
        <v>0</v>
      </c>
      <c r="N848" t="n">
        <v>0</v>
      </c>
      <c r="O848" t="n">
        <v>0</v>
      </c>
      <c r="P848" t="n">
        <v>0</v>
      </c>
      <c r="Q848" t="n">
        <v>0</v>
      </c>
      <c r="R848" s="2" t="inlineStr"/>
    </row>
    <row r="849" ht="15" customHeight="1">
      <c r="A849" t="inlineStr">
        <is>
          <t>A 31105-2022</t>
        </is>
      </c>
      <c r="B849" s="1" t="n">
        <v>44769.66039351852</v>
      </c>
      <c r="C849" s="1" t="n">
        <v>46105</v>
      </c>
      <c r="D849" t="inlineStr">
        <is>
          <t>STOCKHOLMS LÄN</t>
        </is>
      </c>
      <c r="E849" t="inlineStr">
        <is>
          <t>NORRTÄLJE</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62644-2023</t>
        </is>
      </c>
      <c r="B850" s="1" t="n">
        <v>45271</v>
      </c>
      <c r="C850" s="1" t="n">
        <v>46105</v>
      </c>
      <c r="D850" t="inlineStr">
        <is>
          <t>STOCKHOLMS LÄN</t>
        </is>
      </c>
      <c r="E850" t="inlineStr">
        <is>
          <t>NORRTÄLJE</t>
        </is>
      </c>
      <c r="G850" t="n">
        <v>1.1</v>
      </c>
      <c r="H850" t="n">
        <v>0</v>
      </c>
      <c r="I850" t="n">
        <v>0</v>
      </c>
      <c r="J850" t="n">
        <v>0</v>
      </c>
      <c r="K850" t="n">
        <v>0</v>
      </c>
      <c r="L850" t="n">
        <v>0</v>
      </c>
      <c r="M850" t="n">
        <v>0</v>
      </c>
      <c r="N850" t="n">
        <v>0</v>
      </c>
      <c r="O850" t="n">
        <v>0</v>
      </c>
      <c r="P850" t="n">
        <v>0</v>
      </c>
      <c r="Q850" t="n">
        <v>0</v>
      </c>
      <c r="R850" s="2" t="inlineStr"/>
    </row>
    <row r="851" ht="15" customHeight="1">
      <c r="A851" t="inlineStr">
        <is>
          <t>A 60185-2024</t>
        </is>
      </c>
      <c r="B851" s="1" t="n">
        <v>45642.64634259259</v>
      </c>
      <c r="C851" s="1" t="n">
        <v>46105</v>
      </c>
      <c r="D851" t="inlineStr">
        <is>
          <t>STOCKHOLMS LÄN</t>
        </is>
      </c>
      <c r="E851" t="inlineStr">
        <is>
          <t>NORRTÄLJE</t>
        </is>
      </c>
      <c r="G851" t="n">
        <v>0.3</v>
      </c>
      <c r="H851" t="n">
        <v>0</v>
      </c>
      <c r="I851" t="n">
        <v>0</v>
      </c>
      <c r="J851" t="n">
        <v>0</v>
      </c>
      <c r="K851" t="n">
        <v>0</v>
      </c>
      <c r="L851" t="n">
        <v>0</v>
      </c>
      <c r="M851" t="n">
        <v>0</v>
      </c>
      <c r="N851" t="n">
        <v>0</v>
      </c>
      <c r="O851" t="n">
        <v>0</v>
      </c>
      <c r="P851" t="n">
        <v>0</v>
      </c>
      <c r="Q851" t="n">
        <v>0</v>
      </c>
      <c r="R851" s="2" t="inlineStr"/>
    </row>
    <row r="852" ht="15" customHeight="1">
      <c r="A852" t="inlineStr">
        <is>
          <t>A 60765-2023</t>
        </is>
      </c>
      <c r="B852" s="1" t="n">
        <v>45260</v>
      </c>
      <c r="C852" s="1" t="n">
        <v>46105</v>
      </c>
      <c r="D852" t="inlineStr">
        <is>
          <t>STOCKHOLMS LÄN</t>
        </is>
      </c>
      <c r="E852" t="inlineStr">
        <is>
          <t>NORRTÄLJE</t>
        </is>
      </c>
      <c r="G852" t="n">
        <v>3.7</v>
      </c>
      <c r="H852" t="n">
        <v>0</v>
      </c>
      <c r="I852" t="n">
        <v>0</v>
      </c>
      <c r="J852" t="n">
        <v>0</v>
      </c>
      <c r="K852" t="n">
        <v>0</v>
      </c>
      <c r="L852" t="n">
        <v>0</v>
      </c>
      <c r="M852" t="n">
        <v>0</v>
      </c>
      <c r="N852" t="n">
        <v>0</v>
      </c>
      <c r="O852" t="n">
        <v>0</v>
      </c>
      <c r="P852" t="n">
        <v>0</v>
      </c>
      <c r="Q852" t="n">
        <v>0</v>
      </c>
      <c r="R852" s="2" t="inlineStr"/>
    </row>
    <row r="853" ht="15" customHeight="1">
      <c r="A853" t="inlineStr">
        <is>
          <t>A 12268-2022</t>
        </is>
      </c>
      <c r="B853" s="1" t="n">
        <v>44637</v>
      </c>
      <c r="C853" s="1" t="n">
        <v>46105</v>
      </c>
      <c r="D853" t="inlineStr">
        <is>
          <t>STOCKHOLMS LÄN</t>
        </is>
      </c>
      <c r="E853" t="inlineStr">
        <is>
          <t>NORRTÄLJE</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22832-2021</t>
        </is>
      </c>
      <c r="B854" s="1" t="n">
        <v>44325</v>
      </c>
      <c r="C854" s="1" t="n">
        <v>46105</v>
      </c>
      <c r="D854" t="inlineStr">
        <is>
          <t>STOCKHOLMS LÄN</t>
        </is>
      </c>
      <c r="E854" t="inlineStr">
        <is>
          <t>NORRTÄLJE</t>
        </is>
      </c>
      <c r="G854" t="n">
        <v>6.8</v>
      </c>
      <c r="H854" t="n">
        <v>0</v>
      </c>
      <c r="I854" t="n">
        <v>0</v>
      </c>
      <c r="J854" t="n">
        <v>0</v>
      </c>
      <c r="K854" t="n">
        <v>0</v>
      </c>
      <c r="L854" t="n">
        <v>0</v>
      </c>
      <c r="M854" t="n">
        <v>0</v>
      </c>
      <c r="N854" t="n">
        <v>0</v>
      </c>
      <c r="O854" t="n">
        <v>0</v>
      </c>
      <c r="P854" t="n">
        <v>0</v>
      </c>
      <c r="Q854" t="n">
        <v>0</v>
      </c>
      <c r="R854" s="2" t="inlineStr"/>
    </row>
    <row r="855" ht="15" customHeight="1">
      <c r="A855" t="inlineStr">
        <is>
          <t>A 51315-2021</t>
        </is>
      </c>
      <c r="B855" s="1" t="n">
        <v>44461</v>
      </c>
      <c r="C855" s="1" t="n">
        <v>46105</v>
      </c>
      <c r="D855" t="inlineStr">
        <is>
          <t>STOCKHOLMS LÄN</t>
        </is>
      </c>
      <c r="E855" t="inlineStr">
        <is>
          <t>NORRTÄLJE</t>
        </is>
      </c>
      <c r="F855" t="inlineStr">
        <is>
          <t>Holmen skog AB</t>
        </is>
      </c>
      <c r="G855" t="n">
        <v>2.2</v>
      </c>
      <c r="H855" t="n">
        <v>0</v>
      </c>
      <c r="I855" t="n">
        <v>0</v>
      </c>
      <c r="J855" t="n">
        <v>0</v>
      </c>
      <c r="K855" t="n">
        <v>0</v>
      </c>
      <c r="L855" t="n">
        <v>0</v>
      </c>
      <c r="M855" t="n">
        <v>0</v>
      </c>
      <c r="N855" t="n">
        <v>0</v>
      </c>
      <c r="O855" t="n">
        <v>0</v>
      </c>
      <c r="P855" t="n">
        <v>0</v>
      </c>
      <c r="Q855" t="n">
        <v>0</v>
      </c>
      <c r="R855" s="2" t="inlineStr"/>
    </row>
    <row r="856" ht="15" customHeight="1">
      <c r="A856" t="inlineStr">
        <is>
          <t>A 22008-2024</t>
        </is>
      </c>
      <c r="B856" s="1" t="n">
        <v>45443</v>
      </c>
      <c r="C856" s="1" t="n">
        <v>46105</v>
      </c>
      <c r="D856" t="inlineStr">
        <is>
          <t>STOCKHOLMS LÄN</t>
        </is>
      </c>
      <c r="E856" t="inlineStr">
        <is>
          <t>NORRTÄLJE</t>
        </is>
      </c>
      <c r="G856" t="n">
        <v>2</v>
      </c>
      <c r="H856" t="n">
        <v>0</v>
      </c>
      <c r="I856" t="n">
        <v>0</v>
      </c>
      <c r="J856" t="n">
        <v>0</v>
      </c>
      <c r="K856" t="n">
        <v>0</v>
      </c>
      <c r="L856" t="n">
        <v>0</v>
      </c>
      <c r="M856" t="n">
        <v>0</v>
      </c>
      <c r="N856" t="n">
        <v>0</v>
      </c>
      <c r="O856" t="n">
        <v>0</v>
      </c>
      <c r="P856" t="n">
        <v>0</v>
      </c>
      <c r="Q856" t="n">
        <v>0</v>
      </c>
      <c r="R856" s="2" t="inlineStr"/>
    </row>
    <row r="857" ht="15" customHeight="1">
      <c r="A857" t="inlineStr">
        <is>
          <t>A 58277-2023</t>
        </is>
      </c>
      <c r="B857" s="1" t="n">
        <v>45245</v>
      </c>
      <c r="C857" s="1" t="n">
        <v>46105</v>
      </c>
      <c r="D857" t="inlineStr">
        <is>
          <t>STOCKHOLMS LÄN</t>
        </is>
      </c>
      <c r="E857" t="inlineStr">
        <is>
          <t>NORRTÄLJE</t>
        </is>
      </c>
      <c r="G857" t="n">
        <v>1.3</v>
      </c>
      <c r="H857" t="n">
        <v>0</v>
      </c>
      <c r="I857" t="n">
        <v>0</v>
      </c>
      <c r="J857" t="n">
        <v>0</v>
      </c>
      <c r="K857" t="n">
        <v>0</v>
      </c>
      <c r="L857" t="n">
        <v>0</v>
      </c>
      <c r="M857" t="n">
        <v>0</v>
      </c>
      <c r="N857" t="n">
        <v>0</v>
      </c>
      <c r="O857" t="n">
        <v>0</v>
      </c>
      <c r="P857" t="n">
        <v>0</v>
      </c>
      <c r="Q857" t="n">
        <v>0</v>
      </c>
      <c r="R857" s="2" t="inlineStr"/>
    </row>
    <row r="858" ht="15" customHeight="1">
      <c r="A858" t="inlineStr">
        <is>
          <t>A 9480-2025</t>
        </is>
      </c>
      <c r="B858" s="1" t="n">
        <v>45715</v>
      </c>
      <c r="C858" s="1" t="n">
        <v>46105</v>
      </c>
      <c r="D858" t="inlineStr">
        <is>
          <t>STOCKHOLMS LÄN</t>
        </is>
      </c>
      <c r="E858" t="inlineStr">
        <is>
          <t>NORRTÄLJE</t>
        </is>
      </c>
      <c r="F858" t="inlineStr">
        <is>
          <t>Övriga Aktiebolag</t>
        </is>
      </c>
      <c r="G858" t="n">
        <v>3.9</v>
      </c>
      <c r="H858" t="n">
        <v>0</v>
      </c>
      <c r="I858" t="n">
        <v>0</v>
      </c>
      <c r="J858" t="n">
        <v>0</v>
      </c>
      <c r="K858" t="n">
        <v>0</v>
      </c>
      <c r="L858" t="n">
        <v>0</v>
      </c>
      <c r="M858" t="n">
        <v>0</v>
      </c>
      <c r="N858" t="n">
        <v>0</v>
      </c>
      <c r="O858" t="n">
        <v>0</v>
      </c>
      <c r="P858" t="n">
        <v>0</v>
      </c>
      <c r="Q858" t="n">
        <v>0</v>
      </c>
      <c r="R858" s="2" t="inlineStr"/>
    </row>
    <row r="859" ht="15" customHeight="1">
      <c r="A859" t="inlineStr">
        <is>
          <t>A 4322-2023</t>
        </is>
      </c>
      <c r="B859" s="1" t="n">
        <v>44953.69298611111</v>
      </c>
      <c r="C859" s="1" t="n">
        <v>46105</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35916-2024</t>
        </is>
      </c>
      <c r="B860" s="1" t="n">
        <v>45533</v>
      </c>
      <c r="C860" s="1" t="n">
        <v>46105</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38889-2024</t>
        </is>
      </c>
      <c r="B861" s="1" t="n">
        <v>45547</v>
      </c>
      <c r="C861" s="1" t="n">
        <v>46105</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3299-2022</t>
        </is>
      </c>
      <c r="B862" s="1" t="n">
        <v>44584.91001157407</v>
      </c>
      <c r="C862" s="1" t="n">
        <v>46105</v>
      </c>
      <c r="D862" t="inlineStr">
        <is>
          <t>STOCKHOLMS LÄN</t>
        </is>
      </c>
      <c r="E862" t="inlineStr">
        <is>
          <t>NORRTÄLJE</t>
        </is>
      </c>
      <c r="G862" t="n">
        <v>2.7</v>
      </c>
      <c r="H862" t="n">
        <v>0</v>
      </c>
      <c r="I862" t="n">
        <v>0</v>
      </c>
      <c r="J862" t="n">
        <v>0</v>
      </c>
      <c r="K862" t="n">
        <v>0</v>
      </c>
      <c r="L862" t="n">
        <v>0</v>
      </c>
      <c r="M862" t="n">
        <v>0</v>
      </c>
      <c r="N862" t="n">
        <v>0</v>
      </c>
      <c r="O862" t="n">
        <v>0</v>
      </c>
      <c r="P862" t="n">
        <v>0</v>
      </c>
      <c r="Q862" t="n">
        <v>0</v>
      </c>
      <c r="R862" s="2" t="inlineStr"/>
    </row>
    <row r="863" ht="15" customHeight="1">
      <c r="A863" t="inlineStr">
        <is>
          <t>A 42075-2023</t>
        </is>
      </c>
      <c r="B863" s="1" t="n">
        <v>45177</v>
      </c>
      <c r="C863" s="1" t="n">
        <v>46105</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10676-2025</t>
        </is>
      </c>
      <c r="B864" s="1" t="n">
        <v>45721.88684027778</v>
      </c>
      <c r="C864" s="1" t="n">
        <v>46105</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50154-2024</t>
        </is>
      </c>
      <c r="B865" s="1" t="n">
        <v>45600.4558912037</v>
      </c>
      <c r="C865" s="1" t="n">
        <v>46105</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37273-2024</t>
        </is>
      </c>
      <c r="B866" s="1" t="n">
        <v>45540</v>
      </c>
      <c r="C866" s="1" t="n">
        <v>46105</v>
      </c>
      <c r="D866" t="inlineStr">
        <is>
          <t>STOCKHOLMS LÄN</t>
        </is>
      </c>
      <c r="E866" t="inlineStr">
        <is>
          <t>NORRTÄLJE</t>
        </is>
      </c>
      <c r="F866" t="inlineStr">
        <is>
          <t>Sveaskog</t>
        </is>
      </c>
      <c r="G866" t="n">
        <v>12.5</v>
      </c>
      <c r="H866" t="n">
        <v>0</v>
      </c>
      <c r="I866" t="n">
        <v>0</v>
      </c>
      <c r="J866" t="n">
        <v>0</v>
      </c>
      <c r="K866" t="n">
        <v>0</v>
      </c>
      <c r="L866" t="n">
        <v>0</v>
      </c>
      <c r="M866" t="n">
        <v>0</v>
      </c>
      <c r="N866" t="n">
        <v>0</v>
      </c>
      <c r="O866" t="n">
        <v>0</v>
      </c>
      <c r="P866" t="n">
        <v>0</v>
      </c>
      <c r="Q866" t="n">
        <v>0</v>
      </c>
      <c r="R866" s="2" t="inlineStr"/>
    </row>
    <row r="867" ht="15" customHeight="1">
      <c r="A867" t="inlineStr">
        <is>
          <t>A 34773-2022</t>
        </is>
      </c>
      <c r="B867" s="1" t="n">
        <v>44795</v>
      </c>
      <c r="C867" s="1" t="n">
        <v>46105</v>
      </c>
      <c r="D867" t="inlineStr">
        <is>
          <t>STOCKHOLMS LÄN</t>
        </is>
      </c>
      <c r="E867" t="inlineStr">
        <is>
          <t>NORRTÄLJE</t>
        </is>
      </c>
      <c r="G867" t="n">
        <v>3.9</v>
      </c>
      <c r="H867" t="n">
        <v>0</v>
      </c>
      <c r="I867" t="n">
        <v>0</v>
      </c>
      <c r="J867" t="n">
        <v>0</v>
      </c>
      <c r="K867" t="n">
        <v>0</v>
      </c>
      <c r="L867" t="n">
        <v>0</v>
      </c>
      <c r="M867" t="n">
        <v>0</v>
      </c>
      <c r="N867" t="n">
        <v>0</v>
      </c>
      <c r="O867" t="n">
        <v>0</v>
      </c>
      <c r="P867" t="n">
        <v>0</v>
      </c>
      <c r="Q867" t="n">
        <v>0</v>
      </c>
      <c r="R867" s="2" t="inlineStr"/>
    </row>
    <row r="868" ht="15" customHeight="1">
      <c r="A868" t="inlineStr">
        <is>
          <t>A 23263-2023</t>
        </is>
      </c>
      <c r="B868" s="1" t="n">
        <v>45075</v>
      </c>
      <c r="C868" s="1" t="n">
        <v>46105</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23264-2023</t>
        </is>
      </c>
      <c r="B869" s="1" t="n">
        <v>45075</v>
      </c>
      <c r="C869" s="1" t="n">
        <v>46105</v>
      </c>
      <c r="D869" t="inlineStr">
        <is>
          <t>STOCKHOLMS LÄN</t>
        </is>
      </c>
      <c r="E869" t="inlineStr">
        <is>
          <t>NORRTÄLJE</t>
        </is>
      </c>
      <c r="G869" t="n">
        <v>2.9</v>
      </c>
      <c r="H869" t="n">
        <v>0</v>
      </c>
      <c r="I869" t="n">
        <v>0</v>
      </c>
      <c r="J869" t="n">
        <v>0</v>
      </c>
      <c r="K869" t="n">
        <v>0</v>
      </c>
      <c r="L869" t="n">
        <v>0</v>
      </c>
      <c r="M869" t="n">
        <v>0</v>
      </c>
      <c r="N869" t="n">
        <v>0</v>
      </c>
      <c r="O869" t="n">
        <v>0</v>
      </c>
      <c r="P869" t="n">
        <v>0</v>
      </c>
      <c r="Q869" t="n">
        <v>0</v>
      </c>
      <c r="R869" s="2" t="inlineStr"/>
    </row>
    <row r="870" ht="15" customHeight="1">
      <c r="A870" t="inlineStr">
        <is>
          <t>A 23267-2023</t>
        </is>
      </c>
      <c r="B870" s="1" t="n">
        <v>45075.90934027778</v>
      </c>
      <c r="C870" s="1" t="n">
        <v>46105</v>
      </c>
      <c r="D870" t="inlineStr">
        <is>
          <t>STOCKHOLMS LÄN</t>
        </is>
      </c>
      <c r="E870" t="inlineStr">
        <is>
          <t>NORRTÄLJE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25654-2023</t>
        </is>
      </c>
      <c r="B871" s="1" t="n">
        <v>45089</v>
      </c>
      <c r="C871" s="1" t="n">
        <v>46105</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47758-2023</t>
        </is>
      </c>
      <c r="B872" s="1" t="n">
        <v>45203.83891203703</v>
      </c>
      <c r="C872" s="1" t="n">
        <v>46105</v>
      </c>
      <c r="D872" t="inlineStr">
        <is>
          <t>STOCKHOLMS LÄN</t>
        </is>
      </c>
      <c r="E872" t="inlineStr">
        <is>
          <t>NORRTÄLJE</t>
        </is>
      </c>
      <c r="G872" t="n">
        <v>0.9</v>
      </c>
      <c r="H872" t="n">
        <v>0</v>
      </c>
      <c r="I872" t="n">
        <v>0</v>
      </c>
      <c r="J872" t="n">
        <v>0</v>
      </c>
      <c r="K872" t="n">
        <v>0</v>
      </c>
      <c r="L872" t="n">
        <v>0</v>
      </c>
      <c r="M872" t="n">
        <v>0</v>
      </c>
      <c r="N872" t="n">
        <v>0</v>
      </c>
      <c r="O872" t="n">
        <v>0</v>
      </c>
      <c r="P872" t="n">
        <v>0</v>
      </c>
      <c r="Q872" t="n">
        <v>0</v>
      </c>
      <c r="R872" s="2" t="inlineStr"/>
    </row>
    <row r="873" ht="15" customHeight="1">
      <c r="A873" t="inlineStr">
        <is>
          <t>A 48151-2024</t>
        </is>
      </c>
      <c r="B873" s="1" t="n">
        <v>45589.68289351852</v>
      </c>
      <c r="C873" s="1" t="n">
        <v>46105</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5831-2022</t>
        </is>
      </c>
      <c r="B874" s="1" t="n">
        <v>44596</v>
      </c>
      <c r="C874" s="1" t="n">
        <v>46105</v>
      </c>
      <c r="D874" t="inlineStr">
        <is>
          <t>STOCKHOLMS LÄN</t>
        </is>
      </c>
      <c r="E874" t="inlineStr">
        <is>
          <t>NORRTÄLJE</t>
        </is>
      </c>
      <c r="G874" t="n">
        <v>4.8</v>
      </c>
      <c r="H874" t="n">
        <v>0</v>
      </c>
      <c r="I874" t="n">
        <v>0</v>
      </c>
      <c r="J874" t="n">
        <v>0</v>
      </c>
      <c r="K874" t="n">
        <v>0</v>
      </c>
      <c r="L874" t="n">
        <v>0</v>
      </c>
      <c r="M874" t="n">
        <v>0</v>
      </c>
      <c r="N874" t="n">
        <v>0</v>
      </c>
      <c r="O874" t="n">
        <v>0</v>
      </c>
      <c r="P874" t="n">
        <v>0</v>
      </c>
      <c r="Q874" t="n">
        <v>0</v>
      </c>
      <c r="R874" s="2" t="inlineStr"/>
    </row>
    <row r="875" ht="15" customHeight="1">
      <c r="A875" t="inlineStr">
        <is>
          <t>A 58853-2024</t>
        </is>
      </c>
      <c r="B875" s="1" t="n">
        <v>45636.38974537037</v>
      </c>
      <c r="C875" s="1" t="n">
        <v>46105</v>
      </c>
      <c r="D875" t="inlineStr">
        <is>
          <t>STOCKHOLMS LÄN</t>
        </is>
      </c>
      <c r="E875" t="inlineStr">
        <is>
          <t>NORRTÄLJE</t>
        </is>
      </c>
      <c r="G875" t="n">
        <v>0.7</v>
      </c>
      <c r="H875" t="n">
        <v>0</v>
      </c>
      <c r="I875" t="n">
        <v>0</v>
      </c>
      <c r="J875" t="n">
        <v>0</v>
      </c>
      <c r="K875" t="n">
        <v>0</v>
      </c>
      <c r="L875" t="n">
        <v>0</v>
      </c>
      <c r="M875" t="n">
        <v>0</v>
      </c>
      <c r="N875" t="n">
        <v>0</v>
      </c>
      <c r="O875" t="n">
        <v>0</v>
      </c>
      <c r="P875" t="n">
        <v>0</v>
      </c>
      <c r="Q875" t="n">
        <v>0</v>
      </c>
      <c r="R875" s="2" t="inlineStr"/>
    </row>
    <row r="876" ht="15" customHeight="1">
      <c r="A876" t="inlineStr">
        <is>
          <t>A 59712-2024</t>
        </is>
      </c>
      <c r="B876" s="1" t="n">
        <v>45639.45166666667</v>
      </c>
      <c r="C876" s="1" t="n">
        <v>46105</v>
      </c>
      <c r="D876" t="inlineStr">
        <is>
          <t>STOCKHOLMS LÄN</t>
        </is>
      </c>
      <c r="E876" t="inlineStr">
        <is>
          <t>NORRTÄLJE</t>
        </is>
      </c>
      <c r="G876" t="n">
        <v>4.4</v>
      </c>
      <c r="H876" t="n">
        <v>0</v>
      </c>
      <c r="I876" t="n">
        <v>0</v>
      </c>
      <c r="J876" t="n">
        <v>0</v>
      </c>
      <c r="K876" t="n">
        <v>0</v>
      </c>
      <c r="L876" t="n">
        <v>0</v>
      </c>
      <c r="M876" t="n">
        <v>0</v>
      </c>
      <c r="N876" t="n">
        <v>0</v>
      </c>
      <c r="O876" t="n">
        <v>0</v>
      </c>
      <c r="P876" t="n">
        <v>0</v>
      </c>
      <c r="Q876" t="n">
        <v>0</v>
      </c>
      <c r="R876" s="2" t="inlineStr"/>
    </row>
    <row r="877" ht="15" customHeight="1">
      <c r="A877" t="inlineStr">
        <is>
          <t>A 59721-2024</t>
        </is>
      </c>
      <c r="B877" s="1" t="n">
        <v>45639.47385416667</v>
      </c>
      <c r="C877" s="1" t="n">
        <v>46105</v>
      </c>
      <c r="D877" t="inlineStr">
        <is>
          <t>STOCKHOLMS LÄN</t>
        </is>
      </c>
      <c r="E877" t="inlineStr">
        <is>
          <t>NORRTÄLJE</t>
        </is>
      </c>
      <c r="G877" t="n">
        <v>4.6</v>
      </c>
      <c r="H877" t="n">
        <v>0</v>
      </c>
      <c r="I877" t="n">
        <v>0</v>
      </c>
      <c r="J877" t="n">
        <v>0</v>
      </c>
      <c r="K877" t="n">
        <v>0</v>
      </c>
      <c r="L877" t="n">
        <v>0</v>
      </c>
      <c r="M877" t="n">
        <v>0</v>
      </c>
      <c r="N877" t="n">
        <v>0</v>
      </c>
      <c r="O877" t="n">
        <v>0</v>
      </c>
      <c r="P877" t="n">
        <v>0</v>
      </c>
      <c r="Q877" t="n">
        <v>0</v>
      </c>
      <c r="R877" s="2" t="inlineStr"/>
    </row>
    <row r="878" ht="15" customHeight="1">
      <c r="A878" t="inlineStr">
        <is>
          <t>A 60884-2024</t>
        </is>
      </c>
      <c r="B878" s="1" t="n">
        <v>45644.90815972222</v>
      </c>
      <c r="C878" s="1" t="n">
        <v>46105</v>
      </c>
      <c r="D878" t="inlineStr">
        <is>
          <t>STOCKHOLMS LÄN</t>
        </is>
      </c>
      <c r="E878" t="inlineStr">
        <is>
          <t>NORRTÄLJE</t>
        </is>
      </c>
      <c r="G878" t="n">
        <v>2.1</v>
      </c>
      <c r="H878" t="n">
        <v>0</v>
      </c>
      <c r="I878" t="n">
        <v>0</v>
      </c>
      <c r="J878" t="n">
        <v>0</v>
      </c>
      <c r="K878" t="n">
        <v>0</v>
      </c>
      <c r="L878" t="n">
        <v>0</v>
      </c>
      <c r="M878" t="n">
        <v>0</v>
      </c>
      <c r="N878" t="n">
        <v>0</v>
      </c>
      <c r="O878" t="n">
        <v>0</v>
      </c>
      <c r="P878" t="n">
        <v>0</v>
      </c>
      <c r="Q878" t="n">
        <v>0</v>
      </c>
      <c r="R878" s="2" t="inlineStr"/>
    </row>
    <row r="879" ht="15" customHeight="1">
      <c r="A879" t="inlineStr">
        <is>
          <t>A 23150-2024</t>
        </is>
      </c>
      <c r="B879" s="1" t="n">
        <v>45450.64643518518</v>
      </c>
      <c r="C879" s="1" t="n">
        <v>46105</v>
      </c>
      <c r="D879" t="inlineStr">
        <is>
          <t>STOCKHOLMS LÄN</t>
        </is>
      </c>
      <c r="E879" t="inlineStr">
        <is>
          <t>NORRTÄLJE</t>
        </is>
      </c>
      <c r="F879" t="inlineStr">
        <is>
          <t>Kommuner</t>
        </is>
      </c>
      <c r="G879" t="n">
        <v>2.7</v>
      </c>
      <c r="H879" t="n">
        <v>0</v>
      </c>
      <c r="I879" t="n">
        <v>0</v>
      </c>
      <c r="J879" t="n">
        <v>0</v>
      </c>
      <c r="K879" t="n">
        <v>0</v>
      </c>
      <c r="L879" t="n">
        <v>0</v>
      </c>
      <c r="M879" t="n">
        <v>0</v>
      </c>
      <c r="N879" t="n">
        <v>0</v>
      </c>
      <c r="O879" t="n">
        <v>0</v>
      </c>
      <c r="P879" t="n">
        <v>0</v>
      </c>
      <c r="Q879" t="n">
        <v>0</v>
      </c>
      <c r="R879" s="2" t="inlineStr"/>
    </row>
    <row r="880" ht="15" customHeight="1">
      <c r="A880" t="inlineStr">
        <is>
          <t>A 59878-2024</t>
        </is>
      </c>
      <c r="B880" s="1" t="n">
        <v>45640.60240740741</v>
      </c>
      <c r="C880" s="1" t="n">
        <v>46105</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50182-2024</t>
        </is>
      </c>
      <c r="B881" s="1" t="n">
        <v>45600.47275462963</v>
      </c>
      <c r="C881" s="1" t="n">
        <v>46105</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2549-2022</t>
        </is>
      </c>
      <c r="B882" s="1" t="n">
        <v>44580</v>
      </c>
      <c r="C882" s="1" t="n">
        <v>46105</v>
      </c>
      <c r="D882" t="inlineStr">
        <is>
          <t>STOCKHOLMS LÄN</t>
        </is>
      </c>
      <c r="E882" t="inlineStr">
        <is>
          <t>NORRTÄLJE</t>
        </is>
      </c>
      <c r="G882" t="n">
        <v>1.3</v>
      </c>
      <c r="H882" t="n">
        <v>0</v>
      </c>
      <c r="I882" t="n">
        <v>0</v>
      </c>
      <c r="J882" t="n">
        <v>0</v>
      </c>
      <c r="K882" t="n">
        <v>0</v>
      </c>
      <c r="L882" t="n">
        <v>0</v>
      </c>
      <c r="M882" t="n">
        <v>0</v>
      </c>
      <c r="N882" t="n">
        <v>0</v>
      </c>
      <c r="O882" t="n">
        <v>0</v>
      </c>
      <c r="P882" t="n">
        <v>0</v>
      </c>
      <c r="Q882" t="n">
        <v>0</v>
      </c>
      <c r="R882" s="2" t="inlineStr"/>
    </row>
    <row r="883" ht="15" customHeight="1">
      <c r="A883" t="inlineStr">
        <is>
          <t>A 31140-2023</t>
        </is>
      </c>
      <c r="B883" s="1" t="n">
        <v>45113</v>
      </c>
      <c r="C883" s="1" t="n">
        <v>46105</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31149-2023</t>
        </is>
      </c>
      <c r="B884" s="1" t="n">
        <v>45113</v>
      </c>
      <c r="C884" s="1" t="n">
        <v>46105</v>
      </c>
      <c r="D884" t="inlineStr">
        <is>
          <t>STOCKHOLMS LÄN</t>
        </is>
      </c>
      <c r="E884" t="inlineStr">
        <is>
          <t>NORRTÄLJE</t>
        </is>
      </c>
      <c r="G884" t="n">
        <v>7.1</v>
      </c>
      <c r="H884" t="n">
        <v>0</v>
      </c>
      <c r="I884" t="n">
        <v>0</v>
      </c>
      <c r="J884" t="n">
        <v>0</v>
      </c>
      <c r="K884" t="n">
        <v>0</v>
      </c>
      <c r="L884" t="n">
        <v>0</v>
      </c>
      <c r="M884" t="n">
        <v>0</v>
      </c>
      <c r="N884" t="n">
        <v>0</v>
      </c>
      <c r="O884" t="n">
        <v>0</v>
      </c>
      <c r="P884" t="n">
        <v>0</v>
      </c>
      <c r="Q884" t="n">
        <v>0</v>
      </c>
      <c r="R884" s="2" t="inlineStr"/>
    </row>
    <row r="885" ht="15" customHeight="1">
      <c r="A885" t="inlineStr">
        <is>
          <t>A 16835-2022</t>
        </is>
      </c>
      <c r="B885" s="1" t="n">
        <v>44673</v>
      </c>
      <c r="C885" s="1" t="n">
        <v>46105</v>
      </c>
      <c r="D885" t="inlineStr">
        <is>
          <t>STOCKHOLMS LÄN</t>
        </is>
      </c>
      <c r="E885" t="inlineStr">
        <is>
          <t>NORRTÄLJE</t>
        </is>
      </c>
      <c r="G885" t="n">
        <v>0.9</v>
      </c>
      <c r="H885" t="n">
        <v>0</v>
      </c>
      <c r="I885" t="n">
        <v>0</v>
      </c>
      <c r="J885" t="n">
        <v>0</v>
      </c>
      <c r="K885" t="n">
        <v>0</v>
      </c>
      <c r="L885" t="n">
        <v>0</v>
      </c>
      <c r="M885" t="n">
        <v>0</v>
      </c>
      <c r="N885" t="n">
        <v>0</v>
      </c>
      <c r="O885" t="n">
        <v>0</v>
      </c>
      <c r="P885" t="n">
        <v>0</v>
      </c>
      <c r="Q885" t="n">
        <v>0</v>
      </c>
      <c r="R885" s="2" t="inlineStr"/>
    </row>
    <row r="886" ht="15" customHeight="1">
      <c r="A886" t="inlineStr">
        <is>
          <t>A 13701-2022</t>
        </is>
      </c>
      <c r="B886" s="1" t="n">
        <v>44648</v>
      </c>
      <c r="C886" s="1" t="n">
        <v>46105</v>
      </c>
      <c r="D886" t="inlineStr">
        <is>
          <t>STOCKHOLMS LÄN</t>
        </is>
      </c>
      <c r="E886" t="inlineStr">
        <is>
          <t>NORRTÄLJE</t>
        </is>
      </c>
      <c r="G886" t="n">
        <v>1.6</v>
      </c>
      <c r="H886" t="n">
        <v>0</v>
      </c>
      <c r="I886" t="n">
        <v>0</v>
      </c>
      <c r="J886" t="n">
        <v>0</v>
      </c>
      <c r="K886" t="n">
        <v>0</v>
      </c>
      <c r="L886" t="n">
        <v>0</v>
      </c>
      <c r="M886" t="n">
        <v>0</v>
      </c>
      <c r="N886" t="n">
        <v>0</v>
      </c>
      <c r="O886" t="n">
        <v>0</v>
      </c>
      <c r="P886" t="n">
        <v>0</v>
      </c>
      <c r="Q886" t="n">
        <v>0</v>
      </c>
      <c r="R886" s="2" t="inlineStr"/>
    </row>
    <row r="887" ht="15" customHeight="1">
      <c r="A887" t="inlineStr">
        <is>
          <t>A 13089-2022</t>
        </is>
      </c>
      <c r="B887" s="1" t="n">
        <v>44643</v>
      </c>
      <c r="C887" s="1" t="n">
        <v>46105</v>
      </c>
      <c r="D887" t="inlineStr">
        <is>
          <t>STOCKHOLMS LÄN</t>
        </is>
      </c>
      <c r="E887" t="inlineStr">
        <is>
          <t>NORRTÄLJE</t>
        </is>
      </c>
      <c r="G887" t="n">
        <v>4.5</v>
      </c>
      <c r="H887" t="n">
        <v>0</v>
      </c>
      <c r="I887" t="n">
        <v>0</v>
      </c>
      <c r="J887" t="n">
        <v>0</v>
      </c>
      <c r="K887" t="n">
        <v>0</v>
      </c>
      <c r="L887" t="n">
        <v>0</v>
      </c>
      <c r="M887" t="n">
        <v>0</v>
      </c>
      <c r="N887" t="n">
        <v>0</v>
      </c>
      <c r="O887" t="n">
        <v>0</v>
      </c>
      <c r="P887" t="n">
        <v>0</v>
      </c>
      <c r="Q887" t="n">
        <v>0</v>
      </c>
      <c r="R887" s="2" t="inlineStr"/>
    </row>
    <row r="888" ht="15" customHeight="1">
      <c r="A888" t="inlineStr">
        <is>
          <t>A 38759-2022</t>
        </is>
      </c>
      <c r="B888" s="1" t="n">
        <v>44816</v>
      </c>
      <c r="C888" s="1" t="n">
        <v>46105</v>
      </c>
      <c r="D888" t="inlineStr">
        <is>
          <t>STOCKHOLMS LÄN</t>
        </is>
      </c>
      <c r="E888" t="inlineStr">
        <is>
          <t>NORRTÄLJE</t>
        </is>
      </c>
      <c r="G888" t="n">
        <v>2.8</v>
      </c>
      <c r="H888" t="n">
        <v>0</v>
      </c>
      <c r="I888" t="n">
        <v>0</v>
      </c>
      <c r="J888" t="n">
        <v>0</v>
      </c>
      <c r="K888" t="n">
        <v>0</v>
      </c>
      <c r="L888" t="n">
        <v>0</v>
      </c>
      <c r="M888" t="n">
        <v>0</v>
      </c>
      <c r="N888" t="n">
        <v>0</v>
      </c>
      <c r="O888" t="n">
        <v>0</v>
      </c>
      <c r="P888" t="n">
        <v>0</v>
      </c>
      <c r="Q888" t="n">
        <v>0</v>
      </c>
      <c r="R888" s="2" t="inlineStr"/>
    </row>
    <row r="889" ht="15" customHeight="1">
      <c r="A889" t="inlineStr">
        <is>
          <t>A 23998-2024</t>
        </is>
      </c>
      <c r="B889" s="1" t="n">
        <v>45456</v>
      </c>
      <c r="C889" s="1" t="n">
        <v>46105</v>
      </c>
      <c r="D889" t="inlineStr">
        <is>
          <t>STOCKHOLMS LÄN</t>
        </is>
      </c>
      <c r="E889" t="inlineStr">
        <is>
          <t>NORRTÄLJE</t>
        </is>
      </c>
      <c r="G889" t="n">
        <v>2.3</v>
      </c>
      <c r="H889" t="n">
        <v>0</v>
      </c>
      <c r="I889" t="n">
        <v>0</v>
      </c>
      <c r="J889" t="n">
        <v>0</v>
      </c>
      <c r="K889" t="n">
        <v>0</v>
      </c>
      <c r="L889" t="n">
        <v>0</v>
      </c>
      <c r="M889" t="n">
        <v>0</v>
      </c>
      <c r="N889" t="n">
        <v>0</v>
      </c>
      <c r="O889" t="n">
        <v>0</v>
      </c>
      <c r="P889" t="n">
        <v>0</v>
      </c>
      <c r="Q889" t="n">
        <v>0</v>
      </c>
      <c r="R889" s="2" t="inlineStr"/>
    </row>
    <row r="890" ht="15" customHeight="1">
      <c r="A890" t="inlineStr">
        <is>
          <t>A 54504-2024</t>
        </is>
      </c>
      <c r="B890" s="1" t="n">
        <v>45617.58453703704</v>
      </c>
      <c r="C890" s="1" t="n">
        <v>46105</v>
      </c>
      <c r="D890" t="inlineStr">
        <is>
          <t>STOCKHOLMS LÄN</t>
        </is>
      </c>
      <c r="E890" t="inlineStr">
        <is>
          <t>NORRTÄLJE</t>
        </is>
      </c>
      <c r="G890" t="n">
        <v>3.4</v>
      </c>
      <c r="H890" t="n">
        <v>0</v>
      </c>
      <c r="I890" t="n">
        <v>0</v>
      </c>
      <c r="J890" t="n">
        <v>0</v>
      </c>
      <c r="K890" t="n">
        <v>0</v>
      </c>
      <c r="L890" t="n">
        <v>0</v>
      </c>
      <c r="M890" t="n">
        <v>0</v>
      </c>
      <c r="N890" t="n">
        <v>0</v>
      </c>
      <c r="O890" t="n">
        <v>0</v>
      </c>
      <c r="P890" t="n">
        <v>0</v>
      </c>
      <c r="Q890" t="n">
        <v>0</v>
      </c>
      <c r="R890" s="2" t="inlineStr"/>
    </row>
    <row r="891" ht="15" customHeight="1">
      <c r="A891" t="inlineStr">
        <is>
          <t>A 32595-2023</t>
        </is>
      </c>
      <c r="B891" s="1" t="n">
        <v>45121</v>
      </c>
      <c r="C891" s="1" t="n">
        <v>46105</v>
      </c>
      <c r="D891" t="inlineStr">
        <is>
          <t>STOCKHOLMS LÄN</t>
        </is>
      </c>
      <c r="E891" t="inlineStr">
        <is>
          <t>NORRTÄLJE</t>
        </is>
      </c>
      <c r="G891" t="n">
        <v>2.4</v>
      </c>
      <c r="H891" t="n">
        <v>0</v>
      </c>
      <c r="I891" t="n">
        <v>0</v>
      </c>
      <c r="J891" t="n">
        <v>0</v>
      </c>
      <c r="K891" t="n">
        <v>0</v>
      </c>
      <c r="L891" t="n">
        <v>0</v>
      </c>
      <c r="M891" t="n">
        <v>0</v>
      </c>
      <c r="N891" t="n">
        <v>0</v>
      </c>
      <c r="O891" t="n">
        <v>0</v>
      </c>
      <c r="P891" t="n">
        <v>0</v>
      </c>
      <c r="Q891" t="n">
        <v>0</v>
      </c>
      <c r="R891" s="2" t="inlineStr"/>
    </row>
    <row r="892" ht="15" customHeight="1">
      <c r="A892" t="inlineStr">
        <is>
          <t>A 11332-2025</t>
        </is>
      </c>
      <c r="B892" s="1" t="n">
        <v>45726.48152777777</v>
      </c>
      <c r="C892" s="1" t="n">
        <v>46105</v>
      </c>
      <c r="D892" t="inlineStr">
        <is>
          <t>STOCKHOLMS LÄN</t>
        </is>
      </c>
      <c r="E892" t="inlineStr">
        <is>
          <t>NORRTÄLJE</t>
        </is>
      </c>
      <c r="G892" t="n">
        <v>4.6</v>
      </c>
      <c r="H892" t="n">
        <v>0</v>
      </c>
      <c r="I892" t="n">
        <v>0</v>
      </c>
      <c r="J892" t="n">
        <v>0</v>
      </c>
      <c r="K892" t="n">
        <v>0</v>
      </c>
      <c r="L892" t="n">
        <v>0</v>
      </c>
      <c r="M892" t="n">
        <v>0</v>
      </c>
      <c r="N892" t="n">
        <v>0</v>
      </c>
      <c r="O892" t="n">
        <v>0</v>
      </c>
      <c r="P892" t="n">
        <v>0</v>
      </c>
      <c r="Q892" t="n">
        <v>0</v>
      </c>
      <c r="R892" s="2" t="inlineStr"/>
    </row>
    <row r="893" ht="15" customHeight="1">
      <c r="A893" t="inlineStr">
        <is>
          <t>A 13718-2022</t>
        </is>
      </c>
      <c r="B893" s="1" t="n">
        <v>44649</v>
      </c>
      <c r="C893" s="1" t="n">
        <v>46105</v>
      </c>
      <c r="D893" t="inlineStr">
        <is>
          <t>STOCKHOLMS LÄN</t>
        </is>
      </c>
      <c r="E893" t="inlineStr">
        <is>
          <t>NORRTÄLJE</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54259-2023</t>
        </is>
      </c>
      <c r="B894" s="1" t="n">
        <v>45232</v>
      </c>
      <c r="C894" s="1" t="n">
        <v>46105</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13171-2025</t>
        </is>
      </c>
      <c r="B895" s="1" t="n">
        <v>45735.36594907408</v>
      </c>
      <c r="C895" s="1" t="n">
        <v>46105</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12299-2025</t>
        </is>
      </c>
      <c r="B896" s="1" t="n">
        <v>45729.71065972222</v>
      </c>
      <c r="C896" s="1" t="n">
        <v>46105</v>
      </c>
      <c r="D896" t="inlineStr">
        <is>
          <t>STOCKHOLMS LÄN</t>
        </is>
      </c>
      <c r="E896" t="inlineStr">
        <is>
          <t>NORRTÄLJE</t>
        </is>
      </c>
      <c r="F896" t="inlineStr">
        <is>
          <t>Holmen skog AB</t>
        </is>
      </c>
      <c r="G896" t="n">
        <v>6.9</v>
      </c>
      <c r="H896" t="n">
        <v>0</v>
      </c>
      <c r="I896" t="n">
        <v>0</v>
      </c>
      <c r="J896" t="n">
        <v>0</v>
      </c>
      <c r="K896" t="n">
        <v>0</v>
      </c>
      <c r="L896" t="n">
        <v>0</v>
      </c>
      <c r="M896" t="n">
        <v>0</v>
      </c>
      <c r="N896" t="n">
        <v>0</v>
      </c>
      <c r="O896" t="n">
        <v>0</v>
      </c>
      <c r="P896" t="n">
        <v>0</v>
      </c>
      <c r="Q896" t="n">
        <v>0</v>
      </c>
      <c r="R896" s="2" t="inlineStr"/>
    </row>
    <row r="897" ht="15" customHeight="1">
      <c r="A897" t="inlineStr">
        <is>
          <t>A 11900-2024</t>
        </is>
      </c>
      <c r="B897" s="1" t="n">
        <v>45376.55484953704</v>
      </c>
      <c r="C897" s="1" t="n">
        <v>46105</v>
      </c>
      <c r="D897" t="inlineStr">
        <is>
          <t>STOCKHOLMS LÄN</t>
        </is>
      </c>
      <c r="E897" t="inlineStr">
        <is>
          <t>NORRTÄLJE</t>
        </is>
      </c>
      <c r="G897" t="n">
        <v>4.2</v>
      </c>
      <c r="H897" t="n">
        <v>0</v>
      </c>
      <c r="I897" t="n">
        <v>0</v>
      </c>
      <c r="J897" t="n">
        <v>0</v>
      </c>
      <c r="K897" t="n">
        <v>0</v>
      </c>
      <c r="L897" t="n">
        <v>0</v>
      </c>
      <c r="M897" t="n">
        <v>0</v>
      </c>
      <c r="N897" t="n">
        <v>0</v>
      </c>
      <c r="O897" t="n">
        <v>0</v>
      </c>
      <c r="P897" t="n">
        <v>0</v>
      </c>
      <c r="Q897" t="n">
        <v>0</v>
      </c>
      <c r="R897" s="2" t="inlineStr"/>
    </row>
    <row r="898" ht="15" customHeight="1">
      <c r="A898" t="inlineStr">
        <is>
          <t>A 43300-2023</t>
        </is>
      </c>
      <c r="B898" s="1" t="n">
        <v>45183</v>
      </c>
      <c r="C898" s="1" t="n">
        <v>46105</v>
      </c>
      <c r="D898" t="inlineStr">
        <is>
          <t>STOCKHOLMS LÄN</t>
        </is>
      </c>
      <c r="E898" t="inlineStr">
        <is>
          <t>NORRTÄLJE</t>
        </is>
      </c>
      <c r="G898" t="n">
        <v>2.3</v>
      </c>
      <c r="H898" t="n">
        <v>0</v>
      </c>
      <c r="I898" t="n">
        <v>0</v>
      </c>
      <c r="J898" t="n">
        <v>0</v>
      </c>
      <c r="K898" t="n">
        <v>0</v>
      </c>
      <c r="L898" t="n">
        <v>0</v>
      </c>
      <c r="M898" t="n">
        <v>0</v>
      </c>
      <c r="N898" t="n">
        <v>0</v>
      </c>
      <c r="O898" t="n">
        <v>0</v>
      </c>
      <c r="P898" t="n">
        <v>0</v>
      </c>
      <c r="Q898" t="n">
        <v>0</v>
      </c>
      <c r="R898" s="2" t="inlineStr"/>
    </row>
    <row r="899" ht="15" customHeight="1">
      <c r="A899" t="inlineStr">
        <is>
          <t>A 13276-2022</t>
        </is>
      </c>
      <c r="B899" s="1" t="n">
        <v>44644</v>
      </c>
      <c r="C899" s="1" t="n">
        <v>46105</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11900-2022</t>
        </is>
      </c>
      <c r="B900" s="1" t="n">
        <v>44635</v>
      </c>
      <c r="C900" s="1" t="n">
        <v>46105</v>
      </c>
      <c r="D900" t="inlineStr">
        <is>
          <t>STOCKHOLMS LÄN</t>
        </is>
      </c>
      <c r="E900" t="inlineStr">
        <is>
          <t>NORRTÄLJE</t>
        </is>
      </c>
      <c r="G900" t="n">
        <v>2.4</v>
      </c>
      <c r="H900" t="n">
        <v>0</v>
      </c>
      <c r="I900" t="n">
        <v>0</v>
      </c>
      <c r="J900" t="n">
        <v>0</v>
      </c>
      <c r="K900" t="n">
        <v>0</v>
      </c>
      <c r="L900" t="n">
        <v>0</v>
      </c>
      <c r="M900" t="n">
        <v>0</v>
      </c>
      <c r="N900" t="n">
        <v>0</v>
      </c>
      <c r="O900" t="n">
        <v>0</v>
      </c>
      <c r="P900" t="n">
        <v>0</v>
      </c>
      <c r="Q900" t="n">
        <v>0</v>
      </c>
      <c r="R900" s="2" t="inlineStr"/>
    </row>
    <row r="901" ht="15" customHeight="1">
      <c r="A901" t="inlineStr">
        <is>
          <t>A 14724-2022</t>
        </is>
      </c>
      <c r="B901" s="1" t="n">
        <v>44656</v>
      </c>
      <c r="C901" s="1" t="n">
        <v>46105</v>
      </c>
      <c r="D901" t="inlineStr">
        <is>
          <t>STOCKHOLMS LÄN</t>
        </is>
      </c>
      <c r="E901" t="inlineStr">
        <is>
          <t>NORRTÄLJE</t>
        </is>
      </c>
      <c r="F901" t="inlineStr">
        <is>
          <t>Sveaskog</t>
        </is>
      </c>
      <c r="G901" t="n">
        <v>9</v>
      </c>
      <c r="H901" t="n">
        <v>0</v>
      </c>
      <c r="I901" t="n">
        <v>0</v>
      </c>
      <c r="J901" t="n">
        <v>0</v>
      </c>
      <c r="K901" t="n">
        <v>0</v>
      </c>
      <c r="L901" t="n">
        <v>0</v>
      </c>
      <c r="M901" t="n">
        <v>0</v>
      </c>
      <c r="N901" t="n">
        <v>0</v>
      </c>
      <c r="O901" t="n">
        <v>0</v>
      </c>
      <c r="P901" t="n">
        <v>0</v>
      </c>
      <c r="Q901" t="n">
        <v>0</v>
      </c>
      <c r="R901" s="2" t="inlineStr"/>
    </row>
    <row r="902" ht="15" customHeight="1">
      <c r="A902" t="inlineStr">
        <is>
          <t>A 4580-2025</t>
        </is>
      </c>
      <c r="B902" s="1" t="n">
        <v>45687.5038425926</v>
      </c>
      <c r="C902" s="1" t="n">
        <v>46105</v>
      </c>
      <c r="D902" t="inlineStr">
        <is>
          <t>STOCKHOLMS LÄN</t>
        </is>
      </c>
      <c r="E902" t="inlineStr">
        <is>
          <t>NORRTÄLJE</t>
        </is>
      </c>
      <c r="F902" t="inlineStr">
        <is>
          <t>Holmen skog AB</t>
        </is>
      </c>
      <c r="G902" t="n">
        <v>4.8</v>
      </c>
      <c r="H902" t="n">
        <v>0</v>
      </c>
      <c r="I902" t="n">
        <v>0</v>
      </c>
      <c r="J902" t="n">
        <v>0</v>
      </c>
      <c r="K902" t="n">
        <v>0</v>
      </c>
      <c r="L902" t="n">
        <v>0</v>
      </c>
      <c r="M902" t="n">
        <v>0</v>
      </c>
      <c r="N902" t="n">
        <v>0</v>
      </c>
      <c r="O902" t="n">
        <v>0</v>
      </c>
      <c r="P902" t="n">
        <v>0</v>
      </c>
      <c r="Q902" t="n">
        <v>0</v>
      </c>
      <c r="R902" s="2" t="inlineStr"/>
    </row>
    <row r="903" ht="15" customHeight="1">
      <c r="A903" t="inlineStr">
        <is>
          <t>A 16202-2022</t>
        </is>
      </c>
      <c r="B903" s="1" t="n">
        <v>44670</v>
      </c>
      <c r="C903" s="1" t="n">
        <v>46105</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6003-2025</t>
        </is>
      </c>
      <c r="B904" s="1" t="n">
        <v>45695.57881944445</v>
      </c>
      <c r="C904" s="1" t="n">
        <v>46105</v>
      </c>
      <c r="D904" t="inlineStr">
        <is>
          <t>STOCKHOLMS LÄN</t>
        </is>
      </c>
      <c r="E904" t="inlineStr">
        <is>
          <t>NORRTÄLJE</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52321-2024</t>
        </is>
      </c>
      <c r="B905" s="1" t="n">
        <v>45608</v>
      </c>
      <c r="C905" s="1" t="n">
        <v>46105</v>
      </c>
      <c r="D905" t="inlineStr">
        <is>
          <t>STOCKHOLMS LÄN</t>
        </is>
      </c>
      <c r="E905" t="inlineStr">
        <is>
          <t>NORRTÄLJE</t>
        </is>
      </c>
      <c r="G905" t="n">
        <v>18.1</v>
      </c>
      <c r="H905" t="n">
        <v>0</v>
      </c>
      <c r="I905" t="n">
        <v>0</v>
      </c>
      <c r="J905" t="n">
        <v>0</v>
      </c>
      <c r="K905" t="n">
        <v>0</v>
      </c>
      <c r="L905" t="n">
        <v>0</v>
      </c>
      <c r="M905" t="n">
        <v>0</v>
      </c>
      <c r="N905" t="n">
        <v>0</v>
      </c>
      <c r="O905" t="n">
        <v>0</v>
      </c>
      <c r="P905" t="n">
        <v>0</v>
      </c>
      <c r="Q905" t="n">
        <v>0</v>
      </c>
      <c r="R905" s="2" t="inlineStr"/>
    </row>
    <row r="906" ht="15" customHeight="1">
      <c r="A906" t="inlineStr">
        <is>
          <t>A 54558-2024</t>
        </is>
      </c>
      <c r="B906" s="1" t="n">
        <v>45617.62358796296</v>
      </c>
      <c r="C906" s="1" t="n">
        <v>46105</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22157-2023</t>
        </is>
      </c>
      <c r="B907" s="1" t="n">
        <v>45069</v>
      </c>
      <c r="C907" s="1" t="n">
        <v>46105</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c r="U907">
        <f>HYPERLINK("https://klasma.github.io/Logging_0188/knärot/A 22157-2023 karta knärot.png", "A 22157-2023")</f>
        <v/>
      </c>
      <c r="V907">
        <f>HYPERLINK("https://klasma.github.io/Logging_0188/klagomål/A 22157-2023 FSC-klagomål.docx", "A 22157-2023")</f>
        <v/>
      </c>
      <c r="W907">
        <f>HYPERLINK("https://klasma.github.io/Logging_0188/klagomålsmail/A 22157-2023 FSC-klagomål mail.docx", "A 22157-2023")</f>
        <v/>
      </c>
      <c r="X907">
        <f>HYPERLINK("https://klasma.github.io/Logging_0188/tillsyn/A 22157-2023 tillsynsbegäran.docx", "A 22157-2023")</f>
        <v/>
      </c>
      <c r="Y907">
        <f>HYPERLINK("https://klasma.github.io/Logging_0188/tillsynsmail/A 22157-2023 tillsynsbegäran mail.docx", "A 22157-2023")</f>
        <v/>
      </c>
    </row>
    <row r="908" ht="15" customHeight="1">
      <c r="A908" t="inlineStr">
        <is>
          <t>A 48633-2023</t>
        </is>
      </c>
      <c r="B908" s="1" t="n">
        <v>45208.58004629629</v>
      </c>
      <c r="C908" s="1" t="n">
        <v>46105</v>
      </c>
      <c r="D908" t="inlineStr">
        <is>
          <t>STOCKHOLMS LÄN</t>
        </is>
      </c>
      <c r="E908" t="inlineStr">
        <is>
          <t>NORRTÄLJE</t>
        </is>
      </c>
      <c r="G908" t="n">
        <v>3.3</v>
      </c>
      <c r="H908" t="n">
        <v>0</v>
      </c>
      <c r="I908" t="n">
        <v>0</v>
      </c>
      <c r="J908" t="n">
        <v>0</v>
      </c>
      <c r="K908" t="n">
        <v>0</v>
      </c>
      <c r="L908" t="n">
        <v>0</v>
      </c>
      <c r="M908" t="n">
        <v>0</v>
      </c>
      <c r="N908" t="n">
        <v>0</v>
      </c>
      <c r="O908" t="n">
        <v>0</v>
      </c>
      <c r="P908" t="n">
        <v>0</v>
      </c>
      <c r="Q908" t="n">
        <v>0</v>
      </c>
      <c r="R908" s="2" t="inlineStr"/>
    </row>
    <row r="909" ht="15" customHeight="1">
      <c r="A909" t="inlineStr">
        <is>
          <t>A 47419-2023</t>
        </is>
      </c>
      <c r="B909" s="1" t="n">
        <v>45202.65660879629</v>
      </c>
      <c r="C909" s="1" t="n">
        <v>46105</v>
      </c>
      <c r="D909" t="inlineStr">
        <is>
          <t>STOCKHOLMS LÄN</t>
        </is>
      </c>
      <c r="E909" t="inlineStr">
        <is>
          <t>NORRTÄLJE</t>
        </is>
      </c>
      <c r="G909" t="n">
        <v>11.4</v>
      </c>
      <c r="H909" t="n">
        <v>0</v>
      </c>
      <c r="I909" t="n">
        <v>0</v>
      </c>
      <c r="J909" t="n">
        <v>0</v>
      </c>
      <c r="K909" t="n">
        <v>0</v>
      </c>
      <c r="L909" t="n">
        <v>0</v>
      </c>
      <c r="M909" t="n">
        <v>0</v>
      </c>
      <c r="N909" t="n">
        <v>0</v>
      </c>
      <c r="O909" t="n">
        <v>0</v>
      </c>
      <c r="P909" t="n">
        <v>0</v>
      </c>
      <c r="Q909" t="n">
        <v>0</v>
      </c>
      <c r="R909" s="2" t="inlineStr"/>
    </row>
    <row r="910" ht="15" customHeight="1">
      <c r="A910" t="inlineStr">
        <is>
          <t>A 652-2025</t>
        </is>
      </c>
      <c r="B910" s="1" t="n">
        <v>45664</v>
      </c>
      <c r="C910" s="1" t="n">
        <v>46105</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10653-2022</t>
        </is>
      </c>
      <c r="B911" s="1" t="n">
        <v>44624.59434027778</v>
      </c>
      <c r="C911" s="1" t="n">
        <v>46105</v>
      </c>
      <c r="D911" t="inlineStr">
        <is>
          <t>STOCKHOLMS LÄN</t>
        </is>
      </c>
      <c r="E911" t="inlineStr">
        <is>
          <t>NORRTÄLJE</t>
        </is>
      </c>
      <c r="G911" t="n">
        <v>2.3</v>
      </c>
      <c r="H911" t="n">
        <v>0</v>
      </c>
      <c r="I911" t="n">
        <v>0</v>
      </c>
      <c r="J911" t="n">
        <v>0</v>
      </c>
      <c r="K911" t="n">
        <v>0</v>
      </c>
      <c r="L911" t="n">
        <v>0</v>
      </c>
      <c r="M911" t="n">
        <v>0</v>
      </c>
      <c r="N911" t="n">
        <v>0</v>
      </c>
      <c r="O911" t="n">
        <v>0</v>
      </c>
      <c r="P911" t="n">
        <v>0</v>
      </c>
      <c r="Q911" t="n">
        <v>0</v>
      </c>
      <c r="R911" s="2" t="inlineStr"/>
    </row>
    <row r="912" ht="15" customHeight="1">
      <c r="A912" t="inlineStr">
        <is>
          <t>A 35695-2023</t>
        </is>
      </c>
      <c r="B912" s="1" t="n">
        <v>45147.65407407407</v>
      </c>
      <c r="C912" s="1" t="n">
        <v>46105</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18665-2022</t>
        </is>
      </c>
      <c r="B913" s="1" t="n">
        <v>44687</v>
      </c>
      <c r="C913" s="1" t="n">
        <v>46105</v>
      </c>
      <c r="D913" t="inlineStr">
        <is>
          <t>STOCKHOLMS LÄN</t>
        </is>
      </c>
      <c r="E913" t="inlineStr">
        <is>
          <t>NORRTÄLJE</t>
        </is>
      </c>
      <c r="F913" t="inlineStr">
        <is>
          <t>Kyrkan</t>
        </is>
      </c>
      <c r="G913" t="n">
        <v>1.1</v>
      </c>
      <c r="H913" t="n">
        <v>0</v>
      </c>
      <c r="I913" t="n">
        <v>0</v>
      </c>
      <c r="J913" t="n">
        <v>0</v>
      </c>
      <c r="K913" t="n">
        <v>0</v>
      </c>
      <c r="L913" t="n">
        <v>0</v>
      </c>
      <c r="M913" t="n">
        <v>0</v>
      </c>
      <c r="N913" t="n">
        <v>0</v>
      </c>
      <c r="O913" t="n">
        <v>0</v>
      </c>
      <c r="P913" t="n">
        <v>0</v>
      </c>
      <c r="Q913" t="n">
        <v>0</v>
      </c>
      <c r="R913" s="2" t="inlineStr"/>
    </row>
    <row r="914" ht="15" customHeight="1">
      <c r="A914" t="inlineStr">
        <is>
          <t>A 17574-2025</t>
        </is>
      </c>
      <c r="B914" s="1" t="n">
        <v>45757.65178240741</v>
      </c>
      <c r="C914" s="1" t="n">
        <v>46105</v>
      </c>
      <c r="D914" t="inlineStr">
        <is>
          <t>STOCKHOLMS LÄN</t>
        </is>
      </c>
      <c r="E914" t="inlineStr">
        <is>
          <t>NORRTÄLJE</t>
        </is>
      </c>
      <c r="G914" t="n">
        <v>1.8</v>
      </c>
      <c r="H914" t="n">
        <v>0</v>
      </c>
      <c r="I914" t="n">
        <v>0</v>
      </c>
      <c r="J914" t="n">
        <v>0</v>
      </c>
      <c r="K914" t="n">
        <v>0</v>
      </c>
      <c r="L914" t="n">
        <v>0</v>
      </c>
      <c r="M914" t="n">
        <v>0</v>
      </c>
      <c r="N914" t="n">
        <v>0</v>
      </c>
      <c r="O914" t="n">
        <v>0</v>
      </c>
      <c r="P914" t="n">
        <v>0</v>
      </c>
      <c r="Q914" t="n">
        <v>0</v>
      </c>
      <c r="R914" s="2" t="inlineStr"/>
    </row>
    <row r="915" ht="15" customHeight="1">
      <c r="A915" t="inlineStr">
        <is>
          <t>A 20370-2025</t>
        </is>
      </c>
      <c r="B915" s="1" t="n">
        <v>45775.41451388889</v>
      </c>
      <c r="C915" s="1" t="n">
        <v>46105</v>
      </c>
      <c r="D915" t="inlineStr">
        <is>
          <t>STOCKHOLMS LÄN</t>
        </is>
      </c>
      <c r="E915" t="inlineStr">
        <is>
          <t>NORRTÄLJE</t>
        </is>
      </c>
      <c r="G915" t="n">
        <v>2.9</v>
      </c>
      <c r="H915" t="n">
        <v>0</v>
      </c>
      <c r="I915" t="n">
        <v>0</v>
      </c>
      <c r="J915" t="n">
        <v>0</v>
      </c>
      <c r="K915" t="n">
        <v>0</v>
      </c>
      <c r="L915" t="n">
        <v>0</v>
      </c>
      <c r="M915" t="n">
        <v>0</v>
      </c>
      <c r="N915" t="n">
        <v>0</v>
      </c>
      <c r="O915" t="n">
        <v>0</v>
      </c>
      <c r="P915" t="n">
        <v>0</v>
      </c>
      <c r="Q915" t="n">
        <v>0</v>
      </c>
      <c r="R915" s="2" t="inlineStr"/>
    </row>
    <row r="916" ht="15" customHeight="1">
      <c r="A916" t="inlineStr">
        <is>
          <t>A 19982-2022</t>
        </is>
      </c>
      <c r="B916" s="1" t="n">
        <v>44697</v>
      </c>
      <c r="C916" s="1" t="n">
        <v>46105</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35438-2023</t>
        </is>
      </c>
      <c r="B917" s="1" t="n">
        <v>45146</v>
      </c>
      <c r="C917" s="1" t="n">
        <v>46105</v>
      </c>
      <c r="D917" t="inlineStr">
        <is>
          <t>STOCKHOLMS LÄN</t>
        </is>
      </c>
      <c r="E917" t="inlineStr">
        <is>
          <t>NORRTÄLJE</t>
        </is>
      </c>
      <c r="F917" t="inlineStr">
        <is>
          <t>Kommuner</t>
        </is>
      </c>
      <c r="G917" t="n">
        <v>1.9</v>
      </c>
      <c r="H917" t="n">
        <v>0</v>
      </c>
      <c r="I917" t="n">
        <v>0</v>
      </c>
      <c r="J917" t="n">
        <v>0</v>
      </c>
      <c r="K917" t="n">
        <v>0</v>
      </c>
      <c r="L917" t="n">
        <v>0</v>
      </c>
      <c r="M917" t="n">
        <v>0</v>
      </c>
      <c r="N917" t="n">
        <v>0</v>
      </c>
      <c r="O917" t="n">
        <v>0</v>
      </c>
      <c r="P917" t="n">
        <v>0</v>
      </c>
      <c r="Q917" t="n">
        <v>0</v>
      </c>
      <c r="R917" s="2" t="inlineStr"/>
    </row>
    <row r="918" ht="15" customHeight="1">
      <c r="A918" t="inlineStr">
        <is>
          <t>A 33878-2024</t>
        </is>
      </c>
      <c r="B918" s="1" t="n">
        <v>45522.44414351852</v>
      </c>
      <c r="C918" s="1" t="n">
        <v>46105</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4183-2025</t>
        </is>
      </c>
      <c r="B919" s="1" t="n">
        <v>45685.44592592592</v>
      </c>
      <c r="C919" s="1" t="n">
        <v>46105</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17556-2025</t>
        </is>
      </c>
      <c r="B920" s="1" t="n">
        <v>45757.62482638889</v>
      </c>
      <c r="C920" s="1" t="n">
        <v>46105</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41335-2023</t>
        </is>
      </c>
      <c r="B921" s="1" t="n">
        <v>45174.68702546296</v>
      </c>
      <c r="C921" s="1" t="n">
        <v>46105</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4484-2025</t>
        </is>
      </c>
      <c r="B922" s="1" t="n">
        <v>45686.65545138889</v>
      </c>
      <c r="C922" s="1" t="n">
        <v>46105</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8419-2025</t>
        </is>
      </c>
      <c r="B923" s="1" t="n">
        <v>45709.40231481481</v>
      </c>
      <c r="C923" s="1" t="n">
        <v>46105</v>
      </c>
      <c r="D923" t="inlineStr">
        <is>
          <t>STOCKHOLMS LÄN</t>
        </is>
      </c>
      <c r="E923" t="inlineStr">
        <is>
          <t>NORRTÄLJE</t>
        </is>
      </c>
      <c r="F923" t="inlineStr">
        <is>
          <t>Holmen skog AB</t>
        </is>
      </c>
      <c r="G923" t="n">
        <v>1.2</v>
      </c>
      <c r="H923" t="n">
        <v>0</v>
      </c>
      <c r="I923" t="n">
        <v>0</v>
      </c>
      <c r="J923" t="n">
        <v>0</v>
      </c>
      <c r="K923" t="n">
        <v>0</v>
      </c>
      <c r="L923" t="n">
        <v>0</v>
      </c>
      <c r="M923" t="n">
        <v>0</v>
      </c>
      <c r="N923" t="n">
        <v>0</v>
      </c>
      <c r="O923" t="n">
        <v>0</v>
      </c>
      <c r="P923" t="n">
        <v>0</v>
      </c>
      <c r="Q923" t="n">
        <v>0</v>
      </c>
      <c r="R923" s="2" t="inlineStr"/>
    </row>
    <row r="924" ht="15" customHeight="1">
      <c r="A924" t="inlineStr">
        <is>
          <t>A 21480-2022</t>
        </is>
      </c>
      <c r="B924" s="1" t="n">
        <v>44704</v>
      </c>
      <c r="C924" s="1" t="n">
        <v>46105</v>
      </c>
      <c r="D924" t="inlineStr">
        <is>
          <t>STOCKHOLMS LÄN</t>
        </is>
      </c>
      <c r="E924" t="inlineStr">
        <is>
          <t>NORRTÄLJE</t>
        </is>
      </c>
      <c r="G924" t="n">
        <v>2.8</v>
      </c>
      <c r="H924" t="n">
        <v>0</v>
      </c>
      <c r="I924" t="n">
        <v>0</v>
      </c>
      <c r="J924" t="n">
        <v>0</v>
      </c>
      <c r="K924" t="n">
        <v>0</v>
      </c>
      <c r="L924" t="n">
        <v>0</v>
      </c>
      <c r="M924" t="n">
        <v>0</v>
      </c>
      <c r="N924" t="n">
        <v>0</v>
      </c>
      <c r="O924" t="n">
        <v>0</v>
      </c>
      <c r="P924" t="n">
        <v>0</v>
      </c>
      <c r="Q924" t="n">
        <v>0</v>
      </c>
      <c r="R924" s="2" t="inlineStr"/>
    </row>
    <row r="925" ht="15" customHeight="1">
      <c r="A925" t="inlineStr">
        <is>
          <t>A 1654-2025</t>
        </is>
      </c>
      <c r="B925" s="1" t="n">
        <v>45670.65921296296</v>
      </c>
      <c r="C925" s="1" t="n">
        <v>46105</v>
      </c>
      <c r="D925" t="inlineStr">
        <is>
          <t>STOCKHOLMS LÄN</t>
        </is>
      </c>
      <c r="E925" t="inlineStr">
        <is>
          <t>NORRTÄLJE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48686-2023</t>
        </is>
      </c>
      <c r="B926" s="1" t="n">
        <v>45208</v>
      </c>
      <c r="C926" s="1" t="n">
        <v>46105</v>
      </c>
      <c r="D926" t="inlineStr">
        <is>
          <t>STOCKHOLMS LÄN</t>
        </is>
      </c>
      <c r="E926" t="inlineStr">
        <is>
          <t>NORRTÄLJE</t>
        </is>
      </c>
      <c r="G926" t="n">
        <v>6</v>
      </c>
      <c r="H926" t="n">
        <v>0</v>
      </c>
      <c r="I926" t="n">
        <v>0</v>
      </c>
      <c r="J926" t="n">
        <v>0</v>
      </c>
      <c r="K926" t="n">
        <v>0</v>
      </c>
      <c r="L926" t="n">
        <v>0</v>
      </c>
      <c r="M926" t="n">
        <v>0</v>
      </c>
      <c r="N926" t="n">
        <v>0</v>
      </c>
      <c r="O926" t="n">
        <v>0</v>
      </c>
      <c r="P926" t="n">
        <v>0</v>
      </c>
      <c r="Q926" t="n">
        <v>0</v>
      </c>
      <c r="R926" s="2" t="inlineStr"/>
    </row>
    <row r="927" ht="15" customHeight="1">
      <c r="A927" t="inlineStr">
        <is>
          <t>A 48691-2023</t>
        </is>
      </c>
      <c r="B927" s="1" t="n">
        <v>45208</v>
      </c>
      <c r="C927" s="1" t="n">
        <v>46105</v>
      </c>
      <c r="D927" t="inlineStr">
        <is>
          <t>STOCKHOLMS LÄN</t>
        </is>
      </c>
      <c r="E927" t="inlineStr">
        <is>
          <t>NORRTÄLJE</t>
        </is>
      </c>
      <c r="G927" t="n">
        <v>5.8</v>
      </c>
      <c r="H927" t="n">
        <v>0</v>
      </c>
      <c r="I927" t="n">
        <v>0</v>
      </c>
      <c r="J927" t="n">
        <v>0</v>
      </c>
      <c r="K927" t="n">
        <v>0</v>
      </c>
      <c r="L927" t="n">
        <v>0</v>
      </c>
      <c r="M927" t="n">
        <v>0</v>
      </c>
      <c r="N927" t="n">
        <v>0</v>
      </c>
      <c r="O927" t="n">
        <v>0</v>
      </c>
      <c r="P927" t="n">
        <v>0</v>
      </c>
      <c r="Q927" t="n">
        <v>0</v>
      </c>
      <c r="R927" s="2" t="inlineStr"/>
    </row>
    <row r="928" ht="15" customHeight="1">
      <c r="A928" t="inlineStr">
        <is>
          <t>A 55243-2023</t>
        </is>
      </c>
      <c r="B928" s="1" t="n">
        <v>45237</v>
      </c>
      <c r="C928" s="1" t="n">
        <v>46105</v>
      </c>
      <c r="D928" t="inlineStr">
        <is>
          <t>STOCKHOLMS LÄN</t>
        </is>
      </c>
      <c r="E928" t="inlineStr">
        <is>
          <t>NORRTÄLJE</t>
        </is>
      </c>
      <c r="G928" t="n">
        <v>6.5</v>
      </c>
      <c r="H928" t="n">
        <v>0</v>
      </c>
      <c r="I928" t="n">
        <v>0</v>
      </c>
      <c r="J928" t="n">
        <v>0</v>
      </c>
      <c r="K928" t="n">
        <v>0</v>
      </c>
      <c r="L928" t="n">
        <v>0</v>
      </c>
      <c r="M928" t="n">
        <v>0</v>
      </c>
      <c r="N928" t="n">
        <v>0</v>
      </c>
      <c r="O928" t="n">
        <v>0</v>
      </c>
      <c r="P928" t="n">
        <v>0</v>
      </c>
      <c r="Q928" t="n">
        <v>0</v>
      </c>
      <c r="R928" s="2" t="inlineStr"/>
    </row>
    <row r="929" ht="15" customHeight="1">
      <c r="A929" t="inlineStr">
        <is>
          <t>A 35210-2023</t>
        </is>
      </c>
      <c r="B929" s="1" t="n">
        <v>45145.63584490741</v>
      </c>
      <c r="C929" s="1" t="n">
        <v>46105</v>
      </c>
      <c r="D929" t="inlineStr">
        <is>
          <t>STOCKHOLMS LÄN</t>
        </is>
      </c>
      <c r="E929" t="inlineStr">
        <is>
          <t>NORRTÄLJE</t>
        </is>
      </c>
      <c r="G929" t="n">
        <v>1.2</v>
      </c>
      <c r="H929" t="n">
        <v>0</v>
      </c>
      <c r="I929" t="n">
        <v>0</v>
      </c>
      <c r="J929" t="n">
        <v>0</v>
      </c>
      <c r="K929" t="n">
        <v>0</v>
      </c>
      <c r="L929" t="n">
        <v>0</v>
      </c>
      <c r="M929" t="n">
        <v>0</v>
      </c>
      <c r="N929" t="n">
        <v>0</v>
      </c>
      <c r="O929" t="n">
        <v>0</v>
      </c>
      <c r="P929" t="n">
        <v>0</v>
      </c>
      <c r="Q929" t="n">
        <v>0</v>
      </c>
      <c r="R929" s="2" t="inlineStr"/>
    </row>
    <row r="930" ht="15" customHeight="1">
      <c r="A930" t="inlineStr">
        <is>
          <t>A 6678-2025</t>
        </is>
      </c>
      <c r="B930" s="1" t="n">
        <v>45700</v>
      </c>
      <c r="C930" s="1" t="n">
        <v>46105</v>
      </c>
      <c r="D930" t="inlineStr">
        <is>
          <t>STOCKHOLMS LÄN</t>
        </is>
      </c>
      <c r="E930" t="inlineStr">
        <is>
          <t>NORRTÄLJE</t>
        </is>
      </c>
      <c r="F930" t="inlineStr">
        <is>
          <t>Övriga Aktiebolag</t>
        </is>
      </c>
      <c r="G930" t="n">
        <v>6.6</v>
      </c>
      <c r="H930" t="n">
        <v>0</v>
      </c>
      <c r="I930" t="n">
        <v>0</v>
      </c>
      <c r="J930" t="n">
        <v>0</v>
      </c>
      <c r="K930" t="n">
        <v>0</v>
      </c>
      <c r="L930" t="n">
        <v>0</v>
      </c>
      <c r="M930" t="n">
        <v>0</v>
      </c>
      <c r="N930" t="n">
        <v>0</v>
      </c>
      <c r="O930" t="n">
        <v>0</v>
      </c>
      <c r="P930" t="n">
        <v>0</v>
      </c>
      <c r="Q930" t="n">
        <v>0</v>
      </c>
      <c r="R930" s="2" t="inlineStr"/>
    </row>
    <row r="931" ht="15" customHeight="1">
      <c r="A931" t="inlineStr">
        <is>
          <t>A 17612-2022</t>
        </is>
      </c>
      <c r="B931" s="1" t="n">
        <v>44680</v>
      </c>
      <c r="C931" s="1" t="n">
        <v>46105</v>
      </c>
      <c r="D931" t="inlineStr">
        <is>
          <t>STOCKHOLMS LÄN</t>
        </is>
      </c>
      <c r="E931" t="inlineStr">
        <is>
          <t>NORRTÄLJE</t>
        </is>
      </c>
      <c r="G931" t="n">
        <v>2.6</v>
      </c>
      <c r="H931" t="n">
        <v>0</v>
      </c>
      <c r="I931" t="n">
        <v>0</v>
      </c>
      <c r="J931" t="n">
        <v>0</v>
      </c>
      <c r="K931" t="n">
        <v>0</v>
      </c>
      <c r="L931" t="n">
        <v>0</v>
      </c>
      <c r="M931" t="n">
        <v>0</v>
      </c>
      <c r="N931" t="n">
        <v>0</v>
      </c>
      <c r="O931" t="n">
        <v>0</v>
      </c>
      <c r="P931" t="n">
        <v>0</v>
      </c>
      <c r="Q931" t="n">
        <v>0</v>
      </c>
      <c r="R931" s="2" t="inlineStr"/>
    </row>
    <row r="932" ht="15" customHeight="1">
      <c r="A932" t="inlineStr">
        <is>
          <t>A 58297-2023</t>
        </is>
      </c>
      <c r="B932" s="1" t="n">
        <v>45245</v>
      </c>
      <c r="C932" s="1" t="n">
        <v>46105</v>
      </c>
      <c r="D932" t="inlineStr">
        <is>
          <t>STOCKHOLMS LÄN</t>
        </is>
      </c>
      <c r="E932" t="inlineStr">
        <is>
          <t>NORRTÄLJE</t>
        </is>
      </c>
      <c r="G932" t="n">
        <v>1.1</v>
      </c>
      <c r="H932" t="n">
        <v>0</v>
      </c>
      <c r="I932" t="n">
        <v>0</v>
      </c>
      <c r="J932" t="n">
        <v>0</v>
      </c>
      <c r="K932" t="n">
        <v>0</v>
      </c>
      <c r="L932" t="n">
        <v>0</v>
      </c>
      <c r="M932" t="n">
        <v>0</v>
      </c>
      <c r="N932" t="n">
        <v>0</v>
      </c>
      <c r="O932" t="n">
        <v>0</v>
      </c>
      <c r="P932" t="n">
        <v>0</v>
      </c>
      <c r="Q932" t="n">
        <v>0</v>
      </c>
      <c r="R932" s="2" t="inlineStr"/>
    </row>
    <row r="933" ht="15" customHeight="1">
      <c r="A933" t="inlineStr">
        <is>
          <t>A 21726-2022</t>
        </is>
      </c>
      <c r="B933" s="1" t="n">
        <v>44708</v>
      </c>
      <c r="C933" s="1" t="n">
        <v>46105</v>
      </c>
      <c r="D933" t="inlineStr">
        <is>
          <t>STOCKHOLMS LÄN</t>
        </is>
      </c>
      <c r="E933" t="inlineStr">
        <is>
          <t>NORRTÄLJE</t>
        </is>
      </c>
      <c r="G933" t="n">
        <v>0.2</v>
      </c>
      <c r="H933" t="n">
        <v>0</v>
      </c>
      <c r="I933" t="n">
        <v>0</v>
      </c>
      <c r="J933" t="n">
        <v>0</v>
      </c>
      <c r="K933" t="n">
        <v>0</v>
      </c>
      <c r="L933" t="n">
        <v>0</v>
      </c>
      <c r="M933" t="n">
        <v>0</v>
      </c>
      <c r="N933" t="n">
        <v>0</v>
      </c>
      <c r="O933" t="n">
        <v>0</v>
      </c>
      <c r="P933" t="n">
        <v>0</v>
      </c>
      <c r="Q933" t="n">
        <v>0</v>
      </c>
      <c r="R933" s="2" t="inlineStr"/>
    </row>
    <row r="934" ht="15" customHeight="1">
      <c r="A934" t="inlineStr">
        <is>
          <t>A 21739-2022</t>
        </is>
      </c>
      <c r="B934" s="1" t="n">
        <v>44708.36708333333</v>
      </c>
      <c r="C934" s="1" t="n">
        <v>46105</v>
      </c>
      <c r="D934" t="inlineStr">
        <is>
          <t>STOCKHOLMS LÄN</t>
        </is>
      </c>
      <c r="E934" t="inlineStr">
        <is>
          <t>NORRTÄLJE</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28182-2022</t>
        </is>
      </c>
      <c r="B935" s="1" t="n">
        <v>44746.58530092592</v>
      </c>
      <c r="C935" s="1" t="n">
        <v>46105</v>
      </c>
      <c r="D935" t="inlineStr">
        <is>
          <t>STOCKHOLMS LÄN</t>
        </is>
      </c>
      <c r="E935" t="inlineStr">
        <is>
          <t>NORRTÄLJE</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3283-2025</t>
        </is>
      </c>
      <c r="B936" s="1" t="n">
        <v>45679</v>
      </c>
      <c r="C936" s="1" t="n">
        <v>46105</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18092-2022</t>
        </is>
      </c>
      <c r="B937" s="1" t="n">
        <v>44684</v>
      </c>
      <c r="C937" s="1" t="n">
        <v>46105</v>
      </c>
      <c r="D937" t="inlineStr">
        <is>
          <t>STOCKHOLMS LÄN</t>
        </is>
      </c>
      <c r="E937" t="inlineStr">
        <is>
          <t>NORRTÄLJE</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33295-2023</t>
        </is>
      </c>
      <c r="B938" s="1" t="n">
        <v>45127.69371527778</v>
      </c>
      <c r="C938" s="1" t="n">
        <v>46105</v>
      </c>
      <c r="D938" t="inlineStr">
        <is>
          <t>STOCKHOLMS LÄN</t>
        </is>
      </c>
      <c r="E938" t="inlineStr">
        <is>
          <t>NORRTÄLJE</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58404-2023</t>
        </is>
      </c>
      <c r="B939" s="1" t="n">
        <v>45245</v>
      </c>
      <c r="C939" s="1" t="n">
        <v>46105</v>
      </c>
      <c r="D939" t="inlineStr">
        <is>
          <t>STOCKHOLMS LÄN</t>
        </is>
      </c>
      <c r="E939" t="inlineStr">
        <is>
          <t>NORRTÄLJE</t>
        </is>
      </c>
      <c r="G939" t="n">
        <v>53.5</v>
      </c>
      <c r="H939" t="n">
        <v>0</v>
      </c>
      <c r="I939" t="n">
        <v>0</v>
      </c>
      <c r="J939" t="n">
        <v>0</v>
      </c>
      <c r="K939" t="n">
        <v>0</v>
      </c>
      <c r="L939" t="n">
        <v>0</v>
      </c>
      <c r="M939" t="n">
        <v>0</v>
      </c>
      <c r="N939" t="n">
        <v>0</v>
      </c>
      <c r="O939" t="n">
        <v>0</v>
      </c>
      <c r="P939" t="n">
        <v>0</v>
      </c>
      <c r="Q939" t="n">
        <v>0</v>
      </c>
      <c r="R939" s="2" t="inlineStr"/>
    </row>
    <row r="940" ht="15" customHeight="1">
      <c r="A940" t="inlineStr">
        <is>
          <t>A 27885-2022</t>
        </is>
      </c>
      <c r="B940" s="1" t="n">
        <v>44743.67418981482</v>
      </c>
      <c r="C940" s="1" t="n">
        <v>46105</v>
      </c>
      <c r="D940" t="inlineStr">
        <is>
          <t>STOCKHOLMS LÄN</t>
        </is>
      </c>
      <c r="E940" t="inlineStr">
        <is>
          <t>NORRTÄLJE</t>
        </is>
      </c>
      <c r="F940" t="inlineStr">
        <is>
          <t>Holmen skog AB</t>
        </is>
      </c>
      <c r="G940" t="n">
        <v>0.8</v>
      </c>
      <c r="H940" t="n">
        <v>0</v>
      </c>
      <c r="I940" t="n">
        <v>0</v>
      </c>
      <c r="J940" t="n">
        <v>0</v>
      </c>
      <c r="K940" t="n">
        <v>0</v>
      </c>
      <c r="L940" t="n">
        <v>0</v>
      </c>
      <c r="M940" t="n">
        <v>0</v>
      </c>
      <c r="N940" t="n">
        <v>0</v>
      </c>
      <c r="O940" t="n">
        <v>0</v>
      </c>
      <c r="P940" t="n">
        <v>0</v>
      </c>
      <c r="Q940" t="n">
        <v>0</v>
      </c>
      <c r="R940" s="2" t="inlineStr"/>
    </row>
    <row r="941" ht="15" customHeight="1">
      <c r="A941" t="inlineStr">
        <is>
          <t>A 25525-2022</t>
        </is>
      </c>
      <c r="B941" s="1" t="n">
        <v>44732</v>
      </c>
      <c r="C941" s="1" t="n">
        <v>46105</v>
      </c>
      <c r="D941" t="inlineStr">
        <is>
          <t>STOCKHOLMS LÄN</t>
        </is>
      </c>
      <c r="E941" t="inlineStr">
        <is>
          <t>NORRTÄLJE</t>
        </is>
      </c>
      <c r="G941" t="n">
        <v>2.2</v>
      </c>
      <c r="H941" t="n">
        <v>0</v>
      </c>
      <c r="I941" t="n">
        <v>0</v>
      </c>
      <c r="J941" t="n">
        <v>0</v>
      </c>
      <c r="K941" t="n">
        <v>0</v>
      </c>
      <c r="L941" t="n">
        <v>0</v>
      </c>
      <c r="M941" t="n">
        <v>0</v>
      </c>
      <c r="N941" t="n">
        <v>0</v>
      </c>
      <c r="O941" t="n">
        <v>0</v>
      </c>
      <c r="P941" t="n">
        <v>0</v>
      </c>
      <c r="Q941" t="n">
        <v>0</v>
      </c>
      <c r="R941" s="2" t="inlineStr"/>
    </row>
    <row r="942" ht="15" customHeight="1">
      <c r="A942" t="inlineStr">
        <is>
          <t>A 48722-2023</t>
        </is>
      </c>
      <c r="B942" s="1" t="n">
        <v>45208.70996527778</v>
      </c>
      <c r="C942" s="1" t="n">
        <v>46105</v>
      </c>
      <c r="D942" t="inlineStr">
        <is>
          <t>STOCKHOLMS LÄN</t>
        </is>
      </c>
      <c r="E942" t="inlineStr">
        <is>
          <t>NORRTÄLJE</t>
        </is>
      </c>
      <c r="G942" t="n">
        <v>0.3</v>
      </c>
      <c r="H942" t="n">
        <v>0</v>
      </c>
      <c r="I942" t="n">
        <v>0</v>
      </c>
      <c r="J942" t="n">
        <v>0</v>
      </c>
      <c r="K942" t="n">
        <v>0</v>
      </c>
      <c r="L942" t="n">
        <v>0</v>
      </c>
      <c r="M942" t="n">
        <v>0</v>
      </c>
      <c r="N942" t="n">
        <v>0</v>
      </c>
      <c r="O942" t="n">
        <v>0</v>
      </c>
      <c r="P942" t="n">
        <v>0</v>
      </c>
      <c r="Q942" t="n">
        <v>0</v>
      </c>
      <c r="R942" s="2" t="inlineStr"/>
    </row>
    <row r="943" ht="15" customHeight="1">
      <c r="A943" t="inlineStr">
        <is>
          <t>A 23801-2022</t>
        </is>
      </c>
      <c r="B943" s="1" t="n">
        <v>44722</v>
      </c>
      <c r="C943" s="1" t="n">
        <v>46105</v>
      </c>
      <c r="D943" t="inlineStr">
        <is>
          <t>STOCKHOLMS LÄN</t>
        </is>
      </c>
      <c r="E943" t="inlineStr">
        <is>
          <t>NORRTÄLJE</t>
        </is>
      </c>
      <c r="G943" t="n">
        <v>6.8</v>
      </c>
      <c r="H943" t="n">
        <v>0</v>
      </c>
      <c r="I943" t="n">
        <v>0</v>
      </c>
      <c r="J943" t="n">
        <v>0</v>
      </c>
      <c r="K943" t="n">
        <v>0</v>
      </c>
      <c r="L943" t="n">
        <v>0</v>
      </c>
      <c r="M943" t="n">
        <v>0</v>
      </c>
      <c r="N943" t="n">
        <v>0</v>
      </c>
      <c r="O943" t="n">
        <v>0</v>
      </c>
      <c r="P943" t="n">
        <v>0</v>
      </c>
      <c r="Q943" t="n">
        <v>0</v>
      </c>
      <c r="R943" s="2" t="inlineStr"/>
    </row>
    <row r="944" ht="15" customHeight="1">
      <c r="A944" t="inlineStr">
        <is>
          <t>A 33353-2023</t>
        </is>
      </c>
      <c r="B944" s="1" t="n">
        <v>45128</v>
      </c>
      <c r="C944" s="1" t="n">
        <v>46105</v>
      </c>
      <c r="D944" t="inlineStr">
        <is>
          <t>STOCKHOLMS LÄN</t>
        </is>
      </c>
      <c r="E944" t="inlineStr">
        <is>
          <t>NORRTÄLJE</t>
        </is>
      </c>
      <c r="G944" t="n">
        <v>0.8</v>
      </c>
      <c r="H944" t="n">
        <v>0</v>
      </c>
      <c r="I944" t="n">
        <v>0</v>
      </c>
      <c r="J944" t="n">
        <v>0</v>
      </c>
      <c r="K944" t="n">
        <v>0</v>
      </c>
      <c r="L944" t="n">
        <v>0</v>
      </c>
      <c r="M944" t="n">
        <v>0</v>
      </c>
      <c r="N944" t="n">
        <v>0</v>
      </c>
      <c r="O944" t="n">
        <v>0</v>
      </c>
      <c r="P944" t="n">
        <v>0</v>
      </c>
      <c r="Q944" t="n">
        <v>0</v>
      </c>
      <c r="R944" s="2" t="inlineStr"/>
    </row>
    <row r="945" ht="15" customHeight="1">
      <c r="A945" t="inlineStr">
        <is>
          <t>A 35708-2022</t>
        </is>
      </c>
      <c r="B945" s="1" t="n">
        <v>44799.65013888889</v>
      </c>
      <c r="C945" s="1" t="n">
        <v>46105</v>
      </c>
      <c r="D945" t="inlineStr">
        <is>
          <t>STOCKHOLMS LÄN</t>
        </is>
      </c>
      <c r="E945" t="inlineStr">
        <is>
          <t>NORRTÄLJE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3426-2025</t>
        </is>
      </c>
      <c r="B946" s="1" t="n">
        <v>45680.42665509259</v>
      </c>
      <c r="C946" s="1" t="n">
        <v>46105</v>
      </c>
      <c r="D946" t="inlineStr">
        <is>
          <t>STOCKHOLMS LÄN</t>
        </is>
      </c>
      <c r="E946" t="inlineStr">
        <is>
          <t>NORRTÄLJE</t>
        </is>
      </c>
      <c r="G946" t="n">
        <v>3.2</v>
      </c>
      <c r="H946" t="n">
        <v>0</v>
      </c>
      <c r="I946" t="n">
        <v>0</v>
      </c>
      <c r="J946" t="n">
        <v>0</v>
      </c>
      <c r="K946" t="n">
        <v>0</v>
      </c>
      <c r="L946" t="n">
        <v>0</v>
      </c>
      <c r="M946" t="n">
        <v>0</v>
      </c>
      <c r="N946" t="n">
        <v>0</v>
      </c>
      <c r="O946" t="n">
        <v>0</v>
      </c>
      <c r="P946" t="n">
        <v>0</v>
      </c>
      <c r="Q946" t="n">
        <v>0</v>
      </c>
      <c r="R946" s="2" t="inlineStr"/>
    </row>
    <row r="947" ht="15" customHeight="1">
      <c r="A947" t="inlineStr">
        <is>
          <t>A 9-2024</t>
        </is>
      </c>
      <c r="B947" s="1" t="n">
        <v>45293</v>
      </c>
      <c r="C947" s="1" t="n">
        <v>46105</v>
      </c>
      <c r="D947" t="inlineStr">
        <is>
          <t>STOCKHOLMS LÄN</t>
        </is>
      </c>
      <c r="E947" t="inlineStr">
        <is>
          <t>NORRTÄLJE</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51312-2023</t>
        </is>
      </c>
      <c r="B948" s="1" t="n">
        <v>45219.56697916667</v>
      </c>
      <c r="C948" s="1" t="n">
        <v>46105</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11849-2025</t>
        </is>
      </c>
      <c r="B949" s="1" t="n">
        <v>45728.38409722222</v>
      </c>
      <c r="C949" s="1" t="n">
        <v>46105</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38610-2022</t>
        </is>
      </c>
      <c r="B950" s="1" t="n">
        <v>44813.59915509259</v>
      </c>
      <c r="C950" s="1" t="n">
        <v>46105</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22816-2021</t>
        </is>
      </c>
      <c r="B951" s="1" t="n">
        <v>44325</v>
      </c>
      <c r="C951" s="1" t="n">
        <v>46105</v>
      </c>
      <c r="D951" t="inlineStr">
        <is>
          <t>STOCKHOLMS LÄN</t>
        </is>
      </c>
      <c r="E951" t="inlineStr">
        <is>
          <t>NORRTÄLJE</t>
        </is>
      </c>
      <c r="G951" t="n">
        <v>4.5</v>
      </c>
      <c r="H951" t="n">
        <v>0</v>
      </c>
      <c r="I951" t="n">
        <v>0</v>
      </c>
      <c r="J951" t="n">
        <v>0</v>
      </c>
      <c r="K951" t="n">
        <v>0</v>
      </c>
      <c r="L951" t="n">
        <v>0</v>
      </c>
      <c r="M951" t="n">
        <v>0</v>
      </c>
      <c r="N951" t="n">
        <v>0</v>
      </c>
      <c r="O951" t="n">
        <v>0</v>
      </c>
      <c r="P951" t="n">
        <v>0</v>
      </c>
      <c r="Q951" t="n">
        <v>0</v>
      </c>
      <c r="R951" s="2" t="inlineStr"/>
    </row>
    <row r="952" ht="15" customHeight="1">
      <c r="A952" t="inlineStr">
        <is>
          <t>A 59468-2023</t>
        </is>
      </c>
      <c r="B952" s="1" t="n">
        <v>45254.41509259259</v>
      </c>
      <c r="C952" s="1" t="n">
        <v>46105</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18846-2022</t>
        </is>
      </c>
      <c r="B953" s="1" t="n">
        <v>44690</v>
      </c>
      <c r="C953" s="1" t="n">
        <v>46105</v>
      </c>
      <c r="D953" t="inlineStr">
        <is>
          <t>STOCKHOLMS LÄN</t>
        </is>
      </c>
      <c r="E953" t="inlineStr">
        <is>
          <t>NORRTÄLJE</t>
        </is>
      </c>
      <c r="G953" t="n">
        <v>7</v>
      </c>
      <c r="H953" t="n">
        <v>0</v>
      </c>
      <c r="I953" t="n">
        <v>0</v>
      </c>
      <c r="J953" t="n">
        <v>0</v>
      </c>
      <c r="K953" t="n">
        <v>0</v>
      </c>
      <c r="L953" t="n">
        <v>0</v>
      </c>
      <c r="M953" t="n">
        <v>0</v>
      </c>
      <c r="N953" t="n">
        <v>0</v>
      </c>
      <c r="O953" t="n">
        <v>0</v>
      </c>
      <c r="P953" t="n">
        <v>0</v>
      </c>
      <c r="Q953" t="n">
        <v>0</v>
      </c>
      <c r="R953" s="2" t="inlineStr"/>
    </row>
    <row r="954" ht="15" customHeight="1">
      <c r="A954" t="inlineStr">
        <is>
          <t>A 12535-2025</t>
        </is>
      </c>
      <c r="B954" s="1" t="n">
        <v>45730.69502314815</v>
      </c>
      <c r="C954" s="1" t="n">
        <v>46105</v>
      </c>
      <c r="D954" t="inlineStr">
        <is>
          <t>STOCKHOLMS LÄN</t>
        </is>
      </c>
      <c r="E954" t="inlineStr">
        <is>
          <t>NORRTÄLJE</t>
        </is>
      </c>
      <c r="G954" t="n">
        <v>7.1</v>
      </c>
      <c r="H954" t="n">
        <v>0</v>
      </c>
      <c r="I954" t="n">
        <v>0</v>
      </c>
      <c r="J954" t="n">
        <v>0</v>
      </c>
      <c r="K954" t="n">
        <v>0</v>
      </c>
      <c r="L954" t="n">
        <v>0</v>
      </c>
      <c r="M954" t="n">
        <v>0</v>
      </c>
      <c r="N954" t="n">
        <v>0</v>
      </c>
      <c r="O954" t="n">
        <v>0</v>
      </c>
      <c r="P954" t="n">
        <v>0</v>
      </c>
      <c r="Q954" t="n">
        <v>0</v>
      </c>
      <c r="R954" s="2" t="inlineStr"/>
    </row>
    <row r="955" ht="15" customHeight="1">
      <c r="A955" t="inlineStr">
        <is>
          <t>A 574-2023</t>
        </is>
      </c>
      <c r="B955" s="1" t="n">
        <v>44925</v>
      </c>
      <c r="C955" s="1" t="n">
        <v>46105</v>
      </c>
      <c r="D955" t="inlineStr">
        <is>
          <t>STOCKHOLMS LÄN</t>
        </is>
      </c>
      <c r="E955" t="inlineStr">
        <is>
          <t>NORRTÄLJE</t>
        </is>
      </c>
      <c r="G955" t="n">
        <v>5</v>
      </c>
      <c r="H955" t="n">
        <v>0</v>
      </c>
      <c r="I955" t="n">
        <v>0</v>
      </c>
      <c r="J955" t="n">
        <v>0</v>
      </c>
      <c r="K955" t="n">
        <v>0</v>
      </c>
      <c r="L955" t="n">
        <v>0</v>
      </c>
      <c r="M955" t="n">
        <v>0</v>
      </c>
      <c r="N955" t="n">
        <v>0</v>
      </c>
      <c r="O955" t="n">
        <v>0</v>
      </c>
      <c r="P955" t="n">
        <v>0</v>
      </c>
      <c r="Q955" t="n">
        <v>0</v>
      </c>
      <c r="R955" s="2" t="inlineStr"/>
    </row>
    <row r="956" ht="15" customHeight="1">
      <c r="A956" t="inlineStr">
        <is>
          <t>A 37010-2022</t>
        </is>
      </c>
      <c r="B956" s="1" t="n">
        <v>44806.41576388889</v>
      </c>
      <c r="C956" s="1" t="n">
        <v>46105</v>
      </c>
      <c r="D956" t="inlineStr">
        <is>
          <t>STOCKHOLMS LÄN</t>
        </is>
      </c>
      <c r="E956" t="inlineStr">
        <is>
          <t>NORRTÄLJE</t>
        </is>
      </c>
      <c r="G956" t="n">
        <v>2.7</v>
      </c>
      <c r="H956" t="n">
        <v>0</v>
      </c>
      <c r="I956" t="n">
        <v>0</v>
      </c>
      <c r="J956" t="n">
        <v>0</v>
      </c>
      <c r="K956" t="n">
        <v>0</v>
      </c>
      <c r="L956" t="n">
        <v>0</v>
      </c>
      <c r="M956" t="n">
        <v>0</v>
      </c>
      <c r="N956" t="n">
        <v>0</v>
      </c>
      <c r="O956" t="n">
        <v>0</v>
      </c>
      <c r="P956" t="n">
        <v>0</v>
      </c>
      <c r="Q956" t="n">
        <v>0</v>
      </c>
      <c r="R956" s="2" t="inlineStr"/>
    </row>
    <row r="957" ht="15" customHeight="1">
      <c r="A957" t="inlineStr">
        <is>
          <t>A 32705-2022</t>
        </is>
      </c>
      <c r="B957" s="1" t="n">
        <v>44783</v>
      </c>
      <c r="C957" s="1" t="n">
        <v>46105</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33149-2022</t>
        </is>
      </c>
      <c r="B958" s="1" t="n">
        <v>44785</v>
      </c>
      <c r="C958" s="1" t="n">
        <v>46105</v>
      </c>
      <c r="D958" t="inlineStr">
        <is>
          <t>STOCKHOLMS LÄN</t>
        </is>
      </c>
      <c r="E958" t="inlineStr">
        <is>
          <t>NORRTÄLJE</t>
        </is>
      </c>
      <c r="F958" t="inlineStr">
        <is>
          <t>Holmen skog AB</t>
        </is>
      </c>
      <c r="G958" t="n">
        <v>4.4</v>
      </c>
      <c r="H958" t="n">
        <v>0</v>
      </c>
      <c r="I958" t="n">
        <v>0</v>
      </c>
      <c r="J958" t="n">
        <v>0</v>
      </c>
      <c r="K958" t="n">
        <v>0</v>
      </c>
      <c r="L958" t="n">
        <v>0</v>
      </c>
      <c r="M958" t="n">
        <v>0</v>
      </c>
      <c r="N958" t="n">
        <v>0</v>
      </c>
      <c r="O958" t="n">
        <v>0</v>
      </c>
      <c r="P958" t="n">
        <v>0</v>
      </c>
      <c r="Q958" t="n">
        <v>0</v>
      </c>
      <c r="R958" s="2" t="inlineStr"/>
    </row>
    <row r="959" ht="15" customHeight="1">
      <c r="A959" t="inlineStr">
        <is>
          <t>A 14559-2024</t>
        </is>
      </c>
      <c r="B959" s="1" t="n">
        <v>45394.72869212963</v>
      </c>
      <c r="C959" s="1" t="n">
        <v>46105</v>
      </c>
      <c r="D959" t="inlineStr">
        <is>
          <t>STOCKHOLMS LÄN</t>
        </is>
      </c>
      <c r="E959" t="inlineStr">
        <is>
          <t>NORRTÄLJE</t>
        </is>
      </c>
      <c r="G959" t="n">
        <v>4.2</v>
      </c>
      <c r="H959" t="n">
        <v>0</v>
      </c>
      <c r="I959" t="n">
        <v>0</v>
      </c>
      <c r="J959" t="n">
        <v>0</v>
      </c>
      <c r="K959" t="n">
        <v>0</v>
      </c>
      <c r="L959" t="n">
        <v>0</v>
      </c>
      <c r="M959" t="n">
        <v>0</v>
      </c>
      <c r="N959" t="n">
        <v>0</v>
      </c>
      <c r="O959" t="n">
        <v>0</v>
      </c>
      <c r="P959" t="n">
        <v>0</v>
      </c>
      <c r="Q959" t="n">
        <v>0</v>
      </c>
      <c r="R959" s="2" t="inlineStr"/>
    </row>
    <row r="960" ht="15" customHeight="1">
      <c r="A960" t="inlineStr">
        <is>
          <t>A 11-2024</t>
        </is>
      </c>
      <c r="B960" s="1" t="n">
        <v>45293</v>
      </c>
      <c r="C960" s="1" t="n">
        <v>46105</v>
      </c>
      <c r="D960" t="inlineStr">
        <is>
          <t>STOCKHOLMS LÄN</t>
        </is>
      </c>
      <c r="E960" t="inlineStr">
        <is>
          <t>NORRTÄLJE</t>
        </is>
      </c>
      <c r="F960" t="inlineStr">
        <is>
          <t>Sveaskog</t>
        </is>
      </c>
      <c r="G960" t="n">
        <v>3.2</v>
      </c>
      <c r="H960" t="n">
        <v>0</v>
      </c>
      <c r="I960" t="n">
        <v>0</v>
      </c>
      <c r="J960" t="n">
        <v>0</v>
      </c>
      <c r="K960" t="n">
        <v>0</v>
      </c>
      <c r="L960" t="n">
        <v>0</v>
      </c>
      <c r="M960" t="n">
        <v>0</v>
      </c>
      <c r="N960" t="n">
        <v>0</v>
      </c>
      <c r="O960" t="n">
        <v>0</v>
      </c>
      <c r="P960" t="n">
        <v>0</v>
      </c>
      <c r="Q960" t="n">
        <v>0</v>
      </c>
      <c r="R960" s="2" t="inlineStr"/>
    </row>
    <row r="961" ht="15" customHeight="1">
      <c r="A961" t="inlineStr">
        <is>
          <t>A 15256-2023</t>
        </is>
      </c>
      <c r="B961" s="1" t="n">
        <v>45019.3959837963</v>
      </c>
      <c r="C961" s="1" t="n">
        <v>46105</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7413-2024</t>
        </is>
      </c>
      <c r="B962" s="1" t="n">
        <v>45345.6059837963</v>
      </c>
      <c r="C962" s="1" t="n">
        <v>46105</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58040-2024</t>
        </is>
      </c>
      <c r="B963" s="1" t="n">
        <v>45631.73952546297</v>
      </c>
      <c r="C963" s="1" t="n">
        <v>46105</v>
      </c>
      <c r="D963" t="inlineStr">
        <is>
          <t>STOCKHOLMS LÄN</t>
        </is>
      </c>
      <c r="E963" t="inlineStr">
        <is>
          <t>NORRTÄLJE</t>
        </is>
      </c>
      <c r="G963" t="n">
        <v>2.1</v>
      </c>
      <c r="H963" t="n">
        <v>0</v>
      </c>
      <c r="I963" t="n">
        <v>0</v>
      </c>
      <c r="J963" t="n">
        <v>0</v>
      </c>
      <c r="K963" t="n">
        <v>0</v>
      </c>
      <c r="L963" t="n">
        <v>0</v>
      </c>
      <c r="M963" t="n">
        <v>0</v>
      </c>
      <c r="N963" t="n">
        <v>0</v>
      </c>
      <c r="O963" t="n">
        <v>0</v>
      </c>
      <c r="P963" t="n">
        <v>0</v>
      </c>
      <c r="Q963" t="n">
        <v>0</v>
      </c>
      <c r="R963" s="2" t="inlineStr"/>
    </row>
    <row r="964" ht="15" customHeight="1">
      <c r="A964" t="inlineStr">
        <is>
          <t>A 58041-2024</t>
        </is>
      </c>
      <c r="B964" s="1" t="n">
        <v>45631.74673611111</v>
      </c>
      <c r="C964" s="1" t="n">
        <v>46105</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31057-2022</t>
        </is>
      </c>
      <c r="B965" s="1" t="n">
        <v>44769</v>
      </c>
      <c r="C965" s="1" t="n">
        <v>46105</v>
      </c>
      <c r="D965" t="inlineStr">
        <is>
          <t>STOCKHOLMS LÄN</t>
        </is>
      </c>
      <c r="E965" t="inlineStr">
        <is>
          <t>NORRTÄLJE</t>
        </is>
      </c>
      <c r="G965" t="n">
        <v>6.5</v>
      </c>
      <c r="H965" t="n">
        <v>0</v>
      </c>
      <c r="I965" t="n">
        <v>0</v>
      </c>
      <c r="J965" t="n">
        <v>0</v>
      </c>
      <c r="K965" t="n">
        <v>0</v>
      </c>
      <c r="L965" t="n">
        <v>0</v>
      </c>
      <c r="M965" t="n">
        <v>0</v>
      </c>
      <c r="N965" t="n">
        <v>0</v>
      </c>
      <c r="O965" t="n">
        <v>0</v>
      </c>
      <c r="P965" t="n">
        <v>0</v>
      </c>
      <c r="Q965" t="n">
        <v>0</v>
      </c>
      <c r="R965" s="2" t="inlineStr"/>
    </row>
    <row r="966" ht="15" customHeight="1">
      <c r="A966" t="inlineStr">
        <is>
          <t>A 25619-2022</t>
        </is>
      </c>
      <c r="B966" s="1" t="n">
        <v>44732</v>
      </c>
      <c r="C966" s="1" t="n">
        <v>46105</v>
      </c>
      <c r="D966" t="inlineStr">
        <is>
          <t>STOCKHOLMS LÄN</t>
        </is>
      </c>
      <c r="E966" t="inlineStr">
        <is>
          <t>NORRTÄLJE</t>
        </is>
      </c>
      <c r="G966" t="n">
        <v>3.9</v>
      </c>
      <c r="H966" t="n">
        <v>0</v>
      </c>
      <c r="I966" t="n">
        <v>0</v>
      </c>
      <c r="J966" t="n">
        <v>0</v>
      </c>
      <c r="K966" t="n">
        <v>0</v>
      </c>
      <c r="L966" t="n">
        <v>0</v>
      </c>
      <c r="M966" t="n">
        <v>0</v>
      </c>
      <c r="N966" t="n">
        <v>0</v>
      </c>
      <c r="O966" t="n">
        <v>0</v>
      </c>
      <c r="P966" t="n">
        <v>0</v>
      </c>
      <c r="Q966" t="n">
        <v>0</v>
      </c>
      <c r="R966" s="2" t="inlineStr"/>
    </row>
    <row r="967" ht="15" customHeight="1">
      <c r="A967" t="inlineStr">
        <is>
          <t>A 15422-2024</t>
        </is>
      </c>
      <c r="B967" s="1" t="n">
        <v>45401.3653125</v>
      </c>
      <c r="C967" s="1" t="n">
        <v>46105</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48716-2023</t>
        </is>
      </c>
      <c r="B968" s="1" t="n">
        <v>45208.69671296296</v>
      </c>
      <c r="C968" s="1" t="n">
        <v>46105</v>
      </c>
      <c r="D968" t="inlineStr">
        <is>
          <t>STOCKHOLMS LÄN</t>
        </is>
      </c>
      <c r="E968" t="inlineStr">
        <is>
          <t>NORRTÄLJE</t>
        </is>
      </c>
      <c r="G968" t="n">
        <v>0.6</v>
      </c>
      <c r="H968" t="n">
        <v>0</v>
      </c>
      <c r="I968" t="n">
        <v>0</v>
      </c>
      <c r="J968" t="n">
        <v>0</v>
      </c>
      <c r="K968" t="n">
        <v>0</v>
      </c>
      <c r="L968" t="n">
        <v>0</v>
      </c>
      <c r="M968" t="n">
        <v>0</v>
      </c>
      <c r="N968" t="n">
        <v>0</v>
      </c>
      <c r="O968" t="n">
        <v>0</v>
      </c>
      <c r="P968" t="n">
        <v>0</v>
      </c>
      <c r="Q968" t="n">
        <v>0</v>
      </c>
      <c r="R968" s="2" t="inlineStr"/>
    </row>
    <row r="969" ht="15" customHeight="1">
      <c r="A969" t="inlineStr">
        <is>
          <t>A 55369-2023</t>
        </is>
      </c>
      <c r="B969" s="1" t="n">
        <v>45238</v>
      </c>
      <c r="C969" s="1" t="n">
        <v>46105</v>
      </c>
      <c r="D969" t="inlineStr">
        <is>
          <t>STOCKHOLMS LÄN</t>
        </is>
      </c>
      <c r="E969" t="inlineStr">
        <is>
          <t>NORRTÄLJE</t>
        </is>
      </c>
      <c r="G969" t="n">
        <v>0.4</v>
      </c>
      <c r="H969" t="n">
        <v>0</v>
      </c>
      <c r="I969" t="n">
        <v>0</v>
      </c>
      <c r="J969" t="n">
        <v>0</v>
      </c>
      <c r="K969" t="n">
        <v>0</v>
      </c>
      <c r="L969" t="n">
        <v>0</v>
      </c>
      <c r="M969" t="n">
        <v>0</v>
      </c>
      <c r="N969" t="n">
        <v>0</v>
      </c>
      <c r="O969" t="n">
        <v>0</v>
      </c>
      <c r="P969" t="n">
        <v>0</v>
      </c>
      <c r="Q969" t="n">
        <v>0</v>
      </c>
      <c r="R969" s="2" t="inlineStr"/>
    </row>
    <row r="970" ht="15" customHeight="1">
      <c r="A970" t="inlineStr">
        <is>
          <t>A 20121-2022</t>
        </is>
      </c>
      <c r="B970" s="1" t="n">
        <v>44698</v>
      </c>
      <c r="C970" s="1" t="n">
        <v>46105</v>
      </c>
      <c r="D970" t="inlineStr">
        <is>
          <t>STOCKHOLMS LÄN</t>
        </is>
      </c>
      <c r="E970" t="inlineStr">
        <is>
          <t>NORRTÄLJE</t>
        </is>
      </c>
      <c r="G970" t="n">
        <v>4.2</v>
      </c>
      <c r="H970" t="n">
        <v>0</v>
      </c>
      <c r="I970" t="n">
        <v>0</v>
      </c>
      <c r="J970" t="n">
        <v>0</v>
      </c>
      <c r="K970" t="n">
        <v>0</v>
      </c>
      <c r="L970" t="n">
        <v>0</v>
      </c>
      <c r="M970" t="n">
        <v>0</v>
      </c>
      <c r="N970" t="n">
        <v>0</v>
      </c>
      <c r="O970" t="n">
        <v>0</v>
      </c>
      <c r="P970" t="n">
        <v>0</v>
      </c>
      <c r="Q970" t="n">
        <v>0</v>
      </c>
      <c r="R970" s="2" t="inlineStr"/>
    </row>
    <row r="971" ht="15" customHeight="1">
      <c r="A971" t="inlineStr">
        <is>
          <t>A 26407-2024</t>
        </is>
      </c>
      <c r="B971" s="1" t="n">
        <v>45469</v>
      </c>
      <c r="C971" s="1" t="n">
        <v>46105</v>
      </c>
      <c r="D971" t="inlineStr">
        <is>
          <t>STOCKHOLMS LÄN</t>
        </is>
      </c>
      <c r="E971" t="inlineStr">
        <is>
          <t>NORRTÄLJE</t>
        </is>
      </c>
      <c r="G971" t="n">
        <v>3.5</v>
      </c>
      <c r="H971" t="n">
        <v>0</v>
      </c>
      <c r="I971" t="n">
        <v>0</v>
      </c>
      <c r="J971" t="n">
        <v>0</v>
      </c>
      <c r="K971" t="n">
        <v>0</v>
      </c>
      <c r="L971" t="n">
        <v>0</v>
      </c>
      <c r="M971" t="n">
        <v>0</v>
      </c>
      <c r="N971" t="n">
        <v>0</v>
      </c>
      <c r="O971" t="n">
        <v>0</v>
      </c>
      <c r="P971" t="n">
        <v>0</v>
      </c>
      <c r="Q971" t="n">
        <v>0</v>
      </c>
      <c r="R971" s="2" t="inlineStr"/>
    </row>
    <row r="972" ht="15" customHeight="1">
      <c r="A972" t="inlineStr">
        <is>
          <t>A 10098-2022</t>
        </is>
      </c>
      <c r="B972" s="1" t="n">
        <v>44621</v>
      </c>
      <c r="C972" s="1" t="n">
        <v>46105</v>
      </c>
      <c r="D972" t="inlineStr">
        <is>
          <t>STOCKHOLMS LÄN</t>
        </is>
      </c>
      <c r="E972" t="inlineStr">
        <is>
          <t>NORRTÄLJE</t>
        </is>
      </c>
      <c r="G972" t="n">
        <v>2.2</v>
      </c>
      <c r="H972" t="n">
        <v>0</v>
      </c>
      <c r="I972" t="n">
        <v>0</v>
      </c>
      <c r="J972" t="n">
        <v>0</v>
      </c>
      <c r="K972" t="n">
        <v>0</v>
      </c>
      <c r="L972" t="n">
        <v>0</v>
      </c>
      <c r="M972" t="n">
        <v>0</v>
      </c>
      <c r="N972" t="n">
        <v>0</v>
      </c>
      <c r="O972" t="n">
        <v>0</v>
      </c>
      <c r="P972" t="n">
        <v>0</v>
      </c>
      <c r="Q972" t="n">
        <v>0</v>
      </c>
      <c r="R972" s="2" t="inlineStr"/>
    </row>
    <row r="973" ht="15" customHeight="1">
      <c r="A973" t="inlineStr">
        <is>
          <t>A 49700-2023</t>
        </is>
      </c>
      <c r="B973" s="1" t="n">
        <v>45212</v>
      </c>
      <c r="C973" s="1" t="n">
        <v>46105</v>
      </c>
      <c r="D973" t="inlineStr">
        <is>
          <t>STOCKHOLMS LÄN</t>
        </is>
      </c>
      <c r="E973" t="inlineStr">
        <is>
          <t>NORRTÄLJE</t>
        </is>
      </c>
      <c r="G973" t="n">
        <v>1.4</v>
      </c>
      <c r="H973" t="n">
        <v>0</v>
      </c>
      <c r="I973" t="n">
        <v>0</v>
      </c>
      <c r="J973" t="n">
        <v>0</v>
      </c>
      <c r="K973" t="n">
        <v>0</v>
      </c>
      <c r="L973" t="n">
        <v>0</v>
      </c>
      <c r="M973" t="n">
        <v>0</v>
      </c>
      <c r="N973" t="n">
        <v>0</v>
      </c>
      <c r="O973" t="n">
        <v>0</v>
      </c>
      <c r="P973" t="n">
        <v>0</v>
      </c>
      <c r="Q973" t="n">
        <v>0</v>
      </c>
      <c r="R973" s="2" t="inlineStr"/>
    </row>
    <row r="974" ht="15" customHeight="1">
      <c r="A974" t="inlineStr">
        <is>
          <t>A 59875-2024</t>
        </is>
      </c>
      <c r="B974" s="1" t="n">
        <v>45640.58716435185</v>
      </c>
      <c r="C974" s="1" t="n">
        <v>46105</v>
      </c>
      <c r="D974" t="inlineStr">
        <is>
          <t>STOCKHOLMS LÄN</t>
        </is>
      </c>
      <c r="E974" t="inlineStr">
        <is>
          <t>NORRTÄLJE</t>
        </is>
      </c>
      <c r="G974" t="n">
        <v>0.3</v>
      </c>
      <c r="H974" t="n">
        <v>0</v>
      </c>
      <c r="I974" t="n">
        <v>0</v>
      </c>
      <c r="J974" t="n">
        <v>0</v>
      </c>
      <c r="K974" t="n">
        <v>0</v>
      </c>
      <c r="L974" t="n">
        <v>0</v>
      </c>
      <c r="M974" t="n">
        <v>0</v>
      </c>
      <c r="N974" t="n">
        <v>0</v>
      </c>
      <c r="O974" t="n">
        <v>0</v>
      </c>
      <c r="P974" t="n">
        <v>0</v>
      </c>
      <c r="Q974" t="n">
        <v>0</v>
      </c>
      <c r="R974" s="2" t="inlineStr"/>
    </row>
    <row r="975" ht="15" customHeight="1">
      <c r="A975" t="inlineStr">
        <is>
          <t>A 45220-2024</t>
        </is>
      </c>
      <c r="B975" s="1" t="n">
        <v>45575</v>
      </c>
      <c r="C975" s="1" t="n">
        <v>46105</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4658-2024</t>
        </is>
      </c>
      <c r="B976" s="1" t="n">
        <v>45328.46336805556</v>
      </c>
      <c r="C976" s="1" t="n">
        <v>46105</v>
      </c>
      <c r="D976" t="inlineStr">
        <is>
          <t>STOCKHOLMS LÄN</t>
        </is>
      </c>
      <c r="E976" t="inlineStr">
        <is>
          <t>NORRTÄLJE</t>
        </is>
      </c>
      <c r="G976" t="n">
        <v>2.8</v>
      </c>
      <c r="H976" t="n">
        <v>0</v>
      </c>
      <c r="I976" t="n">
        <v>0</v>
      </c>
      <c r="J976" t="n">
        <v>0</v>
      </c>
      <c r="K976" t="n">
        <v>0</v>
      </c>
      <c r="L976" t="n">
        <v>0</v>
      </c>
      <c r="M976" t="n">
        <v>0</v>
      </c>
      <c r="N976" t="n">
        <v>0</v>
      </c>
      <c r="O976" t="n">
        <v>0</v>
      </c>
      <c r="P976" t="n">
        <v>0</v>
      </c>
      <c r="Q976" t="n">
        <v>0</v>
      </c>
      <c r="R976" s="2" t="inlineStr"/>
    </row>
    <row r="977" ht="15" customHeight="1">
      <c r="A977" t="inlineStr">
        <is>
          <t>A 48145-2024</t>
        </is>
      </c>
      <c r="B977" s="1" t="n">
        <v>45589.6756712963</v>
      </c>
      <c r="C977" s="1" t="n">
        <v>46105</v>
      </c>
      <c r="D977" t="inlineStr">
        <is>
          <t>STOCKHOLMS LÄN</t>
        </is>
      </c>
      <c r="E977" t="inlineStr">
        <is>
          <t>NORRTÄLJE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10642-2025</t>
        </is>
      </c>
      <c r="B978" s="1" t="n">
        <v>45721.65858796296</v>
      </c>
      <c r="C978" s="1" t="n">
        <v>46105</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24024-2024</t>
        </is>
      </c>
      <c r="B979" s="1" t="n">
        <v>45456</v>
      </c>
      <c r="C979" s="1" t="n">
        <v>46105</v>
      </c>
      <c r="D979" t="inlineStr">
        <is>
          <t>STOCKHOLMS LÄN</t>
        </is>
      </c>
      <c r="E979" t="inlineStr">
        <is>
          <t>NORRTÄLJE</t>
        </is>
      </c>
      <c r="G979" t="n">
        <v>1.9</v>
      </c>
      <c r="H979" t="n">
        <v>0</v>
      </c>
      <c r="I979" t="n">
        <v>0</v>
      </c>
      <c r="J979" t="n">
        <v>0</v>
      </c>
      <c r="K979" t="n">
        <v>0</v>
      </c>
      <c r="L979" t="n">
        <v>0</v>
      </c>
      <c r="M979" t="n">
        <v>0</v>
      </c>
      <c r="N979" t="n">
        <v>0</v>
      </c>
      <c r="O979" t="n">
        <v>0</v>
      </c>
      <c r="P979" t="n">
        <v>0</v>
      </c>
      <c r="Q979" t="n">
        <v>0</v>
      </c>
      <c r="R979" s="2" t="inlineStr"/>
    </row>
    <row r="980" ht="15" customHeight="1">
      <c r="A980" t="inlineStr">
        <is>
          <t>A 35532-2024</t>
        </is>
      </c>
      <c r="B980" s="1" t="n">
        <v>45531</v>
      </c>
      <c r="C980" s="1" t="n">
        <v>46105</v>
      </c>
      <c r="D980" t="inlineStr">
        <is>
          <t>STOCKHOLMS LÄN</t>
        </is>
      </c>
      <c r="E980" t="inlineStr">
        <is>
          <t>NORRTÄLJE</t>
        </is>
      </c>
      <c r="G980" t="n">
        <v>2.3</v>
      </c>
      <c r="H980" t="n">
        <v>0</v>
      </c>
      <c r="I980" t="n">
        <v>0</v>
      </c>
      <c r="J980" t="n">
        <v>0</v>
      </c>
      <c r="K980" t="n">
        <v>0</v>
      </c>
      <c r="L980" t="n">
        <v>0</v>
      </c>
      <c r="M980" t="n">
        <v>0</v>
      </c>
      <c r="N980" t="n">
        <v>0</v>
      </c>
      <c r="O980" t="n">
        <v>0</v>
      </c>
      <c r="P980" t="n">
        <v>0</v>
      </c>
      <c r="Q980" t="n">
        <v>0</v>
      </c>
      <c r="R980" s="2" t="inlineStr"/>
    </row>
    <row r="981" ht="15" customHeight="1">
      <c r="A981" t="inlineStr">
        <is>
          <t>A 21291-2021</t>
        </is>
      </c>
      <c r="B981" s="1" t="n">
        <v>44319</v>
      </c>
      <c r="C981" s="1" t="n">
        <v>46105</v>
      </c>
      <c r="D981" t="inlineStr">
        <is>
          <t>STOCKHOLMS LÄN</t>
        </is>
      </c>
      <c r="E981" t="inlineStr">
        <is>
          <t>NORRTÄLJE</t>
        </is>
      </c>
      <c r="G981" t="n">
        <v>12.7</v>
      </c>
      <c r="H981" t="n">
        <v>0</v>
      </c>
      <c r="I981" t="n">
        <v>0</v>
      </c>
      <c r="J981" t="n">
        <v>0</v>
      </c>
      <c r="K981" t="n">
        <v>0</v>
      </c>
      <c r="L981" t="n">
        <v>0</v>
      </c>
      <c r="M981" t="n">
        <v>0</v>
      </c>
      <c r="N981" t="n">
        <v>0</v>
      </c>
      <c r="O981" t="n">
        <v>0</v>
      </c>
      <c r="P981" t="n">
        <v>0</v>
      </c>
      <c r="Q981" t="n">
        <v>0</v>
      </c>
      <c r="R981" s="2" t="inlineStr"/>
    </row>
    <row r="982" ht="15" customHeight="1">
      <c r="A982" t="inlineStr">
        <is>
          <t>A 19118-2022</t>
        </is>
      </c>
      <c r="B982" s="1" t="n">
        <v>44691.5652662037</v>
      </c>
      <c r="C982" s="1" t="n">
        <v>46105</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22421-2021</t>
        </is>
      </c>
      <c r="B983" s="1" t="n">
        <v>44326</v>
      </c>
      <c r="C983" s="1" t="n">
        <v>46105</v>
      </c>
      <c r="D983" t="inlineStr">
        <is>
          <t>STOCKHOLMS LÄN</t>
        </is>
      </c>
      <c r="E983" t="inlineStr">
        <is>
          <t>NORRTÄLJE</t>
        </is>
      </c>
      <c r="G983" t="n">
        <v>2.1</v>
      </c>
      <c r="H983" t="n">
        <v>0</v>
      </c>
      <c r="I983" t="n">
        <v>0</v>
      </c>
      <c r="J983" t="n">
        <v>0</v>
      </c>
      <c r="K983" t="n">
        <v>0</v>
      </c>
      <c r="L983" t="n">
        <v>0</v>
      </c>
      <c r="M983" t="n">
        <v>0</v>
      </c>
      <c r="N983" t="n">
        <v>0</v>
      </c>
      <c r="O983" t="n">
        <v>0</v>
      </c>
      <c r="P983" t="n">
        <v>0</v>
      </c>
      <c r="Q983" t="n">
        <v>0</v>
      </c>
      <c r="R983" s="2" t="inlineStr"/>
    </row>
    <row r="984" ht="15" customHeight="1">
      <c r="A984" t="inlineStr">
        <is>
          <t>A 59893-2022</t>
        </is>
      </c>
      <c r="B984" s="1" t="n">
        <v>44908.77368055555</v>
      </c>
      <c r="C984" s="1" t="n">
        <v>46105</v>
      </c>
      <c r="D984" t="inlineStr">
        <is>
          <t>STOCKHOLMS LÄN</t>
        </is>
      </c>
      <c r="E984" t="inlineStr">
        <is>
          <t>NORRTÄLJE</t>
        </is>
      </c>
      <c r="G984" t="n">
        <v>3</v>
      </c>
      <c r="H984" t="n">
        <v>0</v>
      </c>
      <c r="I984" t="n">
        <v>0</v>
      </c>
      <c r="J984" t="n">
        <v>0</v>
      </c>
      <c r="K984" t="n">
        <v>0</v>
      </c>
      <c r="L984" t="n">
        <v>0</v>
      </c>
      <c r="M984" t="n">
        <v>0</v>
      </c>
      <c r="N984" t="n">
        <v>0</v>
      </c>
      <c r="O984" t="n">
        <v>0</v>
      </c>
      <c r="P984" t="n">
        <v>0</v>
      </c>
      <c r="Q984" t="n">
        <v>0</v>
      </c>
      <c r="R984" s="2" t="inlineStr"/>
    </row>
    <row r="985" ht="15" customHeight="1">
      <c r="A985" t="inlineStr">
        <is>
          <t>A 33226-2024</t>
        </is>
      </c>
      <c r="B985" s="1" t="n">
        <v>45518</v>
      </c>
      <c r="C985" s="1" t="n">
        <v>46105</v>
      </c>
      <c r="D985" t="inlineStr">
        <is>
          <t>STOCKHOLMS LÄN</t>
        </is>
      </c>
      <c r="E985" t="inlineStr">
        <is>
          <t>NORRTÄLJE</t>
        </is>
      </c>
      <c r="G985" t="n">
        <v>13.8</v>
      </c>
      <c r="H985" t="n">
        <v>0</v>
      </c>
      <c r="I985" t="n">
        <v>0</v>
      </c>
      <c r="J985" t="n">
        <v>0</v>
      </c>
      <c r="K985" t="n">
        <v>0</v>
      </c>
      <c r="L985" t="n">
        <v>0</v>
      </c>
      <c r="M985" t="n">
        <v>0</v>
      </c>
      <c r="N985" t="n">
        <v>0</v>
      </c>
      <c r="O985" t="n">
        <v>0</v>
      </c>
      <c r="P985" t="n">
        <v>0</v>
      </c>
      <c r="Q985" t="n">
        <v>0</v>
      </c>
      <c r="R985" s="2" t="inlineStr"/>
    </row>
    <row r="986" ht="15" customHeight="1">
      <c r="A986" t="inlineStr">
        <is>
          <t>A 16980-2023</t>
        </is>
      </c>
      <c r="B986" s="1" t="n">
        <v>45033</v>
      </c>
      <c r="C986" s="1" t="n">
        <v>46105</v>
      </c>
      <c r="D986" t="inlineStr">
        <is>
          <t>STOCKHOLMS LÄN</t>
        </is>
      </c>
      <c r="E986" t="inlineStr">
        <is>
          <t>NORRTÄLJE</t>
        </is>
      </c>
      <c r="G986" t="n">
        <v>2.3</v>
      </c>
      <c r="H986" t="n">
        <v>0</v>
      </c>
      <c r="I986" t="n">
        <v>0</v>
      </c>
      <c r="J986" t="n">
        <v>0</v>
      </c>
      <c r="K986" t="n">
        <v>0</v>
      </c>
      <c r="L986" t="n">
        <v>0</v>
      </c>
      <c r="M986" t="n">
        <v>0</v>
      </c>
      <c r="N986" t="n">
        <v>0</v>
      </c>
      <c r="O986" t="n">
        <v>0</v>
      </c>
      <c r="P986" t="n">
        <v>0</v>
      </c>
      <c r="Q986" t="n">
        <v>0</v>
      </c>
      <c r="R986" s="2" t="inlineStr"/>
    </row>
    <row r="987" ht="15" customHeight="1">
      <c r="A987" t="inlineStr">
        <is>
          <t>A 31107-2022</t>
        </is>
      </c>
      <c r="B987" s="1" t="n">
        <v>44769.66864583334</v>
      </c>
      <c r="C987" s="1" t="n">
        <v>46105</v>
      </c>
      <c r="D987" t="inlineStr">
        <is>
          <t>STOCKHOLMS LÄN</t>
        </is>
      </c>
      <c r="E987" t="inlineStr">
        <is>
          <t>NORRTÄLJE</t>
        </is>
      </c>
      <c r="G987" t="n">
        <v>3.8</v>
      </c>
      <c r="H987" t="n">
        <v>0</v>
      </c>
      <c r="I987" t="n">
        <v>0</v>
      </c>
      <c r="J987" t="n">
        <v>0</v>
      </c>
      <c r="K987" t="n">
        <v>0</v>
      </c>
      <c r="L987" t="n">
        <v>0</v>
      </c>
      <c r="M987" t="n">
        <v>0</v>
      </c>
      <c r="N987" t="n">
        <v>0</v>
      </c>
      <c r="O987" t="n">
        <v>0</v>
      </c>
      <c r="P987" t="n">
        <v>0</v>
      </c>
      <c r="Q987" t="n">
        <v>0</v>
      </c>
      <c r="R987" s="2" t="inlineStr"/>
    </row>
    <row r="988" ht="15" customHeight="1">
      <c r="A988" t="inlineStr">
        <is>
          <t>A 18539-2021</t>
        </is>
      </c>
      <c r="B988" s="1" t="n">
        <v>44306</v>
      </c>
      <c r="C988" s="1" t="n">
        <v>46105</v>
      </c>
      <c r="D988" t="inlineStr">
        <is>
          <t>STOCKHOLMS LÄN</t>
        </is>
      </c>
      <c r="E988" t="inlineStr">
        <is>
          <t>NORRTÄLJE</t>
        </is>
      </c>
      <c r="F988" t="inlineStr">
        <is>
          <t>Holmen skog AB</t>
        </is>
      </c>
      <c r="G988" t="n">
        <v>5.5</v>
      </c>
      <c r="H988" t="n">
        <v>0</v>
      </c>
      <c r="I988" t="n">
        <v>0</v>
      </c>
      <c r="J988" t="n">
        <v>0</v>
      </c>
      <c r="K988" t="n">
        <v>0</v>
      </c>
      <c r="L988" t="n">
        <v>0</v>
      </c>
      <c r="M988" t="n">
        <v>0</v>
      </c>
      <c r="N988" t="n">
        <v>0</v>
      </c>
      <c r="O988" t="n">
        <v>0</v>
      </c>
      <c r="P988" t="n">
        <v>0</v>
      </c>
      <c r="Q988" t="n">
        <v>0</v>
      </c>
      <c r="R988" s="2" t="inlineStr"/>
    </row>
    <row r="989" ht="15" customHeight="1">
      <c r="A989" t="inlineStr">
        <is>
          <t>A 43170-2023</t>
        </is>
      </c>
      <c r="B989" s="1" t="n">
        <v>45183</v>
      </c>
      <c r="C989" s="1" t="n">
        <v>46105</v>
      </c>
      <c r="D989" t="inlineStr">
        <is>
          <t>STOCKHOLMS LÄN</t>
        </is>
      </c>
      <c r="E989" t="inlineStr">
        <is>
          <t>NORRTÄLJE</t>
        </is>
      </c>
      <c r="G989" t="n">
        <v>1.3</v>
      </c>
      <c r="H989" t="n">
        <v>0</v>
      </c>
      <c r="I989" t="n">
        <v>0</v>
      </c>
      <c r="J989" t="n">
        <v>0</v>
      </c>
      <c r="K989" t="n">
        <v>0</v>
      </c>
      <c r="L989" t="n">
        <v>0</v>
      </c>
      <c r="M989" t="n">
        <v>0</v>
      </c>
      <c r="N989" t="n">
        <v>0</v>
      </c>
      <c r="O989" t="n">
        <v>0</v>
      </c>
      <c r="P989" t="n">
        <v>0</v>
      </c>
      <c r="Q989" t="n">
        <v>0</v>
      </c>
      <c r="R989" s="2" t="inlineStr"/>
    </row>
    <row r="990" ht="15" customHeight="1">
      <c r="A990" t="inlineStr">
        <is>
          <t>A 47626-2022</t>
        </is>
      </c>
      <c r="B990" s="1" t="n">
        <v>44854</v>
      </c>
      <c r="C990" s="1" t="n">
        <v>46105</v>
      </c>
      <c r="D990" t="inlineStr">
        <is>
          <t>STOCKHOLMS LÄN</t>
        </is>
      </c>
      <c r="E990" t="inlineStr">
        <is>
          <t>NORRTÄLJE</t>
        </is>
      </c>
      <c r="G990" t="n">
        <v>2</v>
      </c>
      <c r="H990" t="n">
        <v>0</v>
      </c>
      <c r="I990" t="n">
        <v>0</v>
      </c>
      <c r="J990" t="n">
        <v>0</v>
      </c>
      <c r="K990" t="n">
        <v>0</v>
      </c>
      <c r="L990" t="n">
        <v>0</v>
      </c>
      <c r="M990" t="n">
        <v>0</v>
      </c>
      <c r="N990" t="n">
        <v>0</v>
      </c>
      <c r="O990" t="n">
        <v>0</v>
      </c>
      <c r="P990" t="n">
        <v>0</v>
      </c>
      <c r="Q990" t="n">
        <v>0</v>
      </c>
      <c r="R990" s="2" t="inlineStr"/>
    </row>
    <row r="991" ht="15" customHeight="1">
      <c r="A991" t="inlineStr">
        <is>
          <t>A 32101-2022</t>
        </is>
      </c>
      <c r="B991" s="1" t="n">
        <v>44778.69210648148</v>
      </c>
      <c r="C991" s="1" t="n">
        <v>46105</v>
      </c>
      <c r="D991" t="inlineStr">
        <is>
          <t>STOCKHOLMS LÄN</t>
        </is>
      </c>
      <c r="E991" t="inlineStr">
        <is>
          <t>NORRTÄLJE</t>
        </is>
      </c>
      <c r="G991" t="n">
        <v>4.4</v>
      </c>
      <c r="H991" t="n">
        <v>0</v>
      </c>
      <c r="I991" t="n">
        <v>0</v>
      </c>
      <c r="J991" t="n">
        <v>0</v>
      </c>
      <c r="K991" t="n">
        <v>0</v>
      </c>
      <c r="L991" t="n">
        <v>0</v>
      </c>
      <c r="M991" t="n">
        <v>0</v>
      </c>
      <c r="N991" t="n">
        <v>0</v>
      </c>
      <c r="O991" t="n">
        <v>0</v>
      </c>
      <c r="P991" t="n">
        <v>0</v>
      </c>
      <c r="Q991" t="n">
        <v>0</v>
      </c>
      <c r="R991" s="2" t="inlineStr"/>
    </row>
    <row r="992" ht="15" customHeight="1">
      <c r="A992" t="inlineStr">
        <is>
          <t>A 28365-2022</t>
        </is>
      </c>
      <c r="B992" s="1" t="n">
        <v>44747</v>
      </c>
      <c r="C992" s="1" t="n">
        <v>46105</v>
      </c>
      <c r="D992" t="inlineStr">
        <is>
          <t>STOCKHOLMS LÄN</t>
        </is>
      </c>
      <c r="E992" t="inlineStr">
        <is>
          <t>NORRTÄLJE</t>
        </is>
      </c>
      <c r="G992" t="n">
        <v>5.1</v>
      </c>
      <c r="H992" t="n">
        <v>0</v>
      </c>
      <c r="I992" t="n">
        <v>0</v>
      </c>
      <c r="J992" t="n">
        <v>0</v>
      </c>
      <c r="K992" t="n">
        <v>0</v>
      </c>
      <c r="L992" t="n">
        <v>0</v>
      </c>
      <c r="M992" t="n">
        <v>0</v>
      </c>
      <c r="N992" t="n">
        <v>0</v>
      </c>
      <c r="O992" t="n">
        <v>0</v>
      </c>
      <c r="P992" t="n">
        <v>0</v>
      </c>
      <c r="Q992" t="n">
        <v>0</v>
      </c>
      <c r="R992" s="2" t="inlineStr"/>
    </row>
    <row r="993" ht="15" customHeight="1">
      <c r="A993" t="inlineStr">
        <is>
          <t>A 42867-2022</t>
        </is>
      </c>
      <c r="B993" s="1" t="n">
        <v>44832</v>
      </c>
      <c r="C993" s="1" t="n">
        <v>46105</v>
      </c>
      <c r="D993" t="inlineStr">
        <is>
          <t>STOCKHOLMS LÄN</t>
        </is>
      </c>
      <c r="E993" t="inlineStr">
        <is>
          <t>NORRTÄLJE</t>
        </is>
      </c>
      <c r="G993" t="n">
        <v>6.4</v>
      </c>
      <c r="H993" t="n">
        <v>0</v>
      </c>
      <c r="I993" t="n">
        <v>0</v>
      </c>
      <c r="J993" t="n">
        <v>0</v>
      </c>
      <c r="K993" t="n">
        <v>0</v>
      </c>
      <c r="L993" t="n">
        <v>0</v>
      </c>
      <c r="M993" t="n">
        <v>0</v>
      </c>
      <c r="N993" t="n">
        <v>0</v>
      </c>
      <c r="O993" t="n">
        <v>0</v>
      </c>
      <c r="P993" t="n">
        <v>0</v>
      </c>
      <c r="Q993" t="n">
        <v>0</v>
      </c>
      <c r="R993" s="2" t="inlineStr"/>
    </row>
    <row r="994" ht="15" customHeight="1">
      <c r="A994" t="inlineStr">
        <is>
          <t>A 5645-2023</t>
        </is>
      </c>
      <c r="B994" s="1" t="n">
        <v>44960.60469907407</v>
      </c>
      <c r="C994" s="1" t="n">
        <v>46105</v>
      </c>
      <c r="D994" t="inlineStr">
        <is>
          <t>STOCKHOLMS LÄN</t>
        </is>
      </c>
      <c r="E994" t="inlineStr">
        <is>
          <t>NORRTÄLJE</t>
        </is>
      </c>
      <c r="G994" t="n">
        <v>1.7</v>
      </c>
      <c r="H994" t="n">
        <v>0</v>
      </c>
      <c r="I994" t="n">
        <v>0</v>
      </c>
      <c r="J994" t="n">
        <v>0</v>
      </c>
      <c r="K994" t="n">
        <v>0</v>
      </c>
      <c r="L994" t="n">
        <v>0</v>
      </c>
      <c r="M994" t="n">
        <v>0</v>
      </c>
      <c r="N994" t="n">
        <v>0</v>
      </c>
      <c r="O994" t="n">
        <v>0</v>
      </c>
      <c r="P994" t="n">
        <v>0</v>
      </c>
      <c r="Q994" t="n">
        <v>0</v>
      </c>
      <c r="R994" s="2" t="inlineStr"/>
    </row>
    <row r="995" ht="15" customHeight="1">
      <c r="A995" t="inlineStr">
        <is>
          <t>A 17775-2022</t>
        </is>
      </c>
      <c r="B995" s="1" t="n">
        <v>44682.78430555556</v>
      </c>
      <c r="C995" s="1" t="n">
        <v>46105</v>
      </c>
      <c r="D995" t="inlineStr">
        <is>
          <t>STOCKHOLMS LÄN</t>
        </is>
      </c>
      <c r="E995" t="inlineStr">
        <is>
          <t>NORRTÄLJE</t>
        </is>
      </c>
      <c r="G995" t="n">
        <v>4.7</v>
      </c>
      <c r="H995" t="n">
        <v>0</v>
      </c>
      <c r="I995" t="n">
        <v>0</v>
      </c>
      <c r="J995" t="n">
        <v>0</v>
      </c>
      <c r="K995" t="n">
        <v>0</v>
      </c>
      <c r="L995" t="n">
        <v>0</v>
      </c>
      <c r="M995" t="n">
        <v>0</v>
      </c>
      <c r="N995" t="n">
        <v>0</v>
      </c>
      <c r="O995" t="n">
        <v>0</v>
      </c>
      <c r="P995" t="n">
        <v>0</v>
      </c>
      <c r="Q995" t="n">
        <v>0</v>
      </c>
      <c r="R995" s="2" t="inlineStr"/>
    </row>
    <row r="996" ht="15" customHeight="1">
      <c r="A996" t="inlineStr">
        <is>
          <t>A 47481-2024</t>
        </is>
      </c>
      <c r="B996" s="1" t="n">
        <v>45587</v>
      </c>
      <c r="C996" s="1" t="n">
        <v>46105</v>
      </c>
      <c r="D996" t="inlineStr">
        <is>
          <t>STOCKHOLMS LÄN</t>
        </is>
      </c>
      <c r="E996" t="inlineStr">
        <is>
          <t>NORRTÄLJE</t>
        </is>
      </c>
      <c r="G996" t="n">
        <v>0.5</v>
      </c>
      <c r="H996" t="n">
        <v>0</v>
      </c>
      <c r="I996" t="n">
        <v>0</v>
      </c>
      <c r="J996" t="n">
        <v>0</v>
      </c>
      <c r="K996" t="n">
        <v>0</v>
      </c>
      <c r="L996" t="n">
        <v>0</v>
      </c>
      <c r="M996" t="n">
        <v>0</v>
      </c>
      <c r="N996" t="n">
        <v>0</v>
      </c>
      <c r="O996" t="n">
        <v>0</v>
      </c>
      <c r="P996" t="n">
        <v>0</v>
      </c>
      <c r="Q996" t="n">
        <v>0</v>
      </c>
      <c r="R996" s="2" t="inlineStr"/>
    </row>
    <row r="997" ht="15" customHeight="1">
      <c r="A997" t="inlineStr">
        <is>
          <t>A 24933-2023</t>
        </is>
      </c>
      <c r="B997" s="1" t="n">
        <v>45085.5309375</v>
      </c>
      <c r="C997" s="1" t="n">
        <v>46105</v>
      </c>
      <c r="D997" t="inlineStr">
        <is>
          <t>STOCKHOLMS LÄN</t>
        </is>
      </c>
      <c r="E997" t="inlineStr">
        <is>
          <t>NORRTÄLJE</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11062-2024</t>
        </is>
      </c>
      <c r="B998" s="1" t="n">
        <v>45370</v>
      </c>
      <c r="C998" s="1" t="n">
        <v>46105</v>
      </c>
      <c r="D998" t="inlineStr">
        <is>
          <t>STOCKHOLMS LÄN</t>
        </is>
      </c>
      <c r="E998" t="inlineStr">
        <is>
          <t>NORRTÄLJE</t>
        </is>
      </c>
      <c r="G998" t="n">
        <v>3.2</v>
      </c>
      <c r="H998" t="n">
        <v>0</v>
      </c>
      <c r="I998" t="n">
        <v>0</v>
      </c>
      <c r="J998" t="n">
        <v>0</v>
      </c>
      <c r="K998" t="n">
        <v>0</v>
      </c>
      <c r="L998" t="n">
        <v>0</v>
      </c>
      <c r="M998" t="n">
        <v>0</v>
      </c>
      <c r="N998" t="n">
        <v>0</v>
      </c>
      <c r="O998" t="n">
        <v>0</v>
      </c>
      <c r="P998" t="n">
        <v>0</v>
      </c>
      <c r="Q998" t="n">
        <v>0</v>
      </c>
      <c r="R998" s="2" t="inlineStr"/>
    </row>
    <row r="999" ht="15" customHeight="1">
      <c r="A999" t="inlineStr">
        <is>
          <t>A 576-2023</t>
        </is>
      </c>
      <c r="B999" s="1" t="n">
        <v>44925</v>
      </c>
      <c r="C999" s="1" t="n">
        <v>46105</v>
      </c>
      <c r="D999" t="inlineStr">
        <is>
          <t>STOCKHOLMS LÄN</t>
        </is>
      </c>
      <c r="E999" t="inlineStr">
        <is>
          <t>NORRTÄLJE</t>
        </is>
      </c>
      <c r="G999" t="n">
        <v>7.2</v>
      </c>
      <c r="H999" t="n">
        <v>0</v>
      </c>
      <c r="I999" t="n">
        <v>0</v>
      </c>
      <c r="J999" t="n">
        <v>0</v>
      </c>
      <c r="K999" t="n">
        <v>0</v>
      </c>
      <c r="L999" t="n">
        <v>0</v>
      </c>
      <c r="M999" t="n">
        <v>0</v>
      </c>
      <c r="N999" t="n">
        <v>0</v>
      </c>
      <c r="O999" t="n">
        <v>0</v>
      </c>
      <c r="P999" t="n">
        <v>0</v>
      </c>
      <c r="Q999" t="n">
        <v>0</v>
      </c>
      <c r="R999" s="2" t="inlineStr"/>
    </row>
    <row r="1000" ht="15" customHeight="1">
      <c r="A1000" t="inlineStr">
        <is>
          <t>A 12908-2025</t>
        </is>
      </c>
      <c r="B1000" s="1" t="n">
        <v>45733.82105324074</v>
      </c>
      <c r="C1000" s="1" t="n">
        <v>46105</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68361-2021</t>
        </is>
      </c>
      <c r="B1001" s="1" t="n">
        <v>44528.91494212963</v>
      </c>
      <c r="C1001" s="1" t="n">
        <v>46105</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50469-2022</t>
        </is>
      </c>
      <c r="B1002" s="1" t="n">
        <v>44866.49827546296</v>
      </c>
      <c r="C1002" s="1" t="n">
        <v>46105</v>
      </c>
      <c r="D1002" t="inlineStr">
        <is>
          <t>STOCKHOLMS LÄN</t>
        </is>
      </c>
      <c r="E1002" t="inlineStr">
        <is>
          <t>NORRTÄLJE</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41976-2024</t>
        </is>
      </c>
      <c r="B1003" s="1" t="n">
        <v>45561.62141203704</v>
      </c>
      <c r="C1003" s="1" t="n">
        <v>46105</v>
      </c>
      <c r="D1003" t="inlineStr">
        <is>
          <t>STOCKHOLMS LÄN</t>
        </is>
      </c>
      <c r="E1003" t="inlineStr">
        <is>
          <t>NORRTÄLJE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62206-2022</t>
        </is>
      </c>
      <c r="B1004" s="1" t="n">
        <v>44922</v>
      </c>
      <c r="C1004" s="1" t="n">
        <v>46105</v>
      </c>
      <c r="D1004" t="inlineStr">
        <is>
          <t>STOCKHOLMS LÄN</t>
        </is>
      </c>
      <c r="E1004" t="inlineStr">
        <is>
          <t>NORRTÄLJE</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30886-2022</t>
        </is>
      </c>
      <c r="B1005" s="1" t="n">
        <v>44767.60601851852</v>
      </c>
      <c r="C1005" s="1" t="n">
        <v>46105</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58989-2021</t>
        </is>
      </c>
      <c r="B1006" s="1" t="n">
        <v>44490.02482638889</v>
      </c>
      <c r="C1006" s="1" t="n">
        <v>46105</v>
      </c>
      <c r="D1006" t="inlineStr">
        <is>
          <t>STOCKHOLMS LÄN</t>
        </is>
      </c>
      <c r="E1006" t="inlineStr">
        <is>
          <t>NORRTÄLJE</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58990-2021</t>
        </is>
      </c>
      <c r="B1007" s="1" t="n">
        <v>44490.03621527777</v>
      </c>
      <c r="C1007" s="1" t="n">
        <v>46105</v>
      </c>
      <c r="D1007" t="inlineStr">
        <is>
          <t>STOCKHOLMS LÄN</t>
        </is>
      </c>
      <c r="E1007" t="inlineStr">
        <is>
          <t>NORRTÄLJE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11940-2023</t>
        </is>
      </c>
      <c r="B1008" s="1" t="n">
        <v>44995</v>
      </c>
      <c r="C1008" s="1" t="n">
        <v>46105</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29266-2022</t>
        </is>
      </c>
      <c r="B1009" s="1" t="n">
        <v>44750.66068287037</v>
      </c>
      <c r="C1009" s="1" t="n">
        <v>46105</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29278-2022</t>
        </is>
      </c>
      <c r="B1010" s="1" t="n">
        <v>44750</v>
      </c>
      <c r="C1010" s="1" t="n">
        <v>46105</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6401-2024</t>
        </is>
      </c>
      <c r="B1011" s="1" t="n">
        <v>45338</v>
      </c>
      <c r="C1011" s="1" t="n">
        <v>46105</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24501-2023</t>
        </is>
      </c>
      <c r="B1012" s="1" t="n">
        <v>45082</v>
      </c>
      <c r="C1012" s="1" t="n">
        <v>46105</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24520-2023</t>
        </is>
      </c>
      <c r="B1013" s="1" t="n">
        <v>45082.68922453704</v>
      </c>
      <c r="C1013" s="1" t="n">
        <v>46105</v>
      </c>
      <c r="D1013" t="inlineStr">
        <is>
          <t>STOCKHOLMS LÄN</t>
        </is>
      </c>
      <c r="E1013" t="inlineStr">
        <is>
          <t>NORRTÄLJE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38612-2022</t>
        </is>
      </c>
      <c r="B1014" s="1" t="n">
        <v>44813</v>
      </c>
      <c r="C1014" s="1" t="n">
        <v>46105</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33040-2021</t>
        </is>
      </c>
      <c r="B1015" s="1" t="n">
        <v>44376.50728009259</v>
      </c>
      <c r="C1015" s="1" t="n">
        <v>46105</v>
      </c>
      <c r="D1015" t="inlineStr">
        <is>
          <t>STOCKHOLMS LÄN</t>
        </is>
      </c>
      <c r="E1015" t="inlineStr">
        <is>
          <t>NORRTÄLJE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26117-2024</t>
        </is>
      </c>
      <c r="B1016" s="1" t="n">
        <v>45468.45877314815</v>
      </c>
      <c r="C1016" s="1" t="n">
        <v>46105</v>
      </c>
      <c r="D1016" t="inlineStr">
        <is>
          <t>STOCKHOLMS LÄN</t>
        </is>
      </c>
      <c r="E1016" t="inlineStr">
        <is>
          <t>NORRTÄLJE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61113-2023</t>
        </is>
      </c>
      <c r="B1017" s="1" t="n">
        <v>45261</v>
      </c>
      <c r="C1017" s="1" t="n">
        <v>46105</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60822-2023</t>
        </is>
      </c>
      <c r="B1018" s="1" t="n">
        <v>45259</v>
      </c>
      <c r="C1018" s="1" t="n">
        <v>46105</v>
      </c>
      <c r="D1018" t="inlineStr">
        <is>
          <t>STOCKHOLMS LÄN</t>
        </is>
      </c>
      <c r="E1018" t="inlineStr">
        <is>
          <t>NORRTÄLJE</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59310-2023</t>
        </is>
      </c>
      <c r="B1019" s="1" t="n">
        <v>45253.61146990741</v>
      </c>
      <c r="C1019" s="1" t="n">
        <v>46105</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20343-2024</t>
        </is>
      </c>
      <c r="B1020" s="1" t="n">
        <v>45435.43466435185</v>
      </c>
      <c r="C1020" s="1" t="n">
        <v>46105</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20345-2024</t>
        </is>
      </c>
      <c r="B1021" s="1" t="n">
        <v>45435.43820601852</v>
      </c>
      <c r="C1021" s="1" t="n">
        <v>46105</v>
      </c>
      <c r="D1021" t="inlineStr">
        <is>
          <t>STOCKHOLMS LÄN</t>
        </is>
      </c>
      <c r="E1021" t="inlineStr">
        <is>
          <t>NORRTÄLJE</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55010-2024</t>
        </is>
      </c>
      <c r="B1022" s="1" t="n">
        <v>45621.34425925926</v>
      </c>
      <c r="C1022" s="1" t="n">
        <v>46105</v>
      </c>
      <c r="D1022" t="inlineStr">
        <is>
          <t>STOCKHOLMS LÄN</t>
        </is>
      </c>
      <c r="E1022" t="inlineStr">
        <is>
          <t>NORRTÄLJE</t>
        </is>
      </c>
      <c r="F1022" t="inlineStr">
        <is>
          <t>Sveaskog</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55018-2024</t>
        </is>
      </c>
      <c r="B1023" s="1" t="n">
        <v>45621.35712962963</v>
      </c>
      <c r="C1023" s="1" t="n">
        <v>46105</v>
      </c>
      <c r="D1023" t="inlineStr">
        <is>
          <t>STOCKHOLMS LÄN</t>
        </is>
      </c>
      <c r="E1023" t="inlineStr">
        <is>
          <t>NORRTÄLJE</t>
        </is>
      </c>
      <c r="F1023" t="inlineStr">
        <is>
          <t>Sveaskog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50113-2024</t>
        </is>
      </c>
      <c r="B1024" s="1" t="n">
        <v>45600.411875</v>
      </c>
      <c r="C1024" s="1" t="n">
        <v>46105</v>
      </c>
      <c r="D1024" t="inlineStr">
        <is>
          <t>STOCKHOLMS LÄN</t>
        </is>
      </c>
      <c r="E1024" t="inlineStr">
        <is>
          <t>NORRTÄLJE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20336-2024</t>
        </is>
      </c>
      <c r="B1025" s="1" t="n">
        <v>45435.43123842592</v>
      </c>
      <c r="C1025" s="1" t="n">
        <v>46105</v>
      </c>
      <c r="D1025" t="inlineStr">
        <is>
          <t>STOCKHOLMS LÄN</t>
        </is>
      </c>
      <c r="E1025" t="inlineStr">
        <is>
          <t>NORRTÄLJE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64899-2023</t>
        </is>
      </c>
      <c r="B1026" s="1" t="n">
        <v>45282</v>
      </c>
      <c r="C1026" s="1" t="n">
        <v>46105</v>
      </c>
      <c r="D1026" t="inlineStr">
        <is>
          <t>STOCKHOLMS LÄN</t>
        </is>
      </c>
      <c r="E1026" t="inlineStr">
        <is>
          <t>NORRTÄLJE</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1847-2023</t>
        </is>
      </c>
      <c r="B1027" s="1" t="n">
        <v>44938</v>
      </c>
      <c r="C1027" s="1" t="n">
        <v>46105</v>
      </c>
      <c r="D1027" t="inlineStr">
        <is>
          <t>STOCKHOLMS LÄN</t>
        </is>
      </c>
      <c r="E1027" t="inlineStr">
        <is>
          <t>NORRTÄLJE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29362-2022</t>
        </is>
      </c>
      <c r="B1028" s="1" t="n">
        <v>44753</v>
      </c>
      <c r="C1028" s="1" t="n">
        <v>46105</v>
      </c>
      <c r="D1028" t="inlineStr">
        <is>
          <t>STOCKHOLMS LÄN</t>
        </is>
      </c>
      <c r="E1028" t="inlineStr">
        <is>
          <t>NORRTÄLJE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20291-2022</t>
        </is>
      </c>
      <c r="B1029" s="1" t="n">
        <v>44698</v>
      </c>
      <c r="C1029" s="1" t="n">
        <v>46105</v>
      </c>
      <c r="D1029" t="inlineStr">
        <is>
          <t>STOCKHOLMS LÄN</t>
        </is>
      </c>
      <c r="E1029" t="inlineStr">
        <is>
          <t>NORRTÄLJE</t>
        </is>
      </c>
      <c r="F1029" t="inlineStr">
        <is>
          <t>Naturvårdsverket</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12302-2025</t>
        </is>
      </c>
      <c r="B1030" s="1" t="n">
        <v>45729.72851851852</v>
      </c>
      <c r="C1030" s="1" t="n">
        <v>46105</v>
      </c>
      <c r="D1030" t="inlineStr">
        <is>
          <t>STOCKHOLMS LÄN</t>
        </is>
      </c>
      <c r="E1030" t="inlineStr">
        <is>
          <t>NORRTÄLJE</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31926-2022</t>
        </is>
      </c>
      <c r="B1031" s="1" t="n">
        <v>44777</v>
      </c>
      <c r="C1031" s="1" t="n">
        <v>46105</v>
      </c>
      <c r="D1031" t="inlineStr">
        <is>
          <t>STOCKHOLMS LÄN</t>
        </is>
      </c>
      <c r="E1031" t="inlineStr">
        <is>
          <t>NORRTÄLJE</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1425-2025</t>
        </is>
      </c>
      <c r="B1032" s="1" t="n">
        <v>45668.67446759259</v>
      </c>
      <c r="C1032" s="1" t="n">
        <v>46105</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1453-2025</t>
        </is>
      </c>
      <c r="B1033" s="1" t="n">
        <v>45670.3079050926</v>
      </c>
      <c r="C1033" s="1" t="n">
        <v>46105</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13860-2023</t>
        </is>
      </c>
      <c r="B1034" s="1" t="n">
        <v>45007</v>
      </c>
      <c r="C1034" s="1" t="n">
        <v>46105</v>
      </c>
      <c r="D1034" t="inlineStr">
        <is>
          <t>STOCKHOLMS LÄN</t>
        </is>
      </c>
      <c r="E1034" t="inlineStr">
        <is>
          <t>NORRTÄLJE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6070-2022</t>
        </is>
      </c>
      <c r="B1035" s="1" t="n">
        <v>44599.58428240741</v>
      </c>
      <c r="C1035" s="1" t="n">
        <v>46105</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9130-2025</t>
        </is>
      </c>
      <c r="B1036" s="1" t="n">
        <v>45713.92623842593</v>
      </c>
      <c r="C1036" s="1" t="n">
        <v>46105</v>
      </c>
      <c r="D1036" t="inlineStr">
        <is>
          <t>STOCKHOLMS LÄN</t>
        </is>
      </c>
      <c r="E1036" t="inlineStr">
        <is>
          <t>NORRTÄLJE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27828-2022</t>
        </is>
      </c>
      <c r="B1037" s="1" t="n">
        <v>44743.59765046297</v>
      </c>
      <c r="C1037" s="1" t="n">
        <v>46105</v>
      </c>
      <c r="D1037" t="inlineStr">
        <is>
          <t>STOCKHOLMS LÄN</t>
        </is>
      </c>
      <c r="E1037" t="inlineStr">
        <is>
          <t>NORRTÄLJE</t>
        </is>
      </c>
      <c r="F1037" t="inlineStr">
        <is>
          <t>Kommuner</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59873-2024</t>
        </is>
      </c>
      <c r="B1038" s="1" t="n">
        <v>45640.57305555556</v>
      </c>
      <c r="C1038" s="1" t="n">
        <v>46105</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22412-2021</t>
        </is>
      </c>
      <c r="B1039" s="1" t="n">
        <v>44326.61967592593</v>
      </c>
      <c r="C1039" s="1" t="n">
        <v>46105</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48161-2022</t>
        </is>
      </c>
      <c r="B1040" s="1" t="n">
        <v>44858</v>
      </c>
      <c r="C1040" s="1" t="n">
        <v>46105</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43150-2023</t>
        </is>
      </c>
      <c r="B1041" s="1" t="n">
        <v>45183</v>
      </c>
      <c r="C1041" s="1" t="n">
        <v>46105</v>
      </c>
      <c r="D1041" t="inlineStr">
        <is>
          <t>STOCKHOLMS LÄN</t>
        </is>
      </c>
      <c r="E1041" t="inlineStr">
        <is>
          <t>NORRTÄLJE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59534-2024</t>
        </is>
      </c>
      <c r="B1042" s="1" t="n">
        <v>45638.5987037037</v>
      </c>
      <c r="C1042" s="1" t="n">
        <v>46105</v>
      </c>
      <c r="D1042" t="inlineStr">
        <is>
          <t>STOCKHOLMS LÄN</t>
        </is>
      </c>
      <c r="E1042" t="inlineStr">
        <is>
          <t>NORRTÄLJE</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23307-2024</t>
        </is>
      </c>
      <c r="B1043" s="1" t="n">
        <v>45453</v>
      </c>
      <c r="C1043" s="1" t="n">
        <v>46105</v>
      </c>
      <c r="D1043" t="inlineStr">
        <is>
          <t>STOCKHOLMS LÄN</t>
        </is>
      </c>
      <c r="E1043" t="inlineStr">
        <is>
          <t>NORRTÄLJE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19450-2025</t>
        </is>
      </c>
      <c r="B1044" s="1" t="n">
        <v>45770</v>
      </c>
      <c r="C1044" s="1" t="n">
        <v>46105</v>
      </c>
      <c r="D1044" t="inlineStr">
        <is>
          <t>STOCKHOLMS LÄN</t>
        </is>
      </c>
      <c r="E1044" t="inlineStr">
        <is>
          <t>NORRTÄLJE</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2281-2024</t>
        </is>
      </c>
      <c r="B1045" s="1" t="n">
        <v>45310.40628472222</v>
      </c>
      <c r="C1045" s="1" t="n">
        <v>46105</v>
      </c>
      <c r="D1045" t="inlineStr">
        <is>
          <t>STOCKHOLMS LÄN</t>
        </is>
      </c>
      <c r="E1045" t="inlineStr">
        <is>
          <t>NORRTÄLJE</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2287-2024</t>
        </is>
      </c>
      <c r="B1046" s="1" t="n">
        <v>45310</v>
      </c>
      <c r="C1046" s="1" t="n">
        <v>46105</v>
      </c>
      <c r="D1046" t="inlineStr">
        <is>
          <t>STOCKHOLMS LÄN</t>
        </is>
      </c>
      <c r="E1046" t="inlineStr">
        <is>
          <t>NORRTÄLJE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20618-2022</t>
        </is>
      </c>
      <c r="B1047" s="1" t="n">
        <v>44700.50659722222</v>
      </c>
      <c r="C1047" s="1" t="n">
        <v>46105</v>
      </c>
      <c r="D1047" t="inlineStr">
        <is>
          <t>STOCKHOLMS LÄN</t>
        </is>
      </c>
      <c r="E1047" t="inlineStr">
        <is>
          <t>NORRTÄLJE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59504-2023</t>
        </is>
      </c>
      <c r="B1048" s="1" t="n">
        <v>45254</v>
      </c>
      <c r="C1048" s="1" t="n">
        <v>46105</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25656-2023</t>
        </is>
      </c>
      <c r="B1049" s="1" t="n">
        <v>45089</v>
      </c>
      <c r="C1049" s="1" t="n">
        <v>46105</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38049-2023</t>
        </is>
      </c>
      <c r="B1050" s="1" t="n">
        <v>45159</v>
      </c>
      <c r="C1050" s="1" t="n">
        <v>46105</v>
      </c>
      <c r="D1050" t="inlineStr">
        <is>
          <t>STOCKHOLMS LÄN</t>
        </is>
      </c>
      <c r="E1050" t="inlineStr">
        <is>
          <t>NORRTÄLJE</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3966-2024</t>
        </is>
      </c>
      <c r="B1051" s="1" t="n">
        <v>45322</v>
      </c>
      <c r="C1051" s="1" t="n">
        <v>46105</v>
      </c>
      <c r="D1051" t="inlineStr">
        <is>
          <t>STOCKHOLMS LÄN</t>
        </is>
      </c>
      <c r="E1051" t="inlineStr">
        <is>
          <t>NORRTÄLJE</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17348-2024</t>
        </is>
      </c>
      <c r="B1052" s="1" t="n">
        <v>45414.58650462963</v>
      </c>
      <c r="C1052" s="1" t="n">
        <v>46105</v>
      </c>
      <c r="D1052" t="inlineStr">
        <is>
          <t>STOCKHOLMS LÄN</t>
        </is>
      </c>
      <c r="E1052" t="inlineStr">
        <is>
          <t>NORRTÄLJE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38591-2023</t>
        </is>
      </c>
      <c r="B1053" s="1" t="n">
        <v>45162</v>
      </c>
      <c r="C1053" s="1" t="n">
        <v>46105</v>
      </c>
      <c r="D1053" t="inlineStr">
        <is>
          <t>STOCKHOLMS LÄN</t>
        </is>
      </c>
      <c r="E1053" t="inlineStr">
        <is>
          <t>NORRTÄLJE</t>
        </is>
      </c>
      <c r="F1053" t="inlineStr">
        <is>
          <t>Övriga Aktiebolag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3273-2025</t>
        </is>
      </c>
      <c r="B1054" s="1" t="n">
        <v>45679</v>
      </c>
      <c r="C1054" s="1" t="n">
        <v>46105</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34461-2023</t>
        </is>
      </c>
      <c r="B1055" s="1" t="n">
        <v>45139</v>
      </c>
      <c r="C1055" s="1" t="n">
        <v>46105</v>
      </c>
      <c r="D1055" t="inlineStr">
        <is>
          <t>STOCKHOLMS LÄN</t>
        </is>
      </c>
      <c r="E1055" t="inlineStr">
        <is>
          <t>NORRTÄLJE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15217-2023</t>
        </is>
      </c>
      <c r="B1056" s="1" t="n">
        <v>45019.28847222222</v>
      </c>
      <c r="C1056" s="1" t="n">
        <v>46105</v>
      </c>
      <c r="D1056" t="inlineStr">
        <is>
          <t>STOCKHOLMS LÄN</t>
        </is>
      </c>
      <c r="E1056" t="inlineStr">
        <is>
          <t>NORRTÄLJE</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24522-2023</t>
        </is>
      </c>
      <c r="B1057" s="1" t="n">
        <v>45082.69179398148</v>
      </c>
      <c r="C1057" s="1" t="n">
        <v>46105</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29176-2024</t>
        </is>
      </c>
      <c r="B1058" s="1" t="n">
        <v>45482.53388888889</v>
      </c>
      <c r="C1058" s="1" t="n">
        <v>46105</v>
      </c>
      <c r="D1058" t="inlineStr">
        <is>
          <t>STOCKHOLMS LÄN</t>
        </is>
      </c>
      <c r="E1058" t="inlineStr">
        <is>
          <t>NORRTÄLJE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4596-2023</t>
        </is>
      </c>
      <c r="B1059" s="1" t="n">
        <v>44956</v>
      </c>
      <c r="C1059" s="1" t="n">
        <v>46105</v>
      </c>
      <c r="D1059" t="inlineStr">
        <is>
          <t>STOCKHOLMS LÄN</t>
        </is>
      </c>
      <c r="E1059" t="inlineStr">
        <is>
          <t>NORRTÄLJE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4438-2023</t>
        </is>
      </c>
      <c r="B1060" s="1" t="n">
        <v>44956</v>
      </c>
      <c r="C1060" s="1" t="n">
        <v>46105</v>
      </c>
      <c r="D1060" t="inlineStr">
        <is>
          <t>STOCKHOLMS LÄN</t>
        </is>
      </c>
      <c r="E1060" t="inlineStr">
        <is>
          <t>NORRTÄLJE</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24727-2023</t>
        </is>
      </c>
      <c r="B1061" s="1" t="n">
        <v>45084.57695601852</v>
      </c>
      <c r="C1061" s="1" t="n">
        <v>46105</v>
      </c>
      <c r="D1061" t="inlineStr">
        <is>
          <t>STOCKHOLMS LÄN</t>
        </is>
      </c>
      <c r="E1061" t="inlineStr">
        <is>
          <t>NORRTÄLJE</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59904-2023</t>
        </is>
      </c>
      <c r="B1062" s="1" t="n">
        <v>45257</v>
      </c>
      <c r="C1062" s="1" t="n">
        <v>46105</v>
      </c>
      <c r="D1062" t="inlineStr">
        <is>
          <t>STOCKHOLMS LÄN</t>
        </is>
      </c>
      <c r="E1062" t="inlineStr">
        <is>
          <t>NORRTÄLJE</t>
        </is>
      </c>
      <c r="G1062" t="n">
        <v>17.4</v>
      </c>
      <c r="H1062" t="n">
        <v>0</v>
      </c>
      <c r="I1062" t="n">
        <v>0</v>
      </c>
      <c r="J1062" t="n">
        <v>0</v>
      </c>
      <c r="K1062" t="n">
        <v>0</v>
      </c>
      <c r="L1062" t="n">
        <v>0</v>
      </c>
      <c r="M1062" t="n">
        <v>0</v>
      </c>
      <c r="N1062" t="n">
        <v>0</v>
      </c>
      <c r="O1062" t="n">
        <v>0</v>
      </c>
      <c r="P1062" t="n">
        <v>0</v>
      </c>
      <c r="Q1062" t="n">
        <v>0</v>
      </c>
      <c r="R1062" s="2" t="inlineStr"/>
    </row>
    <row r="1063" ht="15" customHeight="1">
      <c r="A1063" t="inlineStr">
        <is>
          <t>A 36308-2022</t>
        </is>
      </c>
      <c r="B1063" s="1" t="n">
        <v>44803</v>
      </c>
      <c r="C1063" s="1" t="n">
        <v>46105</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18787-2022</t>
        </is>
      </c>
      <c r="B1064" s="1" t="n">
        <v>44687</v>
      </c>
      <c r="C1064" s="1" t="n">
        <v>46105</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50108-2021</t>
        </is>
      </c>
      <c r="B1065" s="1" t="n">
        <v>44456</v>
      </c>
      <c r="C1065" s="1" t="n">
        <v>46105</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25621-2022</t>
        </is>
      </c>
      <c r="B1066" s="1" t="n">
        <v>44732</v>
      </c>
      <c r="C1066" s="1" t="n">
        <v>46105</v>
      </c>
      <c r="D1066" t="inlineStr">
        <is>
          <t>STOCKHOLMS LÄN</t>
        </is>
      </c>
      <c r="E1066" t="inlineStr">
        <is>
          <t>NORRTÄLJE</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20304-2023</t>
        </is>
      </c>
      <c r="B1067" s="1" t="n">
        <v>45056</v>
      </c>
      <c r="C1067" s="1" t="n">
        <v>46105</v>
      </c>
      <c r="D1067" t="inlineStr">
        <is>
          <t>STOCKHOLMS LÄN</t>
        </is>
      </c>
      <c r="E1067" t="inlineStr">
        <is>
          <t>NORRTÄLJE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35235-2024</t>
        </is>
      </c>
      <c r="B1068" s="1" t="n">
        <v>45530</v>
      </c>
      <c r="C1068" s="1" t="n">
        <v>46105</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51061-2023</t>
        </is>
      </c>
      <c r="B1069" s="1" t="n">
        <v>45218.65849537037</v>
      </c>
      <c r="C1069" s="1" t="n">
        <v>46105</v>
      </c>
      <c r="D1069" t="inlineStr">
        <is>
          <t>STOCKHOLMS LÄN</t>
        </is>
      </c>
      <c r="E1069" t="inlineStr">
        <is>
          <t>NORRTÄLJE</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39213-2022</t>
        </is>
      </c>
      <c r="B1070" s="1" t="n">
        <v>44817.56120370371</v>
      </c>
      <c r="C1070" s="1" t="n">
        <v>46105</v>
      </c>
      <c r="D1070" t="inlineStr">
        <is>
          <t>STOCKHOLMS LÄN</t>
        </is>
      </c>
      <c r="E1070" t="inlineStr">
        <is>
          <t>NORRTÄLJE</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36246-2021</t>
        </is>
      </c>
      <c r="B1071" s="1" t="n">
        <v>44390</v>
      </c>
      <c r="C1071" s="1" t="n">
        <v>46105</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15905-2023</t>
        </is>
      </c>
      <c r="B1072" s="1" t="n">
        <v>45022</v>
      </c>
      <c r="C1072" s="1" t="n">
        <v>46105</v>
      </c>
      <c r="D1072" t="inlineStr">
        <is>
          <t>STOCKHOLMS LÄN</t>
        </is>
      </c>
      <c r="E1072" t="inlineStr">
        <is>
          <t>NORRTÄLJE</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11041-2025</t>
        </is>
      </c>
      <c r="B1073" s="1" t="n">
        <v>45723</v>
      </c>
      <c r="C1073" s="1" t="n">
        <v>46105</v>
      </c>
      <c r="D1073" t="inlineStr">
        <is>
          <t>STOCKHOLMS LÄN</t>
        </is>
      </c>
      <c r="E1073" t="inlineStr">
        <is>
          <t>NORRTÄLJE</t>
        </is>
      </c>
      <c r="F1073" t="inlineStr">
        <is>
          <t>Övriga Aktiebolag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44917-2022</t>
        </is>
      </c>
      <c r="B1074" s="1" t="n">
        <v>44841.52804398148</v>
      </c>
      <c r="C1074" s="1" t="n">
        <v>46105</v>
      </c>
      <c r="D1074" t="inlineStr">
        <is>
          <t>STOCKHOLMS LÄN</t>
        </is>
      </c>
      <c r="E1074" t="inlineStr">
        <is>
          <t>NORRTÄLJE</t>
        </is>
      </c>
      <c r="F1074" t="inlineStr">
        <is>
          <t>Holmen skog AB</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33173-2024</t>
        </is>
      </c>
      <c r="B1075" s="1" t="n">
        <v>45518</v>
      </c>
      <c r="C1075" s="1" t="n">
        <v>46105</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17551-2025</t>
        </is>
      </c>
      <c r="B1076" s="1" t="n">
        <v>45757.61421296297</v>
      </c>
      <c r="C1076" s="1" t="n">
        <v>46105</v>
      </c>
      <c r="D1076" t="inlineStr">
        <is>
          <t>STOCKHOLMS LÄN</t>
        </is>
      </c>
      <c r="E1076" t="inlineStr">
        <is>
          <t>NORRTÄLJE</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10678-2025</t>
        </is>
      </c>
      <c r="B1077" s="1" t="n">
        <v>45721.89123842592</v>
      </c>
      <c r="C1077" s="1" t="n">
        <v>46105</v>
      </c>
      <c r="D1077" t="inlineStr">
        <is>
          <t>STOCKHOLMS LÄN</t>
        </is>
      </c>
      <c r="E1077" t="inlineStr">
        <is>
          <t>NORRTÄLJE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8370-2025</t>
        </is>
      </c>
      <c r="B1078" s="1" t="n">
        <v>45708</v>
      </c>
      <c r="C1078" s="1" t="n">
        <v>46105</v>
      </c>
      <c r="D1078" t="inlineStr">
        <is>
          <t>STOCKHOLMS LÄN</t>
        </is>
      </c>
      <c r="E1078" t="inlineStr">
        <is>
          <t>NORRTÄLJE</t>
        </is>
      </c>
      <c r="F1078" t="inlineStr">
        <is>
          <t>Övriga Aktiebolag</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951-2023</t>
        </is>
      </c>
      <c r="B1079" s="1" t="n">
        <v>44934</v>
      </c>
      <c r="C1079" s="1" t="n">
        <v>46105</v>
      </c>
      <c r="D1079" t="inlineStr">
        <is>
          <t>STOCKHOLMS LÄN</t>
        </is>
      </c>
      <c r="E1079" t="inlineStr">
        <is>
          <t>NORRTÄLJE</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32100-2022</t>
        </is>
      </c>
      <c r="B1080" s="1" t="n">
        <v>44778</v>
      </c>
      <c r="C1080" s="1" t="n">
        <v>46105</v>
      </c>
      <c r="D1080" t="inlineStr">
        <is>
          <t>STOCKHOLMS LÄN</t>
        </is>
      </c>
      <c r="E1080" t="inlineStr">
        <is>
          <t>NORRTÄLJE</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2888-2022</t>
        </is>
      </c>
      <c r="B1081" s="1" t="n">
        <v>44581</v>
      </c>
      <c r="C1081" s="1" t="n">
        <v>46105</v>
      </c>
      <c r="D1081" t="inlineStr">
        <is>
          <t>STOCKHOLMS LÄN</t>
        </is>
      </c>
      <c r="E1081" t="inlineStr">
        <is>
          <t>NORRTÄLJE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11902-2024</t>
        </is>
      </c>
      <c r="B1082" s="1" t="n">
        <v>45376.55704861111</v>
      </c>
      <c r="C1082" s="1" t="n">
        <v>46105</v>
      </c>
      <c r="D1082" t="inlineStr">
        <is>
          <t>STOCKHOLMS LÄN</t>
        </is>
      </c>
      <c r="E1082" t="inlineStr">
        <is>
          <t>NORRTÄLJE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13-2024</t>
        </is>
      </c>
      <c r="B1083" s="1" t="n">
        <v>45293.37263888889</v>
      </c>
      <c r="C1083" s="1" t="n">
        <v>46105</v>
      </c>
      <c r="D1083" t="inlineStr">
        <is>
          <t>STOCKHOLMS LÄN</t>
        </is>
      </c>
      <c r="E1083" t="inlineStr">
        <is>
          <t>NORRTÄLJE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58260-2023</t>
        </is>
      </c>
      <c r="B1084" s="1" t="n">
        <v>45245</v>
      </c>
      <c r="C1084" s="1" t="n">
        <v>46105</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58261-2023</t>
        </is>
      </c>
      <c r="B1085" s="1" t="n">
        <v>45245</v>
      </c>
      <c r="C1085" s="1" t="n">
        <v>46105</v>
      </c>
      <c r="D1085" t="inlineStr">
        <is>
          <t>STOCKHOLMS LÄN</t>
        </is>
      </c>
      <c r="E1085" t="inlineStr">
        <is>
          <t>NORRTÄLJE</t>
        </is>
      </c>
      <c r="G1085" t="n">
        <v>53.5</v>
      </c>
      <c r="H1085" t="n">
        <v>0</v>
      </c>
      <c r="I1085" t="n">
        <v>0</v>
      </c>
      <c r="J1085" t="n">
        <v>0</v>
      </c>
      <c r="K1085" t="n">
        <v>0</v>
      </c>
      <c r="L1085" t="n">
        <v>0</v>
      </c>
      <c r="M1085" t="n">
        <v>0</v>
      </c>
      <c r="N1085" t="n">
        <v>0</v>
      </c>
      <c r="O1085" t="n">
        <v>0</v>
      </c>
      <c r="P1085" t="n">
        <v>0</v>
      </c>
      <c r="Q1085" t="n">
        <v>0</v>
      </c>
      <c r="R1085" s="2" t="inlineStr"/>
    </row>
    <row r="1086" ht="15" customHeight="1">
      <c r="A1086" t="inlineStr">
        <is>
          <t>A 4553-2023</t>
        </is>
      </c>
      <c r="B1086" s="1" t="n">
        <v>44956.65920138889</v>
      </c>
      <c r="C1086" s="1" t="n">
        <v>46105</v>
      </c>
      <c r="D1086" t="inlineStr">
        <is>
          <t>STOCKHOLMS LÄN</t>
        </is>
      </c>
      <c r="E1086" t="inlineStr">
        <is>
          <t>NORRTÄLJE</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875-2023</t>
        </is>
      </c>
      <c r="B1087" s="1" t="n">
        <v>44931.65626157408</v>
      </c>
      <c r="C1087" s="1" t="n">
        <v>46105</v>
      </c>
      <c r="D1087" t="inlineStr">
        <is>
          <t>STOCKHOLMS LÄN</t>
        </is>
      </c>
      <c r="E1087" t="inlineStr">
        <is>
          <t>NORRTÄLJE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24575-2024</t>
        </is>
      </c>
      <c r="B1088" s="1" t="n">
        <v>45460.45523148148</v>
      </c>
      <c r="C1088" s="1" t="n">
        <v>46105</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19-2024</t>
        </is>
      </c>
      <c r="B1089" s="1" t="n">
        <v>45293</v>
      </c>
      <c r="C1089" s="1" t="n">
        <v>46105</v>
      </c>
      <c r="D1089" t="inlineStr">
        <is>
          <t>STOCKHOLMS LÄN</t>
        </is>
      </c>
      <c r="E1089" t="inlineStr">
        <is>
          <t>NORRTÄLJE</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11333-2025</t>
        </is>
      </c>
      <c r="B1090" s="1" t="n">
        <v>45726.48377314815</v>
      </c>
      <c r="C1090" s="1" t="n">
        <v>46105</v>
      </c>
      <c r="D1090" t="inlineStr">
        <is>
          <t>STOCKHOLMS LÄN</t>
        </is>
      </c>
      <c r="E1090" t="inlineStr">
        <is>
          <t>NORRTÄLJE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21529-2021</t>
        </is>
      </c>
      <c r="B1091" s="1" t="n">
        <v>44321</v>
      </c>
      <c r="C1091" s="1" t="n">
        <v>46105</v>
      </c>
      <c r="D1091" t="inlineStr">
        <is>
          <t>STOCKHOLMS LÄN</t>
        </is>
      </c>
      <c r="E1091" t="inlineStr">
        <is>
          <t>NORRTÄLJE</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31827-2023</t>
        </is>
      </c>
      <c r="B1092" s="1" t="n">
        <v>45118</v>
      </c>
      <c r="C1092" s="1" t="n">
        <v>46105</v>
      </c>
      <c r="D1092" t="inlineStr">
        <is>
          <t>STOCKHOLMS LÄN</t>
        </is>
      </c>
      <c r="E1092" t="inlineStr">
        <is>
          <t>NORRTÄLJE</t>
        </is>
      </c>
      <c r="F1092" t="inlineStr">
        <is>
          <t>Kyrkan</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10973-2025</t>
        </is>
      </c>
      <c r="B1093" s="1" t="n">
        <v>45723</v>
      </c>
      <c r="C1093" s="1" t="n">
        <v>46105</v>
      </c>
      <c r="D1093" t="inlineStr">
        <is>
          <t>STOCKHOLMS LÄN</t>
        </is>
      </c>
      <c r="E1093" t="inlineStr">
        <is>
          <t>NORRTÄLJE</t>
        </is>
      </c>
      <c r="F1093" t="inlineStr">
        <is>
          <t>Övriga Aktiebolag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54496-2024</t>
        </is>
      </c>
      <c r="B1094" s="1" t="n">
        <v>45617.57439814815</v>
      </c>
      <c r="C1094" s="1" t="n">
        <v>46105</v>
      </c>
      <c r="D1094" t="inlineStr">
        <is>
          <t>STOCKHOLMS LÄN</t>
        </is>
      </c>
      <c r="E1094" t="inlineStr">
        <is>
          <t>NORRTÄLJE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7796-2025</t>
        </is>
      </c>
      <c r="B1095" s="1" t="n">
        <v>45706.60130787037</v>
      </c>
      <c r="C1095" s="1" t="n">
        <v>46105</v>
      </c>
      <c r="D1095" t="inlineStr">
        <is>
          <t>STOCKHOLMS LÄN</t>
        </is>
      </c>
      <c r="E1095" t="inlineStr">
        <is>
          <t>NORRTÄLJE</t>
        </is>
      </c>
      <c r="F1095" t="inlineStr">
        <is>
          <t>Holmen skog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59767-2022</t>
        </is>
      </c>
      <c r="B1096" s="1" t="n">
        <v>44900</v>
      </c>
      <c r="C1096" s="1" t="n">
        <v>46105</v>
      </c>
      <c r="D1096" t="inlineStr">
        <is>
          <t>STOCKHOLMS LÄN</t>
        </is>
      </c>
      <c r="E1096" t="inlineStr">
        <is>
          <t>NORRTÄLJE</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22756-2022</t>
        </is>
      </c>
      <c r="B1097" s="1" t="n">
        <v>44714.92253472222</v>
      </c>
      <c r="C1097" s="1" t="n">
        <v>46105</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58311-2023</t>
        </is>
      </c>
      <c r="B1098" s="1" t="n">
        <v>45245</v>
      </c>
      <c r="C1098" s="1" t="n">
        <v>46105</v>
      </c>
      <c r="D1098" t="inlineStr">
        <is>
          <t>STOCKHOLMS LÄN</t>
        </is>
      </c>
      <c r="E1098" t="inlineStr">
        <is>
          <t>NORRTÄLJE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8739-2024</t>
        </is>
      </c>
      <c r="B1099" s="1" t="n">
        <v>45356.47784722222</v>
      </c>
      <c r="C1099" s="1" t="n">
        <v>46105</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26640-2023</t>
        </is>
      </c>
      <c r="B1100" s="1" t="n">
        <v>45092</v>
      </c>
      <c r="C1100" s="1" t="n">
        <v>46105</v>
      </c>
      <c r="D1100" t="inlineStr">
        <is>
          <t>STOCKHOLMS LÄN</t>
        </is>
      </c>
      <c r="E1100" t="inlineStr">
        <is>
          <t>NORRTÄLJE</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62765-2022</t>
        </is>
      </c>
      <c r="B1101" s="1" t="n">
        <v>44637</v>
      </c>
      <c r="C1101" s="1" t="n">
        <v>46105</v>
      </c>
      <c r="D1101" t="inlineStr">
        <is>
          <t>STOCKHOLMS LÄN</t>
        </is>
      </c>
      <c r="E1101" t="inlineStr">
        <is>
          <t>NORRTÄLJE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38990-2022</t>
        </is>
      </c>
      <c r="B1102" s="1" t="n">
        <v>44816</v>
      </c>
      <c r="C1102" s="1" t="n">
        <v>46105</v>
      </c>
      <c r="D1102" t="inlineStr">
        <is>
          <t>STOCKHOLMS LÄN</t>
        </is>
      </c>
      <c r="E1102" t="inlineStr">
        <is>
          <t>NORRTÄLJE</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17545-2025</t>
        </is>
      </c>
      <c r="B1103" s="1" t="n">
        <v>45757.60658564815</v>
      </c>
      <c r="C1103" s="1" t="n">
        <v>46105</v>
      </c>
      <c r="D1103" t="inlineStr">
        <is>
          <t>STOCKHOLMS LÄN</t>
        </is>
      </c>
      <c r="E1103" t="inlineStr">
        <is>
          <t>NORRTÄLJE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17956-2025</t>
        </is>
      </c>
      <c r="B1104" s="1" t="n">
        <v>45760.91174768518</v>
      </c>
      <c r="C1104" s="1" t="n">
        <v>46105</v>
      </c>
      <c r="D1104" t="inlineStr">
        <is>
          <t>STOCKHOLMS LÄN</t>
        </is>
      </c>
      <c r="E1104" t="inlineStr">
        <is>
          <t>NORRTÄLJE</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23265-2023</t>
        </is>
      </c>
      <c r="B1105" s="1" t="n">
        <v>45075.90703703704</v>
      </c>
      <c r="C1105" s="1" t="n">
        <v>46105</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30268-2024</t>
        </is>
      </c>
      <c r="B1106" s="1" t="n">
        <v>45490.60572916667</v>
      </c>
      <c r="C1106" s="1" t="n">
        <v>46105</v>
      </c>
      <c r="D1106" t="inlineStr">
        <is>
          <t>STOCKHOLMS LÄN</t>
        </is>
      </c>
      <c r="E1106" t="inlineStr">
        <is>
          <t>NORRTÄLJE</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59535-2024</t>
        </is>
      </c>
      <c r="B1107" s="1" t="n">
        <v>45638.59979166667</v>
      </c>
      <c r="C1107" s="1" t="n">
        <v>46105</v>
      </c>
      <c r="D1107" t="inlineStr">
        <is>
          <t>STOCKHOLMS LÄN</t>
        </is>
      </c>
      <c r="E1107" t="inlineStr">
        <is>
          <t>NORRTÄLJE</t>
        </is>
      </c>
      <c r="F1107" t="inlineStr">
        <is>
          <t>Holmen skog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9246-2024</t>
        </is>
      </c>
      <c r="B1108" s="1" t="n">
        <v>45357</v>
      </c>
      <c r="C1108" s="1" t="n">
        <v>46105</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20852-2023</t>
        </is>
      </c>
      <c r="B1109" s="1" t="n">
        <v>45058.78607638889</v>
      </c>
      <c r="C1109" s="1" t="n">
        <v>46105</v>
      </c>
      <c r="D1109" t="inlineStr">
        <is>
          <t>STOCKHOLMS LÄN</t>
        </is>
      </c>
      <c r="E1109" t="inlineStr">
        <is>
          <t>NORRTÄLJE</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50355-2024</t>
        </is>
      </c>
      <c r="B1110" s="1" t="n">
        <v>45600.86128472222</v>
      </c>
      <c r="C1110" s="1" t="n">
        <v>46105</v>
      </c>
      <c r="D1110" t="inlineStr">
        <is>
          <t>STOCKHOLMS LÄN</t>
        </is>
      </c>
      <c r="E1110" t="inlineStr">
        <is>
          <t>NORRTÄLJE</t>
        </is>
      </c>
      <c r="F1110" t="inlineStr">
        <is>
          <t>Kommuner</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60694-2024</t>
        </is>
      </c>
      <c r="B1111" s="1" t="n">
        <v>45644.47878472223</v>
      </c>
      <c r="C1111" s="1" t="n">
        <v>46105</v>
      </c>
      <c r="D1111" t="inlineStr">
        <is>
          <t>STOCKHOLMS LÄN</t>
        </is>
      </c>
      <c r="E1111" t="inlineStr">
        <is>
          <t>NORRTÄLJE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25094-2023</t>
        </is>
      </c>
      <c r="B1112" s="1" t="n">
        <v>45086.3629050926</v>
      </c>
      <c r="C1112" s="1" t="n">
        <v>46105</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59276-2023</t>
        </is>
      </c>
      <c r="B1113" s="1" t="n">
        <v>45253.55641203704</v>
      </c>
      <c r="C1113" s="1" t="n">
        <v>46105</v>
      </c>
      <c r="D1113" t="inlineStr">
        <is>
          <t>STOCKHOLMS LÄN</t>
        </is>
      </c>
      <c r="E1113" t="inlineStr">
        <is>
          <t>NORRTÄLJE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13767-2025</t>
        </is>
      </c>
      <c r="B1114" s="1" t="n">
        <v>45737.43347222222</v>
      </c>
      <c r="C1114" s="1" t="n">
        <v>46105</v>
      </c>
      <c r="D1114" t="inlineStr">
        <is>
          <t>STOCKHOLMS LÄN</t>
        </is>
      </c>
      <c r="E1114" t="inlineStr">
        <is>
          <t>NORRTÄLJE</t>
        </is>
      </c>
      <c r="F1114" t="inlineStr">
        <is>
          <t>Holmen skog AB</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41587-2023</t>
        </is>
      </c>
      <c r="B1115" s="1" t="n">
        <v>45175</v>
      </c>
      <c r="C1115" s="1" t="n">
        <v>46105</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27381-2024</t>
        </is>
      </c>
      <c r="B1116" s="1" t="n">
        <v>45473.94501157408</v>
      </c>
      <c r="C1116" s="1" t="n">
        <v>46105</v>
      </c>
      <c r="D1116" t="inlineStr">
        <is>
          <t>STOCKHOLMS LÄN</t>
        </is>
      </c>
      <c r="E1116" t="inlineStr">
        <is>
          <t>NORRTÄLJE</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60529-2023</t>
        </is>
      </c>
      <c r="B1117" s="1" t="n">
        <v>45259</v>
      </c>
      <c r="C1117" s="1" t="n">
        <v>46105</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59326-2023</t>
        </is>
      </c>
      <c r="B1118" s="1" t="n">
        <v>45253.63089120371</v>
      </c>
      <c r="C1118" s="1" t="n">
        <v>46105</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20790-2025</t>
        </is>
      </c>
      <c r="B1119" s="1" t="n">
        <v>45776.62563657408</v>
      </c>
      <c r="C1119" s="1" t="n">
        <v>46105</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3152-2024</t>
        </is>
      </c>
      <c r="B1120" s="1" t="n">
        <v>45316.60306712963</v>
      </c>
      <c r="C1120" s="1" t="n">
        <v>46105</v>
      </c>
      <c r="D1120" t="inlineStr">
        <is>
          <t>STOCKHOLMS LÄN</t>
        </is>
      </c>
      <c r="E1120" t="inlineStr">
        <is>
          <t>NORRTÄLJE</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20699-2025</t>
        </is>
      </c>
      <c r="B1121" s="1" t="n">
        <v>45776.47346064815</v>
      </c>
      <c r="C1121" s="1" t="n">
        <v>46105</v>
      </c>
      <c r="D1121" t="inlineStr">
        <is>
          <t>STOCKHOLMS LÄN</t>
        </is>
      </c>
      <c r="E1121" t="inlineStr">
        <is>
          <t>NORRTÄLJE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20779-2025</t>
        </is>
      </c>
      <c r="B1122" s="1" t="n">
        <v>45776.59871527777</v>
      </c>
      <c r="C1122" s="1" t="n">
        <v>46105</v>
      </c>
      <c r="D1122" t="inlineStr">
        <is>
          <t>STOCKHOLMS LÄN</t>
        </is>
      </c>
      <c r="E1122" t="inlineStr">
        <is>
          <t>NORRTÄLJE</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44836-2023</t>
        </is>
      </c>
      <c r="B1123" s="1" t="n">
        <v>45190.55609953704</v>
      </c>
      <c r="C1123" s="1" t="n">
        <v>46105</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21771-2025</t>
        </is>
      </c>
      <c r="B1124" s="1" t="n">
        <v>45783</v>
      </c>
      <c r="C1124" s="1" t="n">
        <v>46105</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21778-2025</t>
        </is>
      </c>
      <c r="B1125" s="1" t="n">
        <v>45783.66429398148</v>
      </c>
      <c r="C1125" s="1" t="n">
        <v>46105</v>
      </c>
      <c r="D1125" t="inlineStr">
        <is>
          <t>STOCKHOLMS LÄN</t>
        </is>
      </c>
      <c r="E1125" t="inlineStr">
        <is>
          <t>NORRTÄLJE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12902-2024</t>
        </is>
      </c>
      <c r="B1126" s="1" t="n">
        <v>45385.38146990741</v>
      </c>
      <c r="C1126" s="1" t="n">
        <v>46105</v>
      </c>
      <c r="D1126" t="inlineStr">
        <is>
          <t>STOCKHOLMS LÄN</t>
        </is>
      </c>
      <c r="E1126" t="inlineStr">
        <is>
          <t>NORRTÄLJE</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39237-2024</t>
        </is>
      </c>
      <c r="B1127" s="1" t="n">
        <v>45549</v>
      </c>
      <c r="C1127" s="1" t="n">
        <v>46105</v>
      </c>
      <c r="D1127" t="inlineStr">
        <is>
          <t>STOCKHOLMS LÄN</t>
        </is>
      </c>
      <c r="E1127" t="inlineStr">
        <is>
          <t>NORRTÄLJE</t>
        </is>
      </c>
      <c r="G1127" t="n">
        <v>13.3</v>
      </c>
      <c r="H1127" t="n">
        <v>0</v>
      </c>
      <c r="I1127" t="n">
        <v>0</v>
      </c>
      <c r="J1127" t="n">
        <v>0</v>
      </c>
      <c r="K1127" t="n">
        <v>0</v>
      </c>
      <c r="L1127" t="n">
        <v>0</v>
      </c>
      <c r="M1127" t="n">
        <v>0</v>
      </c>
      <c r="N1127" t="n">
        <v>0</v>
      </c>
      <c r="O1127" t="n">
        <v>0</v>
      </c>
      <c r="P1127" t="n">
        <v>0</v>
      </c>
      <c r="Q1127" t="n">
        <v>0</v>
      </c>
      <c r="R1127" s="2" t="inlineStr"/>
    </row>
    <row r="1128" ht="15" customHeight="1">
      <c r="A1128" t="inlineStr">
        <is>
          <t>A 44891-2023</t>
        </is>
      </c>
      <c r="B1128" s="1" t="n">
        <v>45187</v>
      </c>
      <c r="C1128" s="1" t="n">
        <v>46105</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13268-2025</t>
        </is>
      </c>
      <c r="B1129" s="1" t="n">
        <v>45735</v>
      </c>
      <c r="C1129" s="1" t="n">
        <v>46105</v>
      </c>
      <c r="D1129" t="inlineStr">
        <is>
          <t>STOCKHOLMS LÄN</t>
        </is>
      </c>
      <c r="E1129" t="inlineStr">
        <is>
          <t>NORRTÄLJE</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8414-2025</t>
        </is>
      </c>
      <c r="B1130" s="1" t="n">
        <v>45709.39361111111</v>
      </c>
      <c r="C1130" s="1" t="n">
        <v>46105</v>
      </c>
      <c r="D1130" t="inlineStr">
        <is>
          <t>STOCKHOLMS LÄN</t>
        </is>
      </c>
      <c r="E1130" t="inlineStr">
        <is>
          <t>NORRTÄLJE</t>
        </is>
      </c>
      <c r="F1130" t="inlineStr">
        <is>
          <t>Holmen skog AB</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44032-2024</t>
        </is>
      </c>
      <c r="B1131" s="1" t="n">
        <v>45572.57828703704</v>
      </c>
      <c r="C1131" s="1" t="n">
        <v>46105</v>
      </c>
      <c r="D1131" t="inlineStr">
        <is>
          <t>STOCKHOLMS LÄN</t>
        </is>
      </c>
      <c r="E1131" t="inlineStr">
        <is>
          <t>NORRTÄLJE</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24563-2024</t>
        </is>
      </c>
      <c r="B1132" s="1" t="n">
        <v>45460.44347222222</v>
      </c>
      <c r="C1132" s="1" t="n">
        <v>46105</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22202-2025</t>
        </is>
      </c>
      <c r="B1133" s="1" t="n">
        <v>45785.65300925926</v>
      </c>
      <c r="C1133" s="1" t="n">
        <v>46105</v>
      </c>
      <c r="D1133" t="inlineStr">
        <is>
          <t>STOCKHOLMS LÄN</t>
        </is>
      </c>
      <c r="E1133" t="inlineStr">
        <is>
          <t>NORRTÄLJE</t>
        </is>
      </c>
      <c r="G1133" t="n">
        <v>10.2</v>
      </c>
      <c r="H1133" t="n">
        <v>0</v>
      </c>
      <c r="I1133" t="n">
        <v>0</v>
      </c>
      <c r="J1133" t="n">
        <v>0</v>
      </c>
      <c r="K1133" t="n">
        <v>0</v>
      </c>
      <c r="L1133" t="n">
        <v>0</v>
      </c>
      <c r="M1133" t="n">
        <v>0</v>
      </c>
      <c r="N1133" t="n">
        <v>0</v>
      </c>
      <c r="O1133" t="n">
        <v>0</v>
      </c>
      <c r="P1133" t="n">
        <v>0</v>
      </c>
      <c r="Q1133" t="n">
        <v>0</v>
      </c>
      <c r="R1133" s="2" t="inlineStr"/>
    </row>
    <row r="1134" ht="15" customHeight="1">
      <c r="A1134" t="inlineStr">
        <is>
          <t>A 36625-2024</t>
        </is>
      </c>
      <c r="B1134" s="1" t="n">
        <v>45537</v>
      </c>
      <c r="C1134" s="1" t="n">
        <v>46105</v>
      </c>
      <c r="D1134" t="inlineStr">
        <is>
          <t>STOCKHOLMS LÄN</t>
        </is>
      </c>
      <c r="E1134" t="inlineStr">
        <is>
          <t>NORRTÄLJE</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45746-2024</t>
        </is>
      </c>
      <c r="B1135" s="1" t="n">
        <v>45579</v>
      </c>
      <c r="C1135" s="1" t="n">
        <v>46105</v>
      </c>
      <c r="D1135" t="inlineStr">
        <is>
          <t>STOCKHOLMS LÄN</t>
        </is>
      </c>
      <c r="E1135" t="inlineStr">
        <is>
          <t>NORRTÄLJE</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8400-2024</t>
        </is>
      </c>
      <c r="B1136" s="1" t="n">
        <v>45352.74090277778</v>
      </c>
      <c r="C1136" s="1" t="n">
        <v>46105</v>
      </c>
      <c r="D1136" t="inlineStr">
        <is>
          <t>STOCKHOLMS LÄN</t>
        </is>
      </c>
      <c r="E1136" t="inlineStr">
        <is>
          <t>NORRTÄLJE</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2182-2022</t>
        </is>
      </c>
      <c r="B1137" s="1" t="n">
        <v>44578</v>
      </c>
      <c r="C1137" s="1" t="n">
        <v>46105</v>
      </c>
      <c r="D1137" t="inlineStr">
        <is>
          <t>STOCKHOLMS LÄN</t>
        </is>
      </c>
      <c r="E1137" t="inlineStr">
        <is>
          <t>NORRTÄLJE</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16620-2024</t>
        </is>
      </c>
      <c r="B1138" s="1" t="n">
        <v>45408.57707175926</v>
      </c>
      <c r="C1138" s="1" t="n">
        <v>46105</v>
      </c>
      <c r="D1138" t="inlineStr">
        <is>
          <t>STOCKHOLMS LÄN</t>
        </is>
      </c>
      <c r="E1138" t="inlineStr">
        <is>
          <t>NORRTÄLJE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22416-2025</t>
        </is>
      </c>
      <c r="B1139" s="1" t="n">
        <v>45786.55645833333</v>
      </c>
      <c r="C1139" s="1" t="n">
        <v>46105</v>
      </c>
      <c r="D1139" t="inlineStr">
        <is>
          <t>STOCKHOLMS LÄN</t>
        </is>
      </c>
      <c r="E1139" t="inlineStr">
        <is>
          <t>NORRTÄLJE</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58785-2024</t>
        </is>
      </c>
      <c r="B1140" s="1" t="n">
        <v>45635.88849537037</v>
      </c>
      <c r="C1140" s="1" t="n">
        <v>46105</v>
      </c>
      <c r="D1140" t="inlineStr">
        <is>
          <t>STOCKHOLMS LÄN</t>
        </is>
      </c>
      <c r="E1140" t="inlineStr">
        <is>
          <t>NORRTÄLJE</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62998-2023</t>
        </is>
      </c>
      <c r="B1141" s="1" t="n">
        <v>45272.64479166667</v>
      </c>
      <c r="C1141" s="1" t="n">
        <v>46105</v>
      </c>
      <c r="D1141" t="inlineStr">
        <is>
          <t>STOCKHOLMS LÄN</t>
        </is>
      </c>
      <c r="E1141" t="inlineStr">
        <is>
          <t>NORRTÄLJE</t>
        </is>
      </c>
      <c r="G1141" t="n">
        <v>16.3</v>
      </c>
      <c r="H1141" t="n">
        <v>0</v>
      </c>
      <c r="I1141" t="n">
        <v>0</v>
      </c>
      <c r="J1141" t="n">
        <v>0</v>
      </c>
      <c r="K1141" t="n">
        <v>0</v>
      </c>
      <c r="L1141" t="n">
        <v>0</v>
      </c>
      <c r="M1141" t="n">
        <v>0</v>
      </c>
      <c r="N1141" t="n">
        <v>0</v>
      </c>
      <c r="O1141" t="n">
        <v>0</v>
      </c>
      <c r="P1141" t="n">
        <v>0</v>
      </c>
      <c r="Q1141" t="n">
        <v>0</v>
      </c>
      <c r="R1141" s="2" t="inlineStr"/>
    </row>
    <row r="1142" ht="15" customHeight="1">
      <c r="A1142" t="inlineStr">
        <is>
          <t>A 63015-2023</t>
        </is>
      </c>
      <c r="B1142" s="1" t="n">
        <v>45272</v>
      </c>
      <c r="C1142" s="1" t="n">
        <v>46105</v>
      </c>
      <c r="D1142" t="inlineStr">
        <is>
          <t>STOCKHOLMS LÄN</t>
        </is>
      </c>
      <c r="E1142" t="inlineStr">
        <is>
          <t>NORRTÄLJE</t>
        </is>
      </c>
      <c r="G1142" t="n">
        <v>13.1</v>
      </c>
      <c r="H1142" t="n">
        <v>0</v>
      </c>
      <c r="I1142" t="n">
        <v>0</v>
      </c>
      <c r="J1142" t="n">
        <v>0</v>
      </c>
      <c r="K1142" t="n">
        <v>0</v>
      </c>
      <c r="L1142" t="n">
        <v>0</v>
      </c>
      <c r="M1142" t="n">
        <v>0</v>
      </c>
      <c r="N1142" t="n">
        <v>0</v>
      </c>
      <c r="O1142" t="n">
        <v>0</v>
      </c>
      <c r="P1142" t="n">
        <v>0</v>
      </c>
      <c r="Q1142" t="n">
        <v>0</v>
      </c>
      <c r="R1142" s="2" t="inlineStr"/>
    </row>
    <row r="1143" ht="15" customHeight="1">
      <c r="A1143" t="inlineStr">
        <is>
          <t>A 12901-2024</t>
        </is>
      </c>
      <c r="B1143" s="1" t="n">
        <v>45385.37922453704</v>
      </c>
      <c r="C1143" s="1" t="n">
        <v>46105</v>
      </c>
      <c r="D1143" t="inlineStr">
        <is>
          <t>STOCKHOLMS LÄN</t>
        </is>
      </c>
      <c r="E1143" t="inlineStr">
        <is>
          <t>NORRTÄLJE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12301-2025</t>
        </is>
      </c>
      <c r="B1144" s="1" t="n">
        <v>45729.7271875</v>
      </c>
      <c r="C1144" s="1" t="n">
        <v>46105</v>
      </c>
      <c r="D1144" t="inlineStr">
        <is>
          <t>STOCKHOLMS LÄN</t>
        </is>
      </c>
      <c r="E1144" t="inlineStr">
        <is>
          <t>NORRTÄLJE</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8950-2025</t>
        </is>
      </c>
      <c r="B1145" s="1" t="n">
        <v>45713</v>
      </c>
      <c r="C1145" s="1" t="n">
        <v>46105</v>
      </c>
      <c r="D1145" t="inlineStr">
        <is>
          <t>STOCKHOLMS LÄN</t>
        </is>
      </c>
      <c r="E1145" t="inlineStr">
        <is>
          <t>NORRTÄLJE</t>
        </is>
      </c>
      <c r="F1145" t="inlineStr">
        <is>
          <t>Övriga Aktiebolag</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20730-2024</t>
        </is>
      </c>
      <c r="B1146" s="1" t="n">
        <v>45436</v>
      </c>
      <c r="C1146" s="1" t="n">
        <v>46105</v>
      </c>
      <c r="D1146" t="inlineStr">
        <is>
          <t>STOCKHOLMS LÄN</t>
        </is>
      </c>
      <c r="E1146" t="inlineStr">
        <is>
          <t>NORRTÄLJE</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33175-2024</t>
        </is>
      </c>
      <c r="B1147" s="1" t="n">
        <v>45518</v>
      </c>
      <c r="C1147" s="1" t="n">
        <v>46105</v>
      </c>
      <c r="D1147" t="inlineStr">
        <is>
          <t>STOCKHOLMS LÄN</t>
        </is>
      </c>
      <c r="E1147" t="inlineStr">
        <is>
          <t>NORRTÄLJE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13283-2025</t>
        </is>
      </c>
      <c r="B1148" s="1" t="n">
        <v>45735</v>
      </c>
      <c r="C1148" s="1" t="n">
        <v>46105</v>
      </c>
      <c r="D1148" t="inlineStr">
        <is>
          <t>STOCKHOLMS LÄN</t>
        </is>
      </c>
      <c r="E1148" t="inlineStr">
        <is>
          <t>NORRTÄLJE</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27831-2024</t>
        </is>
      </c>
      <c r="B1149" s="1" t="n">
        <v>45475.61896990741</v>
      </c>
      <c r="C1149" s="1" t="n">
        <v>46105</v>
      </c>
      <c r="D1149" t="inlineStr">
        <is>
          <t>STOCKHOLMS LÄN</t>
        </is>
      </c>
      <c r="E1149" t="inlineStr">
        <is>
          <t>NORRTÄLJE</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21803-2022</t>
        </is>
      </c>
      <c r="B1150" s="1" t="n">
        <v>44708.67822916667</v>
      </c>
      <c r="C1150" s="1" t="n">
        <v>46105</v>
      </c>
      <c r="D1150" t="inlineStr">
        <is>
          <t>STOCKHOLMS LÄN</t>
        </is>
      </c>
      <c r="E1150" t="inlineStr">
        <is>
          <t>NORRTÄLJE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24687-2025</t>
        </is>
      </c>
      <c r="B1151" s="1" t="n">
        <v>45798.66767361111</v>
      </c>
      <c r="C1151" s="1" t="n">
        <v>46105</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24690-2025</t>
        </is>
      </c>
      <c r="B1152" s="1" t="n">
        <v>45798.67082175926</v>
      </c>
      <c r="C1152" s="1" t="n">
        <v>46105</v>
      </c>
      <c r="D1152" t="inlineStr">
        <is>
          <t>STOCKHOLMS LÄN</t>
        </is>
      </c>
      <c r="E1152" t="inlineStr">
        <is>
          <t>NORRTÄLJE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24638-2025</t>
        </is>
      </c>
      <c r="B1153" s="1" t="n">
        <v>45798</v>
      </c>
      <c r="C1153" s="1" t="n">
        <v>46105</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24351-2025</t>
        </is>
      </c>
      <c r="B1154" s="1" t="n">
        <v>45797.58399305555</v>
      </c>
      <c r="C1154" s="1" t="n">
        <v>46105</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28603-2024</t>
        </is>
      </c>
      <c r="B1155" s="1" t="n">
        <v>45478.42887731481</v>
      </c>
      <c r="C1155" s="1" t="n">
        <v>46105</v>
      </c>
      <c r="D1155" t="inlineStr">
        <is>
          <t>STOCKHOLMS LÄN</t>
        </is>
      </c>
      <c r="E1155" t="inlineStr">
        <is>
          <t>NORRTÄLJE</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25702-2025</t>
        </is>
      </c>
      <c r="B1156" s="1" t="n">
        <v>45800</v>
      </c>
      <c r="C1156" s="1" t="n">
        <v>46105</v>
      </c>
      <c r="D1156" t="inlineStr">
        <is>
          <t>STOCKHOLMS LÄN</t>
        </is>
      </c>
      <c r="E1156" t="inlineStr">
        <is>
          <t>NORRTÄLJE</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25721-2025</t>
        </is>
      </c>
      <c r="B1157" s="1" t="n">
        <v>45800</v>
      </c>
      <c r="C1157" s="1" t="n">
        <v>46105</v>
      </c>
      <c r="D1157" t="inlineStr">
        <is>
          <t>STOCKHOLMS LÄN</t>
        </is>
      </c>
      <c r="E1157" t="inlineStr">
        <is>
          <t>NORRTÄLJE</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25733-2025</t>
        </is>
      </c>
      <c r="B1158" s="1" t="n">
        <v>45800</v>
      </c>
      <c r="C1158" s="1" t="n">
        <v>46105</v>
      </c>
      <c r="D1158" t="inlineStr">
        <is>
          <t>STOCKHOLMS LÄN</t>
        </is>
      </c>
      <c r="E1158" t="inlineStr">
        <is>
          <t>NORRTÄLJE</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25571-2025</t>
        </is>
      </c>
      <c r="B1159" s="1" t="n">
        <v>45803.4675</v>
      </c>
      <c r="C1159" s="1" t="n">
        <v>46105</v>
      </c>
      <c r="D1159" t="inlineStr">
        <is>
          <t>STOCKHOLMS LÄN</t>
        </is>
      </c>
      <c r="E1159" t="inlineStr">
        <is>
          <t>NORRTÄLJE</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53561-2023</t>
        </is>
      </c>
      <c r="B1160" s="1" t="n">
        <v>45224</v>
      </c>
      <c r="C1160" s="1" t="n">
        <v>46105</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25712-2025</t>
        </is>
      </c>
      <c r="B1161" s="1" t="n">
        <v>45803.69228009259</v>
      </c>
      <c r="C1161" s="1" t="n">
        <v>46105</v>
      </c>
      <c r="D1161" t="inlineStr">
        <is>
          <t>STOCKHOLMS LÄN</t>
        </is>
      </c>
      <c r="E1161" t="inlineStr">
        <is>
          <t>NORRTÄLJE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41218-2024</t>
        </is>
      </c>
      <c r="B1162" s="1" t="n">
        <v>45559.54706018518</v>
      </c>
      <c r="C1162" s="1" t="n">
        <v>46105</v>
      </c>
      <c r="D1162" t="inlineStr">
        <is>
          <t>STOCKHOLMS LÄN</t>
        </is>
      </c>
      <c r="E1162" t="inlineStr">
        <is>
          <t>NORRTÄLJE</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26051-2025</t>
        </is>
      </c>
      <c r="B1163" s="1" t="n">
        <v>45804.74479166666</v>
      </c>
      <c r="C1163" s="1" t="n">
        <v>46105</v>
      </c>
      <c r="D1163" t="inlineStr">
        <is>
          <t>STOCKHOLMS LÄN</t>
        </is>
      </c>
      <c r="E1163" t="inlineStr">
        <is>
          <t>NORRTÄLJE</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39238-2024</t>
        </is>
      </c>
      <c r="B1164" s="1" t="n">
        <v>45549</v>
      </c>
      <c r="C1164" s="1" t="n">
        <v>46105</v>
      </c>
      <c r="D1164" t="inlineStr">
        <is>
          <t>STOCKHOLMS LÄN</t>
        </is>
      </c>
      <c r="E1164" t="inlineStr">
        <is>
          <t>NORRTÄLJE</t>
        </is>
      </c>
      <c r="G1164" t="n">
        <v>3.6</v>
      </c>
      <c r="H1164" t="n">
        <v>0</v>
      </c>
      <c r="I1164" t="n">
        <v>0</v>
      </c>
      <c r="J1164" t="n">
        <v>0</v>
      </c>
      <c r="K1164" t="n">
        <v>0</v>
      </c>
      <c r="L1164" t="n">
        <v>0</v>
      </c>
      <c r="M1164" t="n">
        <v>0</v>
      </c>
      <c r="N1164" t="n">
        <v>0</v>
      </c>
      <c r="O1164" t="n">
        <v>0</v>
      </c>
      <c r="P1164" t="n">
        <v>0</v>
      </c>
      <c r="Q1164" t="n">
        <v>0</v>
      </c>
      <c r="R1164" s="2" t="inlineStr"/>
    </row>
    <row r="1165">
      <c r="A1165" t="inlineStr">
        <is>
          <t>A 38449-2022</t>
        </is>
      </c>
      <c r="B1165" s="1" t="n">
        <v>44813</v>
      </c>
      <c r="C1165" s="1" t="n">
        <v>46105</v>
      </c>
      <c r="D1165" t="inlineStr">
        <is>
          <t>STOCKHOLMS LÄN</t>
        </is>
      </c>
      <c r="E1165" t="inlineStr">
        <is>
          <t>NORRTÄLJE</t>
        </is>
      </c>
      <c r="G1165" t="n">
        <v>4.2</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2026-03-24T11:31:48Z</dcterms:created>
  <dcterms:modified xmlns:dcterms="http://purl.org/dc/terms/" xmlns:xsi="http://www.w3.org/2001/XMLSchema-instance" xsi:type="dcterms:W3CDTF">2026-03-24T11:31:49Z</dcterms:modified>
</cp:coreProperties>
</file>