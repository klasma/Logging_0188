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46031</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46031</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52797-2023</t>
        </is>
      </c>
      <c r="B12" s="1" t="n">
        <v>45226</v>
      </c>
      <c r="C12" s="1" t="n">
        <v>46031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46031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56024-2025</t>
        </is>
      </c>
      <c r="B14" s="1" t="n">
        <v>45973</v>
      </c>
      <c r="C14" s="1" t="n">
        <v>46031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60941-2025</t>
        </is>
      </c>
      <c r="B15" s="1" t="n">
        <v>45999.64359953703</v>
      </c>
      <c r="C15" s="1" t="n">
        <v>46031</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21837-2025</t>
        </is>
      </c>
      <c r="B16" s="1" t="n">
        <v>45784.32179398148</v>
      </c>
      <c r="C16" s="1" t="n">
        <v>46031</v>
      </c>
      <c r="D16" t="inlineStr">
        <is>
          <t>STOCKHOLMS LÄN</t>
        </is>
      </c>
      <c r="E16" t="inlineStr">
        <is>
          <t>NORRTÄLJE</t>
        </is>
      </c>
      <c r="G16" t="n">
        <v>6.4</v>
      </c>
      <c r="H16" t="n">
        <v>4</v>
      </c>
      <c r="I16" t="n">
        <v>10</v>
      </c>
      <c r="J16" t="n">
        <v>4</v>
      </c>
      <c r="K16" t="n">
        <v>4</v>
      </c>
      <c r="L16" t="n">
        <v>0</v>
      </c>
      <c r="M16" t="n">
        <v>0</v>
      </c>
      <c r="N16" t="n">
        <v>0</v>
      </c>
      <c r="O16" t="n">
        <v>8</v>
      </c>
      <c r="P16" t="n">
        <v>4</v>
      </c>
      <c r="Q16" t="n">
        <v>21</v>
      </c>
      <c r="R1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6">
        <f>HYPERLINK("https://klasma.github.io/Logging_0188/artfynd/A 21837-2025 artfynd.xlsx", "A 21837-2025")</f>
        <v/>
      </c>
      <c r="T16">
        <f>HYPERLINK("https://klasma.github.io/Logging_0188/kartor/A 21837-2025 karta.png", "A 21837-2025")</f>
        <v/>
      </c>
      <c r="V16">
        <f>HYPERLINK("https://klasma.github.io/Logging_0188/klagomål/A 21837-2025 FSC-klagomål.docx", "A 21837-2025")</f>
        <v/>
      </c>
      <c r="W16">
        <f>HYPERLINK("https://klasma.github.io/Logging_0188/klagomålsmail/A 21837-2025 FSC-klagomål mail.docx", "A 21837-2025")</f>
        <v/>
      </c>
      <c r="X16">
        <f>HYPERLINK("https://klasma.github.io/Logging_0188/tillsyn/A 21837-2025 tillsynsbegäran.docx", "A 21837-2025")</f>
        <v/>
      </c>
      <c r="Y16">
        <f>HYPERLINK("https://klasma.github.io/Logging_0188/tillsynsmail/A 21837-2025 tillsynsbegäran mail.docx", "A 21837-2025")</f>
        <v/>
      </c>
    </row>
    <row r="17" ht="15" customHeight="1">
      <c r="A17" t="inlineStr">
        <is>
          <t>A 10646-2024</t>
        </is>
      </c>
      <c r="B17" s="1" t="n">
        <v>45367</v>
      </c>
      <c r="C17" s="1" t="n">
        <v>46031</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46031</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46031</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46031</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46031</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46031</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46031</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61292-2025</t>
        </is>
      </c>
      <c r="B26" s="1" t="n">
        <v>46000.75015046296</v>
      </c>
      <c r="C26" s="1" t="n">
        <v>46031</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50326-2024</t>
        </is>
      </c>
      <c r="B27" s="1" t="n">
        <v>45600</v>
      </c>
      <c r="C27" s="1" t="n">
        <v>46031</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46031</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73093-2021</t>
        </is>
      </c>
      <c r="B29" s="1" t="n">
        <v>44550</v>
      </c>
      <c r="C29" s="1" t="n">
        <v>46031</v>
      </c>
      <c r="D29" t="inlineStr">
        <is>
          <t>STOCKHOLMS LÄN</t>
        </is>
      </c>
      <c r="E29" t="inlineStr">
        <is>
          <t>NORRTÄLJE</t>
        </is>
      </c>
      <c r="G29" t="n">
        <v>5.1</v>
      </c>
      <c r="H29" t="n">
        <v>6</v>
      </c>
      <c r="I29" t="n">
        <v>6</v>
      </c>
      <c r="J29" t="n">
        <v>1</v>
      </c>
      <c r="K29" t="n">
        <v>0</v>
      </c>
      <c r="L29" t="n">
        <v>0</v>
      </c>
      <c r="M29" t="n">
        <v>0</v>
      </c>
      <c r="N29" t="n">
        <v>0</v>
      </c>
      <c r="O29" t="n">
        <v>1</v>
      </c>
      <c r="P29" t="n">
        <v>0</v>
      </c>
      <c r="Q29" t="n">
        <v>9</v>
      </c>
      <c r="R29" s="2" t="inlineStr">
        <is>
          <t>Rödvingetrast
Guckusko
Myskmadra
Nästrot
Skogsknipprot
Tibast
Vätteros
Nattviol
Blåsippa</t>
        </is>
      </c>
      <c r="S29">
        <f>HYPERLINK("https://klasma.github.io/Logging_0188/artfynd/A 73093-2021 artfynd.xlsx", "A 73093-2021")</f>
        <v/>
      </c>
      <c r="T29">
        <f>HYPERLINK("https://klasma.github.io/Logging_0188/kartor/A 73093-2021 karta.png", "A 73093-2021")</f>
        <v/>
      </c>
      <c r="V29">
        <f>HYPERLINK("https://klasma.github.io/Logging_0188/klagomål/A 73093-2021 FSC-klagomål.docx", "A 73093-2021")</f>
        <v/>
      </c>
      <c r="W29">
        <f>HYPERLINK("https://klasma.github.io/Logging_0188/klagomålsmail/A 73093-2021 FSC-klagomål mail.docx", "A 73093-2021")</f>
        <v/>
      </c>
      <c r="X29">
        <f>HYPERLINK("https://klasma.github.io/Logging_0188/tillsyn/A 73093-2021 tillsynsbegäran.docx", "A 73093-2021")</f>
        <v/>
      </c>
      <c r="Y29">
        <f>HYPERLINK("https://klasma.github.io/Logging_0188/tillsynsmail/A 73093-2021 tillsynsbegäran mail.docx", "A 73093-2021")</f>
        <v/>
      </c>
      <c r="Z29">
        <f>HYPERLINK("https://klasma.github.io/Logging_0188/fåglar/A 73093-2021 prioriterade fågelarter.docx", "A 73093-2021")</f>
        <v/>
      </c>
    </row>
    <row r="30" ht="15" customHeight="1">
      <c r="A30" t="inlineStr">
        <is>
          <t>A 52815-2021</t>
        </is>
      </c>
      <c r="B30" s="1" t="n">
        <v>44467</v>
      </c>
      <c r="C30" s="1" t="n">
        <v>46031</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46031</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61099-2025</t>
        </is>
      </c>
      <c r="B32" s="1" t="n">
        <v>46000.44185185185</v>
      </c>
      <c r="C32" s="1" t="n">
        <v>46031</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46031</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59582-2024</t>
        </is>
      </c>
      <c r="B34" s="1" t="n">
        <v>45638</v>
      </c>
      <c r="C34" s="1" t="n">
        <v>46031</v>
      </c>
      <c r="D34" t="inlineStr">
        <is>
          <t>STOCKHOLMS LÄN</t>
        </is>
      </c>
      <c r="E34" t="inlineStr">
        <is>
          <t>NORRTÄLJE</t>
        </is>
      </c>
      <c r="F34" t="inlineStr">
        <is>
          <t>Holmen skog AB</t>
        </is>
      </c>
      <c r="G34" t="n">
        <v>2.7</v>
      </c>
      <c r="H34" t="n">
        <v>3</v>
      </c>
      <c r="I34" t="n">
        <v>4</v>
      </c>
      <c r="J34" t="n">
        <v>3</v>
      </c>
      <c r="K34" t="n">
        <v>0</v>
      </c>
      <c r="L34" t="n">
        <v>0</v>
      </c>
      <c r="M34" t="n">
        <v>0</v>
      </c>
      <c r="N34" t="n">
        <v>0</v>
      </c>
      <c r="O34" t="n">
        <v>3</v>
      </c>
      <c r="P34" t="n">
        <v>0</v>
      </c>
      <c r="Q34" t="n">
        <v>8</v>
      </c>
      <c r="R34" s="2" t="inlineStr">
        <is>
          <t>Duvhök
Skogshare
Spillkråka
Bronshjon
Granbräken
Spädstarr
Vågbandad barkbock
Revlummer</t>
        </is>
      </c>
      <c r="S34">
        <f>HYPERLINK("https://klasma.github.io/Logging_0188/artfynd/A 59582-2024 artfynd.xlsx", "A 59582-2024")</f>
        <v/>
      </c>
      <c r="T34">
        <f>HYPERLINK("https://klasma.github.io/Logging_0188/kartor/A 59582-2024 karta.png", "A 59582-2024")</f>
        <v/>
      </c>
      <c r="V34">
        <f>HYPERLINK("https://klasma.github.io/Logging_0188/klagomål/A 59582-2024 FSC-klagomål.docx", "A 59582-2024")</f>
        <v/>
      </c>
      <c r="W34">
        <f>HYPERLINK("https://klasma.github.io/Logging_0188/klagomålsmail/A 59582-2024 FSC-klagomål mail.docx", "A 59582-2024")</f>
        <v/>
      </c>
      <c r="X34">
        <f>HYPERLINK("https://klasma.github.io/Logging_0188/tillsyn/A 59582-2024 tillsynsbegäran.docx", "A 59582-2024")</f>
        <v/>
      </c>
      <c r="Y34">
        <f>HYPERLINK("https://klasma.github.io/Logging_0188/tillsynsmail/A 59582-2024 tillsynsbegäran mail.docx", "A 59582-2024")</f>
        <v/>
      </c>
      <c r="Z34">
        <f>HYPERLINK("https://klasma.github.io/Logging_0188/fåglar/A 59582-2024 prioriterade fågelarter.docx", "A 59582-2024")</f>
        <v/>
      </c>
    </row>
    <row r="35" ht="15" customHeight="1">
      <c r="A35" t="inlineStr">
        <is>
          <t>A 45811-2022</t>
        </is>
      </c>
      <c r="B35" s="1" t="n">
        <v>44846</v>
      </c>
      <c r="C35" s="1" t="n">
        <v>46031</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46031</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46031</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46031</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46031</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46031</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46031</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56791-2025</t>
        </is>
      </c>
      <c r="B42" s="1" t="n">
        <v>45978</v>
      </c>
      <c r="C42" s="1" t="n">
        <v>46031</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30687-2025</t>
        </is>
      </c>
      <c r="B43" s="1" t="n">
        <v>45831.53390046296</v>
      </c>
      <c r="C43" s="1" t="n">
        <v>46031</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15804-2025</t>
        </is>
      </c>
      <c r="B44" s="1" t="n">
        <v>45748.6521875</v>
      </c>
      <c r="C44" s="1" t="n">
        <v>46031</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46031</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3444-2023</t>
        </is>
      </c>
      <c r="B46" s="1" t="n">
        <v>44949</v>
      </c>
      <c r="C46" s="1" t="n">
        <v>46031</v>
      </c>
      <c r="D46" t="inlineStr">
        <is>
          <t>STOCKHOLMS LÄN</t>
        </is>
      </c>
      <c r="E46" t="inlineStr">
        <is>
          <t>NORRTÄLJE</t>
        </is>
      </c>
      <c r="G46" t="n">
        <v>5.1</v>
      </c>
      <c r="H46" t="n">
        <v>5</v>
      </c>
      <c r="I46" t="n">
        <v>0</v>
      </c>
      <c r="J46" t="n">
        <v>1</v>
      </c>
      <c r="K46" t="n">
        <v>0</v>
      </c>
      <c r="L46" t="n">
        <v>0</v>
      </c>
      <c r="M46" t="n">
        <v>0</v>
      </c>
      <c r="N46" t="n">
        <v>0</v>
      </c>
      <c r="O46" t="n">
        <v>1</v>
      </c>
      <c r="P46" t="n">
        <v>0</v>
      </c>
      <c r="Q46" t="n">
        <v>5</v>
      </c>
      <c r="R46" s="2" t="inlineStr">
        <is>
          <t>Nordfladdermus
Dvärgpipistrell
Gråskimlig fladdermus
Större brunfladdermus
Trollpipistrell</t>
        </is>
      </c>
      <c r="S46">
        <f>HYPERLINK("https://klasma.github.io/Logging_0188/artfynd/A 3444-2023 artfynd.xlsx", "A 3444-2023")</f>
        <v/>
      </c>
      <c r="T46">
        <f>HYPERLINK("https://klasma.github.io/Logging_0188/kartor/A 3444-2023 karta.png", "A 3444-2023")</f>
        <v/>
      </c>
      <c r="V46">
        <f>HYPERLINK("https://klasma.github.io/Logging_0188/klagomål/A 3444-2023 FSC-klagomål.docx", "A 3444-2023")</f>
        <v/>
      </c>
      <c r="W46">
        <f>HYPERLINK("https://klasma.github.io/Logging_0188/klagomålsmail/A 3444-2023 FSC-klagomål mail.docx", "A 3444-2023")</f>
        <v/>
      </c>
      <c r="X46">
        <f>HYPERLINK("https://klasma.github.io/Logging_0188/tillsyn/A 3444-2023 tillsynsbegäran.docx", "A 3444-2023")</f>
        <v/>
      </c>
      <c r="Y46">
        <f>HYPERLINK("https://klasma.github.io/Logging_0188/tillsynsmail/A 3444-2023 tillsynsbegäran mail.docx", "A 3444-2023")</f>
        <v/>
      </c>
    </row>
    <row r="47" ht="15" customHeight="1">
      <c r="A47" t="inlineStr">
        <is>
          <t>A 72111-2021</t>
        </is>
      </c>
      <c r="B47" s="1" t="n">
        <v>44544</v>
      </c>
      <c r="C47" s="1" t="n">
        <v>46031</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46031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46031</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25687-2025</t>
        </is>
      </c>
      <c r="B50" s="1" t="n">
        <v>45800</v>
      </c>
      <c r="C50" s="1" t="n">
        <v>46031</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10876-2025</t>
        </is>
      </c>
      <c r="B51" s="1" t="n">
        <v>45722</v>
      </c>
      <c r="C51" s="1" t="n">
        <v>46031</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46031</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46031</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46031</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46031</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46031</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46031</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46031</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46031</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46031</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46031</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54110-2024</t>
        </is>
      </c>
      <c r="B62" s="1" t="n">
        <v>45616.54866898148</v>
      </c>
      <c r="C62" s="1" t="n">
        <v>46031</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46031</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2851-2023</t>
        </is>
      </c>
      <c r="B64" s="1" t="n">
        <v>44945</v>
      </c>
      <c r="C64" s="1" t="n">
        <v>46031</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29185-2025</t>
        </is>
      </c>
      <c r="B65" s="1" t="n">
        <v>45821</v>
      </c>
      <c r="C65" s="1" t="n">
        <v>46031</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20185-2022</t>
        </is>
      </c>
      <c r="B66" s="1" t="n">
        <v>44698</v>
      </c>
      <c r="C66" s="1" t="n">
        <v>46031</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61288-2025</t>
        </is>
      </c>
      <c r="B67" s="1" t="n">
        <v>46000.73247685185</v>
      </c>
      <c r="C67" s="1" t="n">
        <v>46031</v>
      </c>
      <c r="D67" t="inlineStr">
        <is>
          <t>STOCKHOLMS LÄN</t>
        </is>
      </c>
      <c r="E67" t="inlineStr">
        <is>
          <t>NORRTÄLJE</t>
        </is>
      </c>
      <c r="G67" t="n">
        <v>2</v>
      </c>
      <c r="H67" t="n">
        <v>2</v>
      </c>
      <c r="I67" t="n">
        <v>1</v>
      </c>
      <c r="J67" t="n">
        <v>0</v>
      </c>
      <c r="K67" t="n">
        <v>1</v>
      </c>
      <c r="L67" t="n">
        <v>0</v>
      </c>
      <c r="M67" t="n">
        <v>0</v>
      </c>
      <c r="N67" t="n">
        <v>0</v>
      </c>
      <c r="O67" t="n">
        <v>1</v>
      </c>
      <c r="P67" t="n">
        <v>1</v>
      </c>
      <c r="Q67" t="n">
        <v>3</v>
      </c>
      <c r="R67" s="2" t="inlineStr">
        <is>
          <t>Knärot
Kattfotslav
Kungsfågel</t>
        </is>
      </c>
      <c r="S67">
        <f>HYPERLINK("https://klasma.github.io/Logging_0188/artfynd/A 61288-2025 artfynd.xlsx", "A 61288-2025")</f>
        <v/>
      </c>
      <c r="T67">
        <f>HYPERLINK("https://klasma.github.io/Logging_0188/kartor/A 61288-2025 karta.png", "A 61288-2025")</f>
        <v/>
      </c>
      <c r="U67">
        <f>HYPERLINK("https://klasma.github.io/Logging_0188/knärot/A 61288-2025 karta knärot.png", "A 61288-2025")</f>
        <v/>
      </c>
      <c r="V67">
        <f>HYPERLINK("https://klasma.github.io/Logging_0188/klagomål/A 61288-2025 FSC-klagomål.docx", "A 61288-2025")</f>
        <v/>
      </c>
      <c r="W67">
        <f>HYPERLINK("https://klasma.github.io/Logging_0188/klagomålsmail/A 61288-2025 FSC-klagomål mail.docx", "A 61288-2025")</f>
        <v/>
      </c>
      <c r="X67">
        <f>HYPERLINK("https://klasma.github.io/Logging_0188/tillsyn/A 61288-2025 tillsynsbegäran.docx", "A 61288-2025")</f>
        <v/>
      </c>
      <c r="Y67">
        <f>HYPERLINK("https://klasma.github.io/Logging_0188/tillsynsmail/A 61288-2025 tillsynsbegäran mail.docx", "A 61288-2025")</f>
        <v/>
      </c>
      <c r="Z67">
        <f>HYPERLINK("https://klasma.github.io/Logging_0188/fåglar/A 61288-2025 prioriterade fågelarter.docx", "A 61288-2025")</f>
        <v/>
      </c>
    </row>
    <row r="68" ht="15" customHeight="1">
      <c r="A68" t="inlineStr">
        <is>
          <t>A 52726-2025</t>
        </is>
      </c>
      <c r="B68" s="1" t="n">
        <v>45957.34722222222</v>
      </c>
      <c r="C68" s="1" t="n">
        <v>46031</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34524-2025</t>
        </is>
      </c>
      <c r="B69" s="1" t="n">
        <v>45847.47685185185</v>
      </c>
      <c r="C69" s="1" t="n">
        <v>46031</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53065-2024</t>
        </is>
      </c>
      <c r="B70" s="1" t="n">
        <v>45611.47233796296</v>
      </c>
      <c r="C70" s="1" t="n">
        <v>46031</v>
      </c>
      <c r="D70" t="inlineStr">
        <is>
          <t>STOCKHOLMS LÄN</t>
        </is>
      </c>
      <c r="E70" t="inlineStr">
        <is>
          <t>NORRTÄLJE</t>
        </is>
      </c>
      <c r="G70" t="n">
        <v>12.3</v>
      </c>
      <c r="H70" t="n">
        <v>0</v>
      </c>
      <c r="I70" t="n">
        <v>1</v>
      </c>
      <c r="J70" t="n">
        <v>1</v>
      </c>
      <c r="K70" t="n">
        <v>1</v>
      </c>
      <c r="L70" t="n">
        <v>0</v>
      </c>
      <c r="M70" t="n">
        <v>0</v>
      </c>
      <c r="N70" t="n">
        <v>0</v>
      </c>
      <c r="O70" t="n">
        <v>2</v>
      </c>
      <c r="P70" t="n">
        <v>1</v>
      </c>
      <c r="Q70" t="n">
        <v>3</v>
      </c>
      <c r="R70" s="2" t="inlineStr">
        <is>
          <t>Aspsplintbock
Grön aspvedbock
Gulröd blankbock</t>
        </is>
      </c>
      <c r="S70">
        <f>HYPERLINK("https://klasma.github.io/Logging_0188/artfynd/A 53065-2024 artfynd.xlsx", "A 53065-2024")</f>
        <v/>
      </c>
      <c r="T70">
        <f>HYPERLINK("https://klasma.github.io/Logging_0188/kartor/A 53065-2024 karta.png", "A 53065-2024")</f>
        <v/>
      </c>
      <c r="V70">
        <f>HYPERLINK("https://klasma.github.io/Logging_0188/klagomål/A 53065-2024 FSC-klagomål.docx", "A 53065-2024")</f>
        <v/>
      </c>
      <c r="W70">
        <f>HYPERLINK("https://klasma.github.io/Logging_0188/klagomålsmail/A 53065-2024 FSC-klagomål mail.docx", "A 53065-2024")</f>
        <v/>
      </c>
      <c r="X70">
        <f>HYPERLINK("https://klasma.github.io/Logging_0188/tillsyn/A 53065-2024 tillsynsbegäran.docx", "A 53065-2024")</f>
        <v/>
      </c>
      <c r="Y70">
        <f>HYPERLINK("https://klasma.github.io/Logging_0188/tillsynsmail/A 53065-2024 tillsynsbegäran mail.docx", "A 53065-2024")</f>
        <v/>
      </c>
    </row>
    <row r="71" ht="15" customHeight="1">
      <c r="A71" t="inlineStr">
        <is>
          <t>A 50618-2022</t>
        </is>
      </c>
      <c r="B71" s="1" t="n">
        <v>44866</v>
      </c>
      <c r="C71" s="1" t="n">
        <v>46031</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27870-2022</t>
        </is>
      </c>
      <c r="B72" s="1" t="n">
        <v>44743.64592592593</v>
      </c>
      <c r="C72" s="1" t="n">
        <v>46031</v>
      </c>
      <c r="D72" t="inlineStr">
        <is>
          <t>STOCKHOLMS LÄN</t>
        </is>
      </c>
      <c r="E72" t="inlineStr">
        <is>
          <t>NORRTÄLJE</t>
        </is>
      </c>
      <c r="F72" t="inlineStr">
        <is>
          <t>Holmen skog AB</t>
        </is>
      </c>
      <c r="G72" t="n">
        <v>1.8</v>
      </c>
      <c r="H72" t="n">
        <v>3</v>
      </c>
      <c r="I72" t="n">
        <v>0</v>
      </c>
      <c r="J72" t="n">
        <v>1</v>
      </c>
      <c r="K72" t="n">
        <v>0</v>
      </c>
      <c r="L72" t="n">
        <v>0</v>
      </c>
      <c r="M72" t="n">
        <v>0</v>
      </c>
      <c r="N72" t="n">
        <v>0</v>
      </c>
      <c r="O72" t="n">
        <v>1</v>
      </c>
      <c r="P72" t="n">
        <v>0</v>
      </c>
      <c r="Q72" t="n">
        <v>3</v>
      </c>
      <c r="R72" s="2" t="inlineStr">
        <is>
          <t>Nordfladdermus
Dvärgpipistrell
Större brunfladdermus</t>
        </is>
      </c>
      <c r="S72">
        <f>HYPERLINK("https://klasma.github.io/Logging_0188/artfynd/A 27870-2022 artfynd.xlsx", "A 27870-2022")</f>
        <v/>
      </c>
      <c r="T72">
        <f>HYPERLINK("https://klasma.github.io/Logging_0188/kartor/A 27870-2022 karta.png", "A 27870-2022")</f>
        <v/>
      </c>
      <c r="V72">
        <f>HYPERLINK("https://klasma.github.io/Logging_0188/klagomål/A 27870-2022 FSC-klagomål.docx", "A 27870-2022")</f>
        <v/>
      </c>
      <c r="W72">
        <f>HYPERLINK("https://klasma.github.io/Logging_0188/klagomålsmail/A 27870-2022 FSC-klagomål mail.docx", "A 27870-2022")</f>
        <v/>
      </c>
      <c r="X72">
        <f>HYPERLINK("https://klasma.github.io/Logging_0188/tillsyn/A 27870-2022 tillsynsbegäran.docx", "A 27870-2022")</f>
        <v/>
      </c>
      <c r="Y72">
        <f>HYPERLINK("https://klasma.github.io/Logging_0188/tillsynsmail/A 27870-2022 tillsynsbegäran mail.docx", "A 27870-2022")</f>
        <v/>
      </c>
    </row>
    <row r="73" ht="15" customHeight="1">
      <c r="A73" t="inlineStr">
        <is>
          <t>A 52133-2022</t>
        </is>
      </c>
      <c r="B73" s="1" t="n">
        <v>44868</v>
      </c>
      <c r="C73" s="1" t="n">
        <v>46031</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46031</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46031</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46031</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46031</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46031</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46031</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46031</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53608-2025</t>
        </is>
      </c>
      <c r="B81" s="1" t="n">
        <v>45960</v>
      </c>
      <c r="C81" s="1" t="n">
        <v>46031</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16260-2022</t>
        </is>
      </c>
      <c r="B82" s="1" t="n">
        <v>44670</v>
      </c>
      <c r="C82" s="1" t="n">
        <v>46031</v>
      </c>
      <c r="D82" t="inlineStr">
        <is>
          <t>STOCKHOLMS LÄN</t>
        </is>
      </c>
      <c r="E82" t="inlineStr">
        <is>
          <t>NORRTÄLJE</t>
        </is>
      </c>
      <c r="G82" t="n">
        <v>6.6</v>
      </c>
      <c r="H82" t="n">
        <v>1</v>
      </c>
      <c r="I82" t="n">
        <v>2</v>
      </c>
      <c r="J82" t="n">
        <v>0</v>
      </c>
      <c r="K82" t="n">
        <v>0</v>
      </c>
      <c r="L82" t="n">
        <v>0</v>
      </c>
      <c r="M82" t="n">
        <v>0</v>
      </c>
      <c r="N82" t="n">
        <v>0</v>
      </c>
      <c r="O82" t="n">
        <v>0</v>
      </c>
      <c r="P82" t="n">
        <v>0</v>
      </c>
      <c r="Q82" t="n">
        <v>2</v>
      </c>
      <c r="R82" s="2" t="inlineStr">
        <is>
          <t>Nästrot
Vårärt</t>
        </is>
      </c>
      <c r="S82">
        <f>HYPERLINK("https://klasma.github.io/Logging_0188/artfynd/A 16260-2022 artfynd.xlsx", "A 16260-2022")</f>
        <v/>
      </c>
      <c r="T82">
        <f>HYPERLINK("https://klasma.github.io/Logging_0188/kartor/A 16260-2022 karta.png", "A 16260-2022")</f>
        <v/>
      </c>
      <c r="V82">
        <f>HYPERLINK("https://klasma.github.io/Logging_0188/klagomål/A 16260-2022 FSC-klagomål.docx", "A 16260-2022")</f>
        <v/>
      </c>
      <c r="W82">
        <f>HYPERLINK("https://klasma.github.io/Logging_0188/klagomålsmail/A 16260-2022 FSC-klagomål mail.docx", "A 16260-2022")</f>
        <v/>
      </c>
      <c r="X82">
        <f>HYPERLINK("https://klasma.github.io/Logging_0188/tillsyn/A 16260-2022 tillsynsbegäran.docx", "A 16260-2022")</f>
        <v/>
      </c>
      <c r="Y82">
        <f>HYPERLINK("https://klasma.github.io/Logging_0188/tillsynsmail/A 16260-2022 tillsynsbegäran mail.docx", "A 16260-2022")</f>
        <v/>
      </c>
    </row>
    <row r="83" ht="15" customHeight="1">
      <c r="A83" t="inlineStr">
        <is>
          <t>A 50697-2025</t>
        </is>
      </c>
      <c r="B83" s="1" t="n">
        <v>45945.90854166666</v>
      </c>
      <c r="C83" s="1" t="n">
        <v>46031</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22190-2024</t>
        </is>
      </c>
      <c r="B84" s="1" t="n">
        <v>45446.35888888889</v>
      </c>
      <c r="C84" s="1" t="n">
        <v>46031</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52360-2024</t>
        </is>
      </c>
      <c r="B85" s="1" t="n">
        <v>45609.37094907407</v>
      </c>
      <c r="C85" s="1" t="n">
        <v>46031</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52825-2023</t>
        </is>
      </c>
      <c r="B86" s="1" t="n">
        <v>45226</v>
      </c>
      <c r="C86" s="1" t="n">
        <v>46031</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52124-2022</t>
        </is>
      </c>
      <c r="B87" s="1" t="n">
        <v>44868</v>
      </c>
      <c r="C87" s="1" t="n">
        <v>46031</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46031</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46031</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46031</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46031</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46031</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46031</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32111-2022</t>
        </is>
      </c>
      <c r="B94" s="1" t="n">
        <v>44778.92797453704</v>
      </c>
      <c r="C94" s="1" t="n">
        <v>46031</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47898-2022</t>
        </is>
      </c>
      <c r="B95" s="1" t="n">
        <v>44855</v>
      </c>
      <c r="C95" s="1" t="n">
        <v>46031</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23905-2025</t>
        </is>
      </c>
      <c r="B96" s="1" t="n">
        <v>45794.63298611111</v>
      </c>
      <c r="C96" s="1" t="n">
        <v>46031</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364-2026</t>
        </is>
      </c>
      <c r="B97" s="1" t="n">
        <v>46027.67134259259</v>
      </c>
      <c r="C97" s="1" t="n">
        <v>46031</v>
      </c>
      <c r="D97" t="inlineStr">
        <is>
          <t>STOCKHOLMS LÄN</t>
        </is>
      </c>
      <c r="E97" t="inlineStr">
        <is>
          <t>NORRTÄLJE</t>
        </is>
      </c>
      <c r="F97" t="inlineStr">
        <is>
          <t>Holmen skog AB</t>
        </is>
      </c>
      <c r="G97" t="n">
        <v>4.3</v>
      </c>
      <c r="H97" t="n">
        <v>1</v>
      </c>
      <c r="I97" t="n">
        <v>0</v>
      </c>
      <c r="J97" t="n">
        <v>0</v>
      </c>
      <c r="K97" t="n">
        <v>0</v>
      </c>
      <c r="L97" t="n">
        <v>1</v>
      </c>
      <c r="M97" t="n">
        <v>0</v>
      </c>
      <c r="N97" t="n">
        <v>0</v>
      </c>
      <c r="O97" t="n">
        <v>1</v>
      </c>
      <c r="P97" t="n">
        <v>1</v>
      </c>
      <c r="Q97" t="n">
        <v>1</v>
      </c>
      <c r="R97" s="2" t="inlineStr">
        <is>
          <t>Asknätfjäril</t>
        </is>
      </c>
      <c r="S97">
        <f>HYPERLINK("https://klasma.github.io/Logging_0188/artfynd/A 364-2026 artfynd.xlsx", "A 364-2026")</f>
        <v/>
      </c>
      <c r="T97">
        <f>HYPERLINK("https://klasma.github.io/Logging_0188/kartor/A 364-2026 karta.png", "A 364-2026")</f>
        <v/>
      </c>
      <c r="V97">
        <f>HYPERLINK("https://klasma.github.io/Logging_0188/klagomål/A 364-2026 FSC-klagomål.docx", "A 364-2026")</f>
        <v/>
      </c>
      <c r="W97">
        <f>HYPERLINK("https://klasma.github.io/Logging_0188/klagomålsmail/A 364-2026 FSC-klagomål mail.docx", "A 364-2026")</f>
        <v/>
      </c>
      <c r="X97">
        <f>HYPERLINK("https://klasma.github.io/Logging_0188/tillsyn/A 364-2026 tillsynsbegäran.docx", "A 364-2026")</f>
        <v/>
      </c>
      <c r="Y97">
        <f>HYPERLINK("https://klasma.github.io/Logging_0188/tillsynsmail/A 364-2026 tillsynsbegäran mail.docx", "A 364-2026")</f>
        <v/>
      </c>
    </row>
    <row r="98" ht="15" customHeight="1">
      <c r="A98" t="inlineStr">
        <is>
          <t>A 4595-2023</t>
        </is>
      </c>
      <c r="B98" s="1" t="n">
        <v>44956</v>
      </c>
      <c r="C98" s="1" t="n">
        <v>46031</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40861-2025</t>
        </is>
      </c>
      <c r="B99" s="1" t="n">
        <v>45897.56356481482</v>
      </c>
      <c r="C99" s="1" t="n">
        <v>46031</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13271-2025</t>
        </is>
      </c>
      <c r="B100" s="1" t="n">
        <v>45735.54510416667</v>
      </c>
      <c r="C100" s="1" t="n">
        <v>46031</v>
      </c>
      <c r="D100" t="inlineStr">
        <is>
          <t>STOCKHOLMS LÄN</t>
        </is>
      </c>
      <c r="E100" t="inlineStr">
        <is>
          <t>NORRTÄLJE</t>
        </is>
      </c>
      <c r="G100" t="n">
        <v>7.2</v>
      </c>
      <c r="H100" t="n">
        <v>1</v>
      </c>
      <c r="I100" t="n">
        <v>0</v>
      </c>
      <c r="J100" t="n">
        <v>0</v>
      </c>
      <c r="K100" t="n">
        <v>0</v>
      </c>
      <c r="L100" t="n">
        <v>1</v>
      </c>
      <c r="M100" t="n">
        <v>0</v>
      </c>
      <c r="N100" t="n">
        <v>0</v>
      </c>
      <c r="O100" t="n">
        <v>1</v>
      </c>
      <c r="P100" t="n">
        <v>1</v>
      </c>
      <c r="Q100" t="n">
        <v>1</v>
      </c>
      <c r="R100" s="2" t="inlineStr">
        <is>
          <t>Asknätfjäril</t>
        </is>
      </c>
      <c r="S100">
        <f>HYPERLINK("https://klasma.github.io/Logging_0188/artfynd/A 13271-2025 artfynd.xlsx", "A 13271-2025")</f>
        <v/>
      </c>
      <c r="T100">
        <f>HYPERLINK("https://klasma.github.io/Logging_0188/kartor/A 13271-2025 karta.png", "A 13271-2025")</f>
        <v/>
      </c>
      <c r="V100">
        <f>HYPERLINK("https://klasma.github.io/Logging_0188/klagomål/A 13271-2025 FSC-klagomål.docx", "A 13271-2025")</f>
        <v/>
      </c>
      <c r="W100">
        <f>HYPERLINK("https://klasma.github.io/Logging_0188/klagomålsmail/A 13271-2025 FSC-klagomål mail.docx", "A 13271-2025")</f>
        <v/>
      </c>
      <c r="X100">
        <f>HYPERLINK("https://klasma.github.io/Logging_0188/tillsyn/A 13271-2025 tillsynsbegäran.docx", "A 13271-2025")</f>
        <v/>
      </c>
      <c r="Y100">
        <f>HYPERLINK("https://klasma.github.io/Logging_0188/tillsynsmail/A 13271-2025 tillsynsbegäran mail.docx", "A 13271-2025")</f>
        <v/>
      </c>
    </row>
    <row r="101" ht="15" customHeight="1">
      <c r="A101" t="inlineStr">
        <is>
          <t>A 42313-2025</t>
        </is>
      </c>
      <c r="B101" s="1" t="n">
        <v>45904.6575</v>
      </c>
      <c r="C101" s="1" t="n">
        <v>46031</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25709-2025</t>
        </is>
      </c>
      <c r="B102" s="1" t="n">
        <v>45800</v>
      </c>
      <c r="C102" s="1" t="n">
        <v>46031</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25725-2025</t>
        </is>
      </c>
      <c r="B103" s="1" t="n">
        <v>45800</v>
      </c>
      <c r="C103" s="1" t="n">
        <v>46031</v>
      </c>
      <c r="D103" t="inlineStr">
        <is>
          <t>STOCKHOLMS LÄN</t>
        </is>
      </c>
      <c r="E103" t="inlineStr">
        <is>
          <t>NORRTÄLJE</t>
        </is>
      </c>
      <c r="G103" t="n">
        <v>5.2</v>
      </c>
      <c r="H103" t="n">
        <v>0</v>
      </c>
      <c r="I103" t="n">
        <v>0</v>
      </c>
      <c r="J103" t="n">
        <v>1</v>
      </c>
      <c r="K103" t="n">
        <v>0</v>
      </c>
      <c r="L103" t="n">
        <v>0</v>
      </c>
      <c r="M103" t="n">
        <v>0</v>
      </c>
      <c r="N103" t="n">
        <v>0</v>
      </c>
      <c r="O103" t="n">
        <v>1</v>
      </c>
      <c r="P103" t="n">
        <v>0</v>
      </c>
      <c r="Q103" t="n">
        <v>1</v>
      </c>
      <c r="R103" s="2" t="inlineStr">
        <is>
          <t>Tallticka</t>
        </is>
      </c>
      <c r="S103">
        <f>HYPERLINK("https://klasma.github.io/Logging_0188/artfynd/A 25725-2025 artfynd.xlsx", "A 25725-2025")</f>
        <v/>
      </c>
      <c r="T103">
        <f>HYPERLINK("https://klasma.github.io/Logging_0188/kartor/A 25725-2025 karta.png", "A 25725-2025")</f>
        <v/>
      </c>
      <c r="V103">
        <f>HYPERLINK("https://klasma.github.io/Logging_0188/klagomål/A 25725-2025 FSC-klagomål.docx", "A 25725-2025")</f>
        <v/>
      </c>
      <c r="W103">
        <f>HYPERLINK("https://klasma.github.io/Logging_0188/klagomålsmail/A 25725-2025 FSC-klagomål mail.docx", "A 25725-2025")</f>
        <v/>
      </c>
      <c r="X103">
        <f>HYPERLINK("https://klasma.github.io/Logging_0188/tillsyn/A 25725-2025 tillsynsbegäran.docx", "A 25725-2025")</f>
        <v/>
      </c>
      <c r="Y103">
        <f>HYPERLINK("https://klasma.github.io/Logging_0188/tillsynsmail/A 25725-2025 tillsynsbegäran mail.docx", "A 25725-2025")</f>
        <v/>
      </c>
    </row>
    <row r="104" ht="15" customHeight="1">
      <c r="A104" t="inlineStr">
        <is>
          <t>A 4860-2022</t>
        </is>
      </c>
      <c r="B104" s="1" t="n">
        <v>44592</v>
      </c>
      <c r="C104" s="1" t="n">
        <v>46031</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35649-2023</t>
        </is>
      </c>
      <c r="B105" s="1" t="n">
        <v>45146</v>
      </c>
      <c r="C105" s="1" t="n">
        <v>46031</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35764-2024</t>
        </is>
      </c>
      <c r="B106" s="1" t="n">
        <v>45532</v>
      </c>
      <c r="C106" s="1" t="n">
        <v>46031</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25669-2025</t>
        </is>
      </c>
      <c r="B107" s="1" t="n">
        <v>45803.62766203703</v>
      </c>
      <c r="C107" s="1" t="n">
        <v>46031</v>
      </c>
      <c r="D107" t="inlineStr">
        <is>
          <t>STOCKHOLMS LÄN</t>
        </is>
      </c>
      <c r="E107" t="inlineStr">
        <is>
          <t>NORRTÄLJE</t>
        </is>
      </c>
      <c r="F107" t="inlineStr">
        <is>
          <t>Holmen skog AB</t>
        </is>
      </c>
      <c r="G107" t="n">
        <v>3.1</v>
      </c>
      <c r="H107" t="n">
        <v>1</v>
      </c>
      <c r="I107" t="n">
        <v>0</v>
      </c>
      <c r="J107" t="n">
        <v>0</v>
      </c>
      <c r="K107" t="n">
        <v>0</v>
      </c>
      <c r="L107" t="n">
        <v>0</v>
      </c>
      <c r="M107" t="n">
        <v>0</v>
      </c>
      <c r="N107" t="n">
        <v>0</v>
      </c>
      <c r="O107" t="n">
        <v>0</v>
      </c>
      <c r="P107" t="n">
        <v>0</v>
      </c>
      <c r="Q107" t="n">
        <v>1</v>
      </c>
      <c r="R107" s="2" t="inlineStr">
        <is>
          <t>Tjäder</t>
        </is>
      </c>
      <c r="S107">
        <f>HYPERLINK("https://klasma.github.io/Logging_0188/artfynd/A 25669-2025 artfynd.xlsx", "A 25669-2025")</f>
        <v/>
      </c>
      <c r="T107">
        <f>HYPERLINK("https://klasma.github.io/Logging_0188/kartor/A 25669-2025 karta.png", "A 25669-2025")</f>
        <v/>
      </c>
      <c r="V107">
        <f>HYPERLINK("https://klasma.github.io/Logging_0188/klagomål/A 25669-2025 FSC-klagomål.docx", "A 25669-2025")</f>
        <v/>
      </c>
      <c r="W107">
        <f>HYPERLINK("https://klasma.github.io/Logging_0188/klagomålsmail/A 25669-2025 FSC-klagomål mail.docx", "A 25669-2025")</f>
        <v/>
      </c>
      <c r="X107">
        <f>HYPERLINK("https://klasma.github.io/Logging_0188/tillsyn/A 25669-2025 tillsynsbegäran.docx", "A 25669-2025")</f>
        <v/>
      </c>
      <c r="Y107">
        <f>HYPERLINK("https://klasma.github.io/Logging_0188/tillsynsmail/A 25669-2025 tillsynsbegäran mail.docx", "A 25669-2025")</f>
        <v/>
      </c>
      <c r="Z107">
        <f>HYPERLINK("https://klasma.github.io/Logging_0188/fåglar/A 25669-2025 prioriterade fågelarter.docx", "A 25669-2025")</f>
        <v/>
      </c>
    </row>
    <row r="108" ht="15" customHeight="1">
      <c r="A108" t="inlineStr">
        <is>
          <t>A 13291-2025</t>
        </is>
      </c>
      <c r="B108" s="1" t="n">
        <v>45735</v>
      </c>
      <c r="C108" s="1" t="n">
        <v>46031</v>
      </c>
      <c r="D108" t="inlineStr">
        <is>
          <t>STOCKHOLMS LÄN</t>
        </is>
      </c>
      <c r="E108" t="inlineStr">
        <is>
          <t>NORRTÄLJE</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HYPERLINK("https://klasma.github.io/Logging_0188/artfynd/A 13291-2025 artfynd.xlsx", "A 13291-2025")</f>
        <v/>
      </c>
      <c r="T108">
        <f>HYPERLINK("https://klasma.github.io/Logging_0188/kartor/A 13291-2025 karta.png", "A 13291-2025")</f>
        <v/>
      </c>
      <c r="V108">
        <f>HYPERLINK("https://klasma.github.io/Logging_0188/klagomål/A 13291-2025 FSC-klagomål.docx", "A 13291-2025")</f>
        <v/>
      </c>
      <c r="W108">
        <f>HYPERLINK("https://klasma.github.io/Logging_0188/klagomålsmail/A 13291-2025 FSC-klagomål mail.docx", "A 13291-2025")</f>
        <v/>
      </c>
      <c r="X108">
        <f>HYPERLINK("https://klasma.github.io/Logging_0188/tillsyn/A 13291-2025 tillsynsbegäran.docx", "A 13291-2025")</f>
        <v/>
      </c>
      <c r="Y108">
        <f>HYPERLINK("https://klasma.github.io/Logging_0188/tillsynsmail/A 13291-2025 tillsynsbegäran mail.docx", "A 13291-2025")</f>
        <v/>
      </c>
    </row>
    <row r="109" ht="15" customHeight="1">
      <c r="A109" t="inlineStr">
        <is>
          <t>A 6381-2023</t>
        </is>
      </c>
      <c r="B109" s="1" t="n">
        <v>44965</v>
      </c>
      <c r="C109" s="1" t="n">
        <v>46031</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39158-2025</t>
        </is>
      </c>
      <c r="B110" s="1" t="n">
        <v>45888</v>
      </c>
      <c r="C110" s="1" t="n">
        <v>46031</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58888-2021</t>
        </is>
      </c>
      <c r="B111" s="1" t="n">
        <v>44489</v>
      </c>
      <c r="C111" s="1" t="n">
        <v>46031</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29946-2025</t>
        </is>
      </c>
      <c r="B112" s="1" t="n">
        <v>45826.46392361111</v>
      </c>
      <c r="C112" s="1" t="n">
        <v>46031</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59682-2025</t>
        </is>
      </c>
      <c r="B113" s="1" t="n">
        <v>45992.47116898148</v>
      </c>
      <c r="C113" s="1" t="n">
        <v>46031</v>
      </c>
      <c r="D113" t="inlineStr">
        <is>
          <t>STOCKHOLMS LÄN</t>
        </is>
      </c>
      <c r="E113" t="inlineStr">
        <is>
          <t>NORRTÄLJE</t>
        </is>
      </c>
      <c r="G113" t="n">
        <v>1.6</v>
      </c>
      <c r="H113" t="n">
        <v>0</v>
      </c>
      <c r="I113" t="n">
        <v>1</v>
      </c>
      <c r="J113" t="n">
        <v>0</v>
      </c>
      <c r="K113" t="n">
        <v>0</v>
      </c>
      <c r="L113" t="n">
        <v>0</v>
      </c>
      <c r="M113" t="n">
        <v>0</v>
      </c>
      <c r="N113" t="n">
        <v>0</v>
      </c>
      <c r="O113" t="n">
        <v>0</v>
      </c>
      <c r="P113" t="n">
        <v>0</v>
      </c>
      <c r="Q113" t="n">
        <v>1</v>
      </c>
      <c r="R113" s="2" t="inlineStr">
        <is>
          <t>Grönpyrola</t>
        </is>
      </c>
      <c r="S113">
        <f>HYPERLINK("https://klasma.github.io/Logging_0188/artfynd/A 59682-2025 artfynd.xlsx", "A 59682-2025")</f>
        <v/>
      </c>
      <c r="T113">
        <f>HYPERLINK("https://klasma.github.io/Logging_0188/kartor/A 59682-2025 karta.png", "A 59682-2025")</f>
        <v/>
      </c>
      <c r="V113">
        <f>HYPERLINK("https://klasma.github.io/Logging_0188/klagomål/A 59682-2025 FSC-klagomål.docx", "A 59682-2025")</f>
        <v/>
      </c>
      <c r="W113">
        <f>HYPERLINK("https://klasma.github.io/Logging_0188/klagomålsmail/A 59682-2025 FSC-klagomål mail.docx", "A 59682-2025")</f>
        <v/>
      </c>
      <c r="X113">
        <f>HYPERLINK("https://klasma.github.io/Logging_0188/tillsyn/A 59682-2025 tillsynsbegäran.docx", "A 59682-2025")</f>
        <v/>
      </c>
      <c r="Y113">
        <f>HYPERLINK("https://klasma.github.io/Logging_0188/tillsynsmail/A 59682-2025 tillsynsbegäran mail.docx", "A 59682-2025")</f>
        <v/>
      </c>
    </row>
    <row r="114" ht="15" customHeight="1">
      <c r="A114" t="inlineStr">
        <is>
          <t>A 21744-2023</t>
        </is>
      </c>
      <c r="B114" s="1" t="n">
        <v>45065</v>
      </c>
      <c r="C114" s="1" t="n">
        <v>46031</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17952-2022</t>
        </is>
      </c>
      <c r="B115" s="1" t="n">
        <v>44683</v>
      </c>
      <c r="C115" s="1" t="n">
        <v>46031</v>
      </c>
      <c r="D115" t="inlineStr">
        <is>
          <t>STOCKHOLMS LÄN</t>
        </is>
      </c>
      <c r="E115" t="inlineStr">
        <is>
          <t>NORRTÄLJE</t>
        </is>
      </c>
      <c r="G115" t="n">
        <v>51.1</v>
      </c>
      <c r="H115" t="n">
        <v>0</v>
      </c>
      <c r="I115" t="n">
        <v>0</v>
      </c>
      <c r="J115" t="n">
        <v>0</v>
      </c>
      <c r="K115" t="n">
        <v>1</v>
      </c>
      <c r="L115" t="n">
        <v>0</v>
      </c>
      <c r="M115" t="n">
        <v>0</v>
      </c>
      <c r="N115" t="n">
        <v>0</v>
      </c>
      <c r="O115" t="n">
        <v>1</v>
      </c>
      <c r="P115" t="n">
        <v>1</v>
      </c>
      <c r="Q115" t="n">
        <v>1</v>
      </c>
      <c r="R115" s="2" t="inlineStr">
        <is>
          <t>Kattunvisslare</t>
        </is>
      </c>
      <c r="S115">
        <f>HYPERLINK("https://klasma.github.io/Logging_0188/artfynd/A 17952-2022 artfynd.xlsx", "A 17952-2022")</f>
        <v/>
      </c>
      <c r="T115">
        <f>HYPERLINK("https://klasma.github.io/Logging_0188/kartor/A 17952-2022 karta.png", "A 17952-2022")</f>
        <v/>
      </c>
      <c r="V115">
        <f>HYPERLINK("https://klasma.github.io/Logging_0188/klagomål/A 17952-2022 FSC-klagomål.docx", "A 17952-2022")</f>
        <v/>
      </c>
      <c r="W115">
        <f>HYPERLINK("https://klasma.github.io/Logging_0188/klagomålsmail/A 17952-2022 FSC-klagomål mail.docx", "A 17952-2022")</f>
        <v/>
      </c>
      <c r="X115">
        <f>HYPERLINK("https://klasma.github.io/Logging_0188/tillsyn/A 17952-2022 tillsynsbegäran.docx", "A 17952-2022")</f>
        <v/>
      </c>
      <c r="Y115">
        <f>HYPERLINK("https://klasma.github.io/Logging_0188/tillsynsmail/A 17952-2022 tillsynsbegäran mail.docx", "A 17952-2022")</f>
        <v/>
      </c>
    </row>
    <row r="116" ht="15" customHeight="1">
      <c r="A116" t="inlineStr">
        <is>
          <t>A 33548-2025</t>
        </is>
      </c>
      <c r="B116" s="1" t="n">
        <v>45841.5721875</v>
      </c>
      <c r="C116" s="1" t="n">
        <v>46031</v>
      </c>
      <c r="D116" t="inlineStr">
        <is>
          <t>STOCKHOLMS LÄN</t>
        </is>
      </c>
      <c r="E116" t="inlineStr">
        <is>
          <t>NORRTÄLJE</t>
        </is>
      </c>
      <c r="G116" t="n">
        <v>12.2</v>
      </c>
      <c r="H116" t="n">
        <v>0</v>
      </c>
      <c r="I116" t="n">
        <v>0</v>
      </c>
      <c r="J116" t="n">
        <v>1</v>
      </c>
      <c r="K116" t="n">
        <v>0</v>
      </c>
      <c r="L116" t="n">
        <v>0</v>
      </c>
      <c r="M116" t="n">
        <v>0</v>
      </c>
      <c r="N116" t="n">
        <v>0</v>
      </c>
      <c r="O116" t="n">
        <v>1</v>
      </c>
      <c r="P116" t="n">
        <v>0</v>
      </c>
      <c r="Q116" t="n">
        <v>1</v>
      </c>
      <c r="R116" s="2" t="inlineStr">
        <is>
          <t>Dofttaggsvamp</t>
        </is>
      </c>
      <c r="S116">
        <f>HYPERLINK("https://klasma.github.io/Logging_0188/artfynd/A 33548-2025 artfynd.xlsx", "A 33548-2025")</f>
        <v/>
      </c>
      <c r="T116">
        <f>HYPERLINK("https://klasma.github.io/Logging_0188/kartor/A 33548-2025 karta.png", "A 33548-2025")</f>
        <v/>
      </c>
      <c r="V116">
        <f>HYPERLINK("https://klasma.github.io/Logging_0188/klagomål/A 33548-2025 FSC-klagomål.docx", "A 33548-2025")</f>
        <v/>
      </c>
      <c r="W116">
        <f>HYPERLINK("https://klasma.github.io/Logging_0188/klagomålsmail/A 33548-2025 FSC-klagomål mail.docx", "A 33548-2025")</f>
        <v/>
      </c>
      <c r="X116">
        <f>HYPERLINK("https://klasma.github.io/Logging_0188/tillsyn/A 33548-2025 tillsynsbegäran.docx", "A 33548-2025")</f>
        <v/>
      </c>
      <c r="Y116">
        <f>HYPERLINK("https://klasma.github.io/Logging_0188/tillsynsmail/A 33548-2025 tillsynsbegäran mail.docx", "A 33548-2025")</f>
        <v/>
      </c>
    </row>
    <row r="117" ht="15" customHeight="1">
      <c r="A117" t="inlineStr">
        <is>
          <t>A 52775-2025</t>
        </is>
      </c>
      <c r="B117" s="1" t="n">
        <v>45957.41608796296</v>
      </c>
      <c r="C117" s="1" t="n">
        <v>46031</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33546-2025</t>
        </is>
      </c>
      <c r="B118" s="1" t="n">
        <v>45841.56996527778</v>
      </c>
      <c r="C118" s="1" t="n">
        <v>46031</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53716-2025</t>
        </is>
      </c>
      <c r="B119" s="1" t="n">
        <v>45960.61782407408</v>
      </c>
      <c r="C119" s="1" t="n">
        <v>46031</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23146-2024</t>
        </is>
      </c>
      <c r="B120" s="1" t="n">
        <v>45450.63958333333</v>
      </c>
      <c r="C120" s="1" t="n">
        <v>46031</v>
      </c>
      <c r="D120" t="inlineStr">
        <is>
          <t>STOCKHOLMS LÄN</t>
        </is>
      </c>
      <c r="E120" t="inlineStr">
        <is>
          <t>NORRTÄLJE</t>
        </is>
      </c>
      <c r="F120" t="inlineStr">
        <is>
          <t>Kommuner</t>
        </is>
      </c>
      <c r="G120" t="n">
        <v>6</v>
      </c>
      <c r="H120" t="n">
        <v>0</v>
      </c>
      <c r="I120" t="n">
        <v>0</v>
      </c>
      <c r="J120" t="n">
        <v>1</v>
      </c>
      <c r="K120" t="n">
        <v>0</v>
      </c>
      <c r="L120" t="n">
        <v>0</v>
      </c>
      <c r="M120" t="n">
        <v>0</v>
      </c>
      <c r="N120" t="n">
        <v>0</v>
      </c>
      <c r="O120" t="n">
        <v>1</v>
      </c>
      <c r="P120" t="n">
        <v>0</v>
      </c>
      <c r="Q120" t="n">
        <v>1</v>
      </c>
      <c r="R120" s="2" t="inlineStr">
        <is>
          <t>Motaggsvamp</t>
        </is>
      </c>
      <c r="S120">
        <f>HYPERLINK("https://klasma.github.io/Logging_0188/artfynd/A 23146-2024 artfynd.xlsx", "A 23146-2024")</f>
        <v/>
      </c>
      <c r="T120">
        <f>HYPERLINK("https://klasma.github.io/Logging_0188/kartor/A 23146-2024 karta.png", "A 23146-2024")</f>
        <v/>
      </c>
      <c r="V120">
        <f>HYPERLINK("https://klasma.github.io/Logging_0188/klagomål/A 23146-2024 FSC-klagomål.docx", "A 23146-2024")</f>
        <v/>
      </c>
      <c r="W120">
        <f>HYPERLINK("https://klasma.github.io/Logging_0188/klagomålsmail/A 23146-2024 FSC-klagomål mail.docx", "A 23146-2024")</f>
        <v/>
      </c>
      <c r="X120">
        <f>HYPERLINK("https://klasma.github.io/Logging_0188/tillsyn/A 23146-2024 tillsynsbegäran.docx", "A 23146-2024")</f>
        <v/>
      </c>
      <c r="Y120">
        <f>HYPERLINK("https://klasma.github.io/Logging_0188/tillsynsmail/A 23146-2024 tillsynsbegäran mail.docx", "A 23146-2024")</f>
        <v/>
      </c>
    </row>
    <row r="121" ht="15" customHeight="1">
      <c r="A121" t="inlineStr">
        <is>
          <t>A 16870-2025</t>
        </is>
      </c>
      <c r="B121" s="1" t="n">
        <v>45754</v>
      </c>
      <c r="C121" s="1" t="n">
        <v>46031</v>
      </c>
      <c r="D121" t="inlineStr">
        <is>
          <t>STOCKHOLMS LÄN</t>
        </is>
      </c>
      <c r="E121" t="inlineStr">
        <is>
          <t>NORRTÄLJE</t>
        </is>
      </c>
      <c r="G121" t="n">
        <v>24.6</v>
      </c>
      <c r="H121" t="n">
        <v>1</v>
      </c>
      <c r="I121" t="n">
        <v>0</v>
      </c>
      <c r="J121" t="n">
        <v>0</v>
      </c>
      <c r="K121" t="n">
        <v>0</v>
      </c>
      <c r="L121" t="n">
        <v>0</v>
      </c>
      <c r="M121" t="n">
        <v>0</v>
      </c>
      <c r="N121" t="n">
        <v>0</v>
      </c>
      <c r="O121" t="n">
        <v>0</v>
      </c>
      <c r="P121" t="n">
        <v>0</v>
      </c>
      <c r="Q121" t="n">
        <v>1</v>
      </c>
      <c r="R121" s="2" t="inlineStr">
        <is>
          <t>Vanlig groda</t>
        </is>
      </c>
      <c r="S121">
        <f>HYPERLINK("https://klasma.github.io/Logging_0188/artfynd/A 16870-2025 artfynd.xlsx", "A 16870-2025")</f>
        <v/>
      </c>
      <c r="T121">
        <f>HYPERLINK("https://klasma.github.io/Logging_0188/kartor/A 16870-2025 karta.png", "A 16870-2025")</f>
        <v/>
      </c>
      <c r="V121">
        <f>HYPERLINK("https://klasma.github.io/Logging_0188/klagomål/A 16870-2025 FSC-klagomål.docx", "A 16870-2025")</f>
        <v/>
      </c>
      <c r="W121">
        <f>HYPERLINK("https://klasma.github.io/Logging_0188/klagomålsmail/A 16870-2025 FSC-klagomål mail.docx", "A 16870-2025")</f>
        <v/>
      </c>
      <c r="X121">
        <f>HYPERLINK("https://klasma.github.io/Logging_0188/tillsyn/A 16870-2025 tillsynsbegäran.docx", "A 16870-2025")</f>
        <v/>
      </c>
      <c r="Y121">
        <f>HYPERLINK("https://klasma.github.io/Logging_0188/tillsynsmail/A 16870-2025 tillsynsbegäran mail.docx", "A 16870-2025")</f>
        <v/>
      </c>
    </row>
    <row r="122" ht="15" customHeight="1">
      <c r="A122" t="inlineStr">
        <is>
          <t>A 27538-2024</t>
        </is>
      </c>
      <c r="B122" s="1" t="n">
        <v>45474</v>
      </c>
      <c r="C122" s="1" t="n">
        <v>46031</v>
      </c>
      <c r="D122" t="inlineStr">
        <is>
          <t>STOCKHOLMS LÄN</t>
        </is>
      </c>
      <c r="E122" t="inlineStr">
        <is>
          <t>NORRTÄLJE</t>
        </is>
      </c>
      <c r="G122" t="n">
        <v>1.5</v>
      </c>
      <c r="H122" t="n">
        <v>1</v>
      </c>
      <c r="I122" t="n">
        <v>1</v>
      </c>
      <c r="J122" t="n">
        <v>0</v>
      </c>
      <c r="K122" t="n">
        <v>0</v>
      </c>
      <c r="L122" t="n">
        <v>0</v>
      </c>
      <c r="M122" t="n">
        <v>0</v>
      </c>
      <c r="N122" t="n">
        <v>0</v>
      </c>
      <c r="O122" t="n">
        <v>0</v>
      </c>
      <c r="P122" t="n">
        <v>0</v>
      </c>
      <c r="Q122" t="n">
        <v>1</v>
      </c>
      <c r="R122" s="2" t="inlineStr">
        <is>
          <t>Skogsknipprot</t>
        </is>
      </c>
      <c r="S122">
        <f>HYPERLINK("https://klasma.github.io/Logging_0188/artfynd/A 27538-2024 artfynd.xlsx", "A 27538-2024")</f>
        <v/>
      </c>
      <c r="T122">
        <f>HYPERLINK("https://klasma.github.io/Logging_0188/kartor/A 27538-2024 karta.png", "A 27538-2024")</f>
        <v/>
      </c>
      <c r="V122">
        <f>HYPERLINK("https://klasma.github.io/Logging_0188/klagomål/A 27538-2024 FSC-klagomål.docx", "A 27538-2024")</f>
        <v/>
      </c>
      <c r="W122">
        <f>HYPERLINK("https://klasma.github.io/Logging_0188/klagomålsmail/A 27538-2024 FSC-klagomål mail.docx", "A 27538-2024")</f>
        <v/>
      </c>
      <c r="X122">
        <f>HYPERLINK("https://klasma.github.io/Logging_0188/tillsyn/A 27538-2024 tillsynsbegäran.docx", "A 27538-2024")</f>
        <v/>
      </c>
      <c r="Y122">
        <f>HYPERLINK("https://klasma.github.io/Logging_0188/tillsynsmail/A 27538-2024 tillsynsbegäran mail.docx", "A 27538-2024")</f>
        <v/>
      </c>
    </row>
    <row r="123" ht="15" customHeight="1">
      <c r="A123" t="inlineStr">
        <is>
          <t>A 62715-2025</t>
        </is>
      </c>
      <c r="B123" s="1" t="n">
        <v>46008.52034722222</v>
      </c>
      <c r="C123" s="1" t="n">
        <v>46031</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46031</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4385-2023</t>
        </is>
      </c>
      <c r="B125" s="1" t="n">
        <v>44955.71322916666</v>
      </c>
      <c r="C125" s="1" t="n">
        <v>46031</v>
      </c>
      <c r="D125" t="inlineStr">
        <is>
          <t>STOCKHOLMS LÄN</t>
        </is>
      </c>
      <c r="E125" t="inlineStr">
        <is>
          <t>NORRTÄLJE</t>
        </is>
      </c>
      <c r="G125" t="n">
        <v>7.8</v>
      </c>
      <c r="H125" t="n">
        <v>1</v>
      </c>
      <c r="I125" t="n">
        <v>1</v>
      </c>
      <c r="J125" t="n">
        <v>0</v>
      </c>
      <c r="K125" t="n">
        <v>0</v>
      </c>
      <c r="L125" t="n">
        <v>0</v>
      </c>
      <c r="M125" t="n">
        <v>0</v>
      </c>
      <c r="N125" t="n">
        <v>0</v>
      </c>
      <c r="O125" t="n">
        <v>0</v>
      </c>
      <c r="P125" t="n">
        <v>0</v>
      </c>
      <c r="Q125" t="n">
        <v>1</v>
      </c>
      <c r="R125" s="2" t="inlineStr">
        <is>
          <t>Skogsknipprot</t>
        </is>
      </c>
      <c r="S125">
        <f>HYPERLINK("https://klasma.github.io/Logging_0188/artfynd/A 4385-2023 artfynd.xlsx", "A 4385-2023")</f>
        <v/>
      </c>
      <c r="T125">
        <f>HYPERLINK("https://klasma.github.io/Logging_0188/kartor/A 4385-2023 karta.png", "A 4385-2023")</f>
        <v/>
      </c>
      <c r="V125">
        <f>HYPERLINK("https://klasma.github.io/Logging_0188/klagomål/A 4385-2023 FSC-klagomål.docx", "A 4385-2023")</f>
        <v/>
      </c>
      <c r="W125">
        <f>HYPERLINK("https://klasma.github.io/Logging_0188/klagomålsmail/A 4385-2023 FSC-klagomål mail.docx", "A 4385-2023")</f>
        <v/>
      </c>
      <c r="X125">
        <f>HYPERLINK("https://klasma.github.io/Logging_0188/tillsyn/A 4385-2023 tillsynsbegäran.docx", "A 4385-2023")</f>
        <v/>
      </c>
      <c r="Y125">
        <f>HYPERLINK("https://klasma.github.io/Logging_0188/tillsynsmail/A 4385-2023 tillsynsbegäran mail.docx", "A 4385-2023")</f>
        <v/>
      </c>
    </row>
    <row r="126" ht="15" customHeight="1">
      <c r="A126" t="inlineStr">
        <is>
          <t>A 24330-2023</t>
        </is>
      </c>
      <c r="B126" s="1" t="n">
        <v>45081</v>
      </c>
      <c r="C126" s="1" t="n">
        <v>46031</v>
      </c>
      <c r="D126" t="inlineStr">
        <is>
          <t>STOCKHOLMS LÄN</t>
        </is>
      </c>
      <c r="E126" t="inlineStr">
        <is>
          <t>NORRTÄLJE</t>
        </is>
      </c>
      <c r="G126" t="n">
        <v>5</v>
      </c>
      <c r="H126" t="n">
        <v>1</v>
      </c>
      <c r="I126" t="n">
        <v>0</v>
      </c>
      <c r="J126" t="n">
        <v>1</v>
      </c>
      <c r="K126" t="n">
        <v>0</v>
      </c>
      <c r="L126" t="n">
        <v>0</v>
      </c>
      <c r="M126" t="n">
        <v>0</v>
      </c>
      <c r="N126" t="n">
        <v>0</v>
      </c>
      <c r="O126" t="n">
        <v>1</v>
      </c>
      <c r="P126" t="n">
        <v>0</v>
      </c>
      <c r="Q126" t="n">
        <v>1</v>
      </c>
      <c r="R126" s="2" t="inlineStr">
        <is>
          <t>Mindre hackspett</t>
        </is>
      </c>
      <c r="S126">
        <f>HYPERLINK("https://klasma.github.io/Logging_0188/artfynd/A 24330-2023 artfynd.xlsx", "A 24330-2023")</f>
        <v/>
      </c>
      <c r="T126">
        <f>HYPERLINK("https://klasma.github.io/Logging_0188/kartor/A 24330-2023 karta.png", "A 24330-2023")</f>
        <v/>
      </c>
      <c r="V126">
        <f>HYPERLINK("https://klasma.github.io/Logging_0188/klagomål/A 24330-2023 FSC-klagomål.docx", "A 24330-2023")</f>
        <v/>
      </c>
      <c r="W126">
        <f>HYPERLINK("https://klasma.github.io/Logging_0188/klagomålsmail/A 24330-2023 FSC-klagomål mail.docx", "A 24330-2023")</f>
        <v/>
      </c>
      <c r="X126">
        <f>HYPERLINK("https://klasma.github.io/Logging_0188/tillsyn/A 24330-2023 tillsynsbegäran.docx", "A 24330-2023")</f>
        <v/>
      </c>
      <c r="Y126">
        <f>HYPERLINK("https://klasma.github.io/Logging_0188/tillsynsmail/A 24330-2023 tillsynsbegäran mail.docx", "A 24330-2023")</f>
        <v/>
      </c>
      <c r="Z126">
        <f>HYPERLINK("https://klasma.github.io/Logging_0188/fåglar/A 24330-2023 prioriterade fågelarter.docx", "A 24330-2023")</f>
        <v/>
      </c>
    </row>
    <row r="127" ht="15" customHeight="1">
      <c r="A127" t="inlineStr">
        <is>
          <t>A 24535-2023</t>
        </is>
      </c>
      <c r="B127" s="1" t="n">
        <v>45082</v>
      </c>
      <c r="C127" s="1" t="n">
        <v>46031</v>
      </c>
      <c r="D127" t="inlineStr">
        <is>
          <t>STOCKHOLMS LÄN</t>
        </is>
      </c>
      <c r="E127" t="inlineStr">
        <is>
          <t>NORRTÄLJE</t>
        </is>
      </c>
      <c r="F127" t="inlineStr">
        <is>
          <t>Kommuner</t>
        </is>
      </c>
      <c r="G127" t="n">
        <v>2</v>
      </c>
      <c r="H127" t="n">
        <v>1</v>
      </c>
      <c r="I127" t="n">
        <v>0</v>
      </c>
      <c r="J127" t="n">
        <v>0</v>
      </c>
      <c r="K127" t="n">
        <v>0</v>
      </c>
      <c r="L127" t="n">
        <v>0</v>
      </c>
      <c r="M127" t="n">
        <v>0</v>
      </c>
      <c r="N127" t="n">
        <v>0</v>
      </c>
      <c r="O127" t="n">
        <v>0</v>
      </c>
      <c r="P127" t="n">
        <v>0</v>
      </c>
      <c r="Q127" t="n">
        <v>1</v>
      </c>
      <c r="R127" s="2" t="inlineStr">
        <is>
          <t>Blåsippa</t>
        </is>
      </c>
      <c r="S127">
        <f>HYPERLINK("https://klasma.github.io/Logging_0188/artfynd/A 24535-2023 artfynd.xlsx", "A 24535-2023")</f>
        <v/>
      </c>
      <c r="T127">
        <f>HYPERLINK("https://klasma.github.io/Logging_0188/kartor/A 24535-2023 karta.png", "A 24535-2023")</f>
        <v/>
      </c>
      <c r="V127">
        <f>HYPERLINK("https://klasma.github.io/Logging_0188/klagomål/A 24535-2023 FSC-klagomål.docx", "A 24535-2023")</f>
        <v/>
      </c>
      <c r="W127">
        <f>HYPERLINK("https://klasma.github.io/Logging_0188/klagomålsmail/A 24535-2023 FSC-klagomål mail.docx", "A 24535-2023")</f>
        <v/>
      </c>
      <c r="X127">
        <f>HYPERLINK("https://klasma.github.io/Logging_0188/tillsyn/A 24535-2023 tillsynsbegäran.docx", "A 24535-2023")</f>
        <v/>
      </c>
      <c r="Y127">
        <f>HYPERLINK("https://klasma.github.io/Logging_0188/tillsynsmail/A 24535-2023 tillsynsbegäran mail.docx", "A 24535-2023")</f>
        <v/>
      </c>
    </row>
    <row r="128" ht="15" customHeight="1">
      <c r="A128" t="inlineStr">
        <is>
          <t>A 26635-2023</t>
        </is>
      </c>
      <c r="B128" s="1" t="n">
        <v>45092</v>
      </c>
      <c r="C128" s="1" t="n">
        <v>46031</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8371-2025</t>
        </is>
      </c>
      <c r="B129" s="1" t="n">
        <v>45708</v>
      </c>
      <c r="C129" s="1" t="n">
        <v>46031</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19829-2022</t>
        </is>
      </c>
      <c r="B130" s="1" t="n">
        <v>44695.43527777777</v>
      </c>
      <c r="C130" s="1" t="n">
        <v>46031</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35691-2023</t>
        </is>
      </c>
      <c r="B131" s="1" t="n">
        <v>45147.65222222222</v>
      </c>
      <c r="C131" s="1" t="n">
        <v>46031</v>
      </c>
      <c r="D131" t="inlineStr">
        <is>
          <t>STOCKHOLMS LÄN</t>
        </is>
      </c>
      <c r="E131" t="inlineStr">
        <is>
          <t>NORRTÄLJE</t>
        </is>
      </c>
      <c r="G131" t="n">
        <v>2.3</v>
      </c>
      <c r="H131" t="n">
        <v>1</v>
      </c>
      <c r="I131" t="n">
        <v>0</v>
      </c>
      <c r="J131" t="n">
        <v>0</v>
      </c>
      <c r="K131" t="n">
        <v>0</v>
      </c>
      <c r="L131" t="n">
        <v>0</v>
      </c>
      <c r="M131" t="n">
        <v>0</v>
      </c>
      <c r="N131" t="n">
        <v>0</v>
      </c>
      <c r="O131" t="n">
        <v>0</v>
      </c>
      <c r="P131" t="n">
        <v>0</v>
      </c>
      <c r="Q131" t="n">
        <v>1</v>
      </c>
      <c r="R131" s="2" t="inlineStr">
        <is>
          <t>Kungsfågel</t>
        </is>
      </c>
      <c r="S131">
        <f>HYPERLINK("https://klasma.github.io/Logging_0188/artfynd/A 35691-2023 artfynd.xlsx", "A 35691-2023")</f>
        <v/>
      </c>
      <c r="T131">
        <f>HYPERLINK("https://klasma.github.io/Logging_0188/kartor/A 35691-2023 karta.png", "A 35691-2023")</f>
        <v/>
      </c>
      <c r="V131">
        <f>HYPERLINK("https://klasma.github.io/Logging_0188/klagomål/A 35691-2023 FSC-klagomål.docx", "A 35691-2023")</f>
        <v/>
      </c>
      <c r="W131">
        <f>HYPERLINK("https://klasma.github.io/Logging_0188/klagomålsmail/A 35691-2023 FSC-klagomål mail.docx", "A 35691-2023")</f>
        <v/>
      </c>
      <c r="X131">
        <f>HYPERLINK("https://klasma.github.io/Logging_0188/tillsyn/A 35691-2023 tillsynsbegäran.docx", "A 35691-2023")</f>
        <v/>
      </c>
      <c r="Y131">
        <f>HYPERLINK("https://klasma.github.io/Logging_0188/tillsynsmail/A 35691-2023 tillsynsbegäran mail.docx", "A 35691-2023")</f>
        <v/>
      </c>
      <c r="Z131">
        <f>HYPERLINK("https://klasma.github.io/Logging_0188/fåglar/A 35691-2023 prioriterade fågelarter.docx", "A 35691-2023")</f>
        <v/>
      </c>
    </row>
    <row r="132" ht="15" customHeight="1">
      <c r="A132" t="inlineStr">
        <is>
          <t>A 35693-2023</t>
        </is>
      </c>
      <c r="B132" s="1" t="n">
        <v>45147.65311342593</v>
      </c>
      <c r="C132" s="1" t="n">
        <v>46031</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Motaggsvamp</t>
        </is>
      </c>
      <c r="S132">
        <f>HYPERLINK("https://klasma.github.io/Logging_0188/artfynd/A 35693-2023 artfynd.xlsx", "A 35693-2023")</f>
        <v/>
      </c>
      <c r="T132">
        <f>HYPERLINK("https://klasma.github.io/Logging_0188/kartor/A 35693-2023 karta.png", "A 35693-2023")</f>
        <v/>
      </c>
      <c r="V132">
        <f>HYPERLINK("https://klasma.github.io/Logging_0188/klagomål/A 35693-2023 FSC-klagomål.docx", "A 35693-2023")</f>
        <v/>
      </c>
      <c r="W132">
        <f>HYPERLINK("https://klasma.github.io/Logging_0188/klagomålsmail/A 35693-2023 FSC-klagomål mail.docx", "A 35693-2023")</f>
        <v/>
      </c>
      <c r="X132">
        <f>HYPERLINK("https://klasma.github.io/Logging_0188/tillsyn/A 35693-2023 tillsynsbegäran.docx", "A 35693-2023")</f>
        <v/>
      </c>
      <c r="Y132">
        <f>HYPERLINK("https://klasma.github.io/Logging_0188/tillsynsmail/A 35693-2023 tillsynsbegäran mail.docx", "A 35693-2023")</f>
        <v/>
      </c>
    </row>
    <row r="133" ht="15" customHeight="1">
      <c r="A133" t="inlineStr">
        <is>
          <t>A 4532-2025</t>
        </is>
      </c>
      <c r="B133" s="1" t="n">
        <v>45687.34177083334</v>
      </c>
      <c r="C133" s="1" t="n">
        <v>46031</v>
      </c>
      <c r="D133" t="inlineStr">
        <is>
          <t>STOCKHOLMS LÄN</t>
        </is>
      </c>
      <c r="E133" t="inlineStr">
        <is>
          <t>NORRTÄLJE</t>
        </is>
      </c>
      <c r="F133" t="inlineStr">
        <is>
          <t>Holmen skog AB</t>
        </is>
      </c>
      <c r="G133" t="n">
        <v>6.4</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4532-2025 artfynd.xlsx", "A 4532-2025")</f>
        <v/>
      </c>
      <c r="T133">
        <f>HYPERLINK("https://klasma.github.io/Logging_0188/kartor/A 4532-2025 karta.png", "A 4532-2025")</f>
        <v/>
      </c>
      <c r="V133">
        <f>HYPERLINK("https://klasma.github.io/Logging_0188/klagomål/A 4532-2025 FSC-klagomål.docx", "A 4532-2025")</f>
        <v/>
      </c>
      <c r="W133">
        <f>HYPERLINK("https://klasma.github.io/Logging_0188/klagomålsmail/A 4532-2025 FSC-klagomål mail.docx", "A 4532-2025")</f>
        <v/>
      </c>
      <c r="X133">
        <f>HYPERLINK("https://klasma.github.io/Logging_0188/tillsyn/A 4532-2025 tillsynsbegäran.docx", "A 4532-2025")</f>
        <v/>
      </c>
      <c r="Y133">
        <f>HYPERLINK("https://klasma.github.io/Logging_0188/tillsynsmail/A 4532-2025 tillsynsbegäran mail.docx", "A 4532-2025")</f>
        <v/>
      </c>
    </row>
    <row r="134" ht="15" customHeight="1">
      <c r="A134" t="inlineStr">
        <is>
          <t>A 14365-2025</t>
        </is>
      </c>
      <c r="B134" s="1" t="n">
        <v>45741.38688657407</v>
      </c>
      <c r="C134" s="1" t="n">
        <v>46031</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21150-2022</t>
        </is>
      </c>
      <c r="B135" s="1" t="n">
        <v>44704</v>
      </c>
      <c r="C135" s="1" t="n">
        <v>46031</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21150-2022 artfynd.xlsx", "A 21150-2022")</f>
        <v/>
      </c>
      <c r="T135">
        <f>HYPERLINK("https://klasma.github.io/Logging_0188/kartor/A 21150-2022 karta.png", "A 21150-2022")</f>
        <v/>
      </c>
      <c r="V135">
        <f>HYPERLINK("https://klasma.github.io/Logging_0188/klagomål/A 21150-2022 FSC-klagomål.docx", "A 21150-2022")</f>
        <v/>
      </c>
      <c r="W135">
        <f>HYPERLINK("https://klasma.github.io/Logging_0188/klagomålsmail/A 21150-2022 FSC-klagomål mail.docx", "A 21150-2022")</f>
        <v/>
      </c>
      <c r="X135">
        <f>HYPERLINK("https://klasma.github.io/Logging_0188/tillsyn/A 21150-2022 tillsynsbegäran.docx", "A 21150-2022")</f>
        <v/>
      </c>
      <c r="Y135">
        <f>HYPERLINK("https://klasma.github.io/Logging_0188/tillsynsmail/A 21150-2022 tillsynsbegäran mail.docx", "A 21150-2022")</f>
        <v/>
      </c>
    </row>
    <row r="136" ht="15" customHeight="1">
      <c r="A136" t="inlineStr">
        <is>
          <t>A 1162-2021</t>
        </is>
      </c>
      <c r="B136" s="1" t="n">
        <v>44207</v>
      </c>
      <c r="C136" s="1" t="n">
        <v>46031</v>
      </c>
      <c r="D136" t="inlineStr">
        <is>
          <t>STOCKHOLMS LÄN</t>
        </is>
      </c>
      <c r="E136" t="inlineStr">
        <is>
          <t>NORRTÄLJE</t>
        </is>
      </c>
      <c r="G136" t="n">
        <v>2.2</v>
      </c>
      <c r="H136" t="n">
        <v>1</v>
      </c>
      <c r="I136" t="n">
        <v>0</v>
      </c>
      <c r="J136" t="n">
        <v>0</v>
      </c>
      <c r="K136" t="n">
        <v>1</v>
      </c>
      <c r="L136" t="n">
        <v>0</v>
      </c>
      <c r="M136" t="n">
        <v>0</v>
      </c>
      <c r="N136" t="n">
        <v>0</v>
      </c>
      <c r="O136" t="n">
        <v>1</v>
      </c>
      <c r="P136" t="n">
        <v>1</v>
      </c>
      <c r="Q136" t="n">
        <v>1</v>
      </c>
      <c r="R136" s="2" t="inlineStr">
        <is>
          <t>Hällebräcka</t>
        </is>
      </c>
      <c r="S136">
        <f>HYPERLINK("https://klasma.github.io/Logging_0188/artfynd/A 1162-2021 artfynd.xlsx", "A 1162-2021")</f>
        <v/>
      </c>
      <c r="T136">
        <f>HYPERLINK("https://klasma.github.io/Logging_0188/kartor/A 1162-2021 karta.png", "A 1162-2021")</f>
        <v/>
      </c>
      <c r="V136">
        <f>HYPERLINK("https://klasma.github.io/Logging_0188/klagomål/A 1162-2021 FSC-klagomål.docx", "A 1162-2021")</f>
        <v/>
      </c>
      <c r="W136">
        <f>HYPERLINK("https://klasma.github.io/Logging_0188/klagomålsmail/A 1162-2021 FSC-klagomål mail.docx", "A 1162-2021")</f>
        <v/>
      </c>
      <c r="X136">
        <f>HYPERLINK("https://klasma.github.io/Logging_0188/tillsyn/A 1162-2021 tillsynsbegäran.docx", "A 1162-2021")</f>
        <v/>
      </c>
      <c r="Y136">
        <f>HYPERLINK("https://klasma.github.io/Logging_0188/tillsynsmail/A 1162-2021 tillsynsbegäran mail.docx", "A 1162-2021")</f>
        <v/>
      </c>
    </row>
    <row r="137" ht="15" customHeight="1">
      <c r="A137" t="inlineStr">
        <is>
          <t>A 26120-2024</t>
        </is>
      </c>
      <c r="B137" s="1" t="n">
        <v>45468.45995370371</v>
      </c>
      <c r="C137" s="1" t="n">
        <v>46031</v>
      </c>
      <c r="D137" t="inlineStr">
        <is>
          <t>STOCKHOLMS LÄN</t>
        </is>
      </c>
      <c r="E137" t="inlineStr">
        <is>
          <t>NORRTÄLJE</t>
        </is>
      </c>
      <c r="G137" t="n">
        <v>1.8</v>
      </c>
      <c r="H137" t="n">
        <v>0</v>
      </c>
      <c r="I137" t="n">
        <v>0</v>
      </c>
      <c r="J137" t="n">
        <v>1</v>
      </c>
      <c r="K137" t="n">
        <v>0</v>
      </c>
      <c r="L137" t="n">
        <v>0</v>
      </c>
      <c r="M137" t="n">
        <v>0</v>
      </c>
      <c r="N137" t="n">
        <v>0</v>
      </c>
      <c r="O137" t="n">
        <v>1</v>
      </c>
      <c r="P137" t="n">
        <v>0</v>
      </c>
      <c r="Q137" t="n">
        <v>1</v>
      </c>
      <c r="R137" s="2" t="inlineStr">
        <is>
          <t>Majviva</t>
        </is>
      </c>
      <c r="S137">
        <f>HYPERLINK("https://klasma.github.io/Logging_0188/artfynd/A 26120-2024 artfynd.xlsx", "A 26120-2024")</f>
        <v/>
      </c>
      <c r="T137">
        <f>HYPERLINK("https://klasma.github.io/Logging_0188/kartor/A 26120-2024 karta.png", "A 26120-2024")</f>
        <v/>
      </c>
      <c r="V137">
        <f>HYPERLINK("https://klasma.github.io/Logging_0188/klagomål/A 26120-2024 FSC-klagomål.docx", "A 26120-2024")</f>
        <v/>
      </c>
      <c r="W137">
        <f>HYPERLINK("https://klasma.github.io/Logging_0188/klagomålsmail/A 26120-2024 FSC-klagomål mail.docx", "A 26120-2024")</f>
        <v/>
      </c>
      <c r="X137">
        <f>HYPERLINK("https://klasma.github.io/Logging_0188/tillsyn/A 26120-2024 tillsynsbegäran.docx", "A 26120-2024")</f>
        <v/>
      </c>
      <c r="Y137">
        <f>HYPERLINK("https://klasma.github.io/Logging_0188/tillsynsmail/A 26120-2024 tillsynsbegäran mail.docx", "A 26120-2024")</f>
        <v/>
      </c>
    </row>
    <row r="138" ht="15" customHeight="1">
      <c r="A138" t="inlineStr">
        <is>
          <t>A 11429-2023</t>
        </is>
      </c>
      <c r="B138" s="1" t="n">
        <v>44993</v>
      </c>
      <c r="C138" s="1" t="n">
        <v>46031</v>
      </c>
      <c r="D138" t="inlineStr">
        <is>
          <t>STOCKHOLMS LÄN</t>
        </is>
      </c>
      <c r="E138" t="inlineStr">
        <is>
          <t>NORRTÄLJE</t>
        </is>
      </c>
      <c r="G138" t="n">
        <v>2</v>
      </c>
      <c r="H138" t="n">
        <v>0</v>
      </c>
      <c r="I138" t="n">
        <v>0</v>
      </c>
      <c r="J138" t="n">
        <v>1</v>
      </c>
      <c r="K138" t="n">
        <v>0</v>
      </c>
      <c r="L138" t="n">
        <v>0</v>
      </c>
      <c r="M138" t="n">
        <v>0</v>
      </c>
      <c r="N138" t="n">
        <v>0</v>
      </c>
      <c r="O138" t="n">
        <v>1</v>
      </c>
      <c r="P138" t="n">
        <v>0</v>
      </c>
      <c r="Q138" t="n">
        <v>1</v>
      </c>
      <c r="R138" s="2" t="inlineStr">
        <is>
          <t>Skogsklocka</t>
        </is>
      </c>
      <c r="S138">
        <f>HYPERLINK("https://klasma.github.io/Logging_0188/artfynd/A 11429-2023 artfynd.xlsx", "A 11429-2023")</f>
        <v/>
      </c>
      <c r="T138">
        <f>HYPERLINK("https://klasma.github.io/Logging_0188/kartor/A 11429-2023 karta.png", "A 11429-2023")</f>
        <v/>
      </c>
      <c r="V138">
        <f>HYPERLINK("https://klasma.github.io/Logging_0188/klagomål/A 11429-2023 FSC-klagomål.docx", "A 11429-2023")</f>
        <v/>
      </c>
      <c r="W138">
        <f>HYPERLINK("https://klasma.github.io/Logging_0188/klagomålsmail/A 11429-2023 FSC-klagomål mail.docx", "A 11429-2023")</f>
        <v/>
      </c>
      <c r="X138">
        <f>HYPERLINK("https://klasma.github.io/Logging_0188/tillsyn/A 11429-2023 tillsynsbegäran.docx", "A 11429-2023")</f>
        <v/>
      </c>
      <c r="Y138">
        <f>HYPERLINK("https://klasma.github.io/Logging_0188/tillsynsmail/A 11429-2023 tillsynsbegäran mail.docx", "A 11429-2023")</f>
        <v/>
      </c>
    </row>
    <row r="139" ht="15" customHeight="1">
      <c r="A139" t="inlineStr">
        <is>
          <t>A 50854-2022</t>
        </is>
      </c>
      <c r="B139" s="1" t="n">
        <v>44863</v>
      </c>
      <c r="C139" s="1" t="n">
        <v>46031</v>
      </c>
      <c r="D139" t="inlineStr">
        <is>
          <t>STOCKHOLMS LÄN</t>
        </is>
      </c>
      <c r="E139" t="inlineStr">
        <is>
          <t>NORRTÄLJE</t>
        </is>
      </c>
      <c r="G139" t="n">
        <v>2.9</v>
      </c>
      <c r="H139" t="n">
        <v>0</v>
      </c>
      <c r="I139" t="n">
        <v>1</v>
      </c>
      <c r="J139" t="n">
        <v>0</v>
      </c>
      <c r="K139" t="n">
        <v>0</v>
      </c>
      <c r="L139" t="n">
        <v>0</v>
      </c>
      <c r="M139" t="n">
        <v>0</v>
      </c>
      <c r="N139" t="n">
        <v>0</v>
      </c>
      <c r="O139" t="n">
        <v>0</v>
      </c>
      <c r="P139" t="n">
        <v>0</v>
      </c>
      <c r="Q139" t="n">
        <v>1</v>
      </c>
      <c r="R139" s="2" t="inlineStr">
        <is>
          <t>Tibast</t>
        </is>
      </c>
      <c r="S139">
        <f>HYPERLINK("https://klasma.github.io/Logging_0188/artfynd/A 50854-2022 artfynd.xlsx", "A 50854-2022")</f>
        <v/>
      </c>
      <c r="T139">
        <f>HYPERLINK("https://klasma.github.io/Logging_0188/kartor/A 50854-2022 karta.png", "A 50854-2022")</f>
        <v/>
      </c>
      <c r="V139">
        <f>HYPERLINK("https://klasma.github.io/Logging_0188/klagomål/A 50854-2022 FSC-klagomål.docx", "A 50854-2022")</f>
        <v/>
      </c>
      <c r="W139">
        <f>HYPERLINK("https://klasma.github.io/Logging_0188/klagomålsmail/A 50854-2022 FSC-klagomål mail.docx", "A 50854-2022")</f>
        <v/>
      </c>
      <c r="X139">
        <f>HYPERLINK("https://klasma.github.io/Logging_0188/tillsyn/A 50854-2022 tillsynsbegäran.docx", "A 50854-2022")</f>
        <v/>
      </c>
      <c r="Y139">
        <f>HYPERLINK("https://klasma.github.io/Logging_0188/tillsynsmail/A 50854-2022 tillsynsbegäran mail.docx", "A 50854-2022")</f>
        <v/>
      </c>
    </row>
    <row r="140" ht="15" customHeight="1">
      <c r="A140" t="inlineStr">
        <is>
          <t>A 64456-2023</t>
        </is>
      </c>
      <c r="B140" s="1" t="n">
        <v>45280</v>
      </c>
      <c r="C140" s="1" t="n">
        <v>46031</v>
      </c>
      <c r="D140" t="inlineStr">
        <is>
          <t>STOCKHOLMS LÄN</t>
        </is>
      </c>
      <c r="E140" t="inlineStr">
        <is>
          <t>NORRTÄLJE</t>
        </is>
      </c>
      <c r="G140" t="n">
        <v>2.5</v>
      </c>
      <c r="H140" t="n">
        <v>0</v>
      </c>
      <c r="I140" t="n">
        <v>1</v>
      </c>
      <c r="J140" t="n">
        <v>0</v>
      </c>
      <c r="K140" t="n">
        <v>0</v>
      </c>
      <c r="L140" t="n">
        <v>0</v>
      </c>
      <c r="M140" t="n">
        <v>0</v>
      </c>
      <c r="N140" t="n">
        <v>0</v>
      </c>
      <c r="O140" t="n">
        <v>0</v>
      </c>
      <c r="P140" t="n">
        <v>0</v>
      </c>
      <c r="Q140" t="n">
        <v>1</v>
      </c>
      <c r="R140" s="2" t="inlineStr">
        <is>
          <t>Rödgul trumpetsvamp</t>
        </is>
      </c>
      <c r="S140">
        <f>HYPERLINK("https://klasma.github.io/Logging_0188/artfynd/A 64456-2023 artfynd.xlsx", "A 64456-2023")</f>
        <v/>
      </c>
      <c r="T140">
        <f>HYPERLINK("https://klasma.github.io/Logging_0188/kartor/A 64456-2023 karta.png", "A 64456-2023")</f>
        <v/>
      </c>
      <c r="V140">
        <f>HYPERLINK("https://klasma.github.io/Logging_0188/klagomål/A 64456-2023 FSC-klagomål.docx", "A 64456-2023")</f>
        <v/>
      </c>
      <c r="W140">
        <f>HYPERLINK("https://klasma.github.io/Logging_0188/klagomålsmail/A 64456-2023 FSC-klagomål mail.docx", "A 64456-2023")</f>
        <v/>
      </c>
      <c r="X140">
        <f>HYPERLINK("https://klasma.github.io/Logging_0188/tillsyn/A 64456-2023 tillsynsbegäran.docx", "A 64456-2023")</f>
        <v/>
      </c>
      <c r="Y140">
        <f>HYPERLINK("https://klasma.github.io/Logging_0188/tillsynsmail/A 64456-2023 tillsynsbegäran mail.docx", "A 64456-2023")</f>
        <v/>
      </c>
    </row>
    <row r="141" ht="15" customHeight="1">
      <c r="A141" t="inlineStr">
        <is>
          <t>A 52611-2024</t>
        </is>
      </c>
      <c r="B141" s="1" t="n">
        <v>45609.83747685186</v>
      </c>
      <c r="C141" s="1" t="n">
        <v>46031</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46031</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46031</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46031</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9955-2022</t>
        </is>
      </c>
      <c r="B145" s="1" t="n">
        <v>44620</v>
      </c>
      <c r="C145" s="1" t="n">
        <v>46031</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1970-2021</t>
        </is>
      </c>
      <c r="B146" s="1" t="n">
        <v>44210</v>
      </c>
      <c r="C146" s="1" t="n">
        <v>46031</v>
      </c>
      <c r="D146" t="inlineStr">
        <is>
          <t>STOCKHOLMS LÄN</t>
        </is>
      </c>
      <c r="E146" t="inlineStr">
        <is>
          <t>NORRTÄLJE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1637-2021</t>
        </is>
      </c>
      <c r="B147" s="1" t="n">
        <v>44209</v>
      </c>
      <c r="C147" s="1" t="n">
        <v>46031</v>
      </c>
      <c r="D147" t="inlineStr">
        <is>
          <t>STOCKHOLMS LÄN</t>
        </is>
      </c>
      <c r="E147" t="inlineStr">
        <is>
          <t>NORRTÄLJE</t>
        </is>
      </c>
      <c r="G147" t="n">
        <v>1.6</v>
      </c>
      <c r="H147" t="n">
        <v>0</v>
      </c>
      <c r="I147" t="n">
        <v>0</v>
      </c>
      <c r="J147" t="n">
        <v>0</v>
      </c>
      <c r="K147" t="n">
        <v>0</v>
      </c>
      <c r="L147" t="n">
        <v>0</v>
      </c>
      <c r="M147" t="n">
        <v>0</v>
      </c>
      <c r="N147" t="n">
        <v>0</v>
      </c>
      <c r="O147" t="n">
        <v>0</v>
      </c>
      <c r="P147" t="n">
        <v>0</v>
      </c>
      <c r="Q147" t="n">
        <v>0</v>
      </c>
      <c r="R147" s="2" t="inlineStr"/>
    </row>
    <row r="148" ht="15" customHeight="1">
      <c r="A148" t="inlineStr">
        <is>
          <t>A 18580-2021</t>
        </is>
      </c>
      <c r="B148" s="1" t="n">
        <v>44306</v>
      </c>
      <c r="C148" s="1" t="n">
        <v>46031</v>
      </c>
      <c r="D148" t="inlineStr">
        <is>
          <t>STOCKHOLMS LÄN</t>
        </is>
      </c>
      <c r="E148" t="inlineStr">
        <is>
          <t>NORRTÄLJE</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12877-2022</t>
        </is>
      </c>
      <c r="B149" s="1" t="n">
        <v>44642</v>
      </c>
      <c r="C149" s="1" t="n">
        <v>46031</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46031</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46031</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46031</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46031</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15289-2021</t>
        </is>
      </c>
      <c r="B154" s="1" t="n">
        <v>44284.59546296296</v>
      </c>
      <c r="C154" s="1" t="n">
        <v>46031</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40542-2021</t>
        </is>
      </c>
      <c r="B155" s="1" t="n">
        <v>44420</v>
      </c>
      <c r="C155" s="1" t="n">
        <v>46031</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40546-2021</t>
        </is>
      </c>
      <c r="B156" s="1" t="n">
        <v>44420</v>
      </c>
      <c r="C156" s="1" t="n">
        <v>46031</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23096-2021</t>
        </is>
      </c>
      <c r="B157" s="1" t="n">
        <v>44330</v>
      </c>
      <c r="C157" s="1" t="n">
        <v>46031</v>
      </c>
      <c r="D157" t="inlineStr">
        <is>
          <t>STOCKHOLMS LÄN</t>
        </is>
      </c>
      <c r="E157" t="inlineStr">
        <is>
          <t>NORRTÄLJE</t>
        </is>
      </c>
      <c r="G157" t="n">
        <v>0.3</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46031</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24977-2022</t>
        </is>
      </c>
      <c r="B159" s="1" t="n">
        <v>44728.73465277778</v>
      </c>
      <c r="C159" s="1" t="n">
        <v>46031</v>
      </c>
      <c r="D159" t="inlineStr">
        <is>
          <t>STOCKHOLMS LÄN</t>
        </is>
      </c>
      <c r="E159" t="inlineStr">
        <is>
          <t>NORRTÄLJE</t>
        </is>
      </c>
      <c r="F159" t="inlineStr">
        <is>
          <t>Kyrkan</t>
        </is>
      </c>
      <c r="G159" t="n">
        <v>1</v>
      </c>
      <c r="H159" t="n">
        <v>0</v>
      </c>
      <c r="I159" t="n">
        <v>0</v>
      </c>
      <c r="J159" t="n">
        <v>0</v>
      </c>
      <c r="K159" t="n">
        <v>0</v>
      </c>
      <c r="L159" t="n">
        <v>0</v>
      </c>
      <c r="M159" t="n">
        <v>0</v>
      </c>
      <c r="N159" t="n">
        <v>0</v>
      </c>
      <c r="O159" t="n">
        <v>0</v>
      </c>
      <c r="P159" t="n">
        <v>0</v>
      </c>
      <c r="Q159" t="n">
        <v>0</v>
      </c>
      <c r="R159" s="2" t="inlineStr"/>
    </row>
    <row r="160" ht="15" customHeight="1">
      <c r="A160" t="inlineStr">
        <is>
          <t>A 37815-2022</t>
        </is>
      </c>
      <c r="B160" s="1" t="n">
        <v>44810.85092592592</v>
      </c>
      <c r="C160" s="1" t="n">
        <v>46031</v>
      </c>
      <c r="D160" t="inlineStr">
        <is>
          <t>STOCKHOLMS LÄN</t>
        </is>
      </c>
      <c r="E160" t="inlineStr">
        <is>
          <t>NORRTÄLJE</t>
        </is>
      </c>
      <c r="G160" t="n">
        <v>1.3</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46031</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46031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11821-2022</t>
        </is>
      </c>
      <c r="B163" s="1" t="n">
        <v>44634</v>
      </c>
      <c r="C163" s="1" t="n">
        <v>46031</v>
      </c>
      <c r="D163" t="inlineStr">
        <is>
          <t>STOCKHOLMS LÄN</t>
        </is>
      </c>
      <c r="E163" t="inlineStr">
        <is>
          <t>NORRTÄLJE</t>
        </is>
      </c>
      <c r="G163" t="n">
        <v>1.1</v>
      </c>
      <c r="H163" t="n">
        <v>0</v>
      </c>
      <c r="I163" t="n">
        <v>0</v>
      </c>
      <c r="J163" t="n">
        <v>0</v>
      </c>
      <c r="K163" t="n">
        <v>0</v>
      </c>
      <c r="L163" t="n">
        <v>0</v>
      </c>
      <c r="M163" t="n">
        <v>0</v>
      </c>
      <c r="N163" t="n">
        <v>0</v>
      </c>
      <c r="O163" t="n">
        <v>0</v>
      </c>
      <c r="P163" t="n">
        <v>0</v>
      </c>
      <c r="Q163" t="n">
        <v>0</v>
      </c>
      <c r="R163" s="2" t="inlineStr"/>
    </row>
    <row r="164" ht="15" customHeight="1">
      <c r="A164" t="inlineStr">
        <is>
          <t>A 2977-2022</t>
        </is>
      </c>
      <c r="B164" s="1" t="n">
        <v>44581.75819444445</v>
      </c>
      <c r="C164" s="1" t="n">
        <v>46031</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46031</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46031</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56225-2021</t>
        </is>
      </c>
      <c r="B167" s="1" t="n">
        <v>44477.94327546296</v>
      </c>
      <c r="C167" s="1" t="n">
        <v>46031</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34436-2021</t>
        </is>
      </c>
      <c r="B168" s="1" t="n">
        <v>44380</v>
      </c>
      <c r="C168" s="1" t="n">
        <v>46031</v>
      </c>
      <c r="D168" t="inlineStr">
        <is>
          <t>STOCKHOLMS LÄN</t>
        </is>
      </c>
      <c r="E168" t="inlineStr">
        <is>
          <t>NORRTÄLJE</t>
        </is>
      </c>
      <c r="G168" t="n">
        <v>0.9</v>
      </c>
      <c r="H168" t="n">
        <v>0</v>
      </c>
      <c r="I168" t="n">
        <v>0</v>
      </c>
      <c r="J168" t="n">
        <v>0</v>
      </c>
      <c r="K168" t="n">
        <v>0</v>
      </c>
      <c r="L168" t="n">
        <v>0</v>
      </c>
      <c r="M168" t="n">
        <v>0</v>
      </c>
      <c r="N168" t="n">
        <v>0</v>
      </c>
      <c r="O168" t="n">
        <v>0</v>
      </c>
      <c r="P168" t="n">
        <v>0</v>
      </c>
      <c r="Q168" t="n">
        <v>0</v>
      </c>
      <c r="R168" s="2" t="inlineStr"/>
    </row>
    <row r="169" ht="15" customHeight="1">
      <c r="A169" t="inlineStr">
        <is>
          <t>A 67525-2021</t>
        </is>
      </c>
      <c r="B169" s="1" t="n">
        <v>44524</v>
      </c>
      <c r="C169" s="1" t="n">
        <v>46031</v>
      </c>
      <c r="D169" t="inlineStr">
        <is>
          <t>STOCKHOLMS LÄN</t>
        </is>
      </c>
      <c r="E169" t="inlineStr">
        <is>
          <t>NORRTÄLJE</t>
        </is>
      </c>
      <c r="G169" t="n">
        <v>0.8</v>
      </c>
      <c r="H169" t="n">
        <v>0</v>
      </c>
      <c r="I169" t="n">
        <v>0</v>
      </c>
      <c r="J169" t="n">
        <v>0</v>
      </c>
      <c r="K169" t="n">
        <v>0</v>
      </c>
      <c r="L169" t="n">
        <v>0</v>
      </c>
      <c r="M169" t="n">
        <v>0</v>
      </c>
      <c r="N169" t="n">
        <v>0</v>
      </c>
      <c r="O169" t="n">
        <v>0</v>
      </c>
      <c r="P169" t="n">
        <v>0</v>
      </c>
      <c r="Q169" t="n">
        <v>0</v>
      </c>
      <c r="R169" s="2" t="inlineStr"/>
    </row>
    <row r="170" ht="15" customHeight="1">
      <c r="A170" t="inlineStr">
        <is>
          <t>A 65737-2021</t>
        </is>
      </c>
      <c r="B170" s="1" t="n">
        <v>44516.72827546296</v>
      </c>
      <c r="C170" s="1" t="n">
        <v>46031</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1704-2022</t>
        </is>
      </c>
      <c r="B171" s="1" t="n">
        <v>44574.42978009259</v>
      </c>
      <c r="C171" s="1" t="n">
        <v>46031</v>
      </c>
      <c r="D171" t="inlineStr">
        <is>
          <t>STOCKHOLMS LÄN</t>
        </is>
      </c>
      <c r="E171" t="inlineStr">
        <is>
          <t>NORRTÄLJE</t>
        </is>
      </c>
      <c r="G171" t="n">
        <v>6.2</v>
      </c>
      <c r="H171" t="n">
        <v>0</v>
      </c>
      <c r="I171" t="n">
        <v>0</v>
      </c>
      <c r="J171" t="n">
        <v>0</v>
      </c>
      <c r="K171" t="n">
        <v>0</v>
      </c>
      <c r="L171" t="n">
        <v>0</v>
      </c>
      <c r="M171" t="n">
        <v>0</v>
      </c>
      <c r="N171" t="n">
        <v>0</v>
      </c>
      <c r="O171" t="n">
        <v>0</v>
      </c>
      <c r="P171" t="n">
        <v>0</v>
      </c>
      <c r="Q171" t="n">
        <v>0</v>
      </c>
      <c r="R171" s="2" t="inlineStr"/>
    </row>
    <row r="172" ht="15" customHeight="1">
      <c r="A172" t="inlineStr">
        <is>
          <t>A 43374-2022</t>
        </is>
      </c>
      <c r="B172" s="1" t="n">
        <v>44834</v>
      </c>
      <c r="C172" s="1" t="n">
        <v>46031</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19283-2021</t>
        </is>
      </c>
      <c r="B173" s="1" t="n">
        <v>44309.47061342592</v>
      </c>
      <c r="C173" s="1" t="n">
        <v>46031</v>
      </c>
      <c r="D173" t="inlineStr">
        <is>
          <t>STOCKHOLMS LÄN</t>
        </is>
      </c>
      <c r="E173" t="inlineStr">
        <is>
          <t>NORRTÄLJE</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9719-2021</t>
        </is>
      </c>
      <c r="B174" s="1" t="n">
        <v>44252</v>
      </c>
      <c r="C174" s="1" t="n">
        <v>46031</v>
      </c>
      <c r="D174" t="inlineStr">
        <is>
          <t>STOCKHOLMS LÄN</t>
        </is>
      </c>
      <c r="E174" t="inlineStr">
        <is>
          <t>NORRTÄLJE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37712-2021</t>
        </is>
      </c>
      <c r="B175" s="1" t="n">
        <v>44400</v>
      </c>
      <c r="C175" s="1" t="n">
        <v>46031</v>
      </c>
      <c r="D175" t="inlineStr">
        <is>
          <t>STOCKHOLMS LÄN</t>
        </is>
      </c>
      <c r="E175" t="inlineStr">
        <is>
          <t>NORRTÄLJE</t>
        </is>
      </c>
      <c r="G175" t="n">
        <v>22.9</v>
      </c>
      <c r="H175" t="n">
        <v>0</v>
      </c>
      <c r="I175" t="n">
        <v>0</v>
      </c>
      <c r="J175" t="n">
        <v>0</v>
      </c>
      <c r="K175" t="n">
        <v>0</v>
      </c>
      <c r="L175" t="n">
        <v>0</v>
      </c>
      <c r="M175" t="n">
        <v>0</v>
      </c>
      <c r="N175" t="n">
        <v>0</v>
      </c>
      <c r="O175" t="n">
        <v>0</v>
      </c>
      <c r="P175" t="n">
        <v>0</v>
      </c>
      <c r="Q175" t="n">
        <v>0</v>
      </c>
      <c r="R175" s="2" t="inlineStr"/>
    </row>
    <row r="176" ht="15" customHeight="1">
      <c r="A176" t="inlineStr">
        <is>
          <t>A 48384-2021</t>
        </is>
      </c>
      <c r="B176" s="1" t="n">
        <v>44451</v>
      </c>
      <c r="C176" s="1" t="n">
        <v>46031</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46031</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48492-2022</t>
        </is>
      </c>
      <c r="B178" s="1" t="n">
        <v>44858</v>
      </c>
      <c r="C178" s="1" t="n">
        <v>46031</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8338-2021</t>
        </is>
      </c>
      <c r="B179" s="1" t="n">
        <v>44244</v>
      </c>
      <c r="C179" s="1" t="n">
        <v>46031</v>
      </c>
      <c r="D179" t="inlineStr">
        <is>
          <t>STOCKHOLMS LÄN</t>
        </is>
      </c>
      <c r="E179" t="inlineStr">
        <is>
          <t>NORRTÄLJE</t>
        </is>
      </c>
      <c r="G179" t="n">
        <v>1.4</v>
      </c>
      <c r="H179" t="n">
        <v>0</v>
      </c>
      <c r="I179" t="n">
        <v>0</v>
      </c>
      <c r="J179" t="n">
        <v>0</v>
      </c>
      <c r="K179" t="n">
        <v>0</v>
      </c>
      <c r="L179" t="n">
        <v>0</v>
      </c>
      <c r="M179" t="n">
        <v>0</v>
      </c>
      <c r="N179" t="n">
        <v>0</v>
      </c>
      <c r="O179" t="n">
        <v>0</v>
      </c>
      <c r="P179" t="n">
        <v>0</v>
      </c>
      <c r="Q179" t="n">
        <v>0</v>
      </c>
      <c r="R179" s="2" t="inlineStr"/>
    </row>
    <row r="180" ht="15" customHeight="1">
      <c r="A180" t="inlineStr">
        <is>
          <t>A 60822-2021</t>
        </is>
      </c>
      <c r="B180" s="1" t="n">
        <v>44496</v>
      </c>
      <c r="C180" s="1" t="n">
        <v>46031</v>
      </c>
      <c r="D180" t="inlineStr">
        <is>
          <t>STOCKHOLMS LÄN</t>
        </is>
      </c>
      <c r="E180" t="inlineStr">
        <is>
          <t>NORRTÄLJE</t>
        </is>
      </c>
      <c r="G180" t="n">
        <v>7.6</v>
      </c>
      <c r="H180" t="n">
        <v>0</v>
      </c>
      <c r="I180" t="n">
        <v>0</v>
      </c>
      <c r="J180" t="n">
        <v>0</v>
      </c>
      <c r="K180" t="n">
        <v>0</v>
      </c>
      <c r="L180" t="n">
        <v>0</v>
      </c>
      <c r="M180" t="n">
        <v>0</v>
      </c>
      <c r="N180" t="n">
        <v>0</v>
      </c>
      <c r="O180" t="n">
        <v>0</v>
      </c>
      <c r="P180" t="n">
        <v>0</v>
      </c>
      <c r="Q180" t="n">
        <v>0</v>
      </c>
      <c r="R180" s="2" t="inlineStr"/>
    </row>
    <row r="181" ht="15" customHeight="1">
      <c r="A181" t="inlineStr">
        <is>
          <t>A 10711-2022</t>
        </is>
      </c>
      <c r="B181" s="1" t="n">
        <v>44626</v>
      </c>
      <c r="C181" s="1" t="n">
        <v>46031</v>
      </c>
      <c r="D181" t="inlineStr">
        <is>
          <t>STOCKHOLMS LÄN</t>
        </is>
      </c>
      <c r="E181" t="inlineStr">
        <is>
          <t>NORRTÄLJE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17777-2022</t>
        </is>
      </c>
      <c r="B182" s="1" t="n">
        <v>44682.79203703703</v>
      </c>
      <c r="C182" s="1" t="n">
        <v>46031</v>
      </c>
      <c r="D182" t="inlineStr">
        <is>
          <t>STOCKHOLMS LÄN</t>
        </is>
      </c>
      <c r="E182" t="inlineStr">
        <is>
          <t>NORRTÄLJE</t>
        </is>
      </c>
      <c r="G182" t="n">
        <v>3.7</v>
      </c>
      <c r="H182" t="n">
        <v>0</v>
      </c>
      <c r="I182" t="n">
        <v>0</v>
      </c>
      <c r="J182" t="n">
        <v>0</v>
      </c>
      <c r="K182" t="n">
        <v>0</v>
      </c>
      <c r="L182" t="n">
        <v>0</v>
      </c>
      <c r="M182" t="n">
        <v>0</v>
      </c>
      <c r="N182" t="n">
        <v>0</v>
      </c>
      <c r="O182" t="n">
        <v>0</v>
      </c>
      <c r="P182" t="n">
        <v>0</v>
      </c>
      <c r="Q182" t="n">
        <v>0</v>
      </c>
      <c r="R182" s="2" t="inlineStr"/>
    </row>
    <row r="183" ht="15" customHeight="1">
      <c r="A183" t="inlineStr">
        <is>
          <t>A 12816-2022</t>
        </is>
      </c>
      <c r="B183" s="1" t="n">
        <v>44642</v>
      </c>
      <c r="C183" s="1" t="n">
        <v>46031</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21723-2022</t>
        </is>
      </c>
      <c r="B184" s="1" t="n">
        <v>44708</v>
      </c>
      <c r="C184" s="1" t="n">
        <v>46031</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31807-2022</t>
        </is>
      </c>
      <c r="B185" s="1" t="n">
        <v>44776</v>
      </c>
      <c r="C185" s="1" t="n">
        <v>46031</v>
      </c>
      <c r="D185" t="inlineStr">
        <is>
          <t>STOCKHOLMS LÄN</t>
        </is>
      </c>
      <c r="E185" t="inlineStr">
        <is>
          <t>NORRTÄLJE</t>
        </is>
      </c>
      <c r="G185" t="n">
        <v>2.5</v>
      </c>
      <c r="H185" t="n">
        <v>0</v>
      </c>
      <c r="I185" t="n">
        <v>0</v>
      </c>
      <c r="J185" t="n">
        <v>0</v>
      </c>
      <c r="K185" t="n">
        <v>0</v>
      </c>
      <c r="L185" t="n">
        <v>0</v>
      </c>
      <c r="M185" t="n">
        <v>0</v>
      </c>
      <c r="N185" t="n">
        <v>0</v>
      </c>
      <c r="O185" t="n">
        <v>0</v>
      </c>
      <c r="P185" t="n">
        <v>0</v>
      </c>
      <c r="Q185" t="n">
        <v>0</v>
      </c>
      <c r="R185" s="2" t="inlineStr"/>
    </row>
    <row r="186" ht="15" customHeight="1">
      <c r="A186" t="inlineStr">
        <is>
          <t>A 28209-2022</t>
        </is>
      </c>
      <c r="B186" s="1" t="n">
        <v>44746</v>
      </c>
      <c r="C186" s="1" t="n">
        <v>46031</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2447-2021</t>
        </is>
      </c>
      <c r="B187" s="1" t="n">
        <v>44214</v>
      </c>
      <c r="C187" s="1" t="n">
        <v>46031</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18609-2021</t>
        </is>
      </c>
      <c r="B188" s="1" t="n">
        <v>44306</v>
      </c>
      <c r="C188" s="1" t="n">
        <v>46031</v>
      </c>
      <c r="D188" t="inlineStr">
        <is>
          <t>STOCKHOLMS LÄN</t>
        </is>
      </c>
      <c r="E188" t="inlineStr">
        <is>
          <t>NORRTÄLJE</t>
        </is>
      </c>
      <c r="G188" t="n">
        <v>9.5</v>
      </c>
      <c r="H188" t="n">
        <v>0</v>
      </c>
      <c r="I188" t="n">
        <v>0</v>
      </c>
      <c r="J188" t="n">
        <v>0</v>
      </c>
      <c r="K188" t="n">
        <v>0</v>
      </c>
      <c r="L188" t="n">
        <v>0</v>
      </c>
      <c r="M188" t="n">
        <v>0</v>
      </c>
      <c r="N188" t="n">
        <v>0</v>
      </c>
      <c r="O188" t="n">
        <v>0</v>
      </c>
      <c r="P188" t="n">
        <v>0</v>
      </c>
      <c r="Q188" t="n">
        <v>0</v>
      </c>
      <c r="R188" s="2" t="inlineStr"/>
    </row>
    <row r="189" ht="15" customHeight="1">
      <c r="A189" t="inlineStr">
        <is>
          <t>A 24534-2022</t>
        </is>
      </c>
      <c r="B189" s="1" t="n">
        <v>44727</v>
      </c>
      <c r="C189" s="1" t="n">
        <v>46031</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45539-2022</t>
        </is>
      </c>
      <c r="B190" s="1" t="n">
        <v>44845.47585648148</v>
      </c>
      <c r="C190" s="1" t="n">
        <v>46031</v>
      </c>
      <c r="D190" t="inlineStr">
        <is>
          <t>STOCKHOLMS LÄN</t>
        </is>
      </c>
      <c r="E190" t="inlineStr">
        <is>
          <t>NORRTÄLJE</t>
        </is>
      </c>
      <c r="G190" t="n">
        <v>0.3</v>
      </c>
      <c r="H190" t="n">
        <v>0</v>
      </c>
      <c r="I190" t="n">
        <v>0</v>
      </c>
      <c r="J190" t="n">
        <v>0</v>
      </c>
      <c r="K190" t="n">
        <v>0</v>
      </c>
      <c r="L190" t="n">
        <v>0</v>
      </c>
      <c r="M190" t="n">
        <v>0</v>
      </c>
      <c r="N190" t="n">
        <v>0</v>
      </c>
      <c r="O190" t="n">
        <v>0</v>
      </c>
      <c r="P190" t="n">
        <v>0</v>
      </c>
      <c r="Q190" t="n">
        <v>0</v>
      </c>
      <c r="R190" s="2" t="inlineStr"/>
    </row>
    <row r="191" ht="15" customHeight="1">
      <c r="A191" t="inlineStr">
        <is>
          <t>A 71876-2021</t>
        </is>
      </c>
      <c r="B191" s="1" t="n">
        <v>44543</v>
      </c>
      <c r="C191" s="1" t="n">
        <v>46031</v>
      </c>
      <c r="D191" t="inlineStr">
        <is>
          <t>STOCKHOLMS LÄN</t>
        </is>
      </c>
      <c r="E191" t="inlineStr">
        <is>
          <t>NORRTÄLJE</t>
        </is>
      </c>
      <c r="G191" t="n">
        <v>2.8</v>
      </c>
      <c r="H191" t="n">
        <v>0</v>
      </c>
      <c r="I191" t="n">
        <v>0</v>
      </c>
      <c r="J191" t="n">
        <v>0</v>
      </c>
      <c r="K191" t="n">
        <v>0</v>
      </c>
      <c r="L191" t="n">
        <v>0</v>
      </c>
      <c r="M191" t="n">
        <v>0</v>
      </c>
      <c r="N191" t="n">
        <v>0</v>
      </c>
      <c r="O191" t="n">
        <v>0</v>
      </c>
      <c r="P191" t="n">
        <v>0</v>
      </c>
      <c r="Q191" t="n">
        <v>0</v>
      </c>
      <c r="R191" s="2" t="inlineStr"/>
    </row>
    <row r="192" ht="15" customHeight="1">
      <c r="A192" t="inlineStr">
        <is>
          <t>A 60186-2021</t>
        </is>
      </c>
      <c r="B192" s="1" t="n">
        <v>44495</v>
      </c>
      <c r="C192" s="1" t="n">
        <v>46031</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28959-2022</t>
        </is>
      </c>
      <c r="B193" s="1" t="n">
        <v>44749.61980324074</v>
      </c>
      <c r="C193" s="1" t="n">
        <v>46031</v>
      </c>
      <c r="D193" t="inlineStr">
        <is>
          <t>STOCKHOLMS LÄN</t>
        </is>
      </c>
      <c r="E193" t="inlineStr">
        <is>
          <t>NORRTÄLJE</t>
        </is>
      </c>
      <c r="G193" t="n">
        <v>5.2</v>
      </c>
      <c r="H193" t="n">
        <v>0</v>
      </c>
      <c r="I193" t="n">
        <v>0</v>
      </c>
      <c r="J193" t="n">
        <v>0</v>
      </c>
      <c r="K193" t="n">
        <v>0</v>
      </c>
      <c r="L193" t="n">
        <v>0</v>
      </c>
      <c r="M193" t="n">
        <v>0</v>
      </c>
      <c r="N193" t="n">
        <v>0</v>
      </c>
      <c r="O193" t="n">
        <v>0</v>
      </c>
      <c r="P193" t="n">
        <v>0</v>
      </c>
      <c r="Q193" t="n">
        <v>0</v>
      </c>
      <c r="R193" s="2" t="inlineStr"/>
    </row>
    <row r="194" ht="15" customHeight="1">
      <c r="A194" t="inlineStr">
        <is>
          <t>A 71878-2021</t>
        </is>
      </c>
      <c r="B194" s="1" t="n">
        <v>44543</v>
      </c>
      <c r="C194" s="1" t="n">
        <v>46031</v>
      </c>
      <c r="D194" t="inlineStr">
        <is>
          <t>STOCKHOLMS LÄN</t>
        </is>
      </c>
      <c r="E194" t="inlineStr">
        <is>
          <t>NORRTÄLJE</t>
        </is>
      </c>
      <c r="G194" t="n">
        <v>1.2</v>
      </c>
      <c r="H194" t="n">
        <v>0</v>
      </c>
      <c r="I194" t="n">
        <v>0</v>
      </c>
      <c r="J194" t="n">
        <v>0</v>
      </c>
      <c r="K194" t="n">
        <v>0</v>
      </c>
      <c r="L194" t="n">
        <v>0</v>
      </c>
      <c r="M194" t="n">
        <v>0</v>
      </c>
      <c r="N194" t="n">
        <v>0</v>
      </c>
      <c r="O194" t="n">
        <v>0</v>
      </c>
      <c r="P194" t="n">
        <v>0</v>
      </c>
      <c r="Q194" t="n">
        <v>0</v>
      </c>
      <c r="R194" s="2" t="inlineStr"/>
    </row>
    <row r="195" ht="15" customHeight="1">
      <c r="A195" t="inlineStr">
        <is>
          <t>A 54340-2022</t>
        </is>
      </c>
      <c r="B195" s="1" t="n">
        <v>44882.44732638889</v>
      </c>
      <c r="C195" s="1" t="n">
        <v>46031</v>
      </c>
      <c r="D195" t="inlineStr">
        <is>
          <t>STOCKHOLMS LÄN</t>
        </is>
      </c>
      <c r="E195" t="inlineStr">
        <is>
          <t>NORRTÄLJE</t>
        </is>
      </c>
      <c r="G195" t="n">
        <v>6.7</v>
      </c>
      <c r="H195" t="n">
        <v>0</v>
      </c>
      <c r="I195" t="n">
        <v>0</v>
      </c>
      <c r="J195" t="n">
        <v>0</v>
      </c>
      <c r="K195" t="n">
        <v>0</v>
      </c>
      <c r="L195" t="n">
        <v>0</v>
      </c>
      <c r="M195" t="n">
        <v>0</v>
      </c>
      <c r="N195" t="n">
        <v>0</v>
      </c>
      <c r="O195" t="n">
        <v>0</v>
      </c>
      <c r="P195" t="n">
        <v>0</v>
      </c>
      <c r="Q195" t="n">
        <v>0</v>
      </c>
      <c r="R195" s="2" t="inlineStr"/>
    </row>
    <row r="196" ht="15" customHeight="1">
      <c r="A196" t="inlineStr">
        <is>
          <t>A 54355-2022</t>
        </is>
      </c>
      <c r="B196" s="1" t="n">
        <v>44882</v>
      </c>
      <c r="C196" s="1" t="n">
        <v>46031</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72308-2021</t>
        </is>
      </c>
      <c r="B197" s="1" t="n">
        <v>44545.4189699074</v>
      </c>
      <c r="C197" s="1" t="n">
        <v>46031</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20073-2021</t>
        </is>
      </c>
      <c r="B198" s="1" t="n">
        <v>44314</v>
      </c>
      <c r="C198" s="1" t="n">
        <v>46031</v>
      </c>
      <c r="D198" t="inlineStr">
        <is>
          <t>STOCKHOLMS LÄN</t>
        </is>
      </c>
      <c r="E198" t="inlineStr">
        <is>
          <t>NORRTÄLJE</t>
        </is>
      </c>
      <c r="G198" t="n">
        <v>4.6</v>
      </c>
      <c r="H198" t="n">
        <v>0</v>
      </c>
      <c r="I198" t="n">
        <v>0</v>
      </c>
      <c r="J198" t="n">
        <v>0</v>
      </c>
      <c r="K198" t="n">
        <v>0</v>
      </c>
      <c r="L198" t="n">
        <v>0</v>
      </c>
      <c r="M198" t="n">
        <v>0</v>
      </c>
      <c r="N198" t="n">
        <v>0</v>
      </c>
      <c r="O198" t="n">
        <v>0</v>
      </c>
      <c r="P198" t="n">
        <v>0</v>
      </c>
      <c r="Q198" t="n">
        <v>0</v>
      </c>
      <c r="R198" s="2" t="inlineStr"/>
    </row>
    <row r="199" ht="15" customHeight="1">
      <c r="A199" t="inlineStr">
        <is>
          <t>A 17703-2021</t>
        </is>
      </c>
      <c r="B199" s="1" t="n">
        <v>44300</v>
      </c>
      <c r="C199" s="1" t="n">
        <v>46031</v>
      </c>
      <c r="D199" t="inlineStr">
        <is>
          <t>STOCKHOLMS LÄN</t>
        </is>
      </c>
      <c r="E199" t="inlineStr">
        <is>
          <t>NORRTÄLJE</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14381-2021</t>
        </is>
      </c>
      <c r="B200" s="1" t="n">
        <v>44279</v>
      </c>
      <c r="C200" s="1" t="n">
        <v>46031</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23770-2022</t>
        </is>
      </c>
      <c r="B201" s="1" t="n">
        <v>44722</v>
      </c>
      <c r="C201" s="1" t="n">
        <v>46031</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27538-2022</t>
        </is>
      </c>
      <c r="B202" s="1" t="n">
        <v>44742</v>
      </c>
      <c r="C202" s="1" t="n">
        <v>46031</v>
      </c>
      <c r="D202" t="inlineStr">
        <is>
          <t>STOCKHOLMS LÄN</t>
        </is>
      </c>
      <c r="E202" t="inlineStr">
        <is>
          <t>NORRTÄLJE</t>
        </is>
      </c>
      <c r="G202" t="n">
        <v>2.2</v>
      </c>
      <c r="H202" t="n">
        <v>0</v>
      </c>
      <c r="I202" t="n">
        <v>0</v>
      </c>
      <c r="J202" t="n">
        <v>0</v>
      </c>
      <c r="K202" t="n">
        <v>0</v>
      </c>
      <c r="L202" t="n">
        <v>0</v>
      </c>
      <c r="M202" t="n">
        <v>0</v>
      </c>
      <c r="N202" t="n">
        <v>0</v>
      </c>
      <c r="O202" t="n">
        <v>0</v>
      </c>
      <c r="P202" t="n">
        <v>0</v>
      </c>
      <c r="Q202" t="n">
        <v>0</v>
      </c>
      <c r="R202" s="2" t="inlineStr"/>
    </row>
    <row r="203" ht="15" customHeight="1">
      <c r="A203" t="inlineStr">
        <is>
          <t>A 36975-2022</t>
        </is>
      </c>
      <c r="B203" s="1" t="n">
        <v>44806.34577546296</v>
      </c>
      <c r="C203" s="1" t="n">
        <v>46031</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46031</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23122-2021</t>
        </is>
      </c>
      <c r="B205" s="1" t="n">
        <v>44330</v>
      </c>
      <c r="C205" s="1" t="n">
        <v>46031</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23123-2021</t>
        </is>
      </c>
      <c r="B206" s="1" t="n">
        <v>44330</v>
      </c>
      <c r="C206" s="1" t="n">
        <v>46031</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64599-2021</t>
        </is>
      </c>
      <c r="B207" s="1" t="n">
        <v>44511.69885416667</v>
      </c>
      <c r="C207" s="1" t="n">
        <v>46031</v>
      </c>
      <c r="D207" t="inlineStr">
        <is>
          <t>STOCKHOLMS LÄN</t>
        </is>
      </c>
      <c r="E207" t="inlineStr">
        <is>
          <t>NORRTÄLJE</t>
        </is>
      </c>
      <c r="G207" t="n">
        <v>1.1</v>
      </c>
      <c r="H207" t="n">
        <v>0</v>
      </c>
      <c r="I207" t="n">
        <v>0</v>
      </c>
      <c r="J207" t="n">
        <v>0</v>
      </c>
      <c r="K207" t="n">
        <v>0</v>
      </c>
      <c r="L207" t="n">
        <v>0</v>
      </c>
      <c r="M207" t="n">
        <v>0</v>
      </c>
      <c r="N207" t="n">
        <v>0</v>
      </c>
      <c r="O207" t="n">
        <v>0</v>
      </c>
      <c r="P207" t="n">
        <v>0</v>
      </c>
      <c r="Q207" t="n">
        <v>0</v>
      </c>
      <c r="R207" s="2" t="inlineStr"/>
    </row>
    <row r="208" ht="15" customHeight="1">
      <c r="A208" t="inlineStr">
        <is>
          <t>A 29868-2022</t>
        </is>
      </c>
      <c r="B208" s="1" t="n">
        <v>44756.40881944444</v>
      </c>
      <c r="C208" s="1" t="n">
        <v>46031</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64212-2021</t>
        </is>
      </c>
      <c r="B209" s="1" t="n">
        <v>44510</v>
      </c>
      <c r="C209" s="1" t="n">
        <v>46031</v>
      </c>
      <c r="D209" t="inlineStr">
        <is>
          <t>STOCKHOLMS LÄN</t>
        </is>
      </c>
      <c r="E209" t="inlineStr">
        <is>
          <t>NORRTÄLJE</t>
        </is>
      </c>
      <c r="G209" t="n">
        <v>28.7</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46031</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36565-2021</t>
        </is>
      </c>
      <c r="B211" s="1" t="n">
        <v>44391.5580787037</v>
      </c>
      <c r="C211" s="1" t="n">
        <v>46031</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44274-2021</t>
        </is>
      </c>
      <c r="B212" s="1" t="n">
        <v>44435</v>
      </c>
      <c r="C212" s="1" t="n">
        <v>46031</v>
      </c>
      <c r="D212" t="inlineStr">
        <is>
          <t>STOCKHOLMS LÄN</t>
        </is>
      </c>
      <c r="E212" t="inlineStr">
        <is>
          <t>NORRTÄLJE</t>
        </is>
      </c>
      <c r="G212" t="n">
        <v>1</v>
      </c>
      <c r="H212" t="n">
        <v>0</v>
      </c>
      <c r="I212" t="n">
        <v>0</v>
      </c>
      <c r="J212" t="n">
        <v>0</v>
      </c>
      <c r="K212" t="n">
        <v>0</v>
      </c>
      <c r="L212" t="n">
        <v>0</v>
      </c>
      <c r="M212" t="n">
        <v>0</v>
      </c>
      <c r="N212" t="n">
        <v>0</v>
      </c>
      <c r="O212" t="n">
        <v>0</v>
      </c>
      <c r="P212" t="n">
        <v>0</v>
      </c>
      <c r="Q212" t="n">
        <v>0</v>
      </c>
      <c r="R212" s="2" t="inlineStr"/>
    </row>
    <row r="213" ht="15" customHeight="1">
      <c r="A213" t="inlineStr">
        <is>
          <t>A 50970-2022</t>
        </is>
      </c>
      <c r="B213" s="1" t="n">
        <v>44867</v>
      </c>
      <c r="C213" s="1" t="n">
        <v>46031</v>
      </c>
      <c r="D213" t="inlineStr">
        <is>
          <t>STOCKHOLMS LÄN</t>
        </is>
      </c>
      <c r="E213" t="inlineStr">
        <is>
          <t>NORRTÄLJE</t>
        </is>
      </c>
      <c r="G213" t="n">
        <v>9</v>
      </c>
      <c r="H213" t="n">
        <v>0</v>
      </c>
      <c r="I213" t="n">
        <v>0</v>
      </c>
      <c r="J213" t="n">
        <v>0</v>
      </c>
      <c r="K213" t="n">
        <v>0</v>
      </c>
      <c r="L213" t="n">
        <v>0</v>
      </c>
      <c r="M213" t="n">
        <v>0</v>
      </c>
      <c r="N213" t="n">
        <v>0</v>
      </c>
      <c r="O213" t="n">
        <v>0</v>
      </c>
      <c r="P213" t="n">
        <v>0</v>
      </c>
      <c r="Q213" t="n">
        <v>0</v>
      </c>
      <c r="R213" s="2" t="inlineStr"/>
    </row>
    <row r="214" ht="15" customHeight="1">
      <c r="A214" t="inlineStr">
        <is>
          <t>A 49113-2021</t>
        </is>
      </c>
      <c r="B214" s="1" t="n">
        <v>44453</v>
      </c>
      <c r="C214" s="1" t="n">
        <v>46031</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64628-2021</t>
        </is>
      </c>
      <c r="B215" s="1" t="n">
        <v>44511</v>
      </c>
      <c r="C215" s="1" t="n">
        <v>46031</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60209-2021</t>
        </is>
      </c>
      <c r="B216" s="1" t="n">
        <v>44495</v>
      </c>
      <c r="C216" s="1" t="n">
        <v>46031</v>
      </c>
      <c r="D216" t="inlineStr">
        <is>
          <t>STOCKHOLMS LÄN</t>
        </is>
      </c>
      <c r="E216" t="inlineStr">
        <is>
          <t>NORRTÄLJE</t>
        </is>
      </c>
      <c r="G216" t="n">
        <v>4.3</v>
      </c>
      <c r="H216" t="n">
        <v>0</v>
      </c>
      <c r="I216" t="n">
        <v>0</v>
      </c>
      <c r="J216" t="n">
        <v>0</v>
      </c>
      <c r="K216" t="n">
        <v>0</v>
      </c>
      <c r="L216" t="n">
        <v>0</v>
      </c>
      <c r="M216" t="n">
        <v>0</v>
      </c>
      <c r="N216" t="n">
        <v>0</v>
      </c>
      <c r="O216" t="n">
        <v>0</v>
      </c>
      <c r="P216" t="n">
        <v>0</v>
      </c>
      <c r="Q216" t="n">
        <v>0</v>
      </c>
      <c r="R216" s="2" t="inlineStr"/>
    </row>
    <row r="217" ht="15" customHeight="1">
      <c r="A217" t="inlineStr">
        <is>
          <t>A 17803-2022</t>
        </is>
      </c>
      <c r="B217" s="1" t="n">
        <v>44683</v>
      </c>
      <c r="C217" s="1" t="n">
        <v>46031</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32561-2021</t>
        </is>
      </c>
      <c r="B218" s="1" t="n">
        <v>44375</v>
      </c>
      <c r="C218" s="1" t="n">
        <v>46031</v>
      </c>
      <c r="D218" t="inlineStr">
        <is>
          <t>STOCKHOLMS LÄN</t>
        </is>
      </c>
      <c r="E218" t="inlineStr">
        <is>
          <t>NORRTÄLJE</t>
        </is>
      </c>
      <c r="G218" t="n">
        <v>3.4</v>
      </c>
      <c r="H218" t="n">
        <v>0</v>
      </c>
      <c r="I218" t="n">
        <v>0</v>
      </c>
      <c r="J218" t="n">
        <v>0</v>
      </c>
      <c r="K218" t="n">
        <v>0</v>
      </c>
      <c r="L218" t="n">
        <v>0</v>
      </c>
      <c r="M218" t="n">
        <v>0</v>
      </c>
      <c r="N218" t="n">
        <v>0</v>
      </c>
      <c r="O218" t="n">
        <v>0</v>
      </c>
      <c r="P218" t="n">
        <v>0</v>
      </c>
      <c r="Q218" t="n">
        <v>0</v>
      </c>
      <c r="R218" s="2" t="inlineStr"/>
    </row>
    <row r="219" ht="15" customHeight="1">
      <c r="A219" t="inlineStr">
        <is>
          <t>A 71325-2021</t>
        </is>
      </c>
      <c r="B219" s="1" t="n">
        <v>44539</v>
      </c>
      <c r="C219" s="1" t="n">
        <v>46031</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46031</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46031</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17460-2021</t>
        </is>
      </c>
      <c r="B222" s="1" t="n">
        <v>44299</v>
      </c>
      <c r="C222" s="1" t="n">
        <v>46031</v>
      </c>
      <c r="D222" t="inlineStr">
        <is>
          <t>STOCKHOLMS LÄN</t>
        </is>
      </c>
      <c r="E222" t="inlineStr">
        <is>
          <t>NORRTÄLJE</t>
        </is>
      </c>
      <c r="G222" t="n">
        <v>3.2</v>
      </c>
      <c r="H222" t="n">
        <v>0</v>
      </c>
      <c r="I222" t="n">
        <v>0</v>
      </c>
      <c r="J222" t="n">
        <v>0</v>
      </c>
      <c r="K222" t="n">
        <v>0</v>
      </c>
      <c r="L222" t="n">
        <v>0</v>
      </c>
      <c r="M222" t="n">
        <v>0</v>
      </c>
      <c r="N222" t="n">
        <v>0</v>
      </c>
      <c r="O222" t="n">
        <v>0</v>
      </c>
      <c r="P222" t="n">
        <v>0</v>
      </c>
      <c r="Q222" t="n">
        <v>0</v>
      </c>
      <c r="R222" s="2" t="inlineStr"/>
    </row>
    <row r="223" ht="15" customHeight="1">
      <c r="A223" t="inlineStr">
        <is>
          <t>A 39497-2021</t>
        </is>
      </c>
      <c r="B223" s="1" t="n">
        <v>44414.81494212963</v>
      </c>
      <c r="C223" s="1" t="n">
        <v>46031</v>
      </c>
      <c r="D223" t="inlineStr">
        <is>
          <t>STOCKHOLMS LÄN</t>
        </is>
      </c>
      <c r="E223" t="inlineStr">
        <is>
          <t>NORRTÄLJE</t>
        </is>
      </c>
      <c r="G223" t="n">
        <v>1.7</v>
      </c>
      <c r="H223" t="n">
        <v>0</v>
      </c>
      <c r="I223" t="n">
        <v>0</v>
      </c>
      <c r="J223" t="n">
        <v>0</v>
      </c>
      <c r="K223" t="n">
        <v>0</v>
      </c>
      <c r="L223" t="n">
        <v>0</v>
      </c>
      <c r="M223" t="n">
        <v>0</v>
      </c>
      <c r="N223" t="n">
        <v>0</v>
      </c>
      <c r="O223" t="n">
        <v>0</v>
      </c>
      <c r="P223" t="n">
        <v>0</v>
      </c>
      <c r="Q223" t="n">
        <v>0</v>
      </c>
      <c r="R223" s="2" t="inlineStr"/>
    </row>
    <row r="224" ht="15" customHeight="1">
      <c r="A224" t="inlineStr">
        <is>
          <t>A 34431-2021</t>
        </is>
      </c>
      <c r="B224" s="1" t="n">
        <v>44380</v>
      </c>
      <c r="C224" s="1" t="n">
        <v>46031</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46031</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30129-2021</t>
        </is>
      </c>
      <c r="B226" s="1" t="n">
        <v>44363.5784375</v>
      </c>
      <c r="C226" s="1" t="n">
        <v>46031</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22316-2022</t>
        </is>
      </c>
      <c r="B227" s="1" t="n">
        <v>44712.83118055556</v>
      </c>
      <c r="C227" s="1" t="n">
        <v>46031</v>
      </c>
      <c r="D227" t="inlineStr">
        <is>
          <t>STOCKHOLMS LÄN</t>
        </is>
      </c>
      <c r="E227" t="inlineStr">
        <is>
          <t>NORRTÄLJE</t>
        </is>
      </c>
      <c r="G227" t="n">
        <v>6.3</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46031</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9467-2021</t>
        </is>
      </c>
      <c r="B229" s="1" t="n">
        <v>44251.43971064815</v>
      </c>
      <c r="C229" s="1" t="n">
        <v>46031</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71871-2021</t>
        </is>
      </c>
      <c r="B230" s="1" t="n">
        <v>44543</v>
      </c>
      <c r="C230" s="1" t="n">
        <v>46031</v>
      </c>
      <c r="D230" t="inlineStr">
        <is>
          <t>STOCKHOLMS LÄN</t>
        </is>
      </c>
      <c r="E230" t="inlineStr">
        <is>
          <t>NORRTÄLJE</t>
        </is>
      </c>
      <c r="G230" t="n">
        <v>2.5</v>
      </c>
      <c r="H230" t="n">
        <v>0</v>
      </c>
      <c r="I230" t="n">
        <v>0</v>
      </c>
      <c r="J230" t="n">
        <v>0</v>
      </c>
      <c r="K230" t="n">
        <v>0</v>
      </c>
      <c r="L230" t="n">
        <v>0</v>
      </c>
      <c r="M230" t="n">
        <v>0</v>
      </c>
      <c r="N230" t="n">
        <v>0</v>
      </c>
      <c r="O230" t="n">
        <v>0</v>
      </c>
      <c r="P230" t="n">
        <v>0</v>
      </c>
      <c r="Q230" t="n">
        <v>0</v>
      </c>
      <c r="R230" s="2" t="inlineStr"/>
    </row>
    <row r="231" ht="15" customHeight="1">
      <c r="A231" t="inlineStr">
        <is>
          <t>A 71873-2021</t>
        </is>
      </c>
      <c r="B231" s="1" t="n">
        <v>44543</v>
      </c>
      <c r="C231" s="1" t="n">
        <v>46031</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46031</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46031</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9988-2022</t>
        </is>
      </c>
      <c r="B234" s="1" t="n">
        <v>44621</v>
      </c>
      <c r="C234" s="1" t="n">
        <v>46031</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60733-2021</t>
        </is>
      </c>
      <c r="B235" s="1" t="n">
        <v>44496.77542824074</v>
      </c>
      <c r="C235" s="1" t="n">
        <v>46031</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53884-2022</t>
        </is>
      </c>
      <c r="B236" s="1" t="n">
        <v>44880.68423611111</v>
      </c>
      <c r="C236" s="1" t="n">
        <v>46031</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12357-2022</t>
        </is>
      </c>
      <c r="B237" s="1" t="n">
        <v>44637</v>
      </c>
      <c r="C237" s="1" t="n">
        <v>46031</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26335-2022</t>
        </is>
      </c>
      <c r="B238" s="1" t="n">
        <v>44735</v>
      </c>
      <c r="C238" s="1" t="n">
        <v>46031</v>
      </c>
      <c r="D238" t="inlineStr">
        <is>
          <t>STOCKHOLMS LÄN</t>
        </is>
      </c>
      <c r="E238" t="inlineStr">
        <is>
          <t>NORRTÄLJE</t>
        </is>
      </c>
      <c r="G238" t="n">
        <v>3.3</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46031</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52449-2021</t>
        </is>
      </c>
      <c r="B240" s="1" t="n">
        <v>44466.37496527778</v>
      </c>
      <c r="C240" s="1" t="n">
        <v>46031</v>
      </c>
      <c r="D240" t="inlineStr">
        <is>
          <t>STOCKHOLMS LÄN</t>
        </is>
      </c>
      <c r="E240" t="inlineStr">
        <is>
          <t>NORRTÄLJE</t>
        </is>
      </c>
      <c r="F240" t="inlineStr">
        <is>
          <t>Holmen skog AB</t>
        </is>
      </c>
      <c r="G240" t="n">
        <v>1.8</v>
      </c>
      <c r="H240" t="n">
        <v>0</v>
      </c>
      <c r="I240" t="n">
        <v>0</v>
      </c>
      <c r="J240" t="n">
        <v>0</v>
      </c>
      <c r="K240" t="n">
        <v>0</v>
      </c>
      <c r="L240" t="n">
        <v>0</v>
      </c>
      <c r="M240" t="n">
        <v>0</v>
      </c>
      <c r="N240" t="n">
        <v>0</v>
      </c>
      <c r="O240" t="n">
        <v>0</v>
      </c>
      <c r="P240" t="n">
        <v>0</v>
      </c>
      <c r="Q240" t="n">
        <v>0</v>
      </c>
      <c r="R240" s="2" t="inlineStr"/>
    </row>
    <row r="241" ht="15" customHeight="1">
      <c r="A241" t="inlineStr">
        <is>
          <t>A 33046-2021</t>
        </is>
      </c>
      <c r="B241" s="1" t="n">
        <v>44376</v>
      </c>
      <c r="C241" s="1" t="n">
        <v>46031</v>
      </c>
      <c r="D241" t="inlineStr">
        <is>
          <t>STOCKHOLMS LÄN</t>
        </is>
      </c>
      <c r="E241" t="inlineStr">
        <is>
          <t>NORRTÄLJE</t>
        </is>
      </c>
      <c r="G241" t="n">
        <v>2.1</v>
      </c>
      <c r="H241" t="n">
        <v>0</v>
      </c>
      <c r="I241" t="n">
        <v>0</v>
      </c>
      <c r="J241" t="n">
        <v>0</v>
      </c>
      <c r="K241" t="n">
        <v>0</v>
      </c>
      <c r="L241" t="n">
        <v>0</v>
      </c>
      <c r="M241" t="n">
        <v>0</v>
      </c>
      <c r="N241" t="n">
        <v>0</v>
      </c>
      <c r="O241" t="n">
        <v>0</v>
      </c>
      <c r="P241" t="n">
        <v>0</v>
      </c>
      <c r="Q241" t="n">
        <v>0</v>
      </c>
      <c r="R241" s="2" t="inlineStr"/>
    </row>
    <row r="242" ht="15" customHeight="1">
      <c r="A242" t="inlineStr">
        <is>
          <t>A 26328-2022</t>
        </is>
      </c>
      <c r="B242" s="1" t="n">
        <v>44735</v>
      </c>
      <c r="C242" s="1" t="n">
        <v>46031</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15441-2021</t>
        </is>
      </c>
      <c r="B243" s="1" t="n">
        <v>44284</v>
      </c>
      <c r="C243" s="1" t="n">
        <v>46031</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46031</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67598-2021</t>
        </is>
      </c>
      <c r="B245" s="1" t="n">
        <v>44524</v>
      </c>
      <c r="C245" s="1" t="n">
        <v>46031</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1968-2022</t>
        </is>
      </c>
      <c r="B246" s="1" t="n">
        <v>44575.52831018518</v>
      </c>
      <c r="C246" s="1" t="n">
        <v>46031</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46031</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14051-2022</t>
        </is>
      </c>
      <c r="B248" s="1" t="n">
        <v>44650.92714120371</v>
      </c>
      <c r="C248" s="1" t="n">
        <v>46031</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24167-2022</t>
        </is>
      </c>
      <c r="B249" s="1" t="n">
        <v>44725.49491898148</v>
      </c>
      <c r="C249" s="1" t="n">
        <v>46031</v>
      </c>
      <c r="D249" t="inlineStr">
        <is>
          <t>STOCKHOLMS LÄN</t>
        </is>
      </c>
      <c r="E249" t="inlineStr">
        <is>
          <t>NORRTÄLJE</t>
        </is>
      </c>
      <c r="G249" t="n">
        <v>3.4</v>
      </c>
      <c r="H249" t="n">
        <v>0</v>
      </c>
      <c r="I249" t="n">
        <v>0</v>
      </c>
      <c r="J249" t="n">
        <v>0</v>
      </c>
      <c r="K249" t="n">
        <v>0</v>
      </c>
      <c r="L249" t="n">
        <v>0</v>
      </c>
      <c r="M249" t="n">
        <v>0</v>
      </c>
      <c r="N249" t="n">
        <v>0</v>
      </c>
      <c r="O249" t="n">
        <v>0</v>
      </c>
      <c r="P249" t="n">
        <v>0</v>
      </c>
      <c r="Q249" t="n">
        <v>0</v>
      </c>
      <c r="R249" s="2" t="inlineStr"/>
    </row>
    <row r="250" ht="15" customHeight="1">
      <c r="A250" t="inlineStr">
        <is>
          <t>A 42396-2021</t>
        </is>
      </c>
      <c r="B250" s="1" t="n">
        <v>44427</v>
      </c>
      <c r="C250" s="1" t="n">
        <v>46031</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2732-2022</t>
        </is>
      </c>
      <c r="B251" s="1" t="n">
        <v>44580</v>
      </c>
      <c r="C251" s="1" t="n">
        <v>46031</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46031</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16119-2022</t>
        </is>
      </c>
      <c r="B253" s="1" t="n">
        <v>44665.66407407408</v>
      </c>
      <c r="C253" s="1" t="n">
        <v>46031</v>
      </c>
      <c r="D253" t="inlineStr">
        <is>
          <t>STOCKHOLMS LÄN</t>
        </is>
      </c>
      <c r="E253" t="inlineStr">
        <is>
          <t>NORRTÄLJE</t>
        </is>
      </c>
      <c r="G253" t="n">
        <v>3.9</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46031</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14543-2022</t>
        </is>
      </c>
      <c r="B255" s="1" t="n">
        <v>44655.45373842592</v>
      </c>
      <c r="C255" s="1" t="n">
        <v>46031</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46031</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46031</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41398-2022</t>
        </is>
      </c>
      <c r="B258" s="1" t="n">
        <v>44826</v>
      </c>
      <c r="C258" s="1" t="n">
        <v>46031</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22369-2021</t>
        </is>
      </c>
      <c r="B259" s="1" t="n">
        <v>44326</v>
      </c>
      <c r="C259" s="1" t="n">
        <v>46031</v>
      </c>
      <c r="D259" t="inlineStr">
        <is>
          <t>STOCKHOLMS LÄN</t>
        </is>
      </c>
      <c r="E259" t="inlineStr">
        <is>
          <t>NORRTÄLJE</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46031</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12779-2021</t>
        </is>
      </c>
      <c r="B261" s="1" t="n">
        <v>44270</v>
      </c>
      <c r="C261" s="1" t="n">
        <v>46031</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12782-2021</t>
        </is>
      </c>
      <c r="B262" s="1" t="n">
        <v>44270</v>
      </c>
      <c r="C262" s="1" t="n">
        <v>46031</v>
      </c>
      <c r="D262" t="inlineStr">
        <is>
          <t>STOCKHOLMS LÄN</t>
        </is>
      </c>
      <c r="E262" t="inlineStr">
        <is>
          <t>NORRTÄLJE</t>
        </is>
      </c>
      <c r="G262" t="n">
        <v>3.8</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46031</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68273-2021</t>
        </is>
      </c>
      <c r="B264" s="1" t="n">
        <v>44526</v>
      </c>
      <c r="C264" s="1" t="n">
        <v>46031</v>
      </c>
      <c r="D264" t="inlineStr">
        <is>
          <t>STOCKHOLMS LÄN</t>
        </is>
      </c>
      <c r="E264" t="inlineStr">
        <is>
          <t>NORRTÄLJE</t>
        </is>
      </c>
      <c r="G264" t="n">
        <v>5.3</v>
      </c>
      <c r="H264" t="n">
        <v>0</v>
      </c>
      <c r="I264" t="n">
        <v>0</v>
      </c>
      <c r="J264" t="n">
        <v>0</v>
      </c>
      <c r="K264" t="n">
        <v>0</v>
      </c>
      <c r="L264" t="n">
        <v>0</v>
      </c>
      <c r="M264" t="n">
        <v>0</v>
      </c>
      <c r="N264" t="n">
        <v>0</v>
      </c>
      <c r="O264" t="n">
        <v>0</v>
      </c>
      <c r="P264" t="n">
        <v>0</v>
      </c>
      <c r="Q264" t="n">
        <v>0</v>
      </c>
      <c r="R264" s="2" t="inlineStr"/>
    </row>
    <row r="265" ht="15" customHeight="1">
      <c r="A265" t="inlineStr">
        <is>
          <t>A 5562-2021</t>
        </is>
      </c>
      <c r="B265" s="1" t="n">
        <v>44230</v>
      </c>
      <c r="C265" s="1" t="n">
        <v>46031</v>
      </c>
      <c r="D265" t="inlineStr">
        <is>
          <t>STOCKHOLMS LÄN</t>
        </is>
      </c>
      <c r="E265" t="inlineStr">
        <is>
          <t>NORRTÄLJE</t>
        </is>
      </c>
      <c r="G265" t="n">
        <v>0.5</v>
      </c>
      <c r="H265" t="n">
        <v>0</v>
      </c>
      <c r="I265" t="n">
        <v>0</v>
      </c>
      <c r="J265" t="n">
        <v>0</v>
      </c>
      <c r="K265" t="n">
        <v>0</v>
      </c>
      <c r="L265" t="n">
        <v>0</v>
      </c>
      <c r="M265" t="n">
        <v>0</v>
      </c>
      <c r="N265" t="n">
        <v>0</v>
      </c>
      <c r="O265" t="n">
        <v>0</v>
      </c>
      <c r="P265" t="n">
        <v>0</v>
      </c>
      <c r="Q265" t="n">
        <v>0</v>
      </c>
      <c r="R265" s="2" t="inlineStr"/>
    </row>
    <row r="266" ht="15" customHeight="1">
      <c r="A266" t="inlineStr">
        <is>
          <t>A 5566-2021</t>
        </is>
      </c>
      <c r="B266" s="1" t="n">
        <v>44230</v>
      </c>
      <c r="C266" s="1" t="n">
        <v>46031</v>
      </c>
      <c r="D266" t="inlineStr">
        <is>
          <t>STOCKHOLMS LÄN</t>
        </is>
      </c>
      <c r="E266" t="inlineStr">
        <is>
          <t>NORRTÄLJE</t>
        </is>
      </c>
      <c r="G266" t="n">
        <v>3.1</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46031</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9446-2021</t>
        </is>
      </c>
      <c r="B268" s="1" t="n">
        <v>44251</v>
      </c>
      <c r="C268" s="1" t="n">
        <v>46031</v>
      </c>
      <c r="D268" t="inlineStr">
        <is>
          <t>STOCKHOLMS LÄN</t>
        </is>
      </c>
      <c r="E268" t="inlineStr">
        <is>
          <t>NORRTÄLJE</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17673-2021</t>
        </is>
      </c>
      <c r="B269" s="1" t="n">
        <v>44300</v>
      </c>
      <c r="C269" s="1" t="n">
        <v>46031</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c r="T269">
        <f>HYPERLINK("https://klasma.github.io/Logging_0188/kartor/A 17673-2021 karta.png", "A 17673-2021")</f>
        <v/>
      </c>
      <c r="V269">
        <f>HYPERLINK("https://klasma.github.io/Logging_0188/klagomål/A 17673-2021 FSC-klagomål.docx", "A 17673-2021")</f>
        <v/>
      </c>
      <c r="W269">
        <f>HYPERLINK("https://klasma.github.io/Logging_0188/klagomålsmail/A 17673-2021 FSC-klagomål mail.docx", "A 17673-2021")</f>
        <v/>
      </c>
      <c r="X269">
        <f>HYPERLINK("https://klasma.github.io/Logging_0188/tillsyn/A 17673-2021 tillsynsbegäran.docx", "A 17673-2021")</f>
        <v/>
      </c>
      <c r="Y269">
        <f>HYPERLINK("https://klasma.github.io/Logging_0188/tillsynsmail/A 17673-2021 tillsynsbegäran mail.docx", "A 17673-2021")</f>
        <v/>
      </c>
      <c r="Z269">
        <f>HYPERLINK("https://klasma.github.io/Logging_0188/fåglar/A 17673-2021 prioriterade fågelarter.docx", "A 17673-2021")</f>
        <v/>
      </c>
    </row>
    <row r="270" ht="15" customHeight="1">
      <c r="A270" t="inlineStr">
        <is>
          <t>A 27217-2021</t>
        </is>
      </c>
      <c r="B270" s="1" t="n">
        <v>44350</v>
      </c>
      <c r="C270" s="1" t="n">
        <v>46031</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46031</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46031</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46031</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46031</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27214-2021</t>
        </is>
      </c>
      <c r="B275" s="1" t="n">
        <v>44350</v>
      </c>
      <c r="C275" s="1" t="n">
        <v>46031</v>
      </c>
      <c r="D275" t="inlineStr">
        <is>
          <t>STOCKHOLMS LÄN</t>
        </is>
      </c>
      <c r="E275" t="inlineStr">
        <is>
          <t>NORRTÄLJE</t>
        </is>
      </c>
      <c r="G275" t="n">
        <v>1</v>
      </c>
      <c r="H275" t="n">
        <v>0</v>
      </c>
      <c r="I275" t="n">
        <v>0</v>
      </c>
      <c r="J275" t="n">
        <v>0</v>
      </c>
      <c r="K275" t="n">
        <v>0</v>
      </c>
      <c r="L275" t="n">
        <v>0</v>
      </c>
      <c r="M275" t="n">
        <v>0</v>
      </c>
      <c r="N275" t="n">
        <v>0</v>
      </c>
      <c r="O275" t="n">
        <v>0</v>
      </c>
      <c r="P275" t="n">
        <v>0</v>
      </c>
      <c r="Q275" t="n">
        <v>0</v>
      </c>
      <c r="R275" s="2" t="inlineStr"/>
    </row>
    <row r="276" ht="15" customHeight="1">
      <c r="A276" t="inlineStr">
        <is>
          <t>A 41822-2021</t>
        </is>
      </c>
      <c r="B276" s="1" t="n">
        <v>44425</v>
      </c>
      <c r="C276" s="1" t="n">
        <v>46031</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41823-2021</t>
        </is>
      </c>
      <c r="B277" s="1" t="n">
        <v>44425</v>
      </c>
      <c r="C277" s="1" t="n">
        <v>46031</v>
      </c>
      <c r="D277" t="inlineStr">
        <is>
          <t>STOCKHOLMS LÄN</t>
        </is>
      </c>
      <c r="E277" t="inlineStr">
        <is>
          <t>NORRTÄLJE</t>
        </is>
      </c>
      <c r="G277" t="n">
        <v>2.4</v>
      </c>
      <c r="H277" t="n">
        <v>0</v>
      </c>
      <c r="I277" t="n">
        <v>0</v>
      </c>
      <c r="J277" t="n">
        <v>0</v>
      </c>
      <c r="K277" t="n">
        <v>0</v>
      </c>
      <c r="L277" t="n">
        <v>0</v>
      </c>
      <c r="M277" t="n">
        <v>0</v>
      </c>
      <c r="N277" t="n">
        <v>0</v>
      </c>
      <c r="O277" t="n">
        <v>0</v>
      </c>
      <c r="P277" t="n">
        <v>0</v>
      </c>
      <c r="Q277" t="n">
        <v>0</v>
      </c>
      <c r="R277" s="2" t="inlineStr"/>
    </row>
    <row r="278" ht="15" customHeight="1">
      <c r="A278" t="inlineStr">
        <is>
          <t>A 7565-2022</t>
        </is>
      </c>
      <c r="B278" s="1" t="n">
        <v>44607</v>
      </c>
      <c r="C278" s="1" t="n">
        <v>46031</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20295-2022</t>
        </is>
      </c>
      <c r="B279" s="1" t="n">
        <v>44698</v>
      </c>
      <c r="C279" s="1" t="n">
        <v>46031</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46031</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8160-2022</t>
        </is>
      </c>
      <c r="B281" s="1" t="n">
        <v>44609</v>
      </c>
      <c r="C281" s="1" t="n">
        <v>46031</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30286-2022</t>
        </is>
      </c>
      <c r="B282" s="1" t="n">
        <v>44760</v>
      </c>
      <c r="C282" s="1" t="n">
        <v>46031</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39319-2022</t>
        </is>
      </c>
      <c r="B283" s="1" t="n">
        <v>44817.70516203704</v>
      </c>
      <c r="C283" s="1" t="n">
        <v>46031</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46031</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15226-2022</t>
        </is>
      </c>
      <c r="B285" s="1" t="n">
        <v>44658</v>
      </c>
      <c r="C285" s="1" t="n">
        <v>46031</v>
      </c>
      <c r="D285" t="inlineStr">
        <is>
          <t>STOCKHOLMS LÄN</t>
        </is>
      </c>
      <c r="E285" t="inlineStr">
        <is>
          <t>NORRTÄLJE</t>
        </is>
      </c>
      <c r="G285" t="n">
        <v>1.1</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46031</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46031</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10521-2022</t>
        </is>
      </c>
      <c r="B288" s="1" t="n">
        <v>44623</v>
      </c>
      <c r="C288" s="1" t="n">
        <v>46031</v>
      </c>
      <c r="D288" t="inlineStr">
        <is>
          <t>STOCKHOLMS LÄN</t>
        </is>
      </c>
      <c r="E288" t="inlineStr">
        <is>
          <t>NORRTÄLJE</t>
        </is>
      </c>
      <c r="G288" t="n">
        <v>2.9</v>
      </c>
      <c r="H288" t="n">
        <v>0</v>
      </c>
      <c r="I288" t="n">
        <v>0</v>
      </c>
      <c r="J288" t="n">
        <v>0</v>
      </c>
      <c r="K288" t="n">
        <v>0</v>
      </c>
      <c r="L288" t="n">
        <v>0</v>
      </c>
      <c r="M288" t="n">
        <v>0</v>
      </c>
      <c r="N288" t="n">
        <v>0</v>
      </c>
      <c r="O288" t="n">
        <v>0</v>
      </c>
      <c r="P288" t="n">
        <v>0</v>
      </c>
      <c r="Q288" t="n">
        <v>0</v>
      </c>
      <c r="R288" s="2" t="inlineStr"/>
    </row>
    <row r="289" ht="15" customHeight="1">
      <c r="A289" t="inlineStr">
        <is>
          <t>A 17771-2022</t>
        </is>
      </c>
      <c r="B289" s="1" t="n">
        <v>44682.75924768519</v>
      </c>
      <c r="C289" s="1" t="n">
        <v>46031</v>
      </c>
      <c r="D289" t="inlineStr">
        <is>
          <t>STOCKHOLMS LÄN</t>
        </is>
      </c>
      <c r="E289" t="inlineStr">
        <is>
          <t>NORRTÄLJE</t>
        </is>
      </c>
      <c r="G289" t="n">
        <v>13.3</v>
      </c>
      <c r="H289" t="n">
        <v>0</v>
      </c>
      <c r="I289" t="n">
        <v>0</v>
      </c>
      <c r="J289" t="n">
        <v>0</v>
      </c>
      <c r="K289" t="n">
        <v>0</v>
      </c>
      <c r="L289" t="n">
        <v>0</v>
      </c>
      <c r="M289" t="n">
        <v>0</v>
      </c>
      <c r="N289" t="n">
        <v>0</v>
      </c>
      <c r="O289" t="n">
        <v>0</v>
      </c>
      <c r="P289" t="n">
        <v>0</v>
      </c>
      <c r="Q289" t="n">
        <v>0</v>
      </c>
      <c r="R289" s="2" t="inlineStr"/>
    </row>
    <row r="290" ht="15" customHeight="1">
      <c r="A290" t="inlineStr">
        <is>
          <t>A 17773-2022</t>
        </is>
      </c>
      <c r="B290" s="1" t="n">
        <v>44682.77616898148</v>
      </c>
      <c r="C290" s="1" t="n">
        <v>46031</v>
      </c>
      <c r="D290" t="inlineStr">
        <is>
          <t>STOCKHOLMS LÄN</t>
        </is>
      </c>
      <c r="E290" t="inlineStr">
        <is>
          <t>NORRTÄLJE</t>
        </is>
      </c>
      <c r="G290" t="n">
        <v>10.8</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46031</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46031</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46031</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46031</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21102-2022</t>
        </is>
      </c>
      <c r="B295" s="1" t="n">
        <v>44704</v>
      </c>
      <c r="C295" s="1" t="n">
        <v>46031</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17772-2022</t>
        </is>
      </c>
      <c r="B296" s="1" t="n">
        <v>44682.76528935185</v>
      </c>
      <c r="C296" s="1" t="n">
        <v>46031</v>
      </c>
      <c r="D296" t="inlineStr">
        <is>
          <t>STOCKHOLMS LÄN</t>
        </is>
      </c>
      <c r="E296" t="inlineStr">
        <is>
          <t>NORRTÄLJE</t>
        </is>
      </c>
      <c r="G296" t="n">
        <v>4</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46031</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67285-2021</t>
        </is>
      </c>
      <c r="B298" s="1" t="n">
        <v>44523.61635416667</v>
      </c>
      <c r="C298" s="1" t="n">
        <v>46031</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46031</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46031</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25463-2021</t>
        </is>
      </c>
      <c r="B301" s="1" t="n">
        <v>44342</v>
      </c>
      <c r="C301" s="1" t="n">
        <v>46031</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46031</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60184-2021</t>
        </is>
      </c>
      <c r="B303" s="1" t="n">
        <v>44495</v>
      </c>
      <c r="C303" s="1" t="n">
        <v>46031</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12348-2025</t>
        </is>
      </c>
      <c r="B304" s="1" t="n">
        <v>45730.35026620371</v>
      </c>
      <c r="C304" s="1" t="n">
        <v>46031</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12111-2021</t>
        </is>
      </c>
      <c r="B305" s="1" t="n">
        <v>44266</v>
      </c>
      <c r="C305" s="1" t="n">
        <v>46031</v>
      </c>
      <c r="D305" t="inlineStr">
        <is>
          <t>STOCKHOLMS LÄN</t>
        </is>
      </c>
      <c r="E305" t="inlineStr">
        <is>
          <t>NORRTÄLJE</t>
        </is>
      </c>
      <c r="G305" t="n">
        <v>5.5</v>
      </c>
      <c r="H305" t="n">
        <v>0</v>
      </c>
      <c r="I305" t="n">
        <v>0</v>
      </c>
      <c r="J305" t="n">
        <v>0</v>
      </c>
      <c r="K305" t="n">
        <v>0</v>
      </c>
      <c r="L305" t="n">
        <v>0</v>
      </c>
      <c r="M305" t="n">
        <v>0</v>
      </c>
      <c r="N305" t="n">
        <v>0</v>
      </c>
      <c r="O305" t="n">
        <v>0</v>
      </c>
      <c r="P305" t="n">
        <v>0</v>
      </c>
      <c r="Q305" t="n">
        <v>0</v>
      </c>
      <c r="R305" s="2" t="inlineStr"/>
    </row>
    <row r="306" ht="15" customHeight="1">
      <c r="A306" t="inlineStr">
        <is>
          <t>A 33053-2021</t>
        </is>
      </c>
      <c r="B306" s="1" t="n">
        <v>44376</v>
      </c>
      <c r="C306" s="1" t="n">
        <v>46031</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23271-2023</t>
        </is>
      </c>
      <c r="B307" s="1" t="n">
        <v>45075.91362268518</v>
      </c>
      <c r="C307" s="1" t="n">
        <v>46031</v>
      </c>
      <c r="D307" t="inlineStr">
        <is>
          <t>STOCKHOLMS LÄN</t>
        </is>
      </c>
      <c r="E307" t="inlineStr">
        <is>
          <t>NORRTÄLJE</t>
        </is>
      </c>
      <c r="G307" t="n">
        <v>5.1</v>
      </c>
      <c r="H307" t="n">
        <v>0</v>
      </c>
      <c r="I307" t="n">
        <v>0</v>
      </c>
      <c r="J307" t="n">
        <v>0</v>
      </c>
      <c r="K307" t="n">
        <v>0</v>
      </c>
      <c r="L307" t="n">
        <v>0</v>
      </c>
      <c r="M307" t="n">
        <v>0</v>
      </c>
      <c r="N307" t="n">
        <v>0</v>
      </c>
      <c r="O307" t="n">
        <v>0</v>
      </c>
      <c r="P307" t="n">
        <v>0</v>
      </c>
      <c r="Q307" t="n">
        <v>0</v>
      </c>
      <c r="R307" s="2" t="inlineStr"/>
    </row>
    <row r="308" ht="15" customHeight="1">
      <c r="A308" t="inlineStr">
        <is>
          <t>A 23273-2023</t>
        </is>
      </c>
      <c r="B308" s="1" t="n">
        <v>45075.91971064815</v>
      </c>
      <c r="C308" s="1" t="n">
        <v>46031</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30802-2022</t>
        </is>
      </c>
      <c r="B309" s="1" t="n">
        <v>44764</v>
      </c>
      <c r="C309" s="1" t="n">
        <v>46031</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19706-2023</t>
        </is>
      </c>
      <c r="B310" s="1" t="n">
        <v>45051.455</v>
      </c>
      <c r="C310" s="1" t="n">
        <v>46031</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20013-2025</t>
        </is>
      </c>
      <c r="B311" s="1" t="n">
        <v>45772.30436342592</v>
      </c>
      <c r="C311" s="1" t="n">
        <v>46031</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55012-2024</t>
        </is>
      </c>
      <c r="B312" s="1" t="n">
        <v>45621.34813657407</v>
      </c>
      <c r="C312" s="1" t="n">
        <v>46031</v>
      </c>
      <c r="D312" t="inlineStr">
        <is>
          <t>STOCKHOLMS LÄN</t>
        </is>
      </c>
      <c r="E312" t="inlineStr">
        <is>
          <t>NORRTÄLJE</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16008-2025</t>
        </is>
      </c>
      <c r="B313" s="1" t="n">
        <v>45749</v>
      </c>
      <c r="C313" s="1" t="n">
        <v>46031</v>
      </c>
      <c r="D313" t="inlineStr">
        <is>
          <t>STOCKHOLMS LÄN</t>
        </is>
      </c>
      <c r="E313" t="inlineStr">
        <is>
          <t>NORRTÄLJE</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9765-2024</t>
        </is>
      </c>
      <c r="B314" s="1" t="n">
        <v>45362.62811342593</v>
      </c>
      <c r="C314" s="1" t="n">
        <v>46031</v>
      </c>
      <c r="D314" t="inlineStr">
        <is>
          <t>STOCKHOLMS LÄN</t>
        </is>
      </c>
      <c r="E314" t="inlineStr">
        <is>
          <t>NORRTÄLJE</t>
        </is>
      </c>
      <c r="G314" t="n">
        <v>1.4</v>
      </c>
      <c r="H314" t="n">
        <v>0</v>
      </c>
      <c r="I314" t="n">
        <v>0</v>
      </c>
      <c r="J314" t="n">
        <v>0</v>
      </c>
      <c r="K314" t="n">
        <v>0</v>
      </c>
      <c r="L314" t="n">
        <v>0</v>
      </c>
      <c r="M314" t="n">
        <v>0</v>
      </c>
      <c r="N314" t="n">
        <v>0</v>
      </c>
      <c r="O314" t="n">
        <v>0</v>
      </c>
      <c r="P314" t="n">
        <v>0</v>
      </c>
      <c r="Q314" t="n">
        <v>0</v>
      </c>
      <c r="R314" s="2" t="inlineStr"/>
    </row>
    <row r="315" ht="15" customHeight="1">
      <c r="A315" t="inlineStr">
        <is>
          <t>A 63161-2023</t>
        </is>
      </c>
      <c r="B315" s="1" t="n">
        <v>45273</v>
      </c>
      <c r="C315" s="1" t="n">
        <v>46031</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13148-2021</t>
        </is>
      </c>
      <c r="B316" s="1" t="n">
        <v>44272</v>
      </c>
      <c r="C316" s="1" t="n">
        <v>46031</v>
      </c>
      <c r="D316" t="inlineStr">
        <is>
          <t>STOCKHOLMS LÄN</t>
        </is>
      </c>
      <c r="E316" t="inlineStr">
        <is>
          <t>NORRTÄLJE</t>
        </is>
      </c>
      <c r="G316" t="n">
        <v>12.4</v>
      </c>
      <c r="H316" t="n">
        <v>0</v>
      </c>
      <c r="I316" t="n">
        <v>0</v>
      </c>
      <c r="J316" t="n">
        <v>0</v>
      </c>
      <c r="K316" t="n">
        <v>0</v>
      </c>
      <c r="L316" t="n">
        <v>0</v>
      </c>
      <c r="M316" t="n">
        <v>0</v>
      </c>
      <c r="N316" t="n">
        <v>0</v>
      </c>
      <c r="O316" t="n">
        <v>0</v>
      </c>
      <c r="P316" t="n">
        <v>0</v>
      </c>
      <c r="Q316" t="n">
        <v>0</v>
      </c>
      <c r="R316" s="2" t="inlineStr"/>
    </row>
    <row r="317" ht="15" customHeight="1">
      <c r="A317" t="inlineStr">
        <is>
          <t>A 27715-2022</t>
        </is>
      </c>
      <c r="B317" s="1" t="n">
        <v>44743.47407407407</v>
      </c>
      <c r="C317" s="1" t="n">
        <v>46031</v>
      </c>
      <c r="D317" t="inlineStr">
        <is>
          <t>STOCKHOLMS LÄN</t>
        </is>
      </c>
      <c r="E317" t="inlineStr">
        <is>
          <t>NORRTÄLJE</t>
        </is>
      </c>
      <c r="G317" t="n">
        <v>2.2</v>
      </c>
      <c r="H317" t="n">
        <v>0</v>
      </c>
      <c r="I317" t="n">
        <v>0</v>
      </c>
      <c r="J317" t="n">
        <v>0</v>
      </c>
      <c r="K317" t="n">
        <v>0</v>
      </c>
      <c r="L317" t="n">
        <v>0</v>
      </c>
      <c r="M317" t="n">
        <v>0</v>
      </c>
      <c r="N317" t="n">
        <v>0</v>
      </c>
      <c r="O317" t="n">
        <v>0</v>
      </c>
      <c r="P317" t="n">
        <v>0</v>
      </c>
      <c r="Q317" t="n">
        <v>0</v>
      </c>
      <c r="R317" s="2" t="inlineStr"/>
    </row>
    <row r="318" ht="15" customHeight="1">
      <c r="A318" t="inlineStr">
        <is>
          <t>A 40425-2021</t>
        </is>
      </c>
      <c r="B318" s="1" t="n">
        <v>44419</v>
      </c>
      <c r="C318" s="1" t="n">
        <v>46031</v>
      </c>
      <c r="D318" t="inlineStr">
        <is>
          <t>STOCKHOLMS LÄN</t>
        </is>
      </c>
      <c r="E318" t="inlineStr">
        <is>
          <t>NORRTÄLJE</t>
        </is>
      </c>
      <c r="G318" t="n">
        <v>5</v>
      </c>
      <c r="H318" t="n">
        <v>0</v>
      </c>
      <c r="I318" t="n">
        <v>0</v>
      </c>
      <c r="J318" t="n">
        <v>0</v>
      </c>
      <c r="K318" t="n">
        <v>0</v>
      </c>
      <c r="L318" t="n">
        <v>0</v>
      </c>
      <c r="M318" t="n">
        <v>0</v>
      </c>
      <c r="N318" t="n">
        <v>0</v>
      </c>
      <c r="O318" t="n">
        <v>0</v>
      </c>
      <c r="P318" t="n">
        <v>0</v>
      </c>
      <c r="Q318" t="n">
        <v>0</v>
      </c>
      <c r="R318" s="2" t="inlineStr"/>
    </row>
    <row r="319" ht="15" customHeight="1">
      <c r="A319" t="inlineStr">
        <is>
          <t>A 20014-2025</t>
        </is>
      </c>
      <c r="B319" s="1" t="n">
        <v>45772.3078125</v>
      </c>
      <c r="C319" s="1" t="n">
        <v>46031</v>
      </c>
      <c r="D319" t="inlineStr">
        <is>
          <t>STOCKHOLMS LÄN</t>
        </is>
      </c>
      <c r="E319" t="inlineStr">
        <is>
          <t>NORRTÄLJE</t>
        </is>
      </c>
      <c r="G319" t="n">
        <v>4.4</v>
      </c>
      <c r="H319" t="n">
        <v>0</v>
      </c>
      <c r="I319" t="n">
        <v>0</v>
      </c>
      <c r="J319" t="n">
        <v>0</v>
      </c>
      <c r="K319" t="n">
        <v>0</v>
      </c>
      <c r="L319" t="n">
        <v>0</v>
      </c>
      <c r="M319" t="n">
        <v>0</v>
      </c>
      <c r="N319" t="n">
        <v>0</v>
      </c>
      <c r="O319" t="n">
        <v>0</v>
      </c>
      <c r="P319" t="n">
        <v>0</v>
      </c>
      <c r="Q319" t="n">
        <v>0</v>
      </c>
      <c r="R319" s="2" t="inlineStr"/>
    </row>
    <row r="320" ht="15" customHeight="1">
      <c r="A320" t="inlineStr">
        <is>
          <t>A 47694-2023</t>
        </is>
      </c>
      <c r="B320" s="1" t="n">
        <v>45203.63303240741</v>
      </c>
      <c r="C320" s="1" t="n">
        <v>46031</v>
      </c>
      <c r="D320" t="inlineStr">
        <is>
          <t>STOCKHOLMS LÄN</t>
        </is>
      </c>
      <c r="E320" t="inlineStr">
        <is>
          <t>NORRTÄLJE</t>
        </is>
      </c>
      <c r="G320" t="n">
        <v>5.2</v>
      </c>
      <c r="H320" t="n">
        <v>0</v>
      </c>
      <c r="I320" t="n">
        <v>0</v>
      </c>
      <c r="J320" t="n">
        <v>0</v>
      </c>
      <c r="K320" t="n">
        <v>0</v>
      </c>
      <c r="L320" t="n">
        <v>0</v>
      </c>
      <c r="M320" t="n">
        <v>0</v>
      </c>
      <c r="N320" t="n">
        <v>0</v>
      </c>
      <c r="O320" t="n">
        <v>0</v>
      </c>
      <c r="P320" t="n">
        <v>0</v>
      </c>
      <c r="Q320" t="n">
        <v>0</v>
      </c>
      <c r="R320" s="2" t="inlineStr"/>
    </row>
    <row r="321" ht="15" customHeight="1">
      <c r="A321" t="inlineStr">
        <is>
          <t>A 56631-2024</t>
        </is>
      </c>
      <c r="B321" s="1" t="n">
        <v>45625</v>
      </c>
      <c r="C321" s="1" t="n">
        <v>46031</v>
      </c>
      <c r="D321" t="inlineStr">
        <is>
          <t>STOCKHOLMS LÄN</t>
        </is>
      </c>
      <c r="E321" t="inlineStr">
        <is>
          <t>NORRTÄLJE</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40656-2022</t>
        </is>
      </c>
      <c r="B322" s="1" t="n">
        <v>44824.36069444445</v>
      </c>
      <c r="C322" s="1" t="n">
        <v>46031</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48587-2023</t>
        </is>
      </c>
      <c r="B323" s="1" t="n">
        <v>45208</v>
      </c>
      <c r="C323" s="1" t="n">
        <v>46031</v>
      </c>
      <c r="D323" t="inlineStr">
        <is>
          <t>STOCKHOLMS LÄN</t>
        </is>
      </c>
      <c r="E323" t="inlineStr">
        <is>
          <t>NORRTÄLJE</t>
        </is>
      </c>
      <c r="G323" t="n">
        <v>7</v>
      </c>
      <c r="H323" t="n">
        <v>0</v>
      </c>
      <c r="I323" t="n">
        <v>0</v>
      </c>
      <c r="J323" t="n">
        <v>0</v>
      </c>
      <c r="K323" t="n">
        <v>0</v>
      </c>
      <c r="L323" t="n">
        <v>0</v>
      </c>
      <c r="M323" t="n">
        <v>0</v>
      </c>
      <c r="N323" t="n">
        <v>0</v>
      </c>
      <c r="O323" t="n">
        <v>0</v>
      </c>
      <c r="P323" t="n">
        <v>0</v>
      </c>
      <c r="Q323" t="n">
        <v>0</v>
      </c>
      <c r="R323" s="2" t="inlineStr"/>
    </row>
    <row r="324" ht="15" customHeight="1">
      <c r="A324" t="inlineStr">
        <is>
          <t>A 42955-2022</t>
        </is>
      </c>
      <c r="B324" s="1" t="n">
        <v>44833.40876157407</v>
      </c>
      <c r="C324" s="1" t="n">
        <v>46031</v>
      </c>
      <c r="D324" t="inlineStr">
        <is>
          <t>STOCKHOLMS LÄN</t>
        </is>
      </c>
      <c r="E324" t="inlineStr">
        <is>
          <t>NORRTÄLJE</t>
        </is>
      </c>
      <c r="G324" t="n">
        <v>13.1</v>
      </c>
      <c r="H324" t="n">
        <v>0</v>
      </c>
      <c r="I324" t="n">
        <v>0</v>
      </c>
      <c r="J324" t="n">
        <v>0</v>
      </c>
      <c r="K324" t="n">
        <v>0</v>
      </c>
      <c r="L324" t="n">
        <v>0</v>
      </c>
      <c r="M324" t="n">
        <v>0</v>
      </c>
      <c r="N324" t="n">
        <v>0</v>
      </c>
      <c r="O324" t="n">
        <v>0</v>
      </c>
      <c r="P324" t="n">
        <v>0</v>
      </c>
      <c r="Q324" t="n">
        <v>0</v>
      </c>
      <c r="R324" s="2" t="inlineStr"/>
    </row>
    <row r="325" ht="15" customHeight="1">
      <c r="A325" t="inlineStr">
        <is>
          <t>A 53600-2022</t>
        </is>
      </c>
      <c r="B325" s="1" t="n">
        <v>44879.70518518519</v>
      </c>
      <c r="C325" s="1" t="n">
        <v>46031</v>
      </c>
      <c r="D325" t="inlineStr">
        <is>
          <t>STOCKHOLMS LÄN</t>
        </is>
      </c>
      <c r="E325" t="inlineStr">
        <is>
          <t>NORRTÄLJE</t>
        </is>
      </c>
      <c r="G325" t="n">
        <v>4.3</v>
      </c>
      <c r="H325" t="n">
        <v>0</v>
      </c>
      <c r="I325" t="n">
        <v>0</v>
      </c>
      <c r="J325" t="n">
        <v>0</v>
      </c>
      <c r="K325" t="n">
        <v>0</v>
      </c>
      <c r="L325" t="n">
        <v>0</v>
      </c>
      <c r="M325" t="n">
        <v>0</v>
      </c>
      <c r="N325" t="n">
        <v>0</v>
      </c>
      <c r="O325" t="n">
        <v>0</v>
      </c>
      <c r="P325" t="n">
        <v>0</v>
      </c>
      <c r="Q325" t="n">
        <v>0</v>
      </c>
      <c r="R325" s="2" t="inlineStr"/>
    </row>
    <row r="326" ht="15" customHeight="1">
      <c r="A326" t="inlineStr">
        <is>
          <t>A 20136-2025</t>
        </is>
      </c>
      <c r="B326" s="1" t="n">
        <v>45772.51127314815</v>
      </c>
      <c r="C326" s="1" t="n">
        <v>46031</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15978-2024</t>
        </is>
      </c>
      <c r="B327" s="1" t="n">
        <v>45405.57927083333</v>
      </c>
      <c r="C327" s="1" t="n">
        <v>46031</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20473-2021</t>
        </is>
      </c>
      <c r="B328" s="1" t="n">
        <v>44315</v>
      </c>
      <c r="C328" s="1" t="n">
        <v>46031</v>
      </c>
      <c r="D328" t="inlineStr">
        <is>
          <t>STOCKHOLMS LÄN</t>
        </is>
      </c>
      <c r="E328" t="inlineStr">
        <is>
          <t>NORRTÄLJE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46031</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51046-2023</t>
        </is>
      </c>
      <c r="B330" s="1" t="n">
        <v>45218</v>
      </c>
      <c r="C330" s="1" t="n">
        <v>46031</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8736-2024</t>
        </is>
      </c>
      <c r="B331" s="1" t="n">
        <v>45356.4722800926</v>
      </c>
      <c r="C331" s="1" t="n">
        <v>46031</v>
      </c>
      <c r="D331" t="inlineStr">
        <is>
          <t>STOCKHOLMS LÄN</t>
        </is>
      </c>
      <c r="E331" t="inlineStr">
        <is>
          <t>NORRTÄLJE</t>
        </is>
      </c>
      <c r="G331" t="n">
        <v>8.9</v>
      </c>
      <c r="H331" t="n">
        <v>0</v>
      </c>
      <c r="I331" t="n">
        <v>0</v>
      </c>
      <c r="J331" t="n">
        <v>0</v>
      </c>
      <c r="K331" t="n">
        <v>0</v>
      </c>
      <c r="L331" t="n">
        <v>0</v>
      </c>
      <c r="M331" t="n">
        <v>0</v>
      </c>
      <c r="N331" t="n">
        <v>0</v>
      </c>
      <c r="O331" t="n">
        <v>0</v>
      </c>
      <c r="P331" t="n">
        <v>0</v>
      </c>
      <c r="Q331" t="n">
        <v>0</v>
      </c>
      <c r="R331" s="2" t="inlineStr"/>
    </row>
    <row r="332" ht="15" customHeight="1">
      <c r="A332" t="inlineStr">
        <is>
          <t>A 15552-2021</t>
        </is>
      </c>
      <c r="B332" s="1" t="n">
        <v>44285</v>
      </c>
      <c r="C332" s="1" t="n">
        <v>46031</v>
      </c>
      <c r="D332" t="inlineStr">
        <is>
          <t>STOCKHOLMS LÄN</t>
        </is>
      </c>
      <c r="E332" t="inlineStr">
        <is>
          <t>NORRTÄLJE</t>
        </is>
      </c>
      <c r="G332" t="n">
        <v>10</v>
      </c>
      <c r="H332" t="n">
        <v>0</v>
      </c>
      <c r="I332" t="n">
        <v>0</v>
      </c>
      <c r="J332" t="n">
        <v>0</v>
      </c>
      <c r="K332" t="n">
        <v>0</v>
      </c>
      <c r="L332" t="n">
        <v>0</v>
      </c>
      <c r="M332" t="n">
        <v>0</v>
      </c>
      <c r="N332" t="n">
        <v>0</v>
      </c>
      <c r="O332" t="n">
        <v>0</v>
      </c>
      <c r="P332" t="n">
        <v>0</v>
      </c>
      <c r="Q332" t="n">
        <v>0</v>
      </c>
      <c r="R332" s="2" t="inlineStr"/>
    </row>
    <row r="333" ht="15" customHeight="1">
      <c r="A333" t="inlineStr">
        <is>
          <t>A 5158-2024</t>
        </is>
      </c>
      <c r="B333" s="1" t="n">
        <v>45330.50098379629</v>
      </c>
      <c r="C333" s="1" t="n">
        <v>46031</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45255-2022</t>
        </is>
      </c>
      <c r="B334" s="1" t="n">
        <v>44840</v>
      </c>
      <c r="C334" s="1" t="n">
        <v>46031</v>
      </c>
      <c r="D334" t="inlineStr">
        <is>
          <t>STOCKHOLMS LÄN</t>
        </is>
      </c>
      <c r="E334" t="inlineStr">
        <is>
          <t>NORRTÄLJE</t>
        </is>
      </c>
      <c r="G334" t="n">
        <v>4.1</v>
      </c>
      <c r="H334" t="n">
        <v>0</v>
      </c>
      <c r="I334" t="n">
        <v>0</v>
      </c>
      <c r="J334" t="n">
        <v>0</v>
      </c>
      <c r="K334" t="n">
        <v>0</v>
      </c>
      <c r="L334" t="n">
        <v>0</v>
      </c>
      <c r="M334" t="n">
        <v>0</v>
      </c>
      <c r="N334" t="n">
        <v>0</v>
      </c>
      <c r="O334" t="n">
        <v>0</v>
      </c>
      <c r="P334" t="n">
        <v>0</v>
      </c>
      <c r="Q334" t="n">
        <v>0</v>
      </c>
      <c r="R334" s="2" t="inlineStr"/>
    </row>
    <row r="335" ht="15" customHeight="1">
      <c r="A335" t="inlineStr">
        <is>
          <t>A 19915-2024</t>
        </is>
      </c>
      <c r="B335" s="1" t="n">
        <v>45433.58431712963</v>
      </c>
      <c r="C335" s="1" t="n">
        <v>46031</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14762-2024</t>
        </is>
      </c>
      <c r="B336" s="1" t="n">
        <v>45397</v>
      </c>
      <c r="C336" s="1" t="n">
        <v>46031</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12629-2024</t>
        </is>
      </c>
      <c r="B337" s="1" t="n">
        <v>45383</v>
      </c>
      <c r="C337" s="1" t="n">
        <v>46031</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20428-2024</t>
        </is>
      </c>
      <c r="B338" s="1" t="n">
        <v>45435</v>
      </c>
      <c r="C338" s="1" t="n">
        <v>46031</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57037-2022</t>
        </is>
      </c>
      <c r="B339" s="1" t="n">
        <v>44895</v>
      </c>
      <c r="C339" s="1" t="n">
        <v>46031</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44032-2024</t>
        </is>
      </c>
      <c r="B340" s="1" t="n">
        <v>45572.57828703704</v>
      </c>
      <c r="C340" s="1" t="n">
        <v>46031</v>
      </c>
      <c r="D340" t="inlineStr">
        <is>
          <t>STOCKHOLMS LÄN</t>
        </is>
      </c>
      <c r="E340" t="inlineStr">
        <is>
          <t>NORRTÄLJE</t>
        </is>
      </c>
      <c r="G340" t="n">
        <v>8.6</v>
      </c>
      <c r="H340" t="n">
        <v>0</v>
      </c>
      <c r="I340" t="n">
        <v>0</v>
      </c>
      <c r="J340" t="n">
        <v>0</v>
      </c>
      <c r="K340" t="n">
        <v>0</v>
      </c>
      <c r="L340" t="n">
        <v>0</v>
      </c>
      <c r="M340" t="n">
        <v>0</v>
      </c>
      <c r="N340" t="n">
        <v>0</v>
      </c>
      <c r="O340" t="n">
        <v>0</v>
      </c>
      <c r="P340" t="n">
        <v>0</v>
      </c>
      <c r="Q340" t="n">
        <v>0</v>
      </c>
      <c r="R340" s="2" t="inlineStr"/>
    </row>
    <row r="341" ht="15" customHeight="1">
      <c r="A341" t="inlineStr">
        <is>
          <t>A 24563-2024</t>
        </is>
      </c>
      <c r="B341" s="1" t="n">
        <v>45460.44347222222</v>
      </c>
      <c r="C341" s="1" t="n">
        <v>46031</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22202-2025</t>
        </is>
      </c>
      <c r="B342" s="1" t="n">
        <v>45785.65300925926</v>
      </c>
      <c r="C342" s="1" t="n">
        <v>46031</v>
      </c>
      <c r="D342" t="inlineStr">
        <is>
          <t>STOCKHOLMS LÄN</t>
        </is>
      </c>
      <c r="E342" t="inlineStr">
        <is>
          <t>NORRTÄLJE</t>
        </is>
      </c>
      <c r="G342" t="n">
        <v>10.2</v>
      </c>
      <c r="H342" t="n">
        <v>0</v>
      </c>
      <c r="I342" t="n">
        <v>0</v>
      </c>
      <c r="J342" t="n">
        <v>0</v>
      </c>
      <c r="K342" t="n">
        <v>0</v>
      </c>
      <c r="L342" t="n">
        <v>0</v>
      </c>
      <c r="M342" t="n">
        <v>0</v>
      </c>
      <c r="N342" t="n">
        <v>0</v>
      </c>
      <c r="O342" t="n">
        <v>0</v>
      </c>
      <c r="P342" t="n">
        <v>0</v>
      </c>
      <c r="Q342" t="n">
        <v>0</v>
      </c>
      <c r="R342" s="2" t="inlineStr"/>
    </row>
    <row r="343" ht="15" customHeight="1">
      <c r="A343" t="inlineStr">
        <is>
          <t>A 23149-2024</t>
        </is>
      </c>
      <c r="B343" s="1" t="n">
        <v>45450.64208333333</v>
      </c>
      <c r="C343" s="1" t="n">
        <v>46031</v>
      </c>
      <c r="D343" t="inlineStr">
        <is>
          <t>STOCKHOLMS LÄN</t>
        </is>
      </c>
      <c r="E343" t="inlineStr">
        <is>
          <t>NORRTÄLJE</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23151-2024</t>
        </is>
      </c>
      <c r="B344" s="1" t="n">
        <v>45450</v>
      </c>
      <c r="C344" s="1" t="n">
        <v>46031</v>
      </c>
      <c r="D344" t="inlineStr">
        <is>
          <t>STOCKHOLMS LÄN</t>
        </is>
      </c>
      <c r="E344" t="inlineStr">
        <is>
          <t>NORRTÄLJE</t>
        </is>
      </c>
      <c r="F344" t="inlineStr">
        <is>
          <t>Kommuner</t>
        </is>
      </c>
      <c r="G344" t="n">
        <v>1.2</v>
      </c>
      <c r="H344" t="n">
        <v>0</v>
      </c>
      <c r="I344" t="n">
        <v>0</v>
      </c>
      <c r="J344" t="n">
        <v>0</v>
      </c>
      <c r="K344" t="n">
        <v>0</v>
      </c>
      <c r="L344" t="n">
        <v>0</v>
      </c>
      <c r="M344" t="n">
        <v>0</v>
      </c>
      <c r="N344" t="n">
        <v>0</v>
      </c>
      <c r="O344" t="n">
        <v>0</v>
      </c>
      <c r="P344" t="n">
        <v>0</v>
      </c>
      <c r="Q344" t="n">
        <v>0</v>
      </c>
      <c r="R344" s="2" t="inlineStr"/>
    </row>
    <row r="345" ht="15" customHeight="1">
      <c r="A345" t="inlineStr">
        <is>
          <t>A 36625-2024</t>
        </is>
      </c>
      <c r="B345" s="1" t="n">
        <v>45537</v>
      </c>
      <c r="C345" s="1" t="n">
        <v>46031</v>
      </c>
      <c r="D345" t="inlineStr">
        <is>
          <t>STOCKHOLMS LÄN</t>
        </is>
      </c>
      <c r="E345" t="inlineStr">
        <is>
          <t>NORRTÄLJE</t>
        </is>
      </c>
      <c r="G345" t="n">
        <v>3.8</v>
      </c>
      <c r="H345" t="n">
        <v>0</v>
      </c>
      <c r="I345" t="n">
        <v>0</v>
      </c>
      <c r="J345" t="n">
        <v>0</v>
      </c>
      <c r="K345" t="n">
        <v>0</v>
      </c>
      <c r="L345" t="n">
        <v>0</v>
      </c>
      <c r="M345" t="n">
        <v>0</v>
      </c>
      <c r="N345" t="n">
        <v>0</v>
      </c>
      <c r="O345" t="n">
        <v>0</v>
      </c>
      <c r="P345" t="n">
        <v>0</v>
      </c>
      <c r="Q345" t="n">
        <v>0</v>
      </c>
      <c r="R345" s="2" t="inlineStr"/>
    </row>
    <row r="346" ht="15" customHeight="1">
      <c r="A346" t="inlineStr">
        <is>
          <t>A 45746-2024</t>
        </is>
      </c>
      <c r="B346" s="1" t="n">
        <v>45579</v>
      </c>
      <c r="C346" s="1" t="n">
        <v>46031</v>
      </c>
      <c r="D346" t="inlineStr">
        <is>
          <t>STOCKHOLMS LÄN</t>
        </is>
      </c>
      <c r="E346" t="inlineStr">
        <is>
          <t>NORRTÄLJE</t>
        </is>
      </c>
      <c r="G346" t="n">
        <v>3.3</v>
      </c>
      <c r="H346" t="n">
        <v>0</v>
      </c>
      <c r="I346" t="n">
        <v>0</v>
      </c>
      <c r="J346" t="n">
        <v>0</v>
      </c>
      <c r="K346" t="n">
        <v>0</v>
      </c>
      <c r="L346" t="n">
        <v>0</v>
      </c>
      <c r="M346" t="n">
        <v>0</v>
      </c>
      <c r="N346" t="n">
        <v>0</v>
      </c>
      <c r="O346" t="n">
        <v>0</v>
      </c>
      <c r="P346" t="n">
        <v>0</v>
      </c>
      <c r="Q346" t="n">
        <v>0</v>
      </c>
      <c r="R346" s="2" t="inlineStr"/>
    </row>
    <row r="347" ht="15" customHeight="1">
      <c r="A347" t="inlineStr">
        <is>
          <t>A 16913-2025</t>
        </is>
      </c>
      <c r="B347" s="1" t="n">
        <v>45755.36583333334</v>
      </c>
      <c r="C347" s="1" t="n">
        <v>46031</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8400-2024</t>
        </is>
      </c>
      <c r="B348" s="1" t="n">
        <v>45352.74090277778</v>
      </c>
      <c r="C348" s="1" t="n">
        <v>46031</v>
      </c>
      <c r="D348" t="inlineStr">
        <is>
          <t>STOCKHOLMS LÄN</t>
        </is>
      </c>
      <c r="E348" t="inlineStr">
        <is>
          <t>NORRTÄLJE</t>
        </is>
      </c>
      <c r="G348" t="n">
        <v>4.7</v>
      </c>
      <c r="H348" t="n">
        <v>0</v>
      </c>
      <c r="I348" t="n">
        <v>0</v>
      </c>
      <c r="J348" t="n">
        <v>0</v>
      </c>
      <c r="K348" t="n">
        <v>0</v>
      </c>
      <c r="L348" t="n">
        <v>0</v>
      </c>
      <c r="M348" t="n">
        <v>0</v>
      </c>
      <c r="N348" t="n">
        <v>0</v>
      </c>
      <c r="O348" t="n">
        <v>0</v>
      </c>
      <c r="P348" t="n">
        <v>0</v>
      </c>
      <c r="Q348" t="n">
        <v>0</v>
      </c>
      <c r="R348" s="2" t="inlineStr"/>
    </row>
    <row r="349" ht="15" customHeight="1">
      <c r="A349" t="inlineStr">
        <is>
          <t>A 2182-2022</t>
        </is>
      </c>
      <c r="B349" s="1" t="n">
        <v>44578</v>
      </c>
      <c r="C349" s="1" t="n">
        <v>46031</v>
      </c>
      <c r="D349" t="inlineStr">
        <is>
          <t>STOCKHOLMS LÄN</t>
        </is>
      </c>
      <c r="E349" t="inlineStr">
        <is>
          <t>NORRTÄLJE</t>
        </is>
      </c>
      <c r="G349" t="n">
        <v>7.2</v>
      </c>
      <c r="H349" t="n">
        <v>0</v>
      </c>
      <c r="I349" t="n">
        <v>0</v>
      </c>
      <c r="J349" t="n">
        <v>0</v>
      </c>
      <c r="K349" t="n">
        <v>0</v>
      </c>
      <c r="L349" t="n">
        <v>0</v>
      </c>
      <c r="M349" t="n">
        <v>0</v>
      </c>
      <c r="N349" t="n">
        <v>0</v>
      </c>
      <c r="O349" t="n">
        <v>0</v>
      </c>
      <c r="P349" t="n">
        <v>0</v>
      </c>
      <c r="Q349" t="n">
        <v>0</v>
      </c>
      <c r="R349" s="2" t="inlineStr"/>
    </row>
    <row r="350" ht="15" customHeight="1">
      <c r="A350" t="inlineStr">
        <is>
          <t>A 51978-2023</t>
        </is>
      </c>
      <c r="B350" s="1" t="n">
        <v>45223</v>
      </c>
      <c r="C350" s="1" t="n">
        <v>46031</v>
      </c>
      <c r="D350" t="inlineStr">
        <is>
          <t>STOCKHOLMS LÄN</t>
        </is>
      </c>
      <c r="E350" t="inlineStr">
        <is>
          <t>NORRTÄLJE</t>
        </is>
      </c>
      <c r="G350" t="n">
        <v>1.9</v>
      </c>
      <c r="H350" t="n">
        <v>0</v>
      </c>
      <c r="I350" t="n">
        <v>0</v>
      </c>
      <c r="J350" t="n">
        <v>0</v>
      </c>
      <c r="K350" t="n">
        <v>0</v>
      </c>
      <c r="L350" t="n">
        <v>0</v>
      </c>
      <c r="M350" t="n">
        <v>0</v>
      </c>
      <c r="N350" t="n">
        <v>0</v>
      </c>
      <c r="O350" t="n">
        <v>0</v>
      </c>
      <c r="P350" t="n">
        <v>0</v>
      </c>
      <c r="Q350" t="n">
        <v>0</v>
      </c>
      <c r="R350" s="2" t="inlineStr"/>
    </row>
    <row r="351" ht="15" customHeight="1">
      <c r="A351" t="inlineStr">
        <is>
          <t>A 13051-2021</t>
        </is>
      </c>
      <c r="B351" s="1" t="n">
        <v>44272</v>
      </c>
      <c r="C351" s="1" t="n">
        <v>46031</v>
      </c>
      <c r="D351" t="inlineStr">
        <is>
          <t>STOCKHOLMS LÄN</t>
        </is>
      </c>
      <c r="E351" t="inlineStr">
        <is>
          <t>NORRTÄLJE</t>
        </is>
      </c>
      <c r="G351" t="n">
        <v>9.1</v>
      </c>
      <c r="H351" t="n">
        <v>0</v>
      </c>
      <c r="I351" t="n">
        <v>0</v>
      </c>
      <c r="J351" t="n">
        <v>0</v>
      </c>
      <c r="K351" t="n">
        <v>0</v>
      </c>
      <c r="L351" t="n">
        <v>0</v>
      </c>
      <c r="M351" t="n">
        <v>0</v>
      </c>
      <c r="N351" t="n">
        <v>0</v>
      </c>
      <c r="O351" t="n">
        <v>0</v>
      </c>
      <c r="P351" t="n">
        <v>0</v>
      </c>
      <c r="Q351" t="n">
        <v>0</v>
      </c>
      <c r="R351" s="2" t="inlineStr"/>
    </row>
    <row r="352" ht="15" customHeight="1">
      <c r="A352" t="inlineStr">
        <is>
          <t>A 55755-2023</t>
        </is>
      </c>
      <c r="B352" s="1" t="n">
        <v>45239</v>
      </c>
      <c r="C352" s="1" t="n">
        <v>46031</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16620-2024</t>
        </is>
      </c>
      <c r="B353" s="1" t="n">
        <v>45408.57707175926</v>
      </c>
      <c r="C353" s="1" t="n">
        <v>46031</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45549-2022</t>
        </is>
      </c>
      <c r="B354" s="1" t="n">
        <v>44845.48064814815</v>
      </c>
      <c r="C354" s="1" t="n">
        <v>46031</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22816-2021</t>
        </is>
      </c>
      <c r="B355" s="1" t="n">
        <v>44325</v>
      </c>
      <c r="C355" s="1" t="n">
        <v>46031</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40761-2024</t>
        </is>
      </c>
      <c r="B356" s="1" t="n">
        <v>45558.46283564815</v>
      </c>
      <c r="C356" s="1" t="n">
        <v>46031</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22416-2025</t>
        </is>
      </c>
      <c r="B357" s="1" t="n">
        <v>45786.55645833333</v>
      </c>
      <c r="C357" s="1" t="n">
        <v>46031</v>
      </c>
      <c r="D357" t="inlineStr">
        <is>
          <t>STOCKHOLMS LÄN</t>
        </is>
      </c>
      <c r="E357" t="inlineStr">
        <is>
          <t>NORRTÄLJE</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23692-2024</t>
        </is>
      </c>
      <c r="B358" s="1" t="n">
        <v>45454.65774305556</v>
      </c>
      <c r="C358" s="1" t="n">
        <v>46031</v>
      </c>
      <c r="D358" t="inlineStr">
        <is>
          <t>STOCKHOLMS LÄN</t>
        </is>
      </c>
      <c r="E358" t="inlineStr">
        <is>
          <t>NORRTÄLJE</t>
        </is>
      </c>
      <c r="G358" t="n">
        <v>3.7</v>
      </c>
      <c r="H358" t="n">
        <v>0</v>
      </c>
      <c r="I358" t="n">
        <v>0</v>
      </c>
      <c r="J358" t="n">
        <v>0</v>
      </c>
      <c r="K358" t="n">
        <v>0</v>
      </c>
      <c r="L358" t="n">
        <v>0</v>
      </c>
      <c r="M358" t="n">
        <v>0</v>
      </c>
      <c r="N358" t="n">
        <v>0</v>
      </c>
      <c r="O358" t="n">
        <v>0</v>
      </c>
      <c r="P358" t="n">
        <v>0</v>
      </c>
      <c r="Q358" t="n">
        <v>0</v>
      </c>
      <c r="R358" s="2" t="inlineStr"/>
    </row>
    <row r="359" ht="15" customHeight="1">
      <c r="A359" t="inlineStr">
        <is>
          <t>A 58785-2024</t>
        </is>
      </c>
      <c r="B359" s="1" t="n">
        <v>45635.88849537037</v>
      </c>
      <c r="C359" s="1" t="n">
        <v>46031</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65499-2021</t>
        </is>
      </c>
      <c r="B360" s="1" t="n">
        <v>44516</v>
      </c>
      <c r="C360" s="1" t="n">
        <v>46031</v>
      </c>
      <c r="D360" t="inlineStr">
        <is>
          <t>STOCKHOLMS LÄN</t>
        </is>
      </c>
      <c r="E360" t="inlineStr">
        <is>
          <t>NORRTÄLJE</t>
        </is>
      </c>
      <c r="F360" t="inlineStr">
        <is>
          <t>Kommuner</t>
        </is>
      </c>
      <c r="G360" t="n">
        <v>5.2</v>
      </c>
      <c r="H360" t="n">
        <v>0</v>
      </c>
      <c r="I360" t="n">
        <v>0</v>
      </c>
      <c r="J360" t="n">
        <v>0</v>
      </c>
      <c r="K360" t="n">
        <v>0</v>
      </c>
      <c r="L360" t="n">
        <v>0</v>
      </c>
      <c r="M360" t="n">
        <v>0</v>
      </c>
      <c r="N360" t="n">
        <v>0</v>
      </c>
      <c r="O360" t="n">
        <v>0</v>
      </c>
      <c r="P360" t="n">
        <v>0</v>
      </c>
      <c r="Q360" t="n">
        <v>0</v>
      </c>
      <c r="R360" s="2" t="inlineStr"/>
    </row>
    <row r="361" ht="15" customHeight="1">
      <c r="A361" t="inlineStr">
        <is>
          <t>A 124-2026</t>
        </is>
      </c>
      <c r="B361" s="1" t="n">
        <v>46024.58378472222</v>
      </c>
      <c r="C361" s="1" t="n">
        <v>46031</v>
      </c>
      <c r="D361" t="inlineStr">
        <is>
          <t>STOCKHOLMS LÄN</t>
        </is>
      </c>
      <c r="E361" t="inlineStr">
        <is>
          <t>NORRTÄLJE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37550-2022</t>
        </is>
      </c>
      <c r="B362" s="1" t="n">
        <v>44809</v>
      </c>
      <c r="C362" s="1" t="n">
        <v>46031</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47431-2023</t>
        </is>
      </c>
      <c r="B363" s="1" t="n">
        <v>45202</v>
      </c>
      <c r="C363" s="1" t="n">
        <v>46031</v>
      </c>
      <c r="D363" t="inlineStr">
        <is>
          <t>STOCKHOLMS LÄN</t>
        </is>
      </c>
      <c r="E363" t="inlineStr">
        <is>
          <t>NORRTÄLJE</t>
        </is>
      </c>
      <c r="F363" t="inlineStr">
        <is>
          <t>Naturvårdsverket</t>
        </is>
      </c>
      <c r="G363" t="n">
        <v>1.2</v>
      </c>
      <c r="H363" t="n">
        <v>0</v>
      </c>
      <c r="I363" t="n">
        <v>0</v>
      </c>
      <c r="J363" t="n">
        <v>0</v>
      </c>
      <c r="K363" t="n">
        <v>0</v>
      </c>
      <c r="L363" t="n">
        <v>0</v>
      </c>
      <c r="M363" t="n">
        <v>0</v>
      </c>
      <c r="N363" t="n">
        <v>0</v>
      </c>
      <c r="O363" t="n">
        <v>0</v>
      </c>
      <c r="P363" t="n">
        <v>0</v>
      </c>
      <c r="Q363" t="n">
        <v>0</v>
      </c>
      <c r="R363" s="2" t="inlineStr"/>
    </row>
    <row r="364" ht="15" customHeight="1">
      <c r="A364" t="inlineStr">
        <is>
          <t>A 57788-2025</t>
        </is>
      </c>
      <c r="B364" s="1" t="n">
        <v>45981.5778125</v>
      </c>
      <c r="C364" s="1" t="n">
        <v>46031</v>
      </c>
      <c r="D364" t="inlineStr">
        <is>
          <t>STOCKHOLMS LÄN</t>
        </is>
      </c>
      <c r="E364" t="inlineStr">
        <is>
          <t>NORRTÄLJE</t>
        </is>
      </c>
      <c r="G364" t="n">
        <v>1.6</v>
      </c>
      <c r="H364" t="n">
        <v>0</v>
      </c>
      <c r="I364" t="n">
        <v>0</v>
      </c>
      <c r="J364" t="n">
        <v>0</v>
      </c>
      <c r="K364" t="n">
        <v>0</v>
      </c>
      <c r="L364" t="n">
        <v>0</v>
      </c>
      <c r="M364" t="n">
        <v>0</v>
      </c>
      <c r="N364" t="n">
        <v>0</v>
      </c>
      <c r="O364" t="n">
        <v>0</v>
      </c>
      <c r="P364" t="n">
        <v>0</v>
      </c>
      <c r="Q364" t="n">
        <v>0</v>
      </c>
      <c r="R364" s="2" t="inlineStr"/>
    </row>
    <row r="365" ht="15" customHeight="1">
      <c r="A365" t="inlineStr">
        <is>
          <t>A 23262-2023</t>
        </is>
      </c>
      <c r="B365" s="1" t="n">
        <v>45075.90270833333</v>
      </c>
      <c r="C365" s="1" t="n">
        <v>46031</v>
      </c>
      <c r="D365" t="inlineStr">
        <is>
          <t>STOCKHOLMS LÄN</t>
        </is>
      </c>
      <c r="E365" t="inlineStr">
        <is>
          <t>NORRTÄLJE</t>
        </is>
      </c>
      <c r="F365" t="inlineStr">
        <is>
          <t>Kommuner</t>
        </is>
      </c>
      <c r="G365" t="n">
        <v>1.9</v>
      </c>
      <c r="H365" t="n">
        <v>0</v>
      </c>
      <c r="I365" t="n">
        <v>0</v>
      </c>
      <c r="J365" t="n">
        <v>0</v>
      </c>
      <c r="K365" t="n">
        <v>0</v>
      </c>
      <c r="L365" t="n">
        <v>0</v>
      </c>
      <c r="M365" t="n">
        <v>0</v>
      </c>
      <c r="N365" t="n">
        <v>0</v>
      </c>
      <c r="O365" t="n">
        <v>0</v>
      </c>
      <c r="P365" t="n">
        <v>0</v>
      </c>
      <c r="Q365" t="n">
        <v>0</v>
      </c>
      <c r="R365" s="2" t="inlineStr"/>
    </row>
    <row r="366" ht="15" customHeight="1">
      <c r="A366" t="inlineStr">
        <is>
          <t>A 23268-2023</t>
        </is>
      </c>
      <c r="B366" s="1" t="n">
        <v>45075.91042824074</v>
      </c>
      <c r="C366" s="1" t="n">
        <v>46031</v>
      </c>
      <c r="D366" t="inlineStr">
        <is>
          <t>STOCKHOLMS LÄN</t>
        </is>
      </c>
      <c r="E366" t="inlineStr">
        <is>
          <t>NORRTÄLJE</t>
        </is>
      </c>
      <c r="G366" t="n">
        <v>3.3</v>
      </c>
      <c r="H366" t="n">
        <v>0</v>
      </c>
      <c r="I366" t="n">
        <v>0</v>
      </c>
      <c r="J366" t="n">
        <v>0</v>
      </c>
      <c r="K366" t="n">
        <v>0</v>
      </c>
      <c r="L366" t="n">
        <v>0</v>
      </c>
      <c r="M366" t="n">
        <v>0</v>
      </c>
      <c r="N366" t="n">
        <v>0</v>
      </c>
      <c r="O366" t="n">
        <v>0</v>
      </c>
      <c r="P366" t="n">
        <v>0</v>
      </c>
      <c r="Q366" t="n">
        <v>0</v>
      </c>
      <c r="R366" s="2" t="inlineStr"/>
    </row>
    <row r="367" ht="15" customHeight="1">
      <c r="A367" t="inlineStr">
        <is>
          <t>A 23270-2023</t>
        </is>
      </c>
      <c r="B367" s="1" t="n">
        <v>45075.91265046296</v>
      </c>
      <c r="C367" s="1" t="n">
        <v>46031</v>
      </c>
      <c r="D367" t="inlineStr">
        <is>
          <t>STOCKHOLMS LÄN</t>
        </is>
      </c>
      <c r="E367" t="inlineStr">
        <is>
          <t>NORRTÄLJE</t>
        </is>
      </c>
      <c r="G367" t="n">
        <v>12.3</v>
      </c>
      <c r="H367" t="n">
        <v>0</v>
      </c>
      <c r="I367" t="n">
        <v>0</v>
      </c>
      <c r="J367" t="n">
        <v>0</v>
      </c>
      <c r="K367" t="n">
        <v>0</v>
      </c>
      <c r="L367" t="n">
        <v>0</v>
      </c>
      <c r="M367" t="n">
        <v>0</v>
      </c>
      <c r="N367" t="n">
        <v>0</v>
      </c>
      <c r="O367" t="n">
        <v>0</v>
      </c>
      <c r="P367" t="n">
        <v>0</v>
      </c>
      <c r="Q367" t="n">
        <v>0</v>
      </c>
      <c r="R367" s="2" t="inlineStr"/>
    </row>
    <row r="368" ht="15" customHeight="1">
      <c r="A368" t="inlineStr">
        <is>
          <t>A 23274-2023</t>
        </is>
      </c>
      <c r="B368" s="1" t="n">
        <v>45075.92153935185</v>
      </c>
      <c r="C368" s="1" t="n">
        <v>46031</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5732-2023</t>
        </is>
      </c>
      <c r="B369" s="1" t="n">
        <v>44962</v>
      </c>
      <c r="C369" s="1" t="n">
        <v>46031</v>
      </c>
      <c r="D369" t="inlineStr">
        <is>
          <t>STOCKHOLMS LÄN</t>
        </is>
      </c>
      <c r="E369" t="inlineStr">
        <is>
          <t>NORRTÄLJE</t>
        </is>
      </c>
      <c r="G369" t="n">
        <v>0.5</v>
      </c>
      <c r="H369" t="n">
        <v>0</v>
      </c>
      <c r="I369" t="n">
        <v>0</v>
      </c>
      <c r="J369" t="n">
        <v>0</v>
      </c>
      <c r="K369" t="n">
        <v>0</v>
      </c>
      <c r="L369" t="n">
        <v>0</v>
      </c>
      <c r="M369" t="n">
        <v>0</v>
      </c>
      <c r="N369" t="n">
        <v>0</v>
      </c>
      <c r="O369" t="n">
        <v>0</v>
      </c>
      <c r="P369" t="n">
        <v>0</v>
      </c>
      <c r="Q369" t="n">
        <v>0</v>
      </c>
      <c r="R369" s="2" t="inlineStr"/>
    </row>
    <row r="370" ht="15" customHeight="1">
      <c r="A370" t="inlineStr">
        <is>
          <t>A 39149-2025</t>
        </is>
      </c>
      <c r="B370" s="1" t="n">
        <v>45888.60714120371</v>
      </c>
      <c r="C370" s="1" t="n">
        <v>46031</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38720-2025</t>
        </is>
      </c>
      <c r="B371" s="1" t="n">
        <v>45886</v>
      </c>
      <c r="C371" s="1" t="n">
        <v>46031</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25609-2023</t>
        </is>
      </c>
      <c r="B372" s="1" t="n">
        <v>45089</v>
      </c>
      <c r="C372" s="1" t="n">
        <v>46031</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58142-2025</t>
        </is>
      </c>
      <c r="B373" s="1" t="n">
        <v>45982.63791666667</v>
      </c>
      <c r="C373" s="1" t="n">
        <v>46031</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33569-2023</t>
        </is>
      </c>
      <c r="B374" s="1" t="n">
        <v>45131.666875</v>
      </c>
      <c r="C374" s="1" t="n">
        <v>46031</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50569-2022</t>
        </is>
      </c>
      <c r="B375" s="1" t="n">
        <v>44866.63775462963</v>
      </c>
      <c r="C375" s="1" t="n">
        <v>46031</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57953-2025</t>
        </is>
      </c>
      <c r="B376" s="1" t="n">
        <v>45982.35016203704</v>
      </c>
      <c r="C376" s="1" t="n">
        <v>46031</v>
      </c>
      <c r="D376" t="inlineStr">
        <is>
          <t>STOCKHOLMS LÄN</t>
        </is>
      </c>
      <c r="E376" t="inlineStr">
        <is>
          <t>NORRTÄLJE</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39152-2025</t>
        </is>
      </c>
      <c r="B377" s="1" t="n">
        <v>45888</v>
      </c>
      <c r="C377" s="1" t="n">
        <v>46031</v>
      </c>
      <c r="D377" t="inlineStr">
        <is>
          <t>STOCKHOLMS LÄN</t>
        </is>
      </c>
      <c r="E377" t="inlineStr">
        <is>
          <t>NORRTÄLJE</t>
        </is>
      </c>
      <c r="G377" t="n">
        <v>4.6</v>
      </c>
      <c r="H377" t="n">
        <v>0</v>
      </c>
      <c r="I377" t="n">
        <v>0</v>
      </c>
      <c r="J377" t="n">
        <v>0</v>
      </c>
      <c r="K377" t="n">
        <v>0</v>
      </c>
      <c r="L377" t="n">
        <v>0</v>
      </c>
      <c r="M377" t="n">
        <v>0</v>
      </c>
      <c r="N377" t="n">
        <v>0</v>
      </c>
      <c r="O377" t="n">
        <v>0</v>
      </c>
      <c r="P377" t="n">
        <v>0</v>
      </c>
      <c r="Q377" t="n">
        <v>0</v>
      </c>
      <c r="R377" s="2" t="inlineStr"/>
    </row>
    <row r="378" ht="15" customHeight="1">
      <c r="A378" t="inlineStr">
        <is>
          <t>A 22833-2024</t>
        </is>
      </c>
      <c r="B378" s="1" t="n">
        <v>45448.56746527777</v>
      </c>
      <c r="C378" s="1" t="n">
        <v>46031</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60224-2023</t>
        </is>
      </c>
      <c r="B379" s="1" t="n">
        <v>45257</v>
      </c>
      <c r="C379" s="1" t="n">
        <v>46031</v>
      </c>
      <c r="D379" t="inlineStr">
        <is>
          <t>STOCKHOLMS LÄN</t>
        </is>
      </c>
      <c r="E379" t="inlineStr">
        <is>
          <t>NORRTÄLJE</t>
        </is>
      </c>
      <c r="G379" t="n">
        <v>8.1</v>
      </c>
      <c r="H379" t="n">
        <v>0</v>
      </c>
      <c r="I379" t="n">
        <v>0</v>
      </c>
      <c r="J379" t="n">
        <v>0</v>
      </c>
      <c r="K379" t="n">
        <v>0</v>
      </c>
      <c r="L379" t="n">
        <v>0</v>
      </c>
      <c r="M379" t="n">
        <v>0</v>
      </c>
      <c r="N379" t="n">
        <v>0</v>
      </c>
      <c r="O379" t="n">
        <v>0</v>
      </c>
      <c r="P379" t="n">
        <v>0</v>
      </c>
      <c r="Q379" t="n">
        <v>0</v>
      </c>
      <c r="R379" s="2" t="inlineStr"/>
    </row>
    <row r="380" ht="15" customHeight="1">
      <c r="A380" t="inlineStr">
        <is>
          <t>A 17785-2024</t>
        </is>
      </c>
      <c r="B380" s="1" t="n">
        <v>45418.6968287037</v>
      </c>
      <c r="C380" s="1" t="n">
        <v>46031</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62998-2023</t>
        </is>
      </c>
      <c r="B381" s="1" t="n">
        <v>45272.64479166667</v>
      </c>
      <c r="C381" s="1" t="n">
        <v>46031</v>
      </c>
      <c r="D381" t="inlineStr">
        <is>
          <t>STOCKHOLMS LÄN</t>
        </is>
      </c>
      <c r="E381" t="inlineStr">
        <is>
          <t>NORRTÄLJE</t>
        </is>
      </c>
      <c r="G381" t="n">
        <v>16.3</v>
      </c>
      <c r="H381" t="n">
        <v>0</v>
      </c>
      <c r="I381" t="n">
        <v>0</v>
      </c>
      <c r="J381" t="n">
        <v>0</v>
      </c>
      <c r="K381" t="n">
        <v>0</v>
      </c>
      <c r="L381" t="n">
        <v>0</v>
      </c>
      <c r="M381" t="n">
        <v>0</v>
      </c>
      <c r="N381" t="n">
        <v>0</v>
      </c>
      <c r="O381" t="n">
        <v>0</v>
      </c>
      <c r="P381" t="n">
        <v>0</v>
      </c>
      <c r="Q381" t="n">
        <v>0</v>
      </c>
      <c r="R381" s="2" t="inlineStr"/>
    </row>
    <row r="382" ht="15" customHeight="1">
      <c r="A382" t="inlineStr">
        <is>
          <t>A 63015-2023</t>
        </is>
      </c>
      <c r="B382" s="1" t="n">
        <v>45272</v>
      </c>
      <c r="C382" s="1" t="n">
        <v>46031</v>
      </c>
      <c r="D382" t="inlineStr">
        <is>
          <t>STOCKHOLMS LÄN</t>
        </is>
      </c>
      <c r="E382" t="inlineStr">
        <is>
          <t>NORRTÄLJE</t>
        </is>
      </c>
      <c r="G382" t="n">
        <v>13.1</v>
      </c>
      <c r="H382" t="n">
        <v>0</v>
      </c>
      <c r="I382" t="n">
        <v>0</v>
      </c>
      <c r="J382" t="n">
        <v>0</v>
      </c>
      <c r="K382" t="n">
        <v>0</v>
      </c>
      <c r="L382" t="n">
        <v>0</v>
      </c>
      <c r="M382" t="n">
        <v>0</v>
      </c>
      <c r="N382" t="n">
        <v>0</v>
      </c>
      <c r="O382" t="n">
        <v>0</v>
      </c>
      <c r="P382" t="n">
        <v>0</v>
      </c>
      <c r="Q382" t="n">
        <v>0</v>
      </c>
      <c r="R382" s="2" t="inlineStr"/>
    </row>
    <row r="383" ht="15" customHeight="1">
      <c r="A383" t="inlineStr">
        <is>
          <t>A 197-2026</t>
        </is>
      </c>
      <c r="B383" s="1" t="n">
        <v>46026</v>
      </c>
      <c r="C383" s="1" t="n">
        <v>46031</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29684-2021</t>
        </is>
      </c>
      <c r="B384" s="1" t="n">
        <v>44362.37172453704</v>
      </c>
      <c r="C384" s="1" t="n">
        <v>46031</v>
      </c>
      <c r="D384" t="inlineStr">
        <is>
          <t>STOCKHOLMS LÄN</t>
        </is>
      </c>
      <c r="E384" t="inlineStr">
        <is>
          <t>NORRTÄLJE</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21386-2023</t>
        </is>
      </c>
      <c r="B385" s="1" t="n">
        <v>45063.35880787037</v>
      </c>
      <c r="C385" s="1" t="n">
        <v>46031</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4593-2023</t>
        </is>
      </c>
      <c r="B386" s="1" t="n">
        <v>44956</v>
      </c>
      <c r="C386" s="1" t="n">
        <v>46031</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54396-2021</t>
        </is>
      </c>
      <c r="B387" s="1" t="n">
        <v>44472</v>
      </c>
      <c r="C387" s="1" t="n">
        <v>46031</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39692-2025</t>
        </is>
      </c>
      <c r="B388" s="1" t="n">
        <v>45890.68083333333</v>
      </c>
      <c r="C388" s="1" t="n">
        <v>46031</v>
      </c>
      <c r="D388" t="inlineStr">
        <is>
          <t>STOCKHOLMS LÄN</t>
        </is>
      </c>
      <c r="E388" t="inlineStr">
        <is>
          <t>NORRTÄLJE</t>
        </is>
      </c>
      <c r="G388" t="n">
        <v>10.5</v>
      </c>
      <c r="H388" t="n">
        <v>0</v>
      </c>
      <c r="I388" t="n">
        <v>0</v>
      </c>
      <c r="J388" t="n">
        <v>0</v>
      </c>
      <c r="K388" t="n">
        <v>0</v>
      </c>
      <c r="L388" t="n">
        <v>0</v>
      </c>
      <c r="M388" t="n">
        <v>0</v>
      </c>
      <c r="N388" t="n">
        <v>0</v>
      </c>
      <c r="O388" t="n">
        <v>0</v>
      </c>
      <c r="P388" t="n">
        <v>0</v>
      </c>
      <c r="Q388" t="n">
        <v>0</v>
      </c>
      <c r="R388" s="2" t="inlineStr"/>
    </row>
    <row r="389" ht="15" customHeight="1">
      <c r="A389" t="inlineStr">
        <is>
          <t>A 32071-2023</t>
        </is>
      </c>
      <c r="B389" s="1" t="n">
        <v>45119.57728009259</v>
      </c>
      <c r="C389" s="1" t="n">
        <v>46031</v>
      </c>
      <c r="D389" t="inlineStr">
        <is>
          <t>STOCKHOLMS LÄN</t>
        </is>
      </c>
      <c r="E389" t="inlineStr">
        <is>
          <t>NORRTÄLJE</t>
        </is>
      </c>
      <c r="G389" t="n">
        <v>6.5</v>
      </c>
      <c r="H389" t="n">
        <v>0</v>
      </c>
      <c r="I389" t="n">
        <v>0</v>
      </c>
      <c r="J389" t="n">
        <v>0</v>
      </c>
      <c r="K389" t="n">
        <v>0</v>
      </c>
      <c r="L389" t="n">
        <v>0</v>
      </c>
      <c r="M389" t="n">
        <v>0</v>
      </c>
      <c r="N389" t="n">
        <v>0</v>
      </c>
      <c r="O389" t="n">
        <v>0</v>
      </c>
      <c r="P389" t="n">
        <v>0</v>
      </c>
      <c r="Q389" t="n">
        <v>0</v>
      </c>
      <c r="R389" s="2" t="inlineStr"/>
    </row>
    <row r="390" ht="15" customHeight="1">
      <c r="A390" t="inlineStr">
        <is>
          <t>A 27677-2025</t>
        </is>
      </c>
      <c r="B390" s="1" t="n">
        <v>45813.63650462963</v>
      </c>
      <c r="C390" s="1" t="n">
        <v>46031</v>
      </c>
      <c r="D390" t="inlineStr">
        <is>
          <t>STOCKHOLMS LÄN</t>
        </is>
      </c>
      <c r="E390" t="inlineStr">
        <is>
          <t>NORRTÄLJE</t>
        </is>
      </c>
      <c r="G390" t="n">
        <v>2</v>
      </c>
      <c r="H390" t="n">
        <v>0</v>
      </c>
      <c r="I390" t="n">
        <v>0</v>
      </c>
      <c r="J390" t="n">
        <v>0</v>
      </c>
      <c r="K390" t="n">
        <v>0</v>
      </c>
      <c r="L390" t="n">
        <v>0</v>
      </c>
      <c r="M390" t="n">
        <v>0</v>
      </c>
      <c r="N390" t="n">
        <v>0</v>
      </c>
      <c r="O390" t="n">
        <v>0</v>
      </c>
      <c r="P390" t="n">
        <v>0</v>
      </c>
      <c r="Q390" t="n">
        <v>0</v>
      </c>
      <c r="R390" s="2" t="inlineStr"/>
    </row>
    <row r="391" ht="15" customHeight="1">
      <c r="A391" t="inlineStr">
        <is>
          <t>A 12901-2024</t>
        </is>
      </c>
      <c r="B391" s="1" t="n">
        <v>45385.37922453704</v>
      </c>
      <c r="C391" s="1" t="n">
        <v>46031</v>
      </c>
      <c r="D391" t="inlineStr">
        <is>
          <t>STOCKHOLMS LÄN</t>
        </is>
      </c>
      <c r="E391" t="inlineStr">
        <is>
          <t>NORRTÄLJE</t>
        </is>
      </c>
      <c r="G391" t="n">
        <v>2.7</v>
      </c>
      <c r="H391" t="n">
        <v>0</v>
      </c>
      <c r="I391" t="n">
        <v>0</v>
      </c>
      <c r="J391" t="n">
        <v>0</v>
      </c>
      <c r="K391" t="n">
        <v>0</v>
      </c>
      <c r="L391" t="n">
        <v>0</v>
      </c>
      <c r="M391" t="n">
        <v>0</v>
      </c>
      <c r="N391" t="n">
        <v>0</v>
      </c>
      <c r="O391" t="n">
        <v>0</v>
      </c>
      <c r="P391" t="n">
        <v>0</v>
      </c>
      <c r="Q391" t="n">
        <v>0</v>
      </c>
      <c r="R391" s="2" t="inlineStr"/>
    </row>
    <row r="392" ht="15" customHeight="1">
      <c r="A392" t="inlineStr">
        <is>
          <t>A 12301-2025</t>
        </is>
      </c>
      <c r="B392" s="1" t="n">
        <v>45729.7271875</v>
      </c>
      <c r="C392" s="1" t="n">
        <v>46031</v>
      </c>
      <c r="D392" t="inlineStr">
        <is>
          <t>STOCKHOLMS LÄN</t>
        </is>
      </c>
      <c r="E392" t="inlineStr">
        <is>
          <t>NORRTÄLJE</t>
        </is>
      </c>
      <c r="G392" t="n">
        <v>3.2</v>
      </c>
      <c r="H392" t="n">
        <v>0</v>
      </c>
      <c r="I392" t="n">
        <v>0</v>
      </c>
      <c r="J392" t="n">
        <v>0</v>
      </c>
      <c r="K392" t="n">
        <v>0</v>
      </c>
      <c r="L392" t="n">
        <v>0</v>
      </c>
      <c r="M392" t="n">
        <v>0</v>
      </c>
      <c r="N392" t="n">
        <v>0</v>
      </c>
      <c r="O392" t="n">
        <v>0</v>
      </c>
      <c r="P392" t="n">
        <v>0</v>
      </c>
      <c r="Q392" t="n">
        <v>0</v>
      </c>
      <c r="R392" s="2" t="inlineStr"/>
    </row>
    <row r="393" ht="15" customHeight="1">
      <c r="A393" t="inlineStr">
        <is>
          <t>A 25681-2024</t>
        </is>
      </c>
      <c r="B393" s="1" t="n">
        <v>45463.80486111111</v>
      </c>
      <c r="C393" s="1" t="n">
        <v>46031</v>
      </c>
      <c r="D393" t="inlineStr">
        <is>
          <t>STOCKHOLMS LÄN</t>
        </is>
      </c>
      <c r="E393" t="inlineStr">
        <is>
          <t>NORRTÄLJE</t>
        </is>
      </c>
      <c r="G393" t="n">
        <v>2.7</v>
      </c>
      <c r="H393" t="n">
        <v>0</v>
      </c>
      <c r="I393" t="n">
        <v>0</v>
      </c>
      <c r="J393" t="n">
        <v>0</v>
      </c>
      <c r="K393" t="n">
        <v>0</v>
      </c>
      <c r="L393" t="n">
        <v>0</v>
      </c>
      <c r="M393" t="n">
        <v>0</v>
      </c>
      <c r="N393" t="n">
        <v>0</v>
      </c>
      <c r="O393" t="n">
        <v>0</v>
      </c>
      <c r="P393" t="n">
        <v>0</v>
      </c>
      <c r="Q393" t="n">
        <v>0</v>
      </c>
      <c r="R393" s="2" t="inlineStr"/>
    </row>
    <row r="394" ht="15" customHeight="1">
      <c r="A394" t="inlineStr">
        <is>
          <t>A 58403-2025</t>
        </is>
      </c>
      <c r="B394" s="1" t="n">
        <v>45985.56777777777</v>
      </c>
      <c r="C394" s="1" t="n">
        <v>46031</v>
      </c>
      <c r="D394" t="inlineStr">
        <is>
          <t>STOCKHOLMS LÄN</t>
        </is>
      </c>
      <c r="E394" t="inlineStr">
        <is>
          <t>NORRTÄLJE</t>
        </is>
      </c>
      <c r="F394" t="inlineStr">
        <is>
          <t>Naturvårdsverket</t>
        </is>
      </c>
      <c r="G394" t="n">
        <v>13.5</v>
      </c>
      <c r="H394" t="n">
        <v>0</v>
      </c>
      <c r="I394" t="n">
        <v>0</v>
      </c>
      <c r="J394" t="n">
        <v>0</v>
      </c>
      <c r="K394" t="n">
        <v>0</v>
      </c>
      <c r="L394" t="n">
        <v>0</v>
      </c>
      <c r="M394" t="n">
        <v>0</v>
      </c>
      <c r="N394" t="n">
        <v>0</v>
      </c>
      <c r="O394" t="n">
        <v>0</v>
      </c>
      <c r="P394" t="n">
        <v>0</v>
      </c>
      <c r="Q394" t="n">
        <v>0</v>
      </c>
      <c r="R394" s="2" t="inlineStr"/>
    </row>
    <row r="395" ht="15" customHeight="1">
      <c r="A395" t="inlineStr">
        <is>
          <t>A 24245-2024</t>
        </is>
      </c>
      <c r="B395" s="1" t="n">
        <v>45457</v>
      </c>
      <c r="C395" s="1" t="n">
        <v>46031</v>
      </c>
      <c r="D395" t="inlineStr">
        <is>
          <t>STOCKHOLMS LÄN</t>
        </is>
      </c>
      <c r="E395" t="inlineStr">
        <is>
          <t>NORRTÄLJE</t>
        </is>
      </c>
      <c r="F395" t="inlineStr">
        <is>
          <t>Holmen skog AB</t>
        </is>
      </c>
      <c r="G395" t="n">
        <v>3.4</v>
      </c>
      <c r="H395" t="n">
        <v>0</v>
      </c>
      <c r="I395" t="n">
        <v>0</v>
      </c>
      <c r="J395" t="n">
        <v>0</v>
      </c>
      <c r="K395" t="n">
        <v>0</v>
      </c>
      <c r="L395" t="n">
        <v>0</v>
      </c>
      <c r="M395" t="n">
        <v>0</v>
      </c>
      <c r="N395" t="n">
        <v>0</v>
      </c>
      <c r="O395" t="n">
        <v>0</v>
      </c>
      <c r="P395" t="n">
        <v>0</v>
      </c>
      <c r="Q395" t="n">
        <v>0</v>
      </c>
      <c r="R395" s="2" t="inlineStr"/>
    </row>
    <row r="396" ht="15" customHeight="1">
      <c r="A396" t="inlineStr">
        <is>
          <t>A 8950-2025</t>
        </is>
      </c>
      <c r="B396" s="1" t="n">
        <v>45713</v>
      </c>
      <c r="C396" s="1" t="n">
        <v>46031</v>
      </c>
      <c r="D396" t="inlineStr">
        <is>
          <t>STOCKHOLMS LÄN</t>
        </is>
      </c>
      <c r="E396" t="inlineStr">
        <is>
          <t>NORRTÄLJE</t>
        </is>
      </c>
      <c r="F396" t="inlineStr">
        <is>
          <t>Övriga Aktiebolag</t>
        </is>
      </c>
      <c r="G396" t="n">
        <v>3.6</v>
      </c>
      <c r="H396" t="n">
        <v>0</v>
      </c>
      <c r="I396" t="n">
        <v>0</v>
      </c>
      <c r="J396" t="n">
        <v>0</v>
      </c>
      <c r="K396" t="n">
        <v>0</v>
      </c>
      <c r="L396" t="n">
        <v>0</v>
      </c>
      <c r="M396" t="n">
        <v>0</v>
      </c>
      <c r="N396" t="n">
        <v>0</v>
      </c>
      <c r="O396" t="n">
        <v>0</v>
      </c>
      <c r="P396" t="n">
        <v>0</v>
      </c>
      <c r="Q396" t="n">
        <v>0</v>
      </c>
      <c r="R396" s="2" t="inlineStr"/>
    </row>
    <row r="397" ht="15" customHeight="1">
      <c r="A397" t="inlineStr">
        <is>
          <t>A 694-2026</t>
        </is>
      </c>
      <c r="B397" s="1" t="n">
        <v>46029.61375</v>
      </c>
      <c r="C397" s="1" t="n">
        <v>46031</v>
      </c>
      <c r="D397" t="inlineStr">
        <is>
          <t>STOCKHOLMS LÄN</t>
        </is>
      </c>
      <c r="E397" t="inlineStr">
        <is>
          <t>NORRTÄLJE</t>
        </is>
      </c>
      <c r="G397" t="n">
        <v>9.6</v>
      </c>
      <c r="H397" t="n">
        <v>0</v>
      </c>
      <c r="I397" t="n">
        <v>0</v>
      </c>
      <c r="J397" t="n">
        <v>0</v>
      </c>
      <c r="K397" t="n">
        <v>0</v>
      </c>
      <c r="L397" t="n">
        <v>0</v>
      </c>
      <c r="M397" t="n">
        <v>0</v>
      </c>
      <c r="N397" t="n">
        <v>0</v>
      </c>
      <c r="O397" t="n">
        <v>0</v>
      </c>
      <c r="P397" t="n">
        <v>0</v>
      </c>
      <c r="Q397" t="n">
        <v>0</v>
      </c>
      <c r="R397" s="2" t="inlineStr"/>
    </row>
    <row r="398" ht="15" customHeight="1">
      <c r="A398" t="inlineStr">
        <is>
          <t>A 26115-2024</t>
        </is>
      </c>
      <c r="B398" s="1" t="n">
        <v>45468.45628472222</v>
      </c>
      <c r="C398" s="1" t="n">
        <v>46031</v>
      </c>
      <c r="D398" t="inlineStr">
        <is>
          <t>STOCKHOLMS LÄN</t>
        </is>
      </c>
      <c r="E398" t="inlineStr">
        <is>
          <t>NORRTÄLJE</t>
        </is>
      </c>
      <c r="G398" t="n">
        <v>0.3</v>
      </c>
      <c r="H398" t="n">
        <v>0</v>
      </c>
      <c r="I398" t="n">
        <v>0</v>
      </c>
      <c r="J398" t="n">
        <v>0</v>
      </c>
      <c r="K398" t="n">
        <v>0</v>
      </c>
      <c r="L398" t="n">
        <v>0</v>
      </c>
      <c r="M398" t="n">
        <v>0</v>
      </c>
      <c r="N398" t="n">
        <v>0</v>
      </c>
      <c r="O398" t="n">
        <v>0</v>
      </c>
      <c r="P398" t="n">
        <v>0</v>
      </c>
      <c r="Q398" t="n">
        <v>0</v>
      </c>
      <c r="R398" s="2" t="inlineStr"/>
    </row>
    <row r="399" ht="15" customHeight="1">
      <c r="A399" t="inlineStr">
        <is>
          <t>A 20730-2024</t>
        </is>
      </c>
      <c r="B399" s="1" t="n">
        <v>45436</v>
      </c>
      <c r="C399" s="1" t="n">
        <v>46031</v>
      </c>
      <c r="D399" t="inlineStr">
        <is>
          <t>STOCKHOLMS LÄN</t>
        </is>
      </c>
      <c r="E399" t="inlineStr">
        <is>
          <t>NORRTÄLJE</t>
        </is>
      </c>
      <c r="G399" t="n">
        <v>7.3</v>
      </c>
      <c r="H399" t="n">
        <v>0</v>
      </c>
      <c r="I399" t="n">
        <v>0</v>
      </c>
      <c r="J399" t="n">
        <v>0</v>
      </c>
      <c r="K399" t="n">
        <v>0</v>
      </c>
      <c r="L399" t="n">
        <v>0</v>
      </c>
      <c r="M399" t="n">
        <v>0</v>
      </c>
      <c r="N399" t="n">
        <v>0</v>
      </c>
      <c r="O399" t="n">
        <v>0</v>
      </c>
      <c r="P399" t="n">
        <v>0</v>
      </c>
      <c r="Q399" t="n">
        <v>0</v>
      </c>
      <c r="R399" s="2" t="inlineStr"/>
    </row>
    <row r="400" ht="15" customHeight="1">
      <c r="A400" t="inlineStr">
        <is>
          <t>A 33175-2024</t>
        </is>
      </c>
      <c r="B400" s="1" t="n">
        <v>45518</v>
      </c>
      <c r="C400" s="1" t="n">
        <v>46031</v>
      </c>
      <c r="D400" t="inlineStr">
        <is>
          <t>STOCKHOLMS LÄN</t>
        </is>
      </c>
      <c r="E400" t="inlineStr">
        <is>
          <t>NORRTÄLJE</t>
        </is>
      </c>
      <c r="G400" t="n">
        <v>2.1</v>
      </c>
      <c r="H400" t="n">
        <v>0</v>
      </c>
      <c r="I400" t="n">
        <v>0</v>
      </c>
      <c r="J400" t="n">
        <v>0</v>
      </c>
      <c r="K400" t="n">
        <v>0</v>
      </c>
      <c r="L400" t="n">
        <v>0</v>
      </c>
      <c r="M400" t="n">
        <v>0</v>
      </c>
      <c r="N400" t="n">
        <v>0</v>
      </c>
      <c r="O400" t="n">
        <v>0</v>
      </c>
      <c r="P400" t="n">
        <v>0</v>
      </c>
      <c r="Q400" t="n">
        <v>0</v>
      </c>
      <c r="R400" s="2" t="inlineStr"/>
    </row>
    <row r="401" ht="15" customHeight="1">
      <c r="A401" t="inlineStr">
        <is>
          <t>A 13283-2025</t>
        </is>
      </c>
      <c r="B401" s="1" t="n">
        <v>45735</v>
      </c>
      <c r="C401" s="1" t="n">
        <v>46031</v>
      </c>
      <c r="D401" t="inlineStr">
        <is>
          <t>STOCKHOLMS LÄN</t>
        </is>
      </c>
      <c r="E401" t="inlineStr">
        <is>
          <t>NORRTÄLJE</t>
        </is>
      </c>
      <c r="G401" t="n">
        <v>4.9</v>
      </c>
      <c r="H401" t="n">
        <v>0</v>
      </c>
      <c r="I401" t="n">
        <v>0</v>
      </c>
      <c r="J401" t="n">
        <v>0</v>
      </c>
      <c r="K401" t="n">
        <v>0</v>
      </c>
      <c r="L401" t="n">
        <v>0</v>
      </c>
      <c r="M401" t="n">
        <v>0</v>
      </c>
      <c r="N401" t="n">
        <v>0</v>
      </c>
      <c r="O401" t="n">
        <v>0</v>
      </c>
      <c r="P401" t="n">
        <v>0</v>
      </c>
      <c r="Q401" t="n">
        <v>0</v>
      </c>
      <c r="R401" s="2" t="inlineStr"/>
    </row>
    <row r="402" ht="15" customHeight="1">
      <c r="A402" t="inlineStr">
        <is>
          <t>A 40230-2025</t>
        </is>
      </c>
      <c r="B402" s="1" t="n">
        <v>45894.71101851852</v>
      </c>
      <c r="C402" s="1" t="n">
        <v>46031</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40228-2025</t>
        </is>
      </c>
      <c r="B403" s="1" t="n">
        <v>45894.70854166667</v>
      </c>
      <c r="C403" s="1" t="n">
        <v>46031</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35636-2025</t>
        </is>
      </c>
      <c r="B404" s="1" t="n">
        <v>45859</v>
      </c>
      <c r="C404" s="1" t="n">
        <v>46031</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27831-2024</t>
        </is>
      </c>
      <c r="B405" s="1" t="n">
        <v>45475.61896990741</v>
      </c>
      <c r="C405" s="1" t="n">
        <v>46031</v>
      </c>
      <c r="D405" t="inlineStr">
        <is>
          <t>STOCKHOLMS LÄN</t>
        </is>
      </c>
      <c r="E405" t="inlineStr">
        <is>
          <t>NORRTÄLJE</t>
        </is>
      </c>
      <c r="G405" t="n">
        <v>3.8</v>
      </c>
      <c r="H405" t="n">
        <v>0</v>
      </c>
      <c r="I405" t="n">
        <v>0</v>
      </c>
      <c r="J405" t="n">
        <v>0</v>
      </c>
      <c r="K405" t="n">
        <v>0</v>
      </c>
      <c r="L405" t="n">
        <v>0</v>
      </c>
      <c r="M405" t="n">
        <v>0</v>
      </c>
      <c r="N405" t="n">
        <v>0</v>
      </c>
      <c r="O405" t="n">
        <v>0</v>
      </c>
      <c r="P405" t="n">
        <v>0</v>
      </c>
      <c r="Q405" t="n">
        <v>0</v>
      </c>
      <c r="R405" s="2" t="inlineStr"/>
    </row>
    <row r="406" ht="15" customHeight="1">
      <c r="A406" t="inlineStr">
        <is>
          <t>A 40172-2025</t>
        </is>
      </c>
      <c r="B406" s="1" t="n">
        <v>45894.6353125</v>
      </c>
      <c r="C406" s="1" t="n">
        <v>46031</v>
      </c>
      <c r="D406" t="inlineStr">
        <is>
          <t>STOCKHOLMS LÄN</t>
        </is>
      </c>
      <c r="E406" t="inlineStr">
        <is>
          <t>NORRTÄLJE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475-2026</t>
        </is>
      </c>
      <c r="B407" s="1" t="n">
        <v>46029.39351851852</v>
      </c>
      <c r="C407" s="1" t="n">
        <v>46031</v>
      </c>
      <c r="D407" t="inlineStr">
        <is>
          <t>STOCKHOLMS LÄN</t>
        </is>
      </c>
      <c r="E407" t="inlineStr">
        <is>
          <t>NORRTÄLJE</t>
        </is>
      </c>
      <c r="G407" t="n">
        <v>4.6</v>
      </c>
      <c r="H407" t="n">
        <v>0</v>
      </c>
      <c r="I407" t="n">
        <v>0</v>
      </c>
      <c r="J407" t="n">
        <v>0</v>
      </c>
      <c r="K407" t="n">
        <v>0</v>
      </c>
      <c r="L407" t="n">
        <v>0</v>
      </c>
      <c r="M407" t="n">
        <v>0</v>
      </c>
      <c r="N407" t="n">
        <v>0</v>
      </c>
      <c r="O407" t="n">
        <v>0</v>
      </c>
      <c r="P407" t="n">
        <v>0</v>
      </c>
      <c r="Q407" t="n">
        <v>0</v>
      </c>
      <c r="R407" s="2" t="inlineStr"/>
    </row>
    <row r="408" ht="15" customHeight="1">
      <c r="A408" t="inlineStr">
        <is>
          <t>A 40033-2025</t>
        </is>
      </c>
      <c r="B408" s="1" t="n">
        <v>45893</v>
      </c>
      <c r="C408" s="1" t="n">
        <v>46031</v>
      </c>
      <c r="D408" t="inlineStr">
        <is>
          <t>STOCKHOLMS LÄN</t>
        </is>
      </c>
      <c r="E408" t="inlineStr">
        <is>
          <t>NORRTÄLJE</t>
        </is>
      </c>
      <c r="G408" t="n">
        <v>1.7</v>
      </c>
      <c r="H408" t="n">
        <v>0</v>
      </c>
      <c r="I408" t="n">
        <v>0</v>
      </c>
      <c r="J408" t="n">
        <v>0</v>
      </c>
      <c r="K408" t="n">
        <v>0</v>
      </c>
      <c r="L408" t="n">
        <v>0</v>
      </c>
      <c r="M408" t="n">
        <v>0</v>
      </c>
      <c r="N408" t="n">
        <v>0</v>
      </c>
      <c r="O408" t="n">
        <v>0</v>
      </c>
      <c r="P408" t="n">
        <v>0</v>
      </c>
      <c r="Q408" t="n">
        <v>0</v>
      </c>
      <c r="R408" s="2" t="inlineStr"/>
    </row>
    <row r="409" ht="15" customHeight="1">
      <c r="A409" t="inlineStr">
        <is>
          <t>A 693-2026</t>
        </is>
      </c>
      <c r="B409" s="1" t="n">
        <v>46029.6133449074</v>
      </c>
      <c r="C409" s="1" t="n">
        <v>46031</v>
      </c>
      <c r="D409" t="inlineStr">
        <is>
          <t>STOCKHOLMS LÄN</t>
        </is>
      </c>
      <c r="E409" t="inlineStr">
        <is>
          <t>NORRTÄLJE</t>
        </is>
      </c>
      <c r="G409" t="n">
        <v>9.6</v>
      </c>
      <c r="H409" t="n">
        <v>0</v>
      </c>
      <c r="I409" t="n">
        <v>0</v>
      </c>
      <c r="J409" t="n">
        <v>0</v>
      </c>
      <c r="K409" t="n">
        <v>0</v>
      </c>
      <c r="L409" t="n">
        <v>0</v>
      </c>
      <c r="M409" t="n">
        <v>0</v>
      </c>
      <c r="N409" t="n">
        <v>0</v>
      </c>
      <c r="O409" t="n">
        <v>0</v>
      </c>
      <c r="P409" t="n">
        <v>0</v>
      </c>
      <c r="Q409" t="n">
        <v>0</v>
      </c>
      <c r="R409" s="2" t="inlineStr"/>
    </row>
    <row r="410" ht="15" customHeight="1">
      <c r="A410" t="inlineStr">
        <is>
          <t>A 717-2026</t>
        </is>
      </c>
      <c r="B410" s="1" t="n">
        <v>46029.63028935185</v>
      </c>
      <c r="C410" s="1" t="n">
        <v>46031</v>
      </c>
      <c r="D410" t="inlineStr">
        <is>
          <t>STOCKHOLMS LÄN</t>
        </is>
      </c>
      <c r="E410" t="inlineStr">
        <is>
          <t>NORRTÄLJE</t>
        </is>
      </c>
      <c r="G410" t="n">
        <v>2.4</v>
      </c>
      <c r="H410" t="n">
        <v>0</v>
      </c>
      <c r="I410" t="n">
        <v>0</v>
      </c>
      <c r="J410" t="n">
        <v>0</v>
      </c>
      <c r="K410" t="n">
        <v>0</v>
      </c>
      <c r="L410" t="n">
        <v>0</v>
      </c>
      <c r="M410" t="n">
        <v>0</v>
      </c>
      <c r="N410" t="n">
        <v>0</v>
      </c>
      <c r="O410" t="n">
        <v>0</v>
      </c>
      <c r="P410" t="n">
        <v>0</v>
      </c>
      <c r="Q410" t="n">
        <v>0</v>
      </c>
      <c r="R410" s="2" t="inlineStr"/>
    </row>
    <row r="411" ht="15" customHeight="1">
      <c r="A411" t="inlineStr">
        <is>
          <t>A 40217-2025</t>
        </is>
      </c>
      <c r="B411" s="1" t="n">
        <v>45894.68864583333</v>
      </c>
      <c r="C411" s="1" t="n">
        <v>46031</v>
      </c>
      <c r="D411" t="inlineStr">
        <is>
          <t>STOCKHOLMS LÄN</t>
        </is>
      </c>
      <c r="E411" t="inlineStr">
        <is>
          <t>NORRTÄLJE</t>
        </is>
      </c>
      <c r="G411" t="n">
        <v>0.8</v>
      </c>
      <c r="H411" t="n">
        <v>0</v>
      </c>
      <c r="I411" t="n">
        <v>0</v>
      </c>
      <c r="J411" t="n">
        <v>0</v>
      </c>
      <c r="K411" t="n">
        <v>0</v>
      </c>
      <c r="L411" t="n">
        <v>0</v>
      </c>
      <c r="M411" t="n">
        <v>0</v>
      </c>
      <c r="N411" t="n">
        <v>0</v>
      </c>
      <c r="O411" t="n">
        <v>0</v>
      </c>
      <c r="P411" t="n">
        <v>0</v>
      </c>
      <c r="Q411" t="n">
        <v>0</v>
      </c>
      <c r="R411" s="2" t="inlineStr"/>
    </row>
    <row r="412" ht="15" customHeight="1">
      <c r="A412" t="inlineStr">
        <is>
          <t>A 54273-2021</t>
        </is>
      </c>
      <c r="B412" s="1" t="n">
        <v>44470.72987268519</v>
      </c>
      <c r="C412" s="1" t="n">
        <v>46031</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43212-2022</t>
        </is>
      </c>
      <c r="B413" s="1" t="n">
        <v>44834.38636574074</v>
      </c>
      <c r="C413" s="1" t="n">
        <v>46031</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35639-2025</t>
        </is>
      </c>
      <c r="B414" s="1" t="n">
        <v>45859</v>
      </c>
      <c r="C414" s="1" t="n">
        <v>46031</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40032-2025</t>
        </is>
      </c>
      <c r="B415" s="1" t="n">
        <v>45893</v>
      </c>
      <c r="C415" s="1" t="n">
        <v>46031</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40097-2025</t>
        </is>
      </c>
      <c r="B416" s="1" t="n">
        <v>45894.48322916667</v>
      </c>
      <c r="C416" s="1" t="n">
        <v>46031</v>
      </c>
      <c r="D416" t="inlineStr">
        <is>
          <t>STOCKHOLMS LÄN</t>
        </is>
      </c>
      <c r="E416" t="inlineStr">
        <is>
          <t>NORRTÄLJE</t>
        </is>
      </c>
      <c r="G416" t="n">
        <v>3</v>
      </c>
      <c r="H416" t="n">
        <v>0</v>
      </c>
      <c r="I416" t="n">
        <v>0</v>
      </c>
      <c r="J416" t="n">
        <v>0</v>
      </c>
      <c r="K416" t="n">
        <v>0</v>
      </c>
      <c r="L416" t="n">
        <v>0</v>
      </c>
      <c r="M416" t="n">
        <v>0</v>
      </c>
      <c r="N416" t="n">
        <v>0</v>
      </c>
      <c r="O416" t="n">
        <v>0</v>
      </c>
      <c r="P416" t="n">
        <v>0</v>
      </c>
      <c r="Q416" t="n">
        <v>0</v>
      </c>
      <c r="R416" s="2" t="inlineStr"/>
    </row>
    <row r="417" ht="15" customHeight="1">
      <c r="A417" t="inlineStr">
        <is>
          <t>A 718-2026</t>
        </is>
      </c>
      <c r="B417" s="1" t="n">
        <v>46029.63174768518</v>
      </c>
      <c r="C417" s="1" t="n">
        <v>46031</v>
      </c>
      <c r="D417" t="inlineStr">
        <is>
          <t>STOCKHOLMS LÄN</t>
        </is>
      </c>
      <c r="E417" t="inlineStr">
        <is>
          <t>NORRTÄLJE</t>
        </is>
      </c>
      <c r="G417" t="n">
        <v>2.4</v>
      </c>
      <c r="H417" t="n">
        <v>0</v>
      </c>
      <c r="I417" t="n">
        <v>0</v>
      </c>
      <c r="J417" t="n">
        <v>0</v>
      </c>
      <c r="K417" t="n">
        <v>0</v>
      </c>
      <c r="L417" t="n">
        <v>0</v>
      </c>
      <c r="M417" t="n">
        <v>0</v>
      </c>
      <c r="N417" t="n">
        <v>0</v>
      </c>
      <c r="O417" t="n">
        <v>0</v>
      </c>
      <c r="P417" t="n">
        <v>0</v>
      </c>
      <c r="Q417" t="n">
        <v>0</v>
      </c>
      <c r="R417" s="2" t="inlineStr"/>
    </row>
    <row r="418" ht="15" customHeight="1">
      <c r="A418" t="inlineStr">
        <is>
          <t>A 40529-2025</t>
        </is>
      </c>
      <c r="B418" s="1" t="n">
        <v>45896.38466435186</v>
      </c>
      <c r="C418" s="1" t="n">
        <v>46031</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53499-2025</t>
        </is>
      </c>
      <c r="B419" s="1" t="n">
        <v>45960</v>
      </c>
      <c r="C419" s="1" t="n">
        <v>46031</v>
      </c>
      <c r="D419" t="inlineStr">
        <is>
          <t>STOCKHOLMS LÄN</t>
        </is>
      </c>
      <c r="E419" t="inlineStr">
        <is>
          <t>NORRTÄLJE</t>
        </is>
      </c>
      <c r="G419" t="n">
        <v>23.8</v>
      </c>
      <c r="H419" t="n">
        <v>0</v>
      </c>
      <c r="I419" t="n">
        <v>0</v>
      </c>
      <c r="J419" t="n">
        <v>0</v>
      </c>
      <c r="K419" t="n">
        <v>0</v>
      </c>
      <c r="L419" t="n">
        <v>0</v>
      </c>
      <c r="M419" t="n">
        <v>0</v>
      </c>
      <c r="N419" t="n">
        <v>0</v>
      </c>
      <c r="O419" t="n">
        <v>0</v>
      </c>
      <c r="P419" t="n">
        <v>0</v>
      </c>
      <c r="Q419" t="n">
        <v>0</v>
      </c>
      <c r="R419" s="2" t="inlineStr"/>
    </row>
    <row r="420" ht="15" customHeight="1">
      <c r="A420" t="inlineStr">
        <is>
          <t>A 40292-2025</t>
        </is>
      </c>
      <c r="B420" s="1" t="n">
        <v>45895.3867824074</v>
      </c>
      <c r="C420" s="1" t="n">
        <v>46031</v>
      </c>
      <c r="D420" t="inlineStr">
        <is>
          <t>STOCKHOLMS LÄN</t>
        </is>
      </c>
      <c r="E420" t="inlineStr">
        <is>
          <t>NORRTÄLJE</t>
        </is>
      </c>
      <c r="G420" t="n">
        <v>3.5</v>
      </c>
      <c r="H420" t="n">
        <v>0</v>
      </c>
      <c r="I420" t="n">
        <v>0</v>
      </c>
      <c r="J420" t="n">
        <v>0</v>
      </c>
      <c r="K420" t="n">
        <v>0</v>
      </c>
      <c r="L420" t="n">
        <v>0</v>
      </c>
      <c r="M420" t="n">
        <v>0</v>
      </c>
      <c r="N420" t="n">
        <v>0</v>
      </c>
      <c r="O420" t="n">
        <v>0</v>
      </c>
      <c r="P420" t="n">
        <v>0</v>
      </c>
      <c r="Q420" t="n">
        <v>0</v>
      </c>
      <c r="R420" s="2" t="inlineStr"/>
    </row>
    <row r="421" ht="15" customHeight="1">
      <c r="A421" t="inlineStr">
        <is>
          <t>A 40294-2025</t>
        </is>
      </c>
      <c r="B421" s="1" t="n">
        <v>45895.38778935185</v>
      </c>
      <c r="C421" s="1" t="n">
        <v>46031</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812-2026</t>
        </is>
      </c>
      <c r="B422" s="1" t="n">
        <v>46030.33358796296</v>
      </c>
      <c r="C422" s="1" t="n">
        <v>46031</v>
      </c>
      <c r="D422" t="inlineStr">
        <is>
          <t>STOCKHOLMS LÄN</t>
        </is>
      </c>
      <c r="E422" t="inlineStr">
        <is>
          <t>NORRTÄLJE</t>
        </is>
      </c>
      <c r="G422" t="n">
        <v>2.4</v>
      </c>
      <c r="H422" t="n">
        <v>0</v>
      </c>
      <c r="I422" t="n">
        <v>0</v>
      </c>
      <c r="J422" t="n">
        <v>0</v>
      </c>
      <c r="K422" t="n">
        <v>0</v>
      </c>
      <c r="L422" t="n">
        <v>0</v>
      </c>
      <c r="M422" t="n">
        <v>0</v>
      </c>
      <c r="N422" t="n">
        <v>0</v>
      </c>
      <c r="O422" t="n">
        <v>0</v>
      </c>
      <c r="P422" t="n">
        <v>0</v>
      </c>
      <c r="Q422" t="n">
        <v>0</v>
      </c>
      <c r="R422" s="2" t="inlineStr"/>
    </row>
    <row r="423" ht="15" customHeight="1">
      <c r="A423" t="inlineStr">
        <is>
          <t>A 21803-2022</t>
        </is>
      </c>
      <c r="B423" s="1" t="n">
        <v>44708.67822916667</v>
      </c>
      <c r="C423" s="1" t="n">
        <v>46031</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41275-2025</t>
        </is>
      </c>
      <c r="B424" s="1" t="n">
        <v>45898.62625</v>
      </c>
      <c r="C424" s="1" t="n">
        <v>46031</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24687-2025</t>
        </is>
      </c>
      <c r="B425" s="1" t="n">
        <v>45798.66767361111</v>
      </c>
      <c r="C425" s="1" t="n">
        <v>46031</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40837-2025</t>
        </is>
      </c>
      <c r="B426" s="1" t="n">
        <v>45897.51328703704</v>
      </c>
      <c r="C426" s="1" t="n">
        <v>46031</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41030-2025</t>
        </is>
      </c>
      <c r="B427" s="1" t="n">
        <v>45898.37636574074</v>
      </c>
      <c r="C427" s="1" t="n">
        <v>46031</v>
      </c>
      <c r="D427" t="inlineStr">
        <is>
          <t>STOCKHOLMS LÄN</t>
        </is>
      </c>
      <c r="E427" t="inlineStr">
        <is>
          <t>NORRTÄLJE</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58939-2025</t>
        </is>
      </c>
      <c r="B428" s="1" t="n">
        <v>45987.5681712963</v>
      </c>
      <c r="C428" s="1" t="n">
        <v>46031</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41158-2025</t>
        </is>
      </c>
      <c r="B429" s="1" t="n">
        <v>45898.5315625</v>
      </c>
      <c r="C429" s="1" t="n">
        <v>46031</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41301-2025</t>
        </is>
      </c>
      <c r="B430" s="1" t="n">
        <v>45898.68826388889</v>
      </c>
      <c r="C430" s="1" t="n">
        <v>46031</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41106-2025</t>
        </is>
      </c>
      <c r="B431" s="1" t="n">
        <v>45898.45636574074</v>
      </c>
      <c r="C431" s="1" t="n">
        <v>46031</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41174-2025</t>
        </is>
      </c>
      <c r="B432" s="1" t="n">
        <v>45898.54921296296</v>
      </c>
      <c r="C432" s="1" t="n">
        <v>46031</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41110-2025</t>
        </is>
      </c>
      <c r="B433" s="1" t="n">
        <v>45898.45976851852</v>
      </c>
      <c r="C433" s="1" t="n">
        <v>46031</v>
      </c>
      <c r="D433" t="inlineStr">
        <is>
          <t>STOCKHOLMS LÄN</t>
        </is>
      </c>
      <c r="E433" t="inlineStr">
        <is>
          <t>NORRTÄLJE</t>
        </is>
      </c>
      <c r="F433" t="inlineStr">
        <is>
          <t>Holmen skog AB</t>
        </is>
      </c>
      <c r="G433" t="n">
        <v>6.7</v>
      </c>
      <c r="H433" t="n">
        <v>0</v>
      </c>
      <c r="I433" t="n">
        <v>0</v>
      </c>
      <c r="J433" t="n">
        <v>0</v>
      </c>
      <c r="K433" t="n">
        <v>0</v>
      </c>
      <c r="L433" t="n">
        <v>0</v>
      </c>
      <c r="M433" t="n">
        <v>0</v>
      </c>
      <c r="N433" t="n">
        <v>0</v>
      </c>
      <c r="O433" t="n">
        <v>0</v>
      </c>
      <c r="P433" t="n">
        <v>0</v>
      </c>
      <c r="Q433" t="n">
        <v>0</v>
      </c>
      <c r="R433" s="2" t="inlineStr"/>
    </row>
    <row r="434" ht="15" customHeight="1">
      <c r="A434" t="inlineStr">
        <is>
          <t>A 41259-2025</t>
        </is>
      </c>
      <c r="B434" s="1" t="n">
        <v>45898.61054398148</v>
      </c>
      <c r="C434" s="1" t="n">
        <v>46031</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34295-2024</t>
        </is>
      </c>
      <c r="B435" s="1" t="n">
        <v>45524</v>
      </c>
      <c r="C435" s="1" t="n">
        <v>46031</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41053-2025</t>
        </is>
      </c>
      <c r="B436" s="1" t="n">
        <v>45898.40480324074</v>
      </c>
      <c r="C436" s="1" t="n">
        <v>46031</v>
      </c>
      <c r="D436" t="inlineStr">
        <is>
          <t>STOCKHOLMS LÄN</t>
        </is>
      </c>
      <c r="E436" t="inlineStr">
        <is>
          <t>NORRTÄLJE</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40829-2025</t>
        </is>
      </c>
      <c r="B437" s="1" t="n">
        <v>45897.50802083333</v>
      </c>
      <c r="C437" s="1" t="n">
        <v>46031</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40831-2025</t>
        </is>
      </c>
      <c r="B438" s="1" t="n">
        <v>45897.51077546296</v>
      </c>
      <c r="C438" s="1" t="n">
        <v>46031</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6537-2024</t>
        </is>
      </c>
      <c r="B439" s="1" t="n">
        <v>45341.39853009259</v>
      </c>
      <c r="C439" s="1" t="n">
        <v>46031</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41272-2025</t>
        </is>
      </c>
      <c r="B440" s="1" t="n">
        <v>45898.62373842593</v>
      </c>
      <c r="C440" s="1" t="n">
        <v>46031</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52260-2022</t>
        </is>
      </c>
      <c r="B441" s="1" t="n">
        <v>44869</v>
      </c>
      <c r="C441" s="1" t="n">
        <v>46031</v>
      </c>
      <c r="D441" t="inlineStr">
        <is>
          <t>STOCKHOLMS LÄN</t>
        </is>
      </c>
      <c r="E441" t="inlineStr">
        <is>
          <t>NORRTÄLJE</t>
        </is>
      </c>
      <c r="G441" t="n">
        <v>3.1</v>
      </c>
      <c r="H441" t="n">
        <v>0</v>
      </c>
      <c r="I441" t="n">
        <v>0</v>
      </c>
      <c r="J441" t="n">
        <v>0</v>
      </c>
      <c r="K441" t="n">
        <v>0</v>
      </c>
      <c r="L441" t="n">
        <v>0</v>
      </c>
      <c r="M441" t="n">
        <v>0</v>
      </c>
      <c r="N441" t="n">
        <v>0</v>
      </c>
      <c r="O441" t="n">
        <v>0</v>
      </c>
      <c r="P441" t="n">
        <v>0</v>
      </c>
      <c r="Q441" t="n">
        <v>0</v>
      </c>
      <c r="R441" s="2" t="inlineStr"/>
    </row>
    <row r="442" ht="15" customHeight="1">
      <c r="A442" t="inlineStr">
        <is>
          <t>A 41036-2025</t>
        </is>
      </c>
      <c r="B442" s="1" t="n">
        <v>45898.38552083333</v>
      </c>
      <c r="C442" s="1" t="n">
        <v>46031</v>
      </c>
      <c r="D442" t="inlineStr">
        <is>
          <t>STOCKHOLMS LÄN</t>
        </is>
      </c>
      <c r="E442" t="inlineStr">
        <is>
          <t>NORRTÄLJE</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24690-2025</t>
        </is>
      </c>
      <c r="B443" s="1" t="n">
        <v>45798.67082175926</v>
      </c>
      <c r="C443" s="1" t="n">
        <v>46031</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24638-2025</t>
        </is>
      </c>
      <c r="B444" s="1" t="n">
        <v>45798</v>
      </c>
      <c r="C444" s="1" t="n">
        <v>46031</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19058-2024</t>
        </is>
      </c>
      <c r="B445" s="1" t="n">
        <v>45427.89121527778</v>
      </c>
      <c r="C445" s="1" t="n">
        <v>46031</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55058-2021</t>
        </is>
      </c>
      <c r="B446" s="1" t="n">
        <v>44474.62141203704</v>
      </c>
      <c r="C446" s="1" t="n">
        <v>46031</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24351-2025</t>
        </is>
      </c>
      <c r="B447" s="1" t="n">
        <v>45797.58399305555</v>
      </c>
      <c r="C447" s="1" t="n">
        <v>46031</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40192-2023</t>
        </is>
      </c>
      <c r="B448" s="1" t="n">
        <v>45169</v>
      </c>
      <c r="C448" s="1" t="n">
        <v>46031</v>
      </c>
      <c r="D448" t="inlineStr">
        <is>
          <t>STOCKHOLMS LÄN</t>
        </is>
      </c>
      <c r="E448" t="inlineStr">
        <is>
          <t>NORRTÄLJE</t>
        </is>
      </c>
      <c r="F448" t="inlineStr">
        <is>
          <t>Kyrkan</t>
        </is>
      </c>
      <c r="G448" t="n">
        <v>0.7</v>
      </c>
      <c r="H448" t="n">
        <v>0</v>
      </c>
      <c r="I448" t="n">
        <v>0</v>
      </c>
      <c r="J448" t="n">
        <v>0</v>
      </c>
      <c r="K448" t="n">
        <v>0</v>
      </c>
      <c r="L448" t="n">
        <v>0</v>
      </c>
      <c r="M448" t="n">
        <v>0</v>
      </c>
      <c r="N448" t="n">
        <v>0</v>
      </c>
      <c r="O448" t="n">
        <v>0</v>
      </c>
      <c r="P448" t="n">
        <v>0</v>
      </c>
      <c r="Q448" t="n">
        <v>0</v>
      </c>
      <c r="R448" s="2" t="inlineStr"/>
    </row>
    <row r="449" ht="15" customHeight="1">
      <c r="A449" t="inlineStr">
        <is>
          <t>A 4035-2023</t>
        </is>
      </c>
      <c r="B449" s="1" t="n">
        <v>44952.57989583333</v>
      </c>
      <c r="C449" s="1" t="n">
        <v>46031</v>
      </c>
      <c r="D449" t="inlineStr">
        <is>
          <t>STOCKHOLMS LÄN</t>
        </is>
      </c>
      <c r="E449" t="inlineStr">
        <is>
          <t>NORRTÄLJE</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19057-2024</t>
        </is>
      </c>
      <c r="B450" s="1" t="n">
        <v>45427.88731481481</v>
      </c>
      <c r="C450" s="1" t="n">
        <v>46031</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26644-2024</t>
        </is>
      </c>
      <c r="B451" s="1" t="n">
        <v>45469</v>
      </c>
      <c r="C451" s="1" t="n">
        <v>46031</v>
      </c>
      <c r="D451" t="inlineStr">
        <is>
          <t>STOCKHOLMS LÄN</t>
        </is>
      </c>
      <c r="E451" t="inlineStr">
        <is>
          <t>NORRTÄLJE</t>
        </is>
      </c>
      <c r="G451" t="n">
        <v>4.3</v>
      </c>
      <c r="H451" t="n">
        <v>0</v>
      </c>
      <c r="I451" t="n">
        <v>0</v>
      </c>
      <c r="J451" t="n">
        <v>0</v>
      </c>
      <c r="K451" t="n">
        <v>0</v>
      </c>
      <c r="L451" t="n">
        <v>0</v>
      </c>
      <c r="M451" t="n">
        <v>0</v>
      </c>
      <c r="N451" t="n">
        <v>0</v>
      </c>
      <c r="O451" t="n">
        <v>0</v>
      </c>
      <c r="P451" t="n">
        <v>0</v>
      </c>
      <c r="Q451" t="n">
        <v>0</v>
      </c>
      <c r="R451" s="2" t="inlineStr"/>
    </row>
    <row r="452" ht="15" customHeight="1">
      <c r="A452" t="inlineStr">
        <is>
          <t>A 26668-2024</t>
        </is>
      </c>
      <c r="B452" s="1" t="n">
        <v>45469</v>
      </c>
      <c r="C452" s="1" t="n">
        <v>46031</v>
      </c>
      <c r="D452" t="inlineStr">
        <is>
          <t>STOCKHOLMS LÄN</t>
        </is>
      </c>
      <c r="E452" t="inlineStr">
        <is>
          <t>NORRTÄLJE</t>
        </is>
      </c>
      <c r="G452" t="n">
        <v>4.8</v>
      </c>
      <c r="H452" t="n">
        <v>0</v>
      </c>
      <c r="I452" t="n">
        <v>0</v>
      </c>
      <c r="J452" t="n">
        <v>0</v>
      </c>
      <c r="K452" t="n">
        <v>0</v>
      </c>
      <c r="L452" t="n">
        <v>0</v>
      </c>
      <c r="M452" t="n">
        <v>0</v>
      </c>
      <c r="N452" t="n">
        <v>0</v>
      </c>
      <c r="O452" t="n">
        <v>0</v>
      </c>
      <c r="P452" t="n">
        <v>0</v>
      </c>
      <c r="Q452" t="n">
        <v>0</v>
      </c>
      <c r="R452" s="2" t="inlineStr"/>
    </row>
    <row r="453" ht="15" customHeight="1">
      <c r="A453" t="inlineStr">
        <is>
          <t>A 15733-2025</t>
        </is>
      </c>
      <c r="B453" s="1" t="n">
        <v>45748</v>
      </c>
      <c r="C453" s="1" t="n">
        <v>46031</v>
      </c>
      <c r="D453" t="inlineStr">
        <is>
          <t>STOCKHOLMS LÄN</t>
        </is>
      </c>
      <c r="E453" t="inlineStr">
        <is>
          <t>NORRTÄLJE</t>
        </is>
      </c>
      <c r="G453" t="n">
        <v>13.3</v>
      </c>
      <c r="H453" t="n">
        <v>0</v>
      </c>
      <c r="I453" t="n">
        <v>0</v>
      </c>
      <c r="J453" t="n">
        <v>0</v>
      </c>
      <c r="K453" t="n">
        <v>0</v>
      </c>
      <c r="L453" t="n">
        <v>0</v>
      </c>
      <c r="M453" t="n">
        <v>0</v>
      </c>
      <c r="N453" t="n">
        <v>0</v>
      </c>
      <c r="O453" t="n">
        <v>0</v>
      </c>
      <c r="P453" t="n">
        <v>0</v>
      </c>
      <c r="Q453" t="n">
        <v>0</v>
      </c>
      <c r="R453" s="2" t="inlineStr"/>
    </row>
    <row r="454" ht="15" customHeight="1">
      <c r="A454" t="inlineStr">
        <is>
          <t>A 10511-2025</t>
        </is>
      </c>
      <c r="B454" s="1" t="n">
        <v>45721.40780092592</v>
      </c>
      <c r="C454" s="1" t="n">
        <v>46031</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42038-2025</t>
        </is>
      </c>
      <c r="B455" s="1" t="n">
        <v>45903.61431712963</v>
      </c>
      <c r="C455" s="1" t="n">
        <v>46031</v>
      </c>
      <c r="D455" t="inlineStr">
        <is>
          <t>STOCKHOLMS LÄN</t>
        </is>
      </c>
      <c r="E455" t="inlineStr">
        <is>
          <t>NORRTÄLJE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41964-2025</t>
        </is>
      </c>
      <c r="B456" s="1" t="n">
        <v>45903.47270833333</v>
      </c>
      <c r="C456" s="1" t="n">
        <v>46031</v>
      </c>
      <c r="D456" t="inlineStr">
        <is>
          <t>STOCKHOLMS LÄN</t>
        </is>
      </c>
      <c r="E456" t="inlineStr">
        <is>
          <t>NORRTÄLJE</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28603-2024</t>
        </is>
      </c>
      <c r="B457" s="1" t="n">
        <v>45478.42887731481</v>
      </c>
      <c r="C457" s="1" t="n">
        <v>46031</v>
      </c>
      <c r="D457" t="inlineStr">
        <is>
          <t>STOCKHOLMS LÄN</t>
        </is>
      </c>
      <c r="E457" t="inlineStr">
        <is>
          <t>NORRTÄLJE</t>
        </is>
      </c>
      <c r="G457" t="n">
        <v>5.6</v>
      </c>
      <c r="H457" t="n">
        <v>0</v>
      </c>
      <c r="I457" t="n">
        <v>0</v>
      </c>
      <c r="J457" t="n">
        <v>0</v>
      </c>
      <c r="K457" t="n">
        <v>0</v>
      </c>
      <c r="L457" t="n">
        <v>0</v>
      </c>
      <c r="M457" t="n">
        <v>0</v>
      </c>
      <c r="N457" t="n">
        <v>0</v>
      </c>
      <c r="O457" t="n">
        <v>0</v>
      </c>
      <c r="P457" t="n">
        <v>0</v>
      </c>
      <c r="Q457" t="n">
        <v>0</v>
      </c>
      <c r="R457" s="2" t="inlineStr"/>
    </row>
    <row r="458" ht="15" customHeight="1">
      <c r="A458" t="inlineStr">
        <is>
          <t>A 41966-2025</t>
        </is>
      </c>
      <c r="B458" s="1" t="n">
        <v>45903.47456018518</v>
      </c>
      <c r="C458" s="1" t="n">
        <v>46031</v>
      </c>
      <c r="D458" t="inlineStr">
        <is>
          <t>STOCKHOLMS LÄN</t>
        </is>
      </c>
      <c r="E458" t="inlineStr">
        <is>
          <t>NORRTÄLJE</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37085-2021</t>
        </is>
      </c>
      <c r="B459" s="1" t="n">
        <v>44395</v>
      </c>
      <c r="C459" s="1" t="n">
        <v>46031</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25702-2025</t>
        </is>
      </c>
      <c r="B460" s="1" t="n">
        <v>45800</v>
      </c>
      <c r="C460" s="1" t="n">
        <v>46031</v>
      </c>
      <c r="D460" t="inlineStr">
        <is>
          <t>STOCKHOLMS LÄN</t>
        </is>
      </c>
      <c r="E460" t="inlineStr">
        <is>
          <t>NORRTÄLJE</t>
        </is>
      </c>
      <c r="G460" t="n">
        <v>5.3</v>
      </c>
      <c r="H460" t="n">
        <v>0</v>
      </c>
      <c r="I460" t="n">
        <v>0</v>
      </c>
      <c r="J460" t="n">
        <v>0</v>
      </c>
      <c r="K460" t="n">
        <v>0</v>
      </c>
      <c r="L460" t="n">
        <v>0</v>
      </c>
      <c r="M460" t="n">
        <v>0</v>
      </c>
      <c r="N460" t="n">
        <v>0</v>
      </c>
      <c r="O460" t="n">
        <v>0</v>
      </c>
      <c r="P460" t="n">
        <v>0</v>
      </c>
      <c r="Q460" t="n">
        <v>0</v>
      </c>
      <c r="R460" s="2" t="inlineStr"/>
    </row>
    <row r="461" ht="15" customHeight="1">
      <c r="A461" t="inlineStr">
        <is>
          <t>A 25721-2025</t>
        </is>
      </c>
      <c r="B461" s="1" t="n">
        <v>45800</v>
      </c>
      <c r="C461" s="1" t="n">
        <v>46031</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30699-2025</t>
        </is>
      </c>
      <c r="B462" s="1" t="n">
        <v>45831.54618055555</v>
      </c>
      <c r="C462" s="1" t="n">
        <v>46031</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46988-2024</t>
        </is>
      </c>
      <c r="B463" s="1" t="n">
        <v>45586</v>
      </c>
      <c r="C463" s="1" t="n">
        <v>46031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71552-2021</t>
        </is>
      </c>
      <c r="B464" s="1" t="n">
        <v>44540</v>
      </c>
      <c r="C464" s="1" t="n">
        <v>46031</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17382-2024</t>
        </is>
      </c>
      <c r="B465" s="1" t="n">
        <v>45414.65855324074</v>
      </c>
      <c r="C465" s="1" t="n">
        <v>46031</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42856-2025</t>
        </is>
      </c>
      <c r="B466" s="1" t="n">
        <v>45908</v>
      </c>
      <c r="C466" s="1" t="n">
        <v>46031</v>
      </c>
      <c r="D466" t="inlineStr">
        <is>
          <t>STOCKHOLMS LÄN</t>
        </is>
      </c>
      <c r="E466" t="inlineStr">
        <is>
          <t>NORRTÄLJE</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20011-2025</t>
        </is>
      </c>
      <c r="B467" s="1" t="n">
        <v>45772.29622685185</v>
      </c>
      <c r="C467" s="1" t="n">
        <v>46031</v>
      </c>
      <c r="D467" t="inlineStr">
        <is>
          <t>STOCKHOLMS LÄN</t>
        </is>
      </c>
      <c r="E467" t="inlineStr">
        <is>
          <t>NORRTÄLJE</t>
        </is>
      </c>
      <c r="G467" t="n">
        <v>3.5</v>
      </c>
      <c r="H467" t="n">
        <v>0</v>
      </c>
      <c r="I467" t="n">
        <v>0</v>
      </c>
      <c r="J467" t="n">
        <v>0</v>
      </c>
      <c r="K467" t="n">
        <v>0</v>
      </c>
      <c r="L467" t="n">
        <v>0</v>
      </c>
      <c r="M467" t="n">
        <v>0</v>
      </c>
      <c r="N467" t="n">
        <v>0</v>
      </c>
      <c r="O467" t="n">
        <v>0</v>
      </c>
      <c r="P467" t="n">
        <v>0</v>
      </c>
      <c r="Q467" t="n">
        <v>0</v>
      </c>
      <c r="R467" s="2" t="inlineStr"/>
    </row>
    <row r="468" ht="15" customHeight="1">
      <c r="A468" t="inlineStr">
        <is>
          <t>A 25557-2023</t>
        </is>
      </c>
      <c r="B468" s="1" t="n">
        <v>45089</v>
      </c>
      <c r="C468" s="1" t="n">
        <v>46031</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9914-2023</t>
        </is>
      </c>
      <c r="B469" s="1" t="n">
        <v>44985</v>
      </c>
      <c r="C469" s="1" t="n">
        <v>46031</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60525-2022</t>
        </is>
      </c>
      <c r="B470" s="1" t="n">
        <v>44904</v>
      </c>
      <c r="C470" s="1" t="n">
        <v>46031</v>
      </c>
      <c r="D470" t="inlineStr">
        <is>
          <t>STOCKHOLMS LÄN</t>
        </is>
      </c>
      <c r="E470" t="inlineStr">
        <is>
          <t>NORRTÄLJE</t>
        </is>
      </c>
      <c r="G470" t="n">
        <v>13.4</v>
      </c>
      <c r="H470" t="n">
        <v>0</v>
      </c>
      <c r="I470" t="n">
        <v>0</v>
      </c>
      <c r="J470" t="n">
        <v>0</v>
      </c>
      <c r="K470" t="n">
        <v>0</v>
      </c>
      <c r="L470" t="n">
        <v>0</v>
      </c>
      <c r="M470" t="n">
        <v>0</v>
      </c>
      <c r="N470" t="n">
        <v>0</v>
      </c>
      <c r="O470" t="n">
        <v>0</v>
      </c>
      <c r="P470" t="n">
        <v>0</v>
      </c>
      <c r="Q470" t="n">
        <v>0</v>
      </c>
      <c r="R470" s="2" t="inlineStr"/>
    </row>
    <row r="471" ht="15" customHeight="1">
      <c r="A471" t="inlineStr">
        <is>
          <t>A 25733-2025</t>
        </is>
      </c>
      <c r="B471" s="1" t="n">
        <v>45800</v>
      </c>
      <c r="C471" s="1" t="n">
        <v>46031</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58302-2022</t>
        </is>
      </c>
      <c r="B472" s="1" t="n">
        <v>44901</v>
      </c>
      <c r="C472" s="1" t="n">
        <v>46031</v>
      </c>
      <c r="D472" t="inlineStr">
        <is>
          <t>STOCKHOLMS LÄN</t>
        </is>
      </c>
      <c r="E472" t="inlineStr">
        <is>
          <t>NORRTÄLJE</t>
        </is>
      </c>
      <c r="G472" t="n">
        <v>3.9</v>
      </c>
      <c r="H472" t="n">
        <v>0</v>
      </c>
      <c r="I472" t="n">
        <v>0</v>
      </c>
      <c r="J472" t="n">
        <v>0</v>
      </c>
      <c r="K472" t="n">
        <v>0</v>
      </c>
      <c r="L472" t="n">
        <v>0</v>
      </c>
      <c r="M472" t="n">
        <v>0</v>
      </c>
      <c r="N472" t="n">
        <v>0</v>
      </c>
      <c r="O472" t="n">
        <v>0</v>
      </c>
      <c r="P472" t="n">
        <v>0</v>
      </c>
      <c r="Q472" t="n">
        <v>0</v>
      </c>
      <c r="R472" s="2" t="inlineStr"/>
    </row>
    <row r="473" ht="15" customHeight="1">
      <c r="A473" t="inlineStr">
        <is>
          <t>A 25571-2025</t>
        </is>
      </c>
      <c r="B473" s="1" t="n">
        <v>45803.4675</v>
      </c>
      <c r="C473" s="1" t="n">
        <v>46031</v>
      </c>
      <c r="D473" t="inlineStr">
        <is>
          <t>STOCKHOLMS LÄN</t>
        </is>
      </c>
      <c r="E473" t="inlineStr">
        <is>
          <t>NORRTÄLJE</t>
        </is>
      </c>
      <c r="G473" t="n">
        <v>5.4</v>
      </c>
      <c r="H473" t="n">
        <v>0</v>
      </c>
      <c r="I473" t="n">
        <v>0</v>
      </c>
      <c r="J473" t="n">
        <v>0</v>
      </c>
      <c r="K473" t="n">
        <v>0</v>
      </c>
      <c r="L473" t="n">
        <v>0</v>
      </c>
      <c r="M473" t="n">
        <v>0</v>
      </c>
      <c r="N473" t="n">
        <v>0</v>
      </c>
      <c r="O473" t="n">
        <v>0</v>
      </c>
      <c r="P473" t="n">
        <v>0</v>
      </c>
      <c r="Q473" t="n">
        <v>0</v>
      </c>
      <c r="R473" s="2" t="inlineStr"/>
    </row>
    <row r="474" ht="15" customHeight="1">
      <c r="A474" t="inlineStr">
        <is>
          <t>A 23269-2023</t>
        </is>
      </c>
      <c r="B474" s="1" t="n">
        <v>45075.91148148148</v>
      </c>
      <c r="C474" s="1" t="n">
        <v>46031</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24835-2025</t>
        </is>
      </c>
      <c r="B475" s="1" t="n">
        <v>45799</v>
      </c>
      <c r="C475" s="1" t="n">
        <v>46031</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53561-2023</t>
        </is>
      </c>
      <c r="B476" s="1" t="n">
        <v>45224</v>
      </c>
      <c r="C476" s="1" t="n">
        <v>46031</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43169-2025</t>
        </is>
      </c>
      <c r="B477" s="1" t="n">
        <v>45910</v>
      </c>
      <c r="C477" s="1" t="n">
        <v>46031</v>
      </c>
      <c r="D477" t="inlineStr">
        <is>
          <t>STOCKHOLMS LÄN</t>
        </is>
      </c>
      <c r="E477" t="inlineStr">
        <is>
          <t>NORRTÄLJE</t>
        </is>
      </c>
      <c r="G477" t="n">
        <v>6.9</v>
      </c>
      <c r="H477" t="n">
        <v>0</v>
      </c>
      <c r="I477" t="n">
        <v>0</v>
      </c>
      <c r="J477" t="n">
        <v>0</v>
      </c>
      <c r="K477" t="n">
        <v>0</v>
      </c>
      <c r="L477" t="n">
        <v>0</v>
      </c>
      <c r="M477" t="n">
        <v>0</v>
      </c>
      <c r="N477" t="n">
        <v>0</v>
      </c>
      <c r="O477" t="n">
        <v>0</v>
      </c>
      <c r="P477" t="n">
        <v>0</v>
      </c>
      <c r="Q477" t="n">
        <v>0</v>
      </c>
      <c r="R477" s="2" t="inlineStr"/>
    </row>
    <row r="478" ht="15" customHeight="1">
      <c r="A478" t="inlineStr">
        <is>
          <t>A 43269-2025</t>
        </is>
      </c>
      <c r="B478" s="1" t="n">
        <v>45910.5819212963</v>
      </c>
      <c r="C478" s="1" t="n">
        <v>46031</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25712-2025</t>
        </is>
      </c>
      <c r="B479" s="1" t="n">
        <v>45803.69228009259</v>
      </c>
      <c r="C479" s="1" t="n">
        <v>46031</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41218-2024</t>
        </is>
      </c>
      <c r="B480" s="1" t="n">
        <v>45559.54706018518</v>
      </c>
      <c r="C480" s="1" t="n">
        <v>46031</v>
      </c>
      <c r="D480" t="inlineStr">
        <is>
          <t>STOCKHOLMS LÄN</t>
        </is>
      </c>
      <c r="E480" t="inlineStr">
        <is>
          <t>NORRTÄLJE</t>
        </is>
      </c>
      <c r="G480" t="n">
        <v>6</v>
      </c>
      <c r="H480" t="n">
        <v>0</v>
      </c>
      <c r="I480" t="n">
        <v>0</v>
      </c>
      <c r="J480" t="n">
        <v>0</v>
      </c>
      <c r="K480" t="n">
        <v>0</v>
      </c>
      <c r="L480" t="n">
        <v>0</v>
      </c>
      <c r="M480" t="n">
        <v>0</v>
      </c>
      <c r="N480" t="n">
        <v>0</v>
      </c>
      <c r="O480" t="n">
        <v>0</v>
      </c>
      <c r="P480" t="n">
        <v>0</v>
      </c>
      <c r="Q480" t="n">
        <v>0</v>
      </c>
      <c r="R480" s="2" t="inlineStr"/>
    </row>
    <row r="481" ht="15" customHeight="1">
      <c r="A481" t="inlineStr">
        <is>
          <t>A 23060-2023</t>
        </is>
      </c>
      <c r="B481" s="1" t="n">
        <v>45075</v>
      </c>
      <c r="C481" s="1" t="n">
        <v>46031</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26051-2025</t>
        </is>
      </c>
      <c r="B482" s="1" t="n">
        <v>45804.74479166666</v>
      </c>
      <c r="C482" s="1" t="n">
        <v>46031</v>
      </c>
      <c r="D482" t="inlineStr">
        <is>
          <t>STOCKHOLMS LÄN</t>
        </is>
      </c>
      <c r="E482" t="inlineStr">
        <is>
          <t>NORRTÄLJE</t>
        </is>
      </c>
      <c r="G482" t="n">
        <v>3.2</v>
      </c>
      <c r="H482" t="n">
        <v>0</v>
      </c>
      <c r="I482" t="n">
        <v>0</v>
      </c>
      <c r="J482" t="n">
        <v>0</v>
      </c>
      <c r="K482" t="n">
        <v>0</v>
      </c>
      <c r="L482" t="n">
        <v>0</v>
      </c>
      <c r="M482" t="n">
        <v>0</v>
      </c>
      <c r="N482" t="n">
        <v>0</v>
      </c>
      <c r="O482" t="n">
        <v>0</v>
      </c>
      <c r="P482" t="n">
        <v>0</v>
      </c>
      <c r="Q482" t="n">
        <v>0</v>
      </c>
      <c r="R482" s="2" t="inlineStr"/>
    </row>
    <row r="483" ht="15" customHeight="1">
      <c r="A483" t="inlineStr">
        <is>
          <t>A 39238-2024</t>
        </is>
      </c>
      <c r="B483" s="1" t="n">
        <v>45549</v>
      </c>
      <c r="C483" s="1" t="n">
        <v>46031</v>
      </c>
      <c r="D483" t="inlineStr">
        <is>
          <t>STOCKHOLMS LÄN</t>
        </is>
      </c>
      <c r="E483" t="inlineStr">
        <is>
          <t>NORRTÄLJE</t>
        </is>
      </c>
      <c r="G483" t="n">
        <v>3.6</v>
      </c>
      <c r="H483" t="n">
        <v>0</v>
      </c>
      <c r="I483" t="n">
        <v>0</v>
      </c>
      <c r="J483" t="n">
        <v>0</v>
      </c>
      <c r="K483" t="n">
        <v>0</v>
      </c>
      <c r="L483" t="n">
        <v>0</v>
      </c>
      <c r="M483" t="n">
        <v>0</v>
      </c>
      <c r="N483" t="n">
        <v>0</v>
      </c>
      <c r="O483" t="n">
        <v>0</v>
      </c>
      <c r="P483" t="n">
        <v>0</v>
      </c>
      <c r="Q483" t="n">
        <v>0</v>
      </c>
      <c r="R483" s="2" t="inlineStr"/>
    </row>
    <row r="484" ht="15" customHeight="1">
      <c r="A484" t="inlineStr">
        <is>
          <t>A 38449-2022</t>
        </is>
      </c>
      <c r="B484" s="1" t="n">
        <v>44813</v>
      </c>
      <c r="C484" s="1" t="n">
        <v>46031</v>
      </c>
      <c r="D484" t="inlineStr">
        <is>
          <t>STOCKHOLMS LÄN</t>
        </is>
      </c>
      <c r="E484" t="inlineStr">
        <is>
          <t>NORRTÄLJE</t>
        </is>
      </c>
      <c r="G484" t="n">
        <v>4.2</v>
      </c>
      <c r="H484" t="n">
        <v>0</v>
      </c>
      <c r="I484" t="n">
        <v>0</v>
      </c>
      <c r="J484" t="n">
        <v>0</v>
      </c>
      <c r="K484" t="n">
        <v>0</v>
      </c>
      <c r="L484" t="n">
        <v>0</v>
      </c>
      <c r="M484" t="n">
        <v>0</v>
      </c>
      <c r="N484" t="n">
        <v>0</v>
      </c>
      <c r="O484" t="n">
        <v>0</v>
      </c>
      <c r="P484" t="n">
        <v>0</v>
      </c>
      <c r="Q484" t="n">
        <v>0</v>
      </c>
      <c r="R484" s="2" t="inlineStr"/>
    </row>
    <row r="485" ht="15" customHeight="1">
      <c r="A485" t="inlineStr">
        <is>
          <t>A 25697-2025</t>
        </is>
      </c>
      <c r="B485" s="1" t="n">
        <v>45803.66587962963</v>
      </c>
      <c r="C485" s="1" t="n">
        <v>46031</v>
      </c>
      <c r="D485" t="inlineStr">
        <is>
          <t>STOCKHOLMS LÄN</t>
        </is>
      </c>
      <c r="E485" t="inlineStr">
        <is>
          <t>NORRTÄLJE</t>
        </is>
      </c>
      <c r="G485" t="n">
        <v>2.5</v>
      </c>
      <c r="H485" t="n">
        <v>0</v>
      </c>
      <c r="I485" t="n">
        <v>0</v>
      </c>
      <c r="J485" t="n">
        <v>0</v>
      </c>
      <c r="K485" t="n">
        <v>0</v>
      </c>
      <c r="L485" t="n">
        <v>0</v>
      </c>
      <c r="M485" t="n">
        <v>0</v>
      </c>
      <c r="N485" t="n">
        <v>0</v>
      </c>
      <c r="O485" t="n">
        <v>0</v>
      </c>
      <c r="P485" t="n">
        <v>0</v>
      </c>
      <c r="Q485" t="n">
        <v>0</v>
      </c>
      <c r="R485" s="2" t="inlineStr"/>
    </row>
    <row r="486" ht="15" customHeight="1">
      <c r="A486" t="inlineStr">
        <is>
          <t>A 47259-2024</t>
        </is>
      </c>
      <c r="B486" s="1" t="n">
        <v>45586</v>
      </c>
      <c r="C486" s="1" t="n">
        <v>46031</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30719-2025</t>
        </is>
      </c>
      <c r="B487" s="1" t="n">
        <v>45831</v>
      </c>
      <c r="C487" s="1" t="n">
        <v>46031</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52743-2024</t>
        </is>
      </c>
      <c r="B488" s="1" t="n">
        <v>45610.47414351852</v>
      </c>
      <c r="C488" s="1" t="n">
        <v>46031</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34478-2025</t>
        </is>
      </c>
      <c r="B489" s="1" t="n">
        <v>45847.37414351852</v>
      </c>
      <c r="C489" s="1" t="n">
        <v>46031</v>
      </c>
      <c r="D489" t="inlineStr">
        <is>
          <t>STOCKHOLMS LÄN</t>
        </is>
      </c>
      <c r="E489" t="inlineStr">
        <is>
          <t>NORRTÄLJE</t>
        </is>
      </c>
      <c r="F489" t="inlineStr">
        <is>
          <t>Övriga Aktiebolag</t>
        </is>
      </c>
      <c r="G489" t="n">
        <v>10.8</v>
      </c>
      <c r="H489" t="n">
        <v>0</v>
      </c>
      <c r="I489" t="n">
        <v>0</v>
      </c>
      <c r="J489" t="n">
        <v>0</v>
      </c>
      <c r="K489" t="n">
        <v>0</v>
      </c>
      <c r="L489" t="n">
        <v>0</v>
      </c>
      <c r="M489" t="n">
        <v>0</v>
      </c>
      <c r="N489" t="n">
        <v>0</v>
      </c>
      <c r="O489" t="n">
        <v>0</v>
      </c>
      <c r="P489" t="n">
        <v>0</v>
      </c>
      <c r="Q489" t="n">
        <v>0</v>
      </c>
      <c r="R489" s="2" t="inlineStr"/>
    </row>
    <row r="490" ht="15" customHeight="1">
      <c r="A490" t="inlineStr">
        <is>
          <t>A 44343-2025</t>
        </is>
      </c>
      <c r="B490" s="1" t="n">
        <v>45916.43378472222</v>
      </c>
      <c r="C490" s="1" t="n">
        <v>46031</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26675-2025</t>
        </is>
      </c>
      <c r="B491" s="1" t="n">
        <v>45810.42393518519</v>
      </c>
      <c r="C491" s="1" t="n">
        <v>46031</v>
      </c>
      <c r="D491" t="inlineStr">
        <is>
          <t>STOCKHOLMS LÄN</t>
        </is>
      </c>
      <c r="E491" t="inlineStr">
        <is>
          <t>NORRTÄLJE</t>
        </is>
      </c>
      <c r="G491" t="n">
        <v>2.7</v>
      </c>
      <c r="H491" t="n">
        <v>0</v>
      </c>
      <c r="I491" t="n">
        <v>0</v>
      </c>
      <c r="J491" t="n">
        <v>0</v>
      </c>
      <c r="K491" t="n">
        <v>0</v>
      </c>
      <c r="L491" t="n">
        <v>0</v>
      </c>
      <c r="M491" t="n">
        <v>0</v>
      </c>
      <c r="N491" t="n">
        <v>0</v>
      </c>
      <c r="O491" t="n">
        <v>0</v>
      </c>
      <c r="P491" t="n">
        <v>0</v>
      </c>
      <c r="Q491" t="n">
        <v>0</v>
      </c>
      <c r="R491" s="2" t="inlineStr"/>
    </row>
    <row r="492" ht="15" customHeight="1">
      <c r="A492" t="inlineStr">
        <is>
          <t>A 11499-2023</t>
        </is>
      </c>
      <c r="B492" s="1" t="n">
        <v>44993.66707175926</v>
      </c>
      <c r="C492" s="1" t="n">
        <v>46031</v>
      </c>
      <c r="D492" t="inlineStr">
        <is>
          <t>STOCKHOLMS LÄN</t>
        </is>
      </c>
      <c r="E492" t="inlineStr">
        <is>
          <t>NORRTÄLJE</t>
        </is>
      </c>
      <c r="F492" t="inlineStr">
        <is>
          <t>Holmen skog AB</t>
        </is>
      </c>
      <c r="G492" t="n">
        <v>2.8</v>
      </c>
      <c r="H492" t="n">
        <v>0</v>
      </c>
      <c r="I492" t="n">
        <v>0</v>
      </c>
      <c r="J492" t="n">
        <v>0</v>
      </c>
      <c r="K492" t="n">
        <v>0</v>
      </c>
      <c r="L492" t="n">
        <v>0</v>
      </c>
      <c r="M492" t="n">
        <v>0</v>
      </c>
      <c r="N492" t="n">
        <v>0</v>
      </c>
      <c r="O492" t="n">
        <v>0</v>
      </c>
      <c r="P492" t="n">
        <v>0</v>
      </c>
      <c r="Q492" t="n">
        <v>0</v>
      </c>
      <c r="R492" s="2" t="inlineStr"/>
    </row>
    <row r="493" ht="15" customHeight="1">
      <c r="A493" t="inlineStr">
        <is>
          <t>A 43916-2025</t>
        </is>
      </c>
      <c r="B493" s="1" t="n">
        <v>45914.78884259259</v>
      </c>
      <c r="C493" s="1" t="n">
        <v>46031</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64600-2021</t>
        </is>
      </c>
      <c r="B494" s="1" t="n">
        <v>44511.70518518519</v>
      </c>
      <c r="C494" s="1" t="n">
        <v>46031</v>
      </c>
      <c r="D494" t="inlineStr">
        <is>
          <t>STOCKHOLMS LÄN</t>
        </is>
      </c>
      <c r="E494" t="inlineStr">
        <is>
          <t>NORRTÄLJE</t>
        </is>
      </c>
      <c r="G494" t="n">
        <v>6.2</v>
      </c>
      <c r="H494" t="n">
        <v>0</v>
      </c>
      <c r="I494" t="n">
        <v>0</v>
      </c>
      <c r="J494" t="n">
        <v>0</v>
      </c>
      <c r="K494" t="n">
        <v>0</v>
      </c>
      <c r="L494" t="n">
        <v>0</v>
      </c>
      <c r="M494" t="n">
        <v>0</v>
      </c>
      <c r="N494" t="n">
        <v>0</v>
      </c>
      <c r="O494" t="n">
        <v>0</v>
      </c>
      <c r="P494" t="n">
        <v>0</v>
      </c>
      <c r="Q494" t="n">
        <v>0</v>
      </c>
      <c r="R494" s="2" t="inlineStr"/>
    </row>
    <row r="495" ht="15" customHeight="1">
      <c r="A495" t="inlineStr">
        <is>
          <t>A 35640-2024</t>
        </is>
      </c>
      <c r="B495" s="1" t="n">
        <v>45531</v>
      </c>
      <c r="C495" s="1" t="n">
        <v>46031</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44311-2025</t>
        </is>
      </c>
      <c r="B496" s="1" t="n">
        <v>45916.38394675926</v>
      </c>
      <c r="C496" s="1" t="n">
        <v>46031</v>
      </c>
      <c r="D496" t="inlineStr">
        <is>
          <t>STOCKHOLMS LÄN</t>
        </is>
      </c>
      <c r="E496" t="inlineStr">
        <is>
          <t>NORRTÄLJE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44349-2025</t>
        </is>
      </c>
      <c r="B497" s="1" t="n">
        <v>45916.43929398148</v>
      </c>
      <c r="C497" s="1" t="n">
        <v>46031</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8586-2023</t>
        </is>
      </c>
      <c r="B498" s="1" t="n">
        <v>44977</v>
      </c>
      <c r="C498" s="1" t="n">
        <v>46031</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23061-2025</t>
        </is>
      </c>
      <c r="B499" s="1" t="n">
        <v>45790.81410879629</v>
      </c>
      <c r="C499" s="1" t="n">
        <v>46031</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67990-2021</t>
        </is>
      </c>
      <c r="B500" s="1" t="n">
        <v>44525</v>
      </c>
      <c r="C500" s="1" t="n">
        <v>46031</v>
      </c>
      <c r="D500" t="inlineStr">
        <is>
          <t>STOCKHOLMS LÄN</t>
        </is>
      </c>
      <c r="E500" t="inlineStr">
        <is>
          <t>NORRTÄLJE</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26747-2025</t>
        </is>
      </c>
      <c r="B501" s="1" t="n">
        <v>45810.5333912037</v>
      </c>
      <c r="C501" s="1" t="n">
        <v>46031</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44354-2025</t>
        </is>
      </c>
      <c r="B502" s="1" t="n">
        <v>45916.44655092592</v>
      </c>
      <c r="C502" s="1" t="n">
        <v>46031</v>
      </c>
      <c r="D502" t="inlineStr">
        <is>
          <t>STOCKHOLMS LÄN</t>
        </is>
      </c>
      <c r="E502" t="inlineStr">
        <is>
          <t>NORRTÄLJE</t>
        </is>
      </c>
      <c r="G502" t="n">
        <v>2.3</v>
      </c>
      <c r="H502" t="n">
        <v>0</v>
      </c>
      <c r="I502" t="n">
        <v>0</v>
      </c>
      <c r="J502" t="n">
        <v>0</v>
      </c>
      <c r="K502" t="n">
        <v>0</v>
      </c>
      <c r="L502" t="n">
        <v>0</v>
      </c>
      <c r="M502" t="n">
        <v>0</v>
      </c>
      <c r="N502" t="n">
        <v>0</v>
      </c>
      <c r="O502" t="n">
        <v>0</v>
      </c>
      <c r="P502" t="n">
        <v>0</v>
      </c>
      <c r="Q502" t="n">
        <v>0</v>
      </c>
      <c r="R502" s="2" t="inlineStr"/>
    </row>
    <row r="503" ht="15" customHeight="1">
      <c r="A503" t="inlineStr">
        <is>
          <t>A 26702-2025</t>
        </is>
      </c>
      <c r="B503" s="1" t="n">
        <v>45810.45236111111</v>
      </c>
      <c r="C503" s="1" t="n">
        <v>46031</v>
      </c>
      <c r="D503" t="inlineStr">
        <is>
          <t>STOCKHOLMS LÄN</t>
        </is>
      </c>
      <c r="E503" t="inlineStr">
        <is>
          <t>NORRTÄLJE</t>
        </is>
      </c>
      <c r="G503" t="n">
        <v>7.3</v>
      </c>
      <c r="H503" t="n">
        <v>0</v>
      </c>
      <c r="I503" t="n">
        <v>0</v>
      </c>
      <c r="J503" t="n">
        <v>0</v>
      </c>
      <c r="K503" t="n">
        <v>0</v>
      </c>
      <c r="L503" t="n">
        <v>0</v>
      </c>
      <c r="M503" t="n">
        <v>0</v>
      </c>
      <c r="N503" t="n">
        <v>0</v>
      </c>
      <c r="O503" t="n">
        <v>0</v>
      </c>
      <c r="P503" t="n">
        <v>0</v>
      </c>
      <c r="Q503" t="n">
        <v>0</v>
      </c>
      <c r="R503" s="2" t="inlineStr"/>
    </row>
    <row r="504" ht="15" customHeight="1">
      <c r="A504" t="inlineStr">
        <is>
          <t>A 26708-2025</t>
        </is>
      </c>
      <c r="B504" s="1" t="n">
        <v>45810.45633101852</v>
      </c>
      <c r="C504" s="1" t="n">
        <v>46031</v>
      </c>
      <c r="D504" t="inlineStr">
        <is>
          <t>STOCKHOLMS LÄN</t>
        </is>
      </c>
      <c r="E504" t="inlineStr">
        <is>
          <t>NORRTÄLJE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44333-2025</t>
        </is>
      </c>
      <c r="B505" s="1" t="n">
        <v>45916.42293981482</v>
      </c>
      <c r="C505" s="1" t="n">
        <v>46031</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27040-2025</t>
        </is>
      </c>
      <c r="B506" s="1" t="n">
        <v>45811.60451388889</v>
      </c>
      <c r="C506" s="1" t="n">
        <v>46031</v>
      </c>
      <c r="D506" t="inlineStr">
        <is>
          <t>STOCKHOLMS LÄN</t>
        </is>
      </c>
      <c r="E506" t="inlineStr">
        <is>
          <t>NORRTÄLJE</t>
        </is>
      </c>
      <c r="G506" t="n">
        <v>4.3</v>
      </c>
      <c r="H506" t="n">
        <v>0</v>
      </c>
      <c r="I506" t="n">
        <v>0</v>
      </c>
      <c r="J506" t="n">
        <v>0</v>
      </c>
      <c r="K506" t="n">
        <v>0</v>
      </c>
      <c r="L506" t="n">
        <v>0</v>
      </c>
      <c r="M506" t="n">
        <v>0</v>
      </c>
      <c r="N506" t="n">
        <v>0</v>
      </c>
      <c r="O506" t="n">
        <v>0</v>
      </c>
      <c r="P506" t="n">
        <v>0</v>
      </c>
      <c r="Q506" t="n">
        <v>0</v>
      </c>
      <c r="R506" s="2" t="inlineStr"/>
    </row>
    <row r="507" ht="15" customHeight="1">
      <c r="A507" t="inlineStr">
        <is>
          <t>A 44306-2025</t>
        </is>
      </c>
      <c r="B507" s="1" t="n">
        <v>45916.37736111111</v>
      </c>
      <c r="C507" s="1" t="n">
        <v>46031</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21696-2024</t>
        </is>
      </c>
      <c r="B508" s="1" t="n">
        <v>45442.45686342593</v>
      </c>
      <c r="C508" s="1" t="n">
        <v>46031</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37136-2023</t>
        </is>
      </c>
      <c r="B509" s="1" t="n">
        <v>45155</v>
      </c>
      <c r="C509" s="1" t="n">
        <v>46031</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1740-2023</t>
        </is>
      </c>
      <c r="B510" s="1" t="n">
        <v>44938</v>
      </c>
      <c r="C510" s="1" t="n">
        <v>46031</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44937-2025</t>
        </is>
      </c>
      <c r="B511" s="1" t="n">
        <v>45918</v>
      </c>
      <c r="C511" s="1" t="n">
        <v>46031</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22359-2025</t>
        </is>
      </c>
      <c r="B512" s="1" t="n">
        <v>45786</v>
      </c>
      <c r="C512" s="1" t="n">
        <v>46031</v>
      </c>
      <c r="D512" t="inlineStr">
        <is>
          <t>STOCKHOLMS LÄN</t>
        </is>
      </c>
      <c r="E512" t="inlineStr">
        <is>
          <t>NORRTÄLJE</t>
        </is>
      </c>
      <c r="G512" t="n">
        <v>5</v>
      </c>
      <c r="H512" t="n">
        <v>0</v>
      </c>
      <c r="I512" t="n">
        <v>0</v>
      </c>
      <c r="J512" t="n">
        <v>0</v>
      </c>
      <c r="K512" t="n">
        <v>0</v>
      </c>
      <c r="L512" t="n">
        <v>0</v>
      </c>
      <c r="M512" t="n">
        <v>0</v>
      </c>
      <c r="N512" t="n">
        <v>0</v>
      </c>
      <c r="O512" t="n">
        <v>0</v>
      </c>
      <c r="P512" t="n">
        <v>0</v>
      </c>
      <c r="Q512" t="n">
        <v>0</v>
      </c>
      <c r="R512" s="2" t="inlineStr"/>
    </row>
    <row r="513" ht="15" customHeight="1">
      <c r="A513" t="inlineStr">
        <is>
          <t>A 5423-2023</t>
        </is>
      </c>
      <c r="B513" s="1" t="n">
        <v>44959.74533564815</v>
      </c>
      <c r="C513" s="1" t="n">
        <v>46031</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58492-2022</t>
        </is>
      </c>
      <c r="B514" s="1" t="n">
        <v>44902</v>
      </c>
      <c r="C514" s="1" t="n">
        <v>46031</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27697-2025</t>
        </is>
      </c>
      <c r="B515" s="1" t="n">
        <v>45813.66961805556</v>
      </c>
      <c r="C515" s="1" t="n">
        <v>46031</v>
      </c>
      <c r="D515" t="inlineStr">
        <is>
          <t>STOCKHOLMS LÄN</t>
        </is>
      </c>
      <c r="E515" t="inlineStr">
        <is>
          <t>NORRTÄLJE</t>
        </is>
      </c>
      <c r="G515" t="n">
        <v>6.2</v>
      </c>
      <c r="H515" t="n">
        <v>0</v>
      </c>
      <c r="I515" t="n">
        <v>0</v>
      </c>
      <c r="J515" t="n">
        <v>0</v>
      </c>
      <c r="K515" t="n">
        <v>0</v>
      </c>
      <c r="L515" t="n">
        <v>0</v>
      </c>
      <c r="M515" t="n">
        <v>0</v>
      </c>
      <c r="N515" t="n">
        <v>0</v>
      </c>
      <c r="O515" t="n">
        <v>0</v>
      </c>
      <c r="P515" t="n">
        <v>0</v>
      </c>
      <c r="Q515" t="n">
        <v>0</v>
      </c>
      <c r="R515" s="2" t="inlineStr"/>
    </row>
    <row r="516" ht="15" customHeight="1">
      <c r="A516" t="inlineStr">
        <is>
          <t>A 27700-2025</t>
        </is>
      </c>
      <c r="B516" s="1" t="n">
        <v>45813.6799537037</v>
      </c>
      <c r="C516" s="1" t="n">
        <v>46031</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27554-2025</t>
        </is>
      </c>
      <c r="B517" s="1" t="n">
        <v>45813.4709375</v>
      </c>
      <c r="C517" s="1" t="n">
        <v>46031</v>
      </c>
      <c r="D517" t="inlineStr">
        <is>
          <t>STOCKHOLMS LÄN</t>
        </is>
      </c>
      <c r="E517" t="inlineStr">
        <is>
          <t>NORRTÄLJE</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4581-2025</t>
        </is>
      </c>
      <c r="B518" s="1" t="n">
        <v>45687</v>
      </c>
      <c r="C518" s="1" t="n">
        <v>46031</v>
      </c>
      <c r="D518" t="inlineStr">
        <is>
          <t>STOCKHOLMS LÄN</t>
        </is>
      </c>
      <c r="E518" t="inlineStr">
        <is>
          <t>NORRTÄLJE</t>
        </is>
      </c>
      <c r="F518" t="inlineStr">
        <is>
          <t>Holmen skog AB</t>
        </is>
      </c>
      <c r="G518" t="n">
        <v>2.8</v>
      </c>
      <c r="H518" t="n">
        <v>0</v>
      </c>
      <c r="I518" t="n">
        <v>0</v>
      </c>
      <c r="J518" t="n">
        <v>0</v>
      </c>
      <c r="K518" t="n">
        <v>0</v>
      </c>
      <c r="L518" t="n">
        <v>0</v>
      </c>
      <c r="M518" t="n">
        <v>0</v>
      </c>
      <c r="N518" t="n">
        <v>0</v>
      </c>
      <c r="O518" t="n">
        <v>0</v>
      </c>
      <c r="P518" t="n">
        <v>0</v>
      </c>
      <c r="Q518" t="n">
        <v>0</v>
      </c>
      <c r="R518" s="2" t="inlineStr"/>
    </row>
    <row r="519" ht="15" customHeight="1">
      <c r="A519" t="inlineStr">
        <is>
          <t>A 11901-2024</t>
        </is>
      </c>
      <c r="B519" s="1" t="n">
        <v>45376.55638888889</v>
      </c>
      <c r="C519" s="1" t="n">
        <v>46031</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36157-2024</t>
        </is>
      </c>
      <c r="B520" s="1" t="n">
        <v>45534.38240740741</v>
      </c>
      <c r="C520" s="1" t="n">
        <v>46031</v>
      </c>
      <c r="D520" t="inlineStr">
        <is>
          <t>STOCKHOLMS LÄN</t>
        </is>
      </c>
      <c r="E520" t="inlineStr">
        <is>
          <t>NORRTÄLJE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62398-2022</t>
        </is>
      </c>
      <c r="B521" s="1" t="n">
        <v>44923.90159722222</v>
      </c>
      <c r="C521" s="1" t="n">
        <v>46031</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45697-2025</t>
        </is>
      </c>
      <c r="B522" s="1" t="n">
        <v>45923.39877314815</v>
      </c>
      <c r="C522" s="1" t="n">
        <v>46031</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17039-2024</t>
        </is>
      </c>
      <c r="B523" s="1" t="n">
        <v>45412.4104050926</v>
      </c>
      <c r="C523" s="1" t="n">
        <v>46031</v>
      </c>
      <c r="D523" t="inlineStr">
        <is>
          <t>STOCKHOLMS LÄN</t>
        </is>
      </c>
      <c r="E523" t="inlineStr">
        <is>
          <t>NORRTÄLJE</t>
        </is>
      </c>
      <c r="G523" t="n">
        <v>5.9</v>
      </c>
      <c r="H523" t="n">
        <v>0</v>
      </c>
      <c r="I523" t="n">
        <v>0</v>
      </c>
      <c r="J523" t="n">
        <v>0</v>
      </c>
      <c r="K523" t="n">
        <v>0</v>
      </c>
      <c r="L523" t="n">
        <v>0</v>
      </c>
      <c r="M523" t="n">
        <v>0</v>
      </c>
      <c r="N523" t="n">
        <v>0</v>
      </c>
      <c r="O523" t="n">
        <v>0</v>
      </c>
      <c r="P523" t="n">
        <v>0</v>
      </c>
      <c r="Q523" t="n">
        <v>0</v>
      </c>
      <c r="R523" s="2" t="inlineStr"/>
    </row>
    <row r="524" ht="15" customHeight="1">
      <c r="A524" t="inlineStr">
        <is>
          <t>A 3509-2022</t>
        </is>
      </c>
      <c r="B524" s="1" t="n">
        <v>44585</v>
      </c>
      <c r="C524" s="1" t="n">
        <v>46031</v>
      </c>
      <c r="D524" t="inlineStr">
        <is>
          <t>STOCKHOLMS LÄN</t>
        </is>
      </c>
      <c r="E524" t="inlineStr">
        <is>
          <t>NORRTÄLJE</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35256-2025</t>
        </is>
      </c>
      <c r="B525" s="1" t="n">
        <v>45853</v>
      </c>
      <c r="C525" s="1" t="n">
        <v>46031</v>
      </c>
      <c r="D525" t="inlineStr">
        <is>
          <t>STOCKHOLMS LÄN</t>
        </is>
      </c>
      <c r="E525" t="inlineStr">
        <is>
          <t>NORRTÄLJE</t>
        </is>
      </c>
      <c r="G525" t="n">
        <v>6.4</v>
      </c>
      <c r="H525" t="n">
        <v>0</v>
      </c>
      <c r="I525" t="n">
        <v>0</v>
      </c>
      <c r="J525" t="n">
        <v>0</v>
      </c>
      <c r="K525" t="n">
        <v>0</v>
      </c>
      <c r="L525" t="n">
        <v>0</v>
      </c>
      <c r="M525" t="n">
        <v>0</v>
      </c>
      <c r="N525" t="n">
        <v>0</v>
      </c>
      <c r="O525" t="n">
        <v>0</v>
      </c>
      <c r="P525" t="n">
        <v>0</v>
      </c>
      <c r="Q525" t="n">
        <v>0</v>
      </c>
      <c r="R525" s="2" t="inlineStr"/>
    </row>
    <row r="526" ht="15" customHeight="1">
      <c r="A526" t="inlineStr">
        <is>
          <t>A 7697-2025</t>
        </is>
      </c>
      <c r="B526" s="1" t="n">
        <v>45706.40086805556</v>
      </c>
      <c r="C526" s="1" t="n">
        <v>46031</v>
      </c>
      <c r="D526" t="inlineStr">
        <is>
          <t>STOCKHOLMS LÄN</t>
        </is>
      </c>
      <c r="E526" t="inlineStr">
        <is>
          <t>NORRTÄLJE</t>
        </is>
      </c>
      <c r="F526" t="inlineStr">
        <is>
          <t>Holmen skog AB</t>
        </is>
      </c>
      <c r="G526" t="n">
        <v>1.8</v>
      </c>
      <c r="H526" t="n">
        <v>0</v>
      </c>
      <c r="I526" t="n">
        <v>0</v>
      </c>
      <c r="J526" t="n">
        <v>0</v>
      </c>
      <c r="K526" t="n">
        <v>0</v>
      </c>
      <c r="L526" t="n">
        <v>0</v>
      </c>
      <c r="M526" t="n">
        <v>0</v>
      </c>
      <c r="N526" t="n">
        <v>0</v>
      </c>
      <c r="O526" t="n">
        <v>0</v>
      </c>
      <c r="P526" t="n">
        <v>0</v>
      </c>
      <c r="Q526" t="n">
        <v>0</v>
      </c>
      <c r="R526" s="2" t="inlineStr"/>
    </row>
    <row r="527" ht="15" customHeight="1">
      <c r="A527" t="inlineStr">
        <is>
          <t>A 39669-2024</t>
        </is>
      </c>
      <c r="B527" s="1" t="n">
        <v>45552.52827546297</v>
      </c>
      <c r="C527" s="1" t="n">
        <v>46031</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2982-2023</t>
        </is>
      </c>
      <c r="B528" s="1" t="n">
        <v>44945.67409722223</v>
      </c>
      <c r="C528" s="1" t="n">
        <v>46031</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1448-2023</t>
        </is>
      </c>
      <c r="B529" s="1" t="n">
        <v>44937</v>
      </c>
      <c r="C529" s="1" t="n">
        <v>46031</v>
      </c>
      <c r="D529" t="inlineStr">
        <is>
          <t>STOCKHOLMS LÄN</t>
        </is>
      </c>
      <c r="E529" t="inlineStr">
        <is>
          <t>NORRTÄLJE</t>
        </is>
      </c>
      <c r="G529" t="n">
        <v>1.9</v>
      </c>
      <c r="H529" t="n">
        <v>0</v>
      </c>
      <c r="I529" t="n">
        <v>0</v>
      </c>
      <c r="J529" t="n">
        <v>0</v>
      </c>
      <c r="K529" t="n">
        <v>0</v>
      </c>
      <c r="L529" t="n">
        <v>0</v>
      </c>
      <c r="M529" t="n">
        <v>0</v>
      </c>
      <c r="N529" t="n">
        <v>0</v>
      </c>
      <c r="O529" t="n">
        <v>0</v>
      </c>
      <c r="P529" t="n">
        <v>0</v>
      </c>
      <c r="Q529" t="n">
        <v>0</v>
      </c>
      <c r="R529" s="2" t="inlineStr"/>
    </row>
    <row r="530" ht="15" customHeight="1">
      <c r="A530" t="inlineStr">
        <is>
          <t>A 46415-2025</t>
        </is>
      </c>
      <c r="B530" s="1" t="n">
        <v>45925.58636574074</v>
      </c>
      <c r="C530" s="1" t="n">
        <v>46031</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35127-2023</t>
        </is>
      </c>
      <c r="B531" s="1" t="n">
        <v>45145.51</v>
      </c>
      <c r="C531" s="1" t="n">
        <v>46031</v>
      </c>
      <c r="D531" t="inlineStr">
        <is>
          <t>STOCKHOLMS LÄN</t>
        </is>
      </c>
      <c r="E531" t="inlineStr">
        <is>
          <t>NORRTÄLJE</t>
        </is>
      </c>
      <c r="G531" t="n">
        <v>4.7</v>
      </c>
      <c r="H531" t="n">
        <v>0</v>
      </c>
      <c r="I531" t="n">
        <v>0</v>
      </c>
      <c r="J531" t="n">
        <v>0</v>
      </c>
      <c r="K531" t="n">
        <v>0</v>
      </c>
      <c r="L531" t="n">
        <v>0</v>
      </c>
      <c r="M531" t="n">
        <v>0</v>
      </c>
      <c r="N531" t="n">
        <v>0</v>
      </c>
      <c r="O531" t="n">
        <v>0</v>
      </c>
      <c r="P531" t="n">
        <v>0</v>
      </c>
      <c r="Q531" t="n">
        <v>0</v>
      </c>
      <c r="R531" s="2" t="inlineStr"/>
    </row>
    <row r="532" ht="15" customHeight="1">
      <c r="A532" t="inlineStr">
        <is>
          <t>A 27802-2025</t>
        </is>
      </c>
      <c r="B532" s="1" t="n">
        <v>45817.2565625</v>
      </c>
      <c r="C532" s="1" t="n">
        <v>46031</v>
      </c>
      <c r="D532" t="inlineStr">
        <is>
          <t>STOCKHOLMS LÄN</t>
        </is>
      </c>
      <c r="E532" t="inlineStr">
        <is>
          <t>NORRTÄLJE</t>
        </is>
      </c>
      <c r="G532" t="n">
        <v>3</v>
      </c>
      <c r="H532" t="n">
        <v>0</v>
      </c>
      <c r="I532" t="n">
        <v>0</v>
      </c>
      <c r="J532" t="n">
        <v>0</v>
      </c>
      <c r="K532" t="n">
        <v>0</v>
      </c>
      <c r="L532" t="n">
        <v>0</v>
      </c>
      <c r="M532" t="n">
        <v>0</v>
      </c>
      <c r="N532" t="n">
        <v>0</v>
      </c>
      <c r="O532" t="n">
        <v>0</v>
      </c>
      <c r="P532" t="n">
        <v>0</v>
      </c>
      <c r="Q532" t="n">
        <v>0</v>
      </c>
      <c r="R532" s="2" t="inlineStr"/>
    </row>
    <row r="533" ht="15" customHeight="1">
      <c r="A533" t="inlineStr">
        <is>
          <t>A 27806-2025</t>
        </is>
      </c>
      <c r="B533" s="1" t="n">
        <v>45817.30329861111</v>
      </c>
      <c r="C533" s="1" t="n">
        <v>46031</v>
      </c>
      <c r="D533" t="inlineStr">
        <is>
          <t>STOCKHOLMS LÄN</t>
        </is>
      </c>
      <c r="E533" t="inlineStr">
        <is>
          <t>NORRTÄLJE</t>
        </is>
      </c>
      <c r="G533" t="n">
        <v>3</v>
      </c>
      <c r="H533" t="n">
        <v>0</v>
      </c>
      <c r="I533" t="n">
        <v>0</v>
      </c>
      <c r="J533" t="n">
        <v>0</v>
      </c>
      <c r="K533" t="n">
        <v>0</v>
      </c>
      <c r="L533" t="n">
        <v>0</v>
      </c>
      <c r="M533" t="n">
        <v>0</v>
      </c>
      <c r="N533" t="n">
        <v>0</v>
      </c>
      <c r="O533" t="n">
        <v>0</v>
      </c>
      <c r="P533" t="n">
        <v>0</v>
      </c>
      <c r="Q533" t="n">
        <v>0</v>
      </c>
      <c r="R533" s="2" t="inlineStr"/>
    </row>
    <row r="534" ht="15" customHeight="1">
      <c r="A534" t="inlineStr">
        <is>
          <t>A 27808-2025</t>
        </is>
      </c>
      <c r="B534" s="1" t="n">
        <v>45817.31085648148</v>
      </c>
      <c r="C534" s="1" t="n">
        <v>46031</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50136-2023</t>
        </is>
      </c>
      <c r="B535" s="1" t="n">
        <v>45215</v>
      </c>
      <c r="C535" s="1" t="n">
        <v>46031</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27810-2025</t>
        </is>
      </c>
      <c r="B536" s="1" t="n">
        <v>45817.31708333334</v>
      </c>
      <c r="C536" s="1" t="n">
        <v>46031</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27811-2025</t>
        </is>
      </c>
      <c r="B537" s="1" t="n">
        <v>45817.31986111111</v>
      </c>
      <c r="C537" s="1" t="n">
        <v>46031</v>
      </c>
      <c r="D537" t="inlineStr">
        <is>
          <t>STOCKHOLMS LÄN</t>
        </is>
      </c>
      <c r="E537" t="inlineStr">
        <is>
          <t>NORRTÄLJE</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27818-2025</t>
        </is>
      </c>
      <c r="B538" s="1" t="n">
        <v>45817.33503472222</v>
      </c>
      <c r="C538" s="1" t="n">
        <v>46031</v>
      </c>
      <c r="D538" t="inlineStr">
        <is>
          <t>STOCKHOLMS LÄN</t>
        </is>
      </c>
      <c r="E538" t="inlineStr">
        <is>
          <t>NORRTÄLJE</t>
        </is>
      </c>
      <c r="F538" t="inlineStr">
        <is>
          <t>Sveaskog</t>
        </is>
      </c>
      <c r="G538" t="n">
        <v>0.3</v>
      </c>
      <c r="H538" t="n">
        <v>0</v>
      </c>
      <c r="I538" t="n">
        <v>0</v>
      </c>
      <c r="J538" t="n">
        <v>0</v>
      </c>
      <c r="K538" t="n">
        <v>0</v>
      </c>
      <c r="L538" t="n">
        <v>0</v>
      </c>
      <c r="M538" t="n">
        <v>0</v>
      </c>
      <c r="N538" t="n">
        <v>0</v>
      </c>
      <c r="O538" t="n">
        <v>0</v>
      </c>
      <c r="P538" t="n">
        <v>0</v>
      </c>
      <c r="Q538" t="n">
        <v>0</v>
      </c>
      <c r="R538" s="2" t="inlineStr"/>
    </row>
    <row r="539" ht="15" customHeight="1">
      <c r="A539" t="inlineStr">
        <is>
          <t>A 11229-2022</t>
        </is>
      </c>
      <c r="B539" s="1" t="n">
        <v>44629</v>
      </c>
      <c r="C539" s="1" t="n">
        <v>46031</v>
      </c>
      <c r="D539" t="inlineStr">
        <is>
          <t>STOCKHOLMS LÄN</t>
        </is>
      </c>
      <c r="E539" t="inlineStr">
        <is>
          <t>NORRTÄLJE</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9654-2022</t>
        </is>
      </c>
      <c r="B540" s="1" t="n">
        <v>44617</v>
      </c>
      <c r="C540" s="1" t="n">
        <v>46031</v>
      </c>
      <c r="D540" t="inlineStr">
        <is>
          <t>STOCKHOLMS LÄN</t>
        </is>
      </c>
      <c r="E540" t="inlineStr">
        <is>
          <t>NORRTÄLJE</t>
        </is>
      </c>
      <c r="G540" t="n">
        <v>6.4</v>
      </c>
      <c r="H540" t="n">
        <v>0</v>
      </c>
      <c r="I540" t="n">
        <v>0</v>
      </c>
      <c r="J540" t="n">
        <v>0</v>
      </c>
      <c r="K540" t="n">
        <v>0</v>
      </c>
      <c r="L540" t="n">
        <v>0</v>
      </c>
      <c r="M540" t="n">
        <v>0</v>
      </c>
      <c r="N540" t="n">
        <v>0</v>
      </c>
      <c r="O540" t="n">
        <v>0</v>
      </c>
      <c r="P540" t="n">
        <v>0</v>
      </c>
      <c r="Q540" t="n">
        <v>0</v>
      </c>
      <c r="R540" s="2" t="inlineStr"/>
    </row>
    <row r="541" ht="15" customHeight="1">
      <c r="A541" t="inlineStr">
        <is>
          <t>A 5389-2025</t>
        </is>
      </c>
      <c r="B541" s="1" t="n">
        <v>45692</v>
      </c>
      <c r="C541" s="1" t="n">
        <v>46031</v>
      </c>
      <c r="D541" t="inlineStr">
        <is>
          <t>STOCKHOLMS LÄN</t>
        </is>
      </c>
      <c r="E541" t="inlineStr">
        <is>
          <t>NORRTÄLJE</t>
        </is>
      </c>
      <c r="G541" t="n">
        <v>0.8</v>
      </c>
      <c r="H541" t="n">
        <v>0</v>
      </c>
      <c r="I541" t="n">
        <v>0</v>
      </c>
      <c r="J541" t="n">
        <v>0</v>
      </c>
      <c r="K541" t="n">
        <v>0</v>
      </c>
      <c r="L541" t="n">
        <v>0</v>
      </c>
      <c r="M541" t="n">
        <v>0</v>
      </c>
      <c r="N541" t="n">
        <v>0</v>
      </c>
      <c r="O541" t="n">
        <v>0</v>
      </c>
      <c r="P541" t="n">
        <v>0</v>
      </c>
      <c r="Q541" t="n">
        <v>0</v>
      </c>
      <c r="R541" s="2" t="inlineStr"/>
    </row>
    <row r="542" ht="15" customHeight="1">
      <c r="A542" t="inlineStr">
        <is>
          <t>A 37147-2023</t>
        </is>
      </c>
      <c r="B542" s="1" t="n">
        <v>45155</v>
      </c>
      <c r="C542" s="1" t="n">
        <v>46031</v>
      </c>
      <c r="D542" t="inlineStr">
        <is>
          <t>STOCKHOLMS LÄN</t>
        </is>
      </c>
      <c r="E542" t="inlineStr">
        <is>
          <t>NORRTÄLJE</t>
        </is>
      </c>
      <c r="G542" t="n">
        <v>8</v>
      </c>
      <c r="H542" t="n">
        <v>0</v>
      </c>
      <c r="I542" t="n">
        <v>0</v>
      </c>
      <c r="J542" t="n">
        <v>0</v>
      </c>
      <c r="K542" t="n">
        <v>0</v>
      </c>
      <c r="L542" t="n">
        <v>0</v>
      </c>
      <c r="M542" t="n">
        <v>0</v>
      </c>
      <c r="N542" t="n">
        <v>0</v>
      </c>
      <c r="O542" t="n">
        <v>0</v>
      </c>
      <c r="P542" t="n">
        <v>0</v>
      </c>
      <c r="Q542" t="n">
        <v>0</v>
      </c>
      <c r="R542" s="2" t="inlineStr"/>
    </row>
    <row r="543" ht="15" customHeight="1">
      <c r="A543" t="inlineStr">
        <is>
          <t>A 59499-2023</t>
        </is>
      </c>
      <c r="B543" s="1" t="n">
        <v>45254</v>
      </c>
      <c r="C543" s="1" t="n">
        <v>46031</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60654-2023</t>
        </is>
      </c>
      <c r="B544" s="1" t="n">
        <v>45260.43225694444</v>
      </c>
      <c r="C544" s="1" t="n">
        <v>46031</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60656-2023</t>
        </is>
      </c>
      <c r="B545" s="1" t="n">
        <v>45260.4333449074</v>
      </c>
      <c r="C545" s="1" t="n">
        <v>46031</v>
      </c>
      <c r="D545" t="inlineStr">
        <is>
          <t>STOCKHOLMS LÄN</t>
        </is>
      </c>
      <c r="E545" t="inlineStr">
        <is>
          <t>NORRTÄLJE</t>
        </is>
      </c>
      <c r="G545" t="n">
        <v>4.8</v>
      </c>
      <c r="H545" t="n">
        <v>0</v>
      </c>
      <c r="I545" t="n">
        <v>0</v>
      </c>
      <c r="J545" t="n">
        <v>0</v>
      </c>
      <c r="K545" t="n">
        <v>0</v>
      </c>
      <c r="L545" t="n">
        <v>0</v>
      </c>
      <c r="M545" t="n">
        <v>0</v>
      </c>
      <c r="N545" t="n">
        <v>0</v>
      </c>
      <c r="O545" t="n">
        <v>0</v>
      </c>
      <c r="P545" t="n">
        <v>0</v>
      </c>
      <c r="Q545" t="n">
        <v>0</v>
      </c>
      <c r="R545" s="2" t="inlineStr"/>
    </row>
    <row r="546" ht="15" customHeight="1">
      <c r="A546" t="inlineStr">
        <is>
          <t>A 15528-2025</t>
        </is>
      </c>
      <c r="B546" s="1" t="n">
        <v>45747.63471064815</v>
      </c>
      <c r="C546" s="1" t="n">
        <v>46031</v>
      </c>
      <c r="D546" t="inlineStr">
        <is>
          <t>STOCKHOLMS LÄN</t>
        </is>
      </c>
      <c r="E546" t="inlineStr">
        <is>
          <t>NORRTÄLJE</t>
        </is>
      </c>
      <c r="G546" t="n">
        <v>10</v>
      </c>
      <c r="H546" t="n">
        <v>0</v>
      </c>
      <c r="I546" t="n">
        <v>0</v>
      </c>
      <c r="J546" t="n">
        <v>0</v>
      </c>
      <c r="K546" t="n">
        <v>0</v>
      </c>
      <c r="L546" t="n">
        <v>0</v>
      </c>
      <c r="M546" t="n">
        <v>0</v>
      </c>
      <c r="N546" t="n">
        <v>0</v>
      </c>
      <c r="O546" t="n">
        <v>0</v>
      </c>
      <c r="P546" t="n">
        <v>0</v>
      </c>
      <c r="Q546" t="n">
        <v>0</v>
      </c>
      <c r="R546" s="2" t="inlineStr"/>
    </row>
    <row r="547" ht="15" customHeight="1">
      <c r="A547" t="inlineStr">
        <is>
          <t>A 22697-2022</t>
        </is>
      </c>
      <c r="B547" s="1" t="n">
        <v>44714.56040509259</v>
      </c>
      <c r="C547" s="1" t="n">
        <v>46031</v>
      </c>
      <c r="D547" t="inlineStr">
        <is>
          <t>STOCKHOLMS LÄN</t>
        </is>
      </c>
      <c r="E547" t="inlineStr">
        <is>
          <t>NORRTÄLJE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27803-2025</t>
        </is>
      </c>
      <c r="B548" s="1" t="n">
        <v>45817.291875</v>
      </c>
      <c r="C548" s="1" t="n">
        <v>46031</v>
      </c>
      <c r="D548" t="inlineStr">
        <is>
          <t>STOCKHOLMS LÄN</t>
        </is>
      </c>
      <c r="E548" t="inlineStr">
        <is>
          <t>NORRTÄLJE</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27813-2025</t>
        </is>
      </c>
      <c r="B549" s="1" t="n">
        <v>45817.32538194444</v>
      </c>
      <c r="C549" s="1" t="n">
        <v>46031</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47460-2025</t>
        </is>
      </c>
      <c r="B550" s="1" t="n">
        <v>45930.66012731481</v>
      </c>
      <c r="C550" s="1" t="n">
        <v>46031</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27801-2025</t>
        </is>
      </c>
      <c r="B551" s="1" t="n">
        <v>45817.25471064815</v>
      </c>
      <c r="C551" s="1" t="n">
        <v>46031</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27821-2025</t>
        </is>
      </c>
      <c r="B552" s="1" t="n">
        <v>45817.34083333334</v>
      </c>
      <c r="C552" s="1" t="n">
        <v>46031</v>
      </c>
      <c r="D552" t="inlineStr">
        <is>
          <t>STOCKHOLMS LÄN</t>
        </is>
      </c>
      <c r="E552" t="inlineStr">
        <is>
          <t>NORRTÄLJE</t>
        </is>
      </c>
      <c r="G552" t="n">
        <v>3.2</v>
      </c>
      <c r="H552" t="n">
        <v>0</v>
      </c>
      <c r="I552" t="n">
        <v>0</v>
      </c>
      <c r="J552" t="n">
        <v>0</v>
      </c>
      <c r="K552" t="n">
        <v>0</v>
      </c>
      <c r="L552" t="n">
        <v>0</v>
      </c>
      <c r="M552" t="n">
        <v>0</v>
      </c>
      <c r="N552" t="n">
        <v>0</v>
      </c>
      <c r="O552" t="n">
        <v>0</v>
      </c>
      <c r="P552" t="n">
        <v>0</v>
      </c>
      <c r="Q552" t="n">
        <v>0</v>
      </c>
      <c r="R552" s="2" t="inlineStr"/>
    </row>
    <row r="553" ht="15" customHeight="1">
      <c r="A553" t="inlineStr">
        <is>
          <t>A 46900-2025</t>
        </is>
      </c>
      <c r="B553" s="1" t="n">
        <v>45929.38712962963</v>
      </c>
      <c r="C553" s="1" t="n">
        <v>46031</v>
      </c>
      <c r="D553" t="inlineStr">
        <is>
          <t>STOCKHOLMS LÄN</t>
        </is>
      </c>
      <c r="E553" t="inlineStr">
        <is>
          <t>NORRTÄLJE</t>
        </is>
      </c>
      <c r="F553" t="inlineStr">
        <is>
          <t>Holmen skog AB</t>
        </is>
      </c>
      <c r="G553" t="n">
        <v>6.2</v>
      </c>
      <c r="H553" t="n">
        <v>0</v>
      </c>
      <c r="I553" t="n">
        <v>0</v>
      </c>
      <c r="J553" t="n">
        <v>0</v>
      </c>
      <c r="K553" t="n">
        <v>0</v>
      </c>
      <c r="L553" t="n">
        <v>0</v>
      </c>
      <c r="M553" t="n">
        <v>0</v>
      </c>
      <c r="N553" t="n">
        <v>0</v>
      </c>
      <c r="O553" t="n">
        <v>0</v>
      </c>
      <c r="P553" t="n">
        <v>0</v>
      </c>
      <c r="Q553" t="n">
        <v>0</v>
      </c>
      <c r="R553" s="2" t="inlineStr"/>
    </row>
    <row r="554" ht="15" customHeight="1">
      <c r="A554" t="inlineStr">
        <is>
          <t>A 48180-2023</t>
        </is>
      </c>
      <c r="B554" s="1" t="n">
        <v>45205</v>
      </c>
      <c r="C554" s="1" t="n">
        <v>46031</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57353-2024</t>
        </is>
      </c>
      <c r="B555" s="1" t="n">
        <v>45629.65143518519</v>
      </c>
      <c r="C555" s="1" t="n">
        <v>46031</v>
      </c>
      <c r="D555" t="inlineStr">
        <is>
          <t>STOCKHOLMS LÄN</t>
        </is>
      </c>
      <c r="E555" t="inlineStr">
        <is>
          <t>NORRTÄLJE</t>
        </is>
      </c>
      <c r="F555" t="inlineStr">
        <is>
          <t>Holmen skog AB</t>
        </is>
      </c>
      <c r="G555" t="n">
        <v>0.9</v>
      </c>
      <c r="H555" t="n">
        <v>0</v>
      </c>
      <c r="I555" t="n">
        <v>0</v>
      </c>
      <c r="J555" t="n">
        <v>0</v>
      </c>
      <c r="K555" t="n">
        <v>0</v>
      </c>
      <c r="L555" t="n">
        <v>0</v>
      </c>
      <c r="M555" t="n">
        <v>0</v>
      </c>
      <c r="N555" t="n">
        <v>0</v>
      </c>
      <c r="O555" t="n">
        <v>0</v>
      </c>
      <c r="P555" t="n">
        <v>0</v>
      </c>
      <c r="Q555" t="n">
        <v>0</v>
      </c>
      <c r="R555" s="2" t="inlineStr"/>
    </row>
    <row r="556" ht="15" customHeight="1">
      <c r="A556" t="inlineStr">
        <is>
          <t>A 47498-2025</t>
        </is>
      </c>
      <c r="B556" s="1" t="n">
        <v>45930.8134375</v>
      </c>
      <c r="C556" s="1" t="n">
        <v>46031</v>
      </c>
      <c r="D556" t="inlineStr">
        <is>
          <t>STOCKHOLMS LÄN</t>
        </is>
      </c>
      <c r="E556" t="inlineStr">
        <is>
          <t>NORRTÄLJE</t>
        </is>
      </c>
      <c r="F556" t="inlineStr">
        <is>
          <t>Holmen skog AB</t>
        </is>
      </c>
      <c r="G556" t="n">
        <v>1.7</v>
      </c>
      <c r="H556" t="n">
        <v>0</v>
      </c>
      <c r="I556" t="n">
        <v>0</v>
      </c>
      <c r="J556" t="n">
        <v>0</v>
      </c>
      <c r="K556" t="n">
        <v>0</v>
      </c>
      <c r="L556" t="n">
        <v>0</v>
      </c>
      <c r="M556" t="n">
        <v>0</v>
      </c>
      <c r="N556" t="n">
        <v>0</v>
      </c>
      <c r="O556" t="n">
        <v>0</v>
      </c>
      <c r="P556" t="n">
        <v>0</v>
      </c>
      <c r="Q556" t="n">
        <v>0</v>
      </c>
      <c r="R556" s="2" t="inlineStr"/>
    </row>
    <row r="557" ht="15" customHeight="1">
      <c r="A557" t="inlineStr">
        <is>
          <t>A 55696-2022</t>
        </is>
      </c>
      <c r="B557" s="1" t="n">
        <v>44888</v>
      </c>
      <c r="C557" s="1" t="n">
        <v>46031</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50907-2022</t>
        </is>
      </c>
      <c r="B558" s="1" t="n">
        <v>44867.62090277778</v>
      </c>
      <c r="C558" s="1" t="n">
        <v>46031</v>
      </c>
      <c r="D558" t="inlineStr">
        <is>
          <t>STOCKHOLMS LÄN</t>
        </is>
      </c>
      <c r="E558" t="inlineStr">
        <is>
          <t>NORRTÄLJE</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6919-2025</t>
        </is>
      </c>
      <c r="B559" s="1" t="n">
        <v>45701.44372685185</v>
      </c>
      <c r="C559" s="1" t="n">
        <v>46031</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47496-2025</t>
        </is>
      </c>
      <c r="B560" s="1" t="n">
        <v>45930.79252314815</v>
      </c>
      <c r="C560" s="1" t="n">
        <v>46031</v>
      </c>
      <c r="D560" t="inlineStr">
        <is>
          <t>STOCKHOLMS LÄN</t>
        </is>
      </c>
      <c r="E560" t="inlineStr">
        <is>
          <t>NORRTÄLJE</t>
        </is>
      </c>
      <c r="F560" t="inlineStr">
        <is>
          <t>Holmen skog AB</t>
        </is>
      </c>
      <c r="G560" t="n">
        <v>0.9</v>
      </c>
      <c r="H560" t="n">
        <v>0</v>
      </c>
      <c r="I560" t="n">
        <v>0</v>
      </c>
      <c r="J560" t="n">
        <v>0</v>
      </c>
      <c r="K560" t="n">
        <v>0</v>
      </c>
      <c r="L560" t="n">
        <v>0</v>
      </c>
      <c r="M560" t="n">
        <v>0</v>
      </c>
      <c r="N560" t="n">
        <v>0</v>
      </c>
      <c r="O560" t="n">
        <v>0</v>
      </c>
      <c r="P560" t="n">
        <v>0</v>
      </c>
      <c r="Q560" t="n">
        <v>0</v>
      </c>
      <c r="R560" s="2" t="inlineStr"/>
    </row>
    <row r="561" ht="15" customHeight="1">
      <c r="A561" t="inlineStr">
        <is>
          <t>A 47497-2025</t>
        </is>
      </c>
      <c r="B561" s="1" t="n">
        <v>45930.80217592593</v>
      </c>
      <c r="C561" s="1" t="n">
        <v>46031</v>
      </c>
      <c r="D561" t="inlineStr">
        <is>
          <t>STOCKHOLMS LÄN</t>
        </is>
      </c>
      <c r="E561" t="inlineStr">
        <is>
          <t>NORRTÄLJE</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53362-2023</t>
        </is>
      </c>
      <c r="B562" s="1" t="n">
        <v>45223</v>
      </c>
      <c r="C562" s="1" t="n">
        <v>46031</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48718-2025</t>
        </is>
      </c>
      <c r="B563" s="1" t="n">
        <v>45936</v>
      </c>
      <c r="C563" s="1" t="n">
        <v>46031</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48360-2025</t>
        </is>
      </c>
      <c r="B564" s="1" t="n">
        <v>45933.66253472222</v>
      </c>
      <c r="C564" s="1" t="n">
        <v>46031</v>
      </c>
      <c r="D564" t="inlineStr">
        <is>
          <t>STOCKHOLMS LÄN</t>
        </is>
      </c>
      <c r="E564" t="inlineStr">
        <is>
          <t>NORRTÄLJE</t>
        </is>
      </c>
      <c r="G564" t="n">
        <v>4.1</v>
      </c>
      <c r="H564" t="n">
        <v>0</v>
      </c>
      <c r="I564" t="n">
        <v>0</v>
      </c>
      <c r="J564" t="n">
        <v>0</v>
      </c>
      <c r="K564" t="n">
        <v>0</v>
      </c>
      <c r="L564" t="n">
        <v>0</v>
      </c>
      <c r="M564" t="n">
        <v>0</v>
      </c>
      <c r="N564" t="n">
        <v>0</v>
      </c>
      <c r="O564" t="n">
        <v>0</v>
      </c>
      <c r="P564" t="n">
        <v>0</v>
      </c>
      <c r="Q564" t="n">
        <v>0</v>
      </c>
      <c r="R564" s="2" t="inlineStr"/>
    </row>
    <row r="565" ht="15" customHeight="1">
      <c r="A565" t="inlineStr">
        <is>
          <t>A 48370-2025</t>
        </is>
      </c>
      <c r="B565" s="1" t="n">
        <v>45933.67854166667</v>
      </c>
      <c r="C565" s="1" t="n">
        <v>46031</v>
      </c>
      <c r="D565" t="inlineStr">
        <is>
          <t>STOCKHOLMS LÄN</t>
        </is>
      </c>
      <c r="E565" t="inlineStr">
        <is>
          <t>NORRTÄLJE</t>
        </is>
      </c>
      <c r="G565" t="n">
        <v>4.5</v>
      </c>
      <c r="H565" t="n">
        <v>0</v>
      </c>
      <c r="I565" t="n">
        <v>0</v>
      </c>
      <c r="J565" t="n">
        <v>0</v>
      </c>
      <c r="K565" t="n">
        <v>0</v>
      </c>
      <c r="L565" t="n">
        <v>0</v>
      </c>
      <c r="M565" t="n">
        <v>0</v>
      </c>
      <c r="N565" t="n">
        <v>0</v>
      </c>
      <c r="O565" t="n">
        <v>0</v>
      </c>
      <c r="P565" t="n">
        <v>0</v>
      </c>
      <c r="Q565" t="n">
        <v>0</v>
      </c>
      <c r="R565" s="2" t="inlineStr"/>
    </row>
    <row r="566" ht="15" customHeight="1">
      <c r="A566" t="inlineStr">
        <is>
          <t>A 8433-2022</t>
        </is>
      </c>
      <c r="B566" s="1" t="n">
        <v>44611</v>
      </c>
      <c r="C566" s="1" t="n">
        <v>46031</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10215-2023</t>
        </is>
      </c>
      <c r="B567" s="1" t="n">
        <v>44986.5887962963</v>
      </c>
      <c r="C567" s="1" t="n">
        <v>46031</v>
      </c>
      <c r="D567" t="inlineStr">
        <is>
          <t>STOCKHOLMS LÄN</t>
        </is>
      </c>
      <c r="E567" t="inlineStr">
        <is>
          <t>NORRTÄLJE</t>
        </is>
      </c>
      <c r="G567" t="n">
        <v>6.5</v>
      </c>
      <c r="H567" t="n">
        <v>0</v>
      </c>
      <c r="I567" t="n">
        <v>0</v>
      </c>
      <c r="J567" t="n">
        <v>0</v>
      </c>
      <c r="K567" t="n">
        <v>0</v>
      </c>
      <c r="L567" t="n">
        <v>0</v>
      </c>
      <c r="M567" t="n">
        <v>0</v>
      </c>
      <c r="N567" t="n">
        <v>0</v>
      </c>
      <c r="O567" t="n">
        <v>0</v>
      </c>
      <c r="P567" t="n">
        <v>0</v>
      </c>
      <c r="Q567" t="n">
        <v>0</v>
      </c>
      <c r="R567" s="2" t="inlineStr"/>
    </row>
    <row r="568" ht="15" customHeight="1">
      <c r="A568" t="inlineStr">
        <is>
          <t>A 48443-2025</t>
        </is>
      </c>
      <c r="B568" s="1" t="n">
        <v>45935.55326388889</v>
      </c>
      <c r="C568" s="1" t="n">
        <v>46031</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48127-2025</t>
        </is>
      </c>
      <c r="B569" s="1" t="n">
        <v>45933.36621527778</v>
      </c>
      <c r="C569" s="1" t="n">
        <v>46031</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48364-2025</t>
        </is>
      </c>
      <c r="B570" s="1" t="n">
        <v>45933.66796296297</v>
      </c>
      <c r="C570" s="1" t="n">
        <v>46031</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48179-2025</t>
        </is>
      </c>
      <c r="B571" s="1" t="n">
        <v>45933.44907407407</v>
      </c>
      <c r="C571" s="1" t="n">
        <v>46031</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14127-2025</t>
        </is>
      </c>
      <c r="B572" s="1" t="n">
        <v>45740.47055555556</v>
      </c>
      <c r="C572" s="1" t="n">
        <v>46031</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48174-2025</t>
        </is>
      </c>
      <c r="B573" s="1" t="n">
        <v>45933.44230324074</v>
      </c>
      <c r="C573" s="1" t="n">
        <v>46031</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31559-2022</t>
        </is>
      </c>
      <c r="B574" s="1" t="n">
        <v>44775</v>
      </c>
      <c r="C574" s="1" t="n">
        <v>46031</v>
      </c>
      <c r="D574" t="inlineStr">
        <is>
          <t>STOCKHOLMS LÄN</t>
        </is>
      </c>
      <c r="E574" t="inlineStr">
        <is>
          <t>NORRTÄLJE</t>
        </is>
      </c>
      <c r="G574" t="n">
        <v>5.6</v>
      </c>
      <c r="H574" t="n">
        <v>0</v>
      </c>
      <c r="I574" t="n">
        <v>0</v>
      </c>
      <c r="J574" t="n">
        <v>0</v>
      </c>
      <c r="K574" t="n">
        <v>0</v>
      </c>
      <c r="L574" t="n">
        <v>0</v>
      </c>
      <c r="M574" t="n">
        <v>0</v>
      </c>
      <c r="N574" t="n">
        <v>0</v>
      </c>
      <c r="O574" t="n">
        <v>0</v>
      </c>
      <c r="P574" t="n">
        <v>0</v>
      </c>
      <c r="Q574" t="n">
        <v>0</v>
      </c>
      <c r="R574" s="2" t="inlineStr"/>
    </row>
    <row r="575" ht="15" customHeight="1">
      <c r="A575" t="inlineStr">
        <is>
          <t>A 48593-2025</t>
        </is>
      </c>
      <c r="B575" s="1" t="n">
        <v>45936.4627662037</v>
      </c>
      <c r="C575" s="1" t="n">
        <v>46031</v>
      </c>
      <c r="D575" t="inlineStr">
        <is>
          <t>STOCKHOLMS LÄN</t>
        </is>
      </c>
      <c r="E575" t="inlineStr">
        <is>
          <t>NORRTÄLJE</t>
        </is>
      </c>
      <c r="G575" t="n">
        <v>4.2</v>
      </c>
      <c r="H575" t="n">
        <v>0</v>
      </c>
      <c r="I575" t="n">
        <v>0</v>
      </c>
      <c r="J575" t="n">
        <v>0</v>
      </c>
      <c r="K575" t="n">
        <v>0</v>
      </c>
      <c r="L575" t="n">
        <v>0</v>
      </c>
      <c r="M575" t="n">
        <v>0</v>
      </c>
      <c r="N575" t="n">
        <v>0</v>
      </c>
      <c r="O575" t="n">
        <v>0</v>
      </c>
      <c r="P575" t="n">
        <v>0</v>
      </c>
      <c r="Q575" t="n">
        <v>0</v>
      </c>
      <c r="R575" s="2" t="inlineStr"/>
    </row>
    <row r="576" ht="15" customHeight="1">
      <c r="A576" t="inlineStr">
        <is>
          <t>A 52001-2023</t>
        </is>
      </c>
      <c r="B576" s="1" t="n">
        <v>45223</v>
      </c>
      <c r="C576" s="1" t="n">
        <v>46031</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44075-2023</t>
        </is>
      </c>
      <c r="B577" s="1" t="n">
        <v>45188.41637731482</v>
      </c>
      <c r="C577" s="1" t="n">
        <v>46031</v>
      </c>
      <c r="D577" t="inlineStr">
        <is>
          <t>STOCKHOLMS LÄN</t>
        </is>
      </c>
      <c r="E577" t="inlineStr">
        <is>
          <t>NORRTÄLJE</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49129-2025</t>
        </is>
      </c>
      <c r="B578" s="1" t="n">
        <v>45937.89517361111</v>
      </c>
      <c r="C578" s="1" t="n">
        <v>46031</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48780-2025</t>
        </is>
      </c>
      <c r="B579" s="1" t="n">
        <v>45937.30377314815</v>
      </c>
      <c r="C579" s="1" t="n">
        <v>46031</v>
      </c>
      <c r="D579" t="inlineStr">
        <is>
          <t>STOCKHOLMS LÄN</t>
        </is>
      </c>
      <c r="E579" t="inlineStr">
        <is>
          <t>NORRTÄLJE</t>
        </is>
      </c>
      <c r="G579" t="n">
        <v>7.7</v>
      </c>
      <c r="H579" t="n">
        <v>0</v>
      </c>
      <c r="I579" t="n">
        <v>0</v>
      </c>
      <c r="J579" t="n">
        <v>0</v>
      </c>
      <c r="K579" t="n">
        <v>0</v>
      </c>
      <c r="L579" t="n">
        <v>0</v>
      </c>
      <c r="M579" t="n">
        <v>0</v>
      </c>
      <c r="N579" t="n">
        <v>0</v>
      </c>
      <c r="O579" t="n">
        <v>0</v>
      </c>
      <c r="P579" t="n">
        <v>0</v>
      </c>
      <c r="Q579" t="n">
        <v>0</v>
      </c>
      <c r="R579" s="2" t="inlineStr"/>
    </row>
    <row r="580" ht="15" customHeight="1">
      <c r="A580" t="inlineStr">
        <is>
          <t>A 33279-2025</t>
        </is>
      </c>
      <c r="B580" s="1" t="n">
        <v>45840</v>
      </c>
      <c r="C580" s="1" t="n">
        <v>46031</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22456-2023</t>
        </is>
      </c>
      <c r="B581" s="1" t="n">
        <v>45070</v>
      </c>
      <c r="C581" s="1" t="n">
        <v>46031</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19580-2022</t>
        </is>
      </c>
      <c r="B582" s="1" t="n">
        <v>44693</v>
      </c>
      <c r="C582" s="1" t="n">
        <v>46031</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5823-2023</t>
        </is>
      </c>
      <c r="B583" s="1" t="n">
        <v>44963</v>
      </c>
      <c r="C583" s="1" t="n">
        <v>46031</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30731-2023</t>
        </is>
      </c>
      <c r="B584" s="1" t="n">
        <v>45112</v>
      </c>
      <c r="C584" s="1" t="n">
        <v>46031</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29250-2025</t>
        </is>
      </c>
      <c r="B585" s="1" t="n">
        <v>45824.37275462963</v>
      </c>
      <c r="C585" s="1" t="n">
        <v>46031</v>
      </c>
      <c r="D585" t="inlineStr">
        <is>
          <t>STOCKHOLMS LÄN</t>
        </is>
      </c>
      <c r="E585" t="inlineStr">
        <is>
          <t>NORRTÄLJE</t>
        </is>
      </c>
      <c r="F585" t="inlineStr">
        <is>
          <t>Sveaskog</t>
        </is>
      </c>
      <c r="G585" t="n">
        <v>6.4</v>
      </c>
      <c r="H585" t="n">
        <v>0</v>
      </c>
      <c r="I585" t="n">
        <v>0</v>
      </c>
      <c r="J585" t="n">
        <v>0</v>
      </c>
      <c r="K585" t="n">
        <v>0</v>
      </c>
      <c r="L585" t="n">
        <v>0</v>
      </c>
      <c r="M585" t="n">
        <v>0</v>
      </c>
      <c r="N585" t="n">
        <v>0</v>
      </c>
      <c r="O585" t="n">
        <v>0</v>
      </c>
      <c r="P585" t="n">
        <v>0</v>
      </c>
      <c r="Q585" t="n">
        <v>0</v>
      </c>
      <c r="R585" s="2" t="inlineStr"/>
    </row>
    <row r="586" ht="15" customHeight="1">
      <c r="A586" t="inlineStr">
        <is>
          <t>A 49836-2025</t>
        </is>
      </c>
      <c r="B586" s="1" t="n">
        <v>45940.46862268518</v>
      </c>
      <c r="C586" s="1" t="n">
        <v>46031</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11988-2021</t>
        </is>
      </c>
      <c r="B587" s="1" t="n">
        <v>44266</v>
      </c>
      <c r="C587" s="1" t="n">
        <v>46031</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12132-2021</t>
        </is>
      </c>
      <c r="B588" s="1" t="n">
        <v>44266</v>
      </c>
      <c r="C588" s="1" t="n">
        <v>46031</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51653-2022</t>
        </is>
      </c>
      <c r="B589" s="1" t="n">
        <v>44867</v>
      </c>
      <c r="C589" s="1" t="n">
        <v>46031</v>
      </c>
      <c r="D589" t="inlineStr">
        <is>
          <t>STOCKHOLMS LÄN</t>
        </is>
      </c>
      <c r="E589" t="inlineStr">
        <is>
          <t>NORRTÄLJE</t>
        </is>
      </c>
      <c r="G589" t="n">
        <v>6.6</v>
      </c>
      <c r="H589" t="n">
        <v>0</v>
      </c>
      <c r="I589" t="n">
        <v>0</v>
      </c>
      <c r="J589" t="n">
        <v>0</v>
      </c>
      <c r="K589" t="n">
        <v>0</v>
      </c>
      <c r="L589" t="n">
        <v>0</v>
      </c>
      <c r="M589" t="n">
        <v>0</v>
      </c>
      <c r="N589" t="n">
        <v>0</v>
      </c>
      <c r="O589" t="n">
        <v>0</v>
      </c>
      <c r="P589" t="n">
        <v>0</v>
      </c>
      <c r="Q589" t="n">
        <v>0</v>
      </c>
      <c r="R589" s="2" t="inlineStr"/>
    </row>
    <row r="590" ht="15" customHeight="1">
      <c r="A590" t="inlineStr">
        <is>
          <t>A 32103-2022</t>
        </is>
      </c>
      <c r="B590" s="1" t="n">
        <v>44778</v>
      </c>
      <c r="C590" s="1" t="n">
        <v>46031</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55952-2024</t>
        </is>
      </c>
      <c r="B591" s="1" t="n">
        <v>45623.62563657408</v>
      </c>
      <c r="C591" s="1" t="n">
        <v>46031</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23070-2023</t>
        </is>
      </c>
      <c r="B592" s="1" t="n">
        <v>45075</v>
      </c>
      <c r="C592" s="1" t="n">
        <v>46031</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8792-2025</t>
        </is>
      </c>
      <c r="B593" s="1" t="n">
        <v>45712</v>
      </c>
      <c r="C593" s="1" t="n">
        <v>46031</v>
      </c>
      <c r="D593" t="inlineStr">
        <is>
          <t>STOCKHOLMS LÄN</t>
        </is>
      </c>
      <c r="E593" t="inlineStr">
        <is>
          <t>NORRTÄLJE</t>
        </is>
      </c>
      <c r="F593" t="inlineStr">
        <is>
          <t>Övriga Aktiebolag</t>
        </is>
      </c>
      <c r="G593" t="n">
        <v>6.6</v>
      </c>
      <c r="H593" t="n">
        <v>0</v>
      </c>
      <c r="I593" t="n">
        <v>0</v>
      </c>
      <c r="J593" t="n">
        <v>0</v>
      </c>
      <c r="K593" t="n">
        <v>0</v>
      </c>
      <c r="L593" t="n">
        <v>0</v>
      </c>
      <c r="M593" t="n">
        <v>0</v>
      </c>
      <c r="N593" t="n">
        <v>0</v>
      </c>
      <c r="O593" t="n">
        <v>0</v>
      </c>
      <c r="P593" t="n">
        <v>0</v>
      </c>
      <c r="Q593" t="n">
        <v>0</v>
      </c>
      <c r="R593" s="2" t="inlineStr"/>
    </row>
    <row r="594" ht="15" customHeight="1">
      <c r="A594" t="inlineStr">
        <is>
          <t>A 7571-2024</t>
        </is>
      </c>
      <c r="B594" s="1" t="n">
        <v>45348.46300925926</v>
      </c>
      <c r="C594" s="1" t="n">
        <v>46031</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50097-2025</t>
        </is>
      </c>
      <c r="B595" s="1" t="n">
        <v>45943.50207175926</v>
      </c>
      <c r="C595" s="1" t="n">
        <v>46031</v>
      </c>
      <c r="D595" t="inlineStr">
        <is>
          <t>STOCKHOLMS LÄN</t>
        </is>
      </c>
      <c r="E595" t="inlineStr">
        <is>
          <t>NORRTÄLJE</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36269-2022</t>
        </is>
      </c>
      <c r="B596" s="1" t="n">
        <v>44803</v>
      </c>
      <c r="C596" s="1" t="n">
        <v>46031</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5665-2025</t>
        </is>
      </c>
      <c r="B597" s="1" t="n">
        <v>45693</v>
      </c>
      <c r="C597" s="1" t="n">
        <v>46031</v>
      </c>
      <c r="D597" t="inlineStr">
        <is>
          <t>STOCKHOLMS LÄN</t>
        </is>
      </c>
      <c r="E597" t="inlineStr">
        <is>
          <t>NORRTÄLJE</t>
        </is>
      </c>
      <c r="G597" t="n">
        <v>4</v>
      </c>
      <c r="H597" t="n">
        <v>0</v>
      </c>
      <c r="I597" t="n">
        <v>0</v>
      </c>
      <c r="J597" t="n">
        <v>0</v>
      </c>
      <c r="K597" t="n">
        <v>0</v>
      </c>
      <c r="L597" t="n">
        <v>0</v>
      </c>
      <c r="M597" t="n">
        <v>0</v>
      </c>
      <c r="N597" t="n">
        <v>0</v>
      </c>
      <c r="O597" t="n">
        <v>0</v>
      </c>
      <c r="P597" t="n">
        <v>0</v>
      </c>
      <c r="Q597" t="n">
        <v>0</v>
      </c>
      <c r="R597" s="2" t="inlineStr"/>
    </row>
    <row r="598" ht="15" customHeight="1">
      <c r="A598" t="inlineStr">
        <is>
          <t>A 50333-2025</t>
        </is>
      </c>
      <c r="B598" s="1" t="n">
        <v>45944.47178240741</v>
      </c>
      <c r="C598" s="1" t="n">
        <v>46031</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12407-2025</t>
        </is>
      </c>
      <c r="B599" s="1" t="n">
        <v>45730.42851851852</v>
      </c>
      <c r="C599" s="1" t="n">
        <v>46031</v>
      </c>
      <c r="D599" t="inlineStr">
        <is>
          <t>STOCKHOLMS LÄN</t>
        </is>
      </c>
      <c r="E599" t="inlineStr">
        <is>
          <t>NORRTÄLJE</t>
        </is>
      </c>
      <c r="F599" t="inlineStr">
        <is>
          <t>Holmen skog AB</t>
        </is>
      </c>
      <c r="G599" t="n">
        <v>2.6</v>
      </c>
      <c r="H599" t="n">
        <v>0</v>
      </c>
      <c r="I599" t="n">
        <v>0</v>
      </c>
      <c r="J599" t="n">
        <v>0</v>
      </c>
      <c r="K599" t="n">
        <v>0</v>
      </c>
      <c r="L599" t="n">
        <v>0</v>
      </c>
      <c r="M599" t="n">
        <v>0</v>
      </c>
      <c r="N599" t="n">
        <v>0</v>
      </c>
      <c r="O599" t="n">
        <v>0</v>
      </c>
      <c r="P599" t="n">
        <v>0</v>
      </c>
      <c r="Q599" t="n">
        <v>0</v>
      </c>
      <c r="R599" s="2" t="inlineStr"/>
    </row>
    <row r="600" ht="15" customHeight="1">
      <c r="A600" t="inlineStr">
        <is>
          <t>A 50563-2025</t>
        </is>
      </c>
      <c r="B600" s="1" t="n">
        <v>45944</v>
      </c>
      <c r="C600" s="1" t="n">
        <v>46031</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26636-2023</t>
        </is>
      </c>
      <c r="B601" s="1" t="n">
        <v>45092</v>
      </c>
      <c r="C601" s="1" t="n">
        <v>46031</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26637-2023</t>
        </is>
      </c>
      <c r="B602" s="1" t="n">
        <v>45092</v>
      </c>
      <c r="C602" s="1" t="n">
        <v>46031</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50327-2025</t>
        </is>
      </c>
      <c r="B603" s="1" t="n">
        <v>45944.46387731482</v>
      </c>
      <c r="C603" s="1" t="n">
        <v>46031</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23266-2023</t>
        </is>
      </c>
      <c r="B604" s="1" t="n">
        <v>45075.90817129629</v>
      </c>
      <c r="C604" s="1" t="n">
        <v>46031</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35161-2022</t>
        </is>
      </c>
      <c r="B605" s="1" t="n">
        <v>44797</v>
      </c>
      <c r="C605" s="1" t="n">
        <v>46031</v>
      </c>
      <c r="D605" t="inlineStr">
        <is>
          <t>STOCKHOLMS LÄN</t>
        </is>
      </c>
      <c r="E605" t="inlineStr">
        <is>
          <t>NORRTÄLJE</t>
        </is>
      </c>
      <c r="G605" t="n">
        <v>6</v>
      </c>
      <c r="H605" t="n">
        <v>0</v>
      </c>
      <c r="I605" t="n">
        <v>0</v>
      </c>
      <c r="J605" t="n">
        <v>0</v>
      </c>
      <c r="K605" t="n">
        <v>0</v>
      </c>
      <c r="L605" t="n">
        <v>0</v>
      </c>
      <c r="M605" t="n">
        <v>0</v>
      </c>
      <c r="N605" t="n">
        <v>0</v>
      </c>
      <c r="O605" t="n">
        <v>0</v>
      </c>
      <c r="P605" t="n">
        <v>0</v>
      </c>
      <c r="Q605" t="n">
        <v>0</v>
      </c>
      <c r="R605" s="2" t="inlineStr"/>
    </row>
    <row r="606" ht="15" customHeight="1">
      <c r="A606" t="inlineStr">
        <is>
          <t>A 51240-2025</t>
        </is>
      </c>
      <c r="B606" s="1" t="n">
        <v>45947.70420138889</v>
      </c>
      <c r="C606" s="1" t="n">
        <v>46031</v>
      </c>
      <c r="D606" t="inlineStr">
        <is>
          <t>STOCKHOLMS LÄN</t>
        </is>
      </c>
      <c r="E606" t="inlineStr">
        <is>
          <t>NORRTÄLJE</t>
        </is>
      </c>
      <c r="F606" t="inlineStr">
        <is>
          <t>Naturvårdsverket</t>
        </is>
      </c>
      <c r="G606" t="n">
        <v>3</v>
      </c>
      <c r="H606" t="n">
        <v>0</v>
      </c>
      <c r="I606" t="n">
        <v>0</v>
      </c>
      <c r="J606" t="n">
        <v>0</v>
      </c>
      <c r="K606" t="n">
        <v>0</v>
      </c>
      <c r="L606" t="n">
        <v>0</v>
      </c>
      <c r="M606" t="n">
        <v>0</v>
      </c>
      <c r="N606" t="n">
        <v>0</v>
      </c>
      <c r="O606" t="n">
        <v>0</v>
      </c>
      <c r="P606" t="n">
        <v>0</v>
      </c>
      <c r="Q606" t="n">
        <v>0</v>
      </c>
      <c r="R606" s="2" t="inlineStr"/>
    </row>
    <row r="607" ht="15" customHeight="1">
      <c r="A607" t="inlineStr">
        <is>
          <t>A 59477-2025</t>
        </is>
      </c>
      <c r="B607" s="1" t="n">
        <v>45989.58679398148</v>
      </c>
      <c r="C607" s="1" t="n">
        <v>46031</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7903-2021</t>
        </is>
      </c>
      <c r="B608" s="1" t="n">
        <v>44243.33587962963</v>
      </c>
      <c r="C608" s="1" t="n">
        <v>46031</v>
      </c>
      <c r="D608" t="inlineStr">
        <is>
          <t>STOCKHOLMS LÄN</t>
        </is>
      </c>
      <c r="E608" t="inlineStr">
        <is>
          <t>NORRTÄLJE</t>
        </is>
      </c>
      <c r="G608" t="n">
        <v>3.5</v>
      </c>
      <c r="H608" t="n">
        <v>0</v>
      </c>
      <c r="I608" t="n">
        <v>0</v>
      </c>
      <c r="J608" t="n">
        <v>0</v>
      </c>
      <c r="K608" t="n">
        <v>0</v>
      </c>
      <c r="L608" t="n">
        <v>0</v>
      </c>
      <c r="M608" t="n">
        <v>0</v>
      </c>
      <c r="N608" t="n">
        <v>0</v>
      </c>
      <c r="O608" t="n">
        <v>0</v>
      </c>
      <c r="P608" t="n">
        <v>0</v>
      </c>
      <c r="Q608" t="n">
        <v>0</v>
      </c>
      <c r="R608" s="2" t="inlineStr"/>
    </row>
    <row r="609" ht="15" customHeight="1">
      <c r="A609" t="inlineStr">
        <is>
          <t>A 58863-2024</t>
        </is>
      </c>
      <c r="B609" s="1" t="n">
        <v>45636.41572916666</v>
      </c>
      <c r="C609" s="1" t="n">
        <v>46031</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15447-2023</t>
        </is>
      </c>
      <c r="B610" s="1" t="n">
        <v>45020</v>
      </c>
      <c r="C610" s="1" t="n">
        <v>46031</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34391-2023</t>
        </is>
      </c>
      <c r="B611" s="1" t="n">
        <v>45139.51457175926</v>
      </c>
      <c r="C611" s="1" t="n">
        <v>46031</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30668-2025</t>
        </is>
      </c>
      <c r="B612" s="1" t="n">
        <v>45831.51659722222</v>
      </c>
      <c r="C612" s="1" t="n">
        <v>46031</v>
      </c>
      <c r="D612" t="inlineStr">
        <is>
          <t>STOCKHOLMS LÄN</t>
        </is>
      </c>
      <c r="E612" t="inlineStr">
        <is>
          <t>NORRTÄLJE</t>
        </is>
      </c>
      <c r="G612" t="n">
        <v>4.9</v>
      </c>
      <c r="H612" t="n">
        <v>0</v>
      </c>
      <c r="I612" t="n">
        <v>0</v>
      </c>
      <c r="J612" t="n">
        <v>0</v>
      </c>
      <c r="K612" t="n">
        <v>0</v>
      </c>
      <c r="L612" t="n">
        <v>0</v>
      </c>
      <c r="M612" t="n">
        <v>0</v>
      </c>
      <c r="N612" t="n">
        <v>0</v>
      </c>
      <c r="O612" t="n">
        <v>0</v>
      </c>
      <c r="P612" t="n">
        <v>0</v>
      </c>
      <c r="Q612" t="n">
        <v>0</v>
      </c>
      <c r="R612" s="2" t="inlineStr"/>
    </row>
    <row r="613" ht="15" customHeight="1">
      <c r="A613" t="inlineStr">
        <is>
          <t>A 51121-2025</t>
        </is>
      </c>
      <c r="B613" s="1" t="n">
        <v>45947.53293981482</v>
      </c>
      <c r="C613" s="1" t="n">
        <v>46031</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53312-2024</t>
        </is>
      </c>
      <c r="B614" s="1" t="n">
        <v>45614.39627314815</v>
      </c>
      <c r="C614" s="1" t="n">
        <v>46031</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21158-2022</t>
        </is>
      </c>
      <c r="B615" s="1" t="n">
        <v>44704</v>
      </c>
      <c r="C615" s="1" t="n">
        <v>46031</v>
      </c>
      <c r="D615" t="inlineStr">
        <is>
          <t>STOCKHOLMS LÄN</t>
        </is>
      </c>
      <c r="E615" t="inlineStr">
        <is>
          <t>NORRTÄLJE</t>
        </is>
      </c>
      <c r="G615" t="n">
        <v>17.8</v>
      </c>
      <c r="H615" t="n">
        <v>0</v>
      </c>
      <c r="I615" t="n">
        <v>0</v>
      </c>
      <c r="J615" t="n">
        <v>0</v>
      </c>
      <c r="K615" t="n">
        <v>0</v>
      </c>
      <c r="L615" t="n">
        <v>0</v>
      </c>
      <c r="M615" t="n">
        <v>0</v>
      </c>
      <c r="N615" t="n">
        <v>0</v>
      </c>
      <c r="O615" t="n">
        <v>0</v>
      </c>
      <c r="P615" t="n">
        <v>0</v>
      </c>
      <c r="Q615" t="n">
        <v>0</v>
      </c>
      <c r="R615" s="2" t="inlineStr"/>
    </row>
    <row r="616" ht="15" customHeight="1">
      <c r="A616" t="inlineStr">
        <is>
          <t>A 15915-2023</t>
        </is>
      </c>
      <c r="B616" s="1" t="n">
        <v>45022</v>
      </c>
      <c r="C616" s="1" t="n">
        <v>46031</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58993-2022</t>
        </is>
      </c>
      <c r="B617" s="1" t="n">
        <v>44903</v>
      </c>
      <c r="C617" s="1" t="n">
        <v>46031</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51532-2025</t>
        </is>
      </c>
      <c r="B618" s="1" t="n">
        <v>45950.68297453703</v>
      </c>
      <c r="C618" s="1" t="n">
        <v>46031</v>
      </c>
      <c r="D618" t="inlineStr">
        <is>
          <t>STOCKHOLMS LÄN</t>
        </is>
      </c>
      <c r="E618" t="inlineStr">
        <is>
          <t>NORRTÄLJE</t>
        </is>
      </c>
      <c r="F618" t="inlineStr">
        <is>
          <t>Naturvårdsverket</t>
        </is>
      </c>
      <c r="G618" t="n">
        <v>17.3</v>
      </c>
      <c r="H618" t="n">
        <v>0</v>
      </c>
      <c r="I618" t="n">
        <v>0</v>
      </c>
      <c r="J618" t="n">
        <v>0</v>
      </c>
      <c r="K618" t="n">
        <v>0</v>
      </c>
      <c r="L618" t="n">
        <v>0</v>
      </c>
      <c r="M618" t="n">
        <v>0</v>
      </c>
      <c r="N618" t="n">
        <v>0</v>
      </c>
      <c r="O618" t="n">
        <v>0</v>
      </c>
      <c r="P618" t="n">
        <v>0</v>
      </c>
      <c r="Q618" t="n">
        <v>0</v>
      </c>
      <c r="R618" s="2" t="inlineStr"/>
    </row>
    <row r="619" ht="15" customHeight="1">
      <c r="A619" t="inlineStr">
        <is>
          <t>A 39905-2023</t>
        </is>
      </c>
      <c r="B619" s="1" t="n">
        <v>45168.44489583333</v>
      </c>
      <c r="C619" s="1" t="n">
        <v>46031</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30639-2025</t>
        </is>
      </c>
      <c r="B620" s="1" t="n">
        <v>45831.4844212963</v>
      </c>
      <c r="C620" s="1" t="n">
        <v>46031</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31170-2025</t>
        </is>
      </c>
      <c r="B621" s="1" t="n">
        <v>45832.66385416667</v>
      </c>
      <c r="C621" s="1" t="n">
        <v>46031</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33793-2022</t>
        </is>
      </c>
      <c r="B622" s="1" t="n">
        <v>44790</v>
      </c>
      <c r="C622" s="1" t="n">
        <v>46031</v>
      </c>
      <c r="D622" t="inlineStr">
        <is>
          <t>STOCKHOLMS LÄN</t>
        </is>
      </c>
      <c r="E622" t="inlineStr">
        <is>
          <t>NORRTÄLJE</t>
        </is>
      </c>
      <c r="G622" t="n">
        <v>1.5</v>
      </c>
      <c r="H622" t="n">
        <v>0</v>
      </c>
      <c r="I622" t="n">
        <v>0</v>
      </c>
      <c r="J622" t="n">
        <v>0</v>
      </c>
      <c r="K622" t="n">
        <v>0</v>
      </c>
      <c r="L622" t="n">
        <v>0</v>
      </c>
      <c r="M622" t="n">
        <v>0</v>
      </c>
      <c r="N622" t="n">
        <v>0</v>
      </c>
      <c r="O622" t="n">
        <v>0</v>
      </c>
      <c r="P622" t="n">
        <v>0</v>
      </c>
      <c r="Q622" t="n">
        <v>0</v>
      </c>
      <c r="R622" s="2" t="inlineStr"/>
    </row>
    <row r="623" ht="15" customHeight="1">
      <c r="A623" t="inlineStr">
        <is>
          <t>A 59672-2025</t>
        </is>
      </c>
      <c r="B623" s="1" t="n">
        <v>45992.45884259259</v>
      </c>
      <c r="C623" s="1" t="n">
        <v>46031</v>
      </c>
      <c r="D623" t="inlineStr">
        <is>
          <t>STOCKHOLMS LÄN</t>
        </is>
      </c>
      <c r="E623" t="inlineStr">
        <is>
          <t>NORRTÄLJE</t>
        </is>
      </c>
      <c r="G623" t="n">
        <v>4</v>
      </c>
      <c r="H623" t="n">
        <v>0</v>
      </c>
      <c r="I623" t="n">
        <v>0</v>
      </c>
      <c r="J623" t="n">
        <v>0</v>
      </c>
      <c r="K623" t="n">
        <v>0</v>
      </c>
      <c r="L623" t="n">
        <v>0</v>
      </c>
      <c r="M623" t="n">
        <v>0</v>
      </c>
      <c r="N623" t="n">
        <v>0</v>
      </c>
      <c r="O623" t="n">
        <v>0</v>
      </c>
      <c r="P623" t="n">
        <v>0</v>
      </c>
      <c r="Q623" t="n">
        <v>0</v>
      </c>
      <c r="R623" s="2" t="inlineStr"/>
    </row>
    <row r="624" ht="15" customHeight="1">
      <c r="A624" t="inlineStr">
        <is>
          <t>A 17304-2024</t>
        </is>
      </c>
      <c r="B624" s="1" t="n">
        <v>45414</v>
      </c>
      <c r="C624" s="1" t="n">
        <v>46031</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51233-2025</t>
        </is>
      </c>
      <c r="B625" s="1" t="n">
        <v>45947.68232638889</v>
      </c>
      <c r="C625" s="1" t="n">
        <v>46031</v>
      </c>
      <c r="D625" t="inlineStr">
        <is>
          <t>STOCKHOLMS LÄN</t>
        </is>
      </c>
      <c r="E625" t="inlineStr">
        <is>
          <t>NORRTÄLJE</t>
        </is>
      </c>
      <c r="F625" t="inlineStr">
        <is>
          <t>Naturvårdsverket</t>
        </is>
      </c>
      <c r="G625" t="n">
        <v>8.1</v>
      </c>
      <c r="H625" t="n">
        <v>0</v>
      </c>
      <c r="I625" t="n">
        <v>0</v>
      </c>
      <c r="J625" t="n">
        <v>0</v>
      </c>
      <c r="K625" t="n">
        <v>0</v>
      </c>
      <c r="L625" t="n">
        <v>0</v>
      </c>
      <c r="M625" t="n">
        <v>0</v>
      </c>
      <c r="N625" t="n">
        <v>0</v>
      </c>
      <c r="O625" t="n">
        <v>0</v>
      </c>
      <c r="P625" t="n">
        <v>0</v>
      </c>
      <c r="Q625" t="n">
        <v>0</v>
      </c>
      <c r="R625" s="2" t="inlineStr"/>
    </row>
    <row r="626" ht="15" customHeight="1">
      <c r="A626" t="inlineStr">
        <is>
          <t>A 51236-2025</t>
        </is>
      </c>
      <c r="B626" s="1" t="n">
        <v>45947.69078703703</v>
      </c>
      <c r="C626" s="1" t="n">
        <v>46031</v>
      </c>
      <c r="D626" t="inlineStr">
        <is>
          <t>STOCKHOLMS LÄN</t>
        </is>
      </c>
      <c r="E626" t="inlineStr">
        <is>
          <t>NORRTÄLJE</t>
        </is>
      </c>
      <c r="F626" t="inlineStr">
        <is>
          <t>Naturvårdsverket</t>
        </is>
      </c>
      <c r="G626" t="n">
        <v>6.3</v>
      </c>
      <c r="H626" t="n">
        <v>0</v>
      </c>
      <c r="I626" t="n">
        <v>0</v>
      </c>
      <c r="J626" t="n">
        <v>0</v>
      </c>
      <c r="K626" t="n">
        <v>0</v>
      </c>
      <c r="L626" t="n">
        <v>0</v>
      </c>
      <c r="M626" t="n">
        <v>0</v>
      </c>
      <c r="N626" t="n">
        <v>0</v>
      </c>
      <c r="O626" t="n">
        <v>0</v>
      </c>
      <c r="P626" t="n">
        <v>0</v>
      </c>
      <c r="Q626" t="n">
        <v>0</v>
      </c>
      <c r="R626" s="2" t="inlineStr"/>
    </row>
    <row r="627" ht="15" customHeight="1">
      <c r="A627" t="inlineStr">
        <is>
          <t>A 51241-2025</t>
        </is>
      </c>
      <c r="B627" s="1" t="n">
        <v>45947.71726851852</v>
      </c>
      <c r="C627" s="1" t="n">
        <v>46031</v>
      </c>
      <c r="D627" t="inlineStr">
        <is>
          <t>STOCKHOLMS LÄN</t>
        </is>
      </c>
      <c r="E627" t="inlineStr">
        <is>
          <t>NORRTÄLJE</t>
        </is>
      </c>
      <c r="F627" t="inlineStr">
        <is>
          <t>Naturvårdsverket</t>
        </is>
      </c>
      <c r="G627" t="n">
        <v>6.4</v>
      </c>
      <c r="H627" t="n">
        <v>0</v>
      </c>
      <c r="I627" t="n">
        <v>0</v>
      </c>
      <c r="J627" t="n">
        <v>0</v>
      </c>
      <c r="K627" t="n">
        <v>0</v>
      </c>
      <c r="L627" t="n">
        <v>0</v>
      </c>
      <c r="M627" t="n">
        <v>0</v>
      </c>
      <c r="N627" t="n">
        <v>0</v>
      </c>
      <c r="O627" t="n">
        <v>0</v>
      </c>
      <c r="P627" t="n">
        <v>0</v>
      </c>
      <c r="Q627" t="n">
        <v>0</v>
      </c>
      <c r="R627" s="2" t="inlineStr"/>
    </row>
    <row r="628" ht="15" customHeight="1">
      <c r="A628" t="inlineStr">
        <is>
          <t>A 51122-2025</t>
        </is>
      </c>
      <c r="B628" s="1" t="n">
        <v>45947.53693287037</v>
      </c>
      <c r="C628" s="1" t="n">
        <v>46031</v>
      </c>
      <c r="D628" t="inlineStr">
        <is>
          <t>STOCKHOLMS LÄN</t>
        </is>
      </c>
      <c r="E628" t="inlineStr">
        <is>
          <t>NORRTÄLJE</t>
        </is>
      </c>
      <c r="G628" t="n">
        <v>3.8</v>
      </c>
      <c r="H628" t="n">
        <v>0</v>
      </c>
      <c r="I628" t="n">
        <v>0</v>
      </c>
      <c r="J628" t="n">
        <v>0</v>
      </c>
      <c r="K628" t="n">
        <v>0</v>
      </c>
      <c r="L628" t="n">
        <v>0</v>
      </c>
      <c r="M628" t="n">
        <v>0</v>
      </c>
      <c r="N628" t="n">
        <v>0</v>
      </c>
      <c r="O628" t="n">
        <v>0</v>
      </c>
      <c r="P628" t="n">
        <v>0</v>
      </c>
      <c r="Q628" t="n">
        <v>0</v>
      </c>
      <c r="R628" s="2" t="inlineStr"/>
    </row>
    <row r="629" ht="15" customHeight="1">
      <c r="A629" t="inlineStr">
        <is>
          <t>A 16852-2024</t>
        </is>
      </c>
      <c r="B629" s="1" t="n">
        <v>45411.54768518519</v>
      </c>
      <c r="C629" s="1" t="n">
        <v>46031</v>
      </c>
      <c r="D629" t="inlineStr">
        <is>
          <t>STOCKHOLMS LÄN</t>
        </is>
      </c>
      <c r="E629" t="inlineStr">
        <is>
          <t>NORRTÄLJE</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4326-2023</t>
        </is>
      </c>
      <c r="B630" s="1" t="n">
        <v>44953.70481481482</v>
      </c>
      <c r="C630" s="1" t="n">
        <v>46031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60223-2025</t>
        </is>
      </c>
      <c r="B631" s="1" t="n">
        <v>45994.54497685185</v>
      </c>
      <c r="C631" s="1" t="n">
        <v>46031</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33385-2024</t>
        </is>
      </c>
      <c r="B632" s="1" t="n">
        <v>45519</v>
      </c>
      <c r="C632" s="1" t="n">
        <v>46031</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29714-2023</t>
        </is>
      </c>
      <c r="B633" s="1" t="n">
        <v>45107.42538194444</v>
      </c>
      <c r="C633" s="1" t="n">
        <v>46031</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30508-2023</t>
        </is>
      </c>
      <c r="B634" s="1" t="n">
        <v>45111</v>
      </c>
      <c r="C634" s="1" t="n">
        <v>46031</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59907-2025</t>
        </is>
      </c>
      <c r="B635" s="1" t="n">
        <v>45993.35350694445</v>
      </c>
      <c r="C635" s="1" t="n">
        <v>46031</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12031-2021</t>
        </is>
      </c>
      <c r="B636" s="1" t="n">
        <v>44266</v>
      </c>
      <c r="C636" s="1" t="n">
        <v>46031</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31874-2025</t>
        </is>
      </c>
      <c r="B637" s="1" t="n">
        <v>45834</v>
      </c>
      <c r="C637" s="1" t="n">
        <v>46031</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31868-2025</t>
        </is>
      </c>
      <c r="B638" s="1" t="n">
        <v>45834.6447337963</v>
      </c>
      <c r="C638" s="1" t="n">
        <v>46031</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6413-2025</t>
        </is>
      </c>
      <c r="B639" s="1" t="n">
        <v>45699.46283564815</v>
      </c>
      <c r="C639" s="1" t="n">
        <v>46031</v>
      </c>
      <c r="D639" t="inlineStr">
        <is>
          <t>STOCKHOLMS LÄN</t>
        </is>
      </c>
      <c r="E639" t="inlineStr">
        <is>
          <t>NORRTÄLJE</t>
        </is>
      </c>
      <c r="G639" t="n">
        <v>3.6</v>
      </c>
      <c r="H639" t="n">
        <v>0</v>
      </c>
      <c r="I639" t="n">
        <v>0</v>
      </c>
      <c r="J639" t="n">
        <v>0</v>
      </c>
      <c r="K639" t="n">
        <v>0</v>
      </c>
      <c r="L639" t="n">
        <v>0</v>
      </c>
      <c r="M639" t="n">
        <v>0</v>
      </c>
      <c r="N639" t="n">
        <v>0</v>
      </c>
      <c r="O639" t="n">
        <v>0</v>
      </c>
      <c r="P639" t="n">
        <v>0</v>
      </c>
      <c r="Q639" t="n">
        <v>0</v>
      </c>
      <c r="R639" s="2" t="inlineStr"/>
    </row>
    <row r="640" ht="15" customHeight="1">
      <c r="A640" t="inlineStr">
        <is>
          <t>A 59914-2025</t>
        </is>
      </c>
      <c r="B640" s="1" t="n">
        <v>45993.37056712963</v>
      </c>
      <c r="C640" s="1" t="n">
        <v>46031</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51945-2025</t>
        </is>
      </c>
      <c r="B641" s="1" t="n">
        <v>45952.52679398148</v>
      </c>
      <c r="C641" s="1" t="n">
        <v>46031</v>
      </c>
      <c r="D641" t="inlineStr">
        <is>
          <t>STOCKHOLMS LÄN</t>
        </is>
      </c>
      <c r="E641" t="inlineStr">
        <is>
          <t>NORRTÄLJE</t>
        </is>
      </c>
      <c r="G641" t="n">
        <v>7</v>
      </c>
      <c r="H641" t="n">
        <v>0</v>
      </c>
      <c r="I641" t="n">
        <v>0</v>
      </c>
      <c r="J641" t="n">
        <v>0</v>
      </c>
      <c r="K641" t="n">
        <v>0</v>
      </c>
      <c r="L641" t="n">
        <v>0</v>
      </c>
      <c r="M641" t="n">
        <v>0</v>
      </c>
      <c r="N641" t="n">
        <v>0</v>
      </c>
      <c r="O641" t="n">
        <v>0</v>
      </c>
      <c r="P641" t="n">
        <v>0</v>
      </c>
      <c r="Q641" t="n">
        <v>0</v>
      </c>
      <c r="R641" s="2" t="inlineStr"/>
    </row>
    <row r="642" ht="15" customHeight="1">
      <c r="A642" t="inlineStr">
        <is>
          <t>A 51941-2025</t>
        </is>
      </c>
      <c r="B642" s="1" t="n">
        <v>45952.52261574074</v>
      </c>
      <c r="C642" s="1" t="n">
        <v>46031</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60253-2025</t>
        </is>
      </c>
      <c r="B643" s="1" t="n">
        <v>45994.59827546297</v>
      </c>
      <c r="C643" s="1" t="n">
        <v>46031</v>
      </c>
      <c r="D643" t="inlineStr">
        <is>
          <t>STOCKHOLMS LÄN</t>
        </is>
      </c>
      <c r="E643" t="inlineStr">
        <is>
          <t>NORRTÄLJE</t>
        </is>
      </c>
      <c r="F643" t="inlineStr">
        <is>
          <t>Holmen skog AB</t>
        </is>
      </c>
      <c r="G643" t="n">
        <v>3.6</v>
      </c>
      <c r="H643" t="n">
        <v>0</v>
      </c>
      <c r="I643" t="n">
        <v>0</v>
      </c>
      <c r="J643" t="n">
        <v>0</v>
      </c>
      <c r="K643" t="n">
        <v>0</v>
      </c>
      <c r="L643" t="n">
        <v>0</v>
      </c>
      <c r="M643" t="n">
        <v>0</v>
      </c>
      <c r="N643" t="n">
        <v>0</v>
      </c>
      <c r="O643" t="n">
        <v>0</v>
      </c>
      <c r="P643" t="n">
        <v>0</v>
      </c>
      <c r="Q643" t="n">
        <v>0</v>
      </c>
      <c r="R643" s="2" t="inlineStr"/>
    </row>
    <row r="644" ht="15" customHeight="1">
      <c r="A644" t="inlineStr">
        <is>
          <t>A 52061-2025</t>
        </is>
      </c>
      <c r="B644" s="1" t="n">
        <v>45952.63679398148</v>
      </c>
      <c r="C644" s="1" t="n">
        <v>46031</v>
      </c>
      <c r="D644" t="inlineStr">
        <is>
          <t>STOCKHOLMS LÄN</t>
        </is>
      </c>
      <c r="E644" t="inlineStr">
        <is>
          <t>NORRTÄLJE</t>
        </is>
      </c>
      <c r="G644" t="n">
        <v>9.5</v>
      </c>
      <c r="H644" t="n">
        <v>0</v>
      </c>
      <c r="I644" t="n">
        <v>0</v>
      </c>
      <c r="J644" t="n">
        <v>0</v>
      </c>
      <c r="K644" t="n">
        <v>0</v>
      </c>
      <c r="L644" t="n">
        <v>0</v>
      </c>
      <c r="M644" t="n">
        <v>0</v>
      </c>
      <c r="N644" t="n">
        <v>0</v>
      </c>
      <c r="O644" t="n">
        <v>0</v>
      </c>
      <c r="P644" t="n">
        <v>0</v>
      </c>
      <c r="Q644" t="n">
        <v>0</v>
      </c>
      <c r="R644" s="2" t="inlineStr"/>
    </row>
    <row r="645" ht="15" customHeight="1">
      <c r="A645" t="inlineStr">
        <is>
          <t>A 59924-2025</t>
        </is>
      </c>
      <c r="B645" s="1" t="n">
        <v>45993.38928240741</v>
      </c>
      <c r="C645" s="1" t="n">
        <v>46031</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31880-2025</t>
        </is>
      </c>
      <c r="B646" s="1" t="n">
        <v>45834.65538194445</v>
      </c>
      <c r="C646" s="1" t="n">
        <v>46031</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8296-2023</t>
        </is>
      </c>
      <c r="B647" s="1" t="n">
        <v>44974</v>
      </c>
      <c r="C647" s="1" t="n">
        <v>46031</v>
      </c>
      <c r="D647" t="inlineStr">
        <is>
          <t>STOCKHOLMS LÄN</t>
        </is>
      </c>
      <c r="E647" t="inlineStr">
        <is>
          <t>NORRTÄLJE</t>
        </is>
      </c>
      <c r="G647" t="n">
        <v>3.8</v>
      </c>
      <c r="H647" t="n">
        <v>0</v>
      </c>
      <c r="I647" t="n">
        <v>0</v>
      </c>
      <c r="J647" t="n">
        <v>0</v>
      </c>
      <c r="K647" t="n">
        <v>0</v>
      </c>
      <c r="L647" t="n">
        <v>0</v>
      </c>
      <c r="M647" t="n">
        <v>0</v>
      </c>
      <c r="N647" t="n">
        <v>0</v>
      </c>
      <c r="O647" t="n">
        <v>0</v>
      </c>
      <c r="P647" t="n">
        <v>0</v>
      </c>
      <c r="Q647" t="n">
        <v>0</v>
      </c>
      <c r="R647" s="2" t="inlineStr"/>
    </row>
    <row r="648" ht="15" customHeight="1">
      <c r="A648" t="inlineStr">
        <is>
          <t>A 51960-2025</t>
        </is>
      </c>
      <c r="B648" s="1" t="n">
        <v>45952.54755787037</v>
      </c>
      <c r="C648" s="1" t="n">
        <v>46031</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51789-2025</t>
        </is>
      </c>
      <c r="B649" s="1" t="n">
        <v>45951.68046296296</v>
      </c>
      <c r="C649" s="1" t="n">
        <v>46031</v>
      </c>
      <c r="D649" t="inlineStr">
        <is>
          <t>STOCKHOLMS LÄN</t>
        </is>
      </c>
      <c r="E649" t="inlineStr">
        <is>
          <t>NORRTÄLJE</t>
        </is>
      </c>
      <c r="F649" t="inlineStr">
        <is>
          <t>Naturvårdsverket</t>
        </is>
      </c>
      <c r="G649" t="n">
        <v>8.9</v>
      </c>
      <c r="H649" t="n">
        <v>0</v>
      </c>
      <c r="I649" t="n">
        <v>0</v>
      </c>
      <c r="J649" t="n">
        <v>0</v>
      </c>
      <c r="K649" t="n">
        <v>0</v>
      </c>
      <c r="L649" t="n">
        <v>0</v>
      </c>
      <c r="M649" t="n">
        <v>0</v>
      </c>
      <c r="N649" t="n">
        <v>0</v>
      </c>
      <c r="O649" t="n">
        <v>0</v>
      </c>
      <c r="P649" t="n">
        <v>0</v>
      </c>
      <c r="Q649" t="n">
        <v>0</v>
      </c>
      <c r="R649" s="2" t="inlineStr"/>
    </row>
    <row r="650" ht="15" customHeight="1">
      <c r="A650" t="inlineStr">
        <is>
          <t>A 31236-2022</t>
        </is>
      </c>
      <c r="B650" s="1" t="n">
        <v>44771</v>
      </c>
      <c r="C650" s="1" t="n">
        <v>46031</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32283-2025</t>
        </is>
      </c>
      <c r="B651" s="1" t="n">
        <v>45835.68076388889</v>
      </c>
      <c r="C651" s="1" t="n">
        <v>46031</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60214-2025</t>
        </is>
      </c>
      <c r="B652" s="1" t="n">
        <v>45994.53761574074</v>
      </c>
      <c r="C652" s="1" t="n">
        <v>46031</v>
      </c>
      <c r="D652" t="inlineStr">
        <is>
          <t>STOCKHOLMS LÄN</t>
        </is>
      </c>
      <c r="E652" t="inlineStr">
        <is>
          <t>NORRTÄLJE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52593-2024</t>
        </is>
      </c>
      <c r="B653" s="1" t="n">
        <v>45609.70778935185</v>
      </c>
      <c r="C653" s="1" t="n">
        <v>46031</v>
      </c>
      <c r="D653" t="inlineStr">
        <is>
          <t>STOCKHOLMS LÄN</t>
        </is>
      </c>
      <c r="E653" t="inlineStr">
        <is>
          <t>NORRTÄLJE</t>
        </is>
      </c>
      <c r="F653" t="inlineStr">
        <is>
          <t>Holmen skog AB</t>
        </is>
      </c>
      <c r="G653" t="n">
        <v>2.4</v>
      </c>
      <c r="H653" t="n">
        <v>0</v>
      </c>
      <c r="I653" t="n">
        <v>0</v>
      </c>
      <c r="J653" t="n">
        <v>0</v>
      </c>
      <c r="K653" t="n">
        <v>0</v>
      </c>
      <c r="L653" t="n">
        <v>0</v>
      </c>
      <c r="M653" t="n">
        <v>0</v>
      </c>
      <c r="N653" t="n">
        <v>0</v>
      </c>
      <c r="O653" t="n">
        <v>0</v>
      </c>
      <c r="P653" t="n">
        <v>0</v>
      </c>
      <c r="Q653" t="n">
        <v>0</v>
      </c>
      <c r="R653" s="2" t="inlineStr"/>
    </row>
    <row r="654" ht="15" customHeight="1">
      <c r="A654" t="inlineStr">
        <is>
          <t>A 52617-2024</t>
        </is>
      </c>
      <c r="B654" s="1" t="n">
        <v>45609.85146990741</v>
      </c>
      <c r="C654" s="1" t="n">
        <v>46031</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52529-2025</t>
        </is>
      </c>
      <c r="B655" s="1" t="n">
        <v>45954.53229166667</v>
      </c>
      <c r="C655" s="1" t="n">
        <v>46031</v>
      </c>
      <c r="D655" t="inlineStr">
        <is>
          <t>STOCKHOLMS LÄN</t>
        </is>
      </c>
      <c r="E655" t="inlineStr">
        <is>
          <t>NORRTÄLJE</t>
        </is>
      </c>
      <c r="F655" t="inlineStr">
        <is>
          <t>Sveaskog</t>
        </is>
      </c>
      <c r="G655" t="n">
        <v>7.8</v>
      </c>
      <c r="H655" t="n">
        <v>0</v>
      </c>
      <c r="I655" t="n">
        <v>0</v>
      </c>
      <c r="J655" t="n">
        <v>0</v>
      </c>
      <c r="K655" t="n">
        <v>0</v>
      </c>
      <c r="L655" t="n">
        <v>0</v>
      </c>
      <c r="M655" t="n">
        <v>0</v>
      </c>
      <c r="N655" t="n">
        <v>0</v>
      </c>
      <c r="O655" t="n">
        <v>0</v>
      </c>
      <c r="P655" t="n">
        <v>0</v>
      </c>
      <c r="Q655" t="n">
        <v>0</v>
      </c>
      <c r="R655" s="2" t="inlineStr"/>
    </row>
    <row r="656" ht="15" customHeight="1">
      <c r="A656" t="inlineStr">
        <is>
          <t>A 27824-2022</t>
        </is>
      </c>
      <c r="B656" s="1" t="n">
        <v>44743.59331018518</v>
      </c>
      <c r="C656" s="1" t="n">
        <v>46031</v>
      </c>
      <c r="D656" t="inlineStr">
        <is>
          <t>STOCKHOLMS LÄN</t>
        </is>
      </c>
      <c r="E656" t="inlineStr">
        <is>
          <t>NORRTÄLJE</t>
        </is>
      </c>
      <c r="F656" t="inlineStr">
        <is>
          <t>Kommuner</t>
        </is>
      </c>
      <c r="G656" t="n">
        <v>3.1</v>
      </c>
      <c r="H656" t="n">
        <v>0</v>
      </c>
      <c r="I656" t="n">
        <v>0</v>
      </c>
      <c r="J656" t="n">
        <v>0</v>
      </c>
      <c r="K656" t="n">
        <v>0</v>
      </c>
      <c r="L656" t="n">
        <v>0</v>
      </c>
      <c r="M656" t="n">
        <v>0</v>
      </c>
      <c r="N656" t="n">
        <v>0</v>
      </c>
      <c r="O656" t="n">
        <v>0</v>
      </c>
      <c r="P656" t="n">
        <v>0</v>
      </c>
      <c r="Q656" t="n">
        <v>0</v>
      </c>
      <c r="R656" s="2" t="inlineStr"/>
    </row>
    <row r="657" ht="15" customHeight="1">
      <c r="A657" t="inlineStr">
        <is>
          <t>A 32122-2025</t>
        </is>
      </c>
      <c r="B657" s="1" t="n">
        <v>45835.4928125</v>
      </c>
      <c r="C657" s="1" t="n">
        <v>46031</v>
      </c>
      <c r="D657" t="inlineStr">
        <is>
          <t>STOCKHOLMS LÄN</t>
        </is>
      </c>
      <c r="E657" t="inlineStr">
        <is>
          <t>NORRTÄLJE</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52251-2025</t>
        </is>
      </c>
      <c r="B658" s="1" t="n">
        <v>45953.49185185185</v>
      </c>
      <c r="C658" s="1" t="n">
        <v>46031</v>
      </c>
      <c r="D658" t="inlineStr">
        <is>
          <t>STOCKHOLMS LÄN</t>
        </is>
      </c>
      <c r="E658" t="inlineStr">
        <is>
          <t>NORRTÄLJE</t>
        </is>
      </c>
      <c r="G658" t="n">
        <v>6.2</v>
      </c>
      <c r="H658" t="n">
        <v>0</v>
      </c>
      <c r="I658" t="n">
        <v>0</v>
      </c>
      <c r="J658" t="n">
        <v>0</v>
      </c>
      <c r="K658" t="n">
        <v>0</v>
      </c>
      <c r="L658" t="n">
        <v>0</v>
      </c>
      <c r="M658" t="n">
        <v>0</v>
      </c>
      <c r="N658" t="n">
        <v>0</v>
      </c>
      <c r="O658" t="n">
        <v>0</v>
      </c>
      <c r="P658" t="n">
        <v>0</v>
      </c>
      <c r="Q658" t="n">
        <v>0</v>
      </c>
      <c r="R658" s="2" t="inlineStr"/>
    </row>
    <row r="659" ht="15" customHeight="1">
      <c r="A659" t="inlineStr">
        <is>
          <t>A 52254-2025</t>
        </is>
      </c>
      <c r="B659" s="1" t="n">
        <v>45953.49519675926</v>
      </c>
      <c r="C659" s="1" t="n">
        <v>46031</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60649-2025</t>
        </is>
      </c>
      <c r="B660" s="1" t="n">
        <v>45996.4560300926</v>
      </c>
      <c r="C660" s="1" t="n">
        <v>46031</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52526-2025</t>
        </is>
      </c>
      <c r="B661" s="1" t="n">
        <v>45954.53061342592</v>
      </c>
      <c r="C661" s="1" t="n">
        <v>46031</v>
      </c>
      <c r="D661" t="inlineStr">
        <is>
          <t>STOCKHOLMS LÄN</t>
        </is>
      </c>
      <c r="E661" t="inlineStr">
        <is>
          <t>NORRTÄLJE</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47521-2024</t>
        </is>
      </c>
      <c r="B662" s="1" t="n">
        <v>45587.62565972222</v>
      </c>
      <c r="C662" s="1" t="n">
        <v>46031</v>
      </c>
      <c r="D662" t="inlineStr">
        <is>
          <t>STOCKHOLMS LÄN</t>
        </is>
      </c>
      <c r="E662" t="inlineStr">
        <is>
          <t>NORRTÄLJE</t>
        </is>
      </c>
      <c r="G662" t="n">
        <v>4.7</v>
      </c>
      <c r="H662" t="n">
        <v>0</v>
      </c>
      <c r="I662" t="n">
        <v>0</v>
      </c>
      <c r="J662" t="n">
        <v>0</v>
      </c>
      <c r="K662" t="n">
        <v>0</v>
      </c>
      <c r="L662" t="n">
        <v>0</v>
      </c>
      <c r="M662" t="n">
        <v>0</v>
      </c>
      <c r="N662" t="n">
        <v>0</v>
      </c>
      <c r="O662" t="n">
        <v>0</v>
      </c>
      <c r="P662" t="n">
        <v>0</v>
      </c>
      <c r="Q662" t="n">
        <v>0</v>
      </c>
      <c r="R662" s="2" t="inlineStr"/>
    </row>
    <row r="663" ht="15" customHeight="1">
      <c r="A663" t="inlineStr">
        <is>
          <t>A 32094-2025</t>
        </is>
      </c>
      <c r="B663" s="1" t="n">
        <v>45835.46034722222</v>
      </c>
      <c r="C663" s="1" t="n">
        <v>46031</v>
      </c>
      <c r="D663" t="inlineStr">
        <is>
          <t>STOCKHOLMS LÄN</t>
        </is>
      </c>
      <c r="E663" t="inlineStr">
        <is>
          <t>NORRTÄLJE</t>
        </is>
      </c>
      <c r="F663" t="inlineStr">
        <is>
          <t>Holmen skog AB</t>
        </is>
      </c>
      <c r="G663" t="n">
        <v>2.9</v>
      </c>
      <c r="H663" t="n">
        <v>0</v>
      </c>
      <c r="I663" t="n">
        <v>0</v>
      </c>
      <c r="J663" t="n">
        <v>0</v>
      </c>
      <c r="K663" t="n">
        <v>0</v>
      </c>
      <c r="L663" t="n">
        <v>0</v>
      </c>
      <c r="M663" t="n">
        <v>0</v>
      </c>
      <c r="N663" t="n">
        <v>0</v>
      </c>
      <c r="O663" t="n">
        <v>0</v>
      </c>
      <c r="P663" t="n">
        <v>0</v>
      </c>
      <c r="Q663" t="n">
        <v>0</v>
      </c>
      <c r="R663" s="2" t="inlineStr"/>
    </row>
    <row r="664" ht="15" customHeight="1">
      <c r="A664" t="inlineStr">
        <is>
          <t>A 50534-2024</t>
        </is>
      </c>
      <c r="B664" s="1" t="n">
        <v>45601.56726851852</v>
      </c>
      <c r="C664" s="1" t="n">
        <v>46031</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32016-2025</t>
        </is>
      </c>
      <c r="B665" s="1" t="n">
        <v>45835</v>
      </c>
      <c r="C665" s="1" t="n">
        <v>46031</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32396-2025</t>
        </is>
      </c>
      <c r="B666" s="1" t="n">
        <v>45837</v>
      </c>
      <c r="C666" s="1" t="n">
        <v>46031</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32397-2025</t>
        </is>
      </c>
      <c r="B667" s="1" t="n">
        <v>45837.94081018519</v>
      </c>
      <c r="C667" s="1" t="n">
        <v>46031</v>
      </c>
      <c r="D667" t="inlineStr">
        <is>
          <t>STOCKHOLMS LÄN</t>
        </is>
      </c>
      <c r="E667" t="inlineStr">
        <is>
          <t>NORRTÄLJE</t>
        </is>
      </c>
      <c r="G667" t="n">
        <v>5.9</v>
      </c>
      <c r="H667" t="n">
        <v>0</v>
      </c>
      <c r="I667" t="n">
        <v>0</v>
      </c>
      <c r="J667" t="n">
        <v>0</v>
      </c>
      <c r="K667" t="n">
        <v>0</v>
      </c>
      <c r="L667" t="n">
        <v>0</v>
      </c>
      <c r="M667" t="n">
        <v>0</v>
      </c>
      <c r="N667" t="n">
        <v>0</v>
      </c>
      <c r="O667" t="n">
        <v>0</v>
      </c>
      <c r="P667" t="n">
        <v>0</v>
      </c>
      <c r="Q667" t="n">
        <v>0</v>
      </c>
      <c r="R667" s="2" t="inlineStr"/>
    </row>
    <row r="668" ht="15" customHeight="1">
      <c r="A668" t="inlineStr">
        <is>
          <t>A 32480-2025</t>
        </is>
      </c>
      <c r="B668" s="1" t="n">
        <v>45838.43261574074</v>
      </c>
      <c r="C668" s="1" t="n">
        <v>46031</v>
      </c>
      <c r="D668" t="inlineStr">
        <is>
          <t>STOCKHOLMS LÄN</t>
        </is>
      </c>
      <c r="E668" t="inlineStr">
        <is>
          <t>NORRTÄLJE</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42094-2023</t>
        </is>
      </c>
      <c r="B669" s="1" t="n">
        <v>45177.61498842593</v>
      </c>
      <c r="C669" s="1" t="n">
        <v>46031</v>
      </c>
      <c r="D669" t="inlineStr">
        <is>
          <t>STOCKHOLMS LÄN</t>
        </is>
      </c>
      <c r="E669" t="inlineStr">
        <is>
          <t>NORRTÄLJE</t>
        </is>
      </c>
      <c r="G669" t="n">
        <v>0.3</v>
      </c>
      <c r="H669" t="n">
        <v>0</v>
      </c>
      <c r="I669" t="n">
        <v>0</v>
      </c>
      <c r="J669" t="n">
        <v>0</v>
      </c>
      <c r="K669" t="n">
        <v>0</v>
      </c>
      <c r="L669" t="n">
        <v>0</v>
      </c>
      <c r="M669" t="n">
        <v>0</v>
      </c>
      <c r="N669" t="n">
        <v>0</v>
      </c>
      <c r="O669" t="n">
        <v>0</v>
      </c>
      <c r="P669" t="n">
        <v>0</v>
      </c>
      <c r="Q669" t="n">
        <v>0</v>
      </c>
      <c r="R669" s="2" t="inlineStr"/>
    </row>
    <row r="670" ht="15" customHeight="1">
      <c r="A670" t="inlineStr">
        <is>
          <t>A 58530-2024</t>
        </is>
      </c>
      <c r="B670" s="1" t="n">
        <v>45635.44788194444</v>
      </c>
      <c r="C670" s="1" t="n">
        <v>46031</v>
      </c>
      <c r="D670" t="inlineStr">
        <is>
          <t>STOCKHOLMS LÄN</t>
        </is>
      </c>
      <c r="E670" t="inlineStr">
        <is>
          <t>NORRTÄLJE</t>
        </is>
      </c>
      <c r="G670" t="n">
        <v>4.5</v>
      </c>
      <c r="H670" t="n">
        <v>0</v>
      </c>
      <c r="I670" t="n">
        <v>0</v>
      </c>
      <c r="J670" t="n">
        <v>0</v>
      </c>
      <c r="K670" t="n">
        <v>0</v>
      </c>
      <c r="L670" t="n">
        <v>0</v>
      </c>
      <c r="M670" t="n">
        <v>0</v>
      </c>
      <c r="N670" t="n">
        <v>0</v>
      </c>
      <c r="O670" t="n">
        <v>0</v>
      </c>
      <c r="P670" t="n">
        <v>0</v>
      </c>
      <c r="Q670" t="n">
        <v>0</v>
      </c>
      <c r="R670" s="2" t="inlineStr"/>
    </row>
    <row r="671" ht="15" customHeight="1">
      <c r="A671" t="inlineStr">
        <is>
          <t>A 30620-2022</t>
        </is>
      </c>
      <c r="B671" s="1" t="n">
        <v>44763.40914351852</v>
      </c>
      <c r="C671" s="1" t="n">
        <v>46031</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57602-2024</t>
        </is>
      </c>
      <c r="B672" s="1" t="n">
        <v>45630.52866898148</v>
      </c>
      <c r="C672" s="1" t="n">
        <v>46031</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61160-2025</t>
        </is>
      </c>
      <c r="B673" s="1" t="n">
        <v>46000.55262731481</v>
      </c>
      <c r="C673" s="1" t="n">
        <v>46031</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32395-2025</t>
        </is>
      </c>
      <c r="B674" s="1" t="n">
        <v>45837.93730324074</v>
      </c>
      <c r="C674" s="1" t="n">
        <v>46031</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46031</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11854-2025</t>
        </is>
      </c>
      <c r="B676" s="1" t="n">
        <v>45728.38924768518</v>
      </c>
      <c r="C676" s="1" t="n">
        <v>46031</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1283-2025</t>
        </is>
      </c>
      <c r="B677" s="1" t="n">
        <v>45667.49878472222</v>
      </c>
      <c r="C677" s="1" t="n">
        <v>46031</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60745-2025</t>
        </is>
      </c>
      <c r="B678" s="1" t="n">
        <v>45999.37753472223</v>
      </c>
      <c r="C678" s="1" t="n">
        <v>46031</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52777-2025</t>
        </is>
      </c>
      <c r="B679" s="1" t="n">
        <v>45957.41832175926</v>
      </c>
      <c r="C679" s="1" t="n">
        <v>46031</v>
      </c>
      <c r="D679" t="inlineStr">
        <is>
          <t>STOCKHOLMS LÄN</t>
        </is>
      </c>
      <c r="E679" t="inlineStr">
        <is>
          <t>NORRTÄLJE</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52553-2025</t>
        </is>
      </c>
      <c r="B680" s="1" t="n">
        <v>45954.5624537037</v>
      </c>
      <c r="C680" s="1" t="n">
        <v>46031</v>
      </c>
      <c r="D680" t="inlineStr">
        <is>
          <t>STOCKHOLMS LÄN</t>
        </is>
      </c>
      <c r="E680" t="inlineStr">
        <is>
          <t>NORRTÄLJE</t>
        </is>
      </c>
      <c r="G680" t="n">
        <v>4.4</v>
      </c>
      <c r="H680" t="n">
        <v>0</v>
      </c>
      <c r="I680" t="n">
        <v>0</v>
      </c>
      <c r="J680" t="n">
        <v>0</v>
      </c>
      <c r="K680" t="n">
        <v>0</v>
      </c>
      <c r="L680" t="n">
        <v>0</v>
      </c>
      <c r="M680" t="n">
        <v>0</v>
      </c>
      <c r="N680" t="n">
        <v>0</v>
      </c>
      <c r="O680" t="n">
        <v>0</v>
      </c>
      <c r="P680" t="n">
        <v>0</v>
      </c>
      <c r="Q680" t="n">
        <v>0</v>
      </c>
      <c r="R680" s="2" t="inlineStr"/>
    </row>
    <row r="681" ht="15" customHeight="1">
      <c r="A681" t="inlineStr">
        <is>
          <t>A 53087-2025</t>
        </is>
      </c>
      <c r="B681" s="1" t="n">
        <v>45958.41065972222</v>
      </c>
      <c r="C681" s="1" t="n">
        <v>46031</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33211-2025</t>
        </is>
      </c>
      <c r="B682" s="1" t="n">
        <v>45840.62755787037</v>
      </c>
      <c r="C682" s="1" t="n">
        <v>46031</v>
      </c>
      <c r="D682" t="inlineStr">
        <is>
          <t>STOCKHOLMS LÄN</t>
        </is>
      </c>
      <c r="E682" t="inlineStr">
        <is>
          <t>NORRTÄLJE</t>
        </is>
      </c>
      <c r="G682" t="n">
        <v>5.1</v>
      </c>
      <c r="H682" t="n">
        <v>0</v>
      </c>
      <c r="I682" t="n">
        <v>0</v>
      </c>
      <c r="J682" t="n">
        <v>0</v>
      </c>
      <c r="K682" t="n">
        <v>0</v>
      </c>
      <c r="L682" t="n">
        <v>0</v>
      </c>
      <c r="M682" t="n">
        <v>0</v>
      </c>
      <c r="N682" t="n">
        <v>0</v>
      </c>
      <c r="O682" t="n">
        <v>0</v>
      </c>
      <c r="P682" t="n">
        <v>0</v>
      </c>
      <c r="Q682" t="n">
        <v>0</v>
      </c>
      <c r="R682" s="2" t="inlineStr"/>
    </row>
    <row r="683" ht="15" customHeight="1">
      <c r="A683" t="inlineStr">
        <is>
          <t>A 52704-2025</t>
        </is>
      </c>
      <c r="B683" s="1" t="n">
        <v>45956.89097222222</v>
      </c>
      <c r="C683" s="1" t="n">
        <v>46031</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60217-2021</t>
        </is>
      </c>
      <c r="B684" s="1" t="n">
        <v>44495.5893287037</v>
      </c>
      <c r="C684" s="1" t="n">
        <v>46031</v>
      </c>
      <c r="D684" t="inlineStr">
        <is>
          <t>STOCKHOLMS LÄN</t>
        </is>
      </c>
      <c r="E684" t="inlineStr">
        <is>
          <t>NORRTÄLJE</t>
        </is>
      </c>
      <c r="G684" t="n">
        <v>4.3</v>
      </c>
      <c r="H684" t="n">
        <v>0</v>
      </c>
      <c r="I684" t="n">
        <v>0</v>
      </c>
      <c r="J684" t="n">
        <v>0</v>
      </c>
      <c r="K684" t="n">
        <v>0</v>
      </c>
      <c r="L684" t="n">
        <v>0</v>
      </c>
      <c r="M684" t="n">
        <v>0</v>
      </c>
      <c r="N684" t="n">
        <v>0</v>
      </c>
      <c r="O684" t="n">
        <v>0</v>
      </c>
      <c r="P684" t="n">
        <v>0</v>
      </c>
      <c r="Q684" t="n">
        <v>0</v>
      </c>
      <c r="R684" s="2" t="inlineStr"/>
    </row>
    <row r="685" ht="15" customHeight="1">
      <c r="A685" t="inlineStr">
        <is>
          <t>A 52734-2025</t>
        </is>
      </c>
      <c r="B685" s="1" t="n">
        <v>45957.3710300926</v>
      </c>
      <c r="C685" s="1" t="n">
        <v>46031</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32903-2025</t>
        </is>
      </c>
      <c r="B686" s="1" t="n">
        <v>45839.62398148148</v>
      </c>
      <c r="C686" s="1" t="n">
        <v>46031</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28900-2022</t>
        </is>
      </c>
      <c r="B687" s="1" t="n">
        <v>44749.55258101852</v>
      </c>
      <c r="C687" s="1" t="n">
        <v>46031</v>
      </c>
      <c r="D687" t="inlineStr">
        <is>
          <t>STOCKHOLMS LÄN</t>
        </is>
      </c>
      <c r="E687" t="inlineStr">
        <is>
          <t>NORRTÄLJE</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32514-2022</t>
        </is>
      </c>
      <c r="B688" s="1" t="n">
        <v>44782</v>
      </c>
      <c r="C688" s="1" t="n">
        <v>46031</v>
      </c>
      <c r="D688" t="inlineStr">
        <is>
          <t>STOCKHOLMS LÄN</t>
        </is>
      </c>
      <c r="E688" t="inlineStr">
        <is>
          <t>NORRTÄLJE</t>
        </is>
      </c>
      <c r="G688" t="n">
        <v>5.1</v>
      </c>
      <c r="H688" t="n">
        <v>0</v>
      </c>
      <c r="I688" t="n">
        <v>0</v>
      </c>
      <c r="J688" t="n">
        <v>0</v>
      </c>
      <c r="K688" t="n">
        <v>0</v>
      </c>
      <c r="L688" t="n">
        <v>0</v>
      </c>
      <c r="M688" t="n">
        <v>0</v>
      </c>
      <c r="N688" t="n">
        <v>0</v>
      </c>
      <c r="O688" t="n">
        <v>0</v>
      </c>
      <c r="P688" t="n">
        <v>0</v>
      </c>
      <c r="Q688" t="n">
        <v>0</v>
      </c>
      <c r="R688" s="2" t="inlineStr"/>
    </row>
    <row r="689" ht="15" customHeight="1">
      <c r="A689" t="inlineStr">
        <is>
          <t>A 33265-2025</t>
        </is>
      </c>
      <c r="B689" s="1" t="n">
        <v>45840.67829861111</v>
      </c>
      <c r="C689" s="1" t="n">
        <v>46031</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32872-2025</t>
        </is>
      </c>
      <c r="B690" s="1" t="n">
        <v>45839</v>
      </c>
      <c r="C690" s="1" t="n">
        <v>46031</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61289-2025</t>
        </is>
      </c>
      <c r="B691" s="1" t="n">
        <v>46000.73659722223</v>
      </c>
      <c r="C691" s="1" t="n">
        <v>46031</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52773-2025</t>
        </is>
      </c>
      <c r="B692" s="1" t="n">
        <v>45957.41457175926</v>
      </c>
      <c r="C692" s="1" t="n">
        <v>46031</v>
      </c>
      <c r="D692" t="inlineStr">
        <is>
          <t>STOCKHOLMS LÄN</t>
        </is>
      </c>
      <c r="E692" t="inlineStr">
        <is>
          <t>NORRTÄLJE</t>
        </is>
      </c>
      <c r="F692" t="inlineStr">
        <is>
          <t>Sveaskog</t>
        </is>
      </c>
      <c r="G692" t="n">
        <v>10.5</v>
      </c>
      <c r="H692" t="n">
        <v>0</v>
      </c>
      <c r="I692" t="n">
        <v>0</v>
      </c>
      <c r="J692" t="n">
        <v>0</v>
      </c>
      <c r="K692" t="n">
        <v>0</v>
      </c>
      <c r="L692" t="n">
        <v>0</v>
      </c>
      <c r="M692" t="n">
        <v>0</v>
      </c>
      <c r="N692" t="n">
        <v>0</v>
      </c>
      <c r="O692" t="n">
        <v>0</v>
      </c>
      <c r="P692" t="n">
        <v>0</v>
      </c>
      <c r="Q692" t="n">
        <v>0</v>
      </c>
      <c r="R692" s="2" t="inlineStr"/>
    </row>
    <row r="693" ht="15" customHeight="1">
      <c r="A693" t="inlineStr">
        <is>
          <t>A 52776-2025</t>
        </is>
      </c>
      <c r="B693" s="1" t="n">
        <v>45957.41724537037</v>
      </c>
      <c r="C693" s="1" t="n">
        <v>46031</v>
      </c>
      <c r="D693" t="inlineStr">
        <is>
          <t>STOCKHOLMS LÄN</t>
        </is>
      </c>
      <c r="E693" t="inlineStr">
        <is>
          <t>NORRTÄLJE</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52703-2025</t>
        </is>
      </c>
      <c r="B694" s="1" t="n">
        <v>45956.88643518519</v>
      </c>
      <c r="C694" s="1" t="n">
        <v>46031</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33702-2025</t>
        </is>
      </c>
      <c r="B695" s="1" t="n">
        <v>45841.74596064815</v>
      </c>
      <c r="C695" s="1" t="n">
        <v>46031</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33336-2025</t>
        </is>
      </c>
      <c r="B696" s="1" t="n">
        <v>45841.35611111111</v>
      </c>
      <c r="C696" s="1" t="n">
        <v>46031</v>
      </c>
      <c r="D696" t="inlineStr">
        <is>
          <t>STOCKHOLMS LÄN</t>
        </is>
      </c>
      <c r="E696" t="inlineStr">
        <is>
          <t>NORRTÄLJE</t>
        </is>
      </c>
      <c r="G696" t="n">
        <v>2.4</v>
      </c>
      <c r="H696" t="n">
        <v>0</v>
      </c>
      <c r="I696" t="n">
        <v>0</v>
      </c>
      <c r="J696" t="n">
        <v>0</v>
      </c>
      <c r="K696" t="n">
        <v>0</v>
      </c>
      <c r="L696" t="n">
        <v>0</v>
      </c>
      <c r="M696" t="n">
        <v>0</v>
      </c>
      <c r="N696" t="n">
        <v>0</v>
      </c>
      <c r="O696" t="n">
        <v>0</v>
      </c>
      <c r="P696" t="n">
        <v>0</v>
      </c>
      <c r="Q696" t="n">
        <v>0</v>
      </c>
      <c r="R696" s="2" t="inlineStr"/>
    </row>
    <row r="697" ht="15" customHeight="1">
      <c r="A697" t="inlineStr">
        <is>
          <t>A 23125-2022</t>
        </is>
      </c>
      <c r="B697" s="1" t="n">
        <v>44719</v>
      </c>
      <c r="C697" s="1" t="n">
        <v>46031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60928-2025</t>
        </is>
      </c>
      <c r="B698" s="1" t="n">
        <v>45999.633125</v>
      </c>
      <c r="C698" s="1" t="n">
        <v>46031</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60948-2025</t>
        </is>
      </c>
      <c r="B699" s="1" t="n">
        <v>45999.650625</v>
      </c>
      <c r="C699" s="1" t="n">
        <v>46031</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59041-2025</t>
        </is>
      </c>
      <c r="B700" s="1" t="n">
        <v>45988</v>
      </c>
      <c r="C700" s="1" t="n">
        <v>46031</v>
      </c>
      <c r="D700" t="inlineStr">
        <is>
          <t>STOCKHOLMS LÄN</t>
        </is>
      </c>
      <c r="E700" t="inlineStr">
        <is>
          <t>NORRTÄLJE</t>
        </is>
      </c>
      <c r="G700" t="n">
        <v>6.6</v>
      </c>
      <c r="H700" t="n">
        <v>0</v>
      </c>
      <c r="I700" t="n">
        <v>0</v>
      </c>
      <c r="J700" t="n">
        <v>0</v>
      </c>
      <c r="K700" t="n">
        <v>0</v>
      </c>
      <c r="L700" t="n">
        <v>0</v>
      </c>
      <c r="M700" t="n">
        <v>0</v>
      </c>
      <c r="N700" t="n">
        <v>0</v>
      </c>
      <c r="O700" t="n">
        <v>0</v>
      </c>
      <c r="P700" t="n">
        <v>0</v>
      </c>
      <c r="Q700" t="n">
        <v>0</v>
      </c>
      <c r="R700" s="2" t="inlineStr"/>
    </row>
    <row r="701" ht="15" customHeight="1">
      <c r="A701" t="inlineStr">
        <is>
          <t>A 33552-2025</t>
        </is>
      </c>
      <c r="B701" s="1" t="n">
        <v>45841.5737962963</v>
      </c>
      <c r="C701" s="1" t="n">
        <v>46031</v>
      </c>
      <c r="D701" t="inlineStr">
        <is>
          <t>STOCKHOLMS LÄN</t>
        </is>
      </c>
      <c r="E701" t="inlineStr">
        <is>
          <t>NORRTÄLJE</t>
        </is>
      </c>
      <c r="G701" t="n">
        <v>8.9</v>
      </c>
      <c r="H701" t="n">
        <v>0</v>
      </c>
      <c r="I701" t="n">
        <v>0</v>
      </c>
      <c r="J701" t="n">
        <v>0</v>
      </c>
      <c r="K701" t="n">
        <v>0</v>
      </c>
      <c r="L701" t="n">
        <v>0</v>
      </c>
      <c r="M701" t="n">
        <v>0</v>
      </c>
      <c r="N701" t="n">
        <v>0</v>
      </c>
      <c r="O701" t="n">
        <v>0</v>
      </c>
      <c r="P701" t="n">
        <v>0</v>
      </c>
      <c r="Q701" t="n">
        <v>0</v>
      </c>
      <c r="R701" s="2" t="inlineStr"/>
    </row>
    <row r="702" ht="15" customHeight="1">
      <c r="A702" t="inlineStr">
        <is>
          <t>A 53000-2025</t>
        </is>
      </c>
      <c r="B702" s="1" t="n">
        <v>45957.74357638889</v>
      </c>
      <c r="C702" s="1" t="n">
        <v>46031</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53115-2025</t>
        </is>
      </c>
      <c r="B703" s="1" t="n">
        <v>45958.44614583333</v>
      </c>
      <c r="C703" s="1" t="n">
        <v>46031</v>
      </c>
      <c r="D703" t="inlineStr">
        <is>
          <t>STOCKHOLMS LÄN</t>
        </is>
      </c>
      <c r="E703" t="inlineStr">
        <is>
          <t>NORRTÄLJE</t>
        </is>
      </c>
      <c r="F703" t="inlineStr">
        <is>
          <t>Kyrkan</t>
        </is>
      </c>
      <c r="G703" t="n">
        <v>2.5</v>
      </c>
      <c r="H703" t="n">
        <v>0</v>
      </c>
      <c r="I703" t="n">
        <v>0</v>
      </c>
      <c r="J703" t="n">
        <v>0</v>
      </c>
      <c r="K703" t="n">
        <v>0</v>
      </c>
      <c r="L703" t="n">
        <v>0</v>
      </c>
      <c r="M703" t="n">
        <v>0</v>
      </c>
      <c r="N703" t="n">
        <v>0</v>
      </c>
      <c r="O703" t="n">
        <v>0</v>
      </c>
      <c r="P703" t="n">
        <v>0</v>
      </c>
      <c r="Q703" t="n">
        <v>0</v>
      </c>
      <c r="R703" s="2" t="inlineStr"/>
    </row>
    <row r="704" ht="15" customHeight="1">
      <c r="A704" t="inlineStr">
        <is>
          <t>A 9329-2023</t>
        </is>
      </c>
      <c r="B704" s="1" t="n">
        <v>44980</v>
      </c>
      <c r="C704" s="1" t="n">
        <v>46031</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6855-2025</t>
        </is>
      </c>
      <c r="B705" s="1" t="n">
        <v>45700</v>
      </c>
      <c r="C705" s="1" t="n">
        <v>46031</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33824-2025</t>
        </is>
      </c>
      <c r="B706" s="1" t="n">
        <v>45842.46885416667</v>
      </c>
      <c r="C706" s="1" t="n">
        <v>46031</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61769-2025</t>
        </is>
      </c>
      <c r="B707" s="1" t="n">
        <v>46002.64556712963</v>
      </c>
      <c r="C707" s="1" t="n">
        <v>46031</v>
      </c>
      <c r="D707" t="inlineStr">
        <is>
          <t>STOCKHOLMS LÄN</t>
        </is>
      </c>
      <c r="E707" t="inlineStr">
        <is>
          <t>NORRTÄLJE</t>
        </is>
      </c>
      <c r="G707" t="n">
        <v>2.9</v>
      </c>
      <c r="H707" t="n">
        <v>0</v>
      </c>
      <c r="I707" t="n">
        <v>0</v>
      </c>
      <c r="J707" t="n">
        <v>0</v>
      </c>
      <c r="K707" t="n">
        <v>0</v>
      </c>
      <c r="L707" t="n">
        <v>0</v>
      </c>
      <c r="M707" t="n">
        <v>0</v>
      </c>
      <c r="N707" t="n">
        <v>0</v>
      </c>
      <c r="O707" t="n">
        <v>0</v>
      </c>
      <c r="P707" t="n">
        <v>0</v>
      </c>
      <c r="Q707" t="n">
        <v>0</v>
      </c>
      <c r="R707" s="2" t="inlineStr"/>
    </row>
    <row r="708" ht="15" customHeight="1">
      <c r="A708" t="inlineStr">
        <is>
          <t>A 14873-2025</t>
        </is>
      </c>
      <c r="B708" s="1" t="n">
        <v>45743.44953703704</v>
      </c>
      <c r="C708" s="1" t="n">
        <v>46031</v>
      </c>
      <c r="D708" t="inlineStr">
        <is>
          <t>STOCKHOLMS LÄN</t>
        </is>
      </c>
      <c r="E708" t="inlineStr">
        <is>
          <t>NORRTÄLJE</t>
        </is>
      </c>
      <c r="G708" t="n">
        <v>10.2</v>
      </c>
      <c r="H708" t="n">
        <v>0</v>
      </c>
      <c r="I708" t="n">
        <v>0</v>
      </c>
      <c r="J708" t="n">
        <v>0</v>
      </c>
      <c r="K708" t="n">
        <v>0</v>
      </c>
      <c r="L708" t="n">
        <v>0</v>
      </c>
      <c r="M708" t="n">
        <v>0</v>
      </c>
      <c r="N708" t="n">
        <v>0</v>
      </c>
      <c r="O708" t="n">
        <v>0</v>
      </c>
      <c r="P708" t="n">
        <v>0</v>
      </c>
      <c r="Q708" t="n">
        <v>0</v>
      </c>
      <c r="R708" s="2" t="inlineStr"/>
    </row>
    <row r="709" ht="15" customHeight="1">
      <c r="A709" t="inlineStr">
        <is>
          <t>A 8135-2025</t>
        </is>
      </c>
      <c r="B709" s="1" t="n">
        <v>45707.84997685185</v>
      </c>
      <c r="C709" s="1" t="n">
        <v>46031</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31936-2022</t>
        </is>
      </c>
      <c r="B710" s="1" t="n">
        <v>44777</v>
      </c>
      <c r="C710" s="1" t="n">
        <v>46031</v>
      </c>
      <c r="D710" t="inlineStr">
        <is>
          <t>STOCKHOLMS LÄN</t>
        </is>
      </c>
      <c r="E710" t="inlineStr">
        <is>
          <t>NORRTÄLJE</t>
        </is>
      </c>
      <c r="G710" t="n">
        <v>5.2</v>
      </c>
      <c r="H710" t="n">
        <v>0</v>
      </c>
      <c r="I710" t="n">
        <v>0</v>
      </c>
      <c r="J710" t="n">
        <v>0</v>
      </c>
      <c r="K710" t="n">
        <v>0</v>
      </c>
      <c r="L710" t="n">
        <v>0</v>
      </c>
      <c r="M710" t="n">
        <v>0</v>
      </c>
      <c r="N710" t="n">
        <v>0</v>
      </c>
      <c r="O710" t="n">
        <v>0</v>
      </c>
      <c r="P710" t="n">
        <v>0</v>
      </c>
      <c r="Q710" t="n">
        <v>0</v>
      </c>
      <c r="R710" s="2" t="inlineStr"/>
    </row>
    <row r="711" ht="15" customHeight="1">
      <c r="A711" t="inlineStr">
        <is>
          <t>A 46073-2024</t>
        </is>
      </c>
      <c r="B711" s="1" t="n">
        <v>45581</v>
      </c>
      <c r="C711" s="1" t="n">
        <v>46031</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53629-2025</t>
        </is>
      </c>
      <c r="B712" s="1" t="n">
        <v>45960.49570601852</v>
      </c>
      <c r="C712" s="1" t="n">
        <v>46031</v>
      </c>
      <c r="D712" t="inlineStr">
        <is>
          <t>STOCKHOLMS LÄN</t>
        </is>
      </c>
      <c r="E712" t="inlineStr">
        <is>
          <t>NORRTÄLJE</t>
        </is>
      </c>
      <c r="F712" t="inlineStr">
        <is>
          <t>Naturvårdsverket</t>
        </is>
      </c>
      <c r="G712" t="n">
        <v>7.9</v>
      </c>
      <c r="H712" t="n">
        <v>0</v>
      </c>
      <c r="I712" t="n">
        <v>0</v>
      </c>
      <c r="J712" t="n">
        <v>0</v>
      </c>
      <c r="K712" t="n">
        <v>0</v>
      </c>
      <c r="L712" t="n">
        <v>0</v>
      </c>
      <c r="M712" t="n">
        <v>0</v>
      </c>
      <c r="N712" t="n">
        <v>0</v>
      </c>
      <c r="O712" t="n">
        <v>0</v>
      </c>
      <c r="P712" t="n">
        <v>0</v>
      </c>
      <c r="Q712" t="n">
        <v>0</v>
      </c>
      <c r="R712" s="2" t="inlineStr"/>
    </row>
    <row r="713" ht="15" customHeight="1">
      <c r="A713" t="inlineStr">
        <is>
          <t>A 24887-2023</t>
        </is>
      </c>
      <c r="B713" s="1" t="n">
        <v>45085</v>
      </c>
      <c r="C713" s="1" t="n">
        <v>46031</v>
      </c>
      <c r="D713" t="inlineStr">
        <is>
          <t>STOCKHOLMS LÄN</t>
        </is>
      </c>
      <c r="E713" t="inlineStr">
        <is>
          <t>NORRTÄLJE</t>
        </is>
      </c>
      <c r="G713" t="n">
        <v>13.9</v>
      </c>
      <c r="H713" t="n">
        <v>0</v>
      </c>
      <c r="I713" t="n">
        <v>0</v>
      </c>
      <c r="J713" t="n">
        <v>0</v>
      </c>
      <c r="K713" t="n">
        <v>0</v>
      </c>
      <c r="L713" t="n">
        <v>0</v>
      </c>
      <c r="M713" t="n">
        <v>0</v>
      </c>
      <c r="N713" t="n">
        <v>0</v>
      </c>
      <c r="O713" t="n">
        <v>0</v>
      </c>
      <c r="P713" t="n">
        <v>0</v>
      </c>
      <c r="Q713" t="n">
        <v>0</v>
      </c>
      <c r="R713" s="2" t="inlineStr"/>
    </row>
    <row r="714" ht="15" customHeight="1">
      <c r="A714" t="inlineStr">
        <is>
          <t>A 61430-2025</t>
        </is>
      </c>
      <c r="B714" s="1" t="n">
        <v>46001.55583333333</v>
      </c>
      <c r="C714" s="1" t="n">
        <v>46031</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61452-2025</t>
        </is>
      </c>
      <c r="B715" s="1" t="n">
        <v>46001.58043981482</v>
      </c>
      <c r="C715" s="1" t="n">
        <v>46031</v>
      </c>
      <c r="D715" t="inlineStr">
        <is>
          <t>STOCKHOLMS LÄN</t>
        </is>
      </c>
      <c r="E715" t="inlineStr">
        <is>
          <t>NORRTÄLJE</t>
        </is>
      </c>
      <c r="F715" t="inlineStr">
        <is>
          <t>Holmen skog AB</t>
        </is>
      </c>
      <c r="G715" t="n">
        <v>3.7</v>
      </c>
      <c r="H715" t="n">
        <v>0</v>
      </c>
      <c r="I715" t="n">
        <v>0</v>
      </c>
      <c r="J715" t="n">
        <v>0</v>
      </c>
      <c r="K715" t="n">
        <v>0</v>
      </c>
      <c r="L715" t="n">
        <v>0</v>
      </c>
      <c r="M715" t="n">
        <v>0</v>
      </c>
      <c r="N715" t="n">
        <v>0</v>
      </c>
      <c r="O715" t="n">
        <v>0</v>
      </c>
      <c r="P715" t="n">
        <v>0</v>
      </c>
      <c r="Q715" t="n">
        <v>0</v>
      </c>
      <c r="R715" s="2" t="inlineStr"/>
    </row>
    <row r="716" ht="15" customHeight="1">
      <c r="A716" t="inlineStr">
        <is>
          <t>A 56428-2023</t>
        </is>
      </c>
      <c r="B716" s="1" t="n">
        <v>45243.45289351852</v>
      </c>
      <c r="C716" s="1" t="n">
        <v>46031</v>
      </c>
      <c r="D716" t="inlineStr">
        <is>
          <t>STOCKHOLMS LÄN</t>
        </is>
      </c>
      <c r="E716" t="inlineStr">
        <is>
          <t>NORRTÄLJE</t>
        </is>
      </c>
      <c r="F716" t="inlineStr">
        <is>
          <t>Kyrkan</t>
        </is>
      </c>
      <c r="G716" t="n">
        <v>1.3</v>
      </c>
      <c r="H716" t="n">
        <v>0</v>
      </c>
      <c r="I716" t="n">
        <v>0</v>
      </c>
      <c r="J716" t="n">
        <v>0</v>
      </c>
      <c r="K716" t="n">
        <v>0</v>
      </c>
      <c r="L716" t="n">
        <v>0</v>
      </c>
      <c r="M716" t="n">
        <v>0</v>
      </c>
      <c r="N716" t="n">
        <v>0</v>
      </c>
      <c r="O716" t="n">
        <v>0</v>
      </c>
      <c r="P716" t="n">
        <v>0</v>
      </c>
      <c r="Q716" t="n">
        <v>0</v>
      </c>
      <c r="R716" s="2" t="inlineStr"/>
    </row>
    <row r="717" ht="15" customHeight="1">
      <c r="A717" t="inlineStr">
        <is>
          <t>A 36689-2023</t>
        </is>
      </c>
      <c r="B717" s="1" t="n">
        <v>45152</v>
      </c>
      <c r="C717" s="1" t="n">
        <v>46031</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61764-2025</t>
        </is>
      </c>
      <c r="B718" s="1" t="n">
        <v>46002.62763888889</v>
      </c>
      <c r="C718" s="1" t="n">
        <v>46031</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30338-2022</t>
        </is>
      </c>
      <c r="B719" s="1" t="n">
        <v>44760</v>
      </c>
      <c r="C719" s="1" t="n">
        <v>46031</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53747-2025</t>
        </is>
      </c>
      <c r="B720" s="1" t="n">
        <v>45960.65415509259</v>
      </c>
      <c r="C720" s="1" t="n">
        <v>46031</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53299-2025</t>
        </is>
      </c>
      <c r="B721" s="1" t="n">
        <v>45959.31901620371</v>
      </c>
      <c r="C721" s="1" t="n">
        <v>46031</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34139-2025</t>
        </is>
      </c>
      <c r="B722" s="1" t="n">
        <v>45845</v>
      </c>
      <c r="C722" s="1" t="n">
        <v>46031</v>
      </c>
      <c r="D722" t="inlineStr">
        <is>
          <t>STOCKHOLMS LÄN</t>
        </is>
      </c>
      <c r="E722" t="inlineStr">
        <is>
          <t>NORRTÄLJE</t>
        </is>
      </c>
      <c r="G722" t="n">
        <v>5.5</v>
      </c>
      <c r="H722" t="n">
        <v>0</v>
      </c>
      <c r="I722" t="n">
        <v>0</v>
      </c>
      <c r="J722" t="n">
        <v>0</v>
      </c>
      <c r="K722" t="n">
        <v>0</v>
      </c>
      <c r="L722" t="n">
        <v>0</v>
      </c>
      <c r="M722" t="n">
        <v>0</v>
      </c>
      <c r="N722" t="n">
        <v>0</v>
      </c>
      <c r="O722" t="n">
        <v>0</v>
      </c>
      <c r="P722" t="n">
        <v>0</v>
      </c>
      <c r="Q722" t="n">
        <v>0</v>
      </c>
      <c r="R722" s="2" t="inlineStr"/>
    </row>
    <row r="723" ht="15" customHeight="1">
      <c r="A723" t="inlineStr">
        <is>
          <t>A 34006-2025</t>
        </is>
      </c>
      <c r="B723" s="1" t="n">
        <v>45844.62609953704</v>
      </c>
      <c r="C723" s="1" t="n">
        <v>46031</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18541-2023</t>
        </is>
      </c>
      <c r="B724" s="1" t="n">
        <v>45042.74291666667</v>
      </c>
      <c r="C724" s="1" t="n">
        <v>46031</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32857-2021</t>
        </is>
      </c>
      <c r="B725" s="1" t="n">
        <v>44375</v>
      </c>
      <c r="C725" s="1" t="n">
        <v>46031</v>
      </c>
      <c r="D725" t="inlineStr">
        <is>
          <t>STOCKHOLMS LÄN</t>
        </is>
      </c>
      <c r="E725" t="inlineStr">
        <is>
          <t>NORRTÄLJE</t>
        </is>
      </c>
      <c r="G725" t="n">
        <v>2.9</v>
      </c>
      <c r="H725" t="n">
        <v>0</v>
      </c>
      <c r="I725" t="n">
        <v>0</v>
      </c>
      <c r="J725" t="n">
        <v>0</v>
      </c>
      <c r="K725" t="n">
        <v>0</v>
      </c>
      <c r="L725" t="n">
        <v>0</v>
      </c>
      <c r="M725" t="n">
        <v>0</v>
      </c>
      <c r="N725" t="n">
        <v>0</v>
      </c>
      <c r="O725" t="n">
        <v>0</v>
      </c>
      <c r="P725" t="n">
        <v>0</v>
      </c>
      <c r="Q725" t="n">
        <v>0</v>
      </c>
      <c r="R725" s="2" t="inlineStr"/>
    </row>
    <row r="726" ht="15" customHeight="1">
      <c r="A726" t="inlineStr">
        <is>
          <t>A 61419-2025</t>
        </is>
      </c>
      <c r="B726" s="1" t="n">
        <v>46001.54137731482</v>
      </c>
      <c r="C726" s="1" t="n">
        <v>46031</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51325-2023</t>
        </is>
      </c>
      <c r="B727" s="1" t="n">
        <v>45219</v>
      </c>
      <c r="C727" s="1" t="n">
        <v>46031</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21729-2024</t>
        </is>
      </c>
      <c r="B728" s="1" t="n">
        <v>45442</v>
      </c>
      <c r="C728" s="1" t="n">
        <v>46031</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34010-2025</t>
        </is>
      </c>
      <c r="B729" s="1" t="n">
        <v>45844.91234953704</v>
      </c>
      <c r="C729" s="1" t="n">
        <v>46031</v>
      </c>
      <c r="D729" t="inlineStr">
        <is>
          <t>STOCKHOLMS LÄN</t>
        </is>
      </c>
      <c r="E729" t="inlineStr">
        <is>
          <t>NORRTÄLJE</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21894-2023</t>
        </is>
      </c>
      <c r="B730" s="1" t="n">
        <v>45068.51783564815</v>
      </c>
      <c r="C730" s="1" t="n">
        <v>46031</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39610-2025</t>
        </is>
      </c>
      <c r="B731" s="1" t="n">
        <v>45890.56001157407</v>
      </c>
      <c r="C731" s="1" t="n">
        <v>46031</v>
      </c>
      <c r="D731" t="inlineStr">
        <is>
          <t>STOCKHOLMS LÄN</t>
        </is>
      </c>
      <c r="E731" t="inlineStr">
        <is>
          <t>NORRTÄLJE</t>
        </is>
      </c>
      <c r="G731" t="n">
        <v>28.6</v>
      </c>
      <c r="H731" t="n">
        <v>0</v>
      </c>
      <c r="I731" t="n">
        <v>0</v>
      </c>
      <c r="J731" t="n">
        <v>0</v>
      </c>
      <c r="K731" t="n">
        <v>0</v>
      </c>
      <c r="L731" t="n">
        <v>0</v>
      </c>
      <c r="M731" t="n">
        <v>0</v>
      </c>
      <c r="N731" t="n">
        <v>0</v>
      </c>
      <c r="O731" t="n">
        <v>0</v>
      </c>
      <c r="P731" t="n">
        <v>0</v>
      </c>
      <c r="Q731" t="n">
        <v>0</v>
      </c>
      <c r="R731" s="2" t="inlineStr"/>
    </row>
    <row r="732" ht="15" customHeight="1">
      <c r="A732" t="inlineStr">
        <is>
          <t>A 21732-2023</t>
        </is>
      </c>
      <c r="B732" s="1" t="n">
        <v>45063</v>
      </c>
      <c r="C732" s="1" t="n">
        <v>46031</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7806-2025</t>
        </is>
      </c>
      <c r="B733" s="1" t="n">
        <v>45706.61178240741</v>
      </c>
      <c r="C733" s="1" t="n">
        <v>46031</v>
      </c>
      <c r="D733" t="inlineStr">
        <is>
          <t>STOCKHOLMS LÄN</t>
        </is>
      </c>
      <c r="E733" t="inlineStr">
        <is>
          <t>NORRTÄLJE</t>
        </is>
      </c>
      <c r="F733" t="inlineStr">
        <is>
          <t>Holmen skog AB</t>
        </is>
      </c>
      <c r="G733" t="n">
        <v>3.5</v>
      </c>
      <c r="H733" t="n">
        <v>0</v>
      </c>
      <c r="I733" t="n">
        <v>0</v>
      </c>
      <c r="J733" t="n">
        <v>0</v>
      </c>
      <c r="K733" t="n">
        <v>0</v>
      </c>
      <c r="L733" t="n">
        <v>0</v>
      </c>
      <c r="M733" t="n">
        <v>0</v>
      </c>
      <c r="N733" t="n">
        <v>0</v>
      </c>
      <c r="O733" t="n">
        <v>0</v>
      </c>
      <c r="P733" t="n">
        <v>0</v>
      </c>
      <c r="Q733" t="n">
        <v>0</v>
      </c>
      <c r="R733" s="2" t="inlineStr"/>
    </row>
    <row r="734" ht="15" customHeight="1">
      <c r="A734" t="inlineStr">
        <is>
          <t>A 37444-2021</t>
        </is>
      </c>
      <c r="B734" s="1" t="n">
        <v>44398</v>
      </c>
      <c r="C734" s="1" t="n">
        <v>46031</v>
      </c>
      <c r="D734" t="inlineStr">
        <is>
          <t>STOCKHOLMS LÄN</t>
        </is>
      </c>
      <c r="E734" t="inlineStr">
        <is>
          <t>NORRTÄLJE</t>
        </is>
      </c>
      <c r="F734" t="inlineStr">
        <is>
          <t>Holmen skog AB</t>
        </is>
      </c>
      <c r="G734" t="n">
        <v>3.2</v>
      </c>
      <c r="H734" t="n">
        <v>0</v>
      </c>
      <c r="I734" t="n">
        <v>0</v>
      </c>
      <c r="J734" t="n">
        <v>0</v>
      </c>
      <c r="K734" t="n">
        <v>0</v>
      </c>
      <c r="L734" t="n">
        <v>0</v>
      </c>
      <c r="M734" t="n">
        <v>0</v>
      </c>
      <c r="N734" t="n">
        <v>0</v>
      </c>
      <c r="O734" t="n">
        <v>0</v>
      </c>
      <c r="P734" t="n">
        <v>0</v>
      </c>
      <c r="Q734" t="n">
        <v>0</v>
      </c>
      <c r="R734" s="2" t="inlineStr"/>
    </row>
    <row r="735" ht="15" customHeight="1">
      <c r="A735" t="inlineStr">
        <is>
          <t>A 45173-2023</t>
        </is>
      </c>
      <c r="B735" s="1" t="n">
        <v>45191</v>
      </c>
      <c r="C735" s="1" t="n">
        <v>46031</v>
      </c>
      <c r="D735" t="inlineStr">
        <is>
          <t>STOCKHOLMS LÄN</t>
        </is>
      </c>
      <c r="E735" t="inlineStr">
        <is>
          <t>NORRTÄLJE</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35110-2025</t>
        </is>
      </c>
      <c r="B736" s="1" t="n">
        <v>45852.58030092593</v>
      </c>
      <c r="C736" s="1" t="n">
        <v>46031</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62681-2025</t>
        </is>
      </c>
      <c r="B737" s="1" t="n">
        <v>46008.45534722223</v>
      </c>
      <c r="C737" s="1" t="n">
        <v>46031</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62708-2025</t>
        </is>
      </c>
      <c r="B738" s="1" t="n">
        <v>46008.50986111111</v>
      </c>
      <c r="C738" s="1" t="n">
        <v>46031</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64137-2021</t>
        </is>
      </c>
      <c r="B739" s="1" t="n">
        <v>44510.51422453704</v>
      </c>
      <c r="C739" s="1" t="n">
        <v>46031</v>
      </c>
      <c r="D739" t="inlineStr">
        <is>
          <t>STOCKHOLMS LÄN</t>
        </is>
      </c>
      <c r="E739" t="inlineStr">
        <is>
          <t>NORRTÄLJE</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38720-2022</t>
        </is>
      </c>
      <c r="B740" s="1" t="n">
        <v>44815.74539351852</v>
      </c>
      <c r="C740" s="1" t="n">
        <v>46031</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34432-2021</t>
        </is>
      </c>
      <c r="B741" s="1" t="n">
        <v>44380.77346064815</v>
      </c>
      <c r="C741" s="1" t="n">
        <v>46031</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19911-2025</t>
        </is>
      </c>
      <c r="B742" s="1" t="n">
        <v>45771</v>
      </c>
      <c r="C742" s="1" t="n">
        <v>46031</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14130-2025</t>
        </is>
      </c>
      <c r="B743" s="1" t="n">
        <v>45740.47288194444</v>
      </c>
      <c r="C743" s="1" t="n">
        <v>46031</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12532-2025</t>
        </is>
      </c>
      <c r="B744" s="1" t="n">
        <v>45730.69143518519</v>
      </c>
      <c r="C744" s="1" t="n">
        <v>46031</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40175-2024</t>
        </is>
      </c>
      <c r="B745" s="1" t="n">
        <v>45554.55707175926</v>
      </c>
      <c r="C745" s="1" t="n">
        <v>46031</v>
      </c>
      <c r="D745" t="inlineStr">
        <is>
          <t>STOCKHOLMS LÄN</t>
        </is>
      </c>
      <c r="E745" t="inlineStr">
        <is>
          <t>NORRTÄLJE</t>
        </is>
      </c>
      <c r="G745" t="n">
        <v>7.7</v>
      </c>
      <c r="H745" t="n">
        <v>0</v>
      </c>
      <c r="I745" t="n">
        <v>0</v>
      </c>
      <c r="J745" t="n">
        <v>0</v>
      </c>
      <c r="K745" t="n">
        <v>0</v>
      </c>
      <c r="L745" t="n">
        <v>0</v>
      </c>
      <c r="M745" t="n">
        <v>0</v>
      </c>
      <c r="N745" t="n">
        <v>0</v>
      </c>
      <c r="O745" t="n">
        <v>0</v>
      </c>
      <c r="P745" t="n">
        <v>0</v>
      </c>
      <c r="Q745" t="n">
        <v>0</v>
      </c>
      <c r="R745" s="2" t="inlineStr"/>
    </row>
    <row r="746" ht="15" customHeight="1">
      <c r="A746" t="inlineStr">
        <is>
          <t>A 35254-2025</t>
        </is>
      </c>
      <c r="B746" s="1" t="n">
        <v>45853</v>
      </c>
      <c r="C746" s="1" t="n">
        <v>46031</v>
      </c>
      <c r="D746" t="inlineStr">
        <is>
          <t>STOCKHOLMS LÄN</t>
        </is>
      </c>
      <c r="E746" t="inlineStr">
        <is>
          <t>NORRTÄLJE</t>
        </is>
      </c>
      <c r="G746" t="n">
        <v>6.5</v>
      </c>
      <c r="H746" t="n">
        <v>0</v>
      </c>
      <c r="I746" t="n">
        <v>0</v>
      </c>
      <c r="J746" t="n">
        <v>0</v>
      </c>
      <c r="K746" t="n">
        <v>0</v>
      </c>
      <c r="L746" t="n">
        <v>0</v>
      </c>
      <c r="M746" t="n">
        <v>0</v>
      </c>
      <c r="N746" t="n">
        <v>0</v>
      </c>
      <c r="O746" t="n">
        <v>0</v>
      </c>
      <c r="P746" t="n">
        <v>0</v>
      </c>
      <c r="Q746" t="n">
        <v>0</v>
      </c>
      <c r="R746" s="2" t="inlineStr"/>
    </row>
    <row r="747" ht="15" customHeight="1">
      <c r="A747" t="inlineStr">
        <is>
          <t>A 16229-2022</t>
        </is>
      </c>
      <c r="B747" s="1" t="n">
        <v>44670.4190162037</v>
      </c>
      <c r="C747" s="1" t="n">
        <v>46031</v>
      </c>
      <c r="D747" t="inlineStr">
        <is>
          <t>STOCKHOLMS LÄN</t>
        </is>
      </c>
      <c r="E747" t="inlineStr">
        <is>
          <t>NORRTÄLJE</t>
        </is>
      </c>
      <c r="G747" t="n">
        <v>7.4</v>
      </c>
      <c r="H747" t="n">
        <v>0</v>
      </c>
      <c r="I747" t="n">
        <v>0</v>
      </c>
      <c r="J747" t="n">
        <v>0</v>
      </c>
      <c r="K747" t="n">
        <v>0</v>
      </c>
      <c r="L747" t="n">
        <v>0</v>
      </c>
      <c r="M747" t="n">
        <v>0</v>
      </c>
      <c r="N747" t="n">
        <v>0</v>
      </c>
      <c r="O747" t="n">
        <v>0</v>
      </c>
      <c r="P747" t="n">
        <v>0</v>
      </c>
      <c r="Q747" t="n">
        <v>0</v>
      </c>
      <c r="R747" s="2" t="inlineStr"/>
    </row>
    <row r="748" ht="15" customHeight="1">
      <c r="A748" t="inlineStr">
        <is>
          <t>A 35479-2025</t>
        </is>
      </c>
      <c r="B748" s="1" t="n">
        <v>45855.69387731481</v>
      </c>
      <c r="C748" s="1" t="n">
        <v>46031</v>
      </c>
      <c r="D748" t="inlineStr">
        <is>
          <t>STOCKHOLMS LÄN</t>
        </is>
      </c>
      <c r="E748" t="inlineStr">
        <is>
          <t>NORRTÄLJE</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46914-2022</t>
        </is>
      </c>
      <c r="B749" s="1" t="n">
        <v>44851</v>
      </c>
      <c r="C749" s="1" t="n">
        <v>46031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62689-2025</t>
        </is>
      </c>
      <c r="B750" s="1" t="n">
        <v>46008.47171296296</v>
      </c>
      <c r="C750" s="1" t="n">
        <v>46031</v>
      </c>
      <c r="D750" t="inlineStr">
        <is>
          <t>STOCKHOLMS LÄN</t>
        </is>
      </c>
      <c r="E750" t="inlineStr">
        <is>
          <t>NORRTÄLJE</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35451-2025</t>
        </is>
      </c>
      <c r="B751" s="1" t="n">
        <v>45855.57033564815</v>
      </c>
      <c r="C751" s="1" t="n">
        <v>46031</v>
      </c>
      <c r="D751" t="inlineStr">
        <is>
          <t>STOCKHOLMS LÄN</t>
        </is>
      </c>
      <c r="E751" t="inlineStr">
        <is>
          <t>NORRTÄLJE</t>
        </is>
      </c>
      <c r="F751" t="inlineStr">
        <is>
          <t>Holmen skog AB</t>
        </is>
      </c>
      <c r="G751" t="n">
        <v>7.4</v>
      </c>
      <c r="H751" t="n">
        <v>0</v>
      </c>
      <c r="I751" t="n">
        <v>0</v>
      </c>
      <c r="J751" t="n">
        <v>0</v>
      </c>
      <c r="K751" t="n">
        <v>0</v>
      </c>
      <c r="L751" t="n">
        <v>0</v>
      </c>
      <c r="M751" t="n">
        <v>0</v>
      </c>
      <c r="N751" t="n">
        <v>0</v>
      </c>
      <c r="O751" t="n">
        <v>0</v>
      </c>
      <c r="P751" t="n">
        <v>0</v>
      </c>
      <c r="Q751" t="n">
        <v>0</v>
      </c>
      <c r="R751" s="2" t="inlineStr"/>
    </row>
    <row r="752" ht="15" customHeight="1">
      <c r="A752" t="inlineStr">
        <is>
          <t>A 35478-2025</t>
        </is>
      </c>
      <c r="B752" s="1" t="n">
        <v>45855.68413194444</v>
      </c>
      <c r="C752" s="1" t="n">
        <v>46031</v>
      </c>
      <c r="D752" t="inlineStr">
        <is>
          <t>STOCKHOLMS LÄN</t>
        </is>
      </c>
      <c r="E752" t="inlineStr">
        <is>
          <t>NORRTÄLJE</t>
        </is>
      </c>
      <c r="F752" t="inlineStr">
        <is>
          <t>Holmen skog AB</t>
        </is>
      </c>
      <c r="G752" t="n">
        <v>2.7</v>
      </c>
      <c r="H752" t="n">
        <v>0</v>
      </c>
      <c r="I752" t="n">
        <v>0</v>
      </c>
      <c r="J752" t="n">
        <v>0</v>
      </c>
      <c r="K752" t="n">
        <v>0</v>
      </c>
      <c r="L752" t="n">
        <v>0</v>
      </c>
      <c r="M752" t="n">
        <v>0</v>
      </c>
      <c r="N752" t="n">
        <v>0</v>
      </c>
      <c r="O752" t="n">
        <v>0</v>
      </c>
      <c r="P752" t="n">
        <v>0</v>
      </c>
      <c r="Q752" t="n">
        <v>0</v>
      </c>
      <c r="R752" s="2" t="inlineStr"/>
    </row>
    <row r="753" ht="15" customHeight="1">
      <c r="A753" t="inlineStr">
        <is>
          <t>A 20244-2025</t>
        </is>
      </c>
      <c r="B753" s="1" t="n">
        <v>45772.71221064815</v>
      </c>
      <c r="C753" s="1" t="n">
        <v>46031</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50143-2023</t>
        </is>
      </c>
      <c r="B754" s="1" t="n">
        <v>45215</v>
      </c>
      <c r="C754" s="1" t="n">
        <v>46031</v>
      </c>
      <c r="D754" t="inlineStr">
        <is>
          <t>STOCKHOLMS LÄN</t>
        </is>
      </c>
      <c r="E754" t="inlineStr">
        <is>
          <t>NORRTÄLJE</t>
        </is>
      </c>
      <c r="G754" t="n">
        <v>10.3</v>
      </c>
      <c r="H754" t="n">
        <v>0</v>
      </c>
      <c r="I754" t="n">
        <v>0</v>
      </c>
      <c r="J754" t="n">
        <v>0</v>
      </c>
      <c r="K754" t="n">
        <v>0</v>
      </c>
      <c r="L754" t="n">
        <v>0</v>
      </c>
      <c r="M754" t="n">
        <v>0</v>
      </c>
      <c r="N754" t="n">
        <v>0</v>
      </c>
      <c r="O754" t="n">
        <v>0</v>
      </c>
      <c r="P754" t="n">
        <v>0</v>
      </c>
      <c r="Q754" t="n">
        <v>0</v>
      </c>
      <c r="R754" s="2" t="inlineStr"/>
    </row>
    <row r="755" ht="15" customHeight="1">
      <c r="A755" t="inlineStr">
        <is>
          <t>A 20015-2023</t>
        </is>
      </c>
      <c r="B755" s="1" t="n">
        <v>45054</v>
      </c>
      <c r="C755" s="1" t="n">
        <v>46031</v>
      </c>
      <c r="D755" t="inlineStr">
        <is>
          <t>STOCKHOLMS LÄN</t>
        </is>
      </c>
      <c r="E755" t="inlineStr">
        <is>
          <t>NORRTÄLJE</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54907-2025</t>
        </is>
      </c>
      <c r="B756" s="1" t="n">
        <v>45967.37137731481</v>
      </c>
      <c r="C756" s="1" t="n">
        <v>46031</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5027-2025</t>
        </is>
      </c>
      <c r="B757" s="1" t="n">
        <v>45691.41101851852</v>
      </c>
      <c r="C757" s="1" t="n">
        <v>46031</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62922-2025</t>
        </is>
      </c>
      <c r="B758" s="1" t="n">
        <v>46009.38064814815</v>
      </c>
      <c r="C758" s="1" t="n">
        <v>46031</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8315-2025</t>
        </is>
      </c>
      <c r="B759" s="1" t="n">
        <v>45708.61761574074</v>
      </c>
      <c r="C759" s="1" t="n">
        <v>46031</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55503-2025</t>
        </is>
      </c>
      <c r="B760" s="1" t="n">
        <v>45971</v>
      </c>
      <c r="C760" s="1" t="n">
        <v>46031</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12251-2025</t>
        </is>
      </c>
      <c r="B761" s="1" t="n">
        <v>45729.60859953704</v>
      </c>
      <c r="C761" s="1" t="n">
        <v>46031</v>
      </c>
      <c r="D761" t="inlineStr">
        <is>
          <t>STOCKHOLMS LÄN</t>
        </is>
      </c>
      <c r="E761" t="inlineStr">
        <is>
          <t>NORRTÄLJE</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54776-2023</t>
        </is>
      </c>
      <c r="B762" s="1" t="n">
        <v>45236.46369212963</v>
      </c>
      <c r="C762" s="1" t="n">
        <v>46031</v>
      </c>
      <c r="D762" t="inlineStr">
        <is>
          <t>STOCKHOLMS LÄN</t>
        </is>
      </c>
      <c r="E762" t="inlineStr">
        <is>
          <t>NORRTÄLJE</t>
        </is>
      </c>
      <c r="G762" t="n">
        <v>0.3</v>
      </c>
      <c r="H762" t="n">
        <v>0</v>
      </c>
      <c r="I762" t="n">
        <v>0</v>
      </c>
      <c r="J762" t="n">
        <v>0</v>
      </c>
      <c r="K762" t="n">
        <v>0</v>
      </c>
      <c r="L762" t="n">
        <v>0</v>
      </c>
      <c r="M762" t="n">
        <v>0</v>
      </c>
      <c r="N762" t="n">
        <v>0</v>
      </c>
      <c r="O762" t="n">
        <v>0</v>
      </c>
      <c r="P762" t="n">
        <v>0</v>
      </c>
      <c r="Q762" t="n">
        <v>0</v>
      </c>
      <c r="R762" s="2" t="inlineStr"/>
    </row>
    <row r="763" ht="15" customHeight="1">
      <c r="A763" t="inlineStr">
        <is>
          <t>A 20144-2023</t>
        </is>
      </c>
      <c r="B763" s="1" t="n">
        <v>45055.43509259259</v>
      </c>
      <c r="C763" s="1" t="n">
        <v>46031</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13314-2025</t>
        </is>
      </c>
      <c r="B764" s="1" t="n">
        <v>45735.59287037037</v>
      </c>
      <c r="C764" s="1" t="n">
        <v>46031</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20698-2025</t>
        </is>
      </c>
      <c r="B765" s="1" t="n">
        <v>45776.47122685185</v>
      </c>
      <c r="C765" s="1" t="n">
        <v>46031</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23056-2023</t>
        </is>
      </c>
      <c r="B766" s="1" t="n">
        <v>45075</v>
      </c>
      <c r="C766" s="1" t="n">
        <v>46031</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13172-2025</t>
        </is>
      </c>
      <c r="B767" s="1" t="n">
        <v>45735.36873842592</v>
      </c>
      <c r="C767" s="1" t="n">
        <v>46031</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55599-2025</t>
        </is>
      </c>
      <c r="B768" s="1" t="n">
        <v>45971.76810185185</v>
      </c>
      <c r="C768" s="1" t="n">
        <v>46031</v>
      </c>
      <c r="D768" t="inlineStr">
        <is>
          <t>STOCKHOLMS LÄN</t>
        </is>
      </c>
      <c r="E768" t="inlineStr">
        <is>
          <t>NORRTÄLJE</t>
        </is>
      </c>
      <c r="F768" t="inlineStr">
        <is>
          <t>Holmen skog AB</t>
        </is>
      </c>
      <c r="G768" t="n">
        <v>6.4</v>
      </c>
      <c r="H768" t="n">
        <v>0</v>
      </c>
      <c r="I768" t="n">
        <v>0</v>
      </c>
      <c r="J768" t="n">
        <v>0</v>
      </c>
      <c r="K768" t="n">
        <v>0</v>
      </c>
      <c r="L768" t="n">
        <v>0</v>
      </c>
      <c r="M768" t="n">
        <v>0</v>
      </c>
      <c r="N768" t="n">
        <v>0</v>
      </c>
      <c r="O768" t="n">
        <v>0</v>
      </c>
      <c r="P768" t="n">
        <v>0</v>
      </c>
      <c r="Q768" t="n">
        <v>0</v>
      </c>
      <c r="R768" s="2" t="inlineStr"/>
    </row>
    <row r="769" ht="15" customHeight="1">
      <c r="A769" t="inlineStr">
        <is>
          <t>A 36396-2025</t>
        </is>
      </c>
      <c r="B769" s="1" t="n">
        <v>45868.62267361111</v>
      </c>
      <c r="C769" s="1" t="n">
        <v>46031</v>
      </c>
      <c r="D769" t="inlineStr">
        <is>
          <t>STOCKHOLMS LÄN</t>
        </is>
      </c>
      <c r="E769" t="inlineStr">
        <is>
          <t>NORRTÄLJE</t>
        </is>
      </c>
      <c r="G769" t="n">
        <v>4.1</v>
      </c>
      <c r="H769" t="n">
        <v>0</v>
      </c>
      <c r="I769" t="n">
        <v>0</v>
      </c>
      <c r="J769" t="n">
        <v>0</v>
      </c>
      <c r="K769" t="n">
        <v>0</v>
      </c>
      <c r="L769" t="n">
        <v>0</v>
      </c>
      <c r="M769" t="n">
        <v>0</v>
      </c>
      <c r="N769" t="n">
        <v>0</v>
      </c>
      <c r="O769" t="n">
        <v>0</v>
      </c>
      <c r="P769" t="n">
        <v>0</v>
      </c>
      <c r="Q769" t="n">
        <v>0</v>
      </c>
      <c r="R769" s="2" t="inlineStr"/>
    </row>
    <row r="770" ht="15" customHeight="1">
      <c r="A770" t="inlineStr">
        <is>
          <t>A 19025-2025</t>
        </is>
      </c>
      <c r="B770" s="1" t="n">
        <v>45764.6359837963</v>
      </c>
      <c r="C770" s="1" t="n">
        <v>46031</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5867-2022</t>
        </is>
      </c>
      <c r="B771" s="1" t="n">
        <v>44596.66335648148</v>
      </c>
      <c r="C771" s="1" t="n">
        <v>46031</v>
      </c>
      <c r="D771" t="inlineStr">
        <is>
          <t>STOCKHOLMS LÄN</t>
        </is>
      </c>
      <c r="E771" t="inlineStr">
        <is>
          <t>NORRTÄLJE</t>
        </is>
      </c>
      <c r="F771" t="inlineStr">
        <is>
          <t>Naturvårdsverket</t>
        </is>
      </c>
      <c r="G771" t="n">
        <v>1.6</v>
      </c>
      <c r="H771" t="n">
        <v>0</v>
      </c>
      <c r="I771" t="n">
        <v>0</v>
      </c>
      <c r="J771" t="n">
        <v>0</v>
      </c>
      <c r="K771" t="n">
        <v>0</v>
      </c>
      <c r="L771" t="n">
        <v>0</v>
      </c>
      <c r="M771" t="n">
        <v>0</v>
      </c>
      <c r="N771" t="n">
        <v>0</v>
      </c>
      <c r="O771" t="n">
        <v>0</v>
      </c>
      <c r="P771" t="n">
        <v>0</v>
      </c>
      <c r="Q771" t="n">
        <v>0</v>
      </c>
      <c r="R771" s="2" t="inlineStr"/>
    </row>
    <row r="772" ht="15" customHeight="1">
      <c r="A772" t="inlineStr">
        <is>
          <t>A 56207-2025</t>
        </is>
      </c>
      <c r="B772" s="1" t="n">
        <v>45974.47329861111</v>
      </c>
      <c r="C772" s="1" t="n">
        <v>46031</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22232-2024</t>
        </is>
      </c>
      <c r="B773" s="1" t="n">
        <v>45446.4287962963</v>
      </c>
      <c r="C773" s="1" t="n">
        <v>46031</v>
      </c>
      <c r="D773" t="inlineStr">
        <is>
          <t>STOCKHOLMS LÄN</t>
        </is>
      </c>
      <c r="E773" t="inlineStr">
        <is>
          <t>NORRTÄLJE</t>
        </is>
      </c>
      <c r="G773" t="n">
        <v>12.8</v>
      </c>
      <c r="H773" t="n">
        <v>0</v>
      </c>
      <c r="I773" t="n">
        <v>0</v>
      </c>
      <c r="J773" t="n">
        <v>0</v>
      </c>
      <c r="K773" t="n">
        <v>0</v>
      </c>
      <c r="L773" t="n">
        <v>0</v>
      </c>
      <c r="M773" t="n">
        <v>0</v>
      </c>
      <c r="N773" t="n">
        <v>0</v>
      </c>
      <c r="O773" t="n">
        <v>0</v>
      </c>
      <c r="P773" t="n">
        <v>0</v>
      </c>
      <c r="Q773" t="n">
        <v>0</v>
      </c>
      <c r="R773" s="2" t="inlineStr"/>
    </row>
    <row r="774" ht="15" customHeight="1">
      <c r="A774" t="inlineStr">
        <is>
          <t>A 34444-2024</t>
        </is>
      </c>
      <c r="B774" s="1" t="n">
        <v>45525</v>
      </c>
      <c r="C774" s="1" t="n">
        <v>46031</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73307-2021</t>
        </is>
      </c>
      <c r="B775" s="1" t="n">
        <v>44549</v>
      </c>
      <c r="C775" s="1" t="n">
        <v>46031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21731-2023</t>
        </is>
      </c>
      <c r="B776" s="1" t="n">
        <v>45063</v>
      </c>
      <c r="C776" s="1" t="n">
        <v>46031</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21745-2023</t>
        </is>
      </c>
      <c r="B777" s="1" t="n">
        <v>45065.55917824074</v>
      </c>
      <c r="C777" s="1" t="n">
        <v>46031</v>
      </c>
      <c r="D777" t="inlineStr">
        <is>
          <t>STOCKHOLMS LÄN</t>
        </is>
      </c>
      <c r="E777" t="inlineStr">
        <is>
          <t>NORRTÄLJE</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56114-2025</t>
        </is>
      </c>
      <c r="B778" s="1" t="n">
        <v>45973.74474537037</v>
      </c>
      <c r="C778" s="1" t="n">
        <v>46031</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30221-2024</t>
        </is>
      </c>
      <c r="B779" s="1" t="n">
        <v>45490.45342592592</v>
      </c>
      <c r="C779" s="1" t="n">
        <v>46031</v>
      </c>
      <c r="D779" t="inlineStr">
        <is>
          <t>STOCKHOLMS LÄN</t>
        </is>
      </c>
      <c r="E779" t="inlineStr">
        <is>
          <t>NORRTÄLJE</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26365-2024</t>
        </is>
      </c>
      <c r="B780" s="1" t="n">
        <v>45469</v>
      </c>
      <c r="C780" s="1" t="n">
        <v>46031</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50602-2021</t>
        </is>
      </c>
      <c r="B781" s="1" t="n">
        <v>44459</v>
      </c>
      <c r="C781" s="1" t="n">
        <v>46031</v>
      </c>
      <c r="D781" t="inlineStr">
        <is>
          <t>STOCKHOLMS LÄN</t>
        </is>
      </c>
      <c r="E781" t="inlineStr">
        <is>
          <t>NORRTÄLJE</t>
        </is>
      </c>
      <c r="F781" t="inlineStr">
        <is>
          <t>Holmen skog AB</t>
        </is>
      </c>
      <c r="G781" t="n">
        <v>2</v>
      </c>
      <c r="H781" t="n">
        <v>0</v>
      </c>
      <c r="I781" t="n">
        <v>0</v>
      </c>
      <c r="J781" t="n">
        <v>0</v>
      </c>
      <c r="K781" t="n">
        <v>0</v>
      </c>
      <c r="L781" t="n">
        <v>0</v>
      </c>
      <c r="M781" t="n">
        <v>0</v>
      </c>
      <c r="N781" t="n">
        <v>0</v>
      </c>
      <c r="O781" t="n">
        <v>0</v>
      </c>
      <c r="P781" t="n">
        <v>0</v>
      </c>
      <c r="Q781" t="n">
        <v>0</v>
      </c>
      <c r="R781" s="2" t="inlineStr"/>
    </row>
    <row r="782" ht="15" customHeight="1">
      <c r="A782" t="inlineStr">
        <is>
          <t>A 48798-2021</t>
        </is>
      </c>
      <c r="B782" s="1" t="n">
        <v>44452</v>
      </c>
      <c r="C782" s="1" t="n">
        <v>46031</v>
      </c>
      <c r="D782" t="inlineStr">
        <is>
          <t>STOCKHOLMS LÄN</t>
        </is>
      </c>
      <c r="E782" t="inlineStr">
        <is>
          <t>NORRTÄLJE</t>
        </is>
      </c>
      <c r="G782" t="n">
        <v>2</v>
      </c>
      <c r="H782" t="n">
        <v>0</v>
      </c>
      <c r="I782" t="n">
        <v>0</v>
      </c>
      <c r="J782" t="n">
        <v>0</v>
      </c>
      <c r="K782" t="n">
        <v>0</v>
      </c>
      <c r="L782" t="n">
        <v>0</v>
      </c>
      <c r="M782" t="n">
        <v>0</v>
      </c>
      <c r="N782" t="n">
        <v>0</v>
      </c>
      <c r="O782" t="n">
        <v>0</v>
      </c>
      <c r="P782" t="n">
        <v>0</v>
      </c>
      <c r="Q782" t="n">
        <v>0</v>
      </c>
      <c r="R782" s="2" t="inlineStr"/>
    </row>
    <row r="783" ht="15" customHeight="1">
      <c r="A783" t="inlineStr">
        <is>
          <t>A 30283-2022</t>
        </is>
      </c>
      <c r="B783" s="1" t="n">
        <v>44760</v>
      </c>
      <c r="C783" s="1" t="n">
        <v>46031</v>
      </c>
      <c r="D783" t="inlineStr">
        <is>
          <t>STOCKHOLMS LÄN</t>
        </is>
      </c>
      <c r="E783" t="inlineStr">
        <is>
          <t>NORRTÄLJE</t>
        </is>
      </c>
      <c r="G783" t="n">
        <v>6.2</v>
      </c>
      <c r="H783" t="n">
        <v>0</v>
      </c>
      <c r="I783" t="n">
        <v>0</v>
      </c>
      <c r="J783" t="n">
        <v>0</v>
      </c>
      <c r="K783" t="n">
        <v>0</v>
      </c>
      <c r="L783" t="n">
        <v>0</v>
      </c>
      <c r="M783" t="n">
        <v>0</v>
      </c>
      <c r="N783" t="n">
        <v>0</v>
      </c>
      <c r="O783" t="n">
        <v>0</v>
      </c>
      <c r="P783" t="n">
        <v>0</v>
      </c>
      <c r="Q783" t="n">
        <v>0</v>
      </c>
      <c r="R783" s="2" t="inlineStr"/>
    </row>
    <row r="784" ht="15" customHeight="1">
      <c r="A784" t="inlineStr">
        <is>
          <t>A 30290-2022</t>
        </is>
      </c>
      <c r="B784" s="1" t="n">
        <v>44760</v>
      </c>
      <c r="C784" s="1" t="n">
        <v>46031</v>
      </c>
      <c r="D784" t="inlineStr">
        <is>
          <t>STOCKHOLMS LÄN</t>
        </is>
      </c>
      <c r="E784" t="inlineStr">
        <is>
          <t>NORRTÄLJE</t>
        </is>
      </c>
      <c r="G784" t="n">
        <v>4.8</v>
      </c>
      <c r="H784" t="n">
        <v>0</v>
      </c>
      <c r="I784" t="n">
        <v>0</v>
      </c>
      <c r="J784" t="n">
        <v>0</v>
      </c>
      <c r="K784" t="n">
        <v>0</v>
      </c>
      <c r="L784" t="n">
        <v>0</v>
      </c>
      <c r="M784" t="n">
        <v>0</v>
      </c>
      <c r="N784" t="n">
        <v>0</v>
      </c>
      <c r="O784" t="n">
        <v>0</v>
      </c>
      <c r="P784" t="n">
        <v>0</v>
      </c>
      <c r="Q784" t="n">
        <v>0</v>
      </c>
      <c r="R784" s="2" t="inlineStr"/>
    </row>
    <row r="785" ht="15" customHeight="1">
      <c r="A785" t="inlineStr">
        <is>
          <t>A 38985-2022</t>
        </is>
      </c>
      <c r="B785" s="1" t="n">
        <v>44816</v>
      </c>
      <c r="C785" s="1" t="n">
        <v>46031</v>
      </c>
      <c r="D785" t="inlineStr">
        <is>
          <t>STOCKHOLMS LÄN</t>
        </is>
      </c>
      <c r="E785" t="inlineStr">
        <is>
          <t>NORRTÄLJE</t>
        </is>
      </c>
      <c r="G785" t="n">
        <v>10.1</v>
      </c>
      <c r="H785" t="n">
        <v>0</v>
      </c>
      <c r="I785" t="n">
        <v>0</v>
      </c>
      <c r="J785" t="n">
        <v>0</v>
      </c>
      <c r="K785" t="n">
        <v>0</v>
      </c>
      <c r="L785" t="n">
        <v>0</v>
      </c>
      <c r="M785" t="n">
        <v>0</v>
      </c>
      <c r="N785" t="n">
        <v>0</v>
      </c>
      <c r="O785" t="n">
        <v>0</v>
      </c>
      <c r="P785" t="n">
        <v>0</v>
      </c>
      <c r="Q785" t="n">
        <v>0</v>
      </c>
      <c r="R785" s="2" t="inlineStr"/>
    </row>
    <row r="786" ht="15" customHeight="1">
      <c r="A786" t="inlineStr">
        <is>
          <t>A 25625-2023</t>
        </is>
      </c>
      <c r="B786" s="1" t="n">
        <v>45089</v>
      </c>
      <c r="C786" s="1" t="n">
        <v>46031</v>
      </c>
      <c r="D786" t="inlineStr">
        <is>
          <t>STOCKHOLMS LÄN</t>
        </is>
      </c>
      <c r="E786" t="inlineStr">
        <is>
          <t>NORRTÄLJE</t>
        </is>
      </c>
      <c r="G786" t="n">
        <v>5.5</v>
      </c>
      <c r="H786" t="n">
        <v>0</v>
      </c>
      <c r="I786" t="n">
        <v>0</v>
      </c>
      <c r="J786" t="n">
        <v>0</v>
      </c>
      <c r="K786" t="n">
        <v>0</v>
      </c>
      <c r="L786" t="n">
        <v>0</v>
      </c>
      <c r="M786" t="n">
        <v>0</v>
      </c>
      <c r="N786" t="n">
        <v>0</v>
      </c>
      <c r="O786" t="n">
        <v>0</v>
      </c>
      <c r="P786" t="n">
        <v>0</v>
      </c>
      <c r="Q786" t="n">
        <v>0</v>
      </c>
      <c r="R786" s="2" t="inlineStr"/>
    </row>
    <row r="787" ht="15" customHeight="1">
      <c r="A787" t="inlineStr">
        <is>
          <t>A 14132-2025</t>
        </is>
      </c>
      <c r="B787" s="1" t="n">
        <v>45740.47550925926</v>
      </c>
      <c r="C787" s="1" t="n">
        <v>46031</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14133-2025</t>
        </is>
      </c>
      <c r="B788" s="1" t="n">
        <v>45740.47724537037</v>
      </c>
      <c r="C788" s="1" t="n">
        <v>46031</v>
      </c>
      <c r="D788" t="inlineStr">
        <is>
          <t>STOCKHOLMS LÄN</t>
        </is>
      </c>
      <c r="E788" t="inlineStr">
        <is>
          <t>NORRTÄLJE</t>
        </is>
      </c>
      <c r="G788" t="n">
        <v>0.4</v>
      </c>
      <c r="H788" t="n">
        <v>0</v>
      </c>
      <c r="I788" t="n">
        <v>0</v>
      </c>
      <c r="J788" t="n">
        <v>0</v>
      </c>
      <c r="K788" t="n">
        <v>0</v>
      </c>
      <c r="L788" t="n">
        <v>0</v>
      </c>
      <c r="M788" t="n">
        <v>0</v>
      </c>
      <c r="N788" t="n">
        <v>0</v>
      </c>
      <c r="O788" t="n">
        <v>0</v>
      </c>
      <c r="P788" t="n">
        <v>0</v>
      </c>
      <c r="Q788" t="n">
        <v>0</v>
      </c>
      <c r="R788" s="2" t="inlineStr"/>
    </row>
    <row r="789" ht="15" customHeight="1">
      <c r="A789" t="inlineStr">
        <is>
          <t>A 7186-2024</t>
        </is>
      </c>
      <c r="B789" s="1" t="n">
        <v>45344</v>
      </c>
      <c r="C789" s="1" t="n">
        <v>46031</v>
      </c>
      <c r="D789" t="inlineStr">
        <is>
          <t>STOCKHOLMS LÄN</t>
        </is>
      </c>
      <c r="E789" t="inlineStr">
        <is>
          <t>NORRTÄLJE</t>
        </is>
      </c>
      <c r="G789" t="n">
        <v>4.9</v>
      </c>
      <c r="H789" t="n">
        <v>0</v>
      </c>
      <c r="I789" t="n">
        <v>0</v>
      </c>
      <c r="J789" t="n">
        <v>0</v>
      </c>
      <c r="K789" t="n">
        <v>0</v>
      </c>
      <c r="L789" t="n">
        <v>0</v>
      </c>
      <c r="M789" t="n">
        <v>0</v>
      </c>
      <c r="N789" t="n">
        <v>0</v>
      </c>
      <c r="O789" t="n">
        <v>0</v>
      </c>
      <c r="P789" t="n">
        <v>0</v>
      </c>
      <c r="Q789" t="n">
        <v>0</v>
      </c>
      <c r="R789" s="2" t="inlineStr"/>
    </row>
    <row r="790" ht="15" customHeight="1">
      <c r="A790" t="inlineStr">
        <is>
          <t>A 39202-2024</t>
        </is>
      </c>
      <c r="B790" s="1" t="n">
        <v>45548.72306712963</v>
      </c>
      <c r="C790" s="1" t="n">
        <v>46031</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37261-2025</t>
        </is>
      </c>
      <c r="B791" s="1" t="n">
        <v>45876.45253472222</v>
      </c>
      <c r="C791" s="1" t="n">
        <v>46031</v>
      </c>
      <c r="D791" t="inlineStr">
        <is>
          <t>STOCKHOLMS LÄN</t>
        </is>
      </c>
      <c r="E791" t="inlineStr">
        <is>
          <t>NORRTÄLJE</t>
        </is>
      </c>
      <c r="F791" t="inlineStr">
        <is>
          <t>Kommuner</t>
        </is>
      </c>
      <c r="G791" t="n">
        <v>2.2</v>
      </c>
      <c r="H791" t="n">
        <v>0</v>
      </c>
      <c r="I791" t="n">
        <v>0</v>
      </c>
      <c r="J791" t="n">
        <v>0</v>
      </c>
      <c r="K791" t="n">
        <v>0</v>
      </c>
      <c r="L791" t="n">
        <v>0</v>
      </c>
      <c r="M791" t="n">
        <v>0</v>
      </c>
      <c r="N791" t="n">
        <v>0</v>
      </c>
      <c r="O791" t="n">
        <v>0</v>
      </c>
      <c r="P791" t="n">
        <v>0</v>
      </c>
      <c r="Q791" t="n">
        <v>0</v>
      </c>
      <c r="R791" s="2" t="inlineStr"/>
    </row>
    <row r="792" ht="15" customHeight="1">
      <c r="A792" t="inlineStr">
        <is>
          <t>A 20692-2025</t>
        </is>
      </c>
      <c r="B792" s="1" t="n">
        <v>45776.46369212963</v>
      </c>
      <c r="C792" s="1" t="n">
        <v>46031</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53792-2023</t>
        </is>
      </c>
      <c r="B793" s="1" t="n">
        <v>45231.34144675926</v>
      </c>
      <c r="C793" s="1" t="n">
        <v>46031</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28816-2023</t>
        </is>
      </c>
      <c r="B794" s="1" t="n">
        <v>45104</v>
      </c>
      <c r="C794" s="1" t="n">
        <v>46031</v>
      </c>
      <c r="D794" t="inlineStr">
        <is>
          <t>STOCKHOLMS LÄN</t>
        </is>
      </c>
      <c r="E794" t="inlineStr">
        <is>
          <t>NORRTÄLJE</t>
        </is>
      </c>
      <c r="F794" t="inlineStr">
        <is>
          <t>Kommuner</t>
        </is>
      </c>
      <c r="G794" t="n">
        <v>0.5</v>
      </c>
      <c r="H794" t="n">
        <v>0</v>
      </c>
      <c r="I794" t="n">
        <v>0</v>
      </c>
      <c r="J794" t="n">
        <v>0</v>
      </c>
      <c r="K794" t="n">
        <v>0</v>
      </c>
      <c r="L794" t="n">
        <v>0</v>
      </c>
      <c r="M794" t="n">
        <v>0</v>
      </c>
      <c r="N794" t="n">
        <v>0</v>
      </c>
      <c r="O794" t="n">
        <v>0</v>
      </c>
      <c r="P794" t="n">
        <v>0</v>
      </c>
      <c r="Q794" t="n">
        <v>0</v>
      </c>
      <c r="R794" s="2" t="inlineStr"/>
    </row>
    <row r="795" ht="15" customHeight="1">
      <c r="A795" t="inlineStr">
        <is>
          <t>A 11280-2023</t>
        </is>
      </c>
      <c r="B795" s="1" t="n">
        <v>44992</v>
      </c>
      <c r="C795" s="1" t="n">
        <v>46031</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46071-2024</t>
        </is>
      </c>
      <c r="B796" s="1" t="n">
        <v>45581</v>
      </c>
      <c r="C796" s="1" t="n">
        <v>46031</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57442-2021</t>
        </is>
      </c>
      <c r="B797" s="1" t="n">
        <v>44483</v>
      </c>
      <c r="C797" s="1" t="n">
        <v>46031</v>
      </c>
      <c r="D797" t="inlineStr">
        <is>
          <t>STOCKHOLMS LÄN</t>
        </is>
      </c>
      <c r="E797" t="inlineStr">
        <is>
          <t>NORRTÄLJE</t>
        </is>
      </c>
      <c r="G797" t="n">
        <v>3.3</v>
      </c>
      <c r="H797" t="n">
        <v>0</v>
      </c>
      <c r="I797" t="n">
        <v>0</v>
      </c>
      <c r="J797" t="n">
        <v>0</v>
      </c>
      <c r="K797" t="n">
        <v>0</v>
      </c>
      <c r="L797" t="n">
        <v>0</v>
      </c>
      <c r="M797" t="n">
        <v>0</v>
      </c>
      <c r="N797" t="n">
        <v>0</v>
      </c>
      <c r="O797" t="n">
        <v>0</v>
      </c>
      <c r="P797" t="n">
        <v>0</v>
      </c>
      <c r="Q797" t="n">
        <v>0</v>
      </c>
      <c r="R797" s="2" t="inlineStr"/>
    </row>
    <row r="798" ht="15" customHeight="1">
      <c r="A798" t="inlineStr">
        <is>
          <t>A 19952-2023</t>
        </is>
      </c>
      <c r="B798" s="1" t="n">
        <v>45054.54091435186</v>
      </c>
      <c r="C798" s="1" t="n">
        <v>46031</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19994-2023</t>
        </is>
      </c>
      <c r="B799" s="1" t="n">
        <v>45054</v>
      </c>
      <c r="C799" s="1" t="n">
        <v>46031</v>
      </c>
      <c r="D799" t="inlineStr">
        <is>
          <t>STOCKHOLMS LÄN</t>
        </is>
      </c>
      <c r="E799" t="inlineStr">
        <is>
          <t>NORRTÄLJE</t>
        </is>
      </c>
      <c r="G799" t="n">
        <v>4.3</v>
      </c>
      <c r="H799" t="n">
        <v>0</v>
      </c>
      <c r="I799" t="n">
        <v>0</v>
      </c>
      <c r="J799" t="n">
        <v>0</v>
      </c>
      <c r="K799" t="n">
        <v>0</v>
      </c>
      <c r="L799" t="n">
        <v>0</v>
      </c>
      <c r="M799" t="n">
        <v>0</v>
      </c>
      <c r="N799" t="n">
        <v>0</v>
      </c>
      <c r="O799" t="n">
        <v>0</v>
      </c>
      <c r="P799" t="n">
        <v>0</v>
      </c>
      <c r="Q799" t="n">
        <v>0</v>
      </c>
      <c r="R799" s="2" t="inlineStr"/>
    </row>
    <row r="800" ht="15" customHeight="1">
      <c r="A800" t="inlineStr">
        <is>
          <t>A 29369-2024</t>
        </is>
      </c>
      <c r="B800" s="1" t="n">
        <v>45483.57244212963</v>
      </c>
      <c r="C800" s="1" t="n">
        <v>46031</v>
      </c>
      <c r="D800" t="inlineStr">
        <is>
          <t>STOCKHOLMS LÄN</t>
        </is>
      </c>
      <c r="E800" t="inlineStr">
        <is>
          <t>NORRTÄLJE</t>
        </is>
      </c>
      <c r="G800" t="n">
        <v>15.9</v>
      </c>
      <c r="H800" t="n">
        <v>0</v>
      </c>
      <c r="I800" t="n">
        <v>0</v>
      </c>
      <c r="J800" t="n">
        <v>0</v>
      </c>
      <c r="K800" t="n">
        <v>0</v>
      </c>
      <c r="L800" t="n">
        <v>0</v>
      </c>
      <c r="M800" t="n">
        <v>0</v>
      </c>
      <c r="N800" t="n">
        <v>0</v>
      </c>
      <c r="O800" t="n">
        <v>0</v>
      </c>
      <c r="P800" t="n">
        <v>0</v>
      </c>
      <c r="Q800" t="n">
        <v>0</v>
      </c>
      <c r="R800" s="2" t="inlineStr"/>
    </row>
    <row r="801" ht="15" customHeight="1">
      <c r="A801" t="inlineStr">
        <is>
          <t>A 37630-2025</t>
        </is>
      </c>
      <c r="B801" s="1" t="n">
        <v>45880.46372685185</v>
      </c>
      <c r="C801" s="1" t="n">
        <v>46031</v>
      </c>
      <c r="D801" t="inlineStr">
        <is>
          <t>STOCKHOLMS LÄN</t>
        </is>
      </c>
      <c r="E801" t="inlineStr">
        <is>
          <t>NORRTÄLJE</t>
        </is>
      </c>
      <c r="F801" t="inlineStr">
        <is>
          <t>Sveaskog</t>
        </is>
      </c>
      <c r="G801" t="n">
        <v>12.9</v>
      </c>
      <c r="H801" t="n">
        <v>0</v>
      </c>
      <c r="I801" t="n">
        <v>0</v>
      </c>
      <c r="J801" t="n">
        <v>0</v>
      </c>
      <c r="K801" t="n">
        <v>0</v>
      </c>
      <c r="L801" t="n">
        <v>0</v>
      </c>
      <c r="M801" t="n">
        <v>0</v>
      </c>
      <c r="N801" t="n">
        <v>0</v>
      </c>
      <c r="O801" t="n">
        <v>0</v>
      </c>
      <c r="P801" t="n">
        <v>0</v>
      </c>
      <c r="Q801" t="n">
        <v>0</v>
      </c>
      <c r="R801" s="2" t="inlineStr"/>
    </row>
    <row r="802" ht="15" customHeight="1">
      <c r="A802" t="inlineStr">
        <is>
          <t>A 37632-2025</t>
        </is>
      </c>
      <c r="B802" s="1" t="n">
        <v>45880.46524305556</v>
      </c>
      <c r="C802" s="1" t="n">
        <v>46031</v>
      </c>
      <c r="D802" t="inlineStr">
        <is>
          <t>STOCKHOLMS LÄN</t>
        </is>
      </c>
      <c r="E802" t="inlineStr">
        <is>
          <t>NORRTÄLJE</t>
        </is>
      </c>
      <c r="F802" t="inlineStr">
        <is>
          <t>Sveaskog</t>
        </is>
      </c>
      <c r="G802" t="n">
        <v>6.4</v>
      </c>
      <c r="H802" t="n">
        <v>0</v>
      </c>
      <c r="I802" t="n">
        <v>0</v>
      </c>
      <c r="J802" t="n">
        <v>0</v>
      </c>
      <c r="K802" t="n">
        <v>0</v>
      </c>
      <c r="L802" t="n">
        <v>0</v>
      </c>
      <c r="M802" t="n">
        <v>0</v>
      </c>
      <c r="N802" t="n">
        <v>0</v>
      </c>
      <c r="O802" t="n">
        <v>0</v>
      </c>
      <c r="P802" t="n">
        <v>0</v>
      </c>
      <c r="Q802" t="n">
        <v>0</v>
      </c>
      <c r="R802" s="2" t="inlineStr"/>
    </row>
    <row r="803" ht="15" customHeight="1">
      <c r="A803" t="inlineStr">
        <is>
          <t>A 29841-2024</t>
        </is>
      </c>
      <c r="B803" s="1" t="n">
        <v>45485.60261574074</v>
      </c>
      <c r="C803" s="1" t="n">
        <v>46031</v>
      </c>
      <c r="D803" t="inlineStr">
        <is>
          <t>STOCKHOLMS LÄN</t>
        </is>
      </c>
      <c r="E803" t="inlineStr">
        <is>
          <t>NORRTÄLJE</t>
        </is>
      </c>
      <c r="G803" t="n">
        <v>15.9</v>
      </c>
      <c r="H803" t="n">
        <v>0</v>
      </c>
      <c r="I803" t="n">
        <v>0</v>
      </c>
      <c r="J803" t="n">
        <v>0</v>
      </c>
      <c r="K803" t="n">
        <v>0</v>
      </c>
      <c r="L803" t="n">
        <v>0</v>
      </c>
      <c r="M803" t="n">
        <v>0</v>
      </c>
      <c r="N803" t="n">
        <v>0</v>
      </c>
      <c r="O803" t="n">
        <v>0</v>
      </c>
      <c r="P803" t="n">
        <v>0</v>
      </c>
      <c r="Q803" t="n">
        <v>0</v>
      </c>
      <c r="R803" s="2" t="inlineStr"/>
    </row>
    <row r="804" ht="15" customHeight="1">
      <c r="A804" t="inlineStr">
        <is>
          <t>A 37628-2025</t>
        </is>
      </c>
      <c r="B804" s="1" t="n">
        <v>45880.46189814815</v>
      </c>
      <c r="C804" s="1" t="n">
        <v>46031</v>
      </c>
      <c r="D804" t="inlineStr">
        <is>
          <t>STOCKHOLMS LÄN</t>
        </is>
      </c>
      <c r="E804" t="inlineStr">
        <is>
          <t>NORRTÄLJE</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29003-2023</t>
        </is>
      </c>
      <c r="B805" s="1" t="n">
        <v>45104</v>
      </c>
      <c r="C805" s="1" t="n">
        <v>46031</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24350-2025</t>
        </is>
      </c>
      <c r="B806" s="1" t="n">
        <v>45797.58350694444</v>
      </c>
      <c r="C806" s="1" t="n">
        <v>46031</v>
      </c>
      <c r="D806" t="inlineStr">
        <is>
          <t>STOCKHOLMS LÄN</t>
        </is>
      </c>
      <c r="E806" t="inlineStr">
        <is>
          <t>NORRTÄLJE</t>
        </is>
      </c>
      <c r="G806" t="n">
        <v>4.5</v>
      </c>
      <c r="H806" t="n">
        <v>0</v>
      </c>
      <c r="I806" t="n">
        <v>0</v>
      </c>
      <c r="J806" t="n">
        <v>0</v>
      </c>
      <c r="K806" t="n">
        <v>0</v>
      </c>
      <c r="L806" t="n">
        <v>0</v>
      </c>
      <c r="M806" t="n">
        <v>0</v>
      </c>
      <c r="N806" t="n">
        <v>0</v>
      </c>
      <c r="O806" t="n">
        <v>0</v>
      </c>
      <c r="P806" t="n">
        <v>0</v>
      </c>
      <c r="Q806" t="n">
        <v>0</v>
      </c>
      <c r="R806" s="2" t="inlineStr"/>
    </row>
    <row r="807" ht="15" customHeight="1">
      <c r="A807" t="inlineStr">
        <is>
          <t>A 26703-2025</t>
        </is>
      </c>
      <c r="B807" s="1" t="n">
        <v>45810.45263888889</v>
      </c>
      <c r="C807" s="1" t="n">
        <v>46031</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15956-2023</t>
        </is>
      </c>
      <c r="B808" s="1" t="n">
        <v>45022.61003472222</v>
      </c>
      <c r="C808" s="1" t="n">
        <v>46031</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13137-2024</t>
        </is>
      </c>
      <c r="B809" s="1" t="n">
        <v>45386.34175925926</v>
      </c>
      <c r="C809" s="1" t="n">
        <v>46031</v>
      </c>
      <c r="D809" t="inlineStr">
        <is>
          <t>STOCKHOLMS LÄN</t>
        </is>
      </c>
      <c r="E809" t="inlineStr">
        <is>
          <t>NORRTÄLJE</t>
        </is>
      </c>
      <c r="G809" t="n">
        <v>5</v>
      </c>
      <c r="H809" t="n">
        <v>0</v>
      </c>
      <c r="I809" t="n">
        <v>0</v>
      </c>
      <c r="J809" t="n">
        <v>0</v>
      </c>
      <c r="K809" t="n">
        <v>0</v>
      </c>
      <c r="L809" t="n">
        <v>0</v>
      </c>
      <c r="M809" t="n">
        <v>0</v>
      </c>
      <c r="N809" t="n">
        <v>0</v>
      </c>
      <c r="O809" t="n">
        <v>0</v>
      </c>
      <c r="P809" t="n">
        <v>0</v>
      </c>
      <c r="Q809" t="n">
        <v>0</v>
      </c>
      <c r="R809" s="2" t="inlineStr"/>
    </row>
    <row r="810" ht="15" customHeight="1">
      <c r="A810" t="inlineStr">
        <is>
          <t>A 38153-2025</t>
        </is>
      </c>
      <c r="B810" s="1" t="n">
        <v>45882.59722222222</v>
      </c>
      <c r="C810" s="1" t="n">
        <v>46031</v>
      </c>
      <c r="D810" t="inlineStr">
        <is>
          <t>STOCKHOLMS LÄN</t>
        </is>
      </c>
      <c r="E810" t="inlineStr">
        <is>
          <t>NORRTÄLJE</t>
        </is>
      </c>
      <c r="G810" t="n">
        <v>1.7</v>
      </c>
      <c r="H810" t="n">
        <v>0</v>
      </c>
      <c r="I810" t="n">
        <v>0</v>
      </c>
      <c r="J810" t="n">
        <v>0</v>
      </c>
      <c r="K810" t="n">
        <v>0</v>
      </c>
      <c r="L810" t="n">
        <v>0</v>
      </c>
      <c r="M810" t="n">
        <v>0</v>
      </c>
      <c r="N810" t="n">
        <v>0</v>
      </c>
      <c r="O810" t="n">
        <v>0</v>
      </c>
      <c r="P810" t="n">
        <v>0</v>
      </c>
      <c r="Q810" t="n">
        <v>0</v>
      </c>
      <c r="R810" s="2" t="inlineStr"/>
    </row>
    <row r="811" ht="15" customHeight="1">
      <c r="A811" t="inlineStr">
        <is>
          <t>A 5950-2021</t>
        </is>
      </c>
      <c r="B811" s="1" t="n">
        <v>44231</v>
      </c>
      <c r="C811" s="1" t="n">
        <v>46031</v>
      </c>
      <c r="D811" t="inlineStr">
        <is>
          <t>STOCKHOLMS LÄN</t>
        </is>
      </c>
      <c r="E811" t="inlineStr">
        <is>
          <t>NORRTÄLJE</t>
        </is>
      </c>
      <c r="F811" t="inlineStr">
        <is>
          <t>Holmen skog AB</t>
        </is>
      </c>
      <c r="G811" t="n">
        <v>0.7</v>
      </c>
      <c r="H811" t="n">
        <v>0</v>
      </c>
      <c r="I811" t="n">
        <v>0</v>
      </c>
      <c r="J811" t="n">
        <v>0</v>
      </c>
      <c r="K811" t="n">
        <v>0</v>
      </c>
      <c r="L811" t="n">
        <v>0</v>
      </c>
      <c r="M811" t="n">
        <v>0</v>
      </c>
      <c r="N811" t="n">
        <v>0</v>
      </c>
      <c r="O811" t="n">
        <v>0</v>
      </c>
      <c r="P811" t="n">
        <v>0</v>
      </c>
      <c r="Q811" t="n">
        <v>0</v>
      </c>
      <c r="R811" s="2" t="inlineStr"/>
    </row>
    <row r="812" ht="15" customHeight="1">
      <c r="A812" t="inlineStr">
        <is>
          <t>A 13053-2022</t>
        </is>
      </c>
      <c r="B812" s="1" t="n">
        <v>44643</v>
      </c>
      <c r="C812" s="1" t="n">
        <v>46031</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38593-2025</t>
        </is>
      </c>
      <c r="B813" s="1" t="n">
        <v>45884.48696759259</v>
      </c>
      <c r="C813" s="1" t="n">
        <v>46031</v>
      </c>
      <c r="D813" t="inlineStr">
        <is>
          <t>STOCKHOLMS LÄN</t>
        </is>
      </c>
      <c r="E813" t="inlineStr">
        <is>
          <t>NORRTÄLJE</t>
        </is>
      </c>
      <c r="G813" t="n">
        <v>3</v>
      </c>
      <c r="H813" t="n">
        <v>0</v>
      </c>
      <c r="I813" t="n">
        <v>0</v>
      </c>
      <c r="J813" t="n">
        <v>0</v>
      </c>
      <c r="K813" t="n">
        <v>0</v>
      </c>
      <c r="L813" t="n">
        <v>0</v>
      </c>
      <c r="M813" t="n">
        <v>0</v>
      </c>
      <c r="N813" t="n">
        <v>0</v>
      </c>
      <c r="O813" t="n">
        <v>0</v>
      </c>
      <c r="P813" t="n">
        <v>0</v>
      </c>
      <c r="Q813" t="n">
        <v>0</v>
      </c>
      <c r="R813" s="2" t="inlineStr"/>
    </row>
    <row r="814" ht="15" customHeight="1">
      <c r="A814" t="inlineStr">
        <is>
          <t>A 3383-2023</t>
        </is>
      </c>
      <c r="B814" s="1" t="n">
        <v>44949</v>
      </c>
      <c r="C814" s="1" t="n">
        <v>46031</v>
      </c>
      <c r="D814" t="inlineStr">
        <is>
          <t>STOCKHOLMS LÄN</t>
        </is>
      </c>
      <c r="E814" t="inlineStr">
        <is>
          <t>NORRTÄLJE</t>
        </is>
      </c>
      <c r="G814" t="n">
        <v>14.6</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46031</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46031</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67921-2021</t>
        </is>
      </c>
      <c r="B817" s="1" t="n">
        <v>44525</v>
      </c>
      <c r="C817" s="1" t="n">
        <v>46031</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5804-2025</t>
        </is>
      </c>
      <c r="B818" s="1" t="n">
        <v>45694.68207175926</v>
      </c>
      <c r="C818" s="1" t="n">
        <v>46031</v>
      </c>
      <c r="D818" t="inlineStr">
        <is>
          <t>STOCKHOLMS LÄN</t>
        </is>
      </c>
      <c r="E818" t="inlineStr">
        <is>
          <t>NORRTÄLJE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24705-2023</t>
        </is>
      </c>
      <c r="B819" s="1" t="n">
        <v>45084.54459490741</v>
      </c>
      <c r="C819" s="1" t="n">
        <v>46031</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54358-2022</t>
        </is>
      </c>
      <c r="B820" s="1" t="n">
        <v>44882</v>
      </c>
      <c r="C820" s="1" t="n">
        <v>46031</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23749-2024</t>
        </is>
      </c>
      <c r="B821" s="1" t="n">
        <v>45455.33037037037</v>
      </c>
      <c r="C821" s="1" t="n">
        <v>46031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35698-2023</t>
        </is>
      </c>
      <c r="B822" s="1" t="n">
        <v>45147</v>
      </c>
      <c r="C822" s="1" t="n">
        <v>46031</v>
      </c>
      <c r="D822" t="inlineStr">
        <is>
          <t>STOCKHOLMS LÄN</t>
        </is>
      </c>
      <c r="E822" t="inlineStr">
        <is>
          <t>NORRTÄLJE</t>
        </is>
      </c>
      <c r="G822" t="n">
        <v>2.1</v>
      </c>
      <c r="H822" t="n">
        <v>0</v>
      </c>
      <c r="I822" t="n">
        <v>0</v>
      </c>
      <c r="J822" t="n">
        <v>0</v>
      </c>
      <c r="K822" t="n">
        <v>0</v>
      </c>
      <c r="L822" t="n">
        <v>0</v>
      </c>
      <c r="M822" t="n">
        <v>0</v>
      </c>
      <c r="N822" t="n">
        <v>0</v>
      </c>
      <c r="O822" t="n">
        <v>0</v>
      </c>
      <c r="P822" t="n">
        <v>0</v>
      </c>
      <c r="Q822" t="n">
        <v>0</v>
      </c>
      <c r="R822" s="2" t="inlineStr"/>
    </row>
    <row r="823" ht="15" customHeight="1">
      <c r="A823" t="inlineStr">
        <is>
          <t>A 73992-2021</t>
        </is>
      </c>
      <c r="B823" s="1" t="n">
        <v>44556</v>
      </c>
      <c r="C823" s="1" t="n">
        <v>46031</v>
      </c>
      <c r="D823" t="inlineStr">
        <is>
          <t>STOCKHOLMS LÄN</t>
        </is>
      </c>
      <c r="E823" t="inlineStr">
        <is>
          <t>NORRTÄLJE</t>
        </is>
      </c>
      <c r="G823" t="n">
        <v>12.5</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44705.60626157407</v>
      </c>
      <c r="C824" s="1" t="n">
        <v>46031</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54276-2021</t>
        </is>
      </c>
      <c r="B825" s="1" t="n">
        <v>44470</v>
      </c>
      <c r="C825" s="1" t="n">
        <v>46031</v>
      </c>
      <c r="D825" t="inlineStr">
        <is>
          <t>STOCKHOLMS LÄN</t>
        </is>
      </c>
      <c r="E825" t="inlineStr">
        <is>
          <t>NORRTÄLJE</t>
        </is>
      </c>
      <c r="G825" t="n">
        <v>7.3</v>
      </c>
      <c r="H825" t="n">
        <v>0</v>
      </c>
      <c r="I825" t="n">
        <v>0</v>
      </c>
      <c r="J825" t="n">
        <v>0</v>
      </c>
      <c r="K825" t="n">
        <v>0</v>
      </c>
      <c r="L825" t="n">
        <v>0</v>
      </c>
      <c r="M825" t="n">
        <v>0</v>
      </c>
      <c r="N825" t="n">
        <v>0</v>
      </c>
      <c r="O825" t="n">
        <v>0</v>
      </c>
      <c r="P825" t="n">
        <v>0</v>
      </c>
      <c r="Q825" t="n">
        <v>0</v>
      </c>
      <c r="R825" s="2" t="inlineStr"/>
    </row>
    <row r="826" ht="15" customHeight="1">
      <c r="A826" t="inlineStr">
        <is>
          <t>A 10090-2022</t>
        </is>
      </c>
      <c r="B826" s="1" t="n">
        <v>44621</v>
      </c>
      <c r="C826" s="1" t="n">
        <v>46031</v>
      </c>
      <c r="D826" t="inlineStr">
        <is>
          <t>STOCKHOLMS LÄN</t>
        </is>
      </c>
      <c r="E826" t="inlineStr">
        <is>
          <t>NORRTÄLJE</t>
        </is>
      </c>
      <c r="G826" t="n">
        <v>5.2</v>
      </c>
      <c r="H826" t="n">
        <v>0</v>
      </c>
      <c r="I826" t="n">
        <v>0</v>
      </c>
      <c r="J826" t="n">
        <v>0</v>
      </c>
      <c r="K826" t="n">
        <v>0</v>
      </c>
      <c r="L826" t="n">
        <v>0</v>
      </c>
      <c r="M826" t="n">
        <v>0</v>
      </c>
      <c r="N826" t="n">
        <v>0</v>
      </c>
      <c r="O826" t="n">
        <v>0</v>
      </c>
      <c r="P826" t="n">
        <v>0</v>
      </c>
      <c r="Q826" t="n">
        <v>0</v>
      </c>
      <c r="R826" s="2" t="inlineStr"/>
    </row>
    <row r="827" ht="15" customHeight="1">
      <c r="A827" t="inlineStr">
        <is>
          <t>A 13785-2024</t>
        </is>
      </c>
      <c r="B827" s="1" t="n">
        <v>45391.3395949074</v>
      </c>
      <c r="C827" s="1" t="n">
        <v>46031</v>
      </c>
      <c r="D827" t="inlineStr">
        <is>
          <t>STOCKHOLMS LÄN</t>
        </is>
      </c>
      <c r="E827" t="inlineStr">
        <is>
          <t>NORRTÄLJE</t>
        </is>
      </c>
      <c r="G827" t="n">
        <v>5</v>
      </c>
      <c r="H827" t="n">
        <v>0</v>
      </c>
      <c r="I827" t="n">
        <v>0</v>
      </c>
      <c r="J827" t="n">
        <v>0</v>
      </c>
      <c r="K827" t="n">
        <v>0</v>
      </c>
      <c r="L827" t="n">
        <v>0</v>
      </c>
      <c r="M827" t="n">
        <v>0</v>
      </c>
      <c r="N827" t="n">
        <v>0</v>
      </c>
      <c r="O827" t="n">
        <v>0</v>
      </c>
      <c r="P827" t="n">
        <v>0</v>
      </c>
      <c r="Q827" t="n">
        <v>0</v>
      </c>
      <c r="R827" s="2" t="inlineStr"/>
    </row>
    <row r="828" ht="15" customHeight="1">
      <c r="A828" t="inlineStr">
        <is>
          <t>A 51116-2022</t>
        </is>
      </c>
      <c r="B828" s="1" t="n">
        <v>44868.45741898148</v>
      </c>
      <c r="C828" s="1" t="n">
        <v>46031</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29972-2024</t>
        </is>
      </c>
      <c r="B829" s="1" t="n">
        <v>45485</v>
      </c>
      <c r="C829" s="1" t="n">
        <v>46031</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28809-2023</t>
        </is>
      </c>
      <c r="B830" s="1" t="n">
        <v>45104</v>
      </c>
      <c r="C830" s="1" t="n">
        <v>46031</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28813-2023</t>
        </is>
      </c>
      <c r="B831" s="1" t="n">
        <v>45104</v>
      </c>
      <c r="C831" s="1" t="n">
        <v>46031</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19131-2025</t>
        </is>
      </c>
      <c r="B832" s="1" t="n">
        <v>45769</v>
      </c>
      <c r="C832" s="1" t="n">
        <v>46031</v>
      </c>
      <c r="D832" t="inlineStr">
        <is>
          <t>STOCKHOLMS LÄN</t>
        </is>
      </c>
      <c r="E832" t="inlineStr">
        <is>
          <t>NORRTÄLJE</t>
        </is>
      </c>
      <c r="G832" t="n">
        <v>1.6</v>
      </c>
      <c r="H832" t="n">
        <v>0</v>
      </c>
      <c r="I832" t="n">
        <v>0</v>
      </c>
      <c r="J832" t="n">
        <v>0</v>
      </c>
      <c r="K832" t="n">
        <v>0</v>
      </c>
      <c r="L832" t="n">
        <v>0</v>
      </c>
      <c r="M832" t="n">
        <v>0</v>
      </c>
      <c r="N832" t="n">
        <v>0</v>
      </c>
      <c r="O832" t="n">
        <v>0</v>
      </c>
      <c r="P832" t="n">
        <v>0</v>
      </c>
      <c r="Q832" t="n">
        <v>0</v>
      </c>
      <c r="R832" s="2" t="inlineStr"/>
    </row>
    <row r="833" ht="15" customHeight="1">
      <c r="A833" t="inlineStr">
        <is>
          <t>A 11929-2024</t>
        </is>
      </c>
      <c r="B833" s="1" t="n">
        <v>45376.64532407407</v>
      </c>
      <c r="C833" s="1" t="n">
        <v>46031</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64145-2021</t>
        </is>
      </c>
      <c r="B834" s="1" t="n">
        <v>44510</v>
      </c>
      <c r="C834" s="1" t="n">
        <v>46031</v>
      </c>
      <c r="D834" t="inlineStr">
        <is>
          <t>STOCKHOLMS LÄN</t>
        </is>
      </c>
      <c r="E834" t="inlineStr">
        <is>
          <t>NORRTÄLJE</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45451-2024</t>
        </is>
      </c>
      <c r="B835" s="1" t="n">
        <v>45576</v>
      </c>
      <c r="C835" s="1" t="n">
        <v>46031</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17843-2024</t>
        </is>
      </c>
      <c r="B836" s="1" t="n">
        <v>45418</v>
      </c>
      <c r="C836" s="1" t="n">
        <v>46031</v>
      </c>
      <c r="D836" t="inlineStr">
        <is>
          <t>STOCKHOLMS LÄN</t>
        </is>
      </c>
      <c r="E836" t="inlineStr">
        <is>
          <t>NORRTÄLJE</t>
        </is>
      </c>
      <c r="G836" t="n">
        <v>5.4</v>
      </c>
      <c r="H836" t="n">
        <v>0</v>
      </c>
      <c r="I836" t="n">
        <v>0</v>
      </c>
      <c r="J836" t="n">
        <v>0</v>
      </c>
      <c r="K836" t="n">
        <v>0</v>
      </c>
      <c r="L836" t="n">
        <v>0</v>
      </c>
      <c r="M836" t="n">
        <v>0</v>
      </c>
      <c r="N836" t="n">
        <v>0</v>
      </c>
      <c r="O836" t="n">
        <v>0</v>
      </c>
      <c r="P836" t="n">
        <v>0</v>
      </c>
      <c r="Q836" t="n">
        <v>0</v>
      </c>
      <c r="R836" s="2" t="inlineStr"/>
    </row>
    <row r="837" ht="15" customHeight="1">
      <c r="A837" t="inlineStr">
        <is>
          <t>A 12890-2024</t>
        </is>
      </c>
      <c r="B837" s="1" t="n">
        <v>45385.36243055556</v>
      </c>
      <c r="C837" s="1" t="n">
        <v>46031</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36430-2024</t>
        </is>
      </c>
      <c r="B838" s="1" t="n">
        <v>45536</v>
      </c>
      <c r="C838" s="1" t="n">
        <v>46031</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41172-2023</t>
        </is>
      </c>
      <c r="B839" s="1" t="n">
        <v>45170</v>
      </c>
      <c r="C839" s="1" t="n">
        <v>46031</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67921-2021</t>
        </is>
      </c>
      <c r="B840" s="1" t="n">
        <v>44525</v>
      </c>
      <c r="C840" s="1" t="n">
        <v>46031</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72704-2021</t>
        </is>
      </c>
      <c r="B841" s="1" t="n">
        <v>44546</v>
      </c>
      <c r="C841" s="1" t="n">
        <v>46031</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65499-2021</t>
        </is>
      </c>
      <c r="B842" s="1" t="n">
        <v>44516</v>
      </c>
      <c r="C842" s="1" t="n">
        <v>46031</v>
      </c>
      <c r="D842" t="inlineStr">
        <is>
          <t>STOCKHOLMS LÄN</t>
        </is>
      </c>
      <c r="E842" t="inlineStr">
        <is>
          <t>NORRTÄLJE</t>
        </is>
      </c>
      <c r="F842" t="inlineStr">
        <is>
          <t>Kommuner</t>
        </is>
      </c>
      <c r="G842" t="n">
        <v>5.2</v>
      </c>
      <c r="H842" t="n">
        <v>0</v>
      </c>
      <c r="I842" t="n">
        <v>0</v>
      </c>
      <c r="J842" t="n">
        <v>0</v>
      </c>
      <c r="K842" t="n">
        <v>0</v>
      </c>
      <c r="L842" t="n">
        <v>0</v>
      </c>
      <c r="M842" t="n">
        <v>0</v>
      </c>
      <c r="N842" t="n">
        <v>0</v>
      </c>
      <c r="O842" t="n">
        <v>0</v>
      </c>
      <c r="P842" t="n">
        <v>0</v>
      </c>
      <c r="Q842" t="n">
        <v>0</v>
      </c>
      <c r="R842" s="2" t="inlineStr"/>
    </row>
    <row r="843" ht="15" customHeight="1">
      <c r="A843" t="inlineStr">
        <is>
          <t>A 65511-2021</t>
        </is>
      </c>
      <c r="B843" s="1" t="n">
        <v>44516.40674768519</v>
      </c>
      <c r="C843" s="1" t="n">
        <v>46031</v>
      </c>
      <c r="D843" t="inlineStr">
        <is>
          <t>STOCKHOLMS LÄN</t>
        </is>
      </c>
      <c r="E843" t="inlineStr">
        <is>
          <t>NORRTÄLJE</t>
        </is>
      </c>
      <c r="F843" t="inlineStr">
        <is>
          <t>Kommuner</t>
        </is>
      </c>
      <c r="G843" t="n">
        <v>2.8</v>
      </c>
      <c r="H843" t="n">
        <v>0</v>
      </c>
      <c r="I843" t="n">
        <v>0</v>
      </c>
      <c r="J843" t="n">
        <v>0</v>
      </c>
      <c r="K843" t="n">
        <v>0</v>
      </c>
      <c r="L843" t="n">
        <v>0</v>
      </c>
      <c r="M843" t="n">
        <v>0</v>
      </c>
      <c r="N843" t="n">
        <v>0</v>
      </c>
      <c r="O843" t="n">
        <v>0</v>
      </c>
      <c r="P843" t="n">
        <v>0</v>
      </c>
      <c r="Q843" t="n">
        <v>0</v>
      </c>
      <c r="R843" s="2" t="inlineStr"/>
    </row>
    <row r="844" ht="15" customHeight="1">
      <c r="A844" t="inlineStr">
        <is>
          <t>A 26113-2024</t>
        </is>
      </c>
      <c r="B844" s="1" t="n">
        <v>45468.45541666666</v>
      </c>
      <c r="C844" s="1" t="n">
        <v>46031</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26116-2024</t>
        </is>
      </c>
      <c r="B845" s="1" t="n">
        <v>45468.45747685185</v>
      </c>
      <c r="C845" s="1" t="n">
        <v>46031</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52686-2024</t>
        </is>
      </c>
      <c r="B846" s="1" t="n">
        <v>45610.39271990741</v>
      </c>
      <c r="C846" s="1" t="n">
        <v>46031</v>
      </c>
      <c r="D846" t="inlineStr">
        <is>
          <t>STOCKHOLMS LÄN</t>
        </is>
      </c>
      <c r="E846" t="inlineStr">
        <is>
          <t>NORRTÄLJE</t>
        </is>
      </c>
      <c r="G846" t="n">
        <v>5.7</v>
      </c>
      <c r="H846" t="n">
        <v>0</v>
      </c>
      <c r="I846" t="n">
        <v>0</v>
      </c>
      <c r="J846" t="n">
        <v>0</v>
      </c>
      <c r="K846" t="n">
        <v>0</v>
      </c>
      <c r="L846" t="n">
        <v>0</v>
      </c>
      <c r="M846" t="n">
        <v>0</v>
      </c>
      <c r="N846" t="n">
        <v>0</v>
      </c>
      <c r="O846" t="n">
        <v>0</v>
      </c>
      <c r="P846" t="n">
        <v>0</v>
      </c>
      <c r="Q846" t="n">
        <v>0</v>
      </c>
      <c r="R846" s="2" t="inlineStr"/>
    </row>
    <row r="847" ht="15" customHeight="1">
      <c r="A847" t="inlineStr">
        <is>
          <t>A 31105-2022</t>
        </is>
      </c>
      <c r="B847" s="1" t="n">
        <v>44769.66039351852</v>
      </c>
      <c r="C847" s="1" t="n">
        <v>46031</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62644-2023</t>
        </is>
      </c>
      <c r="B848" s="1" t="n">
        <v>45271</v>
      </c>
      <c r="C848" s="1" t="n">
        <v>46031</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60185-2024</t>
        </is>
      </c>
      <c r="B849" s="1" t="n">
        <v>45642.64634259259</v>
      </c>
      <c r="C849" s="1" t="n">
        <v>46031</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60765-2023</t>
        </is>
      </c>
      <c r="B850" s="1" t="n">
        <v>45260</v>
      </c>
      <c r="C850" s="1" t="n">
        <v>46031</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12268-2022</t>
        </is>
      </c>
      <c r="B851" s="1" t="n">
        <v>44637</v>
      </c>
      <c r="C851" s="1" t="n">
        <v>46031</v>
      </c>
      <c r="D851" t="inlineStr">
        <is>
          <t>STOCKHOLMS LÄN</t>
        </is>
      </c>
      <c r="E851" t="inlineStr">
        <is>
          <t>NORRTÄLJE</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22832-2021</t>
        </is>
      </c>
      <c r="B852" s="1" t="n">
        <v>44325</v>
      </c>
      <c r="C852" s="1" t="n">
        <v>46031</v>
      </c>
      <c r="D852" t="inlineStr">
        <is>
          <t>STOCKHOLMS LÄN</t>
        </is>
      </c>
      <c r="E852" t="inlineStr">
        <is>
          <t>NORRTÄLJE</t>
        </is>
      </c>
      <c r="G852" t="n">
        <v>6.8</v>
      </c>
      <c r="H852" t="n">
        <v>0</v>
      </c>
      <c r="I852" t="n">
        <v>0</v>
      </c>
      <c r="J852" t="n">
        <v>0</v>
      </c>
      <c r="K852" t="n">
        <v>0</v>
      </c>
      <c r="L852" t="n">
        <v>0</v>
      </c>
      <c r="M852" t="n">
        <v>0</v>
      </c>
      <c r="N852" t="n">
        <v>0</v>
      </c>
      <c r="O852" t="n">
        <v>0</v>
      </c>
      <c r="P852" t="n">
        <v>0</v>
      </c>
      <c r="Q852" t="n">
        <v>0</v>
      </c>
      <c r="R852" s="2" t="inlineStr"/>
    </row>
    <row r="853" ht="15" customHeight="1">
      <c r="A853" t="inlineStr">
        <is>
          <t>A 51315-2021</t>
        </is>
      </c>
      <c r="B853" s="1" t="n">
        <v>44461</v>
      </c>
      <c r="C853" s="1" t="n">
        <v>46031</v>
      </c>
      <c r="D853" t="inlineStr">
        <is>
          <t>STOCKHOLMS LÄN</t>
        </is>
      </c>
      <c r="E853" t="inlineStr">
        <is>
          <t>NORRTÄLJE</t>
        </is>
      </c>
      <c r="F853" t="inlineStr">
        <is>
          <t>Holmen skog AB</t>
        </is>
      </c>
      <c r="G853" t="n">
        <v>2.2</v>
      </c>
      <c r="H853" t="n">
        <v>0</v>
      </c>
      <c r="I853" t="n">
        <v>0</v>
      </c>
      <c r="J853" t="n">
        <v>0</v>
      </c>
      <c r="K853" t="n">
        <v>0</v>
      </c>
      <c r="L853" t="n">
        <v>0</v>
      </c>
      <c r="M853" t="n">
        <v>0</v>
      </c>
      <c r="N853" t="n">
        <v>0</v>
      </c>
      <c r="O853" t="n">
        <v>0</v>
      </c>
      <c r="P853" t="n">
        <v>0</v>
      </c>
      <c r="Q853" t="n">
        <v>0</v>
      </c>
      <c r="R853" s="2" t="inlineStr"/>
    </row>
    <row r="854" ht="15" customHeight="1">
      <c r="A854" t="inlineStr">
        <is>
          <t>A 22008-2024</t>
        </is>
      </c>
      <c r="B854" s="1" t="n">
        <v>45443</v>
      </c>
      <c r="C854" s="1" t="n">
        <v>46031</v>
      </c>
      <c r="D854" t="inlineStr">
        <is>
          <t>STOCKHOLMS LÄN</t>
        </is>
      </c>
      <c r="E854" t="inlineStr">
        <is>
          <t>NORRTÄLJE</t>
        </is>
      </c>
      <c r="G854" t="n">
        <v>2</v>
      </c>
      <c r="H854" t="n">
        <v>0</v>
      </c>
      <c r="I854" t="n">
        <v>0</v>
      </c>
      <c r="J854" t="n">
        <v>0</v>
      </c>
      <c r="K854" t="n">
        <v>0</v>
      </c>
      <c r="L854" t="n">
        <v>0</v>
      </c>
      <c r="M854" t="n">
        <v>0</v>
      </c>
      <c r="N854" t="n">
        <v>0</v>
      </c>
      <c r="O854" t="n">
        <v>0</v>
      </c>
      <c r="P854" t="n">
        <v>0</v>
      </c>
      <c r="Q854" t="n">
        <v>0</v>
      </c>
      <c r="R854" s="2" t="inlineStr"/>
    </row>
    <row r="855" ht="15" customHeight="1">
      <c r="A855" t="inlineStr">
        <is>
          <t>A 58277-2023</t>
        </is>
      </c>
      <c r="B855" s="1" t="n">
        <v>45245</v>
      </c>
      <c r="C855" s="1" t="n">
        <v>46031</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9480-2025</t>
        </is>
      </c>
      <c r="B856" s="1" t="n">
        <v>45715</v>
      </c>
      <c r="C856" s="1" t="n">
        <v>46031</v>
      </c>
      <c r="D856" t="inlineStr">
        <is>
          <t>STOCKHOLMS LÄN</t>
        </is>
      </c>
      <c r="E856" t="inlineStr">
        <is>
          <t>NORRTÄLJE</t>
        </is>
      </c>
      <c r="F856" t="inlineStr">
        <is>
          <t>Övriga Aktiebolag</t>
        </is>
      </c>
      <c r="G856" t="n">
        <v>3.9</v>
      </c>
      <c r="H856" t="n">
        <v>0</v>
      </c>
      <c r="I856" t="n">
        <v>0</v>
      </c>
      <c r="J856" t="n">
        <v>0</v>
      </c>
      <c r="K856" t="n">
        <v>0</v>
      </c>
      <c r="L856" t="n">
        <v>0</v>
      </c>
      <c r="M856" t="n">
        <v>0</v>
      </c>
      <c r="N856" t="n">
        <v>0</v>
      </c>
      <c r="O856" t="n">
        <v>0</v>
      </c>
      <c r="P856" t="n">
        <v>0</v>
      </c>
      <c r="Q856" t="n">
        <v>0</v>
      </c>
      <c r="R856" s="2" t="inlineStr"/>
    </row>
    <row r="857" ht="15" customHeight="1">
      <c r="A857" t="inlineStr">
        <is>
          <t>A 4322-2023</t>
        </is>
      </c>
      <c r="B857" s="1" t="n">
        <v>44953.69298611111</v>
      </c>
      <c r="C857" s="1" t="n">
        <v>46031</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35916-2024</t>
        </is>
      </c>
      <c r="B858" s="1" t="n">
        <v>45533</v>
      </c>
      <c r="C858" s="1" t="n">
        <v>46031</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38889-2024</t>
        </is>
      </c>
      <c r="B859" s="1" t="n">
        <v>45547</v>
      </c>
      <c r="C859" s="1" t="n">
        <v>46031</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3299-2022</t>
        </is>
      </c>
      <c r="B860" s="1" t="n">
        <v>44584.91001157407</v>
      </c>
      <c r="C860" s="1" t="n">
        <v>46031</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42075-2023</t>
        </is>
      </c>
      <c r="B861" s="1" t="n">
        <v>45177</v>
      </c>
      <c r="C861" s="1" t="n">
        <v>46031</v>
      </c>
      <c r="D861" t="inlineStr">
        <is>
          <t>STOCKHOLMS LÄN</t>
        </is>
      </c>
      <c r="E861" t="inlineStr">
        <is>
          <t>NORRTÄLJE</t>
        </is>
      </c>
      <c r="G861" t="n">
        <v>2.5</v>
      </c>
      <c r="H861" t="n">
        <v>0</v>
      </c>
      <c r="I861" t="n">
        <v>0</v>
      </c>
      <c r="J861" t="n">
        <v>0</v>
      </c>
      <c r="K861" t="n">
        <v>0</v>
      </c>
      <c r="L861" t="n">
        <v>0</v>
      </c>
      <c r="M861" t="n">
        <v>0</v>
      </c>
      <c r="N861" t="n">
        <v>0</v>
      </c>
      <c r="O861" t="n">
        <v>0</v>
      </c>
      <c r="P861" t="n">
        <v>0</v>
      </c>
      <c r="Q861" t="n">
        <v>0</v>
      </c>
      <c r="R861" s="2" t="inlineStr"/>
    </row>
    <row r="862" ht="15" customHeight="1">
      <c r="A862" t="inlineStr">
        <is>
          <t>A 10676-2025</t>
        </is>
      </c>
      <c r="B862" s="1" t="n">
        <v>45721.88684027778</v>
      </c>
      <c r="C862" s="1" t="n">
        <v>46031</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50154-2024</t>
        </is>
      </c>
      <c r="B863" s="1" t="n">
        <v>45600.4558912037</v>
      </c>
      <c r="C863" s="1" t="n">
        <v>46031</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37273-2024</t>
        </is>
      </c>
      <c r="B864" s="1" t="n">
        <v>45540</v>
      </c>
      <c r="C864" s="1" t="n">
        <v>46031</v>
      </c>
      <c r="D864" t="inlineStr">
        <is>
          <t>STOCKHOLMS LÄN</t>
        </is>
      </c>
      <c r="E864" t="inlineStr">
        <is>
          <t>NORRTÄLJE</t>
        </is>
      </c>
      <c r="F864" t="inlineStr">
        <is>
          <t>Sveaskog</t>
        </is>
      </c>
      <c r="G864" t="n">
        <v>12.5</v>
      </c>
      <c r="H864" t="n">
        <v>0</v>
      </c>
      <c r="I864" t="n">
        <v>0</v>
      </c>
      <c r="J864" t="n">
        <v>0</v>
      </c>
      <c r="K864" t="n">
        <v>0</v>
      </c>
      <c r="L864" t="n">
        <v>0</v>
      </c>
      <c r="M864" t="n">
        <v>0</v>
      </c>
      <c r="N864" t="n">
        <v>0</v>
      </c>
      <c r="O864" t="n">
        <v>0</v>
      </c>
      <c r="P864" t="n">
        <v>0</v>
      </c>
      <c r="Q864" t="n">
        <v>0</v>
      </c>
      <c r="R864" s="2" t="inlineStr"/>
    </row>
    <row r="865" ht="15" customHeight="1">
      <c r="A865" t="inlineStr">
        <is>
          <t>A 34773-2022</t>
        </is>
      </c>
      <c r="B865" s="1" t="n">
        <v>44795</v>
      </c>
      <c r="C865" s="1" t="n">
        <v>46031</v>
      </c>
      <c r="D865" t="inlineStr">
        <is>
          <t>STOCKHOLMS LÄN</t>
        </is>
      </c>
      <c r="E865" t="inlineStr">
        <is>
          <t>NORRTÄLJE</t>
        </is>
      </c>
      <c r="G865" t="n">
        <v>3.9</v>
      </c>
      <c r="H865" t="n">
        <v>0</v>
      </c>
      <c r="I865" t="n">
        <v>0</v>
      </c>
      <c r="J865" t="n">
        <v>0</v>
      </c>
      <c r="K865" t="n">
        <v>0</v>
      </c>
      <c r="L865" t="n">
        <v>0</v>
      </c>
      <c r="M865" t="n">
        <v>0</v>
      </c>
      <c r="N865" t="n">
        <v>0</v>
      </c>
      <c r="O865" t="n">
        <v>0</v>
      </c>
      <c r="P865" t="n">
        <v>0</v>
      </c>
      <c r="Q865" t="n">
        <v>0</v>
      </c>
      <c r="R865" s="2" t="inlineStr"/>
    </row>
    <row r="866" ht="15" customHeight="1">
      <c r="A866" t="inlineStr">
        <is>
          <t>A 23263-2023</t>
        </is>
      </c>
      <c r="B866" s="1" t="n">
        <v>45075</v>
      </c>
      <c r="C866" s="1" t="n">
        <v>46031</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23264-2023</t>
        </is>
      </c>
      <c r="B867" s="1" t="n">
        <v>45075</v>
      </c>
      <c r="C867" s="1" t="n">
        <v>46031</v>
      </c>
      <c r="D867" t="inlineStr">
        <is>
          <t>STOCKHOLMS LÄN</t>
        </is>
      </c>
      <c r="E867" t="inlineStr">
        <is>
          <t>NORRTÄLJE</t>
        </is>
      </c>
      <c r="G867" t="n">
        <v>2.9</v>
      </c>
      <c r="H867" t="n">
        <v>0</v>
      </c>
      <c r="I867" t="n">
        <v>0</v>
      </c>
      <c r="J867" t="n">
        <v>0</v>
      </c>
      <c r="K867" t="n">
        <v>0</v>
      </c>
      <c r="L867" t="n">
        <v>0</v>
      </c>
      <c r="M867" t="n">
        <v>0</v>
      </c>
      <c r="N867" t="n">
        <v>0</v>
      </c>
      <c r="O867" t="n">
        <v>0</v>
      </c>
      <c r="P867" t="n">
        <v>0</v>
      </c>
      <c r="Q867" t="n">
        <v>0</v>
      </c>
      <c r="R867" s="2" t="inlineStr"/>
    </row>
    <row r="868" ht="15" customHeight="1">
      <c r="A868" t="inlineStr">
        <is>
          <t>A 23267-2023</t>
        </is>
      </c>
      <c r="B868" s="1" t="n">
        <v>45075.90934027778</v>
      </c>
      <c r="C868" s="1" t="n">
        <v>46031</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25654-2023</t>
        </is>
      </c>
      <c r="B869" s="1" t="n">
        <v>45089</v>
      </c>
      <c r="C869" s="1" t="n">
        <v>46031</v>
      </c>
      <c r="D869" t="inlineStr">
        <is>
          <t>STOCKHOLMS LÄN</t>
        </is>
      </c>
      <c r="E869" t="inlineStr">
        <is>
          <t>NORRTÄLJE</t>
        </is>
      </c>
      <c r="G869" t="n">
        <v>2.1</v>
      </c>
      <c r="H869" t="n">
        <v>0</v>
      </c>
      <c r="I869" t="n">
        <v>0</v>
      </c>
      <c r="J869" t="n">
        <v>0</v>
      </c>
      <c r="K869" t="n">
        <v>0</v>
      </c>
      <c r="L869" t="n">
        <v>0</v>
      </c>
      <c r="M869" t="n">
        <v>0</v>
      </c>
      <c r="N869" t="n">
        <v>0</v>
      </c>
      <c r="O869" t="n">
        <v>0</v>
      </c>
      <c r="P869" t="n">
        <v>0</v>
      </c>
      <c r="Q869" t="n">
        <v>0</v>
      </c>
      <c r="R869" s="2" t="inlineStr"/>
    </row>
    <row r="870" ht="15" customHeight="1">
      <c r="A870" t="inlineStr">
        <is>
          <t>A 47758-2023</t>
        </is>
      </c>
      <c r="B870" s="1" t="n">
        <v>45203.83891203703</v>
      </c>
      <c r="C870" s="1" t="n">
        <v>46031</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48151-2024</t>
        </is>
      </c>
      <c r="B871" s="1" t="n">
        <v>45589.68289351852</v>
      </c>
      <c r="C871" s="1" t="n">
        <v>46031</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5831-2022</t>
        </is>
      </c>
      <c r="B872" s="1" t="n">
        <v>44596</v>
      </c>
      <c r="C872" s="1" t="n">
        <v>46031</v>
      </c>
      <c r="D872" t="inlineStr">
        <is>
          <t>STOCKHOLMS LÄN</t>
        </is>
      </c>
      <c r="E872" t="inlineStr">
        <is>
          <t>NORRTÄLJE</t>
        </is>
      </c>
      <c r="G872" t="n">
        <v>4.8</v>
      </c>
      <c r="H872" t="n">
        <v>0</v>
      </c>
      <c r="I872" t="n">
        <v>0</v>
      </c>
      <c r="J872" t="n">
        <v>0</v>
      </c>
      <c r="K872" t="n">
        <v>0</v>
      </c>
      <c r="L872" t="n">
        <v>0</v>
      </c>
      <c r="M872" t="n">
        <v>0</v>
      </c>
      <c r="N872" t="n">
        <v>0</v>
      </c>
      <c r="O872" t="n">
        <v>0</v>
      </c>
      <c r="P872" t="n">
        <v>0</v>
      </c>
      <c r="Q872" t="n">
        <v>0</v>
      </c>
      <c r="R872" s="2" t="inlineStr"/>
    </row>
    <row r="873" ht="15" customHeight="1">
      <c r="A873" t="inlineStr">
        <is>
          <t>A 58853-2024</t>
        </is>
      </c>
      <c r="B873" s="1" t="n">
        <v>45636.38974537037</v>
      </c>
      <c r="C873" s="1" t="n">
        <v>46031</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59712-2024</t>
        </is>
      </c>
      <c r="B874" s="1" t="n">
        <v>45639.45166666667</v>
      </c>
      <c r="C874" s="1" t="n">
        <v>46031</v>
      </c>
      <c r="D874" t="inlineStr">
        <is>
          <t>STOCKHOLMS LÄN</t>
        </is>
      </c>
      <c r="E874" t="inlineStr">
        <is>
          <t>NORRTÄLJE</t>
        </is>
      </c>
      <c r="G874" t="n">
        <v>4.4</v>
      </c>
      <c r="H874" t="n">
        <v>0</v>
      </c>
      <c r="I874" t="n">
        <v>0</v>
      </c>
      <c r="J874" t="n">
        <v>0</v>
      </c>
      <c r="K874" t="n">
        <v>0</v>
      </c>
      <c r="L874" t="n">
        <v>0</v>
      </c>
      <c r="M874" t="n">
        <v>0</v>
      </c>
      <c r="N874" t="n">
        <v>0</v>
      </c>
      <c r="O874" t="n">
        <v>0</v>
      </c>
      <c r="P874" t="n">
        <v>0</v>
      </c>
      <c r="Q874" t="n">
        <v>0</v>
      </c>
      <c r="R874" s="2" t="inlineStr"/>
    </row>
    <row r="875" ht="15" customHeight="1">
      <c r="A875" t="inlineStr">
        <is>
          <t>A 59721-2024</t>
        </is>
      </c>
      <c r="B875" s="1" t="n">
        <v>45639.47385416667</v>
      </c>
      <c r="C875" s="1" t="n">
        <v>46031</v>
      </c>
      <c r="D875" t="inlineStr">
        <is>
          <t>STOCKHOLMS LÄN</t>
        </is>
      </c>
      <c r="E875" t="inlineStr">
        <is>
          <t>NORRTÄLJE</t>
        </is>
      </c>
      <c r="G875" t="n">
        <v>4.6</v>
      </c>
      <c r="H875" t="n">
        <v>0</v>
      </c>
      <c r="I875" t="n">
        <v>0</v>
      </c>
      <c r="J875" t="n">
        <v>0</v>
      </c>
      <c r="K875" t="n">
        <v>0</v>
      </c>
      <c r="L875" t="n">
        <v>0</v>
      </c>
      <c r="M875" t="n">
        <v>0</v>
      </c>
      <c r="N875" t="n">
        <v>0</v>
      </c>
      <c r="O875" t="n">
        <v>0</v>
      </c>
      <c r="P875" t="n">
        <v>0</v>
      </c>
      <c r="Q875" t="n">
        <v>0</v>
      </c>
      <c r="R875" s="2" t="inlineStr"/>
    </row>
    <row r="876" ht="15" customHeight="1">
      <c r="A876" t="inlineStr">
        <is>
          <t>A 60884-2024</t>
        </is>
      </c>
      <c r="B876" s="1" t="n">
        <v>45644.90815972222</v>
      </c>
      <c r="C876" s="1" t="n">
        <v>46031</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23150-2024</t>
        </is>
      </c>
      <c r="B877" s="1" t="n">
        <v>45450.64643518518</v>
      </c>
      <c r="C877" s="1" t="n">
        <v>46031</v>
      </c>
      <c r="D877" t="inlineStr">
        <is>
          <t>STOCKHOLMS LÄN</t>
        </is>
      </c>
      <c r="E877" t="inlineStr">
        <is>
          <t>NORRTÄLJE</t>
        </is>
      </c>
      <c r="F877" t="inlineStr">
        <is>
          <t>Kommuner</t>
        </is>
      </c>
      <c r="G877" t="n">
        <v>2.7</v>
      </c>
      <c r="H877" t="n">
        <v>0</v>
      </c>
      <c r="I877" t="n">
        <v>0</v>
      </c>
      <c r="J877" t="n">
        <v>0</v>
      </c>
      <c r="K877" t="n">
        <v>0</v>
      </c>
      <c r="L877" t="n">
        <v>0</v>
      </c>
      <c r="M877" t="n">
        <v>0</v>
      </c>
      <c r="N877" t="n">
        <v>0</v>
      </c>
      <c r="O877" t="n">
        <v>0</v>
      </c>
      <c r="P877" t="n">
        <v>0</v>
      </c>
      <c r="Q877" t="n">
        <v>0</v>
      </c>
      <c r="R877" s="2" t="inlineStr"/>
    </row>
    <row r="878" ht="15" customHeight="1">
      <c r="A878" t="inlineStr">
        <is>
          <t>A 59878-2024</t>
        </is>
      </c>
      <c r="B878" s="1" t="n">
        <v>45640.60240740741</v>
      </c>
      <c r="C878" s="1" t="n">
        <v>46031</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50182-2024</t>
        </is>
      </c>
      <c r="B879" s="1" t="n">
        <v>45600.47275462963</v>
      </c>
      <c r="C879" s="1" t="n">
        <v>46031</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2549-2022</t>
        </is>
      </c>
      <c r="B880" s="1" t="n">
        <v>44580</v>
      </c>
      <c r="C880" s="1" t="n">
        <v>46031</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31140-2023</t>
        </is>
      </c>
      <c r="B881" s="1" t="n">
        <v>45113</v>
      </c>
      <c r="C881" s="1" t="n">
        <v>46031</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31149-2023</t>
        </is>
      </c>
      <c r="B882" s="1" t="n">
        <v>45113</v>
      </c>
      <c r="C882" s="1" t="n">
        <v>46031</v>
      </c>
      <c r="D882" t="inlineStr">
        <is>
          <t>STOCKHOLMS LÄN</t>
        </is>
      </c>
      <c r="E882" t="inlineStr">
        <is>
          <t>NORRTÄLJE</t>
        </is>
      </c>
      <c r="G882" t="n">
        <v>7.1</v>
      </c>
      <c r="H882" t="n">
        <v>0</v>
      </c>
      <c r="I882" t="n">
        <v>0</v>
      </c>
      <c r="J882" t="n">
        <v>0</v>
      </c>
      <c r="K882" t="n">
        <v>0</v>
      </c>
      <c r="L882" t="n">
        <v>0</v>
      </c>
      <c r="M882" t="n">
        <v>0</v>
      </c>
      <c r="N882" t="n">
        <v>0</v>
      </c>
      <c r="O882" t="n">
        <v>0</v>
      </c>
      <c r="P882" t="n">
        <v>0</v>
      </c>
      <c r="Q882" t="n">
        <v>0</v>
      </c>
      <c r="R882" s="2" t="inlineStr"/>
    </row>
    <row r="883" ht="15" customHeight="1">
      <c r="A883" t="inlineStr">
        <is>
          <t>A 16835-2022</t>
        </is>
      </c>
      <c r="B883" s="1" t="n">
        <v>44673</v>
      </c>
      <c r="C883" s="1" t="n">
        <v>46031</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13701-2022</t>
        </is>
      </c>
      <c r="B884" s="1" t="n">
        <v>44648</v>
      </c>
      <c r="C884" s="1" t="n">
        <v>46031</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13089-2022</t>
        </is>
      </c>
      <c r="B885" s="1" t="n">
        <v>44643</v>
      </c>
      <c r="C885" s="1" t="n">
        <v>46031</v>
      </c>
      <c r="D885" t="inlineStr">
        <is>
          <t>STOCKHOLMS LÄN</t>
        </is>
      </c>
      <c r="E885" t="inlineStr">
        <is>
          <t>NORRTÄLJE</t>
        </is>
      </c>
      <c r="G885" t="n">
        <v>4.5</v>
      </c>
      <c r="H885" t="n">
        <v>0</v>
      </c>
      <c r="I885" t="n">
        <v>0</v>
      </c>
      <c r="J885" t="n">
        <v>0</v>
      </c>
      <c r="K885" t="n">
        <v>0</v>
      </c>
      <c r="L885" t="n">
        <v>0</v>
      </c>
      <c r="M885" t="n">
        <v>0</v>
      </c>
      <c r="N885" t="n">
        <v>0</v>
      </c>
      <c r="O885" t="n">
        <v>0</v>
      </c>
      <c r="P885" t="n">
        <v>0</v>
      </c>
      <c r="Q885" t="n">
        <v>0</v>
      </c>
      <c r="R885" s="2" t="inlineStr"/>
    </row>
    <row r="886" ht="15" customHeight="1">
      <c r="A886" t="inlineStr">
        <is>
          <t>A 38759-2022</t>
        </is>
      </c>
      <c r="B886" s="1" t="n">
        <v>44816</v>
      </c>
      <c r="C886" s="1" t="n">
        <v>46031</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23998-2024</t>
        </is>
      </c>
      <c r="B887" s="1" t="n">
        <v>45456</v>
      </c>
      <c r="C887" s="1" t="n">
        <v>46031</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54504-2024</t>
        </is>
      </c>
      <c r="B888" s="1" t="n">
        <v>45617.58453703704</v>
      </c>
      <c r="C888" s="1" t="n">
        <v>46031</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32595-2023</t>
        </is>
      </c>
      <c r="B889" s="1" t="n">
        <v>45121</v>
      </c>
      <c r="C889" s="1" t="n">
        <v>46031</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11332-2025</t>
        </is>
      </c>
      <c r="B890" s="1" t="n">
        <v>45726.48152777777</v>
      </c>
      <c r="C890" s="1" t="n">
        <v>46031</v>
      </c>
      <c r="D890" t="inlineStr">
        <is>
          <t>STOCKHOLMS LÄN</t>
        </is>
      </c>
      <c r="E890" t="inlineStr">
        <is>
          <t>NORRTÄLJE</t>
        </is>
      </c>
      <c r="G890" t="n">
        <v>4.6</v>
      </c>
      <c r="H890" t="n">
        <v>0</v>
      </c>
      <c r="I890" t="n">
        <v>0</v>
      </c>
      <c r="J890" t="n">
        <v>0</v>
      </c>
      <c r="K890" t="n">
        <v>0</v>
      </c>
      <c r="L890" t="n">
        <v>0</v>
      </c>
      <c r="M890" t="n">
        <v>0</v>
      </c>
      <c r="N890" t="n">
        <v>0</v>
      </c>
      <c r="O890" t="n">
        <v>0</v>
      </c>
      <c r="P890" t="n">
        <v>0</v>
      </c>
      <c r="Q890" t="n">
        <v>0</v>
      </c>
      <c r="R890" s="2" t="inlineStr"/>
    </row>
    <row r="891" ht="15" customHeight="1">
      <c r="A891" t="inlineStr">
        <is>
          <t>A 13718-2022</t>
        </is>
      </c>
      <c r="B891" s="1" t="n">
        <v>44649</v>
      </c>
      <c r="C891" s="1" t="n">
        <v>46031</v>
      </c>
      <c r="D891" t="inlineStr">
        <is>
          <t>STOCKHOLMS LÄN</t>
        </is>
      </c>
      <c r="E891" t="inlineStr">
        <is>
          <t>NORRTÄLJE</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54259-2023</t>
        </is>
      </c>
      <c r="B892" s="1" t="n">
        <v>45232</v>
      </c>
      <c r="C892" s="1" t="n">
        <v>46031</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13171-2025</t>
        </is>
      </c>
      <c r="B893" s="1" t="n">
        <v>45735.36594907408</v>
      </c>
      <c r="C893" s="1" t="n">
        <v>46031</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12299-2025</t>
        </is>
      </c>
      <c r="B894" s="1" t="n">
        <v>45729.71065972222</v>
      </c>
      <c r="C894" s="1" t="n">
        <v>46031</v>
      </c>
      <c r="D894" t="inlineStr">
        <is>
          <t>STOCKHOLMS LÄN</t>
        </is>
      </c>
      <c r="E894" t="inlineStr">
        <is>
          <t>NORRTÄLJE</t>
        </is>
      </c>
      <c r="F894" t="inlineStr">
        <is>
          <t>Holmen skog AB</t>
        </is>
      </c>
      <c r="G894" t="n">
        <v>6.9</v>
      </c>
      <c r="H894" t="n">
        <v>0</v>
      </c>
      <c r="I894" t="n">
        <v>0</v>
      </c>
      <c r="J894" t="n">
        <v>0</v>
      </c>
      <c r="K894" t="n">
        <v>0</v>
      </c>
      <c r="L894" t="n">
        <v>0</v>
      </c>
      <c r="M894" t="n">
        <v>0</v>
      </c>
      <c r="N894" t="n">
        <v>0</v>
      </c>
      <c r="O894" t="n">
        <v>0</v>
      </c>
      <c r="P894" t="n">
        <v>0</v>
      </c>
      <c r="Q894" t="n">
        <v>0</v>
      </c>
      <c r="R894" s="2" t="inlineStr"/>
    </row>
    <row r="895" ht="15" customHeight="1">
      <c r="A895" t="inlineStr">
        <is>
          <t>A 11900-2024</t>
        </is>
      </c>
      <c r="B895" s="1" t="n">
        <v>45376.55484953704</v>
      </c>
      <c r="C895" s="1" t="n">
        <v>46031</v>
      </c>
      <c r="D895" t="inlineStr">
        <is>
          <t>STOCKHOLMS LÄN</t>
        </is>
      </c>
      <c r="E895" t="inlineStr">
        <is>
          <t>NORRTÄLJE</t>
        </is>
      </c>
      <c r="G895" t="n">
        <v>4.2</v>
      </c>
      <c r="H895" t="n">
        <v>0</v>
      </c>
      <c r="I895" t="n">
        <v>0</v>
      </c>
      <c r="J895" t="n">
        <v>0</v>
      </c>
      <c r="K895" t="n">
        <v>0</v>
      </c>
      <c r="L895" t="n">
        <v>0</v>
      </c>
      <c r="M895" t="n">
        <v>0</v>
      </c>
      <c r="N895" t="n">
        <v>0</v>
      </c>
      <c r="O895" t="n">
        <v>0</v>
      </c>
      <c r="P895" t="n">
        <v>0</v>
      </c>
      <c r="Q895" t="n">
        <v>0</v>
      </c>
      <c r="R895" s="2" t="inlineStr"/>
    </row>
    <row r="896" ht="15" customHeight="1">
      <c r="A896" t="inlineStr">
        <is>
          <t>A 43300-2023</t>
        </is>
      </c>
      <c r="B896" s="1" t="n">
        <v>45183</v>
      </c>
      <c r="C896" s="1" t="n">
        <v>46031</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13276-2022</t>
        </is>
      </c>
      <c r="B897" s="1" t="n">
        <v>44644</v>
      </c>
      <c r="C897" s="1" t="n">
        <v>46031</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11900-2022</t>
        </is>
      </c>
      <c r="B898" s="1" t="n">
        <v>44635</v>
      </c>
      <c r="C898" s="1" t="n">
        <v>46031</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14724-2022</t>
        </is>
      </c>
      <c r="B899" s="1" t="n">
        <v>44656</v>
      </c>
      <c r="C899" s="1" t="n">
        <v>46031</v>
      </c>
      <c r="D899" t="inlineStr">
        <is>
          <t>STOCKHOLMS LÄN</t>
        </is>
      </c>
      <c r="E899" t="inlineStr">
        <is>
          <t>NORRTÄLJE</t>
        </is>
      </c>
      <c r="F899" t="inlineStr">
        <is>
          <t>Sveaskog</t>
        </is>
      </c>
      <c r="G899" t="n">
        <v>9</v>
      </c>
      <c r="H899" t="n">
        <v>0</v>
      </c>
      <c r="I899" t="n">
        <v>0</v>
      </c>
      <c r="J899" t="n">
        <v>0</v>
      </c>
      <c r="K899" t="n">
        <v>0</v>
      </c>
      <c r="L899" t="n">
        <v>0</v>
      </c>
      <c r="M899" t="n">
        <v>0</v>
      </c>
      <c r="N899" t="n">
        <v>0</v>
      </c>
      <c r="O899" t="n">
        <v>0</v>
      </c>
      <c r="P899" t="n">
        <v>0</v>
      </c>
      <c r="Q899" t="n">
        <v>0</v>
      </c>
      <c r="R899" s="2" t="inlineStr"/>
    </row>
    <row r="900" ht="15" customHeight="1">
      <c r="A900" t="inlineStr">
        <is>
          <t>A 4580-2025</t>
        </is>
      </c>
      <c r="B900" s="1" t="n">
        <v>45687.5038425926</v>
      </c>
      <c r="C900" s="1" t="n">
        <v>46031</v>
      </c>
      <c r="D900" t="inlineStr">
        <is>
          <t>STOCKHOLMS LÄN</t>
        </is>
      </c>
      <c r="E900" t="inlineStr">
        <is>
          <t>NORRTÄLJE</t>
        </is>
      </c>
      <c r="F900" t="inlineStr">
        <is>
          <t>Holmen skog AB</t>
        </is>
      </c>
      <c r="G900" t="n">
        <v>4.8</v>
      </c>
      <c r="H900" t="n">
        <v>0</v>
      </c>
      <c r="I900" t="n">
        <v>0</v>
      </c>
      <c r="J900" t="n">
        <v>0</v>
      </c>
      <c r="K900" t="n">
        <v>0</v>
      </c>
      <c r="L900" t="n">
        <v>0</v>
      </c>
      <c r="M900" t="n">
        <v>0</v>
      </c>
      <c r="N900" t="n">
        <v>0</v>
      </c>
      <c r="O900" t="n">
        <v>0</v>
      </c>
      <c r="P900" t="n">
        <v>0</v>
      </c>
      <c r="Q900" t="n">
        <v>0</v>
      </c>
      <c r="R900" s="2" t="inlineStr"/>
    </row>
    <row r="901" ht="15" customHeight="1">
      <c r="A901" t="inlineStr">
        <is>
          <t>A 16202-2022</t>
        </is>
      </c>
      <c r="B901" s="1" t="n">
        <v>44670</v>
      </c>
      <c r="C901" s="1" t="n">
        <v>46031</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6003-2025</t>
        </is>
      </c>
      <c r="B902" s="1" t="n">
        <v>45695.57881944445</v>
      </c>
      <c r="C902" s="1" t="n">
        <v>46031</v>
      </c>
      <c r="D902" t="inlineStr">
        <is>
          <t>STOCKHOLMS LÄN</t>
        </is>
      </c>
      <c r="E902" t="inlineStr">
        <is>
          <t>NORRTÄLJE</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52321-2024</t>
        </is>
      </c>
      <c r="B903" s="1" t="n">
        <v>45608</v>
      </c>
      <c r="C903" s="1" t="n">
        <v>46031</v>
      </c>
      <c r="D903" t="inlineStr">
        <is>
          <t>STOCKHOLMS LÄN</t>
        </is>
      </c>
      <c r="E903" t="inlineStr">
        <is>
          <t>NORRTÄLJE</t>
        </is>
      </c>
      <c r="G903" t="n">
        <v>18.1</v>
      </c>
      <c r="H903" t="n">
        <v>0</v>
      </c>
      <c r="I903" t="n">
        <v>0</v>
      </c>
      <c r="J903" t="n">
        <v>0</v>
      </c>
      <c r="K903" t="n">
        <v>0</v>
      </c>
      <c r="L903" t="n">
        <v>0</v>
      </c>
      <c r="M903" t="n">
        <v>0</v>
      </c>
      <c r="N903" t="n">
        <v>0</v>
      </c>
      <c r="O903" t="n">
        <v>0</v>
      </c>
      <c r="P903" t="n">
        <v>0</v>
      </c>
      <c r="Q903" t="n">
        <v>0</v>
      </c>
      <c r="R903" s="2" t="inlineStr"/>
    </row>
    <row r="904" ht="15" customHeight="1">
      <c r="A904" t="inlineStr">
        <is>
          <t>A 54558-2024</t>
        </is>
      </c>
      <c r="B904" s="1" t="n">
        <v>45617.62358796296</v>
      </c>
      <c r="C904" s="1" t="n">
        <v>46031</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22157-2023</t>
        </is>
      </c>
      <c r="B905" s="1" t="n">
        <v>45069</v>
      </c>
      <c r="C905" s="1" t="n">
        <v>46031</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c r="U905">
        <f>HYPERLINK("https://klasma.github.io/Logging_0188/knärot/A 22157-2023 karta knärot.png", "A 22157-2023")</f>
        <v/>
      </c>
      <c r="V905">
        <f>HYPERLINK("https://klasma.github.io/Logging_0188/klagomål/A 22157-2023 FSC-klagomål.docx", "A 22157-2023")</f>
        <v/>
      </c>
      <c r="W905">
        <f>HYPERLINK("https://klasma.github.io/Logging_0188/klagomålsmail/A 22157-2023 FSC-klagomål mail.docx", "A 22157-2023")</f>
        <v/>
      </c>
      <c r="X905">
        <f>HYPERLINK("https://klasma.github.io/Logging_0188/tillsyn/A 22157-2023 tillsynsbegäran.docx", "A 22157-2023")</f>
        <v/>
      </c>
      <c r="Y905">
        <f>HYPERLINK("https://klasma.github.io/Logging_0188/tillsynsmail/A 22157-2023 tillsynsbegäran mail.docx", "A 22157-2023")</f>
        <v/>
      </c>
    </row>
    <row r="906" ht="15" customHeight="1">
      <c r="A906" t="inlineStr">
        <is>
          <t>A 48633-2023</t>
        </is>
      </c>
      <c r="B906" s="1" t="n">
        <v>45208.58004629629</v>
      </c>
      <c r="C906" s="1" t="n">
        <v>46031</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47419-2023</t>
        </is>
      </c>
      <c r="B907" s="1" t="n">
        <v>45202.65660879629</v>
      </c>
      <c r="C907" s="1" t="n">
        <v>46031</v>
      </c>
      <c r="D907" t="inlineStr">
        <is>
          <t>STOCKHOLMS LÄN</t>
        </is>
      </c>
      <c r="E907" t="inlineStr">
        <is>
          <t>NORRTÄLJE</t>
        </is>
      </c>
      <c r="G907" t="n">
        <v>11.4</v>
      </c>
      <c r="H907" t="n">
        <v>0</v>
      </c>
      <c r="I907" t="n">
        <v>0</v>
      </c>
      <c r="J907" t="n">
        <v>0</v>
      </c>
      <c r="K907" t="n">
        <v>0</v>
      </c>
      <c r="L907" t="n">
        <v>0</v>
      </c>
      <c r="M907" t="n">
        <v>0</v>
      </c>
      <c r="N907" t="n">
        <v>0</v>
      </c>
      <c r="O907" t="n">
        <v>0</v>
      </c>
      <c r="P907" t="n">
        <v>0</v>
      </c>
      <c r="Q907" t="n">
        <v>0</v>
      </c>
      <c r="R907" s="2" t="inlineStr"/>
    </row>
    <row r="908" ht="15" customHeight="1">
      <c r="A908" t="inlineStr">
        <is>
          <t>A 652-2025</t>
        </is>
      </c>
      <c r="B908" s="1" t="n">
        <v>45664</v>
      </c>
      <c r="C908" s="1" t="n">
        <v>46031</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10653-2022</t>
        </is>
      </c>
      <c r="B909" s="1" t="n">
        <v>44624.59434027778</v>
      </c>
      <c r="C909" s="1" t="n">
        <v>46031</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35695-2023</t>
        </is>
      </c>
      <c r="B910" s="1" t="n">
        <v>45147.65407407407</v>
      </c>
      <c r="C910" s="1" t="n">
        <v>46031</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18665-2022</t>
        </is>
      </c>
      <c r="B911" s="1" t="n">
        <v>44687</v>
      </c>
      <c r="C911" s="1" t="n">
        <v>46031</v>
      </c>
      <c r="D911" t="inlineStr">
        <is>
          <t>STOCKHOLMS LÄN</t>
        </is>
      </c>
      <c r="E911" t="inlineStr">
        <is>
          <t>NORRTÄLJE</t>
        </is>
      </c>
      <c r="F911" t="inlineStr">
        <is>
          <t>Kyrkan</t>
        </is>
      </c>
      <c r="G911" t="n">
        <v>1.1</v>
      </c>
      <c r="H911" t="n">
        <v>0</v>
      </c>
      <c r="I911" t="n">
        <v>0</v>
      </c>
      <c r="J911" t="n">
        <v>0</v>
      </c>
      <c r="K911" t="n">
        <v>0</v>
      </c>
      <c r="L911" t="n">
        <v>0</v>
      </c>
      <c r="M911" t="n">
        <v>0</v>
      </c>
      <c r="N911" t="n">
        <v>0</v>
      </c>
      <c r="O911" t="n">
        <v>0</v>
      </c>
      <c r="P911" t="n">
        <v>0</v>
      </c>
      <c r="Q911" t="n">
        <v>0</v>
      </c>
      <c r="R911" s="2" t="inlineStr"/>
    </row>
    <row r="912" ht="15" customHeight="1">
      <c r="A912" t="inlineStr">
        <is>
          <t>A 17574-2025</t>
        </is>
      </c>
      <c r="B912" s="1" t="n">
        <v>45757.65178240741</v>
      </c>
      <c r="C912" s="1" t="n">
        <v>46031</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20370-2025</t>
        </is>
      </c>
      <c r="B913" s="1" t="n">
        <v>45775.41451388889</v>
      </c>
      <c r="C913" s="1" t="n">
        <v>46031</v>
      </c>
      <c r="D913" t="inlineStr">
        <is>
          <t>STOCKHOLMS LÄN</t>
        </is>
      </c>
      <c r="E913" t="inlineStr">
        <is>
          <t>NORRTÄLJE</t>
        </is>
      </c>
      <c r="G913" t="n">
        <v>2.9</v>
      </c>
      <c r="H913" t="n">
        <v>0</v>
      </c>
      <c r="I913" t="n">
        <v>0</v>
      </c>
      <c r="J913" t="n">
        <v>0</v>
      </c>
      <c r="K913" t="n">
        <v>0</v>
      </c>
      <c r="L913" t="n">
        <v>0</v>
      </c>
      <c r="M913" t="n">
        <v>0</v>
      </c>
      <c r="N913" t="n">
        <v>0</v>
      </c>
      <c r="O913" t="n">
        <v>0</v>
      </c>
      <c r="P913" t="n">
        <v>0</v>
      </c>
      <c r="Q913" t="n">
        <v>0</v>
      </c>
      <c r="R913" s="2" t="inlineStr"/>
    </row>
    <row r="914" ht="15" customHeight="1">
      <c r="A914" t="inlineStr">
        <is>
          <t>A 19982-2022</t>
        </is>
      </c>
      <c r="B914" s="1" t="n">
        <v>44697</v>
      </c>
      <c r="C914" s="1" t="n">
        <v>46031</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35438-2023</t>
        </is>
      </c>
      <c r="B915" s="1" t="n">
        <v>45146</v>
      </c>
      <c r="C915" s="1" t="n">
        <v>46031</v>
      </c>
      <c r="D915" t="inlineStr">
        <is>
          <t>STOCKHOLMS LÄN</t>
        </is>
      </c>
      <c r="E915" t="inlineStr">
        <is>
          <t>NORRTÄLJE</t>
        </is>
      </c>
      <c r="F915" t="inlineStr">
        <is>
          <t>Kommuner</t>
        </is>
      </c>
      <c r="G915" t="n">
        <v>1.9</v>
      </c>
      <c r="H915" t="n">
        <v>0</v>
      </c>
      <c r="I915" t="n">
        <v>0</v>
      </c>
      <c r="J915" t="n">
        <v>0</v>
      </c>
      <c r="K915" t="n">
        <v>0</v>
      </c>
      <c r="L915" t="n">
        <v>0</v>
      </c>
      <c r="M915" t="n">
        <v>0</v>
      </c>
      <c r="N915" t="n">
        <v>0</v>
      </c>
      <c r="O915" t="n">
        <v>0</v>
      </c>
      <c r="P915" t="n">
        <v>0</v>
      </c>
      <c r="Q915" t="n">
        <v>0</v>
      </c>
      <c r="R915" s="2" t="inlineStr"/>
    </row>
    <row r="916" ht="15" customHeight="1">
      <c r="A916" t="inlineStr">
        <is>
          <t>A 33878-2024</t>
        </is>
      </c>
      <c r="B916" s="1" t="n">
        <v>45522.44414351852</v>
      </c>
      <c r="C916" s="1" t="n">
        <v>46031</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4183-2025</t>
        </is>
      </c>
      <c r="B917" s="1" t="n">
        <v>45685.44592592592</v>
      </c>
      <c r="C917" s="1" t="n">
        <v>46031</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17556-2025</t>
        </is>
      </c>
      <c r="B918" s="1" t="n">
        <v>45757.62482638889</v>
      </c>
      <c r="C918" s="1" t="n">
        <v>46031</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41335-2023</t>
        </is>
      </c>
      <c r="B919" s="1" t="n">
        <v>45174.68702546296</v>
      </c>
      <c r="C919" s="1" t="n">
        <v>46031</v>
      </c>
      <c r="D919" t="inlineStr">
        <is>
          <t>STOCKHOLMS LÄN</t>
        </is>
      </c>
      <c r="E919" t="inlineStr">
        <is>
          <t>NORRTÄLJE</t>
        </is>
      </c>
      <c r="F919" t="inlineStr">
        <is>
          <t>Holmen skog AB</t>
        </is>
      </c>
      <c r="G919" t="n">
        <v>4.4</v>
      </c>
      <c r="H919" t="n">
        <v>0</v>
      </c>
      <c r="I919" t="n">
        <v>0</v>
      </c>
      <c r="J919" t="n">
        <v>0</v>
      </c>
      <c r="K919" t="n">
        <v>0</v>
      </c>
      <c r="L919" t="n">
        <v>0</v>
      </c>
      <c r="M919" t="n">
        <v>0</v>
      </c>
      <c r="N919" t="n">
        <v>0</v>
      </c>
      <c r="O919" t="n">
        <v>0</v>
      </c>
      <c r="P919" t="n">
        <v>0</v>
      </c>
      <c r="Q919" t="n">
        <v>0</v>
      </c>
      <c r="R919" s="2" t="inlineStr"/>
    </row>
    <row r="920" ht="15" customHeight="1">
      <c r="A920" t="inlineStr">
        <is>
          <t>A 4484-2025</t>
        </is>
      </c>
      <c r="B920" s="1" t="n">
        <v>45686.65545138889</v>
      </c>
      <c r="C920" s="1" t="n">
        <v>46031</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8419-2025</t>
        </is>
      </c>
      <c r="B921" s="1" t="n">
        <v>45709.40231481481</v>
      </c>
      <c r="C921" s="1" t="n">
        <v>46031</v>
      </c>
      <c r="D921" t="inlineStr">
        <is>
          <t>STOCKHOLMS LÄN</t>
        </is>
      </c>
      <c r="E921" t="inlineStr">
        <is>
          <t>NORRTÄLJE</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21480-2022</t>
        </is>
      </c>
      <c r="B922" s="1" t="n">
        <v>44704</v>
      </c>
      <c r="C922" s="1" t="n">
        <v>46031</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1654-2025</t>
        </is>
      </c>
      <c r="B923" s="1" t="n">
        <v>45670.65921296296</v>
      </c>
      <c r="C923" s="1" t="n">
        <v>46031</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48686-2023</t>
        </is>
      </c>
      <c r="B924" s="1" t="n">
        <v>45208</v>
      </c>
      <c r="C924" s="1" t="n">
        <v>46031</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48691-2023</t>
        </is>
      </c>
      <c r="B925" s="1" t="n">
        <v>45208</v>
      </c>
      <c r="C925" s="1" t="n">
        <v>46031</v>
      </c>
      <c r="D925" t="inlineStr">
        <is>
          <t>STOCKHOLMS LÄN</t>
        </is>
      </c>
      <c r="E925" t="inlineStr">
        <is>
          <t>NORRTÄLJE</t>
        </is>
      </c>
      <c r="G925" t="n">
        <v>5.8</v>
      </c>
      <c r="H925" t="n">
        <v>0</v>
      </c>
      <c r="I925" t="n">
        <v>0</v>
      </c>
      <c r="J925" t="n">
        <v>0</v>
      </c>
      <c r="K925" t="n">
        <v>0</v>
      </c>
      <c r="L925" t="n">
        <v>0</v>
      </c>
      <c r="M925" t="n">
        <v>0</v>
      </c>
      <c r="N925" t="n">
        <v>0</v>
      </c>
      <c r="O925" t="n">
        <v>0</v>
      </c>
      <c r="P925" t="n">
        <v>0</v>
      </c>
      <c r="Q925" t="n">
        <v>0</v>
      </c>
      <c r="R925" s="2" t="inlineStr"/>
    </row>
    <row r="926" ht="15" customHeight="1">
      <c r="A926" t="inlineStr">
        <is>
          <t>A 55243-2023</t>
        </is>
      </c>
      <c r="B926" s="1" t="n">
        <v>45237</v>
      </c>
      <c r="C926" s="1" t="n">
        <v>46031</v>
      </c>
      <c r="D926" t="inlineStr">
        <is>
          <t>STOCKHOLMS LÄN</t>
        </is>
      </c>
      <c r="E926" t="inlineStr">
        <is>
          <t>NORRTÄLJE</t>
        </is>
      </c>
      <c r="G926" t="n">
        <v>6.5</v>
      </c>
      <c r="H926" t="n">
        <v>0</v>
      </c>
      <c r="I926" t="n">
        <v>0</v>
      </c>
      <c r="J926" t="n">
        <v>0</v>
      </c>
      <c r="K926" t="n">
        <v>0</v>
      </c>
      <c r="L926" t="n">
        <v>0</v>
      </c>
      <c r="M926" t="n">
        <v>0</v>
      </c>
      <c r="N926" t="n">
        <v>0</v>
      </c>
      <c r="O926" t="n">
        <v>0</v>
      </c>
      <c r="P926" t="n">
        <v>0</v>
      </c>
      <c r="Q926" t="n">
        <v>0</v>
      </c>
      <c r="R926" s="2" t="inlineStr"/>
    </row>
    <row r="927" ht="15" customHeight="1">
      <c r="A927" t="inlineStr">
        <is>
          <t>A 35210-2023</t>
        </is>
      </c>
      <c r="B927" s="1" t="n">
        <v>45145.63584490741</v>
      </c>
      <c r="C927" s="1" t="n">
        <v>46031</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6678-2025</t>
        </is>
      </c>
      <c r="B928" s="1" t="n">
        <v>45700</v>
      </c>
      <c r="C928" s="1" t="n">
        <v>46031</v>
      </c>
      <c r="D928" t="inlineStr">
        <is>
          <t>STOCKHOLMS LÄN</t>
        </is>
      </c>
      <c r="E928" t="inlineStr">
        <is>
          <t>NORRTÄLJE</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17612-2022</t>
        </is>
      </c>
      <c r="B929" s="1" t="n">
        <v>44680</v>
      </c>
      <c r="C929" s="1" t="n">
        <v>46031</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58297-2023</t>
        </is>
      </c>
      <c r="B930" s="1" t="n">
        <v>45245</v>
      </c>
      <c r="C930" s="1" t="n">
        <v>46031</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21726-2022</t>
        </is>
      </c>
      <c r="B931" s="1" t="n">
        <v>44708</v>
      </c>
      <c r="C931" s="1" t="n">
        <v>46031</v>
      </c>
      <c r="D931" t="inlineStr">
        <is>
          <t>STOCKHOLMS LÄN</t>
        </is>
      </c>
      <c r="E931" t="inlineStr">
        <is>
          <t>NORRTÄLJE</t>
        </is>
      </c>
      <c r="G931" t="n">
        <v>0.2</v>
      </c>
      <c r="H931" t="n">
        <v>0</v>
      </c>
      <c r="I931" t="n">
        <v>0</v>
      </c>
      <c r="J931" t="n">
        <v>0</v>
      </c>
      <c r="K931" t="n">
        <v>0</v>
      </c>
      <c r="L931" t="n">
        <v>0</v>
      </c>
      <c r="M931" t="n">
        <v>0</v>
      </c>
      <c r="N931" t="n">
        <v>0</v>
      </c>
      <c r="O931" t="n">
        <v>0</v>
      </c>
      <c r="P931" t="n">
        <v>0</v>
      </c>
      <c r="Q931" t="n">
        <v>0</v>
      </c>
      <c r="R931" s="2" t="inlineStr"/>
    </row>
    <row r="932" ht="15" customHeight="1">
      <c r="A932" t="inlineStr">
        <is>
          <t>A 21739-2022</t>
        </is>
      </c>
      <c r="B932" s="1" t="n">
        <v>44708.36708333333</v>
      </c>
      <c r="C932" s="1" t="n">
        <v>46031</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28182-2022</t>
        </is>
      </c>
      <c r="B933" s="1" t="n">
        <v>44746.58530092592</v>
      </c>
      <c r="C933" s="1" t="n">
        <v>46031</v>
      </c>
      <c r="D933" t="inlineStr">
        <is>
          <t>STOCKHOLMS LÄN</t>
        </is>
      </c>
      <c r="E933" t="inlineStr">
        <is>
          <t>NORRTÄLJE</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3283-2025</t>
        </is>
      </c>
      <c r="B934" s="1" t="n">
        <v>45679</v>
      </c>
      <c r="C934" s="1" t="n">
        <v>46031</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18092-2022</t>
        </is>
      </c>
      <c r="B935" s="1" t="n">
        <v>44684</v>
      </c>
      <c r="C935" s="1" t="n">
        <v>46031</v>
      </c>
      <c r="D935" t="inlineStr">
        <is>
          <t>STOCKHOLMS LÄN</t>
        </is>
      </c>
      <c r="E935" t="inlineStr">
        <is>
          <t>NORRTÄLJE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33295-2023</t>
        </is>
      </c>
      <c r="B936" s="1" t="n">
        <v>45127.69371527778</v>
      </c>
      <c r="C936" s="1" t="n">
        <v>46031</v>
      </c>
      <c r="D936" t="inlineStr">
        <is>
          <t>STOCKHOLMS LÄN</t>
        </is>
      </c>
      <c r="E936" t="inlineStr">
        <is>
          <t>NORRTÄLJE</t>
        </is>
      </c>
      <c r="F936" t="inlineStr">
        <is>
          <t>Holmen skog AB</t>
        </is>
      </c>
      <c r="G936" t="n">
        <v>2</v>
      </c>
      <c r="H936" t="n">
        <v>0</v>
      </c>
      <c r="I936" t="n">
        <v>0</v>
      </c>
      <c r="J936" t="n">
        <v>0</v>
      </c>
      <c r="K936" t="n">
        <v>0</v>
      </c>
      <c r="L936" t="n">
        <v>0</v>
      </c>
      <c r="M936" t="n">
        <v>0</v>
      </c>
      <c r="N936" t="n">
        <v>0</v>
      </c>
      <c r="O936" t="n">
        <v>0</v>
      </c>
      <c r="P936" t="n">
        <v>0</v>
      </c>
      <c r="Q936" t="n">
        <v>0</v>
      </c>
      <c r="R936" s="2" t="inlineStr"/>
    </row>
    <row r="937" ht="15" customHeight="1">
      <c r="A937" t="inlineStr">
        <is>
          <t>A 58404-2023</t>
        </is>
      </c>
      <c r="B937" s="1" t="n">
        <v>45245</v>
      </c>
      <c r="C937" s="1" t="n">
        <v>46031</v>
      </c>
      <c r="D937" t="inlineStr">
        <is>
          <t>STOCKHOLMS LÄN</t>
        </is>
      </c>
      <c r="E937" t="inlineStr">
        <is>
          <t>NORRTÄLJE</t>
        </is>
      </c>
      <c r="G937" t="n">
        <v>53.5</v>
      </c>
      <c r="H937" t="n">
        <v>0</v>
      </c>
      <c r="I937" t="n">
        <v>0</v>
      </c>
      <c r="J937" t="n">
        <v>0</v>
      </c>
      <c r="K937" t="n">
        <v>0</v>
      </c>
      <c r="L937" t="n">
        <v>0</v>
      </c>
      <c r="M937" t="n">
        <v>0</v>
      </c>
      <c r="N937" t="n">
        <v>0</v>
      </c>
      <c r="O937" t="n">
        <v>0</v>
      </c>
      <c r="P937" t="n">
        <v>0</v>
      </c>
      <c r="Q937" t="n">
        <v>0</v>
      </c>
      <c r="R937" s="2" t="inlineStr"/>
    </row>
    <row r="938" ht="15" customHeight="1">
      <c r="A938" t="inlineStr">
        <is>
          <t>A 27885-2022</t>
        </is>
      </c>
      <c r="B938" s="1" t="n">
        <v>44743.67418981482</v>
      </c>
      <c r="C938" s="1" t="n">
        <v>46031</v>
      </c>
      <c r="D938" t="inlineStr">
        <is>
          <t>STOCKHOLMS LÄN</t>
        </is>
      </c>
      <c r="E938" t="inlineStr">
        <is>
          <t>NORRTÄLJE</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25525-2022</t>
        </is>
      </c>
      <c r="B939" s="1" t="n">
        <v>44732</v>
      </c>
      <c r="C939" s="1" t="n">
        <v>46031</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48722-2023</t>
        </is>
      </c>
      <c r="B940" s="1" t="n">
        <v>45208.70996527778</v>
      </c>
      <c r="C940" s="1" t="n">
        <v>46031</v>
      </c>
      <c r="D940" t="inlineStr">
        <is>
          <t>STOCKHOLMS LÄN</t>
        </is>
      </c>
      <c r="E940" t="inlineStr">
        <is>
          <t>NORRTÄLJE</t>
        </is>
      </c>
      <c r="G940" t="n">
        <v>0.3</v>
      </c>
      <c r="H940" t="n">
        <v>0</v>
      </c>
      <c r="I940" t="n">
        <v>0</v>
      </c>
      <c r="J940" t="n">
        <v>0</v>
      </c>
      <c r="K940" t="n">
        <v>0</v>
      </c>
      <c r="L940" t="n">
        <v>0</v>
      </c>
      <c r="M940" t="n">
        <v>0</v>
      </c>
      <c r="N940" t="n">
        <v>0</v>
      </c>
      <c r="O940" t="n">
        <v>0</v>
      </c>
      <c r="P940" t="n">
        <v>0</v>
      </c>
      <c r="Q940" t="n">
        <v>0</v>
      </c>
      <c r="R940" s="2" t="inlineStr"/>
    </row>
    <row r="941" ht="15" customHeight="1">
      <c r="A941" t="inlineStr">
        <is>
          <t>A 23801-2022</t>
        </is>
      </c>
      <c r="B941" s="1" t="n">
        <v>44722</v>
      </c>
      <c r="C941" s="1" t="n">
        <v>46031</v>
      </c>
      <c r="D941" t="inlineStr">
        <is>
          <t>STOCKHOLMS LÄN</t>
        </is>
      </c>
      <c r="E941" t="inlineStr">
        <is>
          <t>NORRTÄLJE</t>
        </is>
      </c>
      <c r="G941" t="n">
        <v>6.8</v>
      </c>
      <c r="H941" t="n">
        <v>0</v>
      </c>
      <c r="I941" t="n">
        <v>0</v>
      </c>
      <c r="J941" t="n">
        <v>0</v>
      </c>
      <c r="K941" t="n">
        <v>0</v>
      </c>
      <c r="L941" t="n">
        <v>0</v>
      </c>
      <c r="M941" t="n">
        <v>0</v>
      </c>
      <c r="N941" t="n">
        <v>0</v>
      </c>
      <c r="O941" t="n">
        <v>0</v>
      </c>
      <c r="P941" t="n">
        <v>0</v>
      </c>
      <c r="Q941" t="n">
        <v>0</v>
      </c>
      <c r="R941" s="2" t="inlineStr"/>
    </row>
    <row r="942" ht="15" customHeight="1">
      <c r="A942" t="inlineStr">
        <is>
          <t>A 33353-2023</t>
        </is>
      </c>
      <c r="B942" s="1" t="n">
        <v>45128</v>
      </c>
      <c r="C942" s="1" t="n">
        <v>46031</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35708-2022</t>
        </is>
      </c>
      <c r="B943" s="1" t="n">
        <v>44799.65013888889</v>
      </c>
      <c r="C943" s="1" t="n">
        <v>46031</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3426-2025</t>
        </is>
      </c>
      <c r="B944" s="1" t="n">
        <v>45680.42665509259</v>
      </c>
      <c r="C944" s="1" t="n">
        <v>46031</v>
      </c>
      <c r="D944" t="inlineStr">
        <is>
          <t>STOCKHOLMS LÄN</t>
        </is>
      </c>
      <c r="E944" t="inlineStr">
        <is>
          <t>NORRTÄLJE</t>
        </is>
      </c>
      <c r="G944" t="n">
        <v>3.2</v>
      </c>
      <c r="H944" t="n">
        <v>0</v>
      </c>
      <c r="I944" t="n">
        <v>0</v>
      </c>
      <c r="J944" t="n">
        <v>0</v>
      </c>
      <c r="K944" t="n">
        <v>0</v>
      </c>
      <c r="L944" t="n">
        <v>0</v>
      </c>
      <c r="M944" t="n">
        <v>0</v>
      </c>
      <c r="N944" t="n">
        <v>0</v>
      </c>
      <c r="O944" t="n">
        <v>0</v>
      </c>
      <c r="P944" t="n">
        <v>0</v>
      </c>
      <c r="Q944" t="n">
        <v>0</v>
      </c>
      <c r="R944" s="2" t="inlineStr"/>
    </row>
    <row r="945" ht="15" customHeight="1">
      <c r="A945" t="inlineStr">
        <is>
          <t>A 9-2024</t>
        </is>
      </c>
      <c r="B945" s="1" t="n">
        <v>45293</v>
      </c>
      <c r="C945" s="1" t="n">
        <v>46031</v>
      </c>
      <c r="D945" t="inlineStr">
        <is>
          <t>STOCKHOLMS LÄN</t>
        </is>
      </c>
      <c r="E945" t="inlineStr">
        <is>
          <t>NORRTÄLJE</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51312-2023</t>
        </is>
      </c>
      <c r="B946" s="1" t="n">
        <v>45219.56697916667</v>
      </c>
      <c r="C946" s="1" t="n">
        <v>46031</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11849-2025</t>
        </is>
      </c>
      <c r="B947" s="1" t="n">
        <v>45728.38409722222</v>
      </c>
      <c r="C947" s="1" t="n">
        <v>46031</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38610-2022</t>
        </is>
      </c>
      <c r="B948" s="1" t="n">
        <v>44813.59915509259</v>
      </c>
      <c r="C948" s="1" t="n">
        <v>46031</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22816-2021</t>
        </is>
      </c>
      <c r="B949" s="1" t="n">
        <v>44325</v>
      </c>
      <c r="C949" s="1" t="n">
        <v>46031</v>
      </c>
      <c r="D949" t="inlineStr">
        <is>
          <t>STOCKHOLMS LÄN</t>
        </is>
      </c>
      <c r="E949" t="inlineStr">
        <is>
          <t>NORRTÄLJE</t>
        </is>
      </c>
      <c r="G949" t="n">
        <v>4.5</v>
      </c>
      <c r="H949" t="n">
        <v>0</v>
      </c>
      <c r="I949" t="n">
        <v>0</v>
      </c>
      <c r="J949" t="n">
        <v>0</v>
      </c>
      <c r="K949" t="n">
        <v>0</v>
      </c>
      <c r="L949" t="n">
        <v>0</v>
      </c>
      <c r="M949" t="n">
        <v>0</v>
      </c>
      <c r="N949" t="n">
        <v>0</v>
      </c>
      <c r="O949" t="n">
        <v>0</v>
      </c>
      <c r="P949" t="n">
        <v>0</v>
      </c>
      <c r="Q949" t="n">
        <v>0</v>
      </c>
      <c r="R949" s="2" t="inlineStr"/>
    </row>
    <row r="950" ht="15" customHeight="1">
      <c r="A950" t="inlineStr">
        <is>
          <t>A 59468-2023</t>
        </is>
      </c>
      <c r="B950" s="1" t="n">
        <v>45254.41509259259</v>
      </c>
      <c r="C950" s="1" t="n">
        <v>46031</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18846-2022</t>
        </is>
      </c>
      <c r="B951" s="1" t="n">
        <v>44690</v>
      </c>
      <c r="C951" s="1" t="n">
        <v>46031</v>
      </c>
      <c r="D951" t="inlineStr">
        <is>
          <t>STOCKHOLMS LÄN</t>
        </is>
      </c>
      <c r="E951" t="inlineStr">
        <is>
          <t>NORRTÄLJE</t>
        </is>
      </c>
      <c r="G951" t="n">
        <v>7</v>
      </c>
      <c r="H951" t="n">
        <v>0</v>
      </c>
      <c r="I951" t="n">
        <v>0</v>
      </c>
      <c r="J951" t="n">
        <v>0</v>
      </c>
      <c r="K951" t="n">
        <v>0</v>
      </c>
      <c r="L951" t="n">
        <v>0</v>
      </c>
      <c r="M951" t="n">
        <v>0</v>
      </c>
      <c r="N951" t="n">
        <v>0</v>
      </c>
      <c r="O951" t="n">
        <v>0</v>
      </c>
      <c r="P951" t="n">
        <v>0</v>
      </c>
      <c r="Q951" t="n">
        <v>0</v>
      </c>
      <c r="R951" s="2" t="inlineStr"/>
    </row>
    <row r="952" ht="15" customHeight="1">
      <c r="A952" t="inlineStr">
        <is>
          <t>A 12535-2025</t>
        </is>
      </c>
      <c r="B952" s="1" t="n">
        <v>45730.69502314815</v>
      </c>
      <c r="C952" s="1" t="n">
        <v>46031</v>
      </c>
      <c r="D952" t="inlineStr">
        <is>
          <t>STOCKHOLMS LÄN</t>
        </is>
      </c>
      <c r="E952" t="inlineStr">
        <is>
          <t>NORRTÄLJE</t>
        </is>
      </c>
      <c r="G952" t="n">
        <v>7.1</v>
      </c>
      <c r="H952" t="n">
        <v>0</v>
      </c>
      <c r="I952" t="n">
        <v>0</v>
      </c>
      <c r="J952" t="n">
        <v>0</v>
      </c>
      <c r="K952" t="n">
        <v>0</v>
      </c>
      <c r="L952" t="n">
        <v>0</v>
      </c>
      <c r="M952" t="n">
        <v>0</v>
      </c>
      <c r="N952" t="n">
        <v>0</v>
      </c>
      <c r="O952" t="n">
        <v>0</v>
      </c>
      <c r="P952" t="n">
        <v>0</v>
      </c>
      <c r="Q952" t="n">
        <v>0</v>
      </c>
      <c r="R952" s="2" t="inlineStr"/>
    </row>
    <row r="953" ht="15" customHeight="1">
      <c r="A953" t="inlineStr">
        <is>
          <t>A 574-2023</t>
        </is>
      </c>
      <c r="B953" s="1" t="n">
        <v>44925</v>
      </c>
      <c r="C953" s="1" t="n">
        <v>46031</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37010-2022</t>
        </is>
      </c>
      <c r="B954" s="1" t="n">
        <v>44806.41576388889</v>
      </c>
      <c r="C954" s="1" t="n">
        <v>46031</v>
      </c>
      <c r="D954" t="inlineStr">
        <is>
          <t>STOCKHOLMS LÄN</t>
        </is>
      </c>
      <c r="E954" t="inlineStr">
        <is>
          <t>NORRTÄLJE</t>
        </is>
      </c>
      <c r="G954" t="n">
        <v>2.7</v>
      </c>
      <c r="H954" t="n">
        <v>0</v>
      </c>
      <c r="I954" t="n">
        <v>0</v>
      </c>
      <c r="J954" t="n">
        <v>0</v>
      </c>
      <c r="K954" t="n">
        <v>0</v>
      </c>
      <c r="L954" t="n">
        <v>0</v>
      </c>
      <c r="M954" t="n">
        <v>0</v>
      </c>
      <c r="N954" t="n">
        <v>0</v>
      </c>
      <c r="O954" t="n">
        <v>0</v>
      </c>
      <c r="P954" t="n">
        <v>0</v>
      </c>
      <c r="Q954" t="n">
        <v>0</v>
      </c>
      <c r="R954" s="2" t="inlineStr"/>
    </row>
    <row r="955" ht="15" customHeight="1">
      <c r="A955" t="inlineStr">
        <is>
          <t>A 32705-2022</t>
        </is>
      </c>
      <c r="B955" s="1" t="n">
        <v>44783</v>
      </c>
      <c r="C955" s="1" t="n">
        <v>46031</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33149-2022</t>
        </is>
      </c>
      <c r="B956" s="1" t="n">
        <v>44785</v>
      </c>
      <c r="C956" s="1" t="n">
        <v>46031</v>
      </c>
      <c r="D956" t="inlineStr">
        <is>
          <t>STOCKHOLMS LÄN</t>
        </is>
      </c>
      <c r="E956" t="inlineStr">
        <is>
          <t>NORRTÄLJE</t>
        </is>
      </c>
      <c r="F956" t="inlineStr">
        <is>
          <t>Holmen skog AB</t>
        </is>
      </c>
      <c r="G956" t="n">
        <v>4.4</v>
      </c>
      <c r="H956" t="n">
        <v>0</v>
      </c>
      <c r="I956" t="n">
        <v>0</v>
      </c>
      <c r="J956" t="n">
        <v>0</v>
      </c>
      <c r="K956" t="n">
        <v>0</v>
      </c>
      <c r="L956" t="n">
        <v>0</v>
      </c>
      <c r="M956" t="n">
        <v>0</v>
      </c>
      <c r="N956" t="n">
        <v>0</v>
      </c>
      <c r="O956" t="n">
        <v>0</v>
      </c>
      <c r="P956" t="n">
        <v>0</v>
      </c>
      <c r="Q956" t="n">
        <v>0</v>
      </c>
      <c r="R956" s="2" t="inlineStr"/>
    </row>
    <row r="957" ht="15" customHeight="1">
      <c r="A957" t="inlineStr">
        <is>
          <t>A 14559-2024</t>
        </is>
      </c>
      <c r="B957" s="1" t="n">
        <v>45394.72869212963</v>
      </c>
      <c r="C957" s="1" t="n">
        <v>46031</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11-2024</t>
        </is>
      </c>
      <c r="B958" s="1" t="n">
        <v>45293</v>
      </c>
      <c r="C958" s="1" t="n">
        <v>46031</v>
      </c>
      <c r="D958" t="inlineStr">
        <is>
          <t>STOCKHOLMS LÄN</t>
        </is>
      </c>
      <c r="E958" t="inlineStr">
        <is>
          <t>NORRTÄLJE</t>
        </is>
      </c>
      <c r="F958" t="inlineStr">
        <is>
          <t>Sveaskog</t>
        </is>
      </c>
      <c r="G958" t="n">
        <v>3.2</v>
      </c>
      <c r="H958" t="n">
        <v>0</v>
      </c>
      <c r="I958" t="n">
        <v>0</v>
      </c>
      <c r="J958" t="n">
        <v>0</v>
      </c>
      <c r="K958" t="n">
        <v>0</v>
      </c>
      <c r="L958" t="n">
        <v>0</v>
      </c>
      <c r="M958" t="n">
        <v>0</v>
      </c>
      <c r="N958" t="n">
        <v>0</v>
      </c>
      <c r="O958" t="n">
        <v>0</v>
      </c>
      <c r="P958" t="n">
        <v>0</v>
      </c>
      <c r="Q958" t="n">
        <v>0</v>
      </c>
      <c r="R958" s="2" t="inlineStr"/>
    </row>
    <row r="959" ht="15" customHeight="1">
      <c r="A959" t="inlineStr">
        <is>
          <t>A 15256-2023</t>
        </is>
      </c>
      <c r="B959" s="1" t="n">
        <v>45019.3959837963</v>
      </c>
      <c r="C959" s="1" t="n">
        <v>46031</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7413-2024</t>
        </is>
      </c>
      <c r="B960" s="1" t="n">
        <v>45345.6059837963</v>
      </c>
      <c r="C960" s="1" t="n">
        <v>46031</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58040-2024</t>
        </is>
      </c>
      <c r="B961" s="1" t="n">
        <v>45631.73952546297</v>
      </c>
      <c r="C961" s="1" t="n">
        <v>46031</v>
      </c>
      <c r="D961" t="inlineStr">
        <is>
          <t>STOCKHOLMS LÄN</t>
        </is>
      </c>
      <c r="E961" t="inlineStr">
        <is>
          <t>NORRTÄLJE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58041-2024</t>
        </is>
      </c>
      <c r="B962" s="1" t="n">
        <v>45631.74673611111</v>
      </c>
      <c r="C962" s="1" t="n">
        <v>46031</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31057-2022</t>
        </is>
      </c>
      <c r="B963" s="1" t="n">
        <v>44769</v>
      </c>
      <c r="C963" s="1" t="n">
        <v>46031</v>
      </c>
      <c r="D963" t="inlineStr">
        <is>
          <t>STOCKHOLMS LÄN</t>
        </is>
      </c>
      <c r="E963" t="inlineStr">
        <is>
          <t>NORRTÄLJE</t>
        </is>
      </c>
      <c r="G963" t="n">
        <v>6.5</v>
      </c>
      <c r="H963" t="n">
        <v>0</v>
      </c>
      <c r="I963" t="n">
        <v>0</v>
      </c>
      <c r="J963" t="n">
        <v>0</v>
      </c>
      <c r="K963" t="n">
        <v>0</v>
      </c>
      <c r="L963" t="n">
        <v>0</v>
      </c>
      <c r="M963" t="n">
        <v>0</v>
      </c>
      <c r="N963" t="n">
        <v>0</v>
      </c>
      <c r="O963" t="n">
        <v>0</v>
      </c>
      <c r="P963" t="n">
        <v>0</v>
      </c>
      <c r="Q963" t="n">
        <v>0</v>
      </c>
      <c r="R963" s="2" t="inlineStr"/>
    </row>
    <row r="964" ht="15" customHeight="1">
      <c r="A964" t="inlineStr">
        <is>
          <t>A 3143-2021</t>
        </is>
      </c>
      <c r="B964" s="1" t="n">
        <v>44217.40149305556</v>
      </c>
      <c r="C964" s="1" t="n">
        <v>46031</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25619-2022</t>
        </is>
      </c>
      <c r="B965" s="1" t="n">
        <v>44732</v>
      </c>
      <c r="C965" s="1" t="n">
        <v>46031</v>
      </c>
      <c r="D965" t="inlineStr">
        <is>
          <t>STOCKHOLMS LÄN</t>
        </is>
      </c>
      <c r="E965" t="inlineStr">
        <is>
          <t>NORRTÄLJE</t>
        </is>
      </c>
      <c r="G965" t="n">
        <v>3.9</v>
      </c>
      <c r="H965" t="n">
        <v>0</v>
      </c>
      <c r="I965" t="n">
        <v>0</v>
      </c>
      <c r="J965" t="n">
        <v>0</v>
      </c>
      <c r="K965" t="n">
        <v>0</v>
      </c>
      <c r="L965" t="n">
        <v>0</v>
      </c>
      <c r="M965" t="n">
        <v>0</v>
      </c>
      <c r="N965" t="n">
        <v>0</v>
      </c>
      <c r="O965" t="n">
        <v>0</v>
      </c>
      <c r="P965" t="n">
        <v>0</v>
      </c>
      <c r="Q965" t="n">
        <v>0</v>
      </c>
      <c r="R965" s="2" t="inlineStr"/>
    </row>
    <row r="966" ht="15" customHeight="1">
      <c r="A966" t="inlineStr">
        <is>
          <t>A 15422-2024</t>
        </is>
      </c>
      <c r="B966" s="1" t="n">
        <v>45401.3653125</v>
      </c>
      <c r="C966" s="1" t="n">
        <v>46031</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48716-2023</t>
        </is>
      </c>
      <c r="B967" s="1" t="n">
        <v>45208.69671296296</v>
      </c>
      <c r="C967" s="1" t="n">
        <v>46031</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55369-2023</t>
        </is>
      </c>
      <c r="B968" s="1" t="n">
        <v>45238</v>
      </c>
      <c r="C968" s="1" t="n">
        <v>46031</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20121-2022</t>
        </is>
      </c>
      <c r="B969" s="1" t="n">
        <v>44698</v>
      </c>
      <c r="C969" s="1" t="n">
        <v>46031</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26407-2024</t>
        </is>
      </c>
      <c r="B970" s="1" t="n">
        <v>45469</v>
      </c>
      <c r="C970" s="1" t="n">
        <v>46031</v>
      </c>
      <c r="D970" t="inlineStr">
        <is>
          <t>STOCKHOLMS LÄN</t>
        </is>
      </c>
      <c r="E970" t="inlineStr">
        <is>
          <t>NORRTÄLJE</t>
        </is>
      </c>
      <c r="G970" t="n">
        <v>3.5</v>
      </c>
      <c r="H970" t="n">
        <v>0</v>
      </c>
      <c r="I970" t="n">
        <v>0</v>
      </c>
      <c r="J970" t="n">
        <v>0</v>
      </c>
      <c r="K970" t="n">
        <v>0</v>
      </c>
      <c r="L970" t="n">
        <v>0</v>
      </c>
      <c r="M970" t="n">
        <v>0</v>
      </c>
      <c r="N970" t="n">
        <v>0</v>
      </c>
      <c r="O970" t="n">
        <v>0</v>
      </c>
      <c r="P970" t="n">
        <v>0</v>
      </c>
      <c r="Q970" t="n">
        <v>0</v>
      </c>
      <c r="R970" s="2" t="inlineStr"/>
    </row>
    <row r="971" ht="15" customHeight="1">
      <c r="A971" t="inlineStr">
        <is>
          <t>A 10098-2022</t>
        </is>
      </c>
      <c r="B971" s="1" t="n">
        <v>44621</v>
      </c>
      <c r="C971" s="1" t="n">
        <v>46031</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49700-2023</t>
        </is>
      </c>
      <c r="B972" s="1" t="n">
        <v>45212</v>
      </c>
      <c r="C972" s="1" t="n">
        <v>46031</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59875-2024</t>
        </is>
      </c>
      <c r="B973" s="1" t="n">
        <v>45640.58716435185</v>
      </c>
      <c r="C973" s="1" t="n">
        <v>46031</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45220-2024</t>
        </is>
      </c>
      <c r="B974" s="1" t="n">
        <v>45575</v>
      </c>
      <c r="C974" s="1" t="n">
        <v>46031</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4658-2024</t>
        </is>
      </c>
      <c r="B975" s="1" t="n">
        <v>45328.46336805556</v>
      </c>
      <c r="C975" s="1" t="n">
        <v>46031</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48145-2024</t>
        </is>
      </c>
      <c r="B976" s="1" t="n">
        <v>45589.6756712963</v>
      </c>
      <c r="C976" s="1" t="n">
        <v>46031</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10642-2025</t>
        </is>
      </c>
      <c r="B977" s="1" t="n">
        <v>45721.65858796296</v>
      </c>
      <c r="C977" s="1" t="n">
        <v>46031</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24024-2024</t>
        </is>
      </c>
      <c r="B978" s="1" t="n">
        <v>45456</v>
      </c>
      <c r="C978" s="1" t="n">
        <v>46031</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35532-2024</t>
        </is>
      </c>
      <c r="B979" s="1" t="n">
        <v>45531</v>
      </c>
      <c r="C979" s="1" t="n">
        <v>46031</v>
      </c>
      <c r="D979" t="inlineStr">
        <is>
          <t>STOCKHOLMS LÄN</t>
        </is>
      </c>
      <c r="E979" t="inlineStr">
        <is>
          <t>NORRTÄLJE</t>
        </is>
      </c>
      <c r="G979" t="n">
        <v>2.3</v>
      </c>
      <c r="H979" t="n">
        <v>0</v>
      </c>
      <c r="I979" t="n">
        <v>0</v>
      </c>
      <c r="J979" t="n">
        <v>0</v>
      </c>
      <c r="K979" t="n">
        <v>0</v>
      </c>
      <c r="L979" t="n">
        <v>0</v>
      </c>
      <c r="M979" t="n">
        <v>0</v>
      </c>
      <c r="N979" t="n">
        <v>0</v>
      </c>
      <c r="O979" t="n">
        <v>0</v>
      </c>
      <c r="P979" t="n">
        <v>0</v>
      </c>
      <c r="Q979" t="n">
        <v>0</v>
      </c>
      <c r="R979" s="2" t="inlineStr"/>
    </row>
    <row r="980" ht="15" customHeight="1">
      <c r="A980" t="inlineStr">
        <is>
          <t>A 21291-2021</t>
        </is>
      </c>
      <c r="B980" s="1" t="n">
        <v>44319</v>
      </c>
      <c r="C980" s="1" t="n">
        <v>46031</v>
      </c>
      <c r="D980" t="inlineStr">
        <is>
          <t>STOCKHOLMS LÄN</t>
        </is>
      </c>
      <c r="E980" t="inlineStr">
        <is>
          <t>NORRTÄLJE</t>
        </is>
      </c>
      <c r="G980" t="n">
        <v>12.7</v>
      </c>
      <c r="H980" t="n">
        <v>0</v>
      </c>
      <c r="I980" t="n">
        <v>0</v>
      </c>
      <c r="J980" t="n">
        <v>0</v>
      </c>
      <c r="K980" t="n">
        <v>0</v>
      </c>
      <c r="L980" t="n">
        <v>0</v>
      </c>
      <c r="M980" t="n">
        <v>0</v>
      </c>
      <c r="N980" t="n">
        <v>0</v>
      </c>
      <c r="O980" t="n">
        <v>0</v>
      </c>
      <c r="P980" t="n">
        <v>0</v>
      </c>
      <c r="Q980" t="n">
        <v>0</v>
      </c>
      <c r="R980" s="2" t="inlineStr"/>
    </row>
    <row r="981" ht="15" customHeight="1">
      <c r="A981" t="inlineStr">
        <is>
          <t>A 19118-2022</t>
        </is>
      </c>
      <c r="B981" s="1" t="n">
        <v>44691.5652662037</v>
      </c>
      <c r="C981" s="1" t="n">
        <v>46031</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22421-2021</t>
        </is>
      </c>
      <c r="B982" s="1" t="n">
        <v>44326</v>
      </c>
      <c r="C982" s="1" t="n">
        <v>46031</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59893-2022</t>
        </is>
      </c>
      <c r="B983" s="1" t="n">
        <v>44908.77368055555</v>
      </c>
      <c r="C983" s="1" t="n">
        <v>46031</v>
      </c>
      <c r="D983" t="inlineStr">
        <is>
          <t>STOCKHOLMS LÄN</t>
        </is>
      </c>
      <c r="E983" t="inlineStr">
        <is>
          <t>NORRTÄLJE</t>
        </is>
      </c>
      <c r="G983" t="n">
        <v>3</v>
      </c>
      <c r="H983" t="n">
        <v>0</v>
      </c>
      <c r="I983" t="n">
        <v>0</v>
      </c>
      <c r="J983" t="n">
        <v>0</v>
      </c>
      <c r="K983" t="n">
        <v>0</v>
      </c>
      <c r="L983" t="n">
        <v>0</v>
      </c>
      <c r="M983" t="n">
        <v>0</v>
      </c>
      <c r="N983" t="n">
        <v>0</v>
      </c>
      <c r="O983" t="n">
        <v>0</v>
      </c>
      <c r="P983" t="n">
        <v>0</v>
      </c>
      <c r="Q983" t="n">
        <v>0</v>
      </c>
      <c r="R983" s="2" t="inlineStr"/>
    </row>
    <row r="984" ht="15" customHeight="1">
      <c r="A984" t="inlineStr">
        <is>
          <t>A 9469-2021</t>
        </is>
      </c>
      <c r="B984" s="1" t="n">
        <v>44251</v>
      </c>
      <c r="C984" s="1" t="n">
        <v>46031</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33226-2024</t>
        </is>
      </c>
      <c r="B985" s="1" t="n">
        <v>45518</v>
      </c>
      <c r="C985" s="1" t="n">
        <v>46031</v>
      </c>
      <c r="D985" t="inlineStr">
        <is>
          <t>STOCKHOLMS LÄN</t>
        </is>
      </c>
      <c r="E985" t="inlineStr">
        <is>
          <t>NORRTÄLJE</t>
        </is>
      </c>
      <c r="G985" t="n">
        <v>13.8</v>
      </c>
      <c r="H985" t="n">
        <v>0</v>
      </c>
      <c r="I985" t="n">
        <v>0</v>
      </c>
      <c r="J985" t="n">
        <v>0</v>
      </c>
      <c r="K985" t="n">
        <v>0</v>
      </c>
      <c r="L985" t="n">
        <v>0</v>
      </c>
      <c r="M985" t="n">
        <v>0</v>
      </c>
      <c r="N985" t="n">
        <v>0</v>
      </c>
      <c r="O985" t="n">
        <v>0</v>
      </c>
      <c r="P985" t="n">
        <v>0</v>
      </c>
      <c r="Q985" t="n">
        <v>0</v>
      </c>
      <c r="R985" s="2" t="inlineStr"/>
    </row>
    <row r="986" ht="15" customHeight="1">
      <c r="A986" t="inlineStr">
        <is>
          <t>A 16980-2023</t>
        </is>
      </c>
      <c r="B986" s="1" t="n">
        <v>45033</v>
      </c>
      <c r="C986" s="1" t="n">
        <v>46031</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31107-2022</t>
        </is>
      </c>
      <c r="B987" s="1" t="n">
        <v>44769.66864583334</v>
      </c>
      <c r="C987" s="1" t="n">
        <v>46031</v>
      </c>
      <c r="D987" t="inlineStr">
        <is>
          <t>STOCKHOLMS LÄN</t>
        </is>
      </c>
      <c r="E987" t="inlineStr">
        <is>
          <t>NORRTÄLJE</t>
        </is>
      </c>
      <c r="G987" t="n">
        <v>3.8</v>
      </c>
      <c r="H987" t="n">
        <v>0</v>
      </c>
      <c r="I987" t="n">
        <v>0</v>
      </c>
      <c r="J987" t="n">
        <v>0</v>
      </c>
      <c r="K987" t="n">
        <v>0</v>
      </c>
      <c r="L987" t="n">
        <v>0</v>
      </c>
      <c r="M987" t="n">
        <v>0</v>
      </c>
      <c r="N987" t="n">
        <v>0</v>
      </c>
      <c r="O987" t="n">
        <v>0</v>
      </c>
      <c r="P987" t="n">
        <v>0</v>
      </c>
      <c r="Q987" t="n">
        <v>0</v>
      </c>
      <c r="R987" s="2" t="inlineStr"/>
    </row>
    <row r="988" ht="15" customHeight="1">
      <c r="A988" t="inlineStr">
        <is>
          <t>A 18539-2021</t>
        </is>
      </c>
      <c r="B988" s="1" t="n">
        <v>44306</v>
      </c>
      <c r="C988" s="1" t="n">
        <v>46031</v>
      </c>
      <c r="D988" t="inlineStr">
        <is>
          <t>STOCKHOLMS LÄN</t>
        </is>
      </c>
      <c r="E988" t="inlineStr">
        <is>
          <t>NORRTÄLJE</t>
        </is>
      </c>
      <c r="F988" t="inlineStr">
        <is>
          <t>Holmen skog AB</t>
        </is>
      </c>
      <c r="G988" t="n">
        <v>5.5</v>
      </c>
      <c r="H988" t="n">
        <v>0</v>
      </c>
      <c r="I988" t="n">
        <v>0</v>
      </c>
      <c r="J988" t="n">
        <v>0</v>
      </c>
      <c r="K988" t="n">
        <v>0</v>
      </c>
      <c r="L988" t="n">
        <v>0</v>
      </c>
      <c r="M988" t="n">
        <v>0</v>
      </c>
      <c r="N988" t="n">
        <v>0</v>
      </c>
      <c r="O988" t="n">
        <v>0</v>
      </c>
      <c r="P988" t="n">
        <v>0</v>
      </c>
      <c r="Q988" t="n">
        <v>0</v>
      </c>
      <c r="R988" s="2" t="inlineStr"/>
    </row>
    <row r="989" ht="15" customHeight="1">
      <c r="A989" t="inlineStr">
        <is>
          <t>A 43170-2023</t>
        </is>
      </c>
      <c r="B989" s="1" t="n">
        <v>45183</v>
      </c>
      <c r="C989" s="1" t="n">
        <v>46031</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47626-2022</t>
        </is>
      </c>
      <c r="B990" s="1" t="n">
        <v>44854</v>
      </c>
      <c r="C990" s="1" t="n">
        <v>46031</v>
      </c>
      <c r="D990" t="inlineStr">
        <is>
          <t>STOCKHOLMS LÄN</t>
        </is>
      </c>
      <c r="E990" t="inlineStr">
        <is>
          <t>NORRTÄLJE</t>
        </is>
      </c>
      <c r="G990" t="n">
        <v>2</v>
      </c>
      <c r="H990" t="n">
        <v>0</v>
      </c>
      <c r="I990" t="n">
        <v>0</v>
      </c>
      <c r="J990" t="n">
        <v>0</v>
      </c>
      <c r="K990" t="n">
        <v>0</v>
      </c>
      <c r="L990" t="n">
        <v>0</v>
      </c>
      <c r="M990" t="n">
        <v>0</v>
      </c>
      <c r="N990" t="n">
        <v>0</v>
      </c>
      <c r="O990" t="n">
        <v>0</v>
      </c>
      <c r="P990" t="n">
        <v>0</v>
      </c>
      <c r="Q990" t="n">
        <v>0</v>
      </c>
      <c r="R990" s="2" t="inlineStr"/>
    </row>
    <row r="991" ht="15" customHeight="1">
      <c r="A991" t="inlineStr">
        <is>
          <t>A 32101-2022</t>
        </is>
      </c>
      <c r="B991" s="1" t="n">
        <v>44778.69210648148</v>
      </c>
      <c r="C991" s="1" t="n">
        <v>46031</v>
      </c>
      <c r="D991" t="inlineStr">
        <is>
          <t>STOCKHOLMS LÄN</t>
        </is>
      </c>
      <c r="E991" t="inlineStr">
        <is>
          <t>NORRTÄLJE</t>
        </is>
      </c>
      <c r="G991" t="n">
        <v>4.4</v>
      </c>
      <c r="H991" t="n">
        <v>0</v>
      </c>
      <c r="I991" t="n">
        <v>0</v>
      </c>
      <c r="J991" t="n">
        <v>0</v>
      </c>
      <c r="K991" t="n">
        <v>0</v>
      </c>
      <c r="L991" t="n">
        <v>0</v>
      </c>
      <c r="M991" t="n">
        <v>0</v>
      </c>
      <c r="N991" t="n">
        <v>0</v>
      </c>
      <c r="O991" t="n">
        <v>0</v>
      </c>
      <c r="P991" t="n">
        <v>0</v>
      </c>
      <c r="Q991" t="n">
        <v>0</v>
      </c>
      <c r="R991" s="2" t="inlineStr"/>
    </row>
    <row r="992" ht="15" customHeight="1">
      <c r="A992" t="inlineStr">
        <is>
          <t>A 28365-2022</t>
        </is>
      </c>
      <c r="B992" s="1" t="n">
        <v>44747</v>
      </c>
      <c r="C992" s="1" t="n">
        <v>46031</v>
      </c>
      <c r="D992" t="inlineStr">
        <is>
          <t>STOCKHOLMS LÄN</t>
        </is>
      </c>
      <c r="E992" t="inlineStr">
        <is>
          <t>NORRTÄLJE</t>
        </is>
      </c>
      <c r="G992" t="n">
        <v>5.1</v>
      </c>
      <c r="H992" t="n">
        <v>0</v>
      </c>
      <c r="I992" t="n">
        <v>0</v>
      </c>
      <c r="J992" t="n">
        <v>0</v>
      </c>
      <c r="K992" t="n">
        <v>0</v>
      </c>
      <c r="L992" t="n">
        <v>0</v>
      </c>
      <c r="M992" t="n">
        <v>0</v>
      </c>
      <c r="N992" t="n">
        <v>0</v>
      </c>
      <c r="O992" t="n">
        <v>0</v>
      </c>
      <c r="P992" t="n">
        <v>0</v>
      </c>
      <c r="Q992" t="n">
        <v>0</v>
      </c>
      <c r="R992" s="2" t="inlineStr"/>
    </row>
    <row r="993" ht="15" customHeight="1">
      <c r="A993" t="inlineStr">
        <is>
          <t>A 42867-2022</t>
        </is>
      </c>
      <c r="B993" s="1" t="n">
        <v>44832</v>
      </c>
      <c r="C993" s="1" t="n">
        <v>46031</v>
      </c>
      <c r="D993" t="inlineStr">
        <is>
          <t>STOCKHOLMS LÄN</t>
        </is>
      </c>
      <c r="E993" t="inlineStr">
        <is>
          <t>NORRTÄLJE</t>
        </is>
      </c>
      <c r="G993" t="n">
        <v>6.4</v>
      </c>
      <c r="H993" t="n">
        <v>0</v>
      </c>
      <c r="I993" t="n">
        <v>0</v>
      </c>
      <c r="J993" t="n">
        <v>0</v>
      </c>
      <c r="K993" t="n">
        <v>0</v>
      </c>
      <c r="L993" t="n">
        <v>0</v>
      </c>
      <c r="M993" t="n">
        <v>0</v>
      </c>
      <c r="N993" t="n">
        <v>0</v>
      </c>
      <c r="O993" t="n">
        <v>0</v>
      </c>
      <c r="P993" t="n">
        <v>0</v>
      </c>
      <c r="Q993" t="n">
        <v>0</v>
      </c>
      <c r="R993" s="2" t="inlineStr"/>
    </row>
    <row r="994" ht="15" customHeight="1">
      <c r="A994" t="inlineStr">
        <is>
          <t>A 5645-2023</t>
        </is>
      </c>
      <c r="B994" s="1" t="n">
        <v>44960.60469907407</v>
      </c>
      <c r="C994" s="1" t="n">
        <v>46031</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17775-2022</t>
        </is>
      </c>
      <c r="B995" s="1" t="n">
        <v>44682.78430555556</v>
      </c>
      <c r="C995" s="1" t="n">
        <v>46031</v>
      </c>
      <c r="D995" t="inlineStr">
        <is>
          <t>STOCKHOLMS LÄN</t>
        </is>
      </c>
      <c r="E995" t="inlineStr">
        <is>
          <t>NORRTÄLJE</t>
        </is>
      </c>
      <c r="G995" t="n">
        <v>4.7</v>
      </c>
      <c r="H995" t="n">
        <v>0</v>
      </c>
      <c r="I995" t="n">
        <v>0</v>
      </c>
      <c r="J995" t="n">
        <v>0</v>
      </c>
      <c r="K995" t="n">
        <v>0</v>
      </c>
      <c r="L995" t="n">
        <v>0</v>
      </c>
      <c r="M995" t="n">
        <v>0</v>
      </c>
      <c r="N995" t="n">
        <v>0</v>
      </c>
      <c r="O995" t="n">
        <v>0</v>
      </c>
      <c r="P995" t="n">
        <v>0</v>
      </c>
      <c r="Q995" t="n">
        <v>0</v>
      </c>
      <c r="R995" s="2" t="inlineStr"/>
    </row>
    <row r="996" ht="15" customHeight="1">
      <c r="A996" t="inlineStr">
        <is>
          <t>A 9703-2021</t>
        </is>
      </c>
      <c r="B996" s="1" t="n">
        <v>44252</v>
      </c>
      <c r="C996" s="1" t="n">
        <v>46031</v>
      </c>
      <c r="D996" t="inlineStr">
        <is>
          <t>STOCKHOLMS LÄN</t>
        </is>
      </c>
      <c r="E996" t="inlineStr">
        <is>
          <t>NORRTÄLJE</t>
        </is>
      </c>
      <c r="G996" t="n">
        <v>3.4</v>
      </c>
      <c r="H996" t="n">
        <v>0</v>
      </c>
      <c r="I996" t="n">
        <v>0</v>
      </c>
      <c r="J996" t="n">
        <v>0</v>
      </c>
      <c r="K996" t="n">
        <v>0</v>
      </c>
      <c r="L996" t="n">
        <v>0</v>
      </c>
      <c r="M996" t="n">
        <v>0</v>
      </c>
      <c r="N996" t="n">
        <v>0</v>
      </c>
      <c r="O996" t="n">
        <v>0</v>
      </c>
      <c r="P996" t="n">
        <v>0</v>
      </c>
      <c r="Q996" t="n">
        <v>0</v>
      </c>
      <c r="R996" s="2" t="inlineStr"/>
    </row>
    <row r="997" ht="15" customHeight="1">
      <c r="A997" t="inlineStr">
        <is>
          <t>A 47481-2024</t>
        </is>
      </c>
      <c r="B997" s="1" t="n">
        <v>45587</v>
      </c>
      <c r="C997" s="1" t="n">
        <v>46031</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24933-2023</t>
        </is>
      </c>
      <c r="B998" s="1" t="n">
        <v>45085.5309375</v>
      </c>
      <c r="C998" s="1" t="n">
        <v>46031</v>
      </c>
      <c r="D998" t="inlineStr">
        <is>
          <t>STOCKHOLMS LÄN</t>
        </is>
      </c>
      <c r="E998" t="inlineStr">
        <is>
          <t>NORRTÄLJE</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11062-2024</t>
        </is>
      </c>
      <c r="B999" s="1" t="n">
        <v>45370</v>
      </c>
      <c r="C999" s="1" t="n">
        <v>46031</v>
      </c>
      <c r="D999" t="inlineStr">
        <is>
          <t>STOCKHOLMS LÄN</t>
        </is>
      </c>
      <c r="E999" t="inlineStr">
        <is>
          <t>NORRTÄLJE</t>
        </is>
      </c>
      <c r="G999" t="n">
        <v>3.2</v>
      </c>
      <c r="H999" t="n">
        <v>0</v>
      </c>
      <c r="I999" t="n">
        <v>0</v>
      </c>
      <c r="J999" t="n">
        <v>0</v>
      </c>
      <c r="K999" t="n">
        <v>0</v>
      </c>
      <c r="L999" t="n">
        <v>0</v>
      </c>
      <c r="M999" t="n">
        <v>0</v>
      </c>
      <c r="N999" t="n">
        <v>0</v>
      </c>
      <c r="O999" t="n">
        <v>0</v>
      </c>
      <c r="P999" t="n">
        <v>0</v>
      </c>
      <c r="Q999" t="n">
        <v>0</v>
      </c>
      <c r="R999" s="2" t="inlineStr"/>
    </row>
    <row r="1000" ht="15" customHeight="1">
      <c r="A1000" t="inlineStr">
        <is>
          <t>A 576-2023</t>
        </is>
      </c>
      <c r="B1000" s="1" t="n">
        <v>44925</v>
      </c>
      <c r="C1000" s="1" t="n">
        <v>46031</v>
      </c>
      <c r="D1000" t="inlineStr">
        <is>
          <t>STOCKHOLMS LÄN</t>
        </is>
      </c>
      <c r="E1000" t="inlineStr">
        <is>
          <t>NORRTÄLJE</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12908-2025</t>
        </is>
      </c>
      <c r="B1001" s="1" t="n">
        <v>45733.82105324074</v>
      </c>
      <c r="C1001" s="1" t="n">
        <v>46031</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68361-2021</t>
        </is>
      </c>
      <c r="B1002" s="1" t="n">
        <v>44528.91494212963</v>
      </c>
      <c r="C1002" s="1" t="n">
        <v>46031</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50469-2022</t>
        </is>
      </c>
      <c r="B1003" s="1" t="n">
        <v>44866.49827546296</v>
      </c>
      <c r="C1003" s="1" t="n">
        <v>46031</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41976-2024</t>
        </is>
      </c>
      <c r="B1004" s="1" t="n">
        <v>45561.62141203704</v>
      </c>
      <c r="C1004" s="1" t="n">
        <v>46031</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46031</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30886-2022</t>
        </is>
      </c>
      <c r="B1006" s="1" t="n">
        <v>44767.60601851852</v>
      </c>
      <c r="C1006" s="1" t="n">
        <v>46031</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58989-2021</t>
        </is>
      </c>
      <c r="B1007" s="1" t="n">
        <v>44490.02482638889</v>
      </c>
      <c r="C1007" s="1" t="n">
        <v>46031</v>
      </c>
      <c r="D1007" t="inlineStr">
        <is>
          <t>STOCKHOLMS LÄN</t>
        </is>
      </c>
      <c r="E1007" t="inlineStr">
        <is>
          <t>NORRTÄLJE</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58990-2021</t>
        </is>
      </c>
      <c r="B1008" s="1" t="n">
        <v>44490.03621527777</v>
      </c>
      <c r="C1008" s="1" t="n">
        <v>46031</v>
      </c>
      <c r="D1008" t="inlineStr">
        <is>
          <t>STOCKHOLMS LÄN</t>
        </is>
      </c>
      <c r="E1008" t="inlineStr">
        <is>
          <t>NORRTÄLJE</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11940-2023</t>
        </is>
      </c>
      <c r="B1009" s="1" t="n">
        <v>44995</v>
      </c>
      <c r="C1009" s="1" t="n">
        <v>46031</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29266-2022</t>
        </is>
      </c>
      <c r="B1010" s="1" t="n">
        <v>44750.66068287037</v>
      </c>
      <c r="C1010" s="1" t="n">
        <v>46031</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29278-2022</t>
        </is>
      </c>
      <c r="B1011" s="1" t="n">
        <v>44750</v>
      </c>
      <c r="C1011" s="1" t="n">
        <v>46031</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6401-2024</t>
        </is>
      </c>
      <c r="B1012" s="1" t="n">
        <v>45338</v>
      </c>
      <c r="C1012" s="1" t="n">
        <v>46031</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24501-2023</t>
        </is>
      </c>
      <c r="B1013" s="1" t="n">
        <v>45082</v>
      </c>
      <c r="C1013" s="1" t="n">
        <v>46031</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24520-2023</t>
        </is>
      </c>
      <c r="B1014" s="1" t="n">
        <v>45082.68922453704</v>
      </c>
      <c r="C1014" s="1" t="n">
        <v>46031</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31281-2022</t>
        </is>
      </c>
      <c r="B1015" s="1" t="n">
        <v>44771</v>
      </c>
      <c r="C1015" s="1" t="n">
        <v>46031</v>
      </c>
      <c r="D1015" t="inlineStr">
        <is>
          <t>STOCKHOLMS LÄN</t>
        </is>
      </c>
      <c r="E1015" t="inlineStr">
        <is>
          <t>NORRTÄLJE</t>
        </is>
      </c>
      <c r="F1015" t="inlineStr">
        <is>
          <t>Holmen skog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38612-2022</t>
        </is>
      </c>
      <c r="B1016" s="1" t="n">
        <v>44813</v>
      </c>
      <c r="C1016" s="1" t="n">
        <v>46031</v>
      </c>
      <c r="D1016" t="inlineStr">
        <is>
          <t>STOCKHOLMS LÄN</t>
        </is>
      </c>
      <c r="E1016" t="inlineStr">
        <is>
          <t>NORRTÄLJE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33040-2021</t>
        </is>
      </c>
      <c r="B1017" s="1" t="n">
        <v>44376.50728009259</v>
      </c>
      <c r="C1017" s="1" t="n">
        <v>46031</v>
      </c>
      <c r="D1017" t="inlineStr">
        <is>
          <t>STOCKHOLMS LÄN</t>
        </is>
      </c>
      <c r="E1017" t="inlineStr">
        <is>
          <t>NORRTÄLJE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26117-2024</t>
        </is>
      </c>
      <c r="B1018" s="1" t="n">
        <v>45468.45877314815</v>
      </c>
      <c r="C1018" s="1" t="n">
        <v>46031</v>
      </c>
      <c r="D1018" t="inlineStr">
        <is>
          <t>STOCKHOLMS LÄN</t>
        </is>
      </c>
      <c r="E1018" t="inlineStr">
        <is>
          <t>NORRTÄLJE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61113-2023</t>
        </is>
      </c>
      <c r="B1019" s="1" t="n">
        <v>45261</v>
      </c>
      <c r="C1019" s="1" t="n">
        <v>46031</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60822-2023</t>
        </is>
      </c>
      <c r="B1020" s="1" t="n">
        <v>45259</v>
      </c>
      <c r="C1020" s="1" t="n">
        <v>46031</v>
      </c>
      <c r="D1020" t="inlineStr">
        <is>
          <t>STOCKHOLMS LÄN</t>
        </is>
      </c>
      <c r="E1020" t="inlineStr">
        <is>
          <t>NORRTÄLJE</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59310-2023</t>
        </is>
      </c>
      <c r="B1021" s="1" t="n">
        <v>45253.61146990741</v>
      </c>
      <c r="C1021" s="1" t="n">
        <v>46031</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20343-2024</t>
        </is>
      </c>
      <c r="B1022" s="1" t="n">
        <v>45435.43466435185</v>
      </c>
      <c r="C1022" s="1" t="n">
        <v>46031</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20345-2024</t>
        </is>
      </c>
      <c r="B1023" s="1" t="n">
        <v>45435.43820601852</v>
      </c>
      <c r="C1023" s="1" t="n">
        <v>46031</v>
      </c>
      <c r="D1023" t="inlineStr">
        <is>
          <t>STOCKHOLMS LÄN</t>
        </is>
      </c>
      <c r="E1023" t="inlineStr">
        <is>
          <t>NORRTÄLJE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55010-2024</t>
        </is>
      </c>
      <c r="B1024" s="1" t="n">
        <v>45621.34425925926</v>
      </c>
      <c r="C1024" s="1" t="n">
        <v>46031</v>
      </c>
      <c r="D1024" t="inlineStr">
        <is>
          <t>STOCKHOLMS LÄN</t>
        </is>
      </c>
      <c r="E1024" t="inlineStr">
        <is>
          <t>NORRTÄLJE</t>
        </is>
      </c>
      <c r="F1024" t="inlineStr">
        <is>
          <t>Sveaskog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55018-2024</t>
        </is>
      </c>
      <c r="B1025" s="1" t="n">
        <v>45621.35712962963</v>
      </c>
      <c r="C1025" s="1" t="n">
        <v>46031</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50113-2024</t>
        </is>
      </c>
      <c r="B1026" s="1" t="n">
        <v>45600.411875</v>
      </c>
      <c r="C1026" s="1" t="n">
        <v>46031</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20336-2024</t>
        </is>
      </c>
      <c r="B1027" s="1" t="n">
        <v>45435.43123842592</v>
      </c>
      <c r="C1027" s="1" t="n">
        <v>46031</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64899-2023</t>
        </is>
      </c>
      <c r="B1028" s="1" t="n">
        <v>45282</v>
      </c>
      <c r="C1028" s="1" t="n">
        <v>46031</v>
      </c>
      <c r="D1028" t="inlineStr">
        <is>
          <t>STOCKHOLMS LÄN</t>
        </is>
      </c>
      <c r="E1028" t="inlineStr">
        <is>
          <t>NORRTÄLJE</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1847-2023</t>
        </is>
      </c>
      <c r="B1029" s="1" t="n">
        <v>44938</v>
      </c>
      <c r="C1029" s="1" t="n">
        <v>46031</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11122-2021</t>
        </is>
      </c>
      <c r="B1030" s="1" t="n">
        <v>44260</v>
      </c>
      <c r="C1030" s="1" t="n">
        <v>46031</v>
      </c>
      <c r="D1030" t="inlineStr">
        <is>
          <t>STOCKHOLMS LÄN</t>
        </is>
      </c>
      <c r="E1030" t="inlineStr">
        <is>
          <t>NORRTÄLJE</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29362-2022</t>
        </is>
      </c>
      <c r="B1031" s="1" t="n">
        <v>44753</v>
      </c>
      <c r="C1031" s="1" t="n">
        <v>46031</v>
      </c>
      <c r="D1031" t="inlineStr">
        <is>
          <t>STOCKHOLMS LÄN</t>
        </is>
      </c>
      <c r="E1031" t="inlineStr">
        <is>
          <t>NORRTÄLJE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20291-2022</t>
        </is>
      </c>
      <c r="B1032" s="1" t="n">
        <v>44698</v>
      </c>
      <c r="C1032" s="1" t="n">
        <v>46031</v>
      </c>
      <c r="D1032" t="inlineStr">
        <is>
          <t>STOCKHOLMS LÄN</t>
        </is>
      </c>
      <c r="E1032" t="inlineStr">
        <is>
          <t>NORRTÄLJE</t>
        </is>
      </c>
      <c r="F1032" t="inlineStr">
        <is>
          <t>Naturvårdsverket</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12302-2025</t>
        </is>
      </c>
      <c r="B1033" s="1" t="n">
        <v>45729.72851851852</v>
      </c>
      <c r="C1033" s="1" t="n">
        <v>46031</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31926-2022</t>
        </is>
      </c>
      <c r="B1034" s="1" t="n">
        <v>44777</v>
      </c>
      <c r="C1034" s="1" t="n">
        <v>46031</v>
      </c>
      <c r="D1034" t="inlineStr">
        <is>
          <t>STOCKHOLMS LÄN</t>
        </is>
      </c>
      <c r="E1034" t="inlineStr">
        <is>
          <t>NORRTÄLJE</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1425-2025</t>
        </is>
      </c>
      <c r="B1035" s="1" t="n">
        <v>45668.67446759259</v>
      </c>
      <c r="C1035" s="1" t="n">
        <v>46031</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1453-2025</t>
        </is>
      </c>
      <c r="B1036" s="1" t="n">
        <v>45670.3079050926</v>
      </c>
      <c r="C1036" s="1" t="n">
        <v>46031</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3386-2021</t>
        </is>
      </c>
      <c r="B1037" s="1" t="n">
        <v>44218</v>
      </c>
      <c r="C1037" s="1" t="n">
        <v>46031</v>
      </c>
      <c r="D1037" t="inlineStr">
        <is>
          <t>STOCKHOLMS LÄN</t>
        </is>
      </c>
      <c r="E1037" t="inlineStr">
        <is>
          <t>NORRTÄLJE</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13860-2023</t>
        </is>
      </c>
      <c r="B1038" s="1" t="n">
        <v>45007</v>
      </c>
      <c r="C1038" s="1" t="n">
        <v>46031</v>
      </c>
      <c r="D1038" t="inlineStr">
        <is>
          <t>STOCKHOLMS LÄN</t>
        </is>
      </c>
      <c r="E1038" t="inlineStr">
        <is>
          <t>NORRTÄLJE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6070-2022</t>
        </is>
      </c>
      <c r="B1039" s="1" t="n">
        <v>44599.58428240741</v>
      </c>
      <c r="C1039" s="1" t="n">
        <v>46031</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9130-2025</t>
        </is>
      </c>
      <c r="B1040" s="1" t="n">
        <v>45713.92623842593</v>
      </c>
      <c r="C1040" s="1" t="n">
        <v>46031</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27828-2022</t>
        </is>
      </c>
      <c r="B1041" s="1" t="n">
        <v>44743.59765046297</v>
      </c>
      <c r="C1041" s="1" t="n">
        <v>46031</v>
      </c>
      <c r="D1041" t="inlineStr">
        <is>
          <t>STOCKHOLMS LÄN</t>
        </is>
      </c>
      <c r="E1041" t="inlineStr">
        <is>
          <t>NORRTÄLJE</t>
        </is>
      </c>
      <c r="F1041" t="inlineStr">
        <is>
          <t>Kommuner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59873-2024</t>
        </is>
      </c>
      <c r="B1042" s="1" t="n">
        <v>45640.57305555556</v>
      </c>
      <c r="C1042" s="1" t="n">
        <v>46031</v>
      </c>
      <c r="D1042" t="inlineStr">
        <is>
          <t>STOCKHOLMS LÄN</t>
        </is>
      </c>
      <c r="E1042" t="inlineStr">
        <is>
          <t>NORRTÄLJE</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22412-2021</t>
        </is>
      </c>
      <c r="B1043" s="1" t="n">
        <v>44326.61967592593</v>
      </c>
      <c r="C1043" s="1" t="n">
        <v>46031</v>
      </c>
      <c r="D1043" t="inlineStr">
        <is>
          <t>STOCKHOLMS LÄN</t>
        </is>
      </c>
      <c r="E1043" t="inlineStr">
        <is>
          <t>NORRTÄLJE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48161-2022</t>
        </is>
      </c>
      <c r="B1044" s="1" t="n">
        <v>44858</v>
      </c>
      <c r="C1044" s="1" t="n">
        <v>46031</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43150-2023</t>
        </is>
      </c>
      <c r="B1045" s="1" t="n">
        <v>45183</v>
      </c>
      <c r="C1045" s="1" t="n">
        <v>46031</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59534-2024</t>
        </is>
      </c>
      <c r="B1046" s="1" t="n">
        <v>45638.5987037037</v>
      </c>
      <c r="C1046" s="1" t="n">
        <v>46031</v>
      </c>
      <c r="D1046" t="inlineStr">
        <is>
          <t>STOCKHOLMS LÄN</t>
        </is>
      </c>
      <c r="E1046" t="inlineStr">
        <is>
          <t>NORRTÄLJE</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23307-2024</t>
        </is>
      </c>
      <c r="B1047" s="1" t="n">
        <v>45453</v>
      </c>
      <c r="C1047" s="1" t="n">
        <v>46031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19450-2025</t>
        </is>
      </c>
      <c r="B1048" s="1" t="n">
        <v>45770</v>
      </c>
      <c r="C1048" s="1" t="n">
        <v>46031</v>
      </c>
      <c r="D1048" t="inlineStr">
        <is>
          <t>STOCKHOLMS LÄN</t>
        </is>
      </c>
      <c r="E1048" t="inlineStr">
        <is>
          <t>NORRTÄLJE</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2281-2024</t>
        </is>
      </c>
      <c r="B1049" s="1" t="n">
        <v>45310.40628472222</v>
      </c>
      <c r="C1049" s="1" t="n">
        <v>46031</v>
      </c>
      <c r="D1049" t="inlineStr">
        <is>
          <t>STOCKHOLMS LÄN</t>
        </is>
      </c>
      <c r="E1049" t="inlineStr">
        <is>
          <t>NORRTÄLJE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2287-2024</t>
        </is>
      </c>
      <c r="B1050" s="1" t="n">
        <v>45310</v>
      </c>
      <c r="C1050" s="1" t="n">
        <v>46031</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20618-2022</t>
        </is>
      </c>
      <c r="B1051" s="1" t="n">
        <v>44700.50659722222</v>
      </c>
      <c r="C1051" s="1" t="n">
        <v>46031</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46031</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25656-2023</t>
        </is>
      </c>
      <c r="B1053" s="1" t="n">
        <v>45089</v>
      </c>
      <c r="C1053" s="1" t="n">
        <v>46031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38049-2023</t>
        </is>
      </c>
      <c r="B1054" s="1" t="n">
        <v>45159</v>
      </c>
      <c r="C1054" s="1" t="n">
        <v>46031</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3966-2024</t>
        </is>
      </c>
      <c r="B1055" s="1" t="n">
        <v>45322</v>
      </c>
      <c r="C1055" s="1" t="n">
        <v>46031</v>
      </c>
      <c r="D1055" t="inlineStr">
        <is>
          <t>STOCKHOLMS LÄN</t>
        </is>
      </c>
      <c r="E1055" t="inlineStr">
        <is>
          <t>NORRTÄLJE</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17348-2024</t>
        </is>
      </c>
      <c r="B1056" s="1" t="n">
        <v>45414.58650462963</v>
      </c>
      <c r="C1056" s="1" t="n">
        <v>46031</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38591-2023</t>
        </is>
      </c>
      <c r="B1057" s="1" t="n">
        <v>45162</v>
      </c>
      <c r="C1057" s="1" t="n">
        <v>46031</v>
      </c>
      <c r="D1057" t="inlineStr">
        <is>
          <t>STOCKHOLMS LÄN</t>
        </is>
      </c>
      <c r="E1057" t="inlineStr">
        <is>
          <t>NORRTÄLJE</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3273-2025</t>
        </is>
      </c>
      <c r="B1058" s="1" t="n">
        <v>45679</v>
      </c>
      <c r="C1058" s="1" t="n">
        <v>46031</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34461-2023</t>
        </is>
      </c>
      <c r="B1059" s="1" t="n">
        <v>45139</v>
      </c>
      <c r="C1059" s="1" t="n">
        <v>46031</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15217-2023</t>
        </is>
      </c>
      <c r="B1060" s="1" t="n">
        <v>45019.28847222222</v>
      </c>
      <c r="C1060" s="1" t="n">
        <v>46031</v>
      </c>
      <c r="D1060" t="inlineStr">
        <is>
          <t>STOCKHOLMS LÄN</t>
        </is>
      </c>
      <c r="E1060" t="inlineStr">
        <is>
          <t>NORRTÄLJE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24522-2023</t>
        </is>
      </c>
      <c r="B1061" s="1" t="n">
        <v>45082.69179398148</v>
      </c>
      <c r="C1061" s="1" t="n">
        <v>46031</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29176-2024</t>
        </is>
      </c>
      <c r="B1062" s="1" t="n">
        <v>45482.53388888889</v>
      </c>
      <c r="C1062" s="1" t="n">
        <v>46031</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46031</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4438-2023</t>
        </is>
      </c>
      <c r="B1064" s="1" t="n">
        <v>44956</v>
      </c>
      <c r="C1064" s="1" t="n">
        <v>46031</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24727-2023</t>
        </is>
      </c>
      <c r="B1065" s="1" t="n">
        <v>45084.57695601852</v>
      </c>
      <c r="C1065" s="1" t="n">
        <v>46031</v>
      </c>
      <c r="D1065" t="inlineStr">
        <is>
          <t>STOCKHOLMS LÄN</t>
        </is>
      </c>
      <c r="E1065" t="inlineStr">
        <is>
          <t>NORRTÄLJE</t>
        </is>
      </c>
      <c r="F1065" t="inlineStr">
        <is>
          <t>Holmen skog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59904-2023</t>
        </is>
      </c>
      <c r="B1066" s="1" t="n">
        <v>45257</v>
      </c>
      <c r="C1066" s="1" t="n">
        <v>46031</v>
      </c>
      <c r="D1066" t="inlineStr">
        <is>
          <t>STOCKHOLMS LÄN</t>
        </is>
      </c>
      <c r="E1066" t="inlineStr">
        <is>
          <t>NORRTÄLJE</t>
        </is>
      </c>
      <c r="G1066" t="n">
        <v>17.4</v>
      </c>
      <c r="H1066" t="n">
        <v>0</v>
      </c>
      <c r="I1066" t="n">
        <v>0</v>
      </c>
      <c r="J1066" t="n">
        <v>0</v>
      </c>
      <c r="K1066" t="n">
        <v>0</v>
      </c>
      <c r="L1066" t="n">
        <v>0</v>
      </c>
      <c r="M1066" t="n">
        <v>0</v>
      </c>
      <c r="N1066" t="n">
        <v>0</v>
      </c>
      <c r="O1066" t="n">
        <v>0</v>
      </c>
      <c r="P1066" t="n">
        <v>0</v>
      </c>
      <c r="Q1066" t="n">
        <v>0</v>
      </c>
      <c r="R1066" s="2" t="inlineStr"/>
    </row>
    <row r="1067" ht="15" customHeight="1">
      <c r="A1067" t="inlineStr">
        <is>
          <t>A 36308-2022</t>
        </is>
      </c>
      <c r="B1067" s="1" t="n">
        <v>44803</v>
      </c>
      <c r="C1067" s="1" t="n">
        <v>46031</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18787-2022</t>
        </is>
      </c>
      <c r="B1068" s="1" t="n">
        <v>44687</v>
      </c>
      <c r="C1068" s="1" t="n">
        <v>46031</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50108-2021</t>
        </is>
      </c>
      <c r="B1069" s="1" t="n">
        <v>44456</v>
      </c>
      <c r="C1069" s="1" t="n">
        <v>46031</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25621-2022</t>
        </is>
      </c>
      <c r="B1070" s="1" t="n">
        <v>44732</v>
      </c>
      <c r="C1070" s="1" t="n">
        <v>46031</v>
      </c>
      <c r="D1070" t="inlineStr">
        <is>
          <t>STOCKHOLMS LÄN</t>
        </is>
      </c>
      <c r="E1070" t="inlineStr">
        <is>
          <t>NORRTÄLJE</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20304-2023</t>
        </is>
      </c>
      <c r="B1071" s="1" t="n">
        <v>45056</v>
      </c>
      <c r="C1071" s="1" t="n">
        <v>46031</v>
      </c>
      <c r="D1071" t="inlineStr">
        <is>
          <t>STOCKHOLMS LÄN</t>
        </is>
      </c>
      <c r="E1071" t="inlineStr">
        <is>
          <t>NORRTÄLJE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35235-2024</t>
        </is>
      </c>
      <c r="B1072" s="1" t="n">
        <v>45530</v>
      </c>
      <c r="C1072" s="1" t="n">
        <v>46031</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51061-2023</t>
        </is>
      </c>
      <c r="B1073" s="1" t="n">
        <v>45218.65849537037</v>
      </c>
      <c r="C1073" s="1" t="n">
        <v>46031</v>
      </c>
      <c r="D1073" t="inlineStr">
        <is>
          <t>STOCKHOLMS LÄN</t>
        </is>
      </c>
      <c r="E1073" t="inlineStr">
        <is>
          <t>NORRTÄLJE</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39213-2022</t>
        </is>
      </c>
      <c r="B1074" s="1" t="n">
        <v>44817.56120370371</v>
      </c>
      <c r="C1074" s="1" t="n">
        <v>46031</v>
      </c>
      <c r="D1074" t="inlineStr">
        <is>
          <t>STOCKHOLMS LÄN</t>
        </is>
      </c>
      <c r="E1074" t="inlineStr">
        <is>
          <t>NORRTÄLJE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36246-2021</t>
        </is>
      </c>
      <c r="B1075" s="1" t="n">
        <v>44390</v>
      </c>
      <c r="C1075" s="1" t="n">
        <v>46031</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15905-2023</t>
        </is>
      </c>
      <c r="B1076" s="1" t="n">
        <v>45022</v>
      </c>
      <c r="C1076" s="1" t="n">
        <v>46031</v>
      </c>
      <c r="D1076" t="inlineStr">
        <is>
          <t>STOCKHOLMS LÄN</t>
        </is>
      </c>
      <c r="E1076" t="inlineStr">
        <is>
          <t>NORRTÄLJE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11041-2025</t>
        </is>
      </c>
      <c r="B1077" s="1" t="n">
        <v>45723</v>
      </c>
      <c r="C1077" s="1" t="n">
        <v>46031</v>
      </c>
      <c r="D1077" t="inlineStr">
        <is>
          <t>STOCKHOLMS LÄN</t>
        </is>
      </c>
      <c r="E1077" t="inlineStr">
        <is>
          <t>NORRTÄLJE</t>
        </is>
      </c>
      <c r="F1077" t="inlineStr">
        <is>
          <t>Övriga Aktiebolag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44917-2022</t>
        </is>
      </c>
      <c r="B1078" s="1" t="n">
        <v>44841.52804398148</v>
      </c>
      <c r="C1078" s="1" t="n">
        <v>46031</v>
      </c>
      <c r="D1078" t="inlineStr">
        <is>
          <t>STOCKHOLMS LÄN</t>
        </is>
      </c>
      <c r="E1078" t="inlineStr">
        <is>
          <t>NORRTÄLJE</t>
        </is>
      </c>
      <c r="F1078" t="inlineStr">
        <is>
          <t>Holmen skog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33173-2024</t>
        </is>
      </c>
      <c r="B1079" s="1" t="n">
        <v>45518</v>
      </c>
      <c r="C1079" s="1" t="n">
        <v>46031</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17551-2025</t>
        </is>
      </c>
      <c r="B1080" s="1" t="n">
        <v>45757.61421296297</v>
      </c>
      <c r="C1080" s="1" t="n">
        <v>46031</v>
      </c>
      <c r="D1080" t="inlineStr">
        <is>
          <t>STOCKHOLMS LÄN</t>
        </is>
      </c>
      <c r="E1080" t="inlineStr">
        <is>
          <t>NORRTÄLJE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10678-2025</t>
        </is>
      </c>
      <c r="B1081" s="1" t="n">
        <v>45721.89123842592</v>
      </c>
      <c r="C1081" s="1" t="n">
        <v>46031</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8370-2025</t>
        </is>
      </c>
      <c r="B1082" s="1" t="n">
        <v>45708</v>
      </c>
      <c r="C1082" s="1" t="n">
        <v>46031</v>
      </c>
      <c r="D1082" t="inlineStr">
        <is>
          <t>STOCKHOLMS LÄN</t>
        </is>
      </c>
      <c r="E1082" t="inlineStr">
        <is>
          <t>NORRTÄLJE</t>
        </is>
      </c>
      <c r="F1082" t="inlineStr">
        <is>
          <t>Övriga Aktiebolag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951-2023</t>
        </is>
      </c>
      <c r="B1083" s="1" t="n">
        <v>44934</v>
      </c>
      <c r="C1083" s="1" t="n">
        <v>46031</v>
      </c>
      <c r="D1083" t="inlineStr">
        <is>
          <t>STOCKHOLMS LÄN</t>
        </is>
      </c>
      <c r="E1083" t="inlineStr">
        <is>
          <t>NORRTÄLJE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32100-2022</t>
        </is>
      </c>
      <c r="B1084" s="1" t="n">
        <v>44778</v>
      </c>
      <c r="C1084" s="1" t="n">
        <v>46031</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2888-2022</t>
        </is>
      </c>
      <c r="B1085" s="1" t="n">
        <v>44581</v>
      </c>
      <c r="C1085" s="1" t="n">
        <v>46031</v>
      </c>
      <c r="D1085" t="inlineStr">
        <is>
          <t>STOCKHOLMS LÄN</t>
        </is>
      </c>
      <c r="E1085" t="inlineStr">
        <is>
          <t>NORRTÄLJE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11902-2024</t>
        </is>
      </c>
      <c r="B1086" s="1" t="n">
        <v>45376.55704861111</v>
      </c>
      <c r="C1086" s="1" t="n">
        <v>46031</v>
      </c>
      <c r="D1086" t="inlineStr">
        <is>
          <t>STOCKHOLMS LÄN</t>
        </is>
      </c>
      <c r="E1086" t="inlineStr">
        <is>
          <t>NORRTÄLJE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13-2024</t>
        </is>
      </c>
      <c r="B1087" s="1" t="n">
        <v>45293.37263888889</v>
      </c>
      <c r="C1087" s="1" t="n">
        <v>46031</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58260-2023</t>
        </is>
      </c>
      <c r="B1088" s="1" t="n">
        <v>45245</v>
      </c>
      <c r="C1088" s="1" t="n">
        <v>46031</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58261-2023</t>
        </is>
      </c>
      <c r="B1089" s="1" t="n">
        <v>45245</v>
      </c>
      <c r="C1089" s="1" t="n">
        <v>46031</v>
      </c>
      <c r="D1089" t="inlineStr">
        <is>
          <t>STOCKHOLMS LÄN</t>
        </is>
      </c>
      <c r="E1089" t="inlineStr">
        <is>
          <t>NORRTÄLJE</t>
        </is>
      </c>
      <c r="G1089" t="n">
        <v>53.5</v>
      </c>
      <c r="H1089" t="n">
        <v>0</v>
      </c>
      <c r="I1089" t="n">
        <v>0</v>
      </c>
      <c r="J1089" t="n">
        <v>0</v>
      </c>
      <c r="K1089" t="n">
        <v>0</v>
      </c>
      <c r="L1089" t="n">
        <v>0</v>
      </c>
      <c r="M1089" t="n">
        <v>0</v>
      </c>
      <c r="N1089" t="n">
        <v>0</v>
      </c>
      <c r="O1089" t="n">
        <v>0</v>
      </c>
      <c r="P1089" t="n">
        <v>0</v>
      </c>
      <c r="Q1089" t="n">
        <v>0</v>
      </c>
      <c r="R1089" s="2" t="inlineStr"/>
    </row>
    <row r="1090" ht="15" customHeight="1">
      <c r="A1090" t="inlineStr">
        <is>
          <t>A 4553-2023</t>
        </is>
      </c>
      <c r="B1090" s="1" t="n">
        <v>44956.65920138889</v>
      </c>
      <c r="C1090" s="1" t="n">
        <v>46031</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875-2023</t>
        </is>
      </c>
      <c r="B1091" s="1" t="n">
        <v>44931.65626157408</v>
      </c>
      <c r="C1091" s="1" t="n">
        <v>46031</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24575-2024</t>
        </is>
      </c>
      <c r="B1092" s="1" t="n">
        <v>45460.45523148148</v>
      </c>
      <c r="C1092" s="1" t="n">
        <v>46031</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19-2024</t>
        </is>
      </c>
      <c r="B1093" s="1" t="n">
        <v>45293</v>
      </c>
      <c r="C1093" s="1" t="n">
        <v>46031</v>
      </c>
      <c r="D1093" t="inlineStr">
        <is>
          <t>STOCKHOLMS LÄN</t>
        </is>
      </c>
      <c r="E1093" t="inlineStr">
        <is>
          <t>NORRTÄLJE</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11333-2025</t>
        </is>
      </c>
      <c r="B1094" s="1" t="n">
        <v>45726.48377314815</v>
      </c>
      <c r="C1094" s="1" t="n">
        <v>46031</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21529-2021</t>
        </is>
      </c>
      <c r="B1095" s="1" t="n">
        <v>44321</v>
      </c>
      <c r="C1095" s="1" t="n">
        <v>46031</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31827-2023</t>
        </is>
      </c>
      <c r="B1096" s="1" t="n">
        <v>45118</v>
      </c>
      <c r="C1096" s="1" t="n">
        <v>46031</v>
      </c>
      <c r="D1096" t="inlineStr">
        <is>
          <t>STOCKHOLMS LÄN</t>
        </is>
      </c>
      <c r="E1096" t="inlineStr">
        <is>
          <t>NORRTÄLJE</t>
        </is>
      </c>
      <c r="F1096" t="inlineStr">
        <is>
          <t>Kyrkan</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10973-2025</t>
        </is>
      </c>
      <c r="B1097" s="1" t="n">
        <v>45723</v>
      </c>
      <c r="C1097" s="1" t="n">
        <v>46031</v>
      </c>
      <c r="D1097" t="inlineStr">
        <is>
          <t>STOCKHOLMS LÄN</t>
        </is>
      </c>
      <c r="E1097" t="inlineStr">
        <is>
          <t>NORRTÄLJE</t>
        </is>
      </c>
      <c r="F1097" t="inlineStr">
        <is>
          <t>Övriga Aktiebolag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54496-2024</t>
        </is>
      </c>
      <c r="B1098" s="1" t="n">
        <v>45617.57439814815</v>
      </c>
      <c r="C1098" s="1" t="n">
        <v>46031</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7796-2025</t>
        </is>
      </c>
      <c r="B1099" s="1" t="n">
        <v>45706.60130787037</v>
      </c>
      <c r="C1099" s="1" t="n">
        <v>46031</v>
      </c>
      <c r="D1099" t="inlineStr">
        <is>
          <t>STOCKHOLMS LÄN</t>
        </is>
      </c>
      <c r="E1099" t="inlineStr">
        <is>
          <t>NORRTÄLJE</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59767-2022</t>
        </is>
      </c>
      <c r="B1100" s="1" t="n">
        <v>44900</v>
      </c>
      <c r="C1100" s="1" t="n">
        <v>46031</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22756-2022</t>
        </is>
      </c>
      <c r="B1101" s="1" t="n">
        <v>44714.92253472222</v>
      </c>
      <c r="C1101" s="1" t="n">
        <v>46031</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58311-2023</t>
        </is>
      </c>
      <c r="B1102" s="1" t="n">
        <v>45245</v>
      </c>
      <c r="C1102" s="1" t="n">
        <v>46031</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8739-2024</t>
        </is>
      </c>
      <c r="B1103" s="1" t="n">
        <v>45356.47784722222</v>
      </c>
      <c r="C1103" s="1" t="n">
        <v>46031</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26640-2023</t>
        </is>
      </c>
      <c r="B1104" s="1" t="n">
        <v>45092</v>
      </c>
      <c r="C1104" s="1" t="n">
        <v>46031</v>
      </c>
      <c r="D1104" t="inlineStr">
        <is>
          <t>STOCKHOLMS LÄN</t>
        </is>
      </c>
      <c r="E1104" t="inlineStr">
        <is>
          <t>NORRTÄLJE</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62765-2022</t>
        </is>
      </c>
      <c r="B1105" s="1" t="n">
        <v>44637</v>
      </c>
      <c r="C1105" s="1" t="n">
        <v>46031</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38990-2022</t>
        </is>
      </c>
      <c r="B1106" s="1" t="n">
        <v>44816</v>
      </c>
      <c r="C1106" s="1" t="n">
        <v>46031</v>
      </c>
      <c r="D1106" t="inlineStr">
        <is>
          <t>STOCKHOLMS LÄN</t>
        </is>
      </c>
      <c r="E1106" t="inlineStr">
        <is>
          <t>NORRTÄLJE</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17545-2025</t>
        </is>
      </c>
      <c r="B1107" s="1" t="n">
        <v>45757.60658564815</v>
      </c>
      <c r="C1107" s="1" t="n">
        <v>46031</v>
      </c>
      <c r="D1107" t="inlineStr">
        <is>
          <t>STOCKHOLMS LÄN</t>
        </is>
      </c>
      <c r="E1107" t="inlineStr">
        <is>
          <t>NORRTÄLJE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17956-2025</t>
        </is>
      </c>
      <c r="B1108" s="1" t="n">
        <v>45760.91174768518</v>
      </c>
      <c r="C1108" s="1" t="n">
        <v>46031</v>
      </c>
      <c r="D1108" t="inlineStr">
        <is>
          <t>STOCKHOLMS LÄN</t>
        </is>
      </c>
      <c r="E1108" t="inlineStr">
        <is>
          <t>NORRTÄLJE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23265-2023</t>
        </is>
      </c>
      <c r="B1109" s="1" t="n">
        <v>45075.90703703704</v>
      </c>
      <c r="C1109" s="1" t="n">
        <v>46031</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30268-2024</t>
        </is>
      </c>
      <c r="B1110" s="1" t="n">
        <v>45490.60572916667</v>
      </c>
      <c r="C1110" s="1" t="n">
        <v>46031</v>
      </c>
      <c r="D1110" t="inlineStr">
        <is>
          <t>STOCKHOLMS LÄN</t>
        </is>
      </c>
      <c r="E1110" t="inlineStr">
        <is>
          <t>NORRTÄLJE</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59535-2024</t>
        </is>
      </c>
      <c r="B1111" s="1" t="n">
        <v>45638.59979166667</v>
      </c>
      <c r="C1111" s="1" t="n">
        <v>46031</v>
      </c>
      <c r="D1111" t="inlineStr">
        <is>
          <t>STOCKHOLMS LÄN</t>
        </is>
      </c>
      <c r="E1111" t="inlineStr">
        <is>
          <t>NORRTÄLJE</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9246-2024</t>
        </is>
      </c>
      <c r="B1112" s="1" t="n">
        <v>45357</v>
      </c>
      <c r="C1112" s="1" t="n">
        <v>46031</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20852-2023</t>
        </is>
      </c>
      <c r="B1113" s="1" t="n">
        <v>45058.78607638889</v>
      </c>
      <c r="C1113" s="1" t="n">
        <v>46031</v>
      </c>
      <c r="D1113" t="inlineStr">
        <is>
          <t>STOCKHOLMS LÄN</t>
        </is>
      </c>
      <c r="E1113" t="inlineStr">
        <is>
          <t>NORRTÄLJE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50355-2024</t>
        </is>
      </c>
      <c r="B1114" s="1" t="n">
        <v>45600.86128472222</v>
      </c>
      <c r="C1114" s="1" t="n">
        <v>46031</v>
      </c>
      <c r="D1114" t="inlineStr">
        <is>
          <t>STOCKHOLMS LÄN</t>
        </is>
      </c>
      <c r="E1114" t="inlineStr">
        <is>
          <t>NORRTÄLJE</t>
        </is>
      </c>
      <c r="F1114" t="inlineStr">
        <is>
          <t>Kommuner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60694-2024</t>
        </is>
      </c>
      <c r="B1115" s="1" t="n">
        <v>45644.47878472223</v>
      </c>
      <c r="C1115" s="1" t="n">
        <v>46031</v>
      </c>
      <c r="D1115" t="inlineStr">
        <is>
          <t>STOCKHOLMS LÄN</t>
        </is>
      </c>
      <c r="E1115" t="inlineStr">
        <is>
          <t>NORRTÄLJE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25094-2023</t>
        </is>
      </c>
      <c r="B1116" s="1" t="n">
        <v>45086.3629050926</v>
      </c>
      <c r="C1116" s="1" t="n">
        <v>46031</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59276-2023</t>
        </is>
      </c>
      <c r="B1117" s="1" t="n">
        <v>45253.55641203704</v>
      </c>
      <c r="C1117" s="1" t="n">
        <v>46031</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13767-2025</t>
        </is>
      </c>
      <c r="B1118" s="1" t="n">
        <v>45737.43347222222</v>
      </c>
      <c r="C1118" s="1" t="n">
        <v>46031</v>
      </c>
      <c r="D1118" t="inlineStr">
        <is>
          <t>STOCKHOLMS LÄN</t>
        </is>
      </c>
      <c r="E1118" t="inlineStr">
        <is>
          <t>NORRTÄLJE</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41587-2023</t>
        </is>
      </c>
      <c r="B1119" s="1" t="n">
        <v>45175</v>
      </c>
      <c r="C1119" s="1" t="n">
        <v>46031</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27381-2024</t>
        </is>
      </c>
      <c r="B1120" s="1" t="n">
        <v>45473.94501157408</v>
      </c>
      <c r="C1120" s="1" t="n">
        <v>46031</v>
      </c>
      <c r="D1120" t="inlineStr">
        <is>
          <t>STOCKHOLMS LÄN</t>
        </is>
      </c>
      <c r="E1120" t="inlineStr">
        <is>
          <t>NORRTÄLJE</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60529-2023</t>
        </is>
      </c>
      <c r="B1121" s="1" t="n">
        <v>45259</v>
      </c>
      <c r="C1121" s="1" t="n">
        <v>46031</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59326-2023</t>
        </is>
      </c>
      <c r="B1122" s="1" t="n">
        <v>45253.63089120371</v>
      </c>
      <c r="C1122" s="1" t="n">
        <v>46031</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20790-2025</t>
        </is>
      </c>
      <c r="B1123" s="1" t="n">
        <v>45776.62563657408</v>
      </c>
      <c r="C1123" s="1" t="n">
        <v>46031</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3152-2024</t>
        </is>
      </c>
      <c r="B1124" s="1" t="n">
        <v>45316.60306712963</v>
      </c>
      <c r="C1124" s="1" t="n">
        <v>46031</v>
      </c>
      <c r="D1124" t="inlineStr">
        <is>
          <t>STOCKHOLMS LÄN</t>
        </is>
      </c>
      <c r="E1124" t="inlineStr">
        <is>
          <t>NORRTÄLJE</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20699-2025</t>
        </is>
      </c>
      <c r="B1125" s="1" t="n">
        <v>45776.47346064815</v>
      </c>
      <c r="C1125" s="1" t="n">
        <v>46031</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20779-2025</t>
        </is>
      </c>
      <c r="B1126" s="1" t="n">
        <v>45776.59871527777</v>
      </c>
      <c r="C1126" s="1" t="n">
        <v>46031</v>
      </c>
      <c r="D1126" t="inlineStr">
        <is>
          <t>STOCKHOLMS LÄN</t>
        </is>
      </c>
      <c r="E1126" t="inlineStr">
        <is>
          <t>NORRTÄLJE</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44836-2023</t>
        </is>
      </c>
      <c r="B1127" s="1" t="n">
        <v>45190.55609953704</v>
      </c>
      <c r="C1127" s="1" t="n">
        <v>46031</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21771-2025</t>
        </is>
      </c>
      <c r="B1128" s="1" t="n">
        <v>45783</v>
      </c>
      <c r="C1128" s="1" t="n">
        <v>46031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21778-2025</t>
        </is>
      </c>
      <c r="B1129" s="1" t="n">
        <v>45783.66429398148</v>
      </c>
      <c r="C1129" s="1" t="n">
        <v>46031</v>
      </c>
      <c r="D1129" t="inlineStr">
        <is>
          <t>STOCKHOLMS LÄN</t>
        </is>
      </c>
      <c r="E1129" t="inlineStr">
        <is>
          <t>NORRTÄLJE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12902-2024</t>
        </is>
      </c>
      <c r="B1130" s="1" t="n">
        <v>45385.38146990741</v>
      </c>
      <c r="C1130" s="1" t="n">
        <v>46031</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39237-2024</t>
        </is>
      </c>
      <c r="B1131" s="1" t="n">
        <v>45549</v>
      </c>
      <c r="C1131" s="1" t="n">
        <v>46031</v>
      </c>
      <c r="D1131" t="inlineStr">
        <is>
          <t>STOCKHOLMS LÄN</t>
        </is>
      </c>
      <c r="E1131" t="inlineStr">
        <is>
          <t>NORRTÄLJE</t>
        </is>
      </c>
      <c r="G1131" t="n">
        <v>13.3</v>
      </c>
      <c r="H1131" t="n">
        <v>0</v>
      </c>
      <c r="I1131" t="n">
        <v>0</v>
      </c>
      <c r="J1131" t="n">
        <v>0</v>
      </c>
      <c r="K1131" t="n">
        <v>0</v>
      </c>
      <c r="L1131" t="n">
        <v>0</v>
      </c>
      <c r="M1131" t="n">
        <v>0</v>
      </c>
      <c r="N1131" t="n">
        <v>0</v>
      </c>
      <c r="O1131" t="n">
        <v>0</v>
      </c>
      <c r="P1131" t="n">
        <v>0</v>
      </c>
      <c r="Q1131" t="n">
        <v>0</v>
      </c>
      <c r="R1131" s="2" t="inlineStr"/>
    </row>
    <row r="1132" ht="15" customHeight="1">
      <c r="A1132" t="inlineStr">
        <is>
          <t>A 44891-2023</t>
        </is>
      </c>
      <c r="B1132" s="1" t="n">
        <v>45187</v>
      </c>
      <c r="C1132" s="1" t="n">
        <v>46031</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13268-2025</t>
        </is>
      </c>
      <c r="B1133" s="1" t="n">
        <v>45735</v>
      </c>
      <c r="C1133" s="1" t="n">
        <v>46031</v>
      </c>
      <c r="D1133" t="inlineStr">
        <is>
          <t>STOCKHOLMS LÄN</t>
        </is>
      </c>
      <c r="E1133" t="inlineStr">
        <is>
          <t>NORRTÄLJE</t>
        </is>
      </c>
      <c r="G1133" t="n">
        <v>11.4</v>
      </c>
      <c r="H1133" t="n">
        <v>0</v>
      </c>
      <c r="I1133" t="n">
        <v>0</v>
      </c>
      <c r="J1133" t="n">
        <v>0</v>
      </c>
      <c r="K1133" t="n">
        <v>0</v>
      </c>
      <c r="L1133" t="n">
        <v>0</v>
      </c>
      <c r="M1133" t="n">
        <v>0</v>
      </c>
      <c r="N1133" t="n">
        <v>0</v>
      </c>
      <c r="O1133" t="n">
        <v>0</v>
      </c>
      <c r="P1133" t="n">
        <v>0</v>
      </c>
      <c r="Q1133" t="n">
        <v>0</v>
      </c>
      <c r="R1133" s="2" t="inlineStr"/>
    </row>
    <row r="1134">
      <c r="A1134" t="inlineStr">
        <is>
          <t>A 8414-2025</t>
        </is>
      </c>
      <c r="B1134" s="1" t="n">
        <v>45709.39361111111</v>
      </c>
      <c r="C1134" s="1" t="n">
        <v>46031</v>
      </c>
      <c r="D1134" t="inlineStr">
        <is>
          <t>STOCKHOLMS LÄN</t>
        </is>
      </c>
      <c r="E1134" t="inlineStr">
        <is>
          <t>NORRTÄLJE</t>
        </is>
      </c>
      <c r="F1134" t="inlineStr">
        <is>
          <t>Holmen skog AB</t>
        </is>
      </c>
      <c r="G1134" t="n">
        <v>1.2</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2026-01-09T10:52:22Z</dcterms:created>
  <dcterms:modified xmlns:dcterms="http://purl.org/dc/terms/" xmlns:xsi="http://www.w3.org/2001/XMLSchema-instance" xsi:type="dcterms:W3CDTF">2026-01-09T10:52:23Z</dcterms:modified>
</cp:coreProperties>
</file>